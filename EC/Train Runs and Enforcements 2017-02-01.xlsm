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Trips'!$A$2:$J$120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1" i="1" l="1"/>
  <c r="B50" i="9" l="1"/>
  <c r="C50" i="9" s="1"/>
  <c r="B51" i="9"/>
  <c r="B52" i="9"/>
  <c r="C52" i="9" s="1"/>
  <c r="B53" i="9"/>
  <c r="B54" i="9"/>
  <c r="C54" i="9" s="1"/>
  <c r="P152" i="1"/>
  <c r="P156" i="1"/>
  <c r="P154" i="1"/>
  <c r="P151" i="1"/>
  <c r="P149" i="1"/>
  <c r="P142" i="1"/>
  <c r="X106" i="1"/>
  <c r="X107" i="1"/>
  <c r="X108" i="1"/>
  <c r="X109" i="1"/>
  <c r="X110" i="1"/>
  <c r="X111" i="1"/>
  <c r="X11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Z15" i="1"/>
  <c r="AA15" i="1" s="1"/>
  <c r="W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G19" i="1" s="1"/>
  <c r="AE19" i="1"/>
  <c r="AF19" i="1"/>
  <c r="AH19" i="1"/>
  <c r="AI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/>
  <c r="T35" i="1"/>
  <c r="V35" i="1"/>
  <c r="Y35" i="1"/>
  <c r="Z35" i="1"/>
  <c r="AA35" i="1" s="1"/>
  <c r="W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Y38" i="1"/>
  <c r="AA38" i="1" s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I44" i="1" s="1"/>
  <c r="AE44" i="1"/>
  <c r="AF44" i="1"/>
  <c r="AH44" i="1"/>
  <c r="AM44" i="1"/>
  <c r="AN44" i="1"/>
  <c r="K45" i="1"/>
  <c r="L45" i="1"/>
  <c r="M45" i="1"/>
  <c r="N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I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I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K56" i="1"/>
  <c r="L56" i="1"/>
  <c r="M56" i="1"/>
  <c r="N56" i="1"/>
  <c r="V56" i="1"/>
  <c r="Y56" i="1"/>
  <c r="Z56" i="1"/>
  <c r="AI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W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R13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/>
  <c r="V64" i="1"/>
  <c r="Y64" i="1"/>
  <c r="Z64" i="1"/>
  <c r="AA64" i="1" s="1"/>
  <c r="W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W68" i="1" s="1"/>
  <c r="AB68" i="1"/>
  <c r="AC68" i="1"/>
  <c r="AD68" i="1"/>
  <c r="AG68" i="1" s="1"/>
  <c r="AE68" i="1"/>
  <c r="R17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P72" i="1" s="1"/>
  <c r="V72" i="1"/>
  <c r="Y72" i="1"/>
  <c r="Z72" i="1"/>
  <c r="AA72" i="1" s="1"/>
  <c r="W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AG76" i="1" s="1"/>
  <c r="AE76" i="1"/>
  <c r="AF76" i="1"/>
  <c r="AH76" i="1"/>
  <c r="AI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W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AA83" i="1"/>
  <c r="AB83" i="1"/>
  <c r="AC83" i="1"/>
  <c r="AD83" i="1"/>
  <c r="AG83" i="1" s="1"/>
  <c r="AI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W88" i="1" s="1"/>
  <c r="Z88" i="1"/>
  <c r="AB88" i="1"/>
  <c r="AC88" i="1"/>
  <c r="AD88" i="1"/>
  <c r="AG88" i="1" s="1"/>
  <c r="AE88" i="1"/>
  <c r="AF88" i="1"/>
  <c r="AH88" i="1"/>
  <c r="AI88" i="1"/>
  <c r="AM88" i="1"/>
  <c r="AN88" i="1"/>
  <c r="K89" i="1"/>
  <c r="L89" i="1"/>
  <c r="M89" i="1"/>
  <c r="N89" i="1" s="1"/>
  <c r="T89" i="1"/>
  <c r="V89" i="1"/>
  <c r="Y89" i="1"/>
  <c r="Z89" i="1"/>
  <c r="AB89" i="1"/>
  <c r="AC89" i="1"/>
  <c r="AD89" i="1"/>
  <c r="AE89" i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I104" i="1" s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W107" i="1" s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I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AG127" i="1" s="1"/>
  <c r="AE127" i="1"/>
  <c r="AF127" i="1"/>
  <c r="AH127" i="1"/>
  <c r="AI127" i="1"/>
  <c r="AM127" i="1"/>
  <c r="AN127" i="1"/>
  <c r="K128" i="1"/>
  <c r="L128" i="1"/>
  <c r="M128" i="1"/>
  <c r="N128" i="1" s="1"/>
  <c r="T128" i="1"/>
  <c r="V128" i="1"/>
  <c r="Y128" i="1"/>
  <c r="AA128" i="1" s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T135" i="1"/>
  <c r="V135" i="1"/>
  <c r="S22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W147" i="1" s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V152" i="1"/>
  <c r="Y152" i="1"/>
  <c r="AA152" i="1" s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X208" i="1"/>
  <c r="Y208" i="1"/>
  <c r="Z208" i="1"/>
  <c r="AB208" i="1"/>
  <c r="AC208" i="1"/>
  <c r="AD208" i="1"/>
  <c r="T208" i="1" s="1"/>
  <c r="AE208" i="1"/>
  <c r="AF208" i="1"/>
  <c r="AG208" i="1"/>
  <c r="AI208" i="1" s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AA215" i="1" s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G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R29" i="3" s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77" i="1"/>
  <c r="AM177" i="1"/>
  <c r="AN17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8" i="1"/>
  <c r="AM178" i="1"/>
  <c r="AN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AM179" i="1"/>
  <c r="AN17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AM180" i="1"/>
  <c r="AN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AM181" i="1"/>
  <c r="AN18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2" i="1"/>
  <c r="AM182" i="1"/>
  <c r="AN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AM183" i="1"/>
  <c r="AN18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4" i="1"/>
  <c r="AM184" i="1"/>
  <c r="AN18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5" i="1"/>
  <c r="AM185" i="1"/>
  <c r="AN18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6" i="1"/>
  <c r="AM186" i="1"/>
  <c r="AN18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7" i="1"/>
  <c r="AM187" i="1"/>
  <c r="AN187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88" i="1"/>
  <c r="AM188" i="1"/>
  <c r="AN18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9" i="1"/>
  <c r="AM189" i="1"/>
  <c r="AN18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0" i="1"/>
  <c r="AM190" i="1"/>
  <c r="AN19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1" i="1"/>
  <c r="AM191" i="1"/>
  <c r="AN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AM192" i="1"/>
  <c r="AN19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3" i="1"/>
  <c r="AM193" i="1"/>
  <c r="AN193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194" i="1"/>
  <c r="AM194" i="1"/>
  <c r="AN194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5" i="1"/>
  <c r="AM195" i="1"/>
  <c r="AN195" i="1"/>
  <c r="K179" i="1"/>
  <c r="L179" i="1"/>
  <c r="M179" i="1"/>
  <c r="N179" i="1" s="1"/>
  <c r="V179" i="1"/>
  <c r="Y179" i="1"/>
  <c r="AA179" i="1" s="1"/>
  <c r="Z179" i="1"/>
  <c r="AB179" i="1"/>
  <c r="AC179" i="1"/>
  <c r="AD179" i="1"/>
  <c r="T179" i="1" s="1"/>
  <c r="AE179" i="1"/>
  <c r="AF179" i="1"/>
  <c r="AH196" i="1"/>
  <c r="AM196" i="1"/>
  <c r="AN196" i="1"/>
  <c r="K231" i="1"/>
  <c r="L231" i="1"/>
  <c r="M231" i="1"/>
  <c r="V231" i="1"/>
  <c r="Y231" i="1"/>
  <c r="Z231" i="1"/>
  <c r="AB231" i="1"/>
  <c r="AC231" i="1"/>
  <c r="AD231" i="1"/>
  <c r="T231" i="1" s="1"/>
  <c r="AE231" i="1"/>
  <c r="AF231" i="1"/>
  <c r="AH197" i="1"/>
  <c r="AM197" i="1"/>
  <c r="AN19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98" i="1"/>
  <c r="AM198" i="1"/>
  <c r="AN19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99" i="1"/>
  <c r="AM199" i="1"/>
  <c r="AN199" i="1"/>
  <c r="K180" i="1"/>
  <c r="L180" i="1"/>
  <c r="M180" i="1"/>
  <c r="N180" i="1" s="1"/>
  <c r="T180" i="1"/>
  <c r="V180" i="1"/>
  <c r="Y180" i="1"/>
  <c r="Z180" i="1"/>
  <c r="AB180" i="1"/>
  <c r="AC180" i="1"/>
  <c r="AD180" i="1"/>
  <c r="AG180" i="1" s="1"/>
  <c r="AE180" i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2" i="1"/>
  <c r="AM202" i="1"/>
  <c r="AN202" i="1"/>
  <c r="K183" i="1"/>
  <c r="L183" i="1"/>
  <c r="M183" i="1"/>
  <c r="N183" i="1"/>
  <c r="V183" i="1"/>
  <c r="Y183" i="1"/>
  <c r="Z183" i="1"/>
  <c r="AB183" i="1"/>
  <c r="AC183" i="1"/>
  <c r="AD183" i="1"/>
  <c r="AG183" i="1" s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4" i="1"/>
  <c r="AM204" i="1"/>
  <c r="AN20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6" i="1"/>
  <c r="AM206" i="1"/>
  <c r="AN206" i="1"/>
  <c r="K187" i="1"/>
  <c r="L187" i="1"/>
  <c r="M187" i="1"/>
  <c r="N187" i="1" s="1"/>
  <c r="V187" i="1"/>
  <c r="S23" i="3" s="1"/>
  <c r="Y187" i="1"/>
  <c r="Z187" i="1"/>
  <c r="AB187" i="1"/>
  <c r="AC187" i="1"/>
  <c r="AD187" i="1"/>
  <c r="AG187" i="1" s="1"/>
  <c r="AE187" i="1"/>
  <c r="AF187" i="1"/>
  <c r="AH207" i="1"/>
  <c r="AM207" i="1"/>
  <c r="AN207" i="1"/>
  <c r="K188" i="1"/>
  <c r="L188" i="1"/>
  <c r="M188" i="1"/>
  <c r="N188" i="1" s="1"/>
  <c r="V188" i="1"/>
  <c r="X188" i="1"/>
  <c r="Y188" i="1"/>
  <c r="Z188" i="1"/>
  <c r="AB188" i="1"/>
  <c r="AC188" i="1"/>
  <c r="AD188" i="1"/>
  <c r="AG188" i="1" s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09" i="1"/>
  <c r="AM209" i="1"/>
  <c r="AN20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10" i="1"/>
  <c r="AM210" i="1"/>
  <c r="AN210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11" i="1"/>
  <c r="AM211" i="1"/>
  <c r="AN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AM212" i="1"/>
  <c r="AN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AM213" i="1"/>
  <c r="AN21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6" i="1"/>
  <c r="AM216" i="1"/>
  <c r="AN216" i="1"/>
  <c r="K196" i="1"/>
  <c r="L196" i="1"/>
  <c r="M196" i="1"/>
  <c r="N196" i="1" s="1"/>
  <c r="V196" i="1"/>
  <c r="X196" i="1"/>
  <c r="Y196" i="1"/>
  <c r="Z196" i="1"/>
  <c r="AB196" i="1"/>
  <c r="AC196" i="1"/>
  <c r="AD196" i="1"/>
  <c r="T196" i="1" s="1"/>
  <c r="AE196" i="1"/>
  <c r="AF196" i="1"/>
  <c r="AG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19" i="1"/>
  <c r="AM219" i="1"/>
  <c r="AN219" i="1"/>
  <c r="K199" i="1"/>
  <c r="L199" i="1"/>
  <c r="M199" i="1"/>
  <c r="N199" i="1" s="1"/>
  <c r="V199" i="1"/>
  <c r="X199" i="1"/>
  <c r="Y199" i="1"/>
  <c r="AA199" i="1" s="1"/>
  <c r="Z199" i="1"/>
  <c r="AB199" i="1"/>
  <c r="AC199" i="1"/>
  <c r="AD199" i="1"/>
  <c r="AG199" i="1" s="1"/>
  <c r="AI199" i="1" s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AM221" i="1"/>
  <c r="AN22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2" i="1"/>
  <c r="AM222" i="1"/>
  <c r="AN222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23" i="1"/>
  <c r="AM223" i="1"/>
  <c r="AN223" i="1"/>
  <c r="K203" i="1"/>
  <c r="L203" i="1"/>
  <c r="M203" i="1"/>
  <c r="N203" i="1"/>
  <c r="V203" i="1"/>
  <c r="Y203" i="1"/>
  <c r="Z203" i="1"/>
  <c r="AA203" i="1"/>
  <c r="AB203" i="1"/>
  <c r="AC203" i="1"/>
  <c r="AD203" i="1"/>
  <c r="AG203" i="1" s="1"/>
  <c r="AI203" i="1" s="1"/>
  <c r="AE203" i="1"/>
  <c r="AF203" i="1"/>
  <c r="AH224" i="1"/>
  <c r="AM224" i="1"/>
  <c r="AN224" i="1"/>
  <c r="K204" i="1"/>
  <c r="L204" i="1"/>
  <c r="M204" i="1"/>
  <c r="N204" i="1" s="1"/>
  <c r="T204" i="1"/>
  <c r="V204" i="1"/>
  <c r="X204" i="1"/>
  <c r="Y204" i="1"/>
  <c r="Z204" i="1"/>
  <c r="AB204" i="1"/>
  <c r="AC204" i="1"/>
  <c r="AD204" i="1"/>
  <c r="AE204" i="1"/>
  <c r="AF204" i="1"/>
  <c r="AG204" i="1"/>
  <c r="AH225" i="1"/>
  <c r="AM225" i="1"/>
  <c r="AN22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6" i="1"/>
  <c r="AM226" i="1"/>
  <c r="AN226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27" i="1"/>
  <c r="AM227" i="1"/>
  <c r="AN227" i="1"/>
  <c r="K217" i="1"/>
  <c r="L217" i="1"/>
  <c r="M217" i="1"/>
  <c r="N217" i="1"/>
  <c r="V217" i="1"/>
  <c r="Y217" i="1"/>
  <c r="Z217" i="1"/>
  <c r="AB217" i="1"/>
  <c r="AC217" i="1"/>
  <c r="AD217" i="1"/>
  <c r="AG217" i="1" s="1"/>
  <c r="AE217" i="1"/>
  <c r="AF217" i="1"/>
  <c r="AH228" i="1"/>
  <c r="AM228" i="1"/>
  <c r="AN228" i="1"/>
  <c r="K218" i="1"/>
  <c r="L218" i="1"/>
  <c r="M218" i="1"/>
  <c r="N218" i="1" s="1"/>
  <c r="T218" i="1"/>
  <c r="V218" i="1"/>
  <c r="Y218" i="1"/>
  <c r="Z218" i="1"/>
  <c r="AB218" i="1"/>
  <c r="AC218" i="1"/>
  <c r="AD218" i="1"/>
  <c r="X218" i="1" s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0" i="1"/>
  <c r="AM230" i="1"/>
  <c r="AN230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R27" i="3" s="1"/>
  <c r="AF220" i="1"/>
  <c r="AH231" i="1"/>
  <c r="AM231" i="1"/>
  <c r="AN231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232" i="1"/>
  <c r="AM232" i="1"/>
  <c r="AN232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236" i="1"/>
  <c r="AM236" i="1"/>
  <c r="AN236" i="1"/>
  <c r="M16" i="3"/>
  <c r="R16" i="3"/>
  <c r="S16" i="3"/>
  <c r="U16" i="3"/>
  <c r="T16" i="3" s="1"/>
  <c r="V16" i="3"/>
  <c r="W16" i="3"/>
  <c r="X16" i="3"/>
  <c r="M19" i="3"/>
  <c r="R19" i="3"/>
  <c r="S19" i="3"/>
  <c r="U19" i="3"/>
  <c r="V19" i="3"/>
  <c r="W19" i="3"/>
  <c r="X19" i="3"/>
  <c r="M14" i="3"/>
  <c r="R14" i="3"/>
  <c r="S14" i="3"/>
  <c r="U14" i="3"/>
  <c r="AC14" i="3" s="1"/>
  <c r="V14" i="3"/>
  <c r="W14" i="3"/>
  <c r="X14" i="3"/>
  <c r="M24" i="3"/>
  <c r="R24" i="3"/>
  <c r="S24" i="3"/>
  <c r="U24" i="3"/>
  <c r="AC24" i="3" s="1"/>
  <c r="V24" i="3"/>
  <c r="W24" i="3"/>
  <c r="X24" i="3"/>
  <c r="M15" i="3"/>
  <c r="R15" i="3"/>
  <c r="S15" i="3"/>
  <c r="U15" i="3"/>
  <c r="T15" i="3" s="1"/>
  <c r="V15" i="3"/>
  <c r="W15" i="3"/>
  <c r="X15" i="3"/>
  <c r="M7" i="3"/>
  <c r="R7" i="3"/>
  <c r="S7" i="3"/>
  <c r="U7" i="3"/>
  <c r="V7" i="3"/>
  <c r="W7" i="3"/>
  <c r="X7" i="3"/>
  <c r="M13" i="3"/>
  <c r="S13" i="3"/>
  <c r="U13" i="3"/>
  <c r="AC13" i="3" s="1"/>
  <c r="V13" i="3"/>
  <c r="W13" i="3"/>
  <c r="X13" i="3"/>
  <c r="M20" i="3"/>
  <c r="S20" i="3"/>
  <c r="U20" i="3"/>
  <c r="AC20" i="3" s="1"/>
  <c r="V20" i="3"/>
  <c r="W20" i="3"/>
  <c r="X20" i="3"/>
  <c r="AD20" i="3"/>
  <c r="M17" i="3"/>
  <c r="S17" i="3"/>
  <c r="U17" i="3"/>
  <c r="T17" i="3" s="1"/>
  <c r="V17" i="3"/>
  <c r="W17" i="3"/>
  <c r="X17" i="3"/>
  <c r="AC17" i="3"/>
  <c r="M21" i="3"/>
  <c r="R21" i="3"/>
  <c r="S21" i="3"/>
  <c r="U21" i="3"/>
  <c r="V21" i="3"/>
  <c r="W21" i="3"/>
  <c r="X21" i="3"/>
  <c r="M8" i="3"/>
  <c r="R8" i="3"/>
  <c r="S8" i="3"/>
  <c r="U8" i="3"/>
  <c r="AC8" i="3" s="1"/>
  <c r="V8" i="3"/>
  <c r="W8" i="3"/>
  <c r="X8" i="3"/>
  <c r="M27" i="3"/>
  <c r="S27" i="3"/>
  <c r="U27" i="3"/>
  <c r="AC27" i="3" s="1"/>
  <c r="V27" i="3"/>
  <c r="W27" i="3"/>
  <c r="X27" i="3"/>
  <c r="AD27" i="3"/>
  <c r="M23" i="3"/>
  <c r="R23" i="3"/>
  <c r="U23" i="3"/>
  <c r="T23" i="3" s="1"/>
  <c r="V23" i="3"/>
  <c r="W23" i="3"/>
  <c r="X23" i="3"/>
  <c r="M29" i="3"/>
  <c r="S29" i="3"/>
  <c r="U29" i="3"/>
  <c r="AD29" i="3" s="1"/>
  <c r="V29" i="3"/>
  <c r="W29" i="3"/>
  <c r="X29" i="3"/>
  <c r="M10" i="3"/>
  <c r="R10" i="3"/>
  <c r="S10" i="3"/>
  <c r="U10" i="3"/>
  <c r="AC10" i="3" s="1"/>
  <c r="V10" i="3"/>
  <c r="W10" i="3"/>
  <c r="X10" i="3"/>
  <c r="M22" i="3"/>
  <c r="R22" i="3"/>
  <c r="U22" i="3"/>
  <c r="AC22" i="3" s="1"/>
  <c r="V22" i="3"/>
  <c r="W22" i="3"/>
  <c r="X22" i="3"/>
  <c r="M25" i="3"/>
  <c r="R25" i="3"/>
  <c r="S25" i="3"/>
  <c r="U25" i="3"/>
  <c r="T25" i="3" s="1"/>
  <c r="V25" i="3"/>
  <c r="W25" i="3"/>
  <c r="X25" i="3"/>
  <c r="AC25" i="3"/>
  <c r="M26" i="3"/>
  <c r="R26" i="3"/>
  <c r="S26" i="3"/>
  <c r="U26" i="3"/>
  <c r="AD26" i="3" s="1"/>
  <c r="V26" i="3"/>
  <c r="W26" i="3"/>
  <c r="X26" i="3"/>
  <c r="M28" i="3"/>
  <c r="R28" i="3"/>
  <c r="S28" i="3"/>
  <c r="U28" i="3"/>
  <c r="AC28" i="3" s="1"/>
  <c r="V28" i="3"/>
  <c r="W28" i="3"/>
  <c r="X28" i="3"/>
  <c r="M9" i="3"/>
  <c r="R9" i="3"/>
  <c r="S9" i="3"/>
  <c r="U9" i="3"/>
  <c r="AC9" i="3" s="1"/>
  <c r="V9" i="3"/>
  <c r="W9" i="3"/>
  <c r="X9" i="3"/>
  <c r="M18" i="3"/>
  <c r="R18" i="3"/>
  <c r="S18" i="3"/>
  <c r="U18" i="3"/>
  <c r="T18" i="3" s="1"/>
  <c r="V18" i="3"/>
  <c r="W18" i="3"/>
  <c r="X18" i="3"/>
  <c r="M11" i="3"/>
  <c r="R11" i="3"/>
  <c r="S11" i="3"/>
  <c r="U11" i="3"/>
  <c r="V11" i="3"/>
  <c r="W11" i="3"/>
  <c r="X11" i="3"/>
  <c r="AC18" i="3" l="1"/>
  <c r="AC15" i="3"/>
  <c r="AC23" i="3"/>
  <c r="C53" i="9"/>
  <c r="C51" i="9"/>
  <c r="Y29" i="3"/>
  <c r="Y8" i="3"/>
  <c r="Y14" i="3"/>
  <c r="AC16" i="3"/>
  <c r="Y15" i="3"/>
  <c r="Y26" i="3"/>
  <c r="Y25" i="3"/>
  <c r="Y21" i="3"/>
  <c r="AD11" i="3"/>
  <c r="AD9" i="3"/>
  <c r="R20" i="3"/>
  <c r="Y19" i="3"/>
  <c r="Y16" i="3"/>
  <c r="AA235" i="1"/>
  <c r="AA193" i="1"/>
  <c r="AA192" i="1"/>
  <c r="AA175" i="1"/>
  <c r="X172" i="1"/>
  <c r="X167" i="1"/>
  <c r="AA165" i="1"/>
  <c r="AA163" i="1"/>
  <c r="AA207" i="1"/>
  <c r="T156" i="1"/>
  <c r="AA148" i="1"/>
  <c r="AA138" i="1"/>
  <c r="AA122" i="1"/>
  <c r="W122" i="1" s="1"/>
  <c r="AA112" i="1"/>
  <c r="AA96" i="1"/>
  <c r="W96" i="1" s="1"/>
  <c r="T96" i="1"/>
  <c r="AA95" i="1"/>
  <c r="AI92" i="1"/>
  <c r="AA80" i="1"/>
  <c r="W80" i="1" s="1"/>
  <c r="X69" i="1"/>
  <c r="AA69" i="1"/>
  <c r="AI64" i="1"/>
  <c r="AA57" i="1"/>
  <c r="T44" i="1"/>
  <c r="AA31" i="1"/>
  <c r="T29" i="1"/>
  <c r="AG28" i="1"/>
  <c r="AI28" i="1" s="1"/>
  <c r="AG21" i="1"/>
  <c r="U21" i="1" s="1"/>
  <c r="AA19" i="1"/>
  <c r="W19" i="1" s="1"/>
  <c r="Y18" i="3"/>
  <c r="AG200" i="1"/>
  <c r="X200" i="1"/>
  <c r="AA194" i="1"/>
  <c r="AG192" i="1"/>
  <c r="X192" i="1"/>
  <c r="AG231" i="1"/>
  <c r="X231" i="1"/>
  <c r="AG207" i="1"/>
  <c r="AI207" i="1" s="1"/>
  <c r="AA144" i="1"/>
  <c r="AA120" i="1"/>
  <c r="X96" i="1"/>
  <c r="X53" i="1"/>
  <c r="AA53" i="1"/>
  <c r="AG29" i="1"/>
  <c r="AG20" i="1"/>
  <c r="AI20" i="1" s="1"/>
  <c r="Y11" i="3"/>
  <c r="Y7" i="3"/>
  <c r="AA234" i="1"/>
  <c r="AG216" i="1"/>
  <c r="X216" i="1"/>
  <c r="AG215" i="1"/>
  <c r="Y10" i="3"/>
  <c r="X236" i="1"/>
  <c r="AG218" i="1"/>
  <c r="X217" i="1"/>
  <c r="AA195" i="1"/>
  <c r="AA188" i="1"/>
  <c r="W188" i="1" s="1"/>
  <c r="AA187" i="1"/>
  <c r="W187" i="1" s="1"/>
  <c r="AA185" i="1"/>
  <c r="AA183" i="1"/>
  <c r="W183" i="1" s="1"/>
  <c r="AA227" i="1"/>
  <c r="AA225" i="1"/>
  <c r="AA210" i="1"/>
  <c r="AI154" i="1"/>
  <c r="X151" i="1"/>
  <c r="X149" i="1"/>
  <c r="AA143" i="1"/>
  <c r="W143" i="1" s="1"/>
  <c r="U140" i="1"/>
  <c r="AG136" i="1"/>
  <c r="AA135" i="1"/>
  <c r="X133" i="1"/>
  <c r="X131" i="1"/>
  <c r="AG120" i="1"/>
  <c r="AI120" i="1" s="1"/>
  <c r="AG113" i="1"/>
  <c r="X113" i="1"/>
  <c r="T80" i="1"/>
  <c r="X78" i="1"/>
  <c r="AG62" i="1"/>
  <c r="AA28" i="1"/>
  <c r="W28" i="1" s="1"/>
  <c r="AA16" i="1"/>
  <c r="AI15" i="1"/>
  <c r="AA201" i="1"/>
  <c r="AG236" i="1"/>
  <c r="AI236" i="1" s="1"/>
  <c r="AA205" i="1"/>
  <c r="AA202" i="1"/>
  <c r="X221" i="1"/>
  <c r="AA219" i="1"/>
  <c r="AA217" i="1"/>
  <c r="AI204" i="1"/>
  <c r="AA197" i="1"/>
  <c r="AA191" i="1"/>
  <c r="AG164" i="1"/>
  <c r="U164" i="1" s="1"/>
  <c r="X164" i="1"/>
  <c r="U124" i="1"/>
  <c r="AI192" i="1"/>
  <c r="AA190" i="1"/>
  <c r="W190" i="1" s="1"/>
  <c r="AA186" i="1"/>
  <c r="AA184" i="1"/>
  <c r="W184" i="1" s="1"/>
  <c r="X183" i="1"/>
  <c r="AI180" i="1"/>
  <c r="AA180" i="1"/>
  <c r="AA231" i="1"/>
  <c r="X176" i="1"/>
  <c r="AA167" i="1"/>
  <c r="AA166" i="1"/>
  <c r="AG163" i="1"/>
  <c r="W163" i="1" s="1"/>
  <c r="AA230" i="1"/>
  <c r="X211" i="1"/>
  <c r="AA209" i="1"/>
  <c r="AA154" i="1"/>
  <c r="W154" i="1" s="1"/>
  <c r="AG152" i="1"/>
  <c r="AI152" i="1" s="1"/>
  <c r="AA151" i="1"/>
  <c r="W151" i="1" s="1"/>
  <c r="T151" i="1"/>
  <c r="AA150" i="1"/>
  <c r="AG148" i="1"/>
  <c r="AI148" i="1" s="1"/>
  <c r="AI147" i="1"/>
  <c r="AI143" i="1"/>
  <c r="AA132" i="1"/>
  <c r="AA127" i="1"/>
  <c r="W127" i="1" s="1"/>
  <c r="AA123" i="1"/>
  <c r="X120" i="1"/>
  <c r="X119" i="1"/>
  <c r="AG116" i="1"/>
  <c r="AI116" i="1" s="1"/>
  <c r="X116" i="1"/>
  <c r="AA111" i="1"/>
  <c r="AA109" i="1"/>
  <c r="AI107" i="1"/>
  <c r="AA105" i="1"/>
  <c r="AA103" i="1"/>
  <c r="T101" i="1"/>
  <c r="AA100" i="1"/>
  <c r="T92" i="1"/>
  <c r="AG82" i="1"/>
  <c r="X82" i="1"/>
  <c r="AA79" i="1"/>
  <c r="AA76" i="1"/>
  <c r="W76" i="1" s="1"/>
  <c r="AI72" i="1"/>
  <c r="AA67" i="1"/>
  <c r="AG61" i="1"/>
  <c r="X61" i="1"/>
  <c r="AI60" i="1"/>
  <c r="AG57" i="1"/>
  <c r="X57" i="1"/>
  <c r="AA52" i="1"/>
  <c r="W52" i="1" s="1"/>
  <c r="X49" i="1"/>
  <c r="AG48" i="1"/>
  <c r="AI48" i="1" s="1"/>
  <c r="X48" i="1"/>
  <c r="AA43" i="1"/>
  <c r="W43" i="1" s="1"/>
  <c r="AG40" i="1"/>
  <c r="X32" i="1"/>
  <c r="AA30" i="1"/>
  <c r="AA27" i="1"/>
  <c r="X24" i="1"/>
  <c r="AA22" i="1"/>
  <c r="X20" i="1"/>
  <c r="AG17" i="1"/>
  <c r="U17" i="1" s="1"/>
  <c r="X17" i="1"/>
  <c r="T15" i="1"/>
  <c r="AA170" i="1"/>
  <c r="AA164" i="1"/>
  <c r="AA162" i="1"/>
  <c r="W227" i="1"/>
  <c r="AA224" i="1"/>
  <c r="U156" i="1"/>
  <c r="X148" i="1"/>
  <c r="AI138" i="1"/>
  <c r="W131" i="1"/>
  <c r="AI122" i="1"/>
  <c r="W93" i="1"/>
  <c r="T65" i="1"/>
  <c r="AA50" i="1"/>
  <c r="X33" i="1"/>
  <c r="AA233" i="1"/>
  <c r="W233" i="1" s="1"/>
  <c r="AA178" i="1"/>
  <c r="W178" i="1" s="1"/>
  <c r="AA228" i="1"/>
  <c r="U227" i="1"/>
  <c r="W215" i="1"/>
  <c r="AA211" i="1"/>
  <c r="W211" i="1" s="1"/>
  <c r="AA155" i="1"/>
  <c r="AA149" i="1"/>
  <c r="AA146" i="1"/>
  <c r="AG144" i="1"/>
  <c r="AA137" i="1"/>
  <c r="AA136" i="1"/>
  <c r="W136" i="1" s="1"/>
  <c r="AA116" i="1"/>
  <c r="W116" i="1" s="1"/>
  <c r="AG112" i="1"/>
  <c r="AI112" i="1" s="1"/>
  <c r="AA104" i="1"/>
  <c r="W104" i="1" s="1"/>
  <c r="X94" i="1"/>
  <c r="AG93" i="1"/>
  <c r="AI93" i="1" s="1"/>
  <c r="X93" i="1"/>
  <c r="AA82" i="1"/>
  <c r="AI81" i="1"/>
  <c r="X77" i="1"/>
  <c r="AG73" i="1"/>
  <c r="U73" i="1" s="1"/>
  <c r="S73" i="1" s="1"/>
  <c r="AA71" i="1"/>
  <c r="AI68" i="1"/>
  <c r="AG66" i="1"/>
  <c r="T64" i="1"/>
  <c r="AA56" i="1"/>
  <c r="W56" i="1" s="1"/>
  <c r="AA48" i="1"/>
  <c r="W48" i="1" s="1"/>
  <c r="AA47" i="1"/>
  <c r="W47" i="1" s="1"/>
  <c r="X43" i="1"/>
  <c r="AA36" i="1"/>
  <c r="AA32" i="1"/>
  <c r="AA23" i="1"/>
  <c r="T19" i="1"/>
  <c r="AG16" i="1"/>
  <c r="AI16" i="1" s="1"/>
  <c r="AI188" i="1"/>
  <c r="W167" i="1"/>
  <c r="AI184" i="1"/>
  <c r="T236" i="1"/>
  <c r="AA223" i="1"/>
  <c r="AA222" i="1"/>
  <c r="T222" i="1"/>
  <c r="AA204" i="1"/>
  <c r="W204" i="1" s="1"/>
  <c r="T203" i="1"/>
  <c r="AA196" i="1"/>
  <c r="W196" i="1" s="1"/>
  <c r="T195" i="1"/>
  <c r="AG191" i="1"/>
  <c r="AA189" i="1"/>
  <c r="X185" i="1"/>
  <c r="T184" i="1"/>
  <c r="U184" i="1" s="1"/>
  <c r="S184" i="1" s="1"/>
  <c r="AG179" i="1"/>
  <c r="AA177" i="1"/>
  <c r="AA176" i="1"/>
  <c r="T176" i="1"/>
  <c r="AG175" i="1"/>
  <c r="AA174" i="1"/>
  <c r="AA173" i="1"/>
  <c r="W173" i="1" s="1"/>
  <c r="T172" i="1"/>
  <c r="AG171" i="1"/>
  <c r="U171" i="1" s="1"/>
  <c r="S171" i="1" s="1"/>
  <c r="AG168" i="1"/>
  <c r="AI168" i="1" s="1"/>
  <c r="X168" i="1"/>
  <c r="AA161" i="1"/>
  <c r="T160" i="1"/>
  <c r="AG230" i="1"/>
  <c r="U230" i="1" s="1"/>
  <c r="S230" i="1" s="1"/>
  <c r="AG226" i="1"/>
  <c r="W226" i="1" s="1"/>
  <c r="X215" i="1"/>
  <c r="AG212" i="1"/>
  <c r="X212" i="1"/>
  <c r="AI164" i="1"/>
  <c r="AA158" i="1"/>
  <c r="AA153" i="1"/>
  <c r="X152" i="1"/>
  <c r="AI151" i="1"/>
  <c r="X147" i="1"/>
  <c r="AG135" i="1"/>
  <c r="AI135" i="1" s="1"/>
  <c r="X135" i="1"/>
  <c r="AI108" i="1"/>
  <c r="AI99" i="1"/>
  <c r="W99" i="1"/>
  <c r="U236" i="1"/>
  <c r="S236" i="1" s="1"/>
  <c r="T221" i="1"/>
  <c r="U196" i="1"/>
  <c r="T188" i="1"/>
  <c r="U188" i="1" s="1"/>
  <c r="S188" i="1" s="1"/>
  <c r="X187" i="1"/>
  <c r="AA182" i="1"/>
  <c r="W180" i="1"/>
  <c r="X175" i="1"/>
  <c r="T167" i="1"/>
  <c r="U167" i="1" s="1"/>
  <c r="S167" i="1" s="1"/>
  <c r="X230" i="1"/>
  <c r="X227" i="1"/>
  <c r="X226" i="1"/>
  <c r="T211" i="1"/>
  <c r="U207" i="1"/>
  <c r="S207" i="1" s="1"/>
  <c r="U148" i="1"/>
  <c r="S148" i="1" s="1"/>
  <c r="AG141" i="1"/>
  <c r="X141" i="1"/>
  <c r="T137" i="1"/>
  <c r="X137" i="1"/>
  <c r="AG137" i="1"/>
  <c r="W137" i="1" s="1"/>
  <c r="U136" i="1"/>
  <c r="S136" i="1" s="1"/>
  <c r="AI136" i="1"/>
  <c r="X136" i="1"/>
  <c r="X132" i="1"/>
  <c r="AG132" i="1"/>
  <c r="AI77" i="1"/>
  <c r="AG222" i="1"/>
  <c r="AA218" i="1"/>
  <c r="W218" i="1" s="1"/>
  <c r="T217" i="1"/>
  <c r="X203" i="1"/>
  <c r="AA200" i="1"/>
  <c r="W200" i="1" s="1"/>
  <c r="T199" i="1"/>
  <c r="X195" i="1"/>
  <c r="AA232" i="1"/>
  <c r="W232" i="1" s="1"/>
  <c r="AG176" i="1"/>
  <c r="AI176" i="1" s="1"/>
  <c r="AG172" i="1"/>
  <c r="AI172" i="1" s="1"/>
  <c r="X163" i="1"/>
  <c r="AG160" i="1"/>
  <c r="AI160" i="1" s="1"/>
  <c r="AA213" i="1"/>
  <c r="AA212" i="1"/>
  <c r="U208" i="1"/>
  <c r="X207" i="1"/>
  <c r="AG157" i="1"/>
  <c r="X157" i="1"/>
  <c r="AA156" i="1"/>
  <c r="W156" i="1" s="1"/>
  <c r="AG153" i="1"/>
  <c r="U153" i="1" s="1"/>
  <c r="X153" i="1"/>
  <c r="T147" i="1"/>
  <c r="W144" i="1"/>
  <c r="W138" i="1"/>
  <c r="W83" i="1"/>
  <c r="U33" i="1"/>
  <c r="W191" i="1"/>
  <c r="T187" i="1"/>
  <c r="W179" i="1"/>
  <c r="U215" i="1"/>
  <c r="S215" i="1" s="1"/>
  <c r="U152" i="1"/>
  <c r="S152" i="1" s="1"/>
  <c r="W135" i="1"/>
  <c r="AG125" i="1"/>
  <c r="X125" i="1"/>
  <c r="AA124" i="1"/>
  <c r="W124" i="1" s="1"/>
  <c r="AG121" i="1"/>
  <c r="X121" i="1"/>
  <c r="AG117" i="1"/>
  <c r="X117" i="1"/>
  <c r="T108" i="1"/>
  <c r="U108" i="1" s="1"/>
  <c r="S108" i="1" s="1"/>
  <c r="T105" i="1"/>
  <c r="AG102" i="1"/>
  <c r="X102" i="1"/>
  <c r="AA101" i="1"/>
  <c r="W101" i="1" s="1"/>
  <c r="AG97" i="1"/>
  <c r="AI97" i="1" s="1"/>
  <c r="AA89" i="1"/>
  <c r="W89" i="1" s="1"/>
  <c r="AG85" i="1"/>
  <c r="W82" i="1"/>
  <c r="X81" i="1"/>
  <c r="AI80" i="1"/>
  <c r="T77" i="1"/>
  <c r="U77" i="1" s="1"/>
  <c r="S77" i="1" s="1"/>
  <c r="AA73" i="1"/>
  <c r="W73" i="1" s="1"/>
  <c r="AG70" i="1"/>
  <c r="AG65" i="1"/>
  <c r="U65" i="1" s="1"/>
  <c r="U64" i="1"/>
  <c r="AA63" i="1"/>
  <c r="AA61" i="1"/>
  <c r="W61" i="1" s="1"/>
  <c r="T60" i="1"/>
  <c r="U60" i="1" s="1"/>
  <c r="S60" i="1" s="1"/>
  <c r="AG54" i="1"/>
  <c r="T51" i="1"/>
  <c r="AA49" i="1"/>
  <c r="AA46" i="1"/>
  <c r="AG41" i="1"/>
  <c r="X41" i="1"/>
  <c r="AA40" i="1"/>
  <c r="W40" i="1" s="1"/>
  <c r="AG37" i="1"/>
  <c r="U37" i="1" s="1"/>
  <c r="X37" i="1"/>
  <c r="AG36" i="1"/>
  <c r="U36" i="1" s="1"/>
  <c r="X36" i="1"/>
  <c r="AI35" i="1"/>
  <c r="AG32" i="1"/>
  <c r="AI32" i="1" s="1"/>
  <c r="U29" i="1"/>
  <c r="X28" i="1"/>
  <c r="AG25" i="1"/>
  <c r="X25" i="1"/>
  <c r="X16" i="1"/>
  <c r="U15" i="1"/>
  <c r="S15" i="1"/>
  <c r="AA140" i="1"/>
  <c r="W140" i="1" s="1"/>
  <c r="T131" i="1"/>
  <c r="W128" i="1"/>
  <c r="U120" i="1"/>
  <c r="S120" i="1" s="1"/>
  <c r="AA119" i="1"/>
  <c r="W119" i="1" s="1"/>
  <c r="T119" i="1"/>
  <c r="AA115" i="1"/>
  <c r="AA114" i="1"/>
  <c r="W114" i="1" s="1"/>
  <c r="U112" i="1"/>
  <c r="S112" i="1" s="1"/>
  <c r="AA110" i="1"/>
  <c r="AA98" i="1"/>
  <c r="X97" i="1"/>
  <c r="AI96" i="1"/>
  <c r="AA87" i="1"/>
  <c r="W87" i="1" s="1"/>
  <c r="AA84" i="1"/>
  <c r="U82" i="1"/>
  <c r="X80" i="1"/>
  <c r="T76" i="1"/>
  <c r="X73" i="1"/>
  <c r="T72" i="1"/>
  <c r="T69" i="1"/>
  <c r="U61" i="1"/>
  <c r="AA59" i="1"/>
  <c r="W57" i="1"/>
  <c r="T56" i="1"/>
  <c r="U56" i="1" s="1"/>
  <c r="S56" i="1" s="1"/>
  <c r="T53" i="1"/>
  <c r="X52" i="1"/>
  <c r="AA51" i="1"/>
  <c r="W51" i="1" s="1"/>
  <c r="X47" i="1"/>
  <c r="U44" i="1"/>
  <c r="S44" i="1" s="1"/>
  <c r="T24" i="1"/>
  <c r="U20" i="1"/>
  <c r="S20" i="1" s="1"/>
  <c r="AA14" i="1"/>
  <c r="AA133" i="1"/>
  <c r="AA130" i="1"/>
  <c r="AA121" i="1"/>
  <c r="W121" i="1" s="1"/>
  <c r="T107" i="1"/>
  <c r="W105" i="1"/>
  <c r="W103" i="1"/>
  <c r="W97" i="1"/>
  <c r="U93" i="1"/>
  <c r="S93" i="1" s="1"/>
  <c r="T81" i="1"/>
  <c r="T68" i="1"/>
  <c r="U68" i="1" s="1"/>
  <c r="S68" i="1" s="1"/>
  <c r="U57" i="1"/>
  <c r="U48" i="1"/>
  <c r="S48" i="1" s="1"/>
  <c r="AA42" i="1"/>
  <c r="AA39" i="1"/>
  <c r="AA37" i="1"/>
  <c r="AA26" i="1"/>
  <c r="AG24" i="1"/>
  <c r="W24" i="1" s="1"/>
  <c r="U19" i="1"/>
  <c r="S19" i="1" s="1"/>
  <c r="U121" i="1"/>
  <c r="W108" i="1"/>
  <c r="AG98" i="1"/>
  <c r="U98" i="1" s="1"/>
  <c r="S98" i="1" s="1"/>
  <c r="X98" i="1"/>
  <c r="AG86" i="1"/>
  <c r="AI86" i="1" s="1"/>
  <c r="X86" i="1"/>
  <c r="AA85" i="1"/>
  <c r="W85" i="1" s="1"/>
  <c r="W77" i="1"/>
  <c r="AG69" i="1"/>
  <c r="U69" i="1" s="1"/>
  <c r="AA65" i="1"/>
  <c r="AG58" i="1"/>
  <c r="AG53" i="1"/>
  <c r="U53" i="1" s="1"/>
  <c r="U52" i="1"/>
  <c r="T52" i="1"/>
  <c r="T47" i="1"/>
  <c r="W38" i="1"/>
  <c r="W36" i="1"/>
  <c r="W33" i="1"/>
  <c r="U28" i="1"/>
  <c r="S28" i="1" s="1"/>
  <c r="U16" i="1"/>
  <c r="S16" i="1" s="1"/>
  <c r="U221" i="1"/>
  <c r="S221" i="1" s="1"/>
  <c r="AI232" i="1"/>
  <c r="W217" i="1"/>
  <c r="W199" i="1"/>
  <c r="W182" i="1"/>
  <c r="U203" i="1"/>
  <c r="S203" i="1" s="1"/>
  <c r="U217" i="1"/>
  <c r="S217" i="1"/>
  <c r="U199" i="1"/>
  <c r="S199" i="1" s="1"/>
  <c r="U195" i="1"/>
  <c r="S195" i="1" s="1"/>
  <c r="AI216" i="1"/>
  <c r="W203" i="1"/>
  <c r="W195" i="1"/>
  <c r="U218" i="1"/>
  <c r="S218" i="1" s="1"/>
  <c r="U191" i="1"/>
  <c r="S191" i="1" s="1"/>
  <c r="T181" i="1"/>
  <c r="U179" i="1"/>
  <c r="S179" i="1" s="1"/>
  <c r="AG205" i="1"/>
  <c r="AG201" i="1"/>
  <c r="W201" i="1" s="1"/>
  <c r="AG197" i="1"/>
  <c r="W197" i="1" s="1"/>
  <c r="AG193" i="1"/>
  <c r="W193" i="1" s="1"/>
  <c r="X191" i="1"/>
  <c r="T190" i="1"/>
  <c r="U190" i="1" s="1"/>
  <c r="S190" i="1" s="1"/>
  <c r="T186" i="1"/>
  <c r="X186" i="1"/>
  <c r="T185" i="1"/>
  <c r="AG181" i="1"/>
  <c r="U180" i="1"/>
  <c r="S180" i="1" s="1"/>
  <c r="X179" i="1"/>
  <c r="T178" i="1"/>
  <c r="U178" i="1" s="1"/>
  <c r="S178" i="1" s="1"/>
  <c r="T173" i="1"/>
  <c r="X173" i="1"/>
  <c r="AA172" i="1"/>
  <c r="W172" i="1" s="1"/>
  <c r="T170" i="1"/>
  <c r="X170" i="1"/>
  <c r="AG170" i="1"/>
  <c r="AA160" i="1"/>
  <c r="W160" i="1" s="1"/>
  <c r="T228" i="1"/>
  <c r="X228" i="1"/>
  <c r="AG228" i="1"/>
  <c r="AI228" i="1" s="1"/>
  <c r="U226" i="1"/>
  <c r="S226" i="1" s="1"/>
  <c r="AI169" i="1"/>
  <c r="AA208" i="1"/>
  <c r="W208" i="1" s="1"/>
  <c r="T158" i="1"/>
  <c r="X158" i="1"/>
  <c r="AG158" i="1"/>
  <c r="X145" i="1"/>
  <c r="AG145" i="1"/>
  <c r="AI142" i="1"/>
  <c r="X129" i="1"/>
  <c r="AG129" i="1"/>
  <c r="AI126" i="1"/>
  <c r="U86" i="1"/>
  <c r="S86" i="1" s="1"/>
  <c r="U222" i="1"/>
  <c r="S222" i="1" s="1"/>
  <c r="U204" i="1"/>
  <c r="S204" i="1" s="1"/>
  <c r="U200" i="1"/>
  <c r="S200" i="1" s="1"/>
  <c r="AI211" i="1"/>
  <c r="T224" i="1"/>
  <c r="X224" i="1"/>
  <c r="AG224" i="1"/>
  <c r="AI224" i="1" s="1"/>
  <c r="AI113" i="1"/>
  <c r="U113" i="1"/>
  <c r="S113" i="1" s="1"/>
  <c r="AI102" i="1"/>
  <c r="U102" i="1"/>
  <c r="S102" i="1" s="1"/>
  <c r="AG223" i="1"/>
  <c r="AG219" i="1"/>
  <c r="W219" i="1" s="1"/>
  <c r="AG235" i="1"/>
  <c r="X223" i="1"/>
  <c r="AI233" i="1"/>
  <c r="AG220" i="1"/>
  <c r="W220" i="1" s="1"/>
  <c r="X219" i="1"/>
  <c r="AG206" i="1"/>
  <c r="X205" i="1"/>
  <c r="AG202" i="1"/>
  <c r="AI202" i="1" s="1"/>
  <c r="X201" i="1"/>
  <c r="AI221" i="1"/>
  <c r="AG198" i="1"/>
  <c r="AI198" i="1" s="1"/>
  <c r="X197" i="1"/>
  <c r="AI217" i="1"/>
  <c r="S196" i="1"/>
  <c r="AG194" i="1"/>
  <c r="X193" i="1"/>
  <c r="W192" i="1"/>
  <c r="U192" i="1"/>
  <c r="S192" i="1" s="1"/>
  <c r="AI212" i="1"/>
  <c r="X190" i="1"/>
  <c r="T234" i="1"/>
  <c r="X234" i="1"/>
  <c r="T189" i="1"/>
  <c r="AG186" i="1"/>
  <c r="W186" i="1" s="1"/>
  <c r="AG185" i="1"/>
  <c r="AI185" i="1" s="1"/>
  <c r="X180" i="1"/>
  <c r="T233" i="1"/>
  <c r="U233" i="1" s="1"/>
  <c r="S233" i="1" s="1"/>
  <c r="W231" i="1"/>
  <c r="U231" i="1"/>
  <c r="S231" i="1" s="1"/>
  <c r="AI196" i="1"/>
  <c r="X178" i="1"/>
  <c r="T177" i="1"/>
  <c r="X177" i="1"/>
  <c r="W176" i="1"/>
  <c r="U176" i="1"/>
  <c r="S176" i="1" s="1"/>
  <c r="T174" i="1"/>
  <c r="X174" i="1"/>
  <c r="AG174" i="1"/>
  <c r="AI190" i="1"/>
  <c r="W164" i="1"/>
  <c r="T161" i="1"/>
  <c r="X161" i="1"/>
  <c r="AG161" i="1"/>
  <c r="W161" i="1" s="1"/>
  <c r="S227" i="1"/>
  <c r="AI173" i="1"/>
  <c r="W212" i="1"/>
  <c r="U212" i="1"/>
  <c r="S212" i="1" s="1"/>
  <c r="T209" i="1"/>
  <c r="X209" i="1"/>
  <c r="AG209" i="1"/>
  <c r="W209" i="1" s="1"/>
  <c r="U157" i="1"/>
  <c r="S157" i="1" s="1"/>
  <c r="AI157" i="1"/>
  <c r="T146" i="1"/>
  <c r="X146" i="1"/>
  <c r="AG146" i="1"/>
  <c r="W146" i="1" s="1"/>
  <c r="AI141" i="1"/>
  <c r="U141" i="1"/>
  <c r="S141" i="1" s="1"/>
  <c r="T130" i="1"/>
  <c r="X130" i="1"/>
  <c r="AG130" i="1"/>
  <c r="AI125" i="1"/>
  <c r="U125" i="1"/>
  <c r="S125" i="1" s="1"/>
  <c r="U116" i="1"/>
  <c r="S116" i="1" s="1"/>
  <c r="T91" i="1"/>
  <c r="X91" i="1"/>
  <c r="AG91" i="1"/>
  <c r="X92" i="1"/>
  <c r="T75" i="1"/>
  <c r="X75" i="1"/>
  <c r="AG75" i="1"/>
  <c r="X76" i="1"/>
  <c r="W185" i="1"/>
  <c r="T182" i="1"/>
  <c r="U182" i="1" s="1"/>
  <c r="S182" i="1" s="1"/>
  <c r="X182" i="1"/>
  <c r="AI195" i="1"/>
  <c r="T169" i="1"/>
  <c r="U169" i="1" s="1"/>
  <c r="S169" i="1" s="1"/>
  <c r="X169" i="1"/>
  <c r="S164" i="1"/>
  <c r="AI181" i="1"/>
  <c r="W158" i="1"/>
  <c r="X64" i="1"/>
  <c r="T63" i="1"/>
  <c r="X63" i="1"/>
  <c r="AG63" i="1"/>
  <c r="X235" i="1"/>
  <c r="X220" i="1"/>
  <c r="X206" i="1"/>
  <c r="X202" i="1"/>
  <c r="X198" i="1"/>
  <c r="X194" i="1"/>
  <c r="AG234" i="1"/>
  <c r="AG189" i="1"/>
  <c r="AI189" i="1" s="1"/>
  <c r="U187" i="1"/>
  <c r="S187" i="1" s="1"/>
  <c r="X184" i="1"/>
  <c r="T183" i="1"/>
  <c r="U183" i="1" s="1"/>
  <c r="S183" i="1" s="1"/>
  <c r="AA181" i="1"/>
  <c r="W181" i="1" s="1"/>
  <c r="AI200" i="1"/>
  <c r="X233" i="1"/>
  <c r="T232" i="1"/>
  <c r="U232" i="1" s="1"/>
  <c r="S232" i="1" s="1"/>
  <c r="X232" i="1"/>
  <c r="AG177" i="1"/>
  <c r="AI177" i="1" s="1"/>
  <c r="U173" i="1"/>
  <c r="S173" i="1" s="1"/>
  <c r="X171" i="1"/>
  <c r="AA169" i="1"/>
  <c r="W169" i="1" s="1"/>
  <c r="AA168" i="1"/>
  <c r="W168" i="1" s="1"/>
  <c r="U168" i="1"/>
  <c r="S168" i="1" s="1"/>
  <c r="T165" i="1"/>
  <c r="X165" i="1"/>
  <c r="AG165" i="1"/>
  <c r="AI165" i="1" s="1"/>
  <c r="U163" i="1"/>
  <c r="S163" i="1" s="1"/>
  <c r="W224" i="1"/>
  <c r="AA216" i="1"/>
  <c r="W216" i="1" s="1"/>
  <c r="U216" i="1"/>
  <c r="S216" i="1" s="1"/>
  <c r="T213" i="1"/>
  <c r="X213" i="1"/>
  <c r="AG213" i="1"/>
  <c r="AI213" i="1" s="1"/>
  <c r="U211" i="1"/>
  <c r="S211" i="1" s="1"/>
  <c r="S208" i="1"/>
  <c r="AI161" i="1"/>
  <c r="S156" i="1"/>
  <c r="AI156" i="1"/>
  <c r="AG155" i="1"/>
  <c r="X155" i="1"/>
  <c r="T155" i="1"/>
  <c r="X156" i="1"/>
  <c r="T145" i="1"/>
  <c r="AA142" i="1"/>
  <c r="W142" i="1" s="1"/>
  <c r="S140" i="1"/>
  <c r="AI140" i="1"/>
  <c r="AG139" i="1"/>
  <c r="W139" i="1" s="1"/>
  <c r="X139" i="1"/>
  <c r="T139" i="1"/>
  <c r="X140" i="1"/>
  <c r="T129" i="1"/>
  <c r="AA126" i="1"/>
  <c r="W126" i="1" s="1"/>
  <c r="S124" i="1"/>
  <c r="AI124" i="1"/>
  <c r="AG123" i="1"/>
  <c r="W123" i="1" s="1"/>
  <c r="X123" i="1"/>
  <c r="T123" i="1"/>
  <c r="X124" i="1"/>
  <c r="T150" i="1"/>
  <c r="X150" i="1"/>
  <c r="T149" i="1"/>
  <c r="U144" i="1"/>
  <c r="S144" i="1" s="1"/>
  <c r="T134" i="1"/>
  <c r="X134" i="1"/>
  <c r="T133" i="1"/>
  <c r="U128" i="1"/>
  <c r="S128" i="1" s="1"/>
  <c r="T118" i="1"/>
  <c r="X118" i="1"/>
  <c r="AI117" i="1"/>
  <c r="T110" i="1"/>
  <c r="AI101" i="1"/>
  <c r="AG100" i="1"/>
  <c r="X100" i="1"/>
  <c r="T100" i="1"/>
  <c r="X101" i="1"/>
  <c r="AI85" i="1"/>
  <c r="AG84" i="1"/>
  <c r="W84" i="1" s="1"/>
  <c r="X84" i="1"/>
  <c r="T84" i="1"/>
  <c r="X85" i="1"/>
  <c r="X60" i="1"/>
  <c r="T59" i="1"/>
  <c r="X59" i="1"/>
  <c r="AG59" i="1"/>
  <c r="AG166" i="1"/>
  <c r="AG162" i="1"/>
  <c r="AG229" i="1"/>
  <c r="AI229" i="1" s="1"/>
  <c r="AG225" i="1"/>
  <c r="AI225" i="1" s="1"/>
  <c r="AG214" i="1"/>
  <c r="AG210" i="1"/>
  <c r="AG159" i="1"/>
  <c r="AA157" i="1"/>
  <c r="W157" i="1" s="1"/>
  <c r="T154" i="1"/>
  <c r="U154" i="1" s="1"/>
  <c r="S154" i="1" s="1"/>
  <c r="X154" i="1"/>
  <c r="AG150" i="1"/>
  <c r="W150" i="1" s="1"/>
  <c r="AG149" i="1"/>
  <c r="U147" i="1"/>
  <c r="S147" i="1" s="1"/>
  <c r="X144" i="1"/>
  <c r="T143" i="1"/>
  <c r="U143" i="1" s="1"/>
  <c r="AA141" i="1"/>
  <c r="W141" i="1" s="1"/>
  <c r="T138" i="1"/>
  <c r="U138" i="1" s="1"/>
  <c r="S138" i="1" s="1"/>
  <c r="X138" i="1"/>
  <c r="AG134" i="1"/>
  <c r="W134" i="1" s="1"/>
  <c r="AG133" i="1"/>
  <c r="W133" i="1" s="1"/>
  <c r="U131" i="1"/>
  <c r="S131" i="1" s="1"/>
  <c r="X128" i="1"/>
  <c r="T127" i="1"/>
  <c r="U127" i="1" s="1"/>
  <c r="S127" i="1" s="1"/>
  <c r="AA125" i="1"/>
  <c r="W125" i="1" s="1"/>
  <c r="T122" i="1"/>
  <c r="U122" i="1" s="1"/>
  <c r="S122" i="1" s="1"/>
  <c r="X122" i="1"/>
  <c r="AG118" i="1"/>
  <c r="W118" i="1" s="1"/>
  <c r="T114" i="1"/>
  <c r="U114" i="1" s="1"/>
  <c r="S114" i="1" s="1"/>
  <c r="X114" i="1"/>
  <c r="AA113" i="1"/>
  <c r="W113" i="1" s="1"/>
  <c r="T111" i="1"/>
  <c r="AG111" i="1"/>
  <c r="AG110" i="1"/>
  <c r="U101" i="1"/>
  <c r="S101" i="1" s="1"/>
  <c r="U97" i="1"/>
  <c r="S97" i="1" s="1"/>
  <c r="U85" i="1"/>
  <c r="S85" i="1" s="1"/>
  <c r="U81" i="1"/>
  <c r="S81" i="1" s="1"/>
  <c r="T71" i="1"/>
  <c r="X71" i="1"/>
  <c r="AG71" i="1"/>
  <c r="X72" i="1"/>
  <c r="X56" i="1"/>
  <c r="T55" i="1"/>
  <c r="X55" i="1"/>
  <c r="AG55" i="1"/>
  <c r="X166" i="1"/>
  <c r="X162" i="1"/>
  <c r="X229" i="1"/>
  <c r="X225" i="1"/>
  <c r="X214" i="1"/>
  <c r="X210" i="1"/>
  <c r="X159" i="1"/>
  <c r="AI153" i="1"/>
  <c r="U151" i="1"/>
  <c r="S151" i="1" s="1"/>
  <c r="AA145" i="1"/>
  <c r="AI144" i="1"/>
  <c r="X143" i="1"/>
  <c r="T142" i="1"/>
  <c r="U142" i="1" s="1"/>
  <c r="S142" i="1" s="1"/>
  <c r="X142" i="1"/>
  <c r="AI137" i="1"/>
  <c r="U135" i="1"/>
  <c r="S135" i="1" s="1"/>
  <c r="AA129" i="1"/>
  <c r="W129" i="1" s="1"/>
  <c r="AI128" i="1"/>
  <c r="X127" i="1"/>
  <c r="T126" i="1"/>
  <c r="U126" i="1" s="1"/>
  <c r="S126" i="1" s="1"/>
  <c r="X126" i="1"/>
  <c r="S121" i="1"/>
  <c r="AI121" i="1"/>
  <c r="U119" i="1"/>
  <c r="S119" i="1" s="1"/>
  <c r="AA117" i="1"/>
  <c r="W117" i="1" s="1"/>
  <c r="U117" i="1"/>
  <c r="S117" i="1" s="1"/>
  <c r="T115" i="1"/>
  <c r="X115" i="1"/>
  <c r="AG115" i="1"/>
  <c r="W115" i="1" s="1"/>
  <c r="AI114" i="1"/>
  <c r="AG106" i="1"/>
  <c r="AI103" i="1"/>
  <c r="W91" i="1"/>
  <c r="X90" i="1"/>
  <c r="AG90" i="1"/>
  <c r="AI87" i="1"/>
  <c r="W75" i="1"/>
  <c r="T74" i="1"/>
  <c r="X74" i="1"/>
  <c r="AG74" i="1"/>
  <c r="X68" i="1"/>
  <c r="T67" i="1"/>
  <c r="X67" i="1"/>
  <c r="AG67" i="1"/>
  <c r="AI42" i="1"/>
  <c r="T109" i="1"/>
  <c r="U105" i="1"/>
  <c r="S105" i="1" s="1"/>
  <c r="T95" i="1"/>
  <c r="X95" i="1"/>
  <c r="T94" i="1"/>
  <c r="U89" i="1"/>
  <c r="S89" i="1" s="1"/>
  <c r="T79" i="1"/>
  <c r="X79" i="1"/>
  <c r="T78" i="1"/>
  <c r="AI70" i="1"/>
  <c r="AI66" i="1"/>
  <c r="AI62" i="1"/>
  <c r="AI58" i="1"/>
  <c r="AI54" i="1"/>
  <c r="X45" i="1"/>
  <c r="AG45" i="1"/>
  <c r="AI41" i="1"/>
  <c r="U41" i="1"/>
  <c r="S41" i="1" s="1"/>
  <c r="AG109" i="1"/>
  <c r="U107" i="1"/>
  <c r="S107" i="1" s="1"/>
  <c r="X105" i="1"/>
  <c r="T104" i="1"/>
  <c r="U104" i="1" s="1"/>
  <c r="S104" i="1" s="1"/>
  <c r="AA102" i="1"/>
  <c r="W102" i="1" s="1"/>
  <c r="T99" i="1"/>
  <c r="U99" i="1" s="1"/>
  <c r="S99" i="1" s="1"/>
  <c r="X99" i="1"/>
  <c r="AG95" i="1"/>
  <c r="W95" i="1" s="1"/>
  <c r="AG94" i="1"/>
  <c r="U92" i="1"/>
  <c r="S92" i="1" s="1"/>
  <c r="X89" i="1"/>
  <c r="T88" i="1"/>
  <c r="U88" i="1" s="1"/>
  <c r="S88" i="1" s="1"/>
  <c r="AA86" i="1"/>
  <c r="W86" i="1" s="1"/>
  <c r="T83" i="1"/>
  <c r="U83" i="1" s="1"/>
  <c r="S83" i="1" s="1"/>
  <c r="X83" i="1"/>
  <c r="AG79" i="1"/>
  <c r="AG78" i="1"/>
  <c r="U76" i="1"/>
  <c r="S76" i="1" s="1"/>
  <c r="AI73" i="1"/>
  <c r="U70" i="1"/>
  <c r="S70" i="1" s="1"/>
  <c r="U66" i="1"/>
  <c r="S66" i="1" s="1"/>
  <c r="S64" i="1"/>
  <c r="U62" i="1"/>
  <c r="S62" i="1" s="1"/>
  <c r="U58" i="1"/>
  <c r="S58" i="1" s="1"/>
  <c r="U54" i="1"/>
  <c r="S54" i="1" s="1"/>
  <c r="T46" i="1"/>
  <c r="X46" i="1"/>
  <c r="AG46" i="1"/>
  <c r="W46" i="1" s="1"/>
  <c r="W42" i="1"/>
  <c r="AI40" i="1"/>
  <c r="AG39" i="1"/>
  <c r="X39" i="1"/>
  <c r="T39" i="1"/>
  <c r="X40" i="1"/>
  <c r="T30" i="1"/>
  <c r="X30" i="1"/>
  <c r="AG30" i="1"/>
  <c r="AI25" i="1"/>
  <c r="U25" i="1"/>
  <c r="S25" i="1" s="1"/>
  <c r="AA106" i="1"/>
  <c r="W106" i="1" s="1"/>
  <c r="AI105" i="1"/>
  <c r="X104" i="1"/>
  <c r="T103" i="1"/>
  <c r="U103" i="1" s="1"/>
  <c r="S103" i="1" s="1"/>
  <c r="X103" i="1"/>
  <c r="AI98" i="1"/>
  <c r="U96" i="1"/>
  <c r="S96" i="1" s="1"/>
  <c r="AA90" i="1"/>
  <c r="W90" i="1" s="1"/>
  <c r="AI89" i="1"/>
  <c r="X88" i="1"/>
  <c r="T87" i="1"/>
  <c r="U87" i="1" s="1"/>
  <c r="S87" i="1" s="1"/>
  <c r="X87" i="1"/>
  <c r="S82" i="1"/>
  <c r="AI82" i="1"/>
  <c r="U80" i="1"/>
  <c r="S80" i="1" s="1"/>
  <c r="AA74" i="1"/>
  <c r="W74" i="1" s="1"/>
  <c r="U72" i="1"/>
  <c r="S72" i="1" s="1"/>
  <c r="W71" i="1"/>
  <c r="AA70" i="1"/>
  <c r="W70" i="1" s="1"/>
  <c r="W67" i="1"/>
  <c r="AA66" i="1"/>
  <c r="W66" i="1" s="1"/>
  <c r="W63" i="1"/>
  <c r="AA62" i="1"/>
  <c r="W62" i="1" s="1"/>
  <c r="AA58" i="1"/>
  <c r="W58" i="1" s="1"/>
  <c r="W55" i="1"/>
  <c r="AA54" i="1"/>
  <c r="W54" i="1" s="1"/>
  <c r="S52" i="1"/>
  <c r="T45" i="1"/>
  <c r="U40" i="1"/>
  <c r="S40" i="1" s="1"/>
  <c r="X70" i="1"/>
  <c r="AI69" i="1"/>
  <c r="S69" i="1"/>
  <c r="X66" i="1"/>
  <c r="AI65" i="1"/>
  <c r="S65" i="1"/>
  <c r="X62" i="1"/>
  <c r="AI61" i="1"/>
  <c r="S61" i="1"/>
  <c r="X58" i="1"/>
  <c r="AI57" i="1"/>
  <c r="S57" i="1"/>
  <c r="X54" i="1"/>
  <c r="AI53" i="1"/>
  <c r="S53" i="1"/>
  <c r="X51" i="1"/>
  <c r="T50" i="1"/>
  <c r="X50" i="1"/>
  <c r="T49" i="1"/>
  <c r="AI38" i="1"/>
  <c r="W37" i="1"/>
  <c r="AI36" i="1"/>
  <c r="S36" i="1"/>
  <c r="X35" i="1"/>
  <c r="T34" i="1"/>
  <c r="X34" i="1"/>
  <c r="U32" i="1"/>
  <c r="S32" i="1" s="1"/>
  <c r="S29" i="1"/>
  <c r="AI29" i="1"/>
  <c r="AA21" i="1"/>
  <c r="W21" i="1" s="1"/>
  <c r="AA17" i="1"/>
  <c r="W17" i="1" s="1"/>
  <c r="AG50" i="1"/>
  <c r="W50" i="1" s="1"/>
  <c r="AG49" i="1"/>
  <c r="W49" i="1" s="1"/>
  <c r="U47" i="1"/>
  <c r="S47" i="1" s="1"/>
  <c r="X44" i="1"/>
  <c r="T43" i="1"/>
  <c r="U43" i="1" s="1"/>
  <c r="S43" i="1" s="1"/>
  <c r="AA41" i="1"/>
  <c r="W41" i="1" s="1"/>
  <c r="T38" i="1"/>
  <c r="U38" i="1" s="1"/>
  <c r="S38" i="1" s="1"/>
  <c r="X38" i="1"/>
  <c r="AG34" i="1"/>
  <c r="W34" i="1" s="1"/>
  <c r="S33" i="1"/>
  <c r="AI33" i="1"/>
  <c r="AA25" i="1"/>
  <c r="W25" i="1" s="1"/>
  <c r="T22" i="1"/>
  <c r="X22" i="1"/>
  <c r="AG22" i="1"/>
  <c r="W22" i="1" s="1"/>
  <c r="X19" i="1"/>
  <c r="T18" i="1"/>
  <c r="X18" i="1"/>
  <c r="AG18" i="1"/>
  <c r="W18" i="1" s="1"/>
  <c r="X15" i="1"/>
  <c r="T14" i="1"/>
  <c r="AG14" i="1"/>
  <c r="W14" i="1" s="1"/>
  <c r="U51" i="1"/>
  <c r="S51" i="1" s="1"/>
  <c r="AA45" i="1"/>
  <c r="W45" i="1" s="1"/>
  <c r="T42" i="1"/>
  <c r="U42" i="1" s="1"/>
  <c r="S42" i="1" s="1"/>
  <c r="X42" i="1"/>
  <c r="S37" i="1"/>
  <c r="AI37" i="1"/>
  <c r="U35" i="1"/>
  <c r="S35" i="1" s="1"/>
  <c r="AA29" i="1"/>
  <c r="W29" i="1" s="1"/>
  <c r="T26" i="1"/>
  <c r="X26" i="1"/>
  <c r="AG26" i="1"/>
  <c r="S21" i="1"/>
  <c r="AI21" i="1"/>
  <c r="S17" i="1"/>
  <c r="AI17" i="1"/>
  <c r="AG31" i="1"/>
  <c r="AG27" i="1"/>
  <c r="AG23" i="1"/>
  <c r="W23" i="1" s="1"/>
  <c r="X31" i="1"/>
  <c r="X27" i="1"/>
  <c r="X23" i="1"/>
  <c r="Y28" i="3"/>
  <c r="Y17" i="3"/>
  <c r="AD7" i="3"/>
  <c r="Y24" i="3"/>
  <c r="AD19" i="3"/>
  <c r="AD22" i="3"/>
  <c r="Y23" i="3"/>
  <c r="AD21" i="3"/>
  <c r="Y13" i="3"/>
  <c r="AD16" i="3"/>
  <c r="AD24" i="3"/>
  <c r="Y9" i="3"/>
  <c r="Y22" i="3"/>
  <c r="AC11" i="3"/>
  <c r="AE9" i="3"/>
  <c r="AC26" i="3"/>
  <c r="AE22" i="3"/>
  <c r="AC29" i="3"/>
  <c r="AE27" i="3"/>
  <c r="AC21" i="3"/>
  <c r="AE20" i="3"/>
  <c r="AC7" i="3"/>
  <c r="AE24" i="3"/>
  <c r="AC19" i="3"/>
  <c r="AD18" i="3"/>
  <c r="T9" i="3"/>
  <c r="AD25" i="3"/>
  <c r="T22" i="3"/>
  <c r="AD23" i="3"/>
  <c r="T27" i="3"/>
  <c r="AD17" i="3"/>
  <c r="T20" i="3"/>
  <c r="T24" i="3"/>
  <c r="Y27" i="3"/>
  <c r="Y20" i="3"/>
  <c r="AE28" i="3"/>
  <c r="T28" i="3"/>
  <c r="AE10" i="3"/>
  <c r="T10" i="3"/>
  <c r="AE14" i="3"/>
  <c r="T14" i="3"/>
  <c r="AE8" i="3"/>
  <c r="T8" i="3"/>
  <c r="AE13" i="3"/>
  <c r="T13" i="3"/>
  <c r="T11" i="3"/>
  <c r="AD28" i="3"/>
  <c r="AE26" i="3"/>
  <c r="T26" i="3"/>
  <c r="AD10" i="3"/>
  <c r="AE29" i="3"/>
  <c r="T29" i="3"/>
  <c r="AD8" i="3"/>
  <c r="AE21" i="3"/>
  <c r="T21" i="3"/>
  <c r="AD13" i="3"/>
  <c r="AE7" i="3"/>
  <c r="T7" i="3"/>
  <c r="AD14" i="3"/>
  <c r="AE19" i="3"/>
  <c r="T19" i="3"/>
  <c r="AE11" i="3"/>
  <c r="AE18" i="3"/>
  <c r="AE25" i="3"/>
  <c r="AE23" i="3"/>
  <c r="AE17" i="3"/>
  <c r="AE16" i="3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R12" i="3"/>
  <c r="M12" i="3"/>
  <c r="S12" i="3"/>
  <c r="U12" i="3"/>
  <c r="T12" i="3" s="1"/>
  <c r="V12" i="3"/>
  <c r="W12" i="3"/>
  <c r="X12" i="3"/>
  <c r="AC12" i="3"/>
  <c r="W228" i="1" l="1"/>
  <c r="W207" i="1"/>
  <c r="W120" i="1"/>
  <c r="W20" i="1"/>
  <c r="W65" i="1"/>
  <c r="W98" i="1"/>
  <c r="W16" i="1"/>
  <c r="U137" i="1"/>
  <c r="S137" i="1" s="1"/>
  <c r="W152" i="1"/>
  <c r="W112" i="1"/>
  <c r="W148" i="1"/>
  <c r="W236" i="1"/>
  <c r="W53" i="1"/>
  <c r="W69" i="1"/>
  <c r="U132" i="1"/>
  <c r="S132" i="1" s="1"/>
  <c r="AI132" i="1"/>
  <c r="W153" i="1"/>
  <c r="U175" i="1"/>
  <c r="S175" i="1"/>
  <c r="W175" i="1"/>
  <c r="W171" i="1"/>
  <c r="AI220" i="1"/>
  <c r="W32" i="1"/>
  <c r="U160" i="1"/>
  <c r="S160" i="1" s="1"/>
  <c r="W132" i="1"/>
  <c r="U172" i="1"/>
  <c r="S172" i="1" s="1"/>
  <c r="W230" i="1"/>
  <c r="W213" i="1"/>
  <c r="AI193" i="1"/>
  <c r="AI197" i="1"/>
  <c r="AI186" i="1"/>
  <c r="U24" i="1"/>
  <c r="S24" i="1" s="1"/>
  <c r="AI24" i="1"/>
  <c r="W222" i="1"/>
  <c r="AI30" i="1"/>
  <c r="U30" i="1"/>
  <c r="S30" i="1" s="1"/>
  <c r="U79" i="1"/>
  <c r="S79" i="1" s="1"/>
  <c r="AI79" i="1"/>
  <c r="AI94" i="1"/>
  <c r="U94" i="1"/>
  <c r="S94" i="1" s="1"/>
  <c r="U159" i="1"/>
  <c r="S159" i="1" s="1"/>
  <c r="AI159" i="1"/>
  <c r="U229" i="1"/>
  <c r="S229" i="1" s="1"/>
  <c r="AI175" i="1"/>
  <c r="AI59" i="1"/>
  <c r="U59" i="1"/>
  <c r="S59" i="1" s="1"/>
  <c r="AI63" i="1"/>
  <c r="U63" i="1"/>
  <c r="S63" i="1" s="1"/>
  <c r="U206" i="1"/>
  <c r="S206" i="1" s="1"/>
  <c r="AI227" i="1"/>
  <c r="AI234" i="1"/>
  <c r="U223" i="1"/>
  <c r="S223" i="1" s="1"/>
  <c r="AI145" i="1"/>
  <c r="U145" i="1"/>
  <c r="S145" i="1" s="1"/>
  <c r="U170" i="1"/>
  <c r="S170" i="1" s="1"/>
  <c r="AI187" i="1"/>
  <c r="W170" i="1"/>
  <c r="U95" i="1"/>
  <c r="S95" i="1" s="1"/>
  <c r="AI95" i="1"/>
  <c r="AI109" i="1"/>
  <c r="U109" i="1"/>
  <c r="S109" i="1" s="1"/>
  <c r="W109" i="1"/>
  <c r="U118" i="1"/>
  <c r="S118" i="1" s="1"/>
  <c r="AI118" i="1"/>
  <c r="AI133" i="1"/>
  <c r="U133" i="1"/>
  <c r="S133" i="1" s="1"/>
  <c r="U210" i="1"/>
  <c r="S210" i="1" s="1"/>
  <c r="W210" i="1"/>
  <c r="AI163" i="1"/>
  <c r="U162" i="1"/>
  <c r="S162" i="1" s="1"/>
  <c r="W162" i="1"/>
  <c r="AI179" i="1"/>
  <c r="U155" i="1"/>
  <c r="S155" i="1" s="1"/>
  <c r="AI155" i="1"/>
  <c r="W234" i="1"/>
  <c r="U234" i="1"/>
  <c r="S234" i="1" s="1"/>
  <c r="AI210" i="1"/>
  <c r="W79" i="1"/>
  <c r="U202" i="1"/>
  <c r="S202" i="1" s="1"/>
  <c r="AI223" i="1"/>
  <c r="AI170" i="1"/>
  <c r="U224" i="1"/>
  <c r="S224" i="1" s="1"/>
  <c r="AI129" i="1"/>
  <c r="U129" i="1"/>
  <c r="S129" i="1" s="1"/>
  <c r="AI158" i="1"/>
  <c r="U158" i="1"/>
  <c r="S158" i="1" s="1"/>
  <c r="AI174" i="1"/>
  <c r="U228" i="1"/>
  <c r="S228" i="1" s="1"/>
  <c r="AI226" i="1"/>
  <c r="U205" i="1"/>
  <c r="S205" i="1" s="1"/>
  <c r="W205" i="1"/>
  <c r="W159" i="1"/>
  <c r="W223" i="1"/>
  <c r="W202" i="1"/>
  <c r="AI182" i="1"/>
  <c r="U165" i="1"/>
  <c r="S165" i="1" s="1"/>
  <c r="AI209" i="1"/>
  <c r="U189" i="1"/>
  <c r="S189" i="1" s="1"/>
  <c r="U27" i="1"/>
  <c r="S27" i="1" s="1"/>
  <c r="AI27" i="1"/>
  <c r="W59" i="1"/>
  <c r="U39" i="1"/>
  <c r="S39" i="1" s="1"/>
  <c r="AI39" i="1"/>
  <c r="AI46" i="1"/>
  <c r="U46" i="1"/>
  <c r="S46" i="1" s="1"/>
  <c r="W39" i="1"/>
  <c r="AI45" i="1"/>
  <c r="U45" i="1"/>
  <c r="S45" i="1" s="1"/>
  <c r="W94" i="1"/>
  <c r="AI106" i="1"/>
  <c r="U106" i="1"/>
  <c r="S106" i="1" s="1"/>
  <c r="W145" i="1"/>
  <c r="AI55" i="1"/>
  <c r="U55" i="1"/>
  <c r="S55" i="1" s="1"/>
  <c r="AI110" i="1"/>
  <c r="U110" i="1"/>
  <c r="S110" i="1" s="1"/>
  <c r="U134" i="1"/>
  <c r="S134" i="1" s="1"/>
  <c r="AI134" i="1"/>
  <c r="AI149" i="1"/>
  <c r="U149" i="1"/>
  <c r="S149" i="1" s="1"/>
  <c r="U214" i="1"/>
  <c r="S214" i="1" s="1"/>
  <c r="AI167" i="1"/>
  <c r="U166" i="1"/>
  <c r="S166" i="1" s="1"/>
  <c r="AI183" i="1"/>
  <c r="U100" i="1"/>
  <c r="S100" i="1" s="1"/>
  <c r="AI100" i="1"/>
  <c r="U177" i="1"/>
  <c r="S177" i="1" s="1"/>
  <c r="AI194" i="1"/>
  <c r="AI75" i="1"/>
  <c r="U75" i="1"/>
  <c r="S75" i="1" s="1"/>
  <c r="W100" i="1"/>
  <c r="AI130" i="1"/>
  <c r="U130" i="1"/>
  <c r="S130" i="1" s="1"/>
  <c r="U174" i="1"/>
  <c r="S174" i="1" s="1"/>
  <c r="AI191" i="1"/>
  <c r="AI205" i="1"/>
  <c r="U185" i="1"/>
  <c r="S185" i="1" s="1"/>
  <c r="AI215" i="1"/>
  <c r="U194" i="1"/>
  <c r="S194" i="1" s="1"/>
  <c r="U198" i="1"/>
  <c r="S198" i="1" s="1"/>
  <c r="AI219" i="1"/>
  <c r="U235" i="1"/>
  <c r="S235" i="1" s="1"/>
  <c r="AI235" i="1"/>
  <c r="W177" i="1"/>
  <c r="AI214" i="1"/>
  <c r="U193" i="1"/>
  <c r="S193" i="1" s="1"/>
  <c r="W198" i="1"/>
  <c r="W206" i="1"/>
  <c r="W235" i="1"/>
  <c r="W194" i="1"/>
  <c r="U23" i="1"/>
  <c r="S23" i="1" s="1"/>
  <c r="AI23" i="1"/>
  <c r="U115" i="1"/>
  <c r="S115" i="1" s="1"/>
  <c r="AI115" i="1"/>
  <c r="U139" i="1"/>
  <c r="S139" i="1" s="1"/>
  <c r="AI139" i="1"/>
  <c r="AI222" i="1"/>
  <c r="U201" i="1"/>
  <c r="S201" i="1" s="1"/>
  <c r="U31" i="1"/>
  <c r="S31" i="1" s="1"/>
  <c r="AI31" i="1"/>
  <c r="W31" i="1"/>
  <c r="U34" i="1"/>
  <c r="S34" i="1" s="1"/>
  <c r="AI34" i="1"/>
  <c r="AI49" i="1"/>
  <c r="U49" i="1"/>
  <c r="S49" i="1" s="1"/>
  <c r="AI26" i="1"/>
  <c r="U26" i="1"/>
  <c r="S26" i="1" s="1"/>
  <c r="W30" i="1"/>
  <c r="AI14" i="1"/>
  <c r="U14" i="1"/>
  <c r="S14" i="1" s="1"/>
  <c r="AI18" i="1"/>
  <c r="U18" i="1"/>
  <c r="S18" i="1" s="1"/>
  <c r="AI22" i="1"/>
  <c r="U22" i="1"/>
  <c r="S22" i="1" s="1"/>
  <c r="W26" i="1"/>
  <c r="U50" i="1"/>
  <c r="S50" i="1" s="1"/>
  <c r="AI50" i="1"/>
  <c r="AI78" i="1"/>
  <c r="U78" i="1"/>
  <c r="S78" i="1" s="1"/>
  <c r="AI67" i="1"/>
  <c r="U67" i="1"/>
  <c r="S67" i="1" s="1"/>
  <c r="AI74" i="1"/>
  <c r="U74" i="1"/>
  <c r="S74" i="1" s="1"/>
  <c r="W78" i="1"/>
  <c r="AI90" i="1"/>
  <c r="U90" i="1"/>
  <c r="S90" i="1" s="1"/>
  <c r="U71" i="1"/>
  <c r="S71" i="1" s="1"/>
  <c r="AI71" i="1"/>
  <c r="U111" i="1"/>
  <c r="S111" i="1" s="1"/>
  <c r="AI111" i="1"/>
  <c r="W111" i="1"/>
  <c r="U150" i="1"/>
  <c r="AI150" i="1"/>
  <c r="U225" i="1"/>
  <c r="S225" i="1" s="1"/>
  <c r="AI171" i="1"/>
  <c r="W225" i="1"/>
  <c r="W27" i="1"/>
  <c r="U84" i="1"/>
  <c r="S84" i="1" s="1"/>
  <c r="AI84" i="1"/>
  <c r="W110" i="1"/>
  <c r="U123" i="1"/>
  <c r="S123" i="1" s="1"/>
  <c r="AI123" i="1"/>
  <c r="AI166" i="1"/>
  <c r="U213" i="1"/>
  <c r="S213" i="1" s="1"/>
  <c r="AI91" i="1"/>
  <c r="U91" i="1"/>
  <c r="S91" i="1" s="1"/>
  <c r="AI146" i="1"/>
  <c r="U146" i="1"/>
  <c r="S146" i="1" s="1"/>
  <c r="W155" i="1"/>
  <c r="AI162" i="1"/>
  <c r="U209" i="1"/>
  <c r="S209" i="1" s="1"/>
  <c r="AI178" i="1"/>
  <c r="U161" i="1"/>
  <c r="S161" i="1" s="1"/>
  <c r="W165" i="1"/>
  <c r="AI206" i="1"/>
  <c r="U186" i="1"/>
  <c r="S186" i="1" s="1"/>
  <c r="AI231" i="1"/>
  <c r="U220" i="1"/>
  <c r="S220" i="1" s="1"/>
  <c r="AI230" i="1"/>
  <c r="U219" i="1"/>
  <c r="S219" i="1" s="1"/>
  <c r="W130" i="1"/>
  <c r="W149" i="1"/>
  <c r="AI201" i="1"/>
  <c r="U181" i="1"/>
  <c r="S181" i="1" s="1"/>
  <c r="W189" i="1"/>
  <c r="AI218" i="1"/>
  <c r="U197" i="1"/>
  <c r="S197" i="1" s="1"/>
  <c r="W229" i="1"/>
  <c r="W214" i="1"/>
  <c r="W174" i="1"/>
  <c r="W166" i="1"/>
  <c r="T13" i="1"/>
  <c r="X13" i="1"/>
  <c r="AE15" i="3"/>
  <c r="AD15" i="3"/>
  <c r="AA13" i="1"/>
  <c r="AG13" i="1"/>
  <c r="Y12" i="3"/>
  <c r="W13" i="1" l="1"/>
  <c r="U13" i="1"/>
  <c r="S13" i="1" s="1"/>
  <c r="AI13" i="1"/>
  <c r="AD12" i="3" l="1"/>
  <c r="AE12" i="3"/>
  <c r="M28" i="5" l="1"/>
  <c r="B33" i="9" l="1"/>
  <c r="B34" i="9"/>
  <c r="B35" i="9"/>
  <c r="B36" i="9"/>
  <c r="B37" i="9"/>
  <c r="B38" i="9"/>
  <c r="C38" i="9" s="1"/>
  <c r="B39" i="9"/>
  <c r="B40" i="9"/>
  <c r="B41" i="9"/>
  <c r="B42" i="9"/>
  <c r="B43" i="9"/>
  <c r="B44" i="9"/>
  <c r="B45" i="9"/>
  <c r="B46" i="9"/>
  <c r="C46" i="9" s="1"/>
  <c r="B47" i="9"/>
  <c r="B48" i="9"/>
  <c r="B49" i="9"/>
  <c r="C45" i="9" l="1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19" i="3" s="1"/>
  <c r="G51" i="4"/>
  <c r="G52" i="4"/>
  <c r="G53" i="4"/>
  <c r="G54" i="4"/>
  <c r="G55" i="4"/>
  <c r="G56" i="4"/>
  <c r="N24" i="3" s="1"/>
  <c r="G57" i="4"/>
  <c r="G58" i="4"/>
  <c r="G59" i="4"/>
  <c r="N16" i="3" s="1"/>
  <c r="G60" i="4"/>
  <c r="N14" i="3" s="1"/>
  <c r="G61" i="4"/>
  <c r="G62" i="4"/>
  <c r="N15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7" i="3" s="1"/>
  <c r="G92" i="4"/>
  <c r="G93" i="4"/>
  <c r="G94" i="4"/>
  <c r="G95" i="4"/>
  <c r="N17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1" i="3" s="1"/>
  <c r="G114" i="4"/>
  <c r="G115" i="4"/>
  <c r="G116" i="4"/>
  <c r="G117" i="4"/>
  <c r="G118" i="4"/>
  <c r="G119" i="4"/>
  <c r="G120" i="4"/>
  <c r="G121" i="4"/>
  <c r="G122" i="4"/>
  <c r="N8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27" i="3" s="1"/>
  <c r="G140" i="4"/>
  <c r="G141" i="4"/>
  <c r="G142" i="4"/>
  <c r="G143" i="4"/>
  <c r="G144" i="4"/>
  <c r="N23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29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22" i="3" s="1"/>
  <c r="G196" i="4"/>
  <c r="G197" i="4"/>
  <c r="G198" i="4"/>
  <c r="G199" i="4"/>
  <c r="G200" i="4"/>
  <c r="G201" i="4"/>
  <c r="G202" i="4"/>
  <c r="G203" i="4"/>
  <c r="G204" i="4"/>
  <c r="G205" i="4"/>
  <c r="G206" i="4"/>
  <c r="N28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9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5" i="3" l="1"/>
  <c r="N26" i="3"/>
  <c r="N18" i="3"/>
  <c r="N11" i="3"/>
  <c r="N12" i="3"/>
  <c r="N10" i="3"/>
  <c r="N13" i="3"/>
  <c r="N20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<sst xmlns="http://schemas.openxmlformats.org/spreadsheetml/2006/main" count="2533" uniqueCount="926">
  <si>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</si>
  <si>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</si>
  <si>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</si>
  <si>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</si>
  <si>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</si>
  <si>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</si>
  <si>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</si>
  <si>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</si>
  <si>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</si>
  <si>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</si>
  <si>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</si>
  <si>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</si>
  <si>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</si>
  <si>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</si>
  <si>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</si>
  <si>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</si>
  <si>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</si>
  <si>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</si>
  <si>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</si>
  <si>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</si>
  <si>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</si>
  <si>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</si>
  <si>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</si>
  <si>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</si>
  <si>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</si>
  <si>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</si>
  <si>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</si>
  <si>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</si>
  <si>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</si>
  <si>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</si>
  <si>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</si>
  <si>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</si>
  <si>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</si>
  <si>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</si>
  <si>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</si>
  <si>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</si>
  <si>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</si>
  <si>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</si>
  <si>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</si>
  <si>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</si>
  <si>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</si>
  <si>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</si>
  <si>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</si>
  <si>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</si>
  <si>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</si>
  <si>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</si>
  <si>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</si>
  <si>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</si>
  <si>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</si>
  <si>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</si>
  <si>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</si>
  <si>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</si>
  <si>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</si>
  <si>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</si>
  <si>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</si>
  <si>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</si>
  <si>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</si>
  <si>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</si>
  <si>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</si>
  <si>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</si>
  <si>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</si>
  <si>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</si>
  <si>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</si>
  <si>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</si>
  <si>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</si>
  <si>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</si>
  <si>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</si>
  <si>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</si>
  <si>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</si>
  <si>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</si>
  <si>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</si>
  <si>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</si>
  <si>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</si>
  <si>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</si>
  <si>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</si>
  <si>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</si>
  <si>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</si>
  <si>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</si>
  <si>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</si>
  <si>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</si>
  <si>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</si>
  <si>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</si>
  <si>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</si>
  <si>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</si>
  <si>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</si>
  <si>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</si>
  <si>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</si>
  <si>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</si>
  <si>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</si>
  <si>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</si>
  <si>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</si>
  <si>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</si>
  <si>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</si>
  <si>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</si>
  <si>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</si>
  <si>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</si>
  <si>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</si>
  <si>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</si>
  <si>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</si>
  <si>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</si>
  <si>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</si>
  <si>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</si>
  <si>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</si>
  <si>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</si>
  <si>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</si>
  <si>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</si>
  <si>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</si>
  <si>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</si>
  <si>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</si>
  <si>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</si>
  <si>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</si>
  <si>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</si>
  <si>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</si>
  <si>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</si>
  <si>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</si>
  <si>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</si>
  <si>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</si>
  <si>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</si>
  <si>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</si>
  <si>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</si>
  <si>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</si>
  <si>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</si>
  <si>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</si>
  <si>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</si>
  <si>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</si>
  <si>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</si>
  <si>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</si>
  <si>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</si>
  <si>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</si>
  <si>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</si>
  <si>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</si>
  <si>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</si>
  <si>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</si>
  <si>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</si>
  <si>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</si>
  <si>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</si>
  <si>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</si>
  <si>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</si>
  <si>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</si>
  <si>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</si>
  <si>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</si>
  <si>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</si>
  <si>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</si>
  <si>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</si>
  <si>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</si>
  <si>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</si>
  <si>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</si>
  <si>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</si>
  <si>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</si>
  <si>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</si>
  <si>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</si>
  <si>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</si>
  <si>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</si>
  <si>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</si>
  <si>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</si>
  <si>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</si>
  <si>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</si>
  <si>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</si>
  <si>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</si>
  <si>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</si>
  <si>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</si>
  <si>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</si>
  <si>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</si>
  <si>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</si>
  <si>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</si>
  <si>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</si>
  <si>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</si>
  <si>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</si>
  <si>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</si>
  <si>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</si>
  <si>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</si>
  <si>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</si>
  <si>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</si>
  <si>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</si>
  <si>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</si>
  <si>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</si>
  <si>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</si>
  <si>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</si>
  <si>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</si>
  <si>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</si>
  <si>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</si>
  <si>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</si>
  <si>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</si>
  <si>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</si>
  <si>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</si>
  <si>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</si>
  <si>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</si>
  <si>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</si>
  <si>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</si>
  <si>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</si>
  <si>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</si>
  <si>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</si>
  <si>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</si>
  <si>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</si>
  <si>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</si>
  <si>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</si>
  <si>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</si>
  <si>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</si>
  <si>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</si>
  <si>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</si>
  <si>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</si>
  <si>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</si>
  <si>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</si>
  <si>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</si>
  <si>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</si>
  <si>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</si>
  <si>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</si>
  <si>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</si>
  <si>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</si>
  <si>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</si>
  <si>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</si>
  <si>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</si>
  <si>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</si>
  <si>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</si>
  <si>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</si>
  <si>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</si>
  <si>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</si>
  <si>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</si>
  <si>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</si>
  <si>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</si>
  <si>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</si>
  <si>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</si>
  <si>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</si>
  <si>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</si>
  <si>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</si>
  <si>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</si>
  <si>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</si>
  <si>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</si>
  <si>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</si>
  <si>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</si>
  <si>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</si>
  <si>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</si>
  <si>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</si>
  <si>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</si>
  <si>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</si>
  <si>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</si>
  <si>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</si>
  <si>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</si>
  <si>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</si>
  <si>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</si>
  <si>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</si>
  <si>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</si>
  <si>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</si>
  <si>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</si>
  <si>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</si>
  <si>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</si>
  <si>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</si>
  <si>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</si>
  <si>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</si>
  <si>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rtdc.l.rtdc.4039:itc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</si>
  <si>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</si>
  <si>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</si>
  <si>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</si>
  <si>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</si>
  <si>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</si>
  <si>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</si>
  <si>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</si>
  <si>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</si>
  <si>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</si>
  <si>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</si>
  <si>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</si>
  <si>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</si>
  <si>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</si>
  <si>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</si>
  <si>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</si>
  <si>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</si>
  <si>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</si>
  <si>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</si>
  <si>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</si>
  <si>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</si>
  <si>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</si>
  <si>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rtdc.l.rtdc.4044:itc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</si>
  <si>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</si>
  <si>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</si>
  <si>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</si>
  <si>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</si>
  <si>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</si>
  <si>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</si>
  <si>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</si>
  <si>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</si>
  <si>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</si>
  <si>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</si>
  <si>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</si>
  <si>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</si>
  <si>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</si>
  <si>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</si>
  <si>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</si>
  <si>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</si>
  <si>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</si>
  <si>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</si>
  <si>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</si>
  <si>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</si>
  <si>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</si>
  <si>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</si>
  <si>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</si>
  <si>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rtdc.l.rtdc.4002:itc</t>
  </si>
  <si>
    <t>204:233307</t>
  </si>
  <si>
    <t>204:156</t>
  </si>
  <si>
    <t>204:232989</t>
  </si>
  <si>
    <t>204:446</t>
  </si>
  <si>
    <t>204:455</t>
  </si>
  <si>
    <t>300:58939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</si>
  <si>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</si>
  <si>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</si>
  <si>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</si>
  <si>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</si>
  <si>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</si>
  <si>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</si>
  <si>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</si>
  <si>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</si>
  <si>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</si>
  <si>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</si>
  <si>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</si>
  <si>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</si>
  <si>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</si>
  <si>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</si>
  <si>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</si>
  <si>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204:232969</t>
  </si>
  <si>
    <t>MAELZER</t>
  </si>
  <si>
    <t>KURT</t>
  </si>
  <si>
    <t>OUN</t>
  </si>
  <si>
    <t>ZACK</t>
  </si>
  <si>
    <t>DAVIS</t>
  </si>
  <si>
    <t>204:232984</t>
  </si>
  <si>
    <t>204:139</t>
  </si>
  <si>
    <t>204:233017</t>
  </si>
  <si>
    <t>204:232998</t>
  </si>
  <si>
    <t>204:232979</t>
  </si>
  <si>
    <t>204:170</t>
  </si>
  <si>
    <t>CRAYTON</t>
  </si>
  <si>
    <t>QUNTRELL</t>
  </si>
  <si>
    <t>204:233323</t>
  </si>
  <si>
    <t>204:232992</t>
  </si>
  <si>
    <t>204:437</t>
  </si>
  <si>
    <t>204:233278</t>
  </si>
  <si>
    <t>204:233304</t>
  </si>
  <si>
    <t>204:232976</t>
  </si>
  <si>
    <t>Early arrival</t>
  </si>
  <si>
    <t>rtdc.l.rtdc.4016:itc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</si>
  <si>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</si>
  <si>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</si>
  <si>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</si>
  <si>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</si>
  <si>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</si>
  <si>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</si>
  <si>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</si>
  <si>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</si>
  <si>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</si>
  <si>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</si>
  <si>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LALONDE</t>
  </si>
  <si>
    <t>GREGORY</t>
  </si>
  <si>
    <t>Mostly Cloudy</t>
  </si>
  <si>
    <t>204:447</t>
  </si>
  <si>
    <t>204:233340</t>
  </si>
  <si>
    <t>204:232993</t>
  </si>
  <si>
    <t>204:233317</t>
  </si>
  <si>
    <t>204:233291</t>
  </si>
  <si>
    <t>204:473</t>
  </si>
  <si>
    <t>204:232973</t>
  </si>
  <si>
    <t>300:58628</t>
  </si>
  <si>
    <t>rtdc.l.rtdc.4010:itc</t>
  </si>
  <si>
    <t>rtdc.l.rtdc.4008:itc</t>
  </si>
  <si>
    <t>rtdc.l.rtdc.4009:itc</t>
  </si>
  <si>
    <t>STRICKLAND</t>
  </si>
  <si>
    <t>EVAN</t>
  </si>
  <si>
    <t>LOZA</t>
  </si>
  <si>
    <t>FIDEL</t>
  </si>
  <si>
    <t>SNYDER</t>
  </si>
  <si>
    <t>PETER</t>
  </si>
  <si>
    <t>BRANNON</t>
  </si>
  <si>
    <t>JEFFREY</t>
  </si>
  <si>
    <t>LEVIN</t>
  </si>
  <si>
    <t>SCOTT</t>
  </si>
  <si>
    <t>242-31</t>
  </si>
  <si>
    <t>311-31</t>
  </si>
  <si>
    <t>244-31</t>
  </si>
  <si>
    <t>313-31</t>
  </si>
  <si>
    <t>315-31</t>
  </si>
  <si>
    <t>204:232977</t>
  </si>
  <si>
    <t>204:233000</t>
  </si>
  <si>
    <t>204:138</t>
  </si>
  <si>
    <t>204:233286</t>
  </si>
  <si>
    <t>204:232986</t>
  </si>
  <si>
    <t>204:233295</t>
  </si>
  <si>
    <t>204:232981</t>
  </si>
  <si>
    <t>204:427</t>
  </si>
  <si>
    <t>204:167</t>
  </si>
  <si>
    <t>204:233338</t>
  </si>
  <si>
    <t>204:233309</t>
  </si>
  <si>
    <t>204:429</t>
  </si>
  <si>
    <t>204:233319</t>
  </si>
  <si>
    <t>204:233303</t>
  </si>
  <si>
    <t>204:183</t>
  </si>
  <si>
    <t>204:480</t>
  </si>
  <si>
    <t>204:178</t>
  </si>
  <si>
    <t>204:233096</t>
  </si>
  <si>
    <t>204:233272</t>
  </si>
  <si>
    <t>204:233281</t>
  </si>
  <si>
    <t>204:233306</t>
  </si>
  <si>
    <t>204:232985</t>
  </si>
  <si>
    <t>204:232953</t>
  </si>
  <si>
    <t>204:233274</t>
  </si>
  <si>
    <t>204:493</t>
  </si>
  <si>
    <t>204:174</t>
  </si>
  <si>
    <t>204:233361</t>
  </si>
  <si>
    <t>204:233053</t>
  </si>
  <si>
    <t>204:232966</t>
  </si>
  <si>
    <t>300:23346</t>
  </si>
  <si>
    <t>204:537</t>
  </si>
  <si>
    <t>204:1539</t>
  </si>
  <si>
    <t>204:1044</t>
  </si>
  <si>
    <t>300:58649</t>
  </si>
  <si>
    <t>204:1021</t>
  </si>
  <si>
    <t>204:722</t>
  </si>
  <si>
    <t>300:58647</t>
  </si>
  <si>
    <t>204:741</t>
  </si>
  <si>
    <t>300:58950</t>
  </si>
  <si>
    <t>300:58632</t>
  </si>
  <si>
    <t>300:58662</t>
  </si>
  <si>
    <t>300:58946</t>
  </si>
  <si>
    <t>300:58944</t>
  </si>
  <si>
    <t>300:58624</t>
  </si>
  <si>
    <t>300:58634</t>
  </si>
  <si>
    <t>300:58643</t>
  </si>
  <si>
    <t>300:58975</t>
  </si>
  <si>
    <t>204:663</t>
  </si>
  <si>
    <t>204:671</t>
  </si>
  <si>
    <t>204:661</t>
  </si>
  <si>
    <t>Banner w/o braking</t>
  </si>
  <si>
    <t>102-01</t>
  </si>
  <si>
    <t>126-01</t>
  </si>
  <si>
    <t>122-01</t>
  </si>
  <si>
    <t>128-01</t>
  </si>
  <si>
    <t>809-01</t>
  </si>
  <si>
    <t>130-01</t>
  </si>
  <si>
    <t>157-01</t>
  </si>
  <si>
    <t>150-01</t>
  </si>
  <si>
    <t>156-01</t>
  </si>
  <si>
    <t>175-01</t>
  </si>
  <si>
    <t>183-01</t>
  </si>
  <si>
    <t>904-01</t>
  </si>
  <si>
    <t>827-01</t>
  </si>
  <si>
    <t>74-01</t>
  </si>
  <si>
    <t>214-01</t>
  </si>
  <si>
    <t>223-01</t>
  </si>
  <si>
    <t>847-01</t>
  </si>
  <si>
    <t>rtdc.l.rtdc.4055:itc</t>
  </si>
  <si>
    <t>82-01</t>
  </si>
  <si>
    <t>234-01</t>
  </si>
  <si>
    <t>240-01</t>
  </si>
  <si>
    <t>302-01</t>
  </si>
  <si>
    <t>PERKINS</t>
  </si>
  <si>
    <t>DARREN</t>
  </si>
  <si>
    <t>101-01</t>
  </si>
  <si>
    <t>304-01</t>
  </si>
  <si>
    <t>103-01</t>
  </si>
  <si>
    <t>306-01</t>
  </si>
  <si>
    <t>GEBRETEKLE</t>
  </si>
  <si>
    <t>DAGNEW</t>
  </si>
  <si>
    <t>308-01</t>
  </si>
  <si>
    <t>105-01</t>
  </si>
  <si>
    <t>107-01</t>
  </si>
  <si>
    <t>310-01</t>
  </si>
  <si>
    <t>104-01</t>
  </si>
  <si>
    <t>109-01</t>
  </si>
  <si>
    <t>901-01</t>
  </si>
  <si>
    <t>YORK</t>
  </si>
  <si>
    <t>EDGAR</t>
  </si>
  <si>
    <t>111-01</t>
  </si>
  <si>
    <t>113-01</t>
  </si>
  <si>
    <t>106-01</t>
  </si>
  <si>
    <t>800-01</t>
  </si>
  <si>
    <t>108-01</t>
  </si>
  <si>
    <t>117-01</t>
  </si>
  <si>
    <t>115-01</t>
  </si>
  <si>
    <t>801-01</t>
  </si>
  <si>
    <t>110-01</t>
  </si>
  <si>
    <t>119-01</t>
  </si>
  <si>
    <t>112-01</t>
  </si>
  <si>
    <t>902-01</t>
  </si>
  <si>
    <t>114-01</t>
  </si>
  <si>
    <t>802-01</t>
  </si>
  <si>
    <t>121-01</t>
  </si>
  <si>
    <t>116-01</t>
  </si>
  <si>
    <t>803-01</t>
  </si>
  <si>
    <t>123-01</t>
  </si>
  <si>
    <t>805-01</t>
  </si>
  <si>
    <t>118-01</t>
  </si>
  <si>
    <t>804-01</t>
  </si>
  <si>
    <t>125-01</t>
  </si>
  <si>
    <t>120-01</t>
  </si>
  <si>
    <t>127-01</t>
  </si>
  <si>
    <t>806-01</t>
  </si>
  <si>
    <t>129-01</t>
  </si>
  <si>
    <t>807-01</t>
  </si>
  <si>
    <t>124-01</t>
  </si>
  <si>
    <t>131-01</t>
  </si>
  <si>
    <t>808-01</t>
  </si>
  <si>
    <t>133-01</t>
  </si>
  <si>
    <t>135-01</t>
  </si>
  <si>
    <t>137-01</t>
  </si>
  <si>
    <t>810-01</t>
  </si>
  <si>
    <t>811-01</t>
  </si>
  <si>
    <t>132-01</t>
  </si>
  <si>
    <t>139-01</t>
  </si>
  <si>
    <t>903-01</t>
  </si>
  <si>
    <t>134-01</t>
  </si>
  <si>
    <t>812-01</t>
  </si>
  <si>
    <t>141-01</t>
  </si>
  <si>
    <t>136-01</t>
  </si>
  <si>
    <t>143-01</t>
  </si>
  <si>
    <t>BADERTSCHER</t>
  </si>
  <si>
    <t>DIANE</t>
  </si>
  <si>
    <t>138-01</t>
  </si>
  <si>
    <t>145-01</t>
  </si>
  <si>
    <t>813-01</t>
  </si>
  <si>
    <t>147-01</t>
  </si>
  <si>
    <t>140-01</t>
  </si>
  <si>
    <t>814-01</t>
  </si>
  <si>
    <t>149-01</t>
  </si>
  <si>
    <t>142-01</t>
  </si>
  <si>
    <t>144-01</t>
  </si>
  <si>
    <t>151-01</t>
  </si>
  <si>
    <t>146-01</t>
  </si>
  <si>
    <t>153-01</t>
  </si>
  <si>
    <t>815-01</t>
  </si>
  <si>
    <t>148-01</t>
  </si>
  <si>
    <t>155-01</t>
  </si>
  <si>
    <t>816-01</t>
  </si>
  <si>
    <t>152-01</t>
  </si>
  <si>
    <t>159-01</t>
  </si>
  <si>
    <t>154-01</t>
  </si>
  <si>
    <t>161-01</t>
  </si>
  <si>
    <t>817-01</t>
  </si>
  <si>
    <t>163-01</t>
  </si>
  <si>
    <t>818-01</t>
  </si>
  <si>
    <t>158-01</t>
  </si>
  <si>
    <t>165-01</t>
  </si>
  <si>
    <t>HELVIE</t>
  </si>
  <si>
    <t>ADAM</t>
  </si>
  <si>
    <t>160-01</t>
  </si>
  <si>
    <t>167-01</t>
  </si>
  <si>
    <t>162-01</t>
  </si>
  <si>
    <t>819-01</t>
  </si>
  <si>
    <t>169-01</t>
  </si>
  <si>
    <t>164-01</t>
  </si>
  <si>
    <t>166-01</t>
  </si>
  <si>
    <t>820-01</t>
  </si>
  <si>
    <t>171-01</t>
  </si>
  <si>
    <t>168-01</t>
  </si>
  <si>
    <t>173-01</t>
  </si>
  <si>
    <t>821-01</t>
  </si>
  <si>
    <t>BRUDER</t>
  </si>
  <si>
    <t>RICHARD</t>
  </si>
  <si>
    <t>170-01</t>
  </si>
  <si>
    <t>177-01</t>
  </si>
  <si>
    <t>172-01</t>
  </si>
  <si>
    <t>179-01</t>
  </si>
  <si>
    <t>822-01</t>
  </si>
  <si>
    <t>174-01</t>
  </si>
  <si>
    <t>181-01</t>
  </si>
  <si>
    <t>176-01</t>
  </si>
  <si>
    <t>185-01</t>
  </si>
  <si>
    <t>178-01</t>
  </si>
  <si>
    <t>823-01</t>
  </si>
  <si>
    <t>180-01</t>
  </si>
  <si>
    <t>187-01</t>
  </si>
  <si>
    <t>182-01</t>
  </si>
  <si>
    <t>824-01</t>
  </si>
  <si>
    <t>189-01</t>
  </si>
  <si>
    <t>191-01</t>
  </si>
  <si>
    <t>184-01</t>
  </si>
  <si>
    <t>186-01</t>
  </si>
  <si>
    <t>193-01</t>
  </si>
  <si>
    <t>825-01</t>
  </si>
  <si>
    <t>188-01</t>
  </si>
  <si>
    <t>195-01</t>
  </si>
  <si>
    <t>190-01</t>
  </si>
  <si>
    <t>197-01</t>
  </si>
  <si>
    <t>826-01</t>
  </si>
  <si>
    <t>192-01</t>
  </si>
  <si>
    <t>199-01</t>
  </si>
  <si>
    <t>194-01</t>
  </si>
  <si>
    <t>201-01</t>
  </si>
  <si>
    <t>828-01</t>
  </si>
  <si>
    <t>829-01</t>
  </si>
  <si>
    <t>196-01</t>
  </si>
  <si>
    <t>203-01</t>
  </si>
  <si>
    <t>831-01</t>
  </si>
  <si>
    <t>198-01</t>
  </si>
  <si>
    <t>830-01</t>
  </si>
  <si>
    <t>200-01</t>
  </si>
  <si>
    <t>205-01</t>
  </si>
  <si>
    <t>207-01</t>
  </si>
  <si>
    <t>202-01</t>
  </si>
  <si>
    <t>832-01</t>
  </si>
  <si>
    <t>209-01</t>
  </si>
  <si>
    <t>DELGADO</t>
  </si>
  <si>
    <t>DIANAH</t>
  </si>
  <si>
    <t>833-01</t>
  </si>
  <si>
    <t>204-01</t>
  </si>
  <si>
    <t>211-01</t>
  </si>
  <si>
    <t>206-01</t>
  </si>
  <si>
    <t>65-01</t>
  </si>
  <si>
    <t>835-01</t>
  </si>
  <si>
    <t>LOPES</t>
  </si>
  <si>
    <t>KIMBERLY</t>
  </si>
  <si>
    <t>834-01</t>
  </si>
  <si>
    <t>70-01</t>
  </si>
  <si>
    <t>213-01</t>
  </si>
  <si>
    <t>208-01</t>
  </si>
  <si>
    <t>215-01</t>
  </si>
  <si>
    <t>72-01</t>
  </si>
  <si>
    <t>210-01</t>
  </si>
  <si>
    <t>836-01</t>
  </si>
  <si>
    <t>217-01</t>
  </si>
  <si>
    <t>837-01</t>
  </si>
  <si>
    <t>71-01</t>
  </si>
  <si>
    <t>212-01</t>
  </si>
  <si>
    <t>219-01</t>
  </si>
  <si>
    <t>839-01</t>
  </si>
  <si>
    <t>73-01</t>
  </si>
  <si>
    <t>303-01</t>
  </si>
  <si>
    <t>838-01</t>
  </si>
  <si>
    <t>216-01</t>
  </si>
  <si>
    <t>221-01</t>
  </si>
  <si>
    <t>218-01</t>
  </si>
  <si>
    <t>906-01</t>
  </si>
  <si>
    <t>305-01</t>
  </si>
  <si>
    <t>841-01</t>
  </si>
  <si>
    <t>220-01</t>
  </si>
  <si>
    <t>WHITED</t>
  </si>
  <si>
    <t>307-01</t>
  </si>
  <si>
    <t>840-01</t>
  </si>
  <si>
    <t>222-01</t>
  </si>
  <si>
    <t>225-01</t>
  </si>
  <si>
    <t>843-01</t>
  </si>
  <si>
    <t>227-01</t>
  </si>
  <si>
    <t>224-01</t>
  </si>
  <si>
    <t>842-01</t>
  </si>
  <si>
    <t>229-01</t>
  </si>
  <si>
    <t>226-01</t>
  </si>
  <si>
    <t>rtdc.l.rtdc.4057:itc</t>
  </si>
  <si>
    <t>845-01</t>
  </si>
  <si>
    <t>228-01</t>
  </si>
  <si>
    <t>231-01</t>
  </si>
  <si>
    <t>844-01</t>
  </si>
  <si>
    <t>230-01</t>
  </si>
  <si>
    <t>83-01</t>
  </si>
  <si>
    <t>233-01</t>
  </si>
  <si>
    <t>232-01</t>
  </si>
  <si>
    <t>235-01</t>
  </si>
  <si>
    <t>908-01</t>
  </si>
  <si>
    <t>237-01</t>
  </si>
  <si>
    <t>236-01</t>
  </si>
  <si>
    <t>239-01</t>
  </si>
  <si>
    <t>241-01</t>
  </si>
  <si>
    <t>SOUTH57-01</t>
  </si>
  <si>
    <t>238-01</t>
  </si>
  <si>
    <t>243-01</t>
  </si>
  <si>
    <t>242-01</t>
  </si>
  <si>
    <t>309-01</t>
  </si>
  <si>
    <t>244-01</t>
  </si>
  <si>
    <t>NORTH55-01</t>
  </si>
  <si>
    <t>311-01</t>
  </si>
  <si>
    <t>313-01</t>
  </si>
  <si>
    <t>315-01</t>
  </si>
  <si>
    <t>precipAccumulation</t>
  </si>
  <si>
    <t>precipType</t>
  </si>
  <si>
    <t>snow</t>
  </si>
  <si>
    <t>cloudy</t>
  </si>
  <si>
    <t>Overcast</t>
  </si>
  <si>
    <t>Flurries</t>
  </si>
  <si>
    <t>204:710</t>
  </si>
  <si>
    <t>204:232692</t>
  </si>
  <si>
    <t>204:754</t>
  </si>
  <si>
    <t>204:233342</t>
  </si>
  <si>
    <t>204:232698</t>
  </si>
  <si>
    <t>204:129</t>
  </si>
  <si>
    <t>204:750</t>
  </si>
  <si>
    <t>204:232677</t>
  </si>
  <si>
    <t>204:232963</t>
  </si>
  <si>
    <t>204:161</t>
  </si>
  <si>
    <t>204:233349</t>
  </si>
  <si>
    <t>204:233021</t>
  </si>
  <si>
    <t>204:127</t>
  </si>
  <si>
    <t>204:735</t>
  </si>
  <si>
    <t>204:232978</t>
  </si>
  <si>
    <t>204:433</t>
  </si>
  <si>
    <t>204:755</t>
  </si>
  <si>
    <t>204:233302</t>
  </si>
  <si>
    <t>204:232991</t>
  </si>
  <si>
    <t>204:772</t>
  </si>
  <si>
    <t>204:233328</t>
  </si>
  <si>
    <t>204:233015</t>
  </si>
  <si>
    <t>204:233327</t>
  </si>
  <si>
    <t>204:233036</t>
  </si>
  <si>
    <t>204:233343</t>
  </si>
  <si>
    <t>204:440</t>
  </si>
  <si>
    <t>204:233318</t>
  </si>
  <si>
    <t>204:232988</t>
  </si>
  <si>
    <t>204:233347</t>
  </si>
  <si>
    <t>204:233028</t>
  </si>
  <si>
    <t>204:438</t>
  </si>
  <si>
    <t>204:232983</t>
  </si>
  <si>
    <t>204:233293</t>
  </si>
  <si>
    <t>204:442</t>
  </si>
  <si>
    <t>204:233391</t>
  </si>
  <si>
    <t>204:233005</t>
  </si>
  <si>
    <t>204:233321</t>
  </si>
  <si>
    <t>204:232980</t>
  </si>
  <si>
    <t>204:61508</t>
  </si>
  <si>
    <t>204:233287</t>
  </si>
  <si>
    <t>204:118</t>
  </si>
  <si>
    <t>204:232967</t>
  </si>
  <si>
    <t>204:498</t>
  </si>
  <si>
    <t>204:181</t>
  </si>
  <si>
    <t>204:233370</t>
  </si>
  <si>
    <t>204:233047</t>
  </si>
  <si>
    <t>204:27440</t>
  </si>
  <si>
    <t>204:444</t>
  </si>
  <si>
    <t>204:232959</t>
  </si>
  <si>
    <t>204:233270</t>
  </si>
  <si>
    <t>204:509</t>
  </si>
  <si>
    <t>204:233004</t>
  </si>
  <si>
    <t>204:233360</t>
  </si>
  <si>
    <t>204:232975</t>
  </si>
  <si>
    <t>204:185</t>
  </si>
  <si>
    <t>204:475</t>
  </si>
  <si>
    <t>204:233284</t>
  </si>
  <si>
    <t>204:232096</t>
  </si>
  <si>
    <t>204:233045</t>
  </si>
  <si>
    <t>204:233322</t>
  </si>
  <si>
    <t>204:484</t>
  </si>
  <si>
    <t>204:233289</t>
  </si>
  <si>
    <t>204:232968</t>
  </si>
  <si>
    <t>204:232948</t>
  </si>
  <si>
    <t>204:477</t>
  </si>
  <si>
    <t>204:232996</t>
  </si>
  <si>
    <t>204:233316</t>
  </si>
  <si>
    <t>204:127869</t>
  </si>
  <si>
    <t>204:132</t>
  </si>
  <si>
    <t>204:233027</t>
  </si>
  <si>
    <t>204:233288</t>
  </si>
  <si>
    <t>204:1150</t>
  </si>
  <si>
    <t>204:127866</t>
  </si>
  <si>
    <t>204:881</t>
  </si>
  <si>
    <t>204:193216</t>
  </si>
  <si>
    <t>204:167187</t>
  </si>
  <si>
    <t>204:127867</t>
  </si>
  <si>
    <t>204:193003</t>
  </si>
  <si>
    <t>204:154415</t>
  </si>
  <si>
    <t>204:154432</t>
  </si>
  <si>
    <t>204:205</t>
  </si>
  <si>
    <t>300:23302</t>
  </si>
  <si>
    <t>300:19658</t>
  </si>
  <si>
    <t>204:500</t>
  </si>
  <si>
    <t>300:23081</t>
  </si>
  <si>
    <t>300:23343</t>
  </si>
  <si>
    <t>300:22181</t>
  </si>
  <si>
    <t>300:23192</t>
  </si>
  <si>
    <t>204:1010</t>
  </si>
  <si>
    <t>204:1469</t>
  </si>
  <si>
    <t>300:24237</t>
  </si>
  <si>
    <t>300:21822</t>
  </si>
  <si>
    <t>204:166</t>
  </si>
  <si>
    <t>204:748</t>
  </si>
  <si>
    <t>300:21909</t>
  </si>
  <si>
    <t>204:479</t>
  </si>
  <si>
    <t>300:22860</t>
  </si>
  <si>
    <t>300:14216</t>
  </si>
  <si>
    <t>204:956</t>
  </si>
  <si>
    <t>300:22480</t>
  </si>
  <si>
    <t>300:19726</t>
  </si>
  <si>
    <t>300:58615</t>
  </si>
  <si>
    <t>204:731</t>
  </si>
  <si>
    <t>300:58924</t>
  </si>
  <si>
    <t>204:736</t>
  </si>
  <si>
    <t>204:957</t>
  </si>
  <si>
    <t>300:58976</t>
  </si>
  <si>
    <t>204:678</t>
  </si>
  <si>
    <t>204:1032</t>
  </si>
  <si>
    <t>300:58933</t>
  </si>
  <si>
    <t>300:58621</t>
  </si>
  <si>
    <t>204:955</t>
  </si>
  <si>
    <t>300:58961</t>
  </si>
  <si>
    <t>204:687</t>
  </si>
  <si>
    <t>204:1023</t>
  </si>
  <si>
    <t>300:58935</t>
  </si>
  <si>
    <t>204:817</t>
  </si>
  <si>
    <t>204:967</t>
  </si>
  <si>
    <t>300:58954</t>
  </si>
  <si>
    <t>204:675</t>
  </si>
  <si>
    <t>204:960</t>
  </si>
  <si>
    <t>300:58948</t>
  </si>
  <si>
    <t>204:971</t>
  </si>
  <si>
    <t>204:673</t>
  </si>
  <si>
    <t>300:58963</t>
  </si>
  <si>
    <t>300:58653</t>
  </si>
  <si>
    <t>204:682</t>
  </si>
  <si>
    <t>204:979</t>
  </si>
  <si>
    <t>204:1545</t>
  </si>
  <si>
    <t>204:172364</t>
  </si>
  <si>
    <t>204:233232</t>
  </si>
  <si>
    <t>300:22773</t>
  </si>
  <si>
    <t>204:965</t>
  </si>
  <si>
    <t>204:668</t>
  </si>
  <si>
    <t>204:969</t>
  </si>
  <si>
    <t>300:58931</t>
  </si>
  <si>
    <t>300:58611</t>
  </si>
  <si>
    <t>204:652</t>
  </si>
  <si>
    <t>204:1049</t>
  </si>
  <si>
    <t>300:58655</t>
  </si>
  <si>
    <t>204:976</t>
  </si>
  <si>
    <t>204:232581</t>
  </si>
  <si>
    <t>204:898</t>
  </si>
  <si>
    <t>204:706</t>
  </si>
  <si>
    <t>204:745</t>
  </si>
  <si>
    <t>300:58619</t>
  </si>
  <si>
    <t>300:58623</t>
  </si>
  <si>
    <t>204:729</t>
  </si>
  <si>
    <t>204:978</t>
  </si>
  <si>
    <t>300:58937</t>
  </si>
  <si>
    <t>204:645</t>
  </si>
  <si>
    <t>204:1016</t>
  </si>
  <si>
    <t>204:691</t>
  </si>
  <si>
    <t>204:958</t>
  </si>
  <si>
    <t>300:58609</t>
  </si>
  <si>
    <t>204:692</t>
  </si>
  <si>
    <t>300:58630</t>
  </si>
  <si>
    <t>204:685</t>
  </si>
  <si>
    <t>204:993</t>
  </si>
  <si>
    <t>300:29980</t>
  </si>
  <si>
    <t>300:23338</t>
  </si>
  <si>
    <t>204:1116</t>
  </si>
  <si>
    <t>300:24233</t>
  </si>
  <si>
    <t>300:21373</t>
  </si>
  <si>
    <t>300:23553</t>
  </si>
  <si>
    <t>300:23205</t>
  </si>
  <si>
    <t>300:21488</t>
  </si>
  <si>
    <t>300:58638</t>
  </si>
  <si>
    <t>300:21492</t>
  </si>
  <si>
    <t>204:732</t>
  </si>
  <si>
    <t>204:5534</t>
  </si>
  <si>
    <t>204:232669</t>
  </si>
  <si>
    <t>start /low /b %USERPROFILE%\Documents\GitHub\eaglep3\Utilities\DownloadLogsFromS3.py --loco 4052 --day 2017-02-01</t>
  </si>
  <si>
    <t>start /low /b %USERPROFILE%\Documents\GitHub\eaglep3\Utilities\DownloadLogsFromS3.py --loco 4038 --day 2017-02-01</t>
  </si>
  <si>
    <t>start /low /b %USERPROFILE%\Documents\GitHub\eaglep3\Utilities\DownloadLogsFromS3.py --loco 4030 --day 2017-02-01</t>
  </si>
  <si>
    <t>start /low /b %USERPROFILE%\Documents\GitHub\eaglep3\Utilities\DownloadLogsFromS3.py --loco 4039 --day 2017-02-02</t>
  </si>
  <si>
    <t>start /low /b %USERPROFILE%\Documents\GitHub\eaglep3\Utilities\DownloadLogsFromS3.py --loco 4029 --day 2017-02-01</t>
  </si>
  <si>
    <t>start /low /b %USERPROFILE%\Documents\GitHub\eaglep3\Utilities\DownloadLogsFromS3.py --loco 4030 --day 2017-02-02</t>
  </si>
  <si>
    <t>start /low /b %USERPROFILE%\Documents\GitHub\eaglep3\Utilities\DownloadLogsFromS3.py --loco 4042 --day 2017-02-02</t>
  </si>
  <si>
    <t>start /low /b %USERPROFILE%\Documents\GitHub\eaglep3\Utilities\DownloadLogsFromS3.py --loco 4016 --day 2017-02-01</t>
  </si>
  <si>
    <t>start /low /b %USERPROFILE%\Documents\GitHub\eaglep3\Utilities\DownloadLogsFromS3.py --loco 4041 --day 2017-02-02</t>
  </si>
  <si>
    <t>start /low /b %USERPROFILE%\Documents\GitHub\eaglep3\Utilities\DownloadLogsFromS3.py --loco 4037 --day 2017-02-02</t>
  </si>
  <si>
    <t>start /low /b %USERPROFILE%\Documents\GitHub\eaglep3\Utilities\DownloadLogsFromS3.py --loco 4015 --day 2017-02-01</t>
  </si>
  <si>
    <t>start /low /b %USERPROFILE%\Documents\GitHub\eaglep3\Utilities\DownloadLogsFromS3.py --loco 4045 --day 2017-02-01</t>
  </si>
  <si>
    <t>start /low /b %USERPROFILE%\Documents\GitHub\eaglep3\Utilities\DownloadLogsFromS3.py --loco 4037 --day 2017-02-01</t>
  </si>
  <si>
    <t>start /low /b %USERPROFILE%\Documents\GitHub\eaglep3\Utilities\DownloadLogsFromS3.py --loco 4042 --day 2017-02-01</t>
  </si>
  <si>
    <t>start /low /b %USERPROFILE%\Documents\GitHub\eaglep3\Utilities\DownloadLogsFromS3.py --loco 4038 --day 2017-02-02</t>
  </si>
  <si>
    <t>start /low /b %USERPROFILE%\Documents\GitHub\eaglep3\Utilities\DownloadLogsFromS3.py --loco 4025 --day 2017-02-01</t>
  </si>
  <si>
    <t>start /low /b %USERPROFILE%\Documents\GitHub\eaglep3\Utilities\DownloadLogsFromS3.py --loco 4044 --day 2017-02-02</t>
  </si>
  <si>
    <t>Onboard in-route failure</t>
  </si>
  <si>
    <t>Poor GPS at DUS, then Onboard in-route failure</t>
  </si>
  <si>
    <t>Pena 4S stuck at STOP</t>
  </si>
  <si>
    <t>At 23:31:36, Pena 4S received a clear control, but did not clear. Do logs show anything unusual at this time?</t>
  </si>
  <si>
    <t>Form C</t>
  </si>
  <si>
    <t>61st 2N stuck at STOP</t>
  </si>
  <si>
    <t>40th 4S STOP</t>
  </si>
  <si>
    <t>EC1981RH 204-2T 2S STOP</t>
  </si>
  <si>
    <t>Hard cap flip observed, no PTC enforcement</t>
  </si>
  <si>
    <t>Selected MAIN 1, train was on MAIN 2</t>
  </si>
  <si>
    <t>SYS :2017/02/01 11:21:53.719:ENFORCEMENT:Predictive Enforcement Action:  Target Number: 00001002  Target Speed:   0.0  Current Speed:   3.5</t>
  </si>
  <si>
    <t>SYS :2017/02/01 11:21:53.918:ENFORCEMENT:Predictive Enforcement Action:  Target Number: 00001002  Target Speed:   0.0  Current Speed:   3.5</t>
  </si>
  <si>
    <t>SYS :2017/02/01 11:28:40.722:ENFORCEMENT:Predictive Enforcement Action:  Target Number: 000170D6  Target Speed:   0.0  Current Speed:  40.8</t>
  </si>
  <si>
    <t>SYS :2017/02/01 11:28:41.737:ENFORCEMENT:Predictive Enforcement Action:  Target Number: 000170A7  Target Speed:   0.0  Current Speed:  40.9</t>
  </si>
  <si>
    <t>SYS :2017/02/01 11:28:41.835:ENFORCEMENT:Predictive Enforcement Action:  Target Number: 000170D6  Target Speed:   0.0  Current Speed:  41.0</t>
  </si>
  <si>
    <t>SYS :2017/02/01 14:43:14.868:ENFORCEMENT:Reactive Enforcement Action:  Target Number: 00010036  Target Speed:  35.0  Current Speed:  40.2</t>
  </si>
  <si>
    <t>SYS :2017/02/01 14:43:15.148:ENFORCEMENT:Reactive Enforcement Action:  Target Number: 00010036  Target Speed:  35.0  Current Speed:  40.2</t>
  </si>
  <si>
    <t>SYS :2017/02/01 14:43:15.489:ENFORCEMENT:Reactive Enforcement Action:  Target Number: 00010036  Target Speed:  35.0  Current Speed:  40.2</t>
  </si>
  <si>
    <t>SYS :2017/02/01 14:50:29.500:ENFORCEMENT:Predictive Enforcement Action:  Target Number: 00001007  Target Speed:   0.0  Current Speed:   4.1</t>
  </si>
  <si>
    <t>SYS :2017/02/01 14:50:29.860:ENFORCEMENT:Predictive Enforcement Action:  Target Number: 00001007  Target Speed:   0.0  Current Speed:   4.1</t>
  </si>
  <si>
    <t>SYS :2017/02/01 14:50:29.989:ENFORCEMENT:Predictive Enforcement Action:  Target Number: 00001007  Target Speed:   0.0  Current Speed:   4.1</t>
  </si>
  <si>
    <t>SYS :2017/02/01 14:59:01.709:ENFORCEMENT:Reactive Enforcement Action:  Target Number: 000101EF  Target Speed:  55.0  Current Speed:  60.6</t>
  </si>
  <si>
    <t>SYS :2017/02/01 15:04:56.012:ENFORCEMENT:Predictive Enforcement Action:  Target Number: 0000100C  Target Speed:   0.0  Current Speed:   6.7</t>
  </si>
  <si>
    <t>SYS :2017/02/01 15:04:56.224:ENFORCEMENT:Predictive Enforcement Action:  Target Number: 0000100C  Target Speed:   0.0  Current Speed:   6.7</t>
  </si>
  <si>
    <t>SYS :2017/02/01 15:04:57.019:ENFORCEMENT:Predictive Enforcement Action:  Target Number: 0000100C  Target Speed:   0.0  Current Speed:   6.5</t>
  </si>
  <si>
    <t>SYS :2017/02/01 15:13:25.210:ENFORCEMENT:Reactive Enforcement Action:  Target Number: 00010031  Target Speed:  55.0  Current Speed:  60.1</t>
  </si>
  <si>
    <t>SYS :2017/02/01 15:13:25.416:ENFORCEMENT:Reactive Enforcement Action:  Target Number: 00010031  Target Speed:  55.0  Current Speed:  60.1</t>
  </si>
  <si>
    <t>SYS :2017/02/01 15:13:25.751:ENFORCEMENT:Reactive Enforcement Action:  Target Number: 00010031  Target Speed:  55.0  Current Speed:  60.1</t>
  </si>
  <si>
    <t>SYS :2017/02/01 17:53:32.749:ENFORCEMENT:Predictive Enforcement Action:  Target Number: 0001704A  Target Speed:   0.0  Current Speed:  19.1</t>
  </si>
  <si>
    <t>SYS :2017/02/01 17:53:32.933:ENFORCEMENT:Predictive Enforcement Action:  Target Number: 0001704A  Target Speed:   0.0  Current Speed:  19.1</t>
  </si>
  <si>
    <t>SYS :2017/02/01 17:53:33.398:ENFORCEMENT:Predictive Enforcement Action:  Target Number: 0001704A  Target Speed:   0.0  Current Speed:  19.1</t>
  </si>
  <si>
    <t>SYS :2017/02/01 18:03:01.498:ENFORCEMENT:Predictive Enforcement Action:  Target Number: 0000E001  Target Speed:   0.0  Current Speed:   9.7</t>
  </si>
  <si>
    <t>SYS :2017/02/01 18:03:01.986:ENFORCEMENT:Predictive Enforcement Action:  Target Number: 0000E001  Target Speed:   0.0  Current Speed:   9.2</t>
  </si>
  <si>
    <t>SYS :2017/02/01 18:03:02.854:ENFORCEMENT:Predictive Enforcement Action:  Target Number: 0000E001  Target Speed:   0.0  Current Speed:   8.8</t>
  </si>
  <si>
    <t>SYS :2017/02/01 18:26:16.989:ENFORCEMENT:Predictive Enforcement Action:  Target Number: 0000100C  Target Speed:   0.0  Current Speed:   4.3</t>
  </si>
  <si>
    <t>SYS :2017/02/01 18:26:17.502:ENFORCEMENT:Predictive Enforcement Action:  Target Number: 0000100C  Target Speed:   0.0  Current Speed:   4.3</t>
  </si>
  <si>
    <t>SYS :2017/02/01 18:26:17.856:ENFORCEMENT:Predictive Enforcement Action:  Target Number: 0000100C  Target Speed:   0.0  Current Speed:   4.2</t>
  </si>
  <si>
    <t>SYS :2017/02/01 18:46:14.823:ENFORCEMENT:Predictive Enforcement Action:  Target Number: 00006421  Target Speed:   0.0  Current Speed:  12.2</t>
  </si>
  <si>
    <t>SYS :2017/02/01 18:46:15.694:ENFORCEMENT:Predictive Enforcement Action:  Target Number: 00006420  Target Speed:   0.0  Current Speed:  12.2</t>
  </si>
  <si>
    <t>SYS :2017/02/01 18:46:16.687:ENFORCEMENT:Predictive Enforcement Action:  Target Number: 000063CA  Target Speed:   0.0  Current Speed:  12.2</t>
  </si>
  <si>
    <t>SYS :2017/02/01 20:49:02.639:ENFORCEMENT:Predictive Enforcement Action:  Target Number: 0000100D  Target Speed:   0.0  Current Speed:   9.9</t>
  </si>
  <si>
    <t>SYS :2017/02/01 20:49:02.859:ENFORCEMENT:Predictive Enforcement Action:  Target Number: 0000100D  Target Speed:   0.0  Current Speed:   9.9</t>
  </si>
  <si>
    <t>SYS :2017/02/01 20:49:03.433:ENFORCEMENT:Predictive Enforcement Action:  Target Number: 0000100D  Target Speed:   0.0  Current Speed:   9.9</t>
  </si>
  <si>
    <t>SYS :2017/02/01 21:06:28.504:ENFORCEMENT:Predictive Enforcement Action:  Target Number: 0001714A  Target Speed:   0.0  Current Speed:  21.3</t>
  </si>
  <si>
    <t>SYS :2017/02/01 21:06:28.562:ENFORCEMENT:Predictive Enforcement Action:  Target Number: 0001714A  Target Speed:   0.0  Current Speed:  21.7</t>
  </si>
  <si>
    <t>SYS :2017/02/01 21:06:28.762:ENFORCEMENT:Predictive Enforcement Action:  Target Number: 0001714A  Target Speed:   0.0  Current Speed:  21.7</t>
  </si>
  <si>
    <t>SYS :2017/02/01 22:56:28.036:ENFORCEMENT:Predictive Enforcement Action:  Target Number: 000100FB  Target Speed:  30.0  Current Speed:  35.7</t>
  </si>
  <si>
    <t>SYS :2017/02/01 22:56:28.038:ENFORCEMENT:Predictive Enforcement Action:  Target Number: 000100FC  Target Speed:  30.0  Current Speed:  35.7</t>
  </si>
  <si>
    <t>SYS :2017/02/01 22:56:28.245:ENFORCEMENT:Predictive Enforcement Action:  Target Number: 00010106  Target Speed:  30.0  Current Speed:  35.7</t>
  </si>
  <si>
    <t>SYS :2017/02/02 02:09:20.198:ENFORCEMENT:Predictive Enforcement Action:  Target Number: 000170B4  Target Speed:   0.0  Current Speed:  23.0</t>
  </si>
  <si>
    <t>SYS :2017/02/02 02:09:21.416:ENFORCEMENT:Predictive Enforcement Action:  Target Number: 000170B4  Target Speed:   0.0  Current Speed:  22.7</t>
  </si>
  <si>
    <t>SYS :2017/02/02 02:09:21.751:ENFORCEMENT:Predictive Enforcement Action:  Target Number: 000170B4  Target Speed:   0.0  Current Speed:  22.7</t>
  </si>
  <si>
    <t>SYS :2017/02/02 03:06:19.392:ENFORCEMENT:Predictive Enforcement Action:  Target Number: 00001017  Target Speed:   0.0  Current Speed:   5.4</t>
  </si>
  <si>
    <t>SYS :2017/02/02 03:06:19.695:ENFORCEMENT:Predictive Enforcement Action:  Target Number: 00001017  Target Speed:   0.0  Current Speed:   5.4</t>
  </si>
  <si>
    <t>SYS :2017/02/02 03:06:20.047:ENFORCEMENT:Predictive Enforcement Action:  Target Number: 0000100A  Target Speed:   0.0  Current Speed:   5.4</t>
  </si>
  <si>
    <t>SYS :2017/02/02 05:33:51.712:ENFORCEMENT:Predictive Enforcement Action:  Target Number: 00001011  Target Speed:   0.0  Current Speed:  14.4</t>
  </si>
  <si>
    <t>SYS :2017/02/02 05:33:52.881:ENFORCEMENT:Predictive Enforcement Action:  Target Number: 0000102C  Target Speed:   0.0  Current Speed:  15.6</t>
  </si>
  <si>
    <t>SYS :2017/02/02 05:33:53.340:ENFORCEMENT:Predictive Enforcement Action:  Target Number: 0000102C  Target Speed:   0.0  Current Speed:  15.6</t>
  </si>
  <si>
    <t>SYS :2017/02/02 05:34:31.708:ENFORCEMENT:Predictive Enforcement Action:  Target Number: 00001011  Target Speed:   0.0  Current Speed:  10.4</t>
  </si>
  <si>
    <t>SYS :2017/02/02 05:34:32.874:ENFORCEMENT:Predictive Enforcement Action:  Target Number: 0000102C  Target Speed:   0.0  Current Speed:  11.0</t>
  </si>
  <si>
    <t>SYS :2017/02/02 05:34:33.351:ENFORCEMENT:Predictive Enforcement Action:  Target Number: 0000102C  Target Speed:   0.0  Current Speed:  11.0</t>
  </si>
  <si>
    <t>SYS :2017/02/02 06:28:00.953:ENFORCEMENT:Reactive Enforcement Action:  Target Number: 000170E6  Target Speed:   0.0  Current Speed:  12.6</t>
  </si>
  <si>
    <t>SYS :2017/02/02 06:28:01.294:ENFORCEMENT:Reactive Enforcement Action:  Target Number: 000170E6  Target Speed:   0.0  Current Speed:  12.6</t>
  </si>
  <si>
    <t>SYS :2017/02/02 06:28:01.314:ENFORCEMENT:Reactive Enforcement Action:  Target Number: 000170E6  Target Speed:   0.0  Current Speed:  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</si>
</sst>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198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0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0" fillId="0" borderId="0" xfId="0" applyNumberFormat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3" fillId="0" borderId="5" xfId="0" applyNumberFormat="1" applyFont="1" applyFill="1" applyBorder="1" applyAlignment="1">
      <alignment horizontal="center" vertical="center" wrapText="1"/>
    </xf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5" xfId="0" applyNumberFormat="1" applyFill="1" applyBorder="1"/>
    <xf numFmtId="0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NumberFormat="1" applyFont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4" customWidth="1"/>
    <col min="22" max="22" width="5.7109375" style="194" customWidth="1"/>
    <col min="23" max="23" width="3.85546875" style="187" customWidth="1"/>
    <col min="24" max="24" width="6.5703125" style="18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6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6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42767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42767</v>
      </c>
      <c r="S2" s="66"/>
      <c r="T2" s="67"/>
      <c r="U2" s="175"/>
      <c r="V2" s="176" t="s">
        <v>8</v>
      </c>
      <c r="W2" s="177"/>
      <c r="X2" s="17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6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9"/>
      <c r="V3" s="180" t="s">
        <v>11</v>
      </c>
      <c r="W3" s="181" t="s">
        <v>12</v>
      </c>
      <c r="X3" s="18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6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3"/>
      <c r="V4" s="180" t="s">
        <v>15</v>
      </c>
      <c r="W4" s="181" t="s">
        <v>15</v>
      </c>
      <c r="X4" s="18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6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COUNTIFS($N$13:$N$9356,"&gt;0",$AG$13:$AG$9356,I1)</f>
        <v>136</v>
      </c>
      <c r="K5" s="40"/>
      <c r="L5" s="40"/>
      <c r="M5" s="41">
        <f>AVERAGEIFS($N$13:$N$9356,$AG$13:$AG$9356,I1)</f>
        <v>39.257965686342416</v>
      </c>
      <c r="N5" s="39">
        <f t="array" ref="N5">MIN(IF($AG$13:$AG$9356=I1,IF(ISNUMBER($N$13:$N$9356),IF($N$13:$N$9356&gt;0,$N$13:$N$9356))))</f>
        <v>34.599999999627471</v>
      </c>
      <c r="O5" s="3">
        <f t="array" ref="O5">MAX(IF($AG$13:$AG$9356=I1,IF(ISNUMBER($N$13:$N$9356),IF($N$13:$N$9356&gt;0,$N$13:$N$9356))))</f>
        <v>54.216666673310101</v>
      </c>
      <c r="P5" s="2"/>
      <c r="R5" s="74" t="s">
        <v>17</v>
      </c>
      <c r="S5" s="50">
        <f>COUNTIFS($N$13:$N$9356,"&gt;0",$AG$13:$AG$9356,R1)</f>
        <v>47</v>
      </c>
      <c r="T5" s="40"/>
      <c r="U5" s="183"/>
      <c r="V5" s="180">
        <f>AVERAGEIFS($N$13:$N$9356,$AG$13:$AG$9356,R1)</f>
        <v>14.813829787035889</v>
      </c>
      <c r="W5" s="181">
        <f t="array" ref="W5">MIN(IF($AG$13:$AG$9356=R1,IF(ISNUMBER($N$13:$N$9356),IF($N$13:$N$9356&gt;0,$N$13:$N$9356))))</f>
        <v>12.700000003678724</v>
      </c>
      <c r="X5" s="182">
        <f t="array" ref="X5">MAX(IF($AG$13:$AG$9356=R1,IF(ISNUMBER($N$13:$N$9356),IF($N$13:$N$9356&gt;0,$N$13:$N$9356))))</f>
        <v>17.883333333302289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6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83"/>
      <c r="V6" s="180">
        <f>IFERROR(AVERAGE($O$13:$O$114),0)</f>
        <v>0</v>
      </c>
      <c r="W6" s="181">
        <f>MIN($O$13:$O$114)</f>
        <v>0</v>
      </c>
      <c r="X6" s="18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6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COUNTIFS($P$13:$P$9356,"&gt;0",$AG$13:$AG$9356,I1)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COUNTIFS($P$13:$P$9356,"&gt;0",$AG$13:$AG$9356,R1)</f>
        <v>0</v>
      </c>
      <c r="T7" s="40"/>
      <c r="U7" s="183"/>
      <c r="V7" s="180" t="s">
        <v>15</v>
      </c>
      <c r="W7" s="181" t="s">
        <v>15</v>
      </c>
      <c r="X7" s="18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6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136</v>
      </c>
      <c r="K8" s="40"/>
      <c r="L8" s="40"/>
      <c r="M8" s="41">
        <f>M5</f>
        <v>39.257965686342416</v>
      </c>
      <c r="N8" s="39">
        <f>N5</f>
        <v>34.599999999627471</v>
      </c>
      <c r="O8" s="3">
        <f>O5</f>
        <v>54.216666673310101</v>
      </c>
      <c r="P8" s="2"/>
      <c r="R8" s="74" t="s">
        <v>16</v>
      </c>
      <c r="S8" s="50">
        <f>S5</f>
        <v>47</v>
      </c>
      <c r="T8" s="40"/>
      <c r="U8" s="183"/>
      <c r="V8" s="180">
        <f>V5</f>
        <v>14.813829787035889</v>
      </c>
      <c r="W8" s="181">
        <f>W5</f>
        <v>12.700000003678724</v>
      </c>
      <c r="X8" s="182">
        <f>X5</f>
        <v>17.883333333302289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6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0.94444444444444442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4"/>
      <c r="W9" s="172"/>
      <c r="X9" s="18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6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4"/>
      <c r="V10" s="186"/>
      <c r="W10" s="187"/>
      <c r="X10" s="18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60"/>
    </row>
    <row r="11" spans="1:91" ht="16.5" thickBot="1" x14ac:dyDescent="0.3">
      <c r="A11" s="195" t="str">
        <f>"Eagle P3 System Performance - "&amp;TEXT(Variables!A2,"yyyy-mm-dd")</f>
        <v>Eagle P3 System Performance - 2017-02-01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AVERAGE(S13:S81)</f>
        <v>0.99033816425120791</v>
      </c>
      <c r="V11" s="18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8" t="s">
        <v>65</v>
      </c>
      <c r="V12" s="189" t="s">
        <v>45</v>
      </c>
      <c r="W12" s="190" t="s">
        <v>23</v>
      </c>
      <c r="X12" s="19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61" t="s">
        <v>217</v>
      </c>
      <c r="AN12" s="47" t="s">
        <v>236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453</v>
      </c>
      <c r="B13" s="7">
        <v>4029</v>
      </c>
      <c r="C13" s="21" t="s">
        <v>193</v>
      </c>
      <c r="D13" s="21" t="s">
        <v>673</v>
      </c>
      <c r="E13" s="13">
        <v>42767.128067129626</v>
      </c>
      <c r="F13" s="13">
        <v>42767.135706018518</v>
      </c>
      <c r="G13" s="7">
        <v>1</v>
      </c>
      <c r="H13" s="21" t="s">
        <v>353</v>
      </c>
      <c r="I13" s="13">
        <v>42767.162430555552</v>
      </c>
      <c r="J13" s="7">
        <v>0</v>
      </c>
      <c r="K13" s="98" t="str">
        <f>IF(ISEVEN(B13),(B13-1)&amp;"/"&amp;B13,B13&amp;"/"&amp;(B13+1))</f>
        <v>4029/4030</v>
      </c>
      <c r="L13" s="21" t="str">
        <f>VLOOKUP(A13,'Trips&amp;Operators'!$C$1:$G$99999,5,FALSE)</f>
        <v>PERKINS DARREN</v>
      </c>
      <c r="M13" s="6">
        <f>I13-F13</f>
        <v>2.6724537034169771E-2</v>
      </c>
      <c r="N13" s="7">
        <f>24*60*SUM($M13:$M13)</f>
        <v>38.48333332920447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9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-01T02:04:25-0700',mode:absolute,to:'2017-02-01T04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" s="193" t="str">
        <f>IF(AA13&lt;IF(AG13="EC",23,5.65),"Y","N")</f>
        <v>N</v>
      </c>
      <c r="X13" s="193" t="e">
        <f>VALUE(LEFT(AD13,4))-VALUE(LEFT(AD12,4))</f>
        <v>#VALUE!</v>
      </c>
      <c r="Y13" s="62">
        <f>RIGHT(D13,LEN(D13)-4)/10000</f>
        <v>7.0999999999999994E-2</v>
      </c>
      <c r="Z13" s="62">
        <f>RIGHT(H13,LEN(H13)-4)/10000</f>
        <v>23.334</v>
      </c>
      <c r="AA13" s="62">
        <f>ABS(Z13-Y13)</f>
        <v>23.262999999999998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>IF(LEN(A13)=6,"0"&amp;A13,A13)</f>
        <v>0101-01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/stypes="app*4029*20170201*"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4029 --swversion DE.1.0.8.0 --startMP 204:710 --initTime 2017-02-01T03:04:25 --startdatetime 2017-02-01T03:15:25 --delay 1 --endMP 204:233340 --enddatetime 2017-02-01T03:53:54 --enforcementcount 0 &gt;&gt;C:\Users\stu\Documents\GitHub\eaglep3-reporting\EC\2017-02-01-refined-times.txt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{"issue":{"subject":"","project_id":79,"tracker_id":40,"status_id":1,"priority_id":2,"assigned_to_id":23,"start_date":"2017-02-01","description":"","custom_fields":[{"id":1,"name":"Subdivision","value":"EC"},{"id":4,"name":"Milepost","value":"23.334"},{"id":17,"name":"Train ID","value":"101-01"},{"id":16,"name":"Locomotive ID","value":"4029"},{"id":130,"name":"Impact","value":""},{"id":150,"name":"Time of Event (Mountain Time)","value":"03:53:54"},{"id":151,"name":"Denver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60" t="str">
        <f t="shared" ref="AM13:AM70" si="2">"start /low /b "&amp;dls3logs&amp;" --loco "&amp;B13&amp;" --day "&amp;TEXT(F13,"YYYY-MM-DD")</f>
        <v>start /low /b %USERPROFILE%\Documents\GitHub\eaglep3\Utilities\DownloadLogsFromS3.py --loco 4029 --day 2017-02-01</v>
      </c>
      <c r="AN13" s="16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429</v>
      </c>
      <c r="B14" s="7">
        <v>4015</v>
      </c>
      <c r="C14" s="21" t="s">
        <v>193</v>
      </c>
      <c r="D14" s="21" t="s">
        <v>674</v>
      </c>
      <c r="E14" s="13">
        <v>42767.168182870373</v>
      </c>
      <c r="F14" s="13">
        <v>42767.174456018518</v>
      </c>
      <c r="G14" s="7">
        <v>1</v>
      </c>
      <c r="H14" s="21" t="s">
        <v>197</v>
      </c>
      <c r="I14" s="13">
        <v>42767.202418981484</v>
      </c>
      <c r="J14" s="7">
        <v>0</v>
      </c>
      <c r="K14" s="98" t="str">
        <f>IF(ISEVEN(B14),(B14-1)&amp;"/"&amp;B14,B14&amp;"/"&amp;(B14+1))</f>
        <v>4015/4016</v>
      </c>
      <c r="L14" s="21" t="str">
        <f>VLOOKUP(A14,'Trips&amp;Operators'!$C$1:$G$99999,5,FALSE)</f>
        <v>PERKINS DARREN</v>
      </c>
      <c r="M14" s="6">
        <f>I14-F14</f>
        <v>2.7962962965830229E-2</v>
      </c>
      <c r="N14" s="7">
        <f>24*60*SUM($M14:$M14)</f>
        <v>40.26666667079553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9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-02-01T03:02:11-0700',mode:absolute,to:'2017-02-01T05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3" t="str">
        <f>IF(AA14&lt;IF(AG14="EC",23,5.65),"Y","N")</f>
        <v>N</v>
      </c>
      <c r="X14" s="193">
        <f>VALUE(LEFT(AD14,4))-VALUE(LEFT(AD13,4))</f>
        <v>1</v>
      </c>
      <c r="Y14" s="62">
        <f>RIGHT(D14,LEN(D14)-4)/10000</f>
        <v>23.269200000000001</v>
      </c>
      <c r="Z14" s="62">
        <f>RIGHT(H14,LEN(H14)-4)/10000</f>
        <v>1.4999999999999999E-2</v>
      </c>
      <c r="AA14" s="62">
        <f>ABS(Z14-Y14)</f>
        <v>23.254200000000001</v>
      </c>
      <c r="AB14" s="59" t="str">
        <f>VLOOKUP(A14,Enforcements!$C$7:$K$16,8,0)</f>
        <v>Bulletin (2)</v>
      </c>
      <c r="AC14" s="55" t="str">
        <f>VLOOKUP(A14,Enforcements!$C$7:$E$16,3,0)</f>
        <v>GRADE CROSSING</v>
      </c>
      <c r="AD14" s="56" t="str">
        <f>IF(LEN(A14)=6,"0"&amp;A14,A14)</f>
        <v>0102-01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/stypes="app*4015*20170201*"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4015 --swversion DE.1.0.8.0 --startMP 204:232692 --initTime 2017-02-01T04:02:11 --startdatetime 2017-02-01T04:11:13 --delay 1 --endMP 204:150 --enddatetime 2017-02-01T04:51:29 --enforcementcount 0 &gt;&gt;C:\Users\stu\Documents\GitHub\eaglep3-reporting\EC\2017-02-01-refined-times.txt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ID","value":"102-01"},{"id":16,"name":"Locomotive ID","value":"4015"},{"id":130,"name":"Impact","value":""},{"id":150,"name":"Time of Event (Mountain Time)","value":"04:51:29"},{"id":151,"name":"Denver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60" t="str">
        <f t="shared" ref="AM14:AM77" si="5">"start /low /b "&amp;dls3logs&amp;" --loco "&amp;B14&amp;" --day "&amp;TEXT(F14,"YYYY-MM-DD")</f>
        <v>start /low /b %USERPROFILE%\Documents\GitHub\eaglep3\Utilities\DownloadLogsFromS3.py --loco 4015 --day 2017-02-01</v>
      </c>
      <c r="AN14" s="16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455</v>
      </c>
      <c r="B15" s="7">
        <v>4038</v>
      </c>
      <c r="C15" s="21" t="s">
        <v>193</v>
      </c>
      <c r="D15" s="21" t="s">
        <v>675</v>
      </c>
      <c r="E15" s="13">
        <v>42767.150590277779</v>
      </c>
      <c r="F15" s="13">
        <v>42767.156539351854</v>
      </c>
      <c r="G15" s="7">
        <v>1</v>
      </c>
      <c r="H15" s="21" t="s">
        <v>676</v>
      </c>
      <c r="I15" s="13">
        <v>42767.181932870371</v>
      </c>
      <c r="J15" s="7">
        <v>0</v>
      </c>
      <c r="K15" s="98" t="str">
        <f>IF(ISEVEN(B15),(B15-1)&amp;"/"&amp;B15,B15&amp;"/"&amp;(B15+1))</f>
        <v>4037/4038</v>
      </c>
      <c r="L15" s="21" t="str">
        <f>VLOOKUP(A15,'Trips&amp;Operators'!$C$1:$G$99999,5,FALSE)</f>
        <v>MAELZER KURT</v>
      </c>
      <c r="M15" s="6">
        <f>I15-F15</f>
        <v>2.5393518517375924E-2</v>
      </c>
      <c r="N15" s="7">
        <f>24*60*SUM($M15:$M15)</f>
        <v>36.56666666502133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9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-01T02:36:51-0700',mode:absolute,to:'2017-02-01T05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" s="193" t="str">
        <f>IF(AA15&lt;IF(AG15="EC",23,5.65),"Y","N")</f>
        <v>N</v>
      </c>
      <c r="X15" s="193">
        <f>VALUE(LEFT(AD15,4))-VALUE(LEFT(AD14,4))</f>
        <v>1</v>
      </c>
      <c r="Y15" s="62">
        <f>RIGHT(D15,LEN(D15)-4)/10000</f>
        <v>7.5399999999999995E-2</v>
      </c>
      <c r="Z15" s="62">
        <f>RIGHT(H15,LEN(H15)-4)/10000</f>
        <v>23.334199999999999</v>
      </c>
      <c r="AA15" s="62">
        <f>ABS(Z15-Y15)</f>
        <v>23.258800000000001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>IF(LEN(A15)=6,"0"&amp;A15,A15)</f>
        <v>0103-01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/stypes="app*4038*20170201*"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103-01 --locoid 4038 --swversion DE.1.0.8.0 --startMP 204:754 --initTime 2017-02-01T03:36:51 --startdatetime 2017-02-01T03:45:25 --delay 1 --endMP 204:233342 --enddatetime 2017-02-01T04:21:59 --enforcementcount 0 &gt;&gt;C:\Users\stu\Documents\GitHub\eaglep3-reporting\EC\2017-02-01-refined-times.txt</v>
      </c>
      <c r="AI1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{"issue":{"subject":"","project_id":79,"tracker_id":40,"status_id":1,"priority_id":2,"assigned_to_id":23,"start_date":"2017-02-01","description":"","custom_fields":[{"id":1,"name":"Subdivision","value":"EC"},{"id":4,"name":"Milepost","value":"23.3342"},{"id":17,"name":"Train ID","value":"103-01"},{"id":16,"name":"Locomotive ID","value":"4038"},{"id":130,"name":"Impact","value":""},{"id":150,"name":"Time of Event (Mountain Time)","value":"04:21:59"},{"id":151,"name":"Denver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60" t="str">
        <f t="shared" si="5"/>
        <v>start /low /b %USERPROFILE%\Documents\GitHub\eaglep3\Utilities\DownloadLogsFromS3.py --loco 4038 --day 2017-02-01</v>
      </c>
      <c r="AN15" s="16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463</v>
      </c>
      <c r="B16" s="7">
        <v>4052</v>
      </c>
      <c r="C16" s="21" t="s">
        <v>193</v>
      </c>
      <c r="D16" s="21" t="s">
        <v>677</v>
      </c>
      <c r="E16" s="13">
        <v>42767.192152777781</v>
      </c>
      <c r="F16" s="13">
        <v>42767.195520833331</v>
      </c>
      <c r="G16" s="7">
        <v>1</v>
      </c>
      <c r="H16" s="21" t="s">
        <v>678</v>
      </c>
      <c r="I16" s="13">
        <v>42767.222407407404</v>
      </c>
      <c r="J16" s="7">
        <v>0</v>
      </c>
      <c r="K16" s="98" t="str">
        <f>IF(ISEVEN(B16),(B16-1)&amp;"/"&amp;B16,B16&amp;"/"&amp;(B16+1))</f>
        <v>4051/4052</v>
      </c>
      <c r="L16" s="21" t="str">
        <f>VLOOKUP(A16,'Trips&amp;Operators'!$C$1:$G$99999,5,FALSE)</f>
        <v>MAELZER KURT</v>
      </c>
      <c r="M16" s="6">
        <f>I16-F16</f>
        <v>2.6886574072705116E-2</v>
      </c>
      <c r="N16" s="7">
        <f>24*60*SUM($M16:$M16)</f>
        <v>38.716666664695367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9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-02-01T03:36:42-0700',mode:absolute,to:'2017-02-01T06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93" t="str">
        <f>IF(AA16&lt;IF(AG16="EC",23,5.65),"Y","N")</f>
        <v>N</v>
      </c>
      <c r="X16" s="193">
        <f>VALUE(LEFT(AD16,4))-VALUE(LEFT(AD15,4))</f>
        <v>1</v>
      </c>
      <c r="Y16" s="62">
        <f>RIGHT(D16,LEN(D16)-4)/10000</f>
        <v>23.2698</v>
      </c>
      <c r="Z16" s="62">
        <f>RIGHT(H16,LEN(H16)-4)/10000</f>
        <v>1.29E-2</v>
      </c>
      <c r="AA16" s="62">
        <f>ABS(Z16-Y16)</f>
        <v>23.256900000000002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>IF(LEN(A16)=6,"0"&amp;A16,A16)</f>
        <v>0104-01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/stypes="app*4052*20170201*"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104-01 --locoid 4052 --swversion DE.1.0.8.0 --startMP 204:232698 --initTime 2017-02-01T04:36:42 --startdatetime 2017-02-01T04:41:33 --delay 1 --endMP 204:129 --enddatetime 2017-02-01T05:20:16 --enforcementcount 0 &gt;&gt;C:\Users\stu\Documents\GitHub\eaglep3-reporting\EC\2017-02-01-refined-times.txt</v>
      </c>
      <c r="AI1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{"issue":{"subject":"","project_id":79,"tracker_id":40,"status_id":1,"priority_id":2,"assigned_to_id":23,"start_date":"2017-02-01","description":"","custom_fields":[{"id":1,"name":"Subdivision","value":"EC"},{"id":4,"name":"Milepost","value":"0.0129"},{"id":17,"name":"Train ID","value":"104-01"},{"id":16,"name":"Locomotive ID","value":"4052"},{"id":130,"name":"Impact","value":""},{"id":150,"name":"Time of Event (Mountain Time)","value":"05:20:16"},{"id":151,"name":"Denver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60" t="str">
        <f t="shared" si="5"/>
        <v>start /low /b %USERPROFILE%\Documents\GitHub\eaglep3\Utilities\DownloadLogsFromS3.py --loco 4052 --day 2017-02-01</v>
      </c>
      <c r="AN16" s="16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460</v>
      </c>
      <c r="B17" s="7">
        <v>4042</v>
      </c>
      <c r="C17" s="21" t="s">
        <v>193</v>
      </c>
      <c r="D17" s="21" t="s">
        <v>679</v>
      </c>
      <c r="E17" s="13">
        <v>42767.174803240741</v>
      </c>
      <c r="F17" s="13">
        <v>42767.177303240744</v>
      </c>
      <c r="G17" s="7">
        <v>2</v>
      </c>
      <c r="H17" s="21" t="s">
        <v>398</v>
      </c>
      <c r="I17" s="13">
        <v>42767.202233796299</v>
      </c>
      <c r="J17" s="7">
        <v>0</v>
      </c>
      <c r="K17" s="98" t="str">
        <f>IF(ISEVEN(B17),(B17-1)&amp;"/"&amp;B17,B17&amp;"/"&amp;(B17+1))</f>
        <v>4041/4042</v>
      </c>
      <c r="L17" s="21" t="str">
        <f>VLOOKUP(A17,'Trips&amp;Operators'!$C$1:$G$99999,5,FALSE)</f>
        <v>GEBRETEKLE DAGNEW</v>
      </c>
      <c r="M17" s="6">
        <f>I17-F17</f>
        <v>2.4930555555329192E-2</v>
      </c>
      <c r="N17" s="7">
        <f>24*60*SUM($M17:$M17)</f>
        <v>35.899999999674037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9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-02-01T03:11:43-0700',mode:absolute,to:'2017-02-01T05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3" t="str">
        <f>IF(AA17&lt;IF(AG17="EC",23,5.65),"Y","N")</f>
        <v>N</v>
      </c>
      <c r="X17" s="193">
        <f>VALUE(LEFT(AD17,4))-VALUE(LEFT(AD16,4))</f>
        <v>1</v>
      </c>
      <c r="Y17" s="62">
        <f>RIGHT(D17,LEN(D17)-4)/10000</f>
        <v>7.4999999999999997E-2</v>
      </c>
      <c r="Z17" s="62">
        <f>RIGHT(H17,LEN(H17)-4)/10000</f>
        <v>23.3306</v>
      </c>
      <c r="AA17" s="62">
        <f>ABS(Z17-Y17)</f>
        <v>23.255600000000001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>IF(LEN(A17)=6,"0"&amp;A17,A17)</f>
        <v>0105-01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/stypes="app*4042*20170201*"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105-01 --locoid 4042 --swversion DE.1.0.8.0 --startMP 204:750 --initTime 2017-02-01T04:11:43 --startdatetime 2017-02-01T04:15:19 --delay 2 --endMP 204:233306 --enddatetime 2017-02-01T04:51:13 --enforcementcount 0 &gt;&gt;C:\Users\stu\Documents\GitHub\eaglep3-reporting\EC\2017-02-01-refined-times.txt</v>
      </c>
      <c r="AI1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{"issue":{"subject":"","project_id":79,"tracker_id":40,"status_id":1,"priority_id":2,"assigned_to_id":23,"start_date":"2017-02-01","description":"","custom_fields":[{"id":1,"name":"Subdivision","value":"EC"},{"id":4,"name":"Milepost","value":"23.3306"},{"id":17,"name":"Train ID","value":"105-01"},{"id":16,"name":"Locomotive ID","value":"4042"},{"id":130,"name":"Impact","value":""},{"id":150,"name":"Time of Event (Mountain Time)","value":"04:51:13"},{"id":151,"name":"Denver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60" t="str">
        <f t="shared" si="5"/>
        <v>start /low /b %USERPROFILE%\Documents\GitHub\eaglep3\Utilities\DownloadLogsFromS3.py --loco 4042 --day 2017-02-01</v>
      </c>
      <c r="AN17" s="16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470</v>
      </c>
      <c r="B18" s="7">
        <v>4021</v>
      </c>
      <c r="C18" s="21" t="s">
        <v>193</v>
      </c>
      <c r="D18" s="21" t="s">
        <v>680</v>
      </c>
      <c r="E18" s="13">
        <v>42767.214236111111</v>
      </c>
      <c r="F18" s="13">
        <v>42767.216331018521</v>
      </c>
      <c r="G18" s="7">
        <v>2</v>
      </c>
      <c r="H18" s="21" t="s">
        <v>380</v>
      </c>
      <c r="I18" s="13">
        <v>42767.242581018516</v>
      </c>
      <c r="J18" s="7">
        <v>0</v>
      </c>
      <c r="K18" s="98" t="str">
        <f>IF(ISEVEN(B18),(B18-1)&amp;"/"&amp;B18,B18&amp;"/"&amp;(B18+1))</f>
        <v>4021/4022</v>
      </c>
      <c r="L18" s="21" t="str">
        <f>VLOOKUP(A18,'Trips&amp;Operators'!$C$1:$G$99999,5,FALSE)</f>
        <v>GEBRETEKLE DAGNEW</v>
      </c>
      <c r="M18" s="6">
        <f>I18-F18</f>
        <v>2.6249999995343387E-2</v>
      </c>
      <c r="N18" s="7">
        <f>24*60*SUM($M18:$M18)</f>
        <v>37.799999993294477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9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-02-01T04:08:30-0700',mode:absolute,to:'2017-02-01T06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" s="193" t="str">
        <f>IF(AA18&lt;IF(AG18="EC",23,5.65),"Y","N")</f>
        <v>N</v>
      </c>
      <c r="X18" s="193">
        <f>VALUE(LEFT(AD18,4))-VALUE(LEFT(AD17,4))</f>
        <v>1</v>
      </c>
      <c r="Y18" s="62">
        <f>RIGHT(D18,LEN(D18)-4)/10000</f>
        <v>23.267700000000001</v>
      </c>
      <c r="Z18" s="62">
        <f>RIGHT(H18,LEN(H18)-4)/10000</f>
        <v>1.38E-2</v>
      </c>
      <c r="AA18" s="62">
        <f>ABS(Z18-Y18)</f>
        <v>23.253900000000002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>IF(LEN(A18)=6,"0"&amp;A18,A18)</f>
        <v>0106-01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s3://rtdc.mdm.uploadarchive.raw/RTDC4021/ "%USERPROFILE%\AppData\Local\Temp\OnboardLogs"\RTDC4021\2017-02-01 --exclude "*" --recursive --include "*20170201*" &amp; "%USERPROFILE%\Documents\GitHub\mrs-test-scripts\Headless Mode &amp; Sideloading\WalkAndUnGZ.bat" "%USERPROFILE%\AppData\Local\Temp\OnboardLogs"\RTDC4021\2017-02-01 &amp; 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/stypes="app*4021*20170201*"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106-01 --locoid 4021 --swversion DE.1.0.8.0 --startMP 204:232677 --initTime 2017-02-01T05:08:30 --startdatetime 2017-02-01T05:11:31 --delay 2 --endMP 204:138 --enddatetime 2017-02-01T05:49:19 --enforcementcount 0 &gt;&gt;C:\Users\stu\Documents\GitHub\eaglep3-reporting\EC\2017-02-01-refined-times.txt</v>
      </c>
      <c r="AI1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{"issue":{"subject":"","project_id":79,"tracker_id":40,"status_id":1,"priority_id":2,"assigned_to_id":23,"start_date":"2017-02-01","description":"","custom_fields":[{"id":1,"name":"Subdivision","value":"EC"},{"id":4,"name":"Milepost","value":"0.0138"},{"id":17,"name":"Train ID","value":"106-01"},{"id":16,"name":"Locomotive ID","value":"4021"},{"id":130,"name":"Impact","value":""},{"id":150,"name":"Time of Event (Mountain Time)","value":"05:49:19"},{"id":151,"name":"Denver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60" t="str">
        <f t="shared" si="5"/>
        <v>start /low /b %USERPROFILE%\Documents\GitHub\eaglep3\Utilities\DownloadLogsFromS3.py --loco 4021 --day 2017-02-01</v>
      </c>
      <c r="AN18" s="16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"%USERPROFILE%\AppData\Local\Temp\OnboardLogs"\RTDC4021\*4021*20170201* | grep -SE "(Enforcement Action)|(\[TIMEOUT)|(CHR.+\|PRM\|1\|D.+(SWITCH|SIGNAL).+UNKNOWN)" - &gt;&gt; 2017-02-01-UncaughtWiMAX.txt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461</v>
      </c>
      <c r="B19" s="7">
        <v>4046</v>
      </c>
      <c r="C19" s="21" t="s">
        <v>193</v>
      </c>
      <c r="D19" s="21" t="s">
        <v>224</v>
      </c>
      <c r="E19" s="13">
        <v>42767.183425925927</v>
      </c>
      <c r="F19" s="13">
        <v>42767.1877662037</v>
      </c>
      <c r="G19" s="7">
        <v>1</v>
      </c>
      <c r="H19" s="21" t="s">
        <v>296</v>
      </c>
      <c r="I19" s="13">
        <v>42767.213888888888</v>
      </c>
      <c r="J19" s="7">
        <v>0</v>
      </c>
      <c r="K19" s="98" t="str">
        <f>IF(ISEVEN(B19),(B19-1)&amp;"/"&amp;B19,B19&amp;"/"&amp;(B19+1))</f>
        <v>4045/4046</v>
      </c>
      <c r="L19" s="21" t="str">
        <f>VLOOKUP(A19,'Trips&amp;Operators'!$C$1:$G$99999,5,FALSE)</f>
        <v>BONDS REYNALDO</v>
      </c>
      <c r="M19" s="6">
        <f>I19-F19</f>
        <v>2.6122685187146999E-2</v>
      </c>
      <c r="N19" s="7">
        <f>24*60*SUM($M19:$M19)</f>
        <v>37.616666669491678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9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-02-01T03:24:08-0700',mode:absolute,to:'2017-02-01T06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3" t="str">
        <f>IF(AA19&lt;IF(AG19="EC",23,5.65),"Y","N")</f>
        <v>N</v>
      </c>
      <c r="X19" s="193">
        <f>VALUE(LEFT(AD19,4))-VALUE(LEFT(AD18,4))</f>
        <v>1</v>
      </c>
      <c r="Y19" s="62">
        <f>RIGHT(D19,LEN(D19)-4)/10000</f>
        <v>4.6899999999999997E-2</v>
      </c>
      <c r="Z19" s="62">
        <f>RIGHT(H19,LEN(H19)-4)/10000</f>
        <v>23.3307</v>
      </c>
      <c r="AA19" s="62">
        <f>ABS(Z19-Y19)</f>
        <v>23.283799999999999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>IF(LEN(A19)=6,"0"&amp;A19,A19)</f>
        <v>0107-01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/stypes="app*4046*20170201*"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107-01 --locoid 4046 --swversion DE.1.0.8.0 --startMP 204:469 --initTime 2017-02-01T04:24:08 --startdatetime 2017-02-01T04:30:23 --delay 1 --endMP 204:233307 --enddatetime 2017-02-01T05:08:00 --enforcementcount 0 &gt;&gt;C:\Users\stu\Documents\GitHub\eaglep3-reporting\EC\2017-02-01-refined-times.txt</v>
      </c>
      <c r="AI1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{"issue":{"subject":"","project_id":79,"tracker_id":40,"status_id":1,"priority_id":2,"assigned_to_id":23,"start_date":"2017-02-01","description":"","custom_fields":[{"id":1,"name":"Subdivision","value":"EC"},{"id":4,"name":"Milepost","value":"23.3307"},{"id":17,"name":"Train ID","value":"107-01"},{"id":16,"name":"Locomotive ID","value":"4046"},{"id":130,"name":"Impact","value":""},{"id":150,"name":"Time of Event (Mountain Time)","value":"05:08:00"},{"id":151,"name":"Denver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60" t="str">
        <f t="shared" si="5"/>
        <v>start /low /b %USERPROFILE%\Documents\GitHub\eaglep3\Utilities\DownloadLogsFromS3.py --loco 4046 --day 2017-02-01</v>
      </c>
      <c r="AN19" s="16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472</v>
      </c>
      <c r="B20" s="7">
        <v>4045</v>
      </c>
      <c r="C20" s="21" t="s">
        <v>193</v>
      </c>
      <c r="D20" s="21" t="s">
        <v>681</v>
      </c>
      <c r="E20" s="13">
        <v>42767.221400462964</v>
      </c>
      <c r="F20" s="13">
        <v>42767.226585648146</v>
      </c>
      <c r="G20" s="7">
        <v>1</v>
      </c>
      <c r="H20" s="21" t="s">
        <v>682</v>
      </c>
      <c r="I20" s="13">
        <v>42767.254236111112</v>
      </c>
      <c r="J20" s="7">
        <v>0</v>
      </c>
      <c r="K20" s="98" t="str">
        <f>IF(ISEVEN(B20),(B20-1)&amp;"/"&amp;B20,B20&amp;"/"&amp;(B20+1))</f>
        <v>4045/4046</v>
      </c>
      <c r="L20" s="21" t="str">
        <f>VLOOKUP(A20,'Trips&amp;Operators'!$C$1:$G$99999,5,FALSE)</f>
        <v>BONDS REYNALDO</v>
      </c>
      <c r="M20" s="6">
        <f>I20-F20</f>
        <v>2.7650462965539191E-2</v>
      </c>
      <c r="N20" s="7">
        <f>24*60*SUM($M20:$M20)</f>
        <v>39.816666670376435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9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-02-01T04:18:49-0700',mode:absolute,to:'2017-02-01T07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3" t="str">
        <f>IF(AA20&lt;IF(AG20="EC",23,5.65),"Y","N")</f>
        <v>N</v>
      </c>
      <c r="X20" s="193">
        <f>VALUE(LEFT(AD20,4))-VALUE(LEFT(AD19,4))</f>
        <v>1</v>
      </c>
      <c r="Y20" s="62">
        <f>RIGHT(D20,LEN(D20)-4)/10000</f>
        <v>23.296299999999999</v>
      </c>
      <c r="Z20" s="62">
        <f>RIGHT(H20,LEN(H20)-4)/10000</f>
        <v>1.61E-2</v>
      </c>
      <c r="AA20" s="62">
        <f>ABS(Z20-Y20)</f>
        <v>23.280199999999997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>IF(LEN(A20)=6,"0"&amp;A20,A20)</f>
        <v>0108-01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/stypes="app*4045*20170201*"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108-01 --locoid 4045 --swversion DE.1.0.8.0 --startMP 204:232963 --initTime 2017-02-01T05:18:49 --startdatetime 2017-02-01T05:26:17 --delay 1 --endMP 204:161 --enddatetime 2017-02-01T06:06:06 --enforcementcount 0 &gt;&gt;C:\Users\stu\Documents\GitHub\eaglep3-reporting\EC\2017-02-01-refined-times.txt</v>
      </c>
      <c r="AI2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{"issue":{"subject":"","project_id":79,"tracker_id":40,"status_id":1,"priority_id":2,"assigned_to_id":23,"start_date":"2017-02-01","description":"","custom_fields":[{"id":1,"name":"Subdivision","value":"EC"},{"id":4,"name":"Milepost","value":"0.0161"},{"id":17,"name":"Train ID","value":"108-01"},{"id":16,"name":"Locomotive ID","value":"4045"},{"id":130,"name":"Impact","value":""},{"id":150,"name":"Time of Event (Mountain Time)","value":"06:06:06"},{"id":151,"name":"Denver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60" t="str">
        <f t="shared" si="5"/>
        <v>start /low /b %USERPROFILE%\Documents\GitHub\eaglep3\Utilities\DownloadLogsFromS3.py --loco 4045 --day 2017-02-01</v>
      </c>
      <c r="AN20" s="16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464</v>
      </c>
      <c r="B21" s="7">
        <v>4011</v>
      </c>
      <c r="C21" s="21" t="s">
        <v>193</v>
      </c>
      <c r="D21" s="21" t="s">
        <v>211</v>
      </c>
      <c r="E21" s="13">
        <v>42767.195752314816</v>
      </c>
      <c r="F21" s="13">
        <v>42767.198182870372</v>
      </c>
      <c r="G21" s="7">
        <v>1</v>
      </c>
      <c r="H21" s="21" t="s">
        <v>683</v>
      </c>
      <c r="I21" s="13">
        <v>42767.224340277775</v>
      </c>
      <c r="J21" s="7">
        <v>0</v>
      </c>
      <c r="K21" s="98" t="str">
        <f>IF(ISEVEN(B21),(B21-1)&amp;"/"&amp;B21,B21&amp;"/"&amp;(B21+1))</f>
        <v>4011/4012</v>
      </c>
      <c r="L21" s="21" t="str">
        <f>VLOOKUP(A21,'Trips&amp;Operators'!$C$1:$G$99999,5,FALSE)</f>
        <v>OUN ZACK</v>
      </c>
      <c r="M21" s="6">
        <f>I21-F21</f>
        <v>2.6157407402934041E-2</v>
      </c>
      <c r="N21" s="7">
        <f>24*60*SUM($M21:$M21)</f>
        <v>37.666666660225019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9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-02-01T03:41:53-0700',mode:absolute,to:'2017-02-01T06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93" t="str">
        <f>IF(AA21&lt;IF(AG21="EC",23,5.65),"Y","N")</f>
        <v>N</v>
      </c>
      <c r="X21" s="193">
        <f>VALUE(LEFT(AD21,4))-VALUE(LEFT(AD20,4))</f>
        <v>1</v>
      </c>
      <c r="Y21" s="62">
        <f>RIGHT(D21,LEN(D21)-4)/10000</f>
        <v>4.6199999999999998E-2</v>
      </c>
      <c r="Z21" s="62">
        <f>RIGHT(H21,LEN(H21)-4)/10000</f>
        <v>23.334900000000001</v>
      </c>
      <c r="AA21" s="62">
        <f>ABS(Z21-Y21)</f>
        <v>23.288700000000002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>IF(LEN(A21)=6,"0"&amp;A21,A21)</f>
        <v>0109-01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/stypes="app*4011*20170201*"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109-01 --locoid 4011 --swversion DE.1.0.8.0 --startMP 204:462 --initTime 2017-02-01T04:41:53 --startdatetime 2017-02-01T04:45:23 --delay 1 --endMP 204:233349 --enddatetime 2017-02-01T05:23:03 --enforcementcount 0 &gt;&gt;C:\Users\stu\Documents\GitHub\eaglep3-reporting\EC\2017-02-01-refined-times.txt</v>
      </c>
      <c r="AI2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{"issue":{"subject":"","project_id":79,"tracker_id":40,"status_id":1,"priority_id":2,"assigned_to_id":23,"start_date":"2017-02-01","description":"","custom_fields":[{"id":1,"name":"Subdivision","value":"EC"},{"id":4,"name":"Milepost","value":"23.3349"},{"id":17,"name":"Train ID","value":"109-01"},{"id":16,"name":"Locomotive ID","value":"4011"},{"id":130,"name":"Impact","value":""},{"id":150,"name":"Time of Event (Mountain Time)","value":"05:23:03"},{"id":151,"name":"Denver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60" t="str">
        <f t="shared" si="5"/>
        <v>start /low /b %USERPROFILE%\Documents\GitHub\eaglep3\Utilities\DownloadLogsFromS3.py --loco 4011 --day 2017-02-01</v>
      </c>
      <c r="AN21" s="16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476</v>
      </c>
      <c r="B22" s="7">
        <v>4012</v>
      </c>
      <c r="C22" s="21" t="s">
        <v>193</v>
      </c>
      <c r="D22" s="21" t="s">
        <v>684</v>
      </c>
      <c r="E22" s="13">
        <v>42767.232094907406</v>
      </c>
      <c r="F22" s="13">
        <v>42767.236990740741</v>
      </c>
      <c r="G22" s="7">
        <v>1</v>
      </c>
      <c r="H22" s="21" t="s">
        <v>685</v>
      </c>
      <c r="I22" s="13">
        <v>42767.263553240744</v>
      </c>
      <c r="J22" s="7">
        <v>0</v>
      </c>
      <c r="K22" s="98" t="str">
        <f>IF(ISEVEN(B22),(B22-1)&amp;"/"&amp;B22,B22&amp;"/"&amp;(B22+1))</f>
        <v>4011/4012</v>
      </c>
      <c r="L22" s="21" t="str">
        <f>VLOOKUP(A22,'Trips&amp;Operators'!$C$1:$G$99999,5,FALSE)</f>
        <v>OUN ZACK</v>
      </c>
      <c r="M22" s="6">
        <f>I22-F22</f>
        <v>2.6562500002910383E-2</v>
      </c>
      <c r="N22" s="7">
        <f>24*60*SUM($M22:$M22)</f>
        <v>38.250000004190952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9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-01T04:34:13-0700',mode:absolute,to:'2017-02-01T07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93" t="str">
        <f>IF(AA22&lt;IF(AG22="EC",23,5.65),"Y","N")</f>
        <v>N</v>
      </c>
      <c r="X22" s="193">
        <f>VALUE(LEFT(AD22,4))-VALUE(LEFT(AD21,4))</f>
        <v>1</v>
      </c>
      <c r="Y22" s="62">
        <f>RIGHT(D22,LEN(D22)-4)/10000</f>
        <v>23.302099999999999</v>
      </c>
      <c r="Z22" s="62">
        <f>RIGHT(H22,LEN(H22)-4)/10000</f>
        <v>1.2699999999999999E-2</v>
      </c>
      <c r="AA22" s="62">
        <f>ABS(Z22-Y22)</f>
        <v>23.289400000000001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>IF(LEN(A22)=6,"0"&amp;A22,A22)</f>
        <v>0110-01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/stypes="app*4012*20170201*"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110-01 --locoid 4012 --swversion DE.1.0.8.0 --startMP 204:233021 --initTime 2017-02-01T05:34:13 --startdatetime 2017-02-01T05:41:16 --delay 1 --endMP 204:127 --enddatetime 2017-02-01T06:19:31 --enforcementcount 0 &gt;&gt;C:\Users\stu\Documents\GitHub\eaglep3-reporting\EC\2017-02-01-refined-times.txt</v>
      </c>
      <c r="AI22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{"issue":{"subject":"","project_id":79,"tracker_id":40,"status_id":1,"priority_id":2,"assigned_to_id":23,"start_date":"2017-02-01","description":"","custom_fields":[{"id":1,"name":"Subdivision","value":"EC"},{"id":4,"name":"Milepost","value":"0.0127"},{"id":17,"name":"Train ID","value":"110-01"},{"id":16,"name":"Locomotive ID","value":"4012"},{"id":130,"name":"Impact","value":""},{"id":150,"name":"Time of Event (Mountain Time)","value":"06:19:31"},{"id":151,"name":"Denver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60" t="str">
        <f t="shared" si="5"/>
        <v>start /low /b %USERPROFILE%\Documents\GitHub\eaglep3\Utilities\DownloadLogsFromS3.py --loco 4012 --day 2017-02-01</v>
      </c>
      <c r="AN22" s="16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468</v>
      </c>
      <c r="B23" s="7">
        <v>4029</v>
      </c>
      <c r="C23" s="21" t="s">
        <v>193</v>
      </c>
      <c r="D23" s="21" t="s">
        <v>686</v>
      </c>
      <c r="E23" s="13">
        <v>42767.206724537034</v>
      </c>
      <c r="F23" s="13">
        <v>42767.208553240744</v>
      </c>
      <c r="G23" s="7">
        <v>1</v>
      </c>
      <c r="H23" s="21" t="s">
        <v>381</v>
      </c>
      <c r="I23" s="13">
        <v>42767.233032407406</v>
      </c>
      <c r="J23" s="7">
        <v>0</v>
      </c>
      <c r="K23" s="98" t="str">
        <f>IF(ISEVEN(B23),(B23-1)&amp;"/"&amp;B23,B23&amp;"/"&amp;(B23+1))</f>
        <v>4029/4030</v>
      </c>
      <c r="L23" s="21" t="str">
        <f>VLOOKUP(A23,'Trips&amp;Operators'!$C$1:$G$99999,5,FALSE)</f>
        <v>ROCHA YAOTL</v>
      </c>
      <c r="M23" s="6">
        <f>I23-F23</f>
        <v>2.4479166662786156E-2</v>
      </c>
      <c r="N23" s="7">
        <f>24*60*SUM($M23:$M23)</f>
        <v>35.249999994412065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9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-02-01T03:57:41-0700',mode:absolute,to:'2017-02-01T06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" s="193" t="str">
        <f>IF(AA23&lt;IF(AG23="EC",23,5.65),"Y","N")</f>
        <v>N</v>
      </c>
      <c r="X23" s="193">
        <f>VALUE(LEFT(AD23,4))-VALUE(LEFT(AD22,4))</f>
        <v>1</v>
      </c>
      <c r="Y23" s="62">
        <f>RIGHT(D23,LEN(D23)-4)/10000</f>
        <v>7.3499999999999996E-2</v>
      </c>
      <c r="Z23" s="62">
        <f>RIGHT(H23,LEN(H23)-4)/10000</f>
        <v>23.328600000000002</v>
      </c>
      <c r="AA23" s="62">
        <f>ABS(Z23-Y23)</f>
        <v>23.255100000000002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>IF(LEN(A23)=6,"0"&amp;A23,A23)</f>
        <v>0111-01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/stypes="app*4029*20170201*"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111-01 --locoid 4029 --swversion DE.1.0.8.0 --startMP 204:735 --initTime 2017-02-01T04:57:41 --startdatetime 2017-02-01T05:00:19 --delay 1 --endMP 204:233286 --enddatetime 2017-02-01T05:35:34 --enforcementcount 0 &gt;&gt;C:\Users\stu\Documents\GitHub\eaglep3-reporting\EC\2017-02-01-refined-times.txt</v>
      </c>
      <c r="AI2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{"issue":{"subject":"","project_id":79,"tracker_id":40,"status_id":1,"priority_id":2,"assigned_to_id":23,"start_date":"2017-02-01","description":"","custom_fields":[{"id":1,"name":"Subdivision","value":"EC"},{"id":4,"name":"Milepost","value":"23.3286"},{"id":17,"name":"Train ID","value":"111-01"},{"id":16,"name":"Locomotive ID","value":"4029"},{"id":130,"name":"Impact","value":""},{"id":150,"name":"Time of Event (Mountain Time)","value":"05:35:34"},{"id":151,"name":"Denver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60" t="str">
        <f t="shared" si="5"/>
        <v>start /low /b %USERPROFILE%\Documents\GitHub\eaglep3\Utilities\DownloadLogsFromS3.py --loco 4029 --day 2017-02-01</v>
      </c>
      <c r="AN23" s="16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478</v>
      </c>
      <c r="B24" s="7">
        <v>4030</v>
      </c>
      <c r="C24" s="21" t="s">
        <v>193</v>
      </c>
      <c r="D24" s="21" t="s">
        <v>687</v>
      </c>
      <c r="E24" s="13">
        <v>42767.246400462966</v>
      </c>
      <c r="F24" s="13">
        <v>42767.247708333336</v>
      </c>
      <c r="G24" s="7">
        <v>1</v>
      </c>
      <c r="H24" s="21" t="s">
        <v>210</v>
      </c>
      <c r="I24" s="13">
        <v>42767.27412037037</v>
      </c>
      <c r="J24" s="7">
        <v>0</v>
      </c>
      <c r="K24" s="98" t="str">
        <f>IF(ISEVEN(B24),(B24-1)&amp;"/"&amp;B24,B24&amp;"/"&amp;(B24+1))</f>
        <v>4029/4030</v>
      </c>
      <c r="L24" s="21" t="str">
        <f>VLOOKUP(A24,'Trips&amp;Operators'!$C$1:$G$99999,5,FALSE)</f>
        <v>ROCHA YAOTL</v>
      </c>
      <c r="M24" s="6">
        <f>I24-F24</f>
        <v>2.6412037033878732E-2</v>
      </c>
      <c r="N24" s="7">
        <f>24*60*SUM($M24:$M24)</f>
        <v>38.033333328785375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9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-01T04:54:49-0700',mode:absolute,to:'2017-02-01T07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" s="193" t="str">
        <f>IF(AA24&lt;IF(AG24="EC",23,5.65),"Y","N")</f>
        <v>N</v>
      </c>
      <c r="X24" s="193">
        <f>VALUE(LEFT(AD24,4))-VALUE(LEFT(AD23,4))</f>
        <v>1</v>
      </c>
      <c r="Y24" s="62">
        <f>RIGHT(D24,LEN(D24)-4)/10000</f>
        <v>23.297799999999999</v>
      </c>
      <c r="Z24" s="62">
        <f>RIGHT(H24,LEN(H24)-4)/10000</f>
        <v>1.6E-2</v>
      </c>
      <c r="AA24" s="62">
        <f>ABS(Z24-Y24)</f>
        <v>23.2818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>IF(LEN(A24)=6,"0"&amp;A24,A24)</f>
        <v>0112-01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/stypes="app*4030*20170201*"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112-01 --locoid 4030 --swversion DE.1.0.8.0 --startMP 204:232978 --initTime 2017-02-01T05:54:49 --startdatetime 2017-02-01T05:56:42 --delay 1 --endMP 204:160 --enddatetime 2017-02-01T06:34:44 --enforcementcount 0 &gt;&gt;C:\Users\stu\Documents\GitHub\eaglep3-reporting\EC\2017-02-01-refined-times.txt</v>
      </c>
      <c r="AI2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{"issue":{"subject":"","project_id":79,"tracker_id":40,"status_id":1,"priority_id":2,"assigned_to_id":23,"start_date":"2017-02-01","description":"","custom_fields":[{"id":1,"name":"Subdivision","value":"EC"},{"id":4,"name":"Milepost","value":"0.016"},{"id":17,"name":"Train ID","value":"112-01"},{"id":16,"name":"Locomotive ID","value":"4030"},{"id":130,"name":"Impact","value":""},{"id":150,"name":"Time of Event (Mountain Time)","value":"06:34:44"},{"id":151,"name":"Denver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60" t="str">
        <f t="shared" si="5"/>
        <v>start /low /b %USERPROFILE%\Documents\GitHub\eaglep3\Utilities\DownloadLogsFromS3.py --loco 4030 --day 2017-02-01</v>
      </c>
      <c r="AN24" s="16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469</v>
      </c>
      <c r="B25" s="7">
        <v>4016</v>
      </c>
      <c r="C25" s="21" t="s">
        <v>193</v>
      </c>
      <c r="D25" s="21" t="s">
        <v>688</v>
      </c>
      <c r="E25" s="13">
        <v>42767.209756944445</v>
      </c>
      <c r="F25" s="13">
        <v>42767.218912037039</v>
      </c>
      <c r="G25" s="7">
        <v>1</v>
      </c>
      <c r="H25" s="21" t="s">
        <v>316</v>
      </c>
      <c r="I25" s="13">
        <v>42767.245775462965</v>
      </c>
      <c r="J25" s="7">
        <v>0</v>
      </c>
      <c r="K25" s="98" t="str">
        <f>IF(ISEVEN(B25),(B25-1)&amp;"/"&amp;B25,B25&amp;"/"&amp;(B25+1))</f>
        <v>4015/4016</v>
      </c>
      <c r="L25" s="21" t="str">
        <f>VLOOKUP(A25,'Trips&amp;Operators'!$C$1:$G$99999,5,FALSE)</f>
        <v>PERKINS DARREN</v>
      </c>
      <c r="M25" s="6">
        <f>I25-F25</f>
        <v>2.6863425926421769E-2</v>
      </c>
      <c r="N25" s="7">
        <f>24*60*SUM($M25:$M25)</f>
        <v>38.683333334047347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9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-02-01T04:02:03-0700',mode:absolute,to:'2017-02-01T06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3" t="str">
        <f>IF(AA25&lt;IF(AG25="EC",23,5.65),"Y","N")</f>
        <v>N</v>
      </c>
      <c r="X25" s="193">
        <f>VALUE(LEFT(AD25,4))-VALUE(LEFT(AD24,4))</f>
        <v>1</v>
      </c>
      <c r="Y25" s="62">
        <f>RIGHT(D25,LEN(D25)-4)/10000</f>
        <v>4.3299999999999998E-2</v>
      </c>
      <c r="Z25" s="62">
        <f>RIGHT(H25,LEN(H25)-4)/10000</f>
        <v>23.3308</v>
      </c>
      <c r="AA25" s="62">
        <f>ABS(Z25-Y25)</f>
        <v>23.287500000000001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>IF(LEN(A25)=6,"0"&amp;A25,A25)</f>
        <v>0113-01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/stypes="app*4016*20170201*"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113-01 --locoid 4016 --swversion DE.1.0.8.0 --startMP 204:433 --initTime 2017-02-01T05:02:03 --startdatetime 2017-02-01T05:15:14 --delay 1 --endMP 204:233308 --enddatetime 2017-02-01T05:53:55 --enforcementcount 0 &gt;&gt;C:\Users\stu\Documents\GitHub\eaglep3-reporting\EC\2017-02-01-refined-times.txt</v>
      </c>
      <c r="AI2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{"issue":{"subject":"","project_id":79,"tracker_id":40,"status_id":1,"priority_id":2,"assigned_to_id":23,"start_date":"2017-02-01","description":"","custom_fields":[{"id":1,"name":"Subdivision","value":"EC"},{"id":4,"name":"Milepost","value":"23.3308"},{"id":17,"name":"Train ID","value":"113-01"},{"id":16,"name":"Locomotive ID","value":"4016"},{"id":130,"name":"Impact","value":""},{"id":150,"name":"Time of Event (Mountain Time)","value":"05:53:55"},{"id":151,"name":"Denver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60" t="str">
        <f t="shared" si="5"/>
        <v>start /low /b %USERPROFILE%\Documents\GitHub\eaglep3\Utilities\DownloadLogsFromS3.py --loco 4016 --day 2017-02-01</v>
      </c>
      <c r="AN25" s="16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480</v>
      </c>
      <c r="B26" s="7">
        <v>4015</v>
      </c>
      <c r="C26" s="21" t="s">
        <v>193</v>
      </c>
      <c r="D26" s="21" t="s">
        <v>379</v>
      </c>
      <c r="E26" s="13">
        <v>42767.251342592594</v>
      </c>
      <c r="F26" s="13">
        <v>42767.257731481484</v>
      </c>
      <c r="G26" s="7">
        <v>1</v>
      </c>
      <c r="H26" s="21" t="s">
        <v>324</v>
      </c>
      <c r="I26" s="13">
        <v>42767.28460648148</v>
      </c>
      <c r="J26" s="7">
        <v>0</v>
      </c>
      <c r="K26" s="98" t="str">
        <f>IF(ISEVEN(B26),(B26-1)&amp;"/"&amp;B26,B26&amp;"/"&amp;(B26+1))</f>
        <v>4015/4016</v>
      </c>
      <c r="L26" s="21" t="str">
        <f>VLOOKUP(A26,'Trips&amp;Operators'!$C$1:$G$99999,5,FALSE)</f>
        <v>PERKINS DARREN</v>
      </c>
      <c r="M26" s="6">
        <f>I26-F26</f>
        <v>2.6874999995925464E-2</v>
      </c>
      <c r="N26" s="7">
        <f>24*60*SUM($M26:$M26)</f>
        <v>38.699999994132668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9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-02-01T05:01:56-0700',mode:absolute,to:'2017-02-01T07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3" t="str">
        <f>IF(AA26&lt;IF(AG26="EC",23,5.65),"Y","N")</f>
        <v>N</v>
      </c>
      <c r="X26" s="193">
        <f>VALUE(LEFT(AD26,4))-VALUE(LEFT(AD25,4))</f>
        <v>1</v>
      </c>
      <c r="Y26" s="62">
        <f>RIGHT(D26,LEN(D26)-4)/10000</f>
        <v>23.3</v>
      </c>
      <c r="Z26" s="62">
        <f>RIGHT(H26,LEN(H26)-4)/10000</f>
        <v>1.3899999999999999E-2</v>
      </c>
      <c r="AA26" s="62">
        <f>ABS(Z26-Y26)</f>
        <v>23.286100000000001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>IF(LEN(A26)=6,"0"&amp;A26,A26)</f>
        <v>0114-01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/stypes="app*4015*20170201*"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114-01 --locoid 4015 --swversion DE.1.0.8.0 --startMP 204:233000 --initTime 2017-02-01T06:01:56 --startdatetime 2017-02-01T06:11:08 --delay 1 --endMP 204:139 --enddatetime 2017-02-01T06:49:50 --enforcementcount 0 &gt;&gt;C:\Users\stu\Documents\GitHub\eaglep3-reporting\EC\2017-02-01-refined-times.txt</v>
      </c>
      <c r="AI2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{"issue":{"subject":"","project_id":79,"tracker_id":40,"status_id":1,"priority_id":2,"assigned_to_id":23,"start_date":"2017-02-01","description":"","custom_fields":[{"id":1,"name":"Subdivision","value":"EC"},{"id":4,"name":"Milepost","value":"0.0139"},{"id":17,"name":"Train ID","value":"114-01"},{"id":16,"name":"Locomotive ID","value":"4015"},{"id":130,"name":"Impact","value":""},{"id":150,"name":"Time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60" t="str">
        <f t="shared" si="5"/>
        <v>start /low /b %USERPROFILE%\Documents\GitHub\eaglep3\Utilities\DownloadLogsFromS3.py --loco 4015 --day 2017-02-01</v>
      </c>
      <c r="AN26" s="16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474</v>
      </c>
      <c r="B27" s="7">
        <v>4038</v>
      </c>
      <c r="C27" s="21" t="s">
        <v>193</v>
      </c>
      <c r="D27" s="21" t="s">
        <v>689</v>
      </c>
      <c r="E27" s="13">
        <v>42767.226458333331</v>
      </c>
      <c r="F27" s="13">
        <v>42767.229386574072</v>
      </c>
      <c r="G27" s="7">
        <v>1</v>
      </c>
      <c r="H27" s="21" t="s">
        <v>388</v>
      </c>
      <c r="I27" s="13">
        <v>42767.254780092589</v>
      </c>
      <c r="J27" s="7">
        <v>0</v>
      </c>
      <c r="K27" s="98" t="str">
        <f>IF(ISEVEN(B27),(B27-1)&amp;"/"&amp;B27,B27&amp;"/"&amp;(B27+1))</f>
        <v>4037/4038</v>
      </c>
      <c r="L27" s="21" t="str">
        <f>VLOOKUP(A27,'Trips&amp;Operators'!$C$1:$G$99999,5,FALSE)</f>
        <v>STARKS ANGELINA</v>
      </c>
      <c r="M27" s="6">
        <f>I27-F27</f>
        <v>2.5393518517375924E-2</v>
      </c>
      <c r="N27" s="7">
        <f>24*60*SUM($M27:$M27)</f>
        <v>36.56666666502133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9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-02-01T04:26:06-0700',mode:absolute,to:'2017-02-01T07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7" s="193" t="str">
        <f>IF(AA27&lt;IF(AG27="EC",23,5.65),"Y","N")</f>
        <v>N</v>
      </c>
      <c r="X27" s="193">
        <f>VALUE(LEFT(AD27,4))-VALUE(LEFT(AD26,4))</f>
        <v>1</v>
      </c>
      <c r="Y27" s="62">
        <f>RIGHT(D27,LEN(D27)-4)/10000</f>
        <v>7.5499999999999998E-2</v>
      </c>
      <c r="Z27" s="62">
        <f>RIGHT(H27,LEN(H27)-4)/10000</f>
        <v>23.3309</v>
      </c>
      <c r="AA27" s="62">
        <f>ABS(Z27-Y27)</f>
        <v>23.255399999999998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>IF(LEN(A27)=6,"0"&amp;A27,A27)</f>
        <v>0115-01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/stypes="app*4038*20170201*"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115-01 --locoid 4038 --swversion DE.1.0.8.0 --startMP 204:755 --initTime 2017-02-01T05:26:06 --startdatetime 2017-02-01T05:30:19 --delay 1 --endMP 204:233309 --enddatetime 2017-02-01T06:06:53 --enforcementcount 0 &gt;&gt;C:\Users\stu\Documents\GitHub\eaglep3-reporting\EC\2017-02-01-refined-times.txt</v>
      </c>
      <c r="AI2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{"issue":{"subject":"","project_id":79,"tracker_id":40,"status_id":1,"priority_id":2,"assigned_to_id":23,"start_date":"2017-02-01","description":"","custom_fields":[{"id":1,"name":"Subdivision","value":"EC"},{"id":4,"name":"Milepost","value":"23.3309"},{"id":17,"name":"Train ID","value":"115-01"},{"id":16,"name":"Locomotive ID","value":"4038"},{"id":130,"name":"Impact","value":""},{"id":150,"name":"Time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60" t="str">
        <f t="shared" si="5"/>
        <v>start /low /b %USERPROFILE%\Documents\GitHub\eaglep3\Utilities\DownloadLogsFromS3.py --loco 4038 --day 2017-02-01</v>
      </c>
      <c r="AN27" s="16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483</v>
      </c>
      <c r="B28" s="7">
        <v>4037</v>
      </c>
      <c r="C28" s="21" t="s">
        <v>193</v>
      </c>
      <c r="D28" s="21" t="s">
        <v>382</v>
      </c>
      <c r="E28" s="13">
        <v>42767.257476851853</v>
      </c>
      <c r="F28" s="13">
        <v>42767.268217592595</v>
      </c>
      <c r="G28" s="7">
        <v>1</v>
      </c>
      <c r="H28" s="21" t="s">
        <v>184</v>
      </c>
      <c r="I28" s="13">
        <v>42767.295381944445</v>
      </c>
      <c r="J28" s="7">
        <v>0</v>
      </c>
      <c r="K28" s="98" t="str">
        <f>IF(ISEVEN(B28),(B28-1)&amp;"/"&amp;B28,B28&amp;"/"&amp;(B28+1))</f>
        <v>4037/4038</v>
      </c>
      <c r="L28" s="21" t="str">
        <f>VLOOKUP(A28,'Trips&amp;Operators'!$C$1:$G$99999,5,FALSE)</f>
        <v>STARKS ANGELINA</v>
      </c>
      <c r="M28" s="6">
        <f>I28-F28</f>
        <v>2.7164351849933155E-2</v>
      </c>
      <c r="N28" s="7">
        <f>24*60*SUM($M28:$M28)</f>
        <v>39.116666663903743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9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-02-01T05:10:46-0700',mode:absolute,to:'2017-02-01T08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8" s="193" t="str">
        <f>IF(AA28&lt;IF(AG28="EC",23,5.65),"Y","N")</f>
        <v>N</v>
      </c>
      <c r="X28" s="193">
        <f>VALUE(LEFT(AD28,4))-VALUE(LEFT(AD27,4))</f>
        <v>1</v>
      </c>
      <c r="Y28" s="62">
        <f>RIGHT(D28,LEN(D28)-4)/10000</f>
        <v>23.2986</v>
      </c>
      <c r="Z28" s="62">
        <f>RIGHT(H28,LEN(H28)-4)/10000</f>
        <v>1.49E-2</v>
      </c>
      <c r="AA28" s="62">
        <f>ABS(Z28-Y28)</f>
        <v>23.2837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>IF(LEN(A28)=6,"0"&amp;A28,A28)</f>
        <v>0116-01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/stypes="app*4037*20170201*"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116-01 --locoid 4037 --swversion DE.1.0.8.0 --startMP 204:232986 --initTime 2017-02-01T06:10:46 --startdatetime 2017-02-01T06:26:14 --delay 1 --endMP 204:149 --enddatetime 2017-02-01T07:05:21 --enforcementcount 0 &gt;&gt;C:\Users\stu\Documents\GitHub\eaglep3-reporting\EC\2017-02-01-refined-times.txt</v>
      </c>
      <c r="AI2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{"issue":{"subject":"","project_id":79,"tracker_id":40,"status_id":1,"priority_id":2,"assigned_to_id":23,"start_date":"2017-02-01","description":"","custom_fields":[{"id":1,"name":"Subdivision","value":"EC"},{"id":4,"name":"Milepost","value":"0.0149"},{"id":17,"name":"Train ID","value":"116-01"},{"id":16,"name":"Locomotive ID","value":"4037"},{"id":130,"name":"Impact","value":""},{"id":150,"name":"Time of Event (Mountain Time)","value":"07:05:21"},{"id":151,"name":"Denver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60" t="str">
        <f t="shared" si="5"/>
        <v>start /low /b %USERPROFILE%\Documents\GitHub\eaglep3\Utilities\DownloadLogsFromS3.py --loco 4037 --day 2017-02-01</v>
      </c>
      <c r="AN28" s="16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473</v>
      </c>
      <c r="B29" s="7">
        <v>4051</v>
      </c>
      <c r="C29" s="21" t="s">
        <v>193</v>
      </c>
      <c r="D29" s="21" t="s">
        <v>300</v>
      </c>
      <c r="E29" s="13">
        <v>42767.224942129629</v>
      </c>
      <c r="F29" s="13">
        <v>42767.239837962959</v>
      </c>
      <c r="G29" s="7">
        <v>1</v>
      </c>
      <c r="H29" s="21" t="s">
        <v>690</v>
      </c>
      <c r="I29" s="13">
        <v>42767.266076388885</v>
      </c>
      <c r="J29" s="7">
        <v>0</v>
      </c>
      <c r="K29" s="98" t="str">
        <f>IF(ISEVEN(B29),(B29-1)&amp;"/"&amp;B29,B29&amp;"/"&amp;(B29+1))</f>
        <v>4051/4052</v>
      </c>
      <c r="L29" s="21" t="str">
        <f>VLOOKUP(A29,'Trips&amp;Operators'!$C$1:$G$99999,5,FALSE)</f>
        <v>MAELZER KURT</v>
      </c>
      <c r="M29" s="6">
        <f>I29-F29</f>
        <v>2.6238425925839692E-2</v>
      </c>
      <c r="N29" s="7">
        <f>24*60*SUM($M29:$M29)</f>
        <v>37.783333333209157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9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-01T04:23:55-0700',mode:absolute,to:'2017-02-01T07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9" s="193" t="str">
        <f>IF(AA29&lt;IF(AG29="EC",23,5.65),"Y","N")</f>
        <v>N</v>
      </c>
      <c r="X29" s="193">
        <f>VALUE(LEFT(AD29,4))-VALUE(LEFT(AD28,4))</f>
        <v>1</v>
      </c>
      <c r="Y29" s="62">
        <f>RIGHT(D29,LEN(D29)-4)/10000</f>
        <v>4.5499999999999999E-2</v>
      </c>
      <c r="Z29" s="62">
        <f>RIGHT(H29,LEN(H29)-4)/10000</f>
        <v>23.330200000000001</v>
      </c>
      <c r="AA29" s="62">
        <f>ABS(Z29-Y29)</f>
        <v>23.284700000000001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>IF(LEN(A29)=6,"0"&amp;A29,A29)</f>
        <v>0117-01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/stypes="app*4051*20170201*"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117-01 --locoid 4051 --swversion DE.1.0.8.0 --startMP 204:455 --initTime 2017-02-01T05:23:55 --startdatetime 2017-02-01T05:45:22 --delay 1 --endMP 204:233302 --enddatetime 2017-02-01T06:23:09 --enforcementcount 0 &gt;&gt;C:\Users\stu\Documents\GitHub\eaglep3-reporting\EC\2017-02-01-refined-times.txt</v>
      </c>
      <c r="AI2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{"issue":{"subject":"","project_id":79,"tracker_id":40,"status_id":1,"priority_id":2,"assigned_to_id":23,"start_date":"2017-02-01","description":"","custom_fields":[{"id":1,"name":"Subdivision","value":"EC"},{"id":4,"name":"Milepost","value":"23.3302"},{"id":17,"name":"Train ID","value":"117-01"},{"id":16,"name":"Locomotive ID","value":"4051"},{"id":130,"name":"Impact","value":""},{"id":150,"name":"Time of Event (Mountain Time)","value":"06:23:09"},{"id":151,"name":"Denver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60" t="str">
        <f t="shared" si="5"/>
        <v>start /low /b %USERPROFILE%\Documents\GitHub\eaglep3\Utilities\DownloadLogsFromS3.py --loco 4051 --day 2017-02-01</v>
      </c>
      <c r="AN29" s="16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487</v>
      </c>
      <c r="B30" s="7">
        <v>4052</v>
      </c>
      <c r="C30" s="21" t="s">
        <v>193</v>
      </c>
      <c r="D30" s="21" t="s">
        <v>691</v>
      </c>
      <c r="E30" s="13">
        <v>42767.271921296298</v>
      </c>
      <c r="F30" s="13">
        <v>42767.278819444444</v>
      </c>
      <c r="G30" s="7">
        <v>1</v>
      </c>
      <c r="H30" s="21" t="s">
        <v>241</v>
      </c>
      <c r="I30" s="13">
        <v>42767.30605324074</v>
      </c>
      <c r="J30" s="7">
        <v>0</v>
      </c>
      <c r="K30" s="98" t="str">
        <f>IF(ISEVEN(B30),(B30-1)&amp;"/"&amp;B30,B30&amp;"/"&amp;(B30+1))</f>
        <v>4051/4052</v>
      </c>
      <c r="L30" s="21" t="str">
        <f>VLOOKUP(A30,'Trips&amp;Operators'!$C$1:$G$99999,5,FALSE)</f>
        <v>MAELZER KURT</v>
      </c>
      <c r="M30" s="6">
        <f>I30-F30</f>
        <v>2.7233796296059154E-2</v>
      </c>
      <c r="N30" s="7">
        <f>24*60*SUM($M30:$M30)</f>
        <v>39.216666666325182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9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-02-01T05:31:34-0700',mode:absolute,to:'2017-02-01T08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0" s="193" t="str">
        <f>IF(AA30&lt;IF(AG30="EC",23,5.65),"Y","N")</f>
        <v>N</v>
      </c>
      <c r="X30" s="193">
        <f>VALUE(LEFT(AD30,4))-VALUE(LEFT(AD29,4))</f>
        <v>1</v>
      </c>
      <c r="Y30" s="62">
        <f>RIGHT(D30,LEN(D30)-4)/10000</f>
        <v>23.299099999999999</v>
      </c>
      <c r="Z30" s="62">
        <f>RIGHT(H30,LEN(H30)-4)/10000</f>
        <v>1.43E-2</v>
      </c>
      <c r="AA30" s="62">
        <f>ABS(Z30-Y30)</f>
        <v>23.284800000000001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>IF(LEN(A30)=6,"0"&amp;A30,A30)</f>
        <v>0118-01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/stypes="app*4052*20170201*"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118-01 --locoid 4052 --swversion DE.1.0.8.0 --startMP 204:232991 --initTime 2017-02-01T06:31:34 --startdatetime 2017-02-01T06:41:30 --delay 1 --endMP 204:143 --enddatetime 2017-02-01T07:20:43 --enforcementcount 0 &gt;&gt;C:\Users\stu\Documents\GitHub\eaglep3-reporting\EC\2017-02-01-refined-times.txt</v>
      </c>
      <c r="AI3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ID","value":"118-01"},{"id":16,"name":"Locomotive ID","value":"4052"},{"id":130,"name":"Impact","value":""},{"id":150,"name":"Time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60" t="str">
        <f t="shared" si="5"/>
        <v>start /low /b %USERPROFILE%\Documents\GitHub\eaglep3\Utilities\DownloadLogsFromS3.py --loco 4052 --day 2017-02-01</v>
      </c>
      <c r="AN30" s="16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477</v>
      </c>
      <c r="B31" s="7">
        <v>4042</v>
      </c>
      <c r="C31" s="21" t="s">
        <v>193</v>
      </c>
      <c r="D31" s="21" t="s">
        <v>692</v>
      </c>
      <c r="E31" s="13">
        <v>42767.245567129627</v>
      </c>
      <c r="F31" s="13">
        <v>42767.250185185185</v>
      </c>
      <c r="G31" s="7">
        <v>1</v>
      </c>
      <c r="H31" s="21" t="s">
        <v>315</v>
      </c>
      <c r="I31" s="13">
        <v>42767.274629629632</v>
      </c>
      <c r="J31" s="7">
        <v>0</v>
      </c>
      <c r="K31" s="98" t="str">
        <f>IF(ISEVEN(B31),(B31-1)&amp;"/"&amp;B31,B31&amp;"/"&amp;(B31+1))</f>
        <v>4041/4042</v>
      </c>
      <c r="L31" s="21" t="str">
        <f>VLOOKUP(A31,'Trips&amp;Operators'!$C$1:$G$99999,5,FALSE)</f>
        <v>GEBRETEKLE DAGNEW</v>
      </c>
      <c r="M31" s="6">
        <f>I31-F31</f>
        <v>2.4444444446999114E-2</v>
      </c>
      <c r="N31" s="7">
        <f>24*60*SUM($M31:$M31)</f>
        <v>35.200000003678724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9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-02-01T04:53:37-0700',mode:absolute,to:'2017-02-01T07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193" t="str">
        <f>IF(AA31&lt;IF(AG31="EC",23,5.65),"Y","N")</f>
        <v>N</v>
      </c>
      <c r="X31" s="193">
        <f>VALUE(LEFT(AD31,4))-VALUE(LEFT(AD30,4))</f>
        <v>1</v>
      </c>
      <c r="Y31" s="62">
        <f>RIGHT(D31,LEN(D31)-4)/10000</f>
        <v>7.7200000000000005E-2</v>
      </c>
      <c r="Z31" s="62">
        <f>RIGHT(H31,LEN(H31)-4)/10000</f>
        <v>23.331099999999999</v>
      </c>
      <c r="AA31" s="62">
        <f>ABS(Z31-Y31)</f>
        <v>23.253899999999998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>IF(LEN(A31)=6,"0"&amp;A31,A31)</f>
        <v>0119-01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/stypes="app*4042*20170201*"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119-01 --locoid 4042 --swversion DE.1.0.8.0 --startMP 204:772 --initTime 2017-02-01T05:53:37 --startdatetime 2017-02-01T06:00:16 --delay 1 --endMP 204:233311 --enddatetime 2017-02-01T06:35:28 --enforcementcount 0 &gt;&gt;C:\Users\stu\Documents\GitHub\eaglep3-reporting\EC\2017-02-01-refined-times.txt</v>
      </c>
      <c r="AI3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{"issue":{"subject":"","project_id":79,"tracker_id":40,"status_id":1,"priority_id":2,"assigned_to_id":23,"start_date":"2017-02-01","description":"","custom_fields":[{"id":1,"name":"Subdivision","value":"EC"},{"id":4,"name":"Milepost","value":"23.3311"},{"id":17,"name":"Train ID","value":"119-01"},{"id":16,"name":"Locomotive ID","value":"4042"},{"id":130,"name":"Impact","value":""},{"id":150,"name":"Time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60" t="str">
        <f t="shared" si="5"/>
        <v>start /low /b %USERPROFILE%\Documents\GitHub\eaglep3\Utilities\DownloadLogsFromS3.py --loco 4042 --day 2017-02-01</v>
      </c>
      <c r="AN31" s="16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490</v>
      </c>
      <c r="B32" s="7">
        <v>4041</v>
      </c>
      <c r="C32" s="21" t="s">
        <v>193</v>
      </c>
      <c r="D32" s="21" t="s">
        <v>382</v>
      </c>
      <c r="E32" s="13">
        <v>42767.28361111111</v>
      </c>
      <c r="F32" s="13">
        <v>42767.289097222223</v>
      </c>
      <c r="G32" s="7">
        <v>1</v>
      </c>
      <c r="H32" s="21" t="s">
        <v>297</v>
      </c>
      <c r="I32" s="13">
        <v>42767.315266203703</v>
      </c>
      <c r="J32" s="7">
        <v>0</v>
      </c>
      <c r="K32" s="98" t="str">
        <f>IF(ISEVEN(B32),(B32-1)&amp;"/"&amp;B32,B32&amp;"/"&amp;(B32+1))</f>
        <v>4041/4042</v>
      </c>
      <c r="L32" s="21" t="str">
        <f>VLOOKUP(A32,'Trips&amp;Operators'!$C$1:$G$99999,5,FALSE)</f>
        <v>GEBRETEKLE DAGNEW</v>
      </c>
      <c r="M32" s="6">
        <f>I32-F32</f>
        <v>2.6168981479713693E-2</v>
      </c>
      <c r="N32" s="7">
        <f>24*60*SUM($M32:$M32)</f>
        <v>37.683333330787718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9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-02-01T05:48:24-0700',mode:absolute,to:'2017-02-01T08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193" t="str">
        <f>IF(AA32&lt;IF(AG32="EC",23,5.65),"Y","N")</f>
        <v>N</v>
      </c>
      <c r="X32" s="193">
        <f>VALUE(LEFT(AD32,4))-VALUE(LEFT(AD31,4))</f>
        <v>1</v>
      </c>
      <c r="Y32" s="62">
        <f>RIGHT(D32,LEN(D32)-4)/10000</f>
        <v>23.2986</v>
      </c>
      <c r="Z32" s="62">
        <f>RIGHT(H32,LEN(H32)-4)/10000</f>
        <v>1.5599999999999999E-2</v>
      </c>
      <c r="AA32" s="62">
        <f>ABS(Z32-Y32)</f>
        <v>23.283000000000001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>IF(LEN(A32)=6,"0"&amp;A32,A32)</f>
        <v>0120-01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/stypes="app*4041*20170201*"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120-01 --locoid 4041 --swversion DE.1.0.8.0 --startMP 204:232986 --initTime 2017-02-01T06:48:24 --startdatetime 2017-02-01T06:56:18 --delay 1 --endMP 204:156 --enddatetime 2017-02-01T07:33:59 --enforcementcount 0 &gt;&gt;C:\Users\stu\Documents\GitHub\eaglep3-reporting\EC\2017-02-01-refined-times.txt</v>
      </c>
      <c r="AI32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{"issue":{"subject":"","project_id":79,"tracker_id":40,"status_id":1,"priority_id":2,"assigned_to_id":23,"start_date":"2017-02-01","description":"","custom_fields":[{"id":1,"name":"Subdivision","value":"EC"},{"id":4,"name":"Milepost","value":"0.0156"},{"id":17,"name":"Train ID","value":"120-01"},{"id":16,"name":"Locomotive ID","value":"4041"},{"id":130,"name":"Impact","value":""},{"id":150,"name":"Time of Event (Mountain Time)","value":"07:33:59"},{"id":151,"name":"Denver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60" t="str">
        <f t="shared" si="5"/>
        <v>start /low /b %USERPROFILE%\Documents\GitHub\eaglep3\Utilities\DownloadLogsFromS3.py --loco 4041 --day 2017-02-01</v>
      </c>
      <c r="AN32" s="16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482</v>
      </c>
      <c r="B33" s="7">
        <v>4046</v>
      </c>
      <c r="C33" s="21" t="s">
        <v>193</v>
      </c>
      <c r="D33" s="21" t="s">
        <v>393</v>
      </c>
      <c r="E33" s="13">
        <v>42767.256041666667</v>
      </c>
      <c r="F33" s="13">
        <v>42767.260578703703</v>
      </c>
      <c r="G33" s="7">
        <v>1</v>
      </c>
      <c r="H33" s="21" t="s">
        <v>690</v>
      </c>
      <c r="I33" s="13">
        <v>42767.286631944444</v>
      </c>
      <c r="J33" s="7">
        <v>0</v>
      </c>
      <c r="K33" s="98" t="str">
        <f>IF(ISEVEN(B33),(B33-1)&amp;"/"&amp;B33,B33&amp;"/"&amp;(B33+1))</f>
        <v>4045/4046</v>
      </c>
      <c r="L33" s="21" t="str">
        <f>VLOOKUP(A33,'Trips&amp;Operators'!$C$1:$G$99999,5,FALSE)</f>
        <v>BONDS REYNALDO</v>
      </c>
      <c r="M33" s="6">
        <f>I33-F33</f>
        <v>2.6053240741021E-2</v>
      </c>
      <c r="N33" s="7">
        <f>24*60*SUM($M33:$M33)</f>
        <v>37.51666666707024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9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-02-01T05:08:42-0700',mode:absolute,to:'2017-02-01T07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93" t="str">
        <f>IF(AA33&lt;IF(AG33="EC",23,5.65),"Y","N")</f>
        <v>N</v>
      </c>
      <c r="X33" s="193">
        <f>VALUE(LEFT(AD33,4))-VALUE(LEFT(AD32,4))</f>
        <v>1</v>
      </c>
      <c r="Y33" s="62">
        <f>RIGHT(D33,LEN(D33)-4)/10000</f>
        <v>4.8000000000000001E-2</v>
      </c>
      <c r="Z33" s="62">
        <f>RIGHT(H33,LEN(H33)-4)/10000</f>
        <v>23.330200000000001</v>
      </c>
      <c r="AA33" s="62">
        <f>ABS(Z33-Y33)</f>
        <v>23.282200000000003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>IF(LEN(A33)=6,"0"&amp;A33,A33)</f>
        <v>0121-01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/stypes="app*4046*20170201*"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121-01 --locoid 4046 --swversion DE.1.0.8.0 --startMP 204:480 --initTime 2017-02-01T06:08:42 --startdatetime 2017-02-01T06:15:14 --delay 1 --endMP 204:233302 --enddatetime 2017-02-01T06:52:45 --enforcementcount 0 &gt;&gt;C:\Users\stu\Documents\GitHub\eaglep3-reporting\EC\2017-02-01-refined-times.txt</v>
      </c>
      <c r="AI3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{"issue":{"subject":"","project_id":79,"tracker_id":40,"status_id":1,"priority_id":2,"assigned_to_id":23,"start_date":"2017-02-01","description":"","custom_fields":[{"id":1,"name":"Subdivision","value":"EC"},{"id":4,"name":"Milepost","value":"23.3302"},{"id":17,"name":"Train ID","value":"121-01"},{"id":16,"name":"Locomotive ID","value":"4046"},{"id":130,"name":"Impact","value":""},{"id":150,"name":"Time of Event (Mountain Time)","value":"06:52:45"},{"id":151,"name":"Denver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60" t="str">
        <f t="shared" si="5"/>
        <v>start /low /b %USERPROFILE%\Documents\GitHub\eaglep3\Utilities\DownloadLogsFromS3.py --loco 4046 --day 2017-02-01</v>
      </c>
      <c r="AN33" s="16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431</v>
      </c>
      <c r="B34" s="7">
        <v>4045</v>
      </c>
      <c r="C34" s="21" t="s">
        <v>193</v>
      </c>
      <c r="D34" s="21" t="s">
        <v>298</v>
      </c>
      <c r="E34" s="13">
        <v>42767.295381944445</v>
      </c>
      <c r="F34" s="13">
        <v>42767.299490740741</v>
      </c>
      <c r="G34" s="7">
        <v>1</v>
      </c>
      <c r="H34" s="21" t="s">
        <v>678</v>
      </c>
      <c r="I34" s="13">
        <v>42767.326770833337</v>
      </c>
      <c r="J34" s="7">
        <v>0</v>
      </c>
      <c r="K34" s="98" t="str">
        <f>IF(ISEVEN(B34),(B34-1)&amp;"/"&amp;B34,B34&amp;"/"&amp;(B34+1))</f>
        <v>4045/4046</v>
      </c>
      <c r="L34" s="21" t="str">
        <f>VLOOKUP(A34,'Trips&amp;Operators'!$C$1:$G$99999,5,FALSE)</f>
        <v>BONDS REYNALDO</v>
      </c>
      <c r="M34" s="6">
        <f>I34-F34</f>
        <v>2.7280092595901806E-2</v>
      </c>
      <c r="N34" s="7">
        <f>24*60*SUM($M34:$M34)</f>
        <v>39.283333338098601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9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-02-01T06:05:21-0700',mode:absolute,to:'2017-02-01T08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93" t="str">
        <f>IF(AA34&lt;IF(AG34="EC",23,5.65),"Y","N")</f>
        <v>N</v>
      </c>
      <c r="X34" s="193">
        <f>VALUE(LEFT(AD34,4))-VALUE(LEFT(AD33,4))</f>
        <v>1</v>
      </c>
      <c r="Y34" s="62">
        <f>RIGHT(D34,LEN(D34)-4)/10000</f>
        <v>23.2989</v>
      </c>
      <c r="Z34" s="62">
        <f>RIGHT(H34,LEN(H34)-4)/10000</f>
        <v>1.29E-2</v>
      </c>
      <c r="AA34" s="62">
        <f>ABS(Z34-Y34)</f>
        <v>23.286000000000001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>IF(LEN(A34)=6,"0"&amp;A34,A34)</f>
        <v>0122-01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/stypes="app*4045*20170201*"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122-01 --locoid 4045 --swversion DE.1.0.8.0 --startMP 204:232989 --initTime 2017-02-01T07:05:21 --startdatetime 2017-02-01T07:11:16 --delay 1 --endMP 204:129 --enddatetime 2017-02-01T07:50:33 --enforcementcount 0 &gt;&gt;C:\Users\stu\Documents\GitHub\eaglep3-reporting\EC\2017-02-01-refined-times.txt</v>
      </c>
      <c r="AI3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{"issue":{"subject":"","project_id":79,"tracker_id":40,"status_id":1,"priority_id":2,"assigned_to_id":23,"start_date":"2017-02-01","description":"","custom_fields":[{"id":1,"name":"Subdivision","value":"EC"},{"id":4,"name":"Milepost","value":"0.0129"},{"id":17,"name":"Train ID","value":"122-01"},{"id":16,"name":"Locomotive ID","value":"4045"},{"id":130,"name":"Impact","value":""},{"id":150,"name":"Time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60" t="str">
        <f t="shared" si="5"/>
        <v>start /low /b %USERPROFILE%\Documents\GitHub\eaglep3\Utilities\DownloadLogsFromS3.py --loco 4045 --day 2017-02-01</v>
      </c>
      <c r="AN34" s="16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485</v>
      </c>
      <c r="B35" s="7">
        <v>4011</v>
      </c>
      <c r="C35" s="21" t="s">
        <v>193</v>
      </c>
      <c r="D35" s="21" t="s">
        <v>300</v>
      </c>
      <c r="E35" s="13">
        <v>42767.265011574076</v>
      </c>
      <c r="F35" s="13">
        <v>42767.270995370367</v>
      </c>
      <c r="G35" s="7">
        <v>1</v>
      </c>
      <c r="H35" s="21" t="s">
        <v>693</v>
      </c>
      <c r="I35" s="13">
        <v>42767.295798611114</v>
      </c>
      <c r="J35" s="7">
        <v>0</v>
      </c>
      <c r="K35" s="98" t="str">
        <f>IF(ISEVEN(B35),(B35-1)&amp;"/"&amp;B35,B35&amp;"/"&amp;(B35+1))</f>
        <v>4011/4012</v>
      </c>
      <c r="L35" s="21" t="str">
        <f>VLOOKUP(A35,'Trips&amp;Operators'!$C$1:$G$99999,5,FALSE)</f>
        <v>OUN ZACK</v>
      </c>
      <c r="M35" s="6">
        <f>I35-F35</f>
        <v>2.4803240747132804E-2</v>
      </c>
      <c r="N35" s="7">
        <f>24*60*SUM($M35:$M35)</f>
        <v>35.716666675871238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9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-02-01T05:21:37-0700',mode:absolute,to:'2017-02-01T08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193" t="str">
        <f>IF(AA35&lt;IF(AG35="EC",23,5.65),"Y","N")</f>
        <v>N</v>
      </c>
      <c r="X35" s="193">
        <f>VALUE(LEFT(AD35,4))-VALUE(LEFT(AD34,4))</f>
        <v>1</v>
      </c>
      <c r="Y35" s="62">
        <f>RIGHT(D35,LEN(D35)-4)/10000</f>
        <v>4.5499999999999999E-2</v>
      </c>
      <c r="Z35" s="62">
        <f>RIGHT(H35,LEN(H35)-4)/10000</f>
        <v>23.332799999999999</v>
      </c>
      <c r="AA35" s="62">
        <f>ABS(Z35-Y35)</f>
        <v>23.287299999999998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>IF(LEN(A35)=6,"0"&amp;A35,A35)</f>
        <v>0123-01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/stypes="app*4011*20170201*"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123-01 --locoid 4011 --swversion DE.1.0.8.0 --startMP 204:455 --initTime 2017-02-01T06:21:37 --startdatetime 2017-02-01T06:30:14 --delay 1 --endMP 204:233328 --enddatetime 2017-02-01T07:05:57 --enforcementcount 0 &gt;&gt;C:\Users\stu\Documents\GitHub\eaglep3-reporting\EC\2017-02-01-refined-times.txt</v>
      </c>
      <c r="AI3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{"issue":{"subject":"","project_id":79,"tracker_id":40,"status_id":1,"priority_id":2,"assigned_to_id":23,"start_date":"2017-02-01","description":"","custom_fields":[{"id":1,"name":"Subdivision","value":"EC"},{"id":4,"name":"Milepost","value":"23.3328"},{"id":17,"name":"Train ID","value":"123-01"},{"id":16,"name":"Locomotive ID","value":"4011"},{"id":130,"name":"Impact","value":""},{"id":150,"name":"Time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60" t="str">
        <f t="shared" si="5"/>
        <v>start /low /b %USERPROFILE%\Documents\GitHub\eaglep3\Utilities\DownloadLogsFromS3.py --loco 4011 --day 2017-02-01</v>
      </c>
      <c r="AN35" s="16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495</v>
      </c>
      <c r="B36" s="7">
        <v>4012</v>
      </c>
      <c r="C36" s="21" t="s">
        <v>193</v>
      </c>
      <c r="D36" s="21" t="s">
        <v>694</v>
      </c>
      <c r="E36" s="13">
        <v>42767.305</v>
      </c>
      <c r="F36" s="13">
        <v>42767.309907407405</v>
      </c>
      <c r="G36" s="7">
        <v>1</v>
      </c>
      <c r="H36" s="21" t="s">
        <v>214</v>
      </c>
      <c r="I36" s="13">
        <v>42767.3362037037</v>
      </c>
      <c r="J36" s="7">
        <v>0</v>
      </c>
      <c r="K36" s="98" t="str">
        <f>IF(ISEVEN(B36),(B36-1)&amp;"/"&amp;B36,B36&amp;"/"&amp;(B36+1))</f>
        <v>4011/4012</v>
      </c>
      <c r="L36" s="21" t="str">
        <f>VLOOKUP(A36,'Trips&amp;Operators'!$C$1:$G$99999,5,FALSE)</f>
        <v>OUN ZACK</v>
      </c>
      <c r="M36" s="6">
        <f>I36-F36</f>
        <v>2.6296296295186039E-2</v>
      </c>
      <c r="N36" s="7">
        <f>24*60*SUM($M36:$M36)</f>
        <v>37.866666665067896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9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-02-01T06:19:12-0700',mode:absolute,to:'2017-02-01T09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6" s="193" t="str">
        <f>IF(AA36&lt;IF(AG36="EC",23,5.65),"Y","N")</f>
        <v>N</v>
      </c>
      <c r="X36" s="193">
        <f>VALUE(LEFT(AD36,4))-VALUE(LEFT(AD35,4))</f>
        <v>1</v>
      </c>
      <c r="Y36" s="62">
        <f>RIGHT(D36,LEN(D36)-4)/10000</f>
        <v>23.301500000000001</v>
      </c>
      <c r="Z36" s="62">
        <f>RIGHT(H36,LEN(H36)-4)/10000</f>
        <v>1.52E-2</v>
      </c>
      <c r="AA36" s="62">
        <f>ABS(Z36-Y36)</f>
        <v>23.286300000000001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>IF(LEN(A36)=6,"0"&amp;A36,A36)</f>
        <v>0124-01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/stypes="app*4012*20170201*"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124-01 --locoid 4012 --swversion DE.1.0.8.0 --startMP 204:233015 --initTime 2017-02-01T07:19:12 --startdatetime 2017-02-01T07:26:16 --delay 1 --endMP 204:152 --enddatetime 2017-02-01T08:04:08 --enforcementcount 0 &gt;&gt;C:\Users\stu\Documents\GitHub\eaglep3-reporting\EC\2017-02-01-refined-times.txt</v>
      </c>
      <c r="AI3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{"issue":{"subject":"","project_id":79,"tracker_id":40,"status_id":1,"priority_id":2,"assigned_to_id":23,"start_date":"2017-02-01","description":"","custom_fields":[{"id":1,"name":"Subdivision","value":"EC"},{"id":4,"name":"Milepost","value":"0.0152"},{"id":17,"name":"Train ID","value":"124-01"},{"id":16,"name":"Locomotive ID","value":"4012"},{"id":130,"name":"Impact","value":""},{"id":150,"name":"Time of Event (Mountain Time)","value":"08:04:08"},{"id":151,"name":"Denver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60" t="str">
        <f t="shared" si="5"/>
        <v>start /low /b %USERPROFILE%\Documents\GitHub\eaglep3\Utilities\DownloadLogsFromS3.py --loco 4012 --day 2017-02-01</v>
      </c>
      <c r="AN36" s="16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489</v>
      </c>
      <c r="B37" s="7">
        <v>4029</v>
      </c>
      <c r="C37" s="21" t="s">
        <v>193</v>
      </c>
      <c r="D37" s="21" t="s">
        <v>402</v>
      </c>
      <c r="E37" s="13">
        <v>42767.278784722221</v>
      </c>
      <c r="F37" s="13">
        <v>42767.281678240739</v>
      </c>
      <c r="G37" s="7">
        <v>2</v>
      </c>
      <c r="H37" s="21" t="s">
        <v>695</v>
      </c>
      <c r="I37" s="13">
        <v>42767.306770833333</v>
      </c>
      <c r="J37" s="7">
        <v>0</v>
      </c>
      <c r="K37" s="98" t="str">
        <f>IF(ISEVEN(B37),(B37-1)&amp;"/"&amp;B37,B37&amp;"/"&amp;(B37+1))</f>
        <v>4029/4030</v>
      </c>
      <c r="L37" s="21" t="str">
        <f>VLOOKUP(A37,'Trips&amp;Operators'!$C$1:$G$99999,5,FALSE)</f>
        <v>ROCHA YAOTL</v>
      </c>
      <c r="M37" s="6">
        <f>I37-F37</f>
        <v>2.5092592593864538E-2</v>
      </c>
      <c r="N37" s="7">
        <f>24*60*SUM($M37:$M37)</f>
        <v>36.133333335164934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9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-02-01T05:41:27-0700',mode:absolute,to:'2017-02-01T08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7" s="193" t="str">
        <f>IF(AA37&lt;IF(AG37="EC",23,5.65),"Y","N")</f>
        <v>N</v>
      </c>
      <c r="X37" s="193">
        <f>VALUE(LEFT(AD37,4))-VALUE(LEFT(AD36,4))</f>
        <v>1</v>
      </c>
      <c r="Y37" s="62">
        <f>RIGHT(D37,LEN(D37)-4)/10000</f>
        <v>4.9299999999999997E-2</v>
      </c>
      <c r="Z37" s="62">
        <f>RIGHT(H37,LEN(H37)-4)/10000</f>
        <v>23.332699999999999</v>
      </c>
      <c r="AA37" s="62">
        <f>ABS(Z37-Y37)</f>
        <v>23.2834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>IF(LEN(A37)=6,"0"&amp;A37,A37)</f>
        <v>0125-01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/stypes="app*4029*20170201*"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125-01 --locoid 4029 --swversion DE.1.0.8.0 --startMP 204:493 --initTime 2017-02-01T06:41:27 --startdatetime 2017-02-01T06:45:37 --delay 2 --endMP 204:233327 --enddatetime 2017-02-01T07:21:45 --enforcementcount 0 &gt;&gt;C:\Users\stu\Documents\GitHub\eaglep3-reporting\EC\2017-02-01-refined-times.txt</v>
      </c>
      <c r="AI3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{"issue":{"subject":"","project_id":79,"tracker_id":40,"status_id":1,"priority_id":2,"assigned_to_id":23,"start_date":"2017-02-01","description":"","custom_fields":[{"id":1,"name":"Subdivision","value":"EC"},{"id":4,"name":"Milepost","value":"23.3327"},{"id":17,"name":"Train ID","value":"125-01"},{"id":16,"name":"Locomotive ID","value":"4029"},{"id":130,"name":"Impact","value":""},{"id":150,"name":"Time of Event (Mountain Time)","value":"07:21:45"},{"id":151,"name":"Denver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60" t="str">
        <f t="shared" si="5"/>
        <v>start /low /b %USERPROFILE%\Documents\GitHub\eaglep3\Utilities\DownloadLogsFromS3.py --loco 4029 --day 2017-02-01</v>
      </c>
      <c r="AN37" s="16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430</v>
      </c>
      <c r="B38" s="7">
        <v>4030</v>
      </c>
      <c r="C38" s="21" t="s">
        <v>193</v>
      </c>
      <c r="D38" s="21" t="s">
        <v>696</v>
      </c>
      <c r="E38" s="13">
        <v>42767.319016203706</v>
      </c>
      <c r="F38" s="13">
        <v>42767.320439814815</v>
      </c>
      <c r="G38" s="7">
        <v>1</v>
      </c>
      <c r="H38" s="21" t="s">
        <v>228</v>
      </c>
      <c r="I38" s="13">
        <v>42767.346643518518</v>
      </c>
      <c r="J38" s="7">
        <v>0</v>
      </c>
      <c r="K38" s="98" t="str">
        <f>IF(ISEVEN(B38),(B38-1)&amp;"/"&amp;B38,B38&amp;"/"&amp;(B38+1))</f>
        <v>4029/4030</v>
      </c>
      <c r="L38" s="21" t="str">
        <f>VLOOKUP(A38,'Trips&amp;Operators'!$C$1:$G$99999,5,FALSE)</f>
        <v>ROCHA YAOTL</v>
      </c>
      <c r="M38" s="6">
        <f>I38-F38</f>
        <v>2.6203703702776693E-2</v>
      </c>
      <c r="N38" s="7">
        <f>24*60*SUM($M38:$M38)</f>
        <v>37.733333331998438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9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-02-01T06:39:23-0700',mode:absolute,to:'2017-02-01T09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8" s="193" t="str">
        <f>IF(AA38&lt;IF(AG38="EC",23,5.65),"Y","N")</f>
        <v>N</v>
      </c>
      <c r="X38" s="193">
        <f>VALUE(LEFT(AD38,4))-VALUE(LEFT(AD37,4))</f>
        <v>1</v>
      </c>
      <c r="Y38" s="62">
        <f>RIGHT(D38,LEN(D38)-4)/10000</f>
        <v>23.303599999999999</v>
      </c>
      <c r="Z38" s="62">
        <f>RIGHT(H38,LEN(H38)-4)/10000</f>
        <v>1.54E-2</v>
      </c>
      <c r="AA38" s="62">
        <f>ABS(Z38-Y38)</f>
        <v>23.2882</v>
      </c>
      <c r="AB38" s="59" t="str">
        <f>VLOOKUP(A38,Enforcements!$C$7:$K$16,8,0)</f>
        <v>Speed (6)</v>
      </c>
      <c r="AC38" s="55" t="str">
        <f>VLOOKUP(A38,Enforcements!$C$7:$E$16,3,0)</f>
        <v>PERMANENT SPEED RESTRICTION</v>
      </c>
      <c r="AD38" s="56" t="str">
        <f>IF(LEN(A38)=6,"0"&amp;A38,A38)</f>
        <v>0126-01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/stypes="app*4030*20170201*"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126-01 --locoid 4030 --swversion DE.1.0.8.0 --startMP 204:233036 --initTime 2017-02-01T07:39:23 --startdatetime 2017-02-01T07:41:26 --delay 1 --endMP 204:154 --enddatetime 2017-02-01T08:19:10 --enforcementcount 0 &gt;&gt;C:\Users\stu\Documents\GitHub\eaglep3-reporting\EC\2017-02-01-refined-times.txt</v>
      </c>
      <c r="AI3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{"issue":{"subject":"","project_id":79,"tracker_id":40,"status_id":1,"priority_id":2,"assigned_to_id":23,"start_date":"2017-02-01","description":"","custom_fields":[{"id":1,"name":"Subdivision","value":"EC"},{"id":4,"name":"Milepost","value":"0.0154"},{"id":17,"name":"Train ID","value":"126-01"},{"id":16,"name":"Locomotive ID","value":"4030"},{"id":130,"name":"Impact","value":""},{"id":150,"name":"Time of Event (Mountain Time)","value":"08:19:10"},{"id":151,"name":"Denver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60" t="str">
        <f t="shared" si="5"/>
        <v>start /low /b %USERPROFILE%\Documents\GitHub\eaglep3\Utilities\DownloadLogsFromS3.py --loco 4030 --day 2017-02-01</v>
      </c>
      <c r="AN38" s="16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491</v>
      </c>
      <c r="B39" s="7">
        <v>4016</v>
      </c>
      <c r="C39" s="21" t="s">
        <v>193</v>
      </c>
      <c r="D39" s="21" t="s">
        <v>333</v>
      </c>
      <c r="E39" s="13">
        <v>42767.286736111113</v>
      </c>
      <c r="F39" s="13">
        <v>42767.292129629626</v>
      </c>
      <c r="G39" s="7">
        <v>1</v>
      </c>
      <c r="H39" s="21" t="s">
        <v>697</v>
      </c>
      <c r="I39" s="13">
        <v>42767.316481481481</v>
      </c>
      <c r="J39" s="7">
        <v>0</v>
      </c>
      <c r="K39" s="98" t="str">
        <f>IF(ISEVEN(B39),(B39-1)&amp;"/"&amp;B39,B39&amp;"/"&amp;(B39+1))</f>
        <v>4015/4016</v>
      </c>
      <c r="L39" s="21" t="str">
        <f>VLOOKUP(A39,'Trips&amp;Operators'!$C$1:$G$99999,5,FALSE)</f>
        <v>PERKINS DARREN</v>
      </c>
      <c r="M39" s="6">
        <f>I39-F39</f>
        <v>2.4351851854589768E-2</v>
      </c>
      <c r="N39" s="7">
        <f>24*60*SUM($M39:$M39)</f>
        <v>35.066666670609266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9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-02-01T05:52:54-0700',mode:absolute,to:'2017-02-01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3" t="str">
        <f>IF(AA39&lt;IF(AG39="EC",23,5.65),"Y","N")</f>
        <v>N</v>
      </c>
      <c r="X39" s="193">
        <f>VALUE(LEFT(AD39,4))-VALUE(LEFT(AD38,4))</f>
        <v>1</v>
      </c>
      <c r="Y39" s="62">
        <f>RIGHT(D39,LEN(D39)-4)/10000</f>
        <v>4.3700000000000003E-2</v>
      </c>
      <c r="Z39" s="62">
        <f>RIGHT(H39,LEN(H39)-4)/10000</f>
        <v>23.334299999999999</v>
      </c>
      <c r="AA39" s="62">
        <f>ABS(Z39-Y39)</f>
        <v>23.290599999999998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>IF(LEN(A39)=6,"0"&amp;A39,A39)</f>
        <v>0127-01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/stypes="app*4016*20170201*"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127-01 --locoid 4016 --swversion DE.1.0.8.0 --startMP 204:437 --initTime 2017-02-01T06:52:54 --startdatetime 2017-02-01T07:00:40 --delay 1 --endMP 204:233343 --enddatetime 2017-02-01T07:35:44 --enforcementcount 0 &gt;&gt;C:\Users\stu\Documents\GitHub\eaglep3-reporting\EC\2017-02-01-refined-times.txt</v>
      </c>
      <c r="AI3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{"issue":{"subject":"","project_id":79,"tracker_id":40,"status_id":1,"priority_id":2,"assigned_to_id":23,"start_date":"2017-02-01","description":"","custom_fields":[{"id":1,"name":"Subdivision","value":"EC"},{"id":4,"name":"Milepost","value":"23.3343"},{"id":17,"name":"Train ID","value":"127-01"},{"id":16,"name":"Locomotive ID","value":"4016"},{"id":130,"name":"Impact","value":""},{"id":150,"name":"Time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60" t="str">
        <f t="shared" si="5"/>
        <v>start /low /b %USERPROFILE%\Documents\GitHub\eaglep3\Utilities\DownloadLogsFromS3.py --loco 4016 --day 2017-02-01</v>
      </c>
      <c r="AN39" s="16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432</v>
      </c>
      <c r="B40" s="7">
        <v>4015</v>
      </c>
      <c r="C40" s="21" t="s">
        <v>193</v>
      </c>
      <c r="D40" s="21" t="s">
        <v>332</v>
      </c>
      <c r="E40" s="13">
        <v>42767.321493055555</v>
      </c>
      <c r="F40" s="13">
        <v>42767.330682870372</v>
      </c>
      <c r="G40" s="7">
        <v>1</v>
      </c>
      <c r="H40" s="21" t="s">
        <v>197</v>
      </c>
      <c r="I40" s="13">
        <v>42767.358888888892</v>
      </c>
      <c r="J40" s="7">
        <v>0</v>
      </c>
      <c r="K40" s="98" t="str">
        <f>IF(ISEVEN(B40),(B40-1)&amp;"/"&amp;B40,B40&amp;"/"&amp;(B40+1))</f>
        <v>4015/4016</v>
      </c>
      <c r="L40" s="21" t="str">
        <f>VLOOKUP(A40,'Trips&amp;Operators'!$C$1:$G$99999,5,FALSE)</f>
        <v>PERKINS DARREN</v>
      </c>
      <c r="M40" s="6">
        <f>I40-F40</f>
        <v>2.8206018519995268E-2</v>
      </c>
      <c r="N40" s="7">
        <f>24*60*SUM($M40:$M40)</f>
        <v>40.616666668793187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9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-02-01T06:42:57-0700',mode:absolute,to:'2017-02-01T09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3" t="str">
        <f>IF(AA40&lt;IF(AG40="EC",23,5.65),"Y","N")</f>
        <v>N</v>
      </c>
      <c r="X40" s="193">
        <f>VALUE(LEFT(AD40,4))-VALUE(LEFT(AD39,4))</f>
        <v>1</v>
      </c>
      <c r="Y40" s="62">
        <f>RIGHT(D40,LEN(D40)-4)/10000</f>
        <v>23.299199999999999</v>
      </c>
      <c r="Z40" s="62">
        <f>RIGHT(H40,LEN(H40)-4)/10000</f>
        <v>1.4999999999999999E-2</v>
      </c>
      <c r="AA40" s="62">
        <f>ABS(Z40-Y40)</f>
        <v>23.284199999999998</v>
      </c>
      <c r="AB40" s="59" t="str">
        <f>VLOOKUP(A40,Enforcements!$C$7:$K$16,8,0)</f>
        <v>Speed (6)</v>
      </c>
      <c r="AC40" s="55" t="str">
        <f>VLOOKUP(A40,Enforcements!$C$7:$E$16,3,0)</f>
        <v>PERMANENT SPEED RESTRICTION</v>
      </c>
      <c r="AD40" s="56" t="str">
        <f>IF(LEN(A40)=6,"0"&amp;A40,A40)</f>
        <v>0128-01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/stypes="app*4015*20170201*"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128-01 --locoid 4015 --swversion DE.1.0.8.0 --startMP 204:232992 --initTime 2017-02-01T07:42:57 --startdatetime 2017-02-01T07:56:11 --delay 1 --endMP 204:150 --enddatetime 2017-02-01T08:36:48 --enforcementcount 0 &gt;&gt;C:\Users\stu\Documents\GitHub\eaglep3-reporting\EC\2017-02-01-refined-times.txt</v>
      </c>
      <c r="AI4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ID","value":"128-01"},{"id":16,"name":"Locomotive ID","value":"4015"},{"id":130,"name":"Impact","value":""},{"id":150,"name":"Time of Event (Mountain Time)","value":"08:36:48"},{"id":151,"name":"Denver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60" t="str">
        <f t="shared" si="5"/>
        <v>start /low /b %USERPROFILE%\Documents\GitHub\eaglep3\Utilities\DownloadLogsFromS3.py --loco 4015 --day 2017-02-01</v>
      </c>
      <c r="AN40" s="16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493</v>
      </c>
      <c r="B41" s="7">
        <v>4038</v>
      </c>
      <c r="C41" s="21" t="s">
        <v>193</v>
      </c>
      <c r="D41" s="21" t="s">
        <v>299</v>
      </c>
      <c r="E41" s="13">
        <v>42767.297777777778</v>
      </c>
      <c r="F41" s="13">
        <v>42767.302256944444</v>
      </c>
      <c r="G41" s="7">
        <v>3</v>
      </c>
      <c r="H41" s="21" t="s">
        <v>690</v>
      </c>
      <c r="I41" s="13">
        <v>42767.327453703707</v>
      </c>
      <c r="J41" s="7">
        <v>0</v>
      </c>
      <c r="K41" s="98" t="str">
        <f>IF(ISEVEN(B41),(B41-1)&amp;"/"&amp;B41,B41&amp;"/"&amp;(B41+1))</f>
        <v>4037/4038</v>
      </c>
      <c r="L41" s="21" t="str">
        <f>VLOOKUP(A41,'Trips&amp;Operators'!$C$1:$G$99999,5,FALSE)</f>
        <v>STARKS ANGELINA</v>
      </c>
      <c r="M41" s="6">
        <f>I41-F41</f>
        <v>2.5196759263053536E-2</v>
      </c>
      <c r="N41" s="7">
        <f>24*60*SUM($M41:$M41)</f>
        <v>36.283333338797092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9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-02-01T06:08:48-0700',mode:absolute,to:'2017-02-01T08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1" s="193" t="str">
        <f>IF(AA41&lt;IF(AG41="EC",23,5.65),"Y","N")</f>
        <v>N</v>
      </c>
      <c r="X41" s="193">
        <f>VALUE(LEFT(AD41,4))-VALUE(LEFT(AD40,4))</f>
        <v>1</v>
      </c>
      <c r="Y41" s="62">
        <f>RIGHT(D41,LEN(D41)-4)/10000</f>
        <v>4.4600000000000001E-2</v>
      </c>
      <c r="Z41" s="62">
        <f>RIGHT(H41,LEN(H41)-4)/10000</f>
        <v>23.330200000000001</v>
      </c>
      <c r="AA41" s="62">
        <f>ABS(Z41-Y41)</f>
        <v>23.285600000000002</v>
      </c>
      <c r="AB41" s="59" t="e">
        <f>VLOOKUP(A41,Enforcements!$C$7:$K$16,8,0)</f>
        <v>#N/A</v>
      </c>
      <c r="AC41" s="55" t="e">
        <f>VLOOKUP(A41,Enforcements!$C$7:$E$16,3,0)</f>
        <v>#N/A</v>
      </c>
      <c r="AD41" s="56" t="str">
        <f>IF(LEN(A41)=6,"0"&amp;A41,A41)</f>
        <v>0129-01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/stypes="app*4038*20170201*"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129-01 --locoid 4038 --swversion DE.1.0.8.0 --startMP 204:446 --initTime 2017-02-01T07:08:48 --startdatetime 2017-02-01T07:15:15 --delay 3 --endMP 204:233302 --enddatetime 2017-02-01T07:51:32 --enforcementcount 0 &gt;&gt;C:\Users\stu\Documents\GitHub\eaglep3-reporting\EC\2017-02-01-refined-times.txt</v>
      </c>
      <c r="AI4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{"issue":{"subject":"","project_id":79,"tracker_id":40,"status_id":1,"priority_id":2,"assigned_to_id":23,"start_date":"2017-02-01","description":"","custom_fields":[{"id":1,"name":"Subdivision","value":"EC"},{"id":4,"name":"Milepost","value":"23.3302"},{"id":17,"name":"Train ID","value":"129-01"},{"id":16,"name":"Locomotive ID","value":"4038"},{"id":130,"name":"Impact","value":""},{"id":150,"name":"Time of Event (Mountain Time)","value":"07:51:32"},{"id":151,"name":"Denver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60" t="str">
        <f t="shared" si="5"/>
        <v>start /low /b %USERPROFILE%\Documents\GitHub\eaglep3\Utilities\DownloadLogsFromS3.py --loco 4038 --day 2017-02-01</v>
      </c>
      <c r="AN41" s="16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434</v>
      </c>
      <c r="B42" s="7">
        <v>4037</v>
      </c>
      <c r="C42" s="21" t="s">
        <v>193</v>
      </c>
      <c r="D42" s="21" t="s">
        <v>691</v>
      </c>
      <c r="E42" s="13">
        <v>42767.33697916667</v>
      </c>
      <c r="F42" s="13">
        <v>42767.341226851851</v>
      </c>
      <c r="G42" s="7">
        <v>1</v>
      </c>
      <c r="H42" s="21" t="s">
        <v>241</v>
      </c>
      <c r="I42" s="13">
        <v>42767.367858796293</v>
      </c>
      <c r="J42" s="7">
        <v>0</v>
      </c>
      <c r="K42" s="98" t="str">
        <f>IF(ISEVEN(B42),(B42-1)&amp;"/"&amp;B42,B42&amp;"/"&amp;(B42+1))</f>
        <v>4037/4038</v>
      </c>
      <c r="L42" s="21" t="str">
        <f>VLOOKUP(A42,'Trips&amp;Operators'!$C$1:$G$99999,5,FALSE)</f>
        <v>STARKS ANGELINA</v>
      </c>
      <c r="M42" s="6">
        <f>I42-F42</f>
        <v>2.6631944441760425E-2</v>
      </c>
      <c r="N42" s="7">
        <f>24*60*SUM($M42:$M42)</f>
        <v>38.349999996135011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9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-02-01T07:05:15-0700',mode:absolute,to:'2017-02-01T09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2" s="193" t="str">
        <f>IF(AA42&lt;IF(AG42="EC",23,5.65),"Y","N")</f>
        <v>N</v>
      </c>
      <c r="X42" s="193">
        <f>VALUE(LEFT(AD42,4))-VALUE(LEFT(AD41,4))</f>
        <v>1</v>
      </c>
      <c r="Y42" s="62">
        <f>RIGHT(D42,LEN(D42)-4)/10000</f>
        <v>23.299099999999999</v>
      </c>
      <c r="Z42" s="62">
        <f>RIGHT(H42,LEN(H42)-4)/10000</f>
        <v>1.43E-2</v>
      </c>
      <c r="AA42" s="62">
        <f>ABS(Z42-Y42)</f>
        <v>23.284800000000001</v>
      </c>
      <c r="AB42" s="59" t="str">
        <f>VLOOKUP(A42,Enforcements!$C$7:$K$16,8,0)</f>
        <v>Speed (6)</v>
      </c>
      <c r="AC42" s="55" t="str">
        <f>VLOOKUP(A42,Enforcements!$C$7:$E$16,3,0)</f>
        <v>PERMANENT SPEED RESTRICTION</v>
      </c>
      <c r="AD42" s="56" t="str">
        <f>IF(LEN(A42)=6,"0"&amp;A42,A42)</f>
        <v>0130-01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/stypes="app*4037*20170201*"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130-01 --locoid 4037 --swversion DE.1.0.8.0 --startMP 204:232991 --initTime 2017-02-01T08:05:15 --startdatetime 2017-02-01T08:11:22 --delay 1 --endMP 204:143 --enddatetime 2017-02-01T08:49:43 --enforcementcount 0 &gt;&gt;C:\Users\stu\Documents\GitHub\eaglep3-reporting\EC\2017-02-01-refined-times.txt</v>
      </c>
      <c r="AI42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ID","value":"130-01"},{"id":16,"name":"Locomotive ID","value":"4037"},{"id":130,"name":"Impact","value":""},{"id":150,"name":"Time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60" t="str">
        <f t="shared" si="5"/>
        <v>start /low /b %USERPROFILE%\Documents\GitHub\eaglep3\Utilities\DownloadLogsFromS3.py --loco 4037 --day 2017-02-01</v>
      </c>
      <c r="AN42" s="16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496</v>
      </c>
      <c r="B43" s="7">
        <v>4051</v>
      </c>
      <c r="C43" s="21" t="s">
        <v>193</v>
      </c>
      <c r="D43" s="21" t="s">
        <v>224</v>
      </c>
      <c r="E43" s="13">
        <v>42767.308217592596</v>
      </c>
      <c r="F43" s="13">
        <v>42767.312997685185</v>
      </c>
      <c r="G43" s="7">
        <v>1</v>
      </c>
      <c r="H43" s="21" t="s">
        <v>356</v>
      </c>
      <c r="I43" s="13">
        <v>42767.337673611109</v>
      </c>
      <c r="J43" s="7">
        <v>0</v>
      </c>
      <c r="K43" s="98" t="str">
        <f>IF(ISEVEN(B43),(B43-1)&amp;"/"&amp;B43,B43&amp;"/"&amp;(B43+1))</f>
        <v>4051/4052</v>
      </c>
      <c r="L43" s="21" t="str">
        <f>VLOOKUP(A43,'Trips&amp;Operators'!$C$1:$G$99999,5,FALSE)</f>
        <v>MAELZER KURT</v>
      </c>
      <c r="M43" s="6">
        <f>I43-F43</f>
        <v>2.4675925924384501E-2</v>
      </c>
      <c r="N43" s="7">
        <f>24*60*SUM($M43:$M43)</f>
        <v>35.533333331113681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9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-02-01T06:23:50-0700',mode:absolute,to:'2017-02-01T09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3" s="193" t="str">
        <f>IF(AA43&lt;IF(AG43="EC",23,5.65),"Y","N")</f>
        <v>N</v>
      </c>
      <c r="X43" s="193">
        <f>VALUE(LEFT(AD43,4))-VALUE(LEFT(AD42,4))</f>
        <v>1</v>
      </c>
      <c r="Y43" s="62">
        <f>RIGHT(D43,LEN(D43)-4)/10000</f>
        <v>4.6899999999999997E-2</v>
      </c>
      <c r="Z43" s="62">
        <f>RIGHT(H43,LEN(H43)-4)/10000</f>
        <v>23.3291</v>
      </c>
      <c r="AA43" s="62">
        <f>ABS(Z43-Y43)</f>
        <v>23.2822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>IF(LEN(A43)=6,"0"&amp;A43,A43)</f>
        <v>0131-01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/stypes="app*4051*20170201*"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131-01 --locoid 4051 --swversion DE.1.0.8.0 --startMP 204:469 --initTime 2017-02-01T07:23:50 --startdatetime 2017-02-01T07:30:43 --delay 1 --endMP 204:233291 --enddatetime 2017-02-01T08:06:15 --enforcementcount 0 &gt;&gt;C:\Users\stu\Documents\GitHub\eaglep3-reporting\EC\2017-02-01-refined-times.txt</v>
      </c>
      <c r="AI4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{"issue":{"subject":"","project_id":79,"tracker_id":40,"status_id":1,"priority_id":2,"assigned_to_id":23,"start_date":"2017-02-01","description":"","custom_fields":[{"id":1,"name":"Subdivision","value":"EC"},{"id":4,"name":"Milepost","value":"23.3291"},{"id":17,"name":"Train ID","value":"131-01"},{"id":16,"name":"Locomotive ID","value":"4051"},{"id":130,"name":"Impact","value":""},{"id":150,"name":"Time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60" t="str">
        <f t="shared" si="5"/>
        <v>start /low /b %USERPROFILE%\Documents\GitHub\eaglep3\Utilities\DownloadLogsFromS3.py --loco 4051 --day 2017-02-01</v>
      </c>
      <c r="AN43" s="16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503</v>
      </c>
      <c r="B44" s="7">
        <v>4052</v>
      </c>
      <c r="C44" s="21" t="s">
        <v>193</v>
      </c>
      <c r="D44" s="21" t="s">
        <v>332</v>
      </c>
      <c r="E44" s="13">
        <v>42767.346250000002</v>
      </c>
      <c r="F44" s="13">
        <v>42767.351875</v>
      </c>
      <c r="G44" s="7">
        <v>1</v>
      </c>
      <c r="H44" s="21" t="s">
        <v>380</v>
      </c>
      <c r="I44" s="13">
        <v>42767.379537037035</v>
      </c>
      <c r="J44" s="7">
        <v>0</v>
      </c>
      <c r="K44" s="98" t="str">
        <f>IF(ISEVEN(B44),(B44-1)&amp;"/"&amp;B44,B44&amp;"/"&amp;(B44+1))</f>
        <v>4051/4052</v>
      </c>
      <c r="L44" s="21" t="str">
        <f>VLOOKUP(A44,'Trips&amp;Operators'!$C$1:$G$99999,5,FALSE)</f>
        <v>MAELZER KURT</v>
      </c>
      <c r="M44" s="6">
        <f>I44-F44</f>
        <v>2.7662037035042886E-2</v>
      </c>
      <c r="N44" s="7">
        <f>24*60*SUM($M44:$M44)</f>
        <v>39.833333330461755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9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-02-01T07:18:36-0700',mode:absolute,to:'2017-02-01T10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4" s="193" t="str">
        <f>IF(AA44&lt;IF(AG44="EC",23,5.65),"Y","N")</f>
        <v>N</v>
      </c>
      <c r="X44" s="193">
        <f>VALUE(LEFT(AD44,4))-VALUE(LEFT(AD43,4))</f>
        <v>1</v>
      </c>
      <c r="Y44" s="62">
        <f>RIGHT(D44,LEN(D44)-4)/10000</f>
        <v>23.299199999999999</v>
      </c>
      <c r="Z44" s="62">
        <f>RIGHT(H44,LEN(H44)-4)/10000</f>
        <v>1.38E-2</v>
      </c>
      <c r="AA44" s="62">
        <f>ABS(Z44-Y44)</f>
        <v>23.285399999999999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>IF(LEN(A44)=6,"0"&amp;A44,A44)</f>
        <v>0132-01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/stypes="app*4052*20170201*"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132-01 --locoid 4052 --swversion DE.1.0.8.0 --startMP 204:232992 --initTime 2017-02-01T08:18:36 --startdatetime 2017-02-01T08:26:42 --delay 1 --endMP 204:138 --enddatetime 2017-02-01T09:06:32 --enforcementcount 0 &gt;&gt;C:\Users\stu\Documents\GitHub\eaglep3-reporting\EC\2017-02-01-refined-times.txt</v>
      </c>
      <c r="AI4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{"issue":{"subject":"","project_id":79,"tracker_id":40,"status_id":1,"priority_id":2,"assigned_to_id":23,"start_date":"2017-02-01","description":"","custom_fields":[{"id":1,"name":"Subdivision","value":"EC"},{"id":4,"name":"Milepost","value":"0.0138"},{"id":17,"name":"Train ID","value":"132-01"},{"id":16,"name":"Locomotive ID","value":"4052"},{"id":130,"name":"Impact","value":""},{"id":150,"name":"Time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60" t="str">
        <f t="shared" si="5"/>
        <v>start /low /b %USERPROFILE%\Documents\GitHub\eaglep3\Utilities\DownloadLogsFromS3.py --loco 4052 --day 2017-02-01</v>
      </c>
      <c r="AN44" s="16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498</v>
      </c>
      <c r="B45" s="7">
        <v>4042</v>
      </c>
      <c r="C45" s="21" t="s">
        <v>193</v>
      </c>
      <c r="D45" s="21" t="s">
        <v>230</v>
      </c>
      <c r="E45" s="13">
        <v>42767.317453703705</v>
      </c>
      <c r="F45" s="13">
        <v>42767.323078703703</v>
      </c>
      <c r="G45" s="7">
        <v>1</v>
      </c>
      <c r="H45" s="21" t="s">
        <v>331</v>
      </c>
      <c r="I45" s="13">
        <v>42767.347951388889</v>
      </c>
      <c r="J45" s="7">
        <v>0</v>
      </c>
      <c r="K45" s="98" t="str">
        <f>IF(ISEVEN(B45),(B45-1)&amp;"/"&amp;B45,B45&amp;"/"&amp;(B45+1))</f>
        <v>4041/4042</v>
      </c>
      <c r="L45" s="21" t="str">
        <f>VLOOKUP(A45,'Trips&amp;Operators'!$C$1:$G$99999,5,FALSE)</f>
        <v>GEBRETEKLE DAGNEW</v>
      </c>
      <c r="M45" s="6">
        <f>I45-F45</f>
        <v>2.4872685185982846E-2</v>
      </c>
      <c r="N45" s="7">
        <f>24*60*SUM($M45:$M45)</f>
        <v>35.816666667815298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9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-01T06:37:08-0700',mode:absolute,to:'2017-02-01T09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193" t="str">
        <f>IF(AA45&lt;IF(AG45="EC",23,5.65),"Y","N")</f>
        <v>N</v>
      </c>
      <c r="X45" s="193">
        <f>VALUE(LEFT(AD45,4))-VALUE(LEFT(AD44,4))</f>
        <v>1</v>
      </c>
      <c r="Y45" s="62">
        <f>RIGHT(D45,LEN(D45)-4)/10000</f>
        <v>4.58E-2</v>
      </c>
      <c r="Z45" s="62">
        <f>RIGHT(H45,LEN(H45)-4)/10000</f>
        <v>23.3323</v>
      </c>
      <c r="AA45" s="62">
        <f>ABS(Z45-Y45)</f>
        <v>23.2865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>IF(LEN(A45)=6,"0"&amp;A45,A45)</f>
        <v>0133-01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/stypes="app*4042*20170201*"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133-01 --locoid 4042 --swversion DE.1.0.8.0 --startMP 204:458 --initTime 2017-02-01T07:37:08 --startdatetime 2017-02-01T07:45:14 --delay 1 --endMP 204:233323 --enddatetime 2017-02-01T08:21:03 --enforcementcount 0 &gt;&gt;C:\Users\stu\Documents\GitHub\eaglep3-reporting\EC\2017-02-01-refined-times.txt</v>
      </c>
      <c r="AI4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{"issue":{"subject":"","project_id":79,"tracker_id":40,"status_id":1,"priority_id":2,"assigned_to_id":23,"start_date":"2017-02-01","description":"","custom_fields":[{"id":1,"name":"Subdivision","value":"EC"},{"id":4,"name":"Milepost","value":"23.3323"},{"id":17,"name":"Train ID","value":"133-01"},{"id":16,"name":"Locomotive ID","value":"4042"},{"id":130,"name":"Impact","value":""},{"id":150,"name":"Time of Event (Mountain Time)","value":"08:21:03"},{"id":151,"name":"Denver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60" t="str">
        <f t="shared" si="5"/>
        <v>start /low /b %USERPROFILE%\Documents\GitHub\eaglep3\Utilities\DownloadLogsFromS3.py --loco 4042 --day 2017-02-01</v>
      </c>
      <c r="AN45" s="16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506</v>
      </c>
      <c r="B46" s="7">
        <v>4041</v>
      </c>
      <c r="C46" s="21" t="s">
        <v>193</v>
      </c>
      <c r="D46" s="21" t="s">
        <v>293</v>
      </c>
      <c r="E46" s="13">
        <v>42767.35733796296</v>
      </c>
      <c r="F46" s="13">
        <v>42767.361990740741</v>
      </c>
      <c r="G46" s="7">
        <v>1</v>
      </c>
      <c r="H46" s="21" t="s">
        <v>241</v>
      </c>
      <c r="I46" s="13">
        <v>42767.387789351851</v>
      </c>
      <c r="J46" s="7">
        <v>0</v>
      </c>
      <c r="K46" s="98" t="str">
        <f>IF(ISEVEN(B46),(B46-1)&amp;"/"&amp;B46,B46&amp;"/"&amp;(B46+1))</f>
        <v>4041/4042</v>
      </c>
      <c r="L46" s="21" t="str">
        <f>VLOOKUP(A46,'Trips&amp;Operators'!$C$1:$G$99999,5,FALSE)</f>
        <v>GEBRETEKLE DAGNEW</v>
      </c>
      <c r="M46" s="6">
        <f>I46-F46</f>
        <v>2.5798611110076308E-2</v>
      </c>
      <c r="N46" s="7">
        <f>24*60*SUM($M46:$M46)</f>
        <v>37.149999998509884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9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-02-01T07:34:34-0700',mode:absolute,to:'2017-02-01T10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193" t="str">
        <f>IF(AA46&lt;IF(AG46="EC",23,5.65),"Y","N")</f>
        <v>N</v>
      </c>
      <c r="X46" s="193">
        <f>VALUE(LEFT(AD46,4))-VALUE(LEFT(AD45,4))</f>
        <v>1</v>
      </c>
      <c r="Y46" s="62">
        <f>RIGHT(D46,LEN(D46)-4)/10000</f>
        <v>23.299399999999999</v>
      </c>
      <c r="Z46" s="62">
        <f>RIGHT(H46,LEN(H46)-4)/10000</f>
        <v>1.43E-2</v>
      </c>
      <c r="AA46" s="62">
        <f>ABS(Z46-Y46)</f>
        <v>23.2851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>IF(LEN(A46)=6,"0"&amp;A46,A46)</f>
        <v>0134-01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/stypes="app*4041*20170201*"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134-01 --locoid 4041 --swversion DE.1.0.8.0 --startMP 204:232994 --initTime 2017-02-01T08:34:34 --startdatetime 2017-02-01T08:41:16 --delay 1 --endMP 204:143 --enddatetime 2017-02-01T09:18:25 --enforcementcount 0 &gt;&gt;C:\Users\stu\Documents\GitHub\eaglep3-reporting\EC\2017-02-01-refined-times.txt</v>
      </c>
      <c r="AI4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ID","value":"134-01"},{"id":16,"name":"Locomotive ID","value":"4041"},{"id":130,"name":"Impact","value":""},{"id":150,"name":"Time of Event (Mountain Time)","value":"09:18:25"},{"id":151,"name":"Denver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60" t="str">
        <f t="shared" si="5"/>
        <v>start /low /b %USERPROFILE%\Documents\GitHub\eaglep3\Utilities\DownloadLogsFromS3.py --loco 4041 --day 2017-02-01</v>
      </c>
      <c r="AN46" s="16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499</v>
      </c>
      <c r="B47" s="7">
        <v>4046</v>
      </c>
      <c r="C47" s="21" t="s">
        <v>193</v>
      </c>
      <c r="D47" s="21" t="s">
        <v>698</v>
      </c>
      <c r="E47" s="13">
        <v>42767.328541666669</v>
      </c>
      <c r="F47" s="13">
        <v>42767.333518518521</v>
      </c>
      <c r="G47" s="7">
        <v>1</v>
      </c>
      <c r="H47" s="21" t="s">
        <v>699</v>
      </c>
      <c r="I47" s="13">
        <v>42767.358969907407</v>
      </c>
      <c r="J47" s="7">
        <v>0</v>
      </c>
      <c r="K47" s="98" t="str">
        <f>IF(ISEVEN(B47),(B47-1)&amp;"/"&amp;B47,B47&amp;"/"&amp;(B47+1))</f>
        <v>4045/4046</v>
      </c>
      <c r="L47" s="21" t="str">
        <f>VLOOKUP(A47,'Trips&amp;Operators'!$C$1:$G$99999,5,FALSE)</f>
        <v>BONDS REYNALDO</v>
      </c>
      <c r="M47" s="6">
        <f>I47-F47</f>
        <v>2.545138888672227E-2</v>
      </c>
      <c r="N47" s="7">
        <f>24*60*SUM($M47:$M47)</f>
        <v>36.649999996880069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9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-02-01T06:53:06-0700',mode:absolute,to:'2017-02-01T09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93" t="str">
        <f>IF(AA47&lt;IF(AG47="EC",23,5.65),"Y","N")</f>
        <v>N</v>
      </c>
      <c r="X47" s="193">
        <f>VALUE(LEFT(AD47,4))-VALUE(LEFT(AD46,4))</f>
        <v>1</v>
      </c>
      <c r="Y47" s="62">
        <f>RIGHT(D47,LEN(D47)-4)/10000</f>
        <v>4.3999999999999997E-2</v>
      </c>
      <c r="Z47" s="62">
        <f>RIGHT(H47,LEN(H47)-4)/10000</f>
        <v>23.331800000000001</v>
      </c>
      <c r="AA47" s="62">
        <f>ABS(Z47-Y47)</f>
        <v>23.287800000000001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>IF(LEN(A47)=6,"0"&amp;A47,A47)</f>
        <v>0135-01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/stypes="app*4046*20170201*"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135-01 --locoid 4046 --swversion DE.1.0.8.0 --startMP 204:440 --initTime 2017-02-01T07:53:06 --startdatetime 2017-02-01T08:00:16 --delay 1 --endMP 204:233318 --enddatetime 2017-02-01T08:36:55 --enforcementcount 0 &gt;&gt;C:\Users\stu\Documents\GitHub\eaglep3-reporting\EC\2017-02-01-refined-times.txt</v>
      </c>
      <c r="AI4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{"issue":{"subject":"","project_id":79,"tracker_id":40,"status_id":1,"priority_id":2,"assigned_to_id":23,"start_date":"2017-02-01","description":"","custom_fields":[{"id":1,"name":"Subdivision","value":"EC"},{"id":4,"name":"Milepost","value":"23.3318"},{"id":17,"name":"Train ID","value":"135-01"},{"id":16,"name":"Locomotive ID","value":"4046"},{"id":130,"name":"Impact","value":""},{"id":150,"name":"Time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60" t="str">
        <f t="shared" si="5"/>
        <v>start /low /b %USERPROFILE%\Documents\GitHub\eaglep3\Utilities\DownloadLogsFromS3.py --loco 4046 --day 2017-02-01</v>
      </c>
      <c r="AN47" s="16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509</v>
      </c>
      <c r="B48" s="7">
        <v>4045</v>
      </c>
      <c r="C48" s="21" t="s">
        <v>193</v>
      </c>
      <c r="D48" s="21" t="s">
        <v>700</v>
      </c>
      <c r="E48" s="13">
        <v>42767.363900462966</v>
      </c>
      <c r="F48" s="13">
        <v>42767.372407407405</v>
      </c>
      <c r="G48" s="7">
        <v>0</v>
      </c>
      <c r="H48" s="21" t="s">
        <v>290</v>
      </c>
      <c r="I48" s="13">
        <v>42767.399652777778</v>
      </c>
      <c r="J48" s="7">
        <v>0</v>
      </c>
      <c r="K48" s="98" t="str">
        <f>IF(ISEVEN(B48),(B48-1)&amp;"/"&amp;B48,B48&amp;"/"&amp;(B48+1))</f>
        <v>4045/4046</v>
      </c>
      <c r="L48" s="21" t="str">
        <f>VLOOKUP(A48,'Trips&amp;Operators'!$C$1:$G$99999,5,FALSE)</f>
        <v>BONDS REYNALDO</v>
      </c>
      <c r="M48" s="6">
        <f>I48-F48</f>
        <v>2.7245370372838806E-2</v>
      </c>
      <c r="N48" s="7">
        <f>24*60*SUM($M48:$M48)</f>
        <v>39.233333336887881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9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-02-01T07:44:01-0700',mode:absolute,to:'2017-02-01T10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93" t="str">
        <f>IF(AA48&lt;IF(AG48="EC",23,5.65),"Y","N")</f>
        <v>N</v>
      </c>
      <c r="X48" s="193">
        <f>VALUE(LEFT(AD48,4))-VALUE(LEFT(AD47,4))</f>
        <v>1</v>
      </c>
      <c r="Y48" s="62">
        <f>RIGHT(D48,LEN(D48)-4)/10000</f>
        <v>23.2988</v>
      </c>
      <c r="Z48" s="62">
        <f>RIGHT(H48,LEN(H48)-4)/10000</f>
        <v>1.3599999999999999E-2</v>
      </c>
      <c r="AA48" s="62">
        <f>ABS(Z48-Y48)</f>
        <v>23.2852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>IF(LEN(A48)=6,"0"&amp;A48,A48)</f>
        <v>0136-01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/stypes="app*4045*20170201*"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136-01 --locoid 4045 --swversion DE.1.0.8.0 --startMP 204:232988 --initTime 2017-02-01T08:44:01 --startdatetime 2017-02-01T08:56:16 --delay 0 --endMP 204:136 --enddatetime 2017-02-01T09:35:30 --enforcementcount 0 &gt;&gt;C:\Users\stu\Documents\GitHub\eaglep3-reporting\EC\2017-02-01-refined-times.txt</v>
      </c>
      <c r="AI4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ID","value":"136-01"},{"id":16,"name":"Locomotive ID","value":"4045"},{"id":130,"name":"Impact","value":""},{"id":150,"name":"Time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60" t="str">
        <f t="shared" si="5"/>
        <v>start /low /b %USERPROFILE%\Documents\GitHub\eaglep3\Utilities\DownloadLogsFromS3.py --loco 4045 --day 2017-02-01</v>
      </c>
      <c r="AN48" s="16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500</v>
      </c>
      <c r="B49" s="7">
        <v>4011</v>
      </c>
      <c r="C49" s="21" t="s">
        <v>193</v>
      </c>
      <c r="D49" s="21" t="s">
        <v>248</v>
      </c>
      <c r="E49" s="13">
        <v>42767.33792824074</v>
      </c>
      <c r="F49" s="13">
        <v>42767.343900462962</v>
      </c>
      <c r="G49" s="7">
        <v>1</v>
      </c>
      <c r="H49" s="21" t="s">
        <v>701</v>
      </c>
      <c r="I49" s="13">
        <v>42767.369097222225</v>
      </c>
      <c r="J49" s="7">
        <v>0</v>
      </c>
      <c r="K49" s="98" t="str">
        <f>IF(ISEVEN(B49),(B49-1)&amp;"/"&amp;B49,B49&amp;"/"&amp;(B49+1))</f>
        <v>4011/4012</v>
      </c>
      <c r="L49" s="21" t="str">
        <f>VLOOKUP(A49,'Trips&amp;Operators'!$C$1:$G$99999,5,FALSE)</f>
        <v>OUN ZACK</v>
      </c>
      <c r="M49" s="6">
        <f>I49-F49</f>
        <v>2.5196759263053536E-2</v>
      </c>
      <c r="N49" s="7">
        <f>24*60*SUM($M49:$M49)</f>
        <v>36.283333338797092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9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-02-01T07:06:37-0700',mode:absolute,to:'2017-02-01T09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93" t="str">
        <f>IF(AA49&lt;IF(AG49="EC",23,5.65),"Y","N")</f>
        <v>N</v>
      </c>
      <c r="X49" s="193">
        <f>VALUE(LEFT(AD49,4))-VALUE(LEFT(AD48,4))</f>
        <v>1</v>
      </c>
      <c r="Y49" s="62">
        <f>RIGHT(D49,LEN(D49)-4)/10000</f>
        <v>4.5999999999999999E-2</v>
      </c>
      <c r="Z49" s="62">
        <f>RIGHT(H49,LEN(H49)-4)/10000</f>
        <v>23.334700000000002</v>
      </c>
      <c r="AA49" s="62">
        <f>ABS(Z49-Y49)</f>
        <v>23.288700000000002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>IF(LEN(A49)=6,"0"&amp;A49,A49)</f>
        <v>0137-01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/stypes="app*4011*20170201*"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137-01 --locoid 4011 --swversion DE.1.0.8.0 --startMP 204:460 --initTime 2017-02-01T08:06:37 --startdatetime 2017-02-01T08:15:13 --delay 1 --endMP 204:233347 --enddatetime 2017-02-01T08:51:30 --enforcementcount 0 &gt;&gt;C:\Users\stu\Documents\GitHub\eaglep3-reporting\EC\2017-02-01-refined-times.txt</v>
      </c>
      <c r="AI4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{"issue":{"subject":"","project_id":79,"tracker_id":40,"status_id":1,"priority_id":2,"assigned_to_id":23,"start_date":"2017-02-01","description":"","custom_fields":[{"id":1,"name":"Subdivision","value":"EC"},{"id":4,"name":"Milepost","value":"23.3347"},{"id":17,"name":"Train ID","value":"137-01"},{"id":16,"name":"Locomotive ID","value":"4011"},{"id":130,"name":"Impact","value":""},{"id":150,"name":"Time of Event (Mountain Time)","value":"08:51:30"},{"id":151,"name":"Denver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60" t="str">
        <f t="shared" si="5"/>
        <v>start /low /b %USERPROFILE%\Documents\GitHub\eaglep3\Utilities\DownloadLogsFromS3.py --loco 4011 --day 2017-02-01</v>
      </c>
      <c r="AN49" s="16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513</v>
      </c>
      <c r="B50" s="7">
        <v>4012</v>
      </c>
      <c r="C50" s="21" t="s">
        <v>193</v>
      </c>
      <c r="D50" s="21" t="s">
        <v>702</v>
      </c>
      <c r="E50" s="13">
        <v>42767.378252314818</v>
      </c>
      <c r="F50" s="13">
        <v>42767.382824074077</v>
      </c>
      <c r="G50" s="7">
        <v>1</v>
      </c>
      <c r="H50" s="21" t="s">
        <v>241</v>
      </c>
      <c r="I50" s="13">
        <v>42767.410868055558</v>
      </c>
      <c r="J50" s="7">
        <v>0</v>
      </c>
      <c r="K50" s="98" t="str">
        <f>IF(ISEVEN(B50),(B50-1)&amp;"/"&amp;B50,B50&amp;"/"&amp;(B50+1))</f>
        <v>4011/4012</v>
      </c>
      <c r="L50" s="21" t="str">
        <f>VLOOKUP(A50,'Trips&amp;Operators'!$C$1:$G$99999,5,FALSE)</f>
        <v>OUN ZACK</v>
      </c>
      <c r="M50" s="6">
        <f>I50-F50</f>
        <v>2.8043981481459923E-2</v>
      </c>
      <c r="N50" s="7">
        <f>24*60*SUM($M50:$M50)</f>
        <v>40.383333333302289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9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-02-01T08:04:41-0700',mode:absolute,to:'2017-02-01T10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93" t="str">
        <f>IF(AA50&lt;IF(AG50="EC",23,5.65),"Y","N")</f>
        <v>N</v>
      </c>
      <c r="X50" s="193">
        <f>VALUE(LEFT(AD50,4))-VALUE(LEFT(AD49,4))</f>
        <v>1</v>
      </c>
      <c r="Y50" s="62">
        <f>RIGHT(D50,LEN(D50)-4)/10000</f>
        <v>23.302800000000001</v>
      </c>
      <c r="Z50" s="62">
        <f>RIGHT(H50,LEN(H50)-4)/10000</f>
        <v>1.43E-2</v>
      </c>
      <c r="AA50" s="62">
        <f>ABS(Z50-Y50)</f>
        <v>23.288500000000003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>IF(LEN(A50)=6,"0"&amp;A50,A50)</f>
        <v>0138-01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/stypes="app*4012*20170201*"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138-01 --locoid 4012 --swversion DE.1.0.8.0 --startMP 204:233028 --initTime 2017-02-01T09:04:41 --startdatetime 2017-02-01T09:11:16 --delay 1 --endMP 204:143 --enddatetime 2017-02-01T09:51:39 --enforcementcount 0 &gt;&gt;C:\Users\stu\Documents\GitHub\eaglep3-reporting\EC\2017-02-01-refined-times.txt</v>
      </c>
      <c r="AI5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ID","value":"138-01"},{"id":16,"name":"Locomotive ID","value":"4012"},{"id":130,"name":"Impact","value":""},{"id":150,"name":"Time of Event (Mountain Time)","value":"09:51:39"},{"id":151,"name":"Denver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60" t="str">
        <f t="shared" si="5"/>
        <v>start /low /b %USERPROFILE%\Documents\GitHub\eaglep3\Utilities\DownloadLogsFromS3.py --loco 4012 --day 2017-02-01</v>
      </c>
      <c r="AN50" s="16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504</v>
      </c>
      <c r="B51" s="7">
        <v>4029</v>
      </c>
      <c r="C51" s="21" t="s">
        <v>193</v>
      </c>
      <c r="D51" s="21" t="s">
        <v>703</v>
      </c>
      <c r="E51" s="13">
        <v>42767.348865740743</v>
      </c>
      <c r="F51" s="13">
        <v>42767.354502314818</v>
      </c>
      <c r="G51" s="7">
        <v>1</v>
      </c>
      <c r="H51" s="21" t="s">
        <v>292</v>
      </c>
      <c r="I51" s="13">
        <v>42767.378530092596</v>
      </c>
      <c r="J51" s="7">
        <v>0</v>
      </c>
      <c r="K51" s="98" t="str">
        <f>IF(ISEVEN(B51),(B51-1)&amp;"/"&amp;B51,B51&amp;"/"&amp;(B51+1))</f>
        <v>4029/4030</v>
      </c>
      <c r="L51" s="21" t="str">
        <f>VLOOKUP(A51,'Trips&amp;Operators'!$C$1:$G$99999,5,FALSE)</f>
        <v>ROCHA YAOTL</v>
      </c>
      <c r="M51" s="6">
        <f>I51-F51</f>
        <v>2.4027777777519077E-2</v>
      </c>
      <c r="N51" s="7">
        <f>24*60*SUM($M51:$M51)</f>
        <v>34.599999999627471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9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-02-01T07:22:22-0700',mode:absolute,to:'2017-02-01T10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1" s="193" t="str">
        <f>IF(AA51&lt;IF(AG51="EC",23,5.65),"Y","N")</f>
        <v>N</v>
      </c>
      <c r="X51" s="193">
        <f>VALUE(LEFT(AD51,4))-VALUE(LEFT(AD50,4))</f>
        <v>1</v>
      </c>
      <c r="Y51" s="62">
        <f>RIGHT(D51,LEN(D51)-4)/10000</f>
        <v>4.3799999999999999E-2</v>
      </c>
      <c r="Z51" s="62">
        <f>RIGHT(H51,LEN(H51)-4)/10000</f>
        <v>23.330100000000002</v>
      </c>
      <c r="AA51" s="62">
        <f>ABS(Z51-Y51)</f>
        <v>23.286300000000001</v>
      </c>
      <c r="AB51" s="59" t="e">
        <f>VLOOKUP(A51,Enforcements!$C$7:$K$16,8,0)</f>
        <v>#N/A</v>
      </c>
      <c r="AC51" s="55" t="e">
        <f>VLOOKUP(A51,Enforcements!$C$7:$E$16,3,0)</f>
        <v>#N/A</v>
      </c>
      <c r="AD51" s="56" t="str">
        <f>IF(LEN(A51)=6,"0"&amp;A51,A51)</f>
        <v>0139-01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/stypes="app*4029*20170201*"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139-01 --locoid 4029 --swversion DE.1.0.8.0 --startMP 204:438 --initTime 2017-02-01T08:22:22 --startdatetime 2017-02-01T08:30:29 --delay 1 --endMP 204:233301 --enddatetime 2017-02-01T09:05:05 --enforcementcount 0 &gt;&gt;C:\Users\stu\Documents\GitHub\eaglep3-reporting\EC\2017-02-01-refined-times.txt</v>
      </c>
      <c r="AI5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{"issue":{"subject":"","project_id":79,"tracker_id":40,"status_id":1,"priority_id":2,"assigned_to_id":23,"start_date":"2017-02-01","description":"","custom_fields":[{"id":1,"name":"Subdivision","value":"EC"},{"id":4,"name":"Milepost","value":"23.3301"},{"id":17,"name":"Train ID","value":"139-01"},{"id":16,"name":"Locomotive ID","value":"4029"},{"id":130,"name":"Impact","value":""},{"id":150,"name":"Time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60" t="str">
        <f t="shared" si="5"/>
        <v>start /low /b %USERPROFILE%\Documents\GitHub\eaglep3\Utilities\DownloadLogsFromS3.py --loco 4029 --day 2017-02-01</v>
      </c>
      <c r="AN51" s="16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517</v>
      </c>
      <c r="B52" s="7">
        <v>4030</v>
      </c>
      <c r="C52" s="21" t="s">
        <v>193</v>
      </c>
      <c r="D52" s="21" t="s">
        <v>323</v>
      </c>
      <c r="E52" s="13">
        <v>42767.390462962961</v>
      </c>
      <c r="F52" s="13">
        <v>42767.393611111111</v>
      </c>
      <c r="G52" s="7">
        <v>1</v>
      </c>
      <c r="H52" s="21" t="s">
        <v>682</v>
      </c>
      <c r="I52" s="13">
        <v>42767.421712962961</v>
      </c>
      <c r="J52" s="7">
        <v>0</v>
      </c>
      <c r="K52" s="98" t="str">
        <f>IF(ISEVEN(B52),(B52-1)&amp;"/"&amp;B52,B52&amp;"/"&amp;(B52+1))</f>
        <v>4029/4030</v>
      </c>
      <c r="L52" s="21" t="str">
        <f>VLOOKUP(A52,'Trips&amp;Operators'!$C$1:$G$99999,5,FALSE)</f>
        <v>ROCHA YAOTL</v>
      </c>
      <c r="M52" s="6">
        <f>I52-F52</f>
        <v>2.810185185080627E-2</v>
      </c>
      <c r="N52" s="7">
        <f>24*60*SUM($M52:$M52)</f>
        <v>40.466666665161029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9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-02-01T08:22:16-0700',mode:absolute,to:'2017-02-01T11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2" s="193" t="str">
        <f>IF(AA52&lt;IF(AG52="EC",23,5.65),"Y","N")</f>
        <v>N</v>
      </c>
      <c r="X52" s="193">
        <f>VALUE(LEFT(AD52,4))-VALUE(LEFT(AD51,4))</f>
        <v>1</v>
      </c>
      <c r="Y52" s="62">
        <f>RIGHT(D52,LEN(D52)-4)/10000</f>
        <v>23.298400000000001</v>
      </c>
      <c r="Z52" s="62">
        <f>RIGHT(H52,LEN(H52)-4)/10000</f>
        <v>1.61E-2</v>
      </c>
      <c r="AA52" s="62">
        <f>ABS(Z52-Y52)</f>
        <v>23.282299999999999</v>
      </c>
      <c r="AB52" s="59" t="e">
        <f>VLOOKUP(A52,Enforcements!$C$7:$K$16,8,0)</f>
        <v>#N/A</v>
      </c>
      <c r="AC52" s="55" t="e">
        <f>VLOOKUP(A52,Enforcements!$C$7:$E$16,3,0)</f>
        <v>#N/A</v>
      </c>
      <c r="AD52" s="56" t="str">
        <f>IF(LEN(A52)=6,"0"&amp;A52,A52)</f>
        <v>0140-01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/stypes="app*4030*20170201*"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140-01 --locoid 4030 --swversion DE.1.0.8.0 --startMP 204:232984 --initTime 2017-02-01T09:22:16 --startdatetime 2017-02-01T09:26:48 --delay 1 --endMP 204:161 --enddatetime 2017-02-01T10:07:16 --enforcementcount 0 &gt;&gt;C:\Users\stu\Documents\GitHub\eaglep3-reporting\EC\2017-02-01-refined-times.txt</v>
      </c>
      <c r="AI52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{"issue":{"subject":"","project_id":79,"tracker_id":40,"status_id":1,"priority_id":2,"assigned_to_id":23,"start_date":"2017-02-01","description":"","custom_fields":[{"id":1,"name":"Subdivision","value":"EC"},{"id":4,"name":"Milepost","value":"0.0161"},{"id":17,"name":"Train ID","value":"140-01"},{"id":16,"name":"Locomotive ID","value":"4030"},{"id":130,"name":"Impact","value":""},{"id":150,"name":"Time of Event (Mountain Time)","value":"10:07:16"},{"id":151,"name":"Denver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60" t="str">
        <f t="shared" si="5"/>
        <v>start /low /b %USERPROFILE%\Documents\GitHub\eaglep3\Utilities\DownloadLogsFromS3.py --loco 4030 --day 2017-02-01</v>
      </c>
      <c r="AN52" s="16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508</v>
      </c>
      <c r="B53" s="7">
        <v>4016</v>
      </c>
      <c r="C53" s="21" t="s">
        <v>193</v>
      </c>
      <c r="D53" s="21" t="s">
        <v>245</v>
      </c>
      <c r="E53" s="13">
        <v>42767.362314814818</v>
      </c>
      <c r="F53" s="13">
        <v>42767.365034722221</v>
      </c>
      <c r="G53" s="7">
        <v>1</v>
      </c>
      <c r="H53" s="21" t="s">
        <v>355</v>
      </c>
      <c r="I53" s="13">
        <v>42767.396851851852</v>
      </c>
      <c r="J53" s="7">
        <v>0</v>
      </c>
      <c r="K53" s="98" t="str">
        <f>IF(ISEVEN(B53),(B53-1)&amp;"/"&amp;B53,B53&amp;"/"&amp;(B53+1))</f>
        <v>4015/4016</v>
      </c>
      <c r="L53" s="21" t="str">
        <f>VLOOKUP(A53,'Trips&amp;Operators'!$C$1:$G$99999,5,FALSE)</f>
        <v>SNYDER PETER</v>
      </c>
      <c r="M53" s="6">
        <f>I53-F53</f>
        <v>3.181712963123573E-2</v>
      </c>
      <c r="N53" s="7">
        <f>24*60*SUM($M53:$M53)</f>
        <v>45.816666668979451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9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-02-01T07:41:44-0700',mode:absolute,to:'2017-02-01T10:31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93" t="str">
        <f>IF(AA53&lt;IF(AG53="EC",23,5.65),"Y","N")</f>
        <v>N</v>
      </c>
      <c r="X53" s="193">
        <f>VALUE(LEFT(AD53,4))-VALUE(LEFT(AD52,4))</f>
        <v>1</v>
      </c>
      <c r="Y53" s="62">
        <f>RIGHT(D53,LEN(D53)-4)/10000</f>
        <v>4.5699999999999998E-2</v>
      </c>
      <c r="Z53" s="62">
        <f>RIGHT(H53,LEN(H53)-4)/10000</f>
        <v>23.331700000000001</v>
      </c>
      <c r="AA53" s="62">
        <f>ABS(Z53-Y53)</f>
        <v>23.286000000000001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>IF(LEN(A53)=6,"0"&amp;A53,A53)</f>
        <v>0141-01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/stypes="app*4016*20170201*"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141-01 --locoid 4016 --swversion DE.1.0.8.0 --startMP 204:457 --initTime 2017-02-01T08:41:44 --startdatetime 2017-02-01T08:45:39 --delay 1 --endMP 204:233317 --enddatetime 2017-02-01T09:31:28 --enforcementcount 0 &gt;&gt;C:\Users\stu\Documents\GitHub\eaglep3-reporting\EC\2017-02-01-refined-times.txt</v>
      </c>
      <c r="AI5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{"issue":{"subject":"","project_id":79,"tracker_id":40,"status_id":1,"priority_id":2,"assigned_to_id":23,"start_date":"2017-02-01","description":"","custom_fields":[{"id":1,"name":"Subdivision","value":"EC"},{"id":4,"name":"Milepost","value":"23.3317"},{"id":17,"name":"Train ID","value":"141-01"},{"id":16,"name":"Locomotive ID","value":"4016"},{"id":130,"name":"Impact","value":""},{"id":150,"name":"Time of Event (Mountain Time)","value":"09:31:28"},{"id":151,"name":"Denver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60" t="str">
        <f t="shared" si="5"/>
        <v>start /low /b %USERPROFILE%\Documents\GitHub\eaglep3\Utilities\DownloadLogsFromS3.py --loco 4016 --day 2017-02-01</v>
      </c>
      <c r="AN53" s="16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520</v>
      </c>
      <c r="B54" s="7">
        <v>4015</v>
      </c>
      <c r="C54" s="21" t="s">
        <v>193</v>
      </c>
      <c r="D54" s="21" t="s">
        <v>704</v>
      </c>
      <c r="E54" s="13">
        <v>42767.400983796295</v>
      </c>
      <c r="F54" s="13">
        <v>42767.403854166667</v>
      </c>
      <c r="G54" s="7">
        <v>1</v>
      </c>
      <c r="H54" s="21" t="s">
        <v>290</v>
      </c>
      <c r="I54" s="13">
        <v>42767.432395833333</v>
      </c>
      <c r="J54" s="7">
        <v>0</v>
      </c>
      <c r="K54" s="98" t="str">
        <f>IF(ISEVEN(B54),(B54-1)&amp;"/"&amp;B54,B54&amp;"/"&amp;(B54+1))</f>
        <v>4015/4016</v>
      </c>
      <c r="L54" s="21" t="str">
        <f>VLOOKUP(A54,'Trips&amp;Operators'!$C$1:$G$99999,5,FALSE)</f>
        <v>SNYDER PETER</v>
      </c>
      <c r="M54" s="6">
        <f>I54-F54</f>
        <v>2.8541666666569654E-2</v>
      </c>
      <c r="N54" s="7">
        <f>24*60*SUM($M54:$M54)</f>
        <v>41.099999999860302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9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-02-01T08:37:25-0700',mode:absolute,to:'2017-02-01T11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93" t="str">
        <f>IF(AA54&lt;IF(AG54="EC",23,5.65),"Y","N")</f>
        <v>N</v>
      </c>
      <c r="X54" s="193">
        <f>VALUE(LEFT(AD54,4))-VALUE(LEFT(AD53,4))</f>
        <v>1</v>
      </c>
      <c r="Y54" s="62">
        <f>RIGHT(D54,LEN(D54)-4)/10000</f>
        <v>23.298300000000001</v>
      </c>
      <c r="Z54" s="62">
        <f>RIGHT(H54,LEN(H54)-4)/10000</f>
        <v>1.3599999999999999E-2</v>
      </c>
      <c r="AA54" s="62">
        <f>ABS(Z54-Y54)</f>
        <v>23.284700000000001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>IF(LEN(A54)=6,"0"&amp;A54,A54)</f>
        <v>0142-01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/stypes="app*4015*20170201*"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142-01 --locoid 4015 --swversion DE.1.0.8.0 --startMP 204:232983 --initTime 2017-02-01T09:37:25 --startdatetime 2017-02-01T09:41:33 --delay 1 --endMP 204:136 --enddatetime 2017-02-01T10:22:39 --enforcementcount 0 &gt;&gt;C:\Users\stu\Documents\GitHub\eaglep3-reporting\EC\2017-02-01-refined-times.txt</v>
      </c>
      <c r="AI5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ID","value":"142-01"},{"id":16,"name":"Locomotive ID","value":"4015"},{"id":130,"name":"Impact","value":""},{"id":150,"name":"Time of Event (Mountain Time)","value":"10:22:39"},{"id":151,"name":"Denver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60" t="str">
        <f t="shared" si="5"/>
        <v>start /low /b %USERPROFILE%\Documents\GitHub\eaglep3\Utilities\DownloadLogsFromS3.py --loco 4015 --day 2017-02-01</v>
      </c>
      <c r="AN54" s="16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510</v>
      </c>
      <c r="B55" s="7">
        <v>4038</v>
      </c>
      <c r="C55" s="21" t="s">
        <v>193</v>
      </c>
      <c r="D55" s="21" t="s">
        <v>352</v>
      </c>
      <c r="E55" s="13">
        <v>42767.376273148147</v>
      </c>
      <c r="F55" s="13">
        <v>42767.377858796295</v>
      </c>
      <c r="G55" s="7">
        <v>1</v>
      </c>
      <c r="H55" s="21" t="s">
        <v>396</v>
      </c>
      <c r="I55" s="13">
        <v>42767.403020833335</v>
      </c>
      <c r="J55" s="7">
        <v>0</v>
      </c>
      <c r="K55" s="98" t="str">
        <f>IF(ISEVEN(B55),(B55-1)&amp;"/"&amp;B55,B55&amp;"/"&amp;(B55+1))</f>
        <v>4037/4038</v>
      </c>
      <c r="L55" s="21" t="str">
        <f>VLOOKUP(A55,'Trips&amp;Operators'!$C$1:$G$99999,5,FALSE)</f>
        <v>BADERTSCHER DIANE</v>
      </c>
      <c r="M55" s="6">
        <f>I55-F55</f>
        <v>2.5162037039990537E-2</v>
      </c>
      <c r="N55" s="7">
        <f>24*60*SUM($M55:$M55)</f>
        <v>36.233333337586373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9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-02-01T08:01:50-0700',mode:absolute,to:'2017-02-01T10:40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5" s="193" t="str">
        <f>IF(AA55&lt;IF(AG55="EC",23,5.65),"Y","N")</f>
        <v>N</v>
      </c>
      <c r="X55" s="193">
        <f>VALUE(LEFT(AD55,4))-VALUE(LEFT(AD54,4))</f>
        <v>1</v>
      </c>
      <c r="Y55" s="62">
        <f>RIGHT(D55,LEN(D55)-4)/10000</f>
        <v>4.4699999999999997E-2</v>
      </c>
      <c r="Z55" s="62">
        <f>RIGHT(H55,LEN(H55)-4)/10000</f>
        <v>23.327200000000001</v>
      </c>
      <c r="AA55" s="62">
        <f>ABS(Z55-Y55)</f>
        <v>23.282500000000002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>IF(LEN(A55)=6,"0"&amp;A55,A55)</f>
        <v>0143-01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/stypes="app*4038*20170201*"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143-01 --locoid 4038 --swversion DE.1.0.8.0 --startMP 204:447 --initTime 2017-02-01T09:01:50 --startdatetime 2017-02-01T09:04:07 --delay 1 --endMP 204:233272 --enddatetime 2017-02-01T09:40:21 --enforcementcount 0 &gt;&gt;C:\Users\stu\Documents\GitHub\eaglep3-reporting\EC\2017-02-01-refined-times.txt</v>
      </c>
      <c r="AI5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{"issue":{"subject":"","project_id":79,"tracker_id":40,"status_id":1,"priority_id":2,"assigned_to_id":23,"start_date":"2017-02-01","description":"","custom_fields":[{"id":1,"name":"Subdivision","value":"EC"},{"id":4,"name":"Milepost","value":"23.3272"},{"id":17,"name":"Train ID","value":"143-01"},{"id":16,"name":"Locomotive ID","value":"4038"},{"id":130,"name":"Impact","value":""},{"id":150,"name":"Time of Event (Mountain Time)","value":"09:40:21"},{"id":151,"name":"Denver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60" t="str">
        <f t="shared" si="5"/>
        <v>start /low /b %USERPROFILE%\Documents\GitHub\eaglep3\Utilities\DownloadLogsFromS3.py --loco 4038 --day 2017-02-01</v>
      </c>
      <c r="AN55" s="16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521</v>
      </c>
      <c r="B56" s="7">
        <v>4037</v>
      </c>
      <c r="C56" s="21" t="s">
        <v>193</v>
      </c>
      <c r="D56" s="21" t="s">
        <v>400</v>
      </c>
      <c r="E56" s="13">
        <v>42767.406400462962</v>
      </c>
      <c r="F56" s="13">
        <v>42767.4141087963</v>
      </c>
      <c r="G56" s="7">
        <v>1</v>
      </c>
      <c r="H56" s="21" t="s">
        <v>290</v>
      </c>
      <c r="I56" s="13">
        <v>42767.445879629631</v>
      </c>
      <c r="J56" s="7">
        <v>0</v>
      </c>
      <c r="K56" s="98" t="str">
        <f>IF(ISEVEN(B56),(B56-1)&amp;"/"&amp;B56,B56&amp;"/"&amp;(B56+1))</f>
        <v>4037/4038</v>
      </c>
      <c r="L56" s="21" t="str">
        <f>VLOOKUP(A56,'Trips&amp;Operators'!$C$1:$G$99999,5,FALSE)</f>
        <v>BADERTSCHER DIANE</v>
      </c>
      <c r="M56" s="6">
        <f>I56-F56</f>
        <v>3.1770833331393078E-2</v>
      </c>
      <c r="N56" s="7">
        <f>24*60*SUM($M56:$M56)</f>
        <v>45.749999997206032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9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-02-01T08:45:13-0700',mode:absolute,to:'2017-02-01T11:42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6" s="193" t="str">
        <f>IF(AA56&lt;IF(AG56="EC",23,5.65),"Y","N")</f>
        <v>N</v>
      </c>
      <c r="X56" s="193">
        <f>VALUE(LEFT(AD56,4))-VALUE(LEFT(AD55,4))</f>
        <v>1</v>
      </c>
      <c r="Y56" s="62">
        <f>RIGHT(D56,LEN(D56)-4)/10000</f>
        <v>23.295300000000001</v>
      </c>
      <c r="Z56" s="62">
        <f>RIGHT(H56,LEN(H56)-4)/10000</f>
        <v>1.3599999999999999E-2</v>
      </c>
      <c r="AA56" s="62">
        <f>ABS(Z56-Y56)</f>
        <v>23.281700000000001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>IF(LEN(A56)=6,"0"&amp;A56,A56)</f>
        <v>0144-01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/stypes="app*4037*20170201*"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144-01 --locoid 4037 --swversion DE.1.0.8.0 --startMP 204:232953 --initTime 2017-02-01T09:45:13 --startdatetime 2017-02-01T09:56:19 --delay 1 --endMP 204:136 --enddatetime 2017-02-01T10:42:04 --enforcementcount 0 &gt;&gt;C:\Users\stu\Documents\GitHub\eaglep3-reporting\EC\2017-02-01-refined-times.txt</v>
      </c>
      <c r="AI5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ID","value":"144-01"},{"id":16,"name":"Locomotive ID","value":"4037"},{"id":130,"name":"Impact","value":""},{"id":150,"name":"Time of Event (Mountain Time)","value":"10:42:04"},{"id":151,"name":"Denver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60" t="str">
        <f t="shared" si="5"/>
        <v>start /low /b %USERPROFILE%\Documents\GitHub\eaglep3\Utilities\DownloadLogsFromS3.py --loco 4037 --day 2017-02-01</v>
      </c>
      <c r="AN56" s="16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514</v>
      </c>
      <c r="B57" s="7">
        <v>4051</v>
      </c>
      <c r="C57" s="21" t="s">
        <v>193</v>
      </c>
      <c r="D57" s="21" t="s">
        <v>389</v>
      </c>
      <c r="E57" s="13">
        <v>42767.381712962961</v>
      </c>
      <c r="F57" s="13">
        <v>42767.385648148149</v>
      </c>
      <c r="G57" s="7">
        <v>1</v>
      </c>
      <c r="H57" s="21" t="s">
        <v>316</v>
      </c>
      <c r="I57" s="13">
        <v>42767.411458333336</v>
      </c>
      <c r="J57" s="7">
        <v>0</v>
      </c>
      <c r="K57" s="98" t="str">
        <f>IF(ISEVEN(B57),(B57-1)&amp;"/"&amp;B57,B57&amp;"/"&amp;(B57+1))</f>
        <v>4051/4052</v>
      </c>
      <c r="L57" s="21" t="str">
        <f>VLOOKUP(A57,'Trips&amp;Operators'!$C$1:$G$99999,5,FALSE)</f>
        <v>MAELZER KURT</v>
      </c>
      <c r="M57" s="6">
        <f>I57-F57</f>
        <v>2.5810185186855961E-2</v>
      </c>
      <c r="N57" s="7">
        <f>24*60*SUM($M57:$M57)</f>
        <v>37.166666669072583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9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-01T08:09:40-0700',mode:absolute,to:'2017-02-01T10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7" s="193" t="str">
        <f>IF(AA57&lt;IF(AG57="EC",23,5.65),"Y","N")</f>
        <v>N</v>
      </c>
      <c r="X57" s="193">
        <f>VALUE(LEFT(AD57,4))-VALUE(LEFT(AD56,4))</f>
        <v>1</v>
      </c>
      <c r="Y57" s="62">
        <f>RIGHT(D57,LEN(D57)-4)/10000</f>
        <v>4.2900000000000001E-2</v>
      </c>
      <c r="Z57" s="62">
        <f>RIGHT(H57,LEN(H57)-4)/10000</f>
        <v>23.3308</v>
      </c>
      <c r="AA57" s="62">
        <f>ABS(Z57-Y57)</f>
        <v>23.2879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>IF(LEN(A57)=6,"0"&amp;A57,A57)</f>
        <v>0145-01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/stypes="app*4051*20170201*"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145-01 --locoid 4051 --swversion DE.1.0.8.0 --startMP 204:429 --initTime 2017-02-01T09:09:40 --startdatetime 2017-02-01T09:15:20 --delay 1 --endMP 204:233308 --enddatetime 2017-02-01T09:52:30 --enforcementcount 0 &gt;&gt;C:\Users\stu\Documents\GitHub\eaglep3-reporting\EC\2017-02-01-refined-times.txt</v>
      </c>
      <c r="AI5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{"issue":{"subject":"","project_id":79,"tracker_id":40,"status_id":1,"priority_id":2,"assigned_to_id":23,"start_date":"2017-02-01","description":"","custom_fields":[{"id":1,"name":"Subdivision","value":"EC"},{"id":4,"name":"Milepost","value":"23.3308"},{"id":17,"name":"Train ID","value":"145-01"},{"id":16,"name":"Locomotive ID","value":"4051"},{"id":130,"name":"Impact","value":""},{"id":150,"name":"Time of Event (Mountain Time)","value":"09:52:30"},{"id":151,"name":"Denver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60" t="str">
        <f t="shared" si="5"/>
        <v>start /low /b %USERPROFILE%\Documents\GitHub\eaglep3\Utilities\DownloadLogsFromS3.py --loco 4051 --day 2017-02-01</v>
      </c>
      <c r="AN57" s="16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523</v>
      </c>
      <c r="B58" s="7">
        <v>4052</v>
      </c>
      <c r="C58" s="21" t="s">
        <v>193</v>
      </c>
      <c r="D58" s="21" t="s">
        <v>293</v>
      </c>
      <c r="E58" s="13">
        <v>42767.416481481479</v>
      </c>
      <c r="F58" s="13">
        <v>42767.42459490741</v>
      </c>
      <c r="G58" s="7">
        <v>1</v>
      </c>
      <c r="H58" s="21" t="s">
        <v>202</v>
      </c>
      <c r="I58" s="13">
        <v>42767.455590277779</v>
      </c>
      <c r="J58" s="7">
        <v>0</v>
      </c>
      <c r="K58" s="98" t="str">
        <f>IF(ISEVEN(B58),(B58-1)&amp;"/"&amp;B58,B58&amp;"/"&amp;(B58+1))</f>
        <v>4051/4052</v>
      </c>
      <c r="L58" s="21" t="str">
        <f>VLOOKUP(A58,'Trips&amp;Operators'!$C$1:$G$99999,5,FALSE)</f>
        <v>MAELZER KURT</v>
      </c>
      <c r="M58" s="6">
        <f>I58-F58</f>
        <v>3.0995370369055308E-2</v>
      </c>
      <c r="N58" s="7">
        <f>24*60*SUM($M58:$M58)</f>
        <v>44.633333331439644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9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-02-01T08:59:44-0700',mode:absolute,to:'2017-02-01T11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8" s="193" t="str">
        <f>IF(AA58&lt;IF(AG58="EC",23,5.65),"Y","N")</f>
        <v>N</v>
      </c>
      <c r="X58" s="193">
        <f>VALUE(LEFT(AD58,4))-VALUE(LEFT(AD57,4))</f>
        <v>1</v>
      </c>
      <c r="Y58" s="62">
        <f>RIGHT(D58,LEN(D58)-4)/10000</f>
        <v>23.299399999999999</v>
      </c>
      <c r="Z58" s="62">
        <f>RIGHT(H58,LEN(H58)-4)/10000</f>
        <v>1.4500000000000001E-2</v>
      </c>
      <c r="AA58" s="62">
        <f>ABS(Z58-Y58)</f>
        <v>23.284899999999997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>IF(LEN(A58)=6,"0"&amp;A58,A58)</f>
        <v>0146-01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/stypes="app*4052*20170201*"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146-01 --locoid 4052 --swversion DE.1.0.8.0 --startMP 204:232994 --initTime 2017-02-01T09:59:44 --startdatetime 2017-02-01T10:11:25 --delay 1 --endMP 204:145 --enddatetime 2017-02-01T10:56:03 --enforcementcount 0 &gt;&gt;C:\Users\stu\Documents\GitHub\eaglep3-reporting\EC\2017-02-01-refined-times.txt</v>
      </c>
      <c r="AI5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{"issue":{"subject":"","project_id":79,"tracker_id":40,"status_id":1,"priority_id":2,"assigned_to_id":23,"start_date":"2017-02-01","description":"","custom_fields":[{"id":1,"name":"Subdivision","value":"EC"},{"id":4,"name":"Milepost","value":"0.0145"},{"id":17,"name":"Train ID","value":"146-01"},{"id":16,"name":"Locomotive ID","value":"4052"},{"id":130,"name":"Impact","value":""},{"id":150,"name":"Time of Event (Mountain Time)","value":"10:56:03"},{"id":151,"name":"Denver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60" t="str">
        <f t="shared" si="5"/>
        <v>start /low /b %USERPROFILE%\Documents\GitHub\eaglep3\Utilities\DownloadLogsFromS3.py --loco 4052 --day 2017-02-01</v>
      </c>
      <c r="AN58" s="16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516</v>
      </c>
      <c r="B59" s="7">
        <v>4042</v>
      </c>
      <c r="C59" s="21" t="s">
        <v>193</v>
      </c>
      <c r="D59" s="21" t="s">
        <v>230</v>
      </c>
      <c r="E59" s="13">
        <v>42767.389756944445</v>
      </c>
      <c r="F59" s="13">
        <v>42767.396006944444</v>
      </c>
      <c r="G59" s="7">
        <v>1</v>
      </c>
      <c r="H59" s="21" t="s">
        <v>705</v>
      </c>
      <c r="I59" s="13">
        <v>42767.420405092591</v>
      </c>
      <c r="J59" s="7">
        <v>0</v>
      </c>
      <c r="K59" s="98" t="str">
        <f>IF(ISEVEN(B59),(B59-1)&amp;"/"&amp;B59,B59&amp;"/"&amp;(B59+1))</f>
        <v>4041/4042</v>
      </c>
      <c r="L59" s="21" t="str">
        <f>VLOOKUP(A59,'Trips&amp;Operators'!$C$1:$G$99999,5,FALSE)</f>
        <v>GEBRETEKLE DAGNEW</v>
      </c>
      <c r="M59" s="6">
        <f>I59-F59</f>
        <v>2.4398148147156462E-2</v>
      </c>
      <c r="N59" s="7">
        <f>24*60*SUM($M59:$M59)</f>
        <v>35.133333331905305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9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-02-01T08:21:15-0700',mode:absolute,to:'2017-02-01T11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9" s="193" t="str">
        <f>IF(AA59&lt;IF(AG59="EC",23,5.65),"Y","N")</f>
        <v>N</v>
      </c>
      <c r="X59" s="193">
        <f>VALUE(LEFT(AD59,4))-VALUE(LEFT(AD58,4))</f>
        <v>1</v>
      </c>
      <c r="Y59" s="62">
        <f>RIGHT(D59,LEN(D59)-4)/10000</f>
        <v>4.58E-2</v>
      </c>
      <c r="Z59" s="62">
        <f>RIGHT(H59,LEN(H59)-4)/10000</f>
        <v>23.3293</v>
      </c>
      <c r="AA59" s="62">
        <f>ABS(Z59-Y59)</f>
        <v>23.2835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>IF(LEN(A59)=6,"0"&amp;A59,A59)</f>
        <v>0147-01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/stypes="app*4042*20170201*"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147-01 --locoid 4042 --swversion DE.1.0.8.0 --startMP 204:458 --initTime 2017-02-01T09:21:15 --startdatetime 2017-02-01T09:30:15 --delay 1 --endMP 204:233293 --enddatetime 2017-02-01T10:05:23 --enforcementcount 0 &gt;&gt;C:\Users\stu\Documents\GitHub\eaglep3-reporting\EC\2017-02-01-refined-times.txt</v>
      </c>
      <c r="AI5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{"issue":{"subject":"","project_id":79,"tracker_id":40,"status_id":1,"priority_id":2,"assigned_to_id":23,"start_date":"2017-02-01","description":"","custom_fields":[{"id":1,"name":"Subdivision","value":"EC"},{"id":4,"name":"Milepost","value":"23.3293"},{"id":17,"name":"Train ID","value":"147-01"},{"id":16,"name":"Locomotive ID","value":"4042"},{"id":130,"name":"Impact","value":""},{"id":150,"name":"Time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60" t="str">
        <f t="shared" si="5"/>
        <v>start /low /b %USERPROFILE%\Documents\GitHub\eaglep3\Utilities\DownloadLogsFromS3.py --loco 4042 --day 2017-02-01</v>
      </c>
      <c r="AN59" s="16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526</v>
      </c>
      <c r="B60" s="7">
        <v>4041</v>
      </c>
      <c r="C60" s="21" t="s">
        <v>193</v>
      </c>
      <c r="D60" s="21" t="s">
        <v>378</v>
      </c>
      <c r="E60" s="13">
        <v>42767.429571759261</v>
      </c>
      <c r="F60" s="13">
        <v>42767.434907407405</v>
      </c>
      <c r="G60" s="7">
        <v>1</v>
      </c>
      <c r="H60" s="21" t="s">
        <v>241</v>
      </c>
      <c r="I60" s="13">
        <v>42767.465451388889</v>
      </c>
      <c r="J60" s="7">
        <v>0</v>
      </c>
      <c r="K60" s="98" t="str">
        <f>IF(ISEVEN(B60),(B60-1)&amp;"/"&amp;B60,B60&amp;"/"&amp;(B60+1))</f>
        <v>4041/4042</v>
      </c>
      <c r="L60" s="21" t="str">
        <f>VLOOKUP(A60,'Trips&amp;Operators'!$C$1:$G$99999,5,FALSE)</f>
        <v>GEBRETEKLE DAGNEW</v>
      </c>
      <c r="M60" s="6">
        <f>I60-F60</f>
        <v>3.054398148378823E-2</v>
      </c>
      <c r="N60" s="7">
        <f>24*60*SUM($M60:$M60)</f>
        <v>43.983333336655051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9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-02-01T09:18:35-0700',mode:absolute,to:'2017-02-01T12:10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0" s="193" t="str">
        <f>IF(AA60&lt;IF(AG60="EC",23,5.65),"Y","N")</f>
        <v>N</v>
      </c>
      <c r="X60" s="193">
        <f>VALUE(LEFT(AD60,4))-VALUE(LEFT(AD59,4))</f>
        <v>1</v>
      </c>
      <c r="Y60" s="62">
        <f>RIGHT(D60,LEN(D60)-4)/10000</f>
        <v>23.297699999999999</v>
      </c>
      <c r="Z60" s="62">
        <f>RIGHT(H60,LEN(H60)-4)/10000</f>
        <v>1.43E-2</v>
      </c>
      <c r="AA60" s="62">
        <f>ABS(Z60-Y60)</f>
        <v>23.2834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>IF(LEN(A60)=6,"0"&amp;A60,A60)</f>
        <v>0148-01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/stypes="app*4041*20170201*"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148-01 --locoid 4041 --swversion DE.1.0.8.0 --startMP 204:232977 --initTime 2017-02-01T10:18:35 --startdatetime 2017-02-01T10:26:16 --delay 1 --endMP 204:143 --enddatetime 2017-02-01T11:10:15 --enforcementcount 0 &gt;&gt;C:\Users\stu\Documents\GitHub\eaglep3-reporting\EC\2017-02-01-refined-times.txt</v>
      </c>
      <c r="AI6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ID","value":"148-01"},{"id":16,"name":"Locomotive ID","value":"4041"},{"id":130,"name":"Impact","value":""},{"id":150,"name":"Time of Event (Mountain Time)","value":"11:10:15"},{"id":151,"name":"Denver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60" t="str">
        <f t="shared" si="5"/>
        <v>start /low /b %USERPROFILE%\Documents\GitHub\eaglep3\Utilities\DownloadLogsFromS3.py --loco 4041 --day 2017-02-01</v>
      </c>
      <c r="AN60" s="16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519</v>
      </c>
      <c r="B61" s="7">
        <v>4046</v>
      </c>
      <c r="C61" s="21" t="s">
        <v>193</v>
      </c>
      <c r="D61" s="21" t="s">
        <v>706</v>
      </c>
      <c r="E61" s="13">
        <v>42767.401296296295</v>
      </c>
      <c r="F61" s="13">
        <v>42767.406527777777</v>
      </c>
      <c r="G61" s="7">
        <v>1</v>
      </c>
      <c r="H61" s="21" t="s">
        <v>705</v>
      </c>
      <c r="I61" s="13">
        <v>42767.433055555557</v>
      </c>
      <c r="J61" s="7">
        <v>0</v>
      </c>
      <c r="K61" s="98" t="str">
        <f>IF(ISEVEN(B61),(B61-1)&amp;"/"&amp;B61,B61&amp;"/"&amp;(B61+1))</f>
        <v>4045/4046</v>
      </c>
      <c r="L61" s="21" t="str">
        <f>VLOOKUP(A61,'Trips&amp;Operators'!$C$1:$G$99999,5,FALSE)</f>
        <v>BONDS REYNALDO</v>
      </c>
      <c r="M61" s="6">
        <f>I61-F61</f>
        <v>2.6527777779847383E-2</v>
      </c>
      <c r="N61" s="7">
        <f>24*60*SUM($M61:$M61)</f>
        <v>38.200000002980232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9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-02-01T08:37:52-0700',mode:absolute,to:'2017-02-01T11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93" t="str">
        <f>IF(AA61&lt;IF(AG61="EC",23,5.65),"Y","N")</f>
        <v>N</v>
      </c>
      <c r="X61" s="193">
        <f>VALUE(LEFT(AD61,4))-VALUE(LEFT(AD60,4))</f>
        <v>1</v>
      </c>
      <c r="Y61" s="62">
        <f>RIGHT(D61,LEN(D61)-4)/10000</f>
        <v>4.4200000000000003E-2</v>
      </c>
      <c r="Z61" s="62">
        <f>RIGHT(H61,LEN(H61)-4)/10000</f>
        <v>23.3293</v>
      </c>
      <c r="AA61" s="62">
        <f>ABS(Z61-Y61)</f>
        <v>23.2851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>IF(LEN(A61)=6,"0"&amp;A61,A61)</f>
        <v>0149-01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/stypes="app*4046*20170201*"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149-01 --locoid 4046 --swversion DE.1.0.8.0 --startMP 204:442 --initTime 2017-02-01T09:37:52 --startdatetime 2017-02-01T09:45:24 --delay 1 --endMP 204:233293 --enddatetime 2017-02-01T10:23:36 --enforcementcount 0 &gt;&gt;C:\Users\stu\Documents\GitHub\eaglep3-reporting\EC\2017-02-01-refined-times.txt</v>
      </c>
      <c r="AI6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{"issue":{"subject":"","project_id":79,"tracker_id":40,"status_id":1,"priority_id":2,"assigned_to_id":23,"start_date":"2017-02-01","description":"","custom_fields":[{"id":1,"name":"Subdivision","value":"EC"},{"id":4,"name":"Milepost","value":"23.3293"},{"id":17,"name":"Train ID","value":"149-01"},{"id":16,"name":"Locomotive ID","value":"4046"},{"id":130,"name":"Impact","value":""},{"id":150,"name":"Time of Event (Mountain Time)","value":"10:23:36"},{"id":151,"name":"Denver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60" t="str">
        <f t="shared" si="5"/>
        <v>start /low /b %USERPROFILE%\Documents\GitHub\eaglep3\Utilities\DownloadLogsFromS3.py --loco 4046 --day 2017-02-01</v>
      </c>
      <c r="AN61" s="16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436</v>
      </c>
      <c r="B62" s="7">
        <v>4045</v>
      </c>
      <c r="C62" s="21" t="s">
        <v>193</v>
      </c>
      <c r="D62" s="21" t="s">
        <v>704</v>
      </c>
      <c r="E62" s="13">
        <v>42767.443240740744</v>
      </c>
      <c r="F62" s="13">
        <v>42767.445347222223</v>
      </c>
      <c r="G62" s="7">
        <v>1</v>
      </c>
      <c r="H62" s="21" t="s">
        <v>210</v>
      </c>
      <c r="I62" s="13">
        <v>42767.476643518516</v>
      </c>
      <c r="J62" s="7">
        <v>0</v>
      </c>
      <c r="K62" s="98" t="str">
        <f>IF(ISEVEN(B62),(B62-1)&amp;"/"&amp;B62,B62&amp;"/"&amp;(B62+1))</f>
        <v>4045/4046</v>
      </c>
      <c r="L62" s="21" t="str">
        <f>VLOOKUP(A62,'Trips&amp;Operators'!$C$1:$G$99999,5,FALSE)</f>
        <v>BONDS REYNALDO</v>
      </c>
      <c r="M62" s="6">
        <f>I62-F62</f>
        <v>3.1296296292566694E-2</v>
      </c>
      <c r="N62" s="7">
        <f>24*60*SUM($M62:$M62)</f>
        <v>45.06666666129604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9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-02-01T09:38:16-0700',mode:absolute,to:'2017-02-01T12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93" t="str">
        <f>IF(AA62&lt;IF(AG62="EC",23,5.65),"Y","N")</f>
        <v>N</v>
      </c>
      <c r="X62" s="193">
        <f>VALUE(LEFT(AD62,4))-VALUE(LEFT(AD61,4))</f>
        <v>1</v>
      </c>
      <c r="Y62" s="62">
        <f>RIGHT(D62,LEN(D62)-4)/10000</f>
        <v>23.298300000000001</v>
      </c>
      <c r="Z62" s="62">
        <f>RIGHT(H62,LEN(H62)-4)/10000</f>
        <v>1.6E-2</v>
      </c>
      <c r="AA62" s="62">
        <f>ABS(Z62-Y62)</f>
        <v>23.282300000000003</v>
      </c>
      <c r="AB62" s="59" t="str">
        <f>VLOOKUP(A62,Enforcements!$C$7:$K$16,8,0)</f>
        <v>Bulletin (2)</v>
      </c>
      <c r="AC62" s="55" t="str">
        <f>VLOOKUP(A62,Enforcements!$C$7:$E$16,3,0)</f>
        <v>GRADE CROSSING</v>
      </c>
      <c r="AD62" s="56" t="str">
        <f>IF(LEN(A62)=6,"0"&amp;A62,A62)</f>
        <v>0150-01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/stypes="app*4045*20170201*"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150-01 --locoid 4045 --swversion DE.1.0.8.0 --startMP 204:232983 --initTime 2017-02-01T10:38:16 --startdatetime 2017-02-01T10:41:18 --delay 1 --endMP 204:160 --enddatetime 2017-02-01T11:26:22 --enforcementcount 0 &gt;&gt;C:\Users\stu\Documents\GitHub\eaglep3-reporting\EC\2017-02-01-refined-times.txt</v>
      </c>
      <c r="AI62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{"issue":{"subject":"","project_id":79,"tracker_id":40,"status_id":1,"priority_id":2,"assigned_to_id":23,"start_date":"2017-02-01","description":"","custom_fields":[{"id":1,"name":"Subdivision","value":"EC"},{"id":4,"name":"Milepost","value":"0.016"},{"id":17,"name":"Train ID","value":"150-01"},{"id":16,"name":"Locomotive ID","value":"4045"},{"id":130,"name":"Impact","value":""},{"id":150,"name":"Time of Event (Mountain Time)","value":"11:26:22"},{"id":151,"name":"Denver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60" t="str">
        <f t="shared" si="5"/>
        <v>start /low /b %USERPROFILE%\Documents\GitHub\eaglep3\Utilities\DownloadLogsFromS3.py --loco 4045 --day 2017-02-01</v>
      </c>
      <c r="AN62" s="16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522</v>
      </c>
      <c r="B63" s="7">
        <v>4011</v>
      </c>
      <c r="C63" s="21" t="s">
        <v>193</v>
      </c>
      <c r="D63" s="21" t="s">
        <v>688</v>
      </c>
      <c r="E63" s="13">
        <v>42767.412569444445</v>
      </c>
      <c r="F63" s="13">
        <v>42767.41684027778</v>
      </c>
      <c r="G63" s="7">
        <v>1</v>
      </c>
      <c r="H63" s="21" t="s">
        <v>707</v>
      </c>
      <c r="I63" s="13">
        <v>42767.442557870374</v>
      </c>
      <c r="J63" s="7">
        <v>0</v>
      </c>
      <c r="K63" s="98" t="str">
        <f>IF(ISEVEN(B63),(B63-1)&amp;"/"&amp;B63,B63&amp;"/"&amp;(B63+1))</f>
        <v>4011/4012</v>
      </c>
      <c r="L63" s="21" t="str">
        <f>VLOOKUP(A63,'Trips&amp;Operators'!$C$1:$G$99999,5,FALSE)</f>
        <v>OUN ZACK</v>
      </c>
      <c r="M63" s="6">
        <f>I63-F63</f>
        <v>2.5717592594446614E-2</v>
      </c>
      <c r="N63" s="7">
        <f>24*60*SUM($M63:$M63)</f>
        <v>37.033333336003125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9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-02-01T08:54:06-0700',mode:absolute,to:'2017-02-01T11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193" t="str">
        <f>IF(AA63&lt;IF(AG63="EC",23,5.65),"Y","N")</f>
        <v>N</v>
      </c>
      <c r="X63" s="193">
        <f>VALUE(LEFT(AD63,4))-VALUE(LEFT(AD62,4))</f>
        <v>1</v>
      </c>
      <c r="Y63" s="62">
        <f>RIGHT(D63,LEN(D63)-4)/10000</f>
        <v>4.3299999999999998E-2</v>
      </c>
      <c r="Z63" s="62">
        <f>RIGHT(H63,LEN(H63)-4)/10000</f>
        <v>23.339099999999998</v>
      </c>
      <c r="AA63" s="62">
        <f>ABS(Z63-Y63)</f>
        <v>23.2958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>IF(LEN(A63)=6,"0"&amp;A63,A63)</f>
        <v>0151-01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/stypes="app*4011*20170201*"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151-01 --locoid 4011 --swversion DE.1.0.8.0 --startMP 204:433 --initTime 2017-02-01T09:54:06 --startdatetime 2017-02-01T10:00:15 --delay 1 --endMP 204:233391 --enddatetime 2017-02-01T10:37:17 --enforcementcount 0 &gt;&gt;C:\Users\stu\Documents\GitHub\eaglep3-reporting\EC\2017-02-01-refined-times.txt</v>
      </c>
      <c r="AI6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{"issue":{"subject":"","project_id":79,"tracker_id":40,"status_id":1,"priority_id":2,"assigned_to_id":23,"start_date":"2017-02-01","description":"","custom_fields":[{"id":1,"name":"Subdivision","value":"EC"},{"id":4,"name":"Milepost","value":"23.3391"},{"id":17,"name":"Train ID","value":"151-01"},{"id":16,"name":"Locomotive ID","value":"4011"},{"id":130,"name":"Impact","value":""},{"id":150,"name":"Time of Event (Mountain Time)","value":"10:37:17"},{"id":151,"name":"Denver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60" t="str">
        <f t="shared" si="5"/>
        <v>start /low /b %USERPROFILE%\Documents\GitHub\eaglep3\Utilities\DownloadLogsFromS3.py --loco 4011 --day 2017-02-01</v>
      </c>
      <c r="AN63" s="16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529</v>
      </c>
      <c r="B64" s="7">
        <v>4012</v>
      </c>
      <c r="C64" s="21" t="s">
        <v>193</v>
      </c>
      <c r="D64" s="21" t="s">
        <v>708</v>
      </c>
      <c r="E64" s="13">
        <v>42767.450219907405</v>
      </c>
      <c r="F64" s="13">
        <v>42767.455740740741</v>
      </c>
      <c r="G64" s="7">
        <v>1</v>
      </c>
      <c r="H64" s="21" t="s">
        <v>297</v>
      </c>
      <c r="I64" s="13">
        <v>42767.488368055558</v>
      </c>
      <c r="J64" s="7">
        <v>0</v>
      </c>
      <c r="K64" s="98" t="str">
        <f>IF(ISEVEN(B64),(B64-1)&amp;"/"&amp;B64,B64&amp;"/"&amp;(B64+1))</f>
        <v>4011/4012</v>
      </c>
      <c r="L64" s="21" t="str">
        <f>VLOOKUP(A64,'Trips&amp;Operators'!$C$1:$G$99999,5,FALSE)</f>
        <v>OUN ZACK</v>
      </c>
      <c r="M64" s="6">
        <f>I64-F64</f>
        <v>3.2627314816636499E-2</v>
      </c>
      <c r="N64" s="7">
        <f>24*60*SUM($M64:$M64)</f>
        <v>46.983333335956559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9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-02-01T09:48:19-0700',mode:absolute,to:'2017-02-01T12:43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93" t="str">
        <f>IF(AA64&lt;IF(AG64="EC",23,5.65),"Y","N")</f>
        <v>N</v>
      </c>
      <c r="X64" s="193">
        <f>VALUE(LEFT(AD64,4))-VALUE(LEFT(AD63,4))</f>
        <v>1</v>
      </c>
      <c r="Y64" s="62">
        <f>RIGHT(D64,LEN(D64)-4)/10000</f>
        <v>23.3005</v>
      </c>
      <c r="Z64" s="62">
        <f>RIGHT(H64,LEN(H64)-4)/10000</f>
        <v>1.5599999999999999E-2</v>
      </c>
      <c r="AA64" s="62">
        <f>ABS(Z64-Y64)</f>
        <v>23.2849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>IF(LEN(A64)=6,"0"&amp;A64,A64)</f>
        <v>0152-01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/stypes="app*4012*20170201*"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152-01 --locoid 4012 --swversion DE.1.0.8.0 --startMP 204:233005 --initTime 2017-02-01T10:48:19 --startdatetime 2017-02-01T10:56:16 --delay 1 --endMP 204:156 --enddatetime 2017-02-01T11:43:15 --enforcementcount 0 &gt;&gt;C:\Users\stu\Documents\GitHub\eaglep3-reporting\EC\2017-02-01-refined-times.txt</v>
      </c>
      <c r="AI6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{"issue":{"subject":"","project_id":79,"tracker_id":40,"status_id":1,"priority_id":2,"assigned_to_id":23,"start_date":"2017-02-01","description":"","custom_fields":[{"id":1,"name":"Subdivision","value":"EC"},{"id":4,"name":"Milepost","value":"0.0156"},{"id":17,"name":"Train ID","value":"152-01"},{"id":16,"name":"Locomotive ID","value":"4012"},{"id":130,"name":"Impact","value":""},{"id":150,"name":"Time of Event (Mountain Time)","value":"11:43:15"},{"id":151,"name":"Denver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60" t="str">
        <f t="shared" si="5"/>
        <v>start /low /b %USERPROFILE%\Documents\GitHub\eaglep3\Utilities\DownloadLogsFromS3.py --loco 4012 --day 2017-02-01</v>
      </c>
      <c r="AN64" s="16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524</v>
      </c>
      <c r="B65" s="7">
        <v>4029</v>
      </c>
      <c r="C65" s="21" t="s">
        <v>193</v>
      </c>
      <c r="D65" s="21" t="s">
        <v>213</v>
      </c>
      <c r="E65" s="13">
        <v>42767.424664351849</v>
      </c>
      <c r="F65" s="13">
        <v>42767.427268518521</v>
      </c>
      <c r="G65" s="7">
        <v>1</v>
      </c>
      <c r="H65" s="21" t="s">
        <v>331</v>
      </c>
      <c r="I65" s="13">
        <v>42767.455393518518</v>
      </c>
      <c r="J65" s="7">
        <v>0</v>
      </c>
      <c r="K65" s="98" t="str">
        <f>IF(ISEVEN(B65),(B65-1)&amp;"/"&amp;B65,B65&amp;"/"&amp;(B65+1))</f>
        <v>4029/4030</v>
      </c>
      <c r="L65" s="21" t="str">
        <f>VLOOKUP(A65,'Trips&amp;Operators'!$C$1:$G$99999,5,FALSE)</f>
        <v>ROCHA YAOTL</v>
      </c>
      <c r="M65" s="6">
        <f>I65-F65</f>
        <v>2.8124999997089617E-2</v>
      </c>
      <c r="N65" s="7">
        <f>24*60*SUM($M65:$M65)</f>
        <v>40.499999995809048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9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-02-01T09:11:31-0700',mode:absolute,to:'2017-02-01T11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5" s="193" t="str">
        <f>IF(AA65&lt;IF(AG65="EC",23,5.65),"Y","N")</f>
        <v>N</v>
      </c>
      <c r="X65" s="193">
        <f>VALUE(LEFT(AD65,4))-VALUE(LEFT(AD64,4))</f>
        <v>1</v>
      </c>
      <c r="Y65" s="62">
        <f>RIGHT(D65,LEN(D65)-4)/10000</f>
        <v>4.4900000000000002E-2</v>
      </c>
      <c r="Z65" s="62">
        <f>RIGHT(H65,LEN(H65)-4)/10000</f>
        <v>23.3323</v>
      </c>
      <c r="AA65" s="62">
        <f>ABS(Z65-Y65)</f>
        <v>23.287400000000002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>IF(LEN(A65)=6,"0"&amp;A65,A65)</f>
        <v>0153-01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/stypes="app*4029*20170201*"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153-01 --locoid 4029 --swversion DE.1.0.8.0 --startMP 204:449 --initTime 2017-02-01T10:11:31 --startdatetime 2017-02-01T10:15:16 --delay 1 --endMP 204:233323 --enddatetime 2017-02-01T10:55:46 --enforcementcount 0 &gt;&gt;C:\Users\stu\Documents\GitHub\eaglep3-reporting\EC\2017-02-01-refined-times.txt</v>
      </c>
      <c r="AI6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{"issue":{"subject":"","project_id":79,"tracker_id":40,"status_id":1,"priority_id":2,"assigned_to_id":23,"start_date":"2017-02-01","description":"","custom_fields":[{"id":1,"name":"Subdivision","value":"EC"},{"id":4,"name":"Milepost","value":"23.3323"},{"id":17,"name":"Train ID","value":"153-01"},{"id":16,"name":"Locomotive ID","value":"4029"},{"id":130,"name":"Impact","value":""},{"id":150,"name":"Time of Event (Mountain Time)","value":"10:55:46"},{"id":151,"name":"Denver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60" t="str">
        <f t="shared" si="5"/>
        <v>start /low /b %USERPROFILE%\Documents\GitHub\eaglep3\Utilities\DownloadLogsFromS3.py --loco 4029 --day 2017-02-01</v>
      </c>
      <c r="AN65" s="16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531</v>
      </c>
      <c r="B66" s="7">
        <v>4030</v>
      </c>
      <c r="C66" s="21" t="s">
        <v>193</v>
      </c>
      <c r="D66" s="21" t="s">
        <v>354</v>
      </c>
      <c r="E66" s="13">
        <v>42767.464988425927</v>
      </c>
      <c r="F66" s="13">
        <v>42767.466597222221</v>
      </c>
      <c r="G66" s="7">
        <v>1</v>
      </c>
      <c r="H66" s="21" t="s">
        <v>227</v>
      </c>
      <c r="I66" s="13">
        <v>42767.496863425928</v>
      </c>
      <c r="J66" s="7">
        <v>0</v>
      </c>
      <c r="K66" s="98" t="str">
        <f>IF(ISEVEN(B66),(B66-1)&amp;"/"&amp;B66,B66&amp;"/"&amp;(B66+1))</f>
        <v>4029/4030</v>
      </c>
      <c r="L66" s="21" t="str">
        <f>VLOOKUP(A66,'Trips&amp;Operators'!$C$1:$G$99999,5,FALSE)</f>
        <v>ROCHA YAOTL</v>
      </c>
      <c r="M66" s="6">
        <f>I66-F66</f>
        <v>3.0266203706560191E-2</v>
      </c>
      <c r="N66" s="7">
        <f>24*60*SUM($M66:$M66)</f>
        <v>43.583333337446675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9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-02-01T10:09:35-0700',mode:absolute,to:'2017-02-01T12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6" s="193" t="str">
        <f>IF(AA66&lt;IF(AG66="EC",23,5.65),"Y","N")</f>
        <v>N</v>
      </c>
      <c r="X66" s="193">
        <f>VALUE(LEFT(AD66,4))-VALUE(LEFT(AD65,4))</f>
        <v>1</v>
      </c>
      <c r="Y66" s="62">
        <f>RIGHT(D66,LEN(D66)-4)/10000</f>
        <v>23.299299999999999</v>
      </c>
      <c r="Z66" s="62">
        <f>RIGHT(H66,LEN(H66)-4)/10000</f>
        <v>1.6299999999999999E-2</v>
      </c>
      <c r="AA66" s="62">
        <f>ABS(Z66-Y66)</f>
        <v>23.282999999999998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>IF(LEN(A66)=6,"0"&amp;A66,A66)</f>
        <v>0154-01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/stypes="app*4030*20170201*"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154-01 --locoid 4030 --swversion DE.1.0.8.0 --startMP 204:232993 --initTime 2017-02-01T11:09:35 --startdatetime 2017-02-01T11:11:54 --delay 1 --endMP 204:163 --enddatetime 2017-02-01T11:55:29 --enforcementcount 0 &gt;&gt;C:\Users\stu\Documents\GitHub\eaglep3-reporting\EC\2017-02-01-refined-times.txt</v>
      </c>
      <c r="AI6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{"issue":{"subject":"","project_id":79,"tracker_id":40,"status_id":1,"priority_id":2,"assigned_to_id":23,"start_date":"2017-02-01","description":"","custom_fields":[{"id":1,"name":"Subdivision","value":"EC"},{"id":4,"name":"Milepost","value":"0.0163"},{"id":17,"name":"Train ID","value":"154-01"},{"id":16,"name":"Locomotive ID","value":"4030"},{"id":130,"name":"Impact","value":""},{"id":150,"name":"Time of Event (Mountain Time)","value":"11:55:29"},{"id":151,"name":"Denver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60" t="str">
        <f t="shared" si="5"/>
        <v>start /low /b %USERPROFILE%\Documents\GitHub\eaglep3\Utilities\DownloadLogsFromS3.py --loco 4030 --day 2017-02-01</v>
      </c>
      <c r="AN66" s="16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527</v>
      </c>
      <c r="B67" s="7">
        <v>4016</v>
      </c>
      <c r="C67" s="21" t="s">
        <v>193</v>
      </c>
      <c r="D67" s="21" t="s">
        <v>299</v>
      </c>
      <c r="E67" s="13">
        <v>42767.43472222222</v>
      </c>
      <c r="F67" s="13">
        <v>42767.438252314816</v>
      </c>
      <c r="G67" s="7">
        <v>1</v>
      </c>
      <c r="H67" s="21" t="s">
        <v>225</v>
      </c>
      <c r="I67" s="13">
        <v>42767.464699074073</v>
      </c>
      <c r="J67" s="7">
        <v>0</v>
      </c>
      <c r="K67" s="98" t="str">
        <f>IF(ISEVEN(B67),(B67-1)&amp;"/"&amp;B67,B67&amp;"/"&amp;(B67+1))</f>
        <v>4015/4016</v>
      </c>
      <c r="L67" s="21" t="str">
        <f>VLOOKUP(A67,'Trips&amp;Operators'!$C$1:$G$99999,5,FALSE)</f>
        <v>YORK EDGAR</v>
      </c>
      <c r="M67" s="6">
        <f>I67-F67</f>
        <v>2.6446759256941732E-2</v>
      </c>
      <c r="N67" s="7">
        <f>24*60*SUM($M67:$M67)</f>
        <v>38.083333329996094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9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-02-01T09:26:00-0700',mode:absolute,to:'2017-02-01T12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93" t="str">
        <f>IF(AA67&lt;IF(AG67="EC",23,5.65),"Y","N")</f>
        <v>N</v>
      </c>
      <c r="X67" s="193">
        <f>VALUE(LEFT(AD67,4))-VALUE(LEFT(AD66,4))</f>
        <v>1</v>
      </c>
      <c r="Y67" s="62">
        <f>RIGHT(D67,LEN(D67)-4)/10000</f>
        <v>4.4600000000000001E-2</v>
      </c>
      <c r="Z67" s="62">
        <f>RIGHT(H67,LEN(H67)-4)/10000</f>
        <v>23.329899999999999</v>
      </c>
      <c r="AA67" s="62">
        <f>ABS(Z67-Y67)</f>
        <v>23.285299999999999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>IF(LEN(A67)=6,"0"&amp;A67,A67)</f>
        <v>0155-01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/stypes="app*4016*20170201*"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155-01 --locoid 4016 --swversion DE.1.0.8.0 --startMP 204:446 --initTime 2017-02-01T10:26:00 --startdatetime 2017-02-01T10:31:05 --delay 1 --endMP 204:233299 --enddatetime 2017-02-01T11:09:10 --enforcementcount 0 &gt;&gt;C:\Users\stu\Documents\GitHub\eaglep3-reporting\EC\2017-02-01-refined-times.txt</v>
      </c>
      <c r="AI6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{"issue":{"subject":"","project_id":79,"tracker_id":40,"status_id":1,"priority_id":2,"assigned_to_id":23,"start_date":"2017-02-01","description":"","custom_fields":[{"id":1,"name":"Subdivision","value":"EC"},{"id":4,"name":"Milepost","value":"23.3299"},{"id":17,"name":"Train ID","value":"155-01"},{"id":16,"name":"Locomotive ID","value":"4016"},{"id":130,"name":"Impact","value":""},{"id":150,"name":"Time of Event (Mountain Time)","value":"11:09:10"},{"id":151,"name":"Denver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60" t="str">
        <f t="shared" si="5"/>
        <v>start /low /b %USERPROFILE%\Documents\GitHub\eaglep3\Utilities\DownloadLogsFromS3.py --loco 4016 --day 2017-02-01</v>
      </c>
      <c r="AN67" s="16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437</v>
      </c>
      <c r="B68" s="7">
        <v>4015</v>
      </c>
      <c r="C68" s="21" t="s">
        <v>193</v>
      </c>
      <c r="D68" s="21" t="s">
        <v>378</v>
      </c>
      <c r="E68" s="13">
        <v>42767.465833333335</v>
      </c>
      <c r="F68" s="13">
        <v>42767.477175925924</v>
      </c>
      <c r="G68" s="7">
        <v>2</v>
      </c>
      <c r="H68" s="21" t="s">
        <v>197</v>
      </c>
      <c r="I68" s="13">
        <v>42767.508912037039</v>
      </c>
      <c r="J68" s="7">
        <v>0</v>
      </c>
      <c r="K68" s="98" t="str">
        <f>IF(ISEVEN(B68),(B68-1)&amp;"/"&amp;B68,B68&amp;"/"&amp;(B68+1))</f>
        <v>4015/4016</v>
      </c>
      <c r="L68" s="21" t="str">
        <f>VLOOKUP(A68,'Trips&amp;Operators'!$C$1:$G$99999,5,FALSE)</f>
        <v>YORK EDGAR</v>
      </c>
      <c r="M68" s="6">
        <f>I68-F68</f>
        <v>3.1736111115606036E-2</v>
      </c>
      <c r="N68" s="7">
        <f>24*60*SUM($M68:$M68)</f>
        <v>45.700000006472692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9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-01T10:10:48-0700',mode:absolute,to:'2017-02-01T13:12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93" t="str">
        <f>IF(AA68&lt;IF(AG68="EC",23,5.65),"Y","N")</f>
        <v>N</v>
      </c>
      <c r="X68" s="193">
        <f>VALUE(LEFT(AD68,4))-VALUE(LEFT(AD67,4))</f>
        <v>1</v>
      </c>
      <c r="Y68" s="62">
        <f>RIGHT(D68,LEN(D68)-4)/10000</f>
        <v>23.297699999999999</v>
      </c>
      <c r="Z68" s="62">
        <f>RIGHT(H68,LEN(H68)-4)/10000</f>
        <v>1.4999999999999999E-2</v>
      </c>
      <c r="AA68" s="62">
        <f>ABS(Z68-Y68)</f>
        <v>23.282699999999998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>IF(LEN(A68)=6,"0"&amp;A68,A68)</f>
        <v>0156-01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/stypes="app*4015*20170201*"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156-01 --locoid 4015 --swversion DE.1.0.8.0 --startMP 204:232977 --initTime 2017-02-01T11:10:48 --startdatetime 2017-02-01T11:27:08 --delay 2 --endMP 204:150 --enddatetime 2017-02-01T12:12:50 --enforcementcount 0 &gt;&gt;C:\Users\stu\Documents\GitHub\eaglep3-reporting\EC\2017-02-01-refined-times.txt</v>
      </c>
      <c r="AI68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ID","value":"156-01"},{"id":16,"name":"Locomotive ID","value":"4015"},{"id":130,"name":"Impact","value":""},{"id":150,"name":"Time of Event (Mountain Time)","value":"12:12:50"},{"id":151,"name":"Denver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60" t="str">
        <f t="shared" si="5"/>
        <v>start /low /b %USERPROFILE%\Documents\GitHub\eaglep3\Utilities\DownloadLogsFromS3.py --loco 4015 --day 2017-02-01</v>
      </c>
      <c r="AN68" s="16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435</v>
      </c>
      <c r="B69" s="7">
        <v>4038</v>
      </c>
      <c r="C69" s="21" t="s">
        <v>193</v>
      </c>
      <c r="D69" s="21" t="s">
        <v>299</v>
      </c>
      <c r="E69" s="13">
        <v>42767.447754629633</v>
      </c>
      <c r="F69" s="13">
        <v>42767.449629629627</v>
      </c>
      <c r="G69" s="7">
        <v>1</v>
      </c>
      <c r="H69" s="21" t="s">
        <v>709</v>
      </c>
      <c r="I69" s="13">
        <v>42767.477083333331</v>
      </c>
      <c r="J69" s="7">
        <v>0</v>
      </c>
      <c r="K69" s="98" t="str">
        <f>IF(ISEVEN(B69),(B69-1)&amp;"/"&amp;B69,B69&amp;"/"&amp;(B69+1))</f>
        <v>4037/4038</v>
      </c>
      <c r="L69" s="21" t="str">
        <f>VLOOKUP(A69,'Trips&amp;Operators'!$C$1:$G$99999,5,FALSE)</f>
        <v>STARKS ANGELINA</v>
      </c>
      <c r="M69" s="6">
        <f>I69-F69</f>
        <v>2.7453703703940846E-2</v>
      </c>
      <c r="N69" s="7">
        <f>24*60*SUM($M69:$M69)</f>
        <v>39.533333333674818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9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-02-01T09:44:46-0700',mode:absolute,to:'2017-02-01T12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9" s="193" t="str">
        <f>IF(AA69&lt;IF(AG69="EC",23,5.65),"Y","N")</f>
        <v>N</v>
      </c>
      <c r="X69" s="193">
        <f>VALUE(LEFT(AD69,4))-VALUE(LEFT(AD68,4))</f>
        <v>1</v>
      </c>
      <c r="Y69" s="62">
        <f>RIGHT(D69,LEN(D69)-4)/10000</f>
        <v>4.4600000000000001E-2</v>
      </c>
      <c r="Z69" s="62">
        <f>RIGHT(H69,LEN(H69)-4)/10000</f>
        <v>23.332100000000001</v>
      </c>
      <c r="AA69" s="62">
        <f>ABS(Z69-Y69)</f>
        <v>23.287500000000001</v>
      </c>
      <c r="AB69" s="59" t="str">
        <f>VLOOKUP(A69,Enforcements!$C$7:$K$16,8,0)</f>
        <v>Bulletin (2)</v>
      </c>
      <c r="AC69" s="55" t="str">
        <f>VLOOKUP(A69,Enforcements!$C$7:$E$16,3,0)</f>
        <v>GRADE CROSSING</v>
      </c>
      <c r="AD69" s="56" t="str">
        <f>IF(LEN(A69)=6,"0"&amp;A69,A69)</f>
        <v>0157-01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/stypes="app*4038*20170201*"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157-01 --locoid 4038 --swversion DE.1.0.8.0 --startMP 204:446 --initTime 2017-02-01T10:44:46 --startdatetime 2017-02-01T10:47:28 --delay 1 --endMP 204:233321 --enddatetime 2017-02-01T11:27:00 --enforcementcount 0 &gt;&gt;C:\Users\stu\Documents\GitHub\eaglep3-reporting\EC\2017-02-01-refined-times.txt</v>
      </c>
      <c r="AI69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{"issue":{"subject":"","project_id":79,"tracker_id":40,"status_id":1,"priority_id":2,"assigned_to_id":23,"start_date":"2017-02-01","description":"","custom_fields":[{"id":1,"name":"Subdivision","value":"EC"},{"id":4,"name":"Milepost","value":"23.3321"},{"id":17,"name":"Train ID","value":"157-01"},{"id":16,"name":"Locomotive ID","value":"4038"},{"id":130,"name":"Impact","value":""},{"id":150,"name":"Time of Event (Mountain Time)","value":"11:27:00"},{"id":151,"name":"Denver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60" t="str">
        <f t="shared" si="5"/>
        <v>start /low /b %USERPROFILE%\Documents\GitHub\eaglep3\Utilities\DownloadLogsFromS3.py --loco 4038 --day 2017-02-01</v>
      </c>
      <c r="AN69" s="16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536</v>
      </c>
      <c r="B70" s="7">
        <v>4037</v>
      </c>
      <c r="C70" s="21" t="s">
        <v>193</v>
      </c>
      <c r="D70" s="21" t="s">
        <v>298</v>
      </c>
      <c r="E70" s="13">
        <v>42767.484861111108</v>
      </c>
      <c r="F70" s="13">
        <v>42767.487349537034</v>
      </c>
      <c r="G70" s="7">
        <v>2</v>
      </c>
      <c r="H70" s="21" t="s">
        <v>241</v>
      </c>
      <c r="I70" s="13">
        <v>42767.525000000001</v>
      </c>
      <c r="J70" s="7">
        <v>0</v>
      </c>
      <c r="K70" s="98" t="str">
        <f>IF(ISEVEN(B70),(B70-1)&amp;"/"&amp;B70,B70&amp;"/"&amp;(B70+1))</f>
        <v>4037/4038</v>
      </c>
      <c r="L70" s="21" t="str">
        <f>VLOOKUP(A70,'Trips&amp;Operators'!$C$1:$G$99999,5,FALSE)</f>
        <v>STARKS ANGELINA</v>
      </c>
      <c r="M70" s="6">
        <f>I70-F70</f>
        <v>3.7650462967576459E-2</v>
      </c>
      <c r="N70" s="7">
        <f>24*60*SUM($M70:$M70)</f>
        <v>54.216666673310101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9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-02-01T10:38:12-0700',mode:absolute,to:'2017-02-01T13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0" s="193" t="str">
        <f>IF(AA70&lt;IF(AG70="EC",23,5.65),"Y","N")</f>
        <v>N</v>
      </c>
      <c r="X70" s="193">
        <f>VALUE(LEFT(AD70,4))-VALUE(LEFT(AD69,4))</f>
        <v>1</v>
      </c>
      <c r="Y70" s="62">
        <f>RIGHT(D70,LEN(D70)-4)/10000</f>
        <v>23.2989</v>
      </c>
      <c r="Z70" s="62">
        <f>RIGHT(H70,LEN(H70)-4)/10000</f>
        <v>1.43E-2</v>
      </c>
      <c r="AA70" s="62">
        <f>ABS(Z70-Y70)</f>
        <v>23.284600000000001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>IF(LEN(A70)=6,"0"&amp;A70,A70)</f>
        <v>0158-01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/stypes="app*4037*20170201*"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158-01 --locoid 4037 --swversion DE.1.0.8.0 --startMP 204:232989 --initTime 2017-02-01T11:38:12 --startdatetime 2017-02-01T11:41:47 --delay 2 --endMP 204:143 --enddatetime 2017-02-01T12:36:00 --enforcementcount 0 &gt;&gt;C:\Users\stu\Documents\GitHub\eaglep3-reporting\EC\2017-02-01-refined-times.txt</v>
      </c>
      <c r="AI70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ID","value":"158-01"},{"id":16,"name":"Locomotive ID","value":"4037"},{"id":130,"name":"Impact","value":""},{"id":150,"name":"Time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60" t="str">
        <f t="shared" si="5"/>
        <v>start /low /b %USERPROFILE%\Documents\GitHub\eaglep3\Utilities\DownloadLogsFromS3.py --loco 4037 --day 2017-02-01</v>
      </c>
      <c r="AN70" s="16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530</v>
      </c>
      <c r="B71" s="7">
        <v>4051</v>
      </c>
      <c r="C71" s="21" t="s">
        <v>193</v>
      </c>
      <c r="D71" s="21" t="s">
        <v>706</v>
      </c>
      <c r="E71" s="13">
        <v>42767.45752314815</v>
      </c>
      <c r="F71" s="13">
        <v>42767.459201388891</v>
      </c>
      <c r="G71" s="7">
        <v>1</v>
      </c>
      <c r="H71" s="21" t="s">
        <v>229</v>
      </c>
      <c r="I71" s="13">
        <v>42767.487592592595</v>
      </c>
      <c r="J71" s="7">
        <v>0</v>
      </c>
      <c r="K71" s="98" t="str">
        <f>IF(ISEVEN(B71),(B71-1)&amp;"/"&amp;B71,B71&amp;"/"&amp;(B71+1))</f>
        <v>4051/4052</v>
      </c>
      <c r="L71" s="21" t="str">
        <f>VLOOKUP(A71,'Trips&amp;Operators'!$C$1:$G$99999,5,FALSE)</f>
        <v>SANTIZO D. EDY</v>
      </c>
      <c r="M71" s="6">
        <f>I71-F71</f>
        <v>2.8391203704813961E-2</v>
      </c>
      <c r="N71" s="7">
        <f>24*60*SUM($M71:$M71)</f>
        <v>40.883333334932104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9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-02-01T09:58:50-0700',mode:absolute,to:'2017-02-01T12:42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1" s="193" t="str">
        <f>IF(AA71&lt;IF(AG71="EC",23,5.65),"Y","N")</f>
        <v>N</v>
      </c>
      <c r="X71" s="193">
        <f>VALUE(LEFT(AD71,4))-VALUE(LEFT(AD70,4))</f>
        <v>1</v>
      </c>
      <c r="Y71" s="62">
        <f>RIGHT(D71,LEN(D71)-4)/10000</f>
        <v>4.4200000000000003E-2</v>
      </c>
      <c r="Z71" s="62">
        <f>RIGHT(H71,LEN(H71)-4)/10000</f>
        <v>23.329699999999999</v>
      </c>
      <c r="AA71" s="62">
        <f>ABS(Z71-Y71)</f>
        <v>23.285499999999999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>IF(LEN(A71)=6,"0"&amp;A71,A71)</f>
        <v>0159-01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/stypes="app*4051*20170201*"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159-01 --locoid 4051 --swversion DE.1.0.8.0 --startMP 204:442 --initTime 2017-02-01T10:58:50 --startdatetime 2017-02-01T11:01:15 --delay 1 --endMP 204:233297 --enddatetime 2017-02-01T11:42:08 --enforcementcount 0 &gt;&gt;C:\Users\stu\Documents\GitHub\eaglep3-reporting\EC\2017-02-01-refined-times.txt</v>
      </c>
      <c r="AI71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{"issue":{"subject":"","project_id":79,"tracker_id":40,"status_id":1,"priority_id":2,"assigned_to_id":23,"start_date":"2017-02-01","description":"","custom_fields":[{"id":1,"name":"Subdivision","value":"EC"},{"id":4,"name":"Milepost","value":"23.3297"},{"id":17,"name":"Train ID","value":"159-01"},{"id":16,"name":"Locomotive ID","value":"4051"},{"id":130,"name":"Impact","value":""},{"id":150,"name":"Time of Event (Mountain Time)","value":"11:42:08"},{"id":151,"name":"Denver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60" t="str">
        <f t="shared" si="5"/>
        <v>start /low /b %USERPROFILE%\Documents\GitHub\eaglep3\Utilities\DownloadLogsFromS3.py --loco 4051 --day 2017-02-01</v>
      </c>
      <c r="AN71" s="16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540</v>
      </c>
      <c r="B72" s="7">
        <v>4052</v>
      </c>
      <c r="C72" s="21" t="s">
        <v>193</v>
      </c>
      <c r="D72" s="21" t="s">
        <v>710</v>
      </c>
      <c r="E72" s="13">
        <v>42767.490173611113</v>
      </c>
      <c r="F72" s="13">
        <v>42767.502326388887</v>
      </c>
      <c r="G72" s="7">
        <v>2</v>
      </c>
      <c r="H72" s="21" t="s">
        <v>711</v>
      </c>
      <c r="I72" s="13">
        <v>42767.521886574075</v>
      </c>
      <c r="J72" s="7">
        <v>0</v>
      </c>
      <c r="K72" s="98" t="str">
        <f>IF(ISEVEN(B72),(B72-1)&amp;"/"&amp;B72,B72&amp;"/"&amp;(B72+1))</f>
        <v>4051/4052</v>
      </c>
      <c r="L72" s="21" t="str">
        <f>VLOOKUP(A72,'Trips&amp;Operators'!$C$1:$G$99999,5,FALSE)</f>
        <v>SANTIZO D. EDY</v>
      </c>
      <c r="M72" s="6">
        <f>I72-F72</f>
        <v>1.9560185188311152E-2</v>
      </c>
      <c r="N72" s="7"/>
      <c r="O72" s="7"/>
      <c r="P72" s="7">
        <f>24*60*SUM($M72:$M72)</f>
        <v>28.166666671168059</v>
      </c>
      <c r="Q72" s="22"/>
      <c r="R72" s="22" t="s">
        <v>862</v>
      </c>
      <c r="S72" s="31">
        <f>SUM(U72:U72)/IF(AG72="EC",12,1)</f>
        <v>0.33333333333333331</v>
      </c>
      <c r="T72" s="46" t="str">
        <f>IF(ISEVEN(LEFT(AD72,4)),"Southbound","NorthBound")</f>
        <v>Southbound</v>
      </c>
      <c r="U72" s="19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4</v>
      </c>
      <c r="V72" s="19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-02-01T10:45:51-0700',mode:absolute,to:'2017-02-01T13:31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2" s="193" t="str">
        <f>IF(AA72&lt;IF(AG72="EC",23,5.65),"Y","N")</f>
        <v>Y</v>
      </c>
      <c r="X72" s="193">
        <f>VALUE(LEFT(AD72,4))-VALUE(LEFT(AD71,4))</f>
        <v>1</v>
      </c>
      <c r="Y72" s="62">
        <f>RIGHT(D72,LEN(D72)-4)/10000</f>
        <v>23.297999999999998</v>
      </c>
      <c r="Z72" s="62">
        <f>RIGHT(H72,LEN(H72)-4)/10000</f>
        <v>6.1508000000000003</v>
      </c>
      <c r="AA72" s="62">
        <f>ABS(Z72-Y72)</f>
        <v>17.147199999999998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>IF(LEN(A72)=6,"0"&amp;A72,A72)</f>
        <v>0160-01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/stypes="app*4052*20170201*"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160-01 --locoid 4052 --swversion DE.1.0.8.0 --startMP 204:232980 --initTime 2017-02-01T11:45:51 --startdatetime 2017-02-01T12:03:21 --delay 2 --endMP 204:61508 --enddatetime 2017-02-01T12:31:31 --enforcementcount 0 &gt;&gt;C:\Users\stu\Documents\GitHub\eaglep3-reporting\EC\2017-02-01-refined-times.txt</v>
      </c>
      <c r="AI72" s="108" t="str">
        <f t="shared" si="4"/>
        <v>echo {"issue":{"subject":"Onboard in-route failure","project_id":79,"tracker_id":40,"status_id":1,"priority_id":2,"assigned_to_id":23,"start_date":"2017-02-01","description":"","custom_fields":[{"id":1,"name":"Subdivision","value":"EC"},{"id":4,"name":"Milepost","value":"6.1508"},{"id":17,"name":"Train ID","value":"160-01"},{"id":16,"name":"Locomotive ID","value":"4052"},{"id":130,"name":"Impact","value":""},{"id":150,"name":"Time of Event (Mountain Time)","value":"12:31:31"},{"id":151,"name":"Denver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60" t="str">
        <f t="shared" si="5"/>
        <v>start /low /b %USERPROFILE%\Documents\GitHub\eaglep3\Utilities\DownloadLogsFromS3.py --loco 4052 --day 2017-02-01</v>
      </c>
      <c r="AN72" s="16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532</v>
      </c>
      <c r="B73" s="7">
        <v>4042</v>
      </c>
      <c r="C73" s="21" t="s">
        <v>193</v>
      </c>
      <c r="D73" s="21" t="s">
        <v>244</v>
      </c>
      <c r="E73" s="13">
        <v>42767.467604166668</v>
      </c>
      <c r="F73" s="13">
        <v>42767.471168981479</v>
      </c>
      <c r="G73" s="7">
        <v>2</v>
      </c>
      <c r="H73" s="21" t="s">
        <v>712</v>
      </c>
      <c r="I73" s="13">
        <v>42767.501921296294</v>
      </c>
      <c r="J73" s="7">
        <v>0</v>
      </c>
      <c r="K73" s="98" t="str">
        <f>IF(ISEVEN(B73),(B73-1)&amp;"/"&amp;B73,B73&amp;"/"&amp;(B73+1))</f>
        <v>4041/4042</v>
      </c>
      <c r="L73" s="21" t="str">
        <f>VLOOKUP(A73,'Trips&amp;Operators'!$C$1:$G$99999,5,FALSE)</f>
        <v>DAVIS MICHAEL</v>
      </c>
      <c r="M73" s="6">
        <f>I73-F73</f>
        <v>3.0752314814890269E-2</v>
      </c>
      <c r="N73" s="7">
        <f>24*60*SUM($M73:$M73)</f>
        <v>44.283333333441988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9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-02-01T10:13:21-0700',mode:absolute,to:'2017-02-01T13:02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193" t="str">
        <f>IF(AA73&lt;IF(AG73="EC",23,5.65),"Y","N")</f>
        <v>N</v>
      </c>
      <c r="X73" s="193">
        <f>VALUE(LEFT(AD73,4))-VALUE(LEFT(AD72,4))</f>
        <v>1</v>
      </c>
      <c r="Y73" s="62">
        <f>RIGHT(D73,LEN(D73)-4)/10000</f>
        <v>4.5100000000000001E-2</v>
      </c>
      <c r="Z73" s="62">
        <f>RIGHT(H73,LEN(H73)-4)/10000</f>
        <v>23.328700000000001</v>
      </c>
      <c r="AA73" s="62">
        <f>ABS(Z73-Y73)</f>
        <v>23.2836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>IF(LEN(A73)=6,"0"&amp;A73,A73)</f>
        <v>0161-01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/stypes="app*4042*20170201*"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161-01 --locoid 4042 --swversion DE.1.0.8.0 --startMP 204:451 --initTime 2017-02-01T11:13:21 --startdatetime 2017-02-01T11:18:29 --delay 2 --endMP 204:233287 --enddatetime 2017-02-01T12:02:46 --enforcementcount 0 &gt;&gt;C:\Users\stu\Documents\GitHub\eaglep3-reporting\EC\2017-02-01-refined-times.txt</v>
      </c>
      <c r="AI73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{"issue":{"subject":"","project_id":79,"tracker_id":40,"status_id":1,"priority_id":2,"assigned_to_id":23,"start_date":"2017-02-01","description":"","custom_fields":[{"id":1,"name":"Subdivision","value":"EC"},{"id":4,"name":"Milepost","value":"23.3287"},{"id":17,"name":"Train ID","value":"161-01"},{"id":16,"name":"Locomotive ID","value":"4042"},{"id":130,"name":"Impact","value":""},{"id":150,"name":"Time of Event (Mountain Time)","value":"12:02:46"},{"id":151,"name":"Denver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60" t="str">
        <f t="shared" si="5"/>
        <v>start /low /b %USERPROFILE%\Documents\GitHub\eaglep3\Utilities\DownloadLogsFromS3.py --loco 4042 --day 2017-02-01</v>
      </c>
      <c r="AN73" s="16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542</v>
      </c>
      <c r="B74" s="7">
        <v>4041</v>
      </c>
      <c r="C74" s="21" t="s">
        <v>193</v>
      </c>
      <c r="D74" s="21" t="s">
        <v>399</v>
      </c>
      <c r="E74" s="13">
        <v>42767.50640046296</v>
      </c>
      <c r="F74" s="13">
        <v>42767.508287037039</v>
      </c>
      <c r="G74" s="7">
        <v>1</v>
      </c>
      <c r="H74" s="21" t="s">
        <v>713</v>
      </c>
      <c r="I74" s="13">
        <v>42767.544861111113</v>
      </c>
      <c r="J74" s="7">
        <v>0</v>
      </c>
      <c r="K74" s="98" t="str">
        <f>IF(ISEVEN(B74),(B74-1)&amp;"/"&amp;B74,B74&amp;"/"&amp;(B74+1))</f>
        <v>4041/4042</v>
      </c>
      <c r="L74" s="21" t="str">
        <f>VLOOKUP(A74,'Trips&amp;Operators'!$C$1:$G$99999,5,FALSE)</f>
        <v>DAVIS MICHAEL</v>
      </c>
      <c r="M74" s="6">
        <f>I74-F74</f>
        <v>3.6574074074451346E-2</v>
      </c>
      <c r="N74" s="7">
        <f>24*60*SUM($M74:$M74)</f>
        <v>52.666666667209938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9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-02-01T11:09:13-0700',mode:absolute,to:'2017-02-01T14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193" t="str">
        <f>IF(AA74&lt;IF(AG74="EC",23,5.65),"Y","N")</f>
        <v>N</v>
      </c>
      <c r="X74" s="193">
        <f>VALUE(LEFT(AD74,4))-VALUE(LEFT(AD73,4))</f>
        <v>1</v>
      </c>
      <c r="Y74" s="62">
        <f>RIGHT(D74,LEN(D74)-4)/10000</f>
        <v>23.298500000000001</v>
      </c>
      <c r="Z74" s="62">
        <f>RIGHT(H74,LEN(H74)-4)/10000</f>
        <v>1.18E-2</v>
      </c>
      <c r="AA74" s="62">
        <f>ABS(Z74-Y74)</f>
        <v>23.2867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>IF(LEN(A74)=6,"0"&amp;A74,A74)</f>
        <v>0162-01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/stypes="app*4041*20170201*" /stext=" 20:.+((SYSTEM_STATE.+slice.+state.+changed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162-01 --locoid 4041 --swversion DE.1.0.8.0 --startMP 204:232985 --initTime 2017-02-01T12:09:13 --startdatetime 2017-02-01T12:11:56 --delay 1 --endMP 204:118 --enddatetime 2017-02-01T13:04:36 --enforcementcount 0 &gt;&gt;C:\Users\stu\Documents\GitHub\eaglep3-reporting\EC\2017-02-01-refined-times.txt</v>
      </c>
      <c r="AI74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{"issue":{"subject":"","project_id":79,"tracker_id":40,"status_id":1,"priority_id":2,"assigned_to_id":23,"start_date":"2017-02-01","description":"","custom_fields":[{"id":1,"name":"Subdivision","value":"EC"},{"id":4,"name":"Milepost","value":"0.0118"},{"id":17,"name":"Train ID","value":"162-01"},{"id":16,"name":"Locomotive ID","value":"4041"},{"id":130,"name":"Impact","value":""},{"id":150,"name":"Time of Event (Mountain Time)","value":"13:04:36"},{"id":151,"name":"Denver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60" t="str">
        <f t="shared" si="5"/>
        <v>start /low /b %USERPROFILE%\Documents\GitHub\eaglep3\Utilities\DownloadLogsFromS3.py --loco 4041 --day 2017-02-01</v>
      </c>
      <c r="AN74" s="16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534</v>
      </c>
      <c r="B75" s="7">
        <v>4046</v>
      </c>
      <c r="C75" s="21" t="s">
        <v>193</v>
      </c>
      <c r="D75" s="21" t="s">
        <v>294</v>
      </c>
      <c r="E75" s="13">
        <v>42767.478506944448</v>
      </c>
      <c r="F75" s="13">
        <v>42767.481145833335</v>
      </c>
      <c r="G75" s="7">
        <v>2</v>
      </c>
      <c r="H75" s="21" t="s">
        <v>229</v>
      </c>
      <c r="I75" s="13">
        <v>42767.509872685187</v>
      </c>
      <c r="J75" s="7">
        <v>0</v>
      </c>
      <c r="K75" s="98" t="str">
        <f>IF(ISEVEN(B75),(B75-1)&amp;"/"&amp;B75,B75&amp;"/"&amp;(B75+1))</f>
        <v>4045/4046</v>
      </c>
      <c r="L75" s="21" t="str">
        <f>VLOOKUP(A75,'Trips&amp;Operators'!$C$1:$G$99999,5,FALSE)</f>
        <v>LEVERE CRAIG</v>
      </c>
      <c r="M75" s="6">
        <f>I75-F75</f>
        <v>2.8726851851388346E-2</v>
      </c>
      <c r="N75" s="7">
        <f>24*60*SUM($M75:$M75)</f>
        <v>41.366666665999219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9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-02-01T10:29:03-0700',mode:absolute,to:'2017-02-01T13:14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93" t="str">
        <f>IF(AA75&lt;IF(AG75="EC",23,5.65),"Y","N")</f>
        <v>N</v>
      </c>
      <c r="X75" s="193">
        <f>VALUE(LEFT(AD75,4))-VALUE(LEFT(AD74,4))</f>
        <v>1</v>
      </c>
      <c r="Y75" s="62">
        <f>RIGHT(D75,LEN(D75)-4)/10000</f>
        <v>4.6699999999999998E-2</v>
      </c>
      <c r="Z75" s="62">
        <f>RIGHT(H75,LEN(H75)-4)/10000</f>
        <v>23.329699999999999</v>
      </c>
      <c r="AA75" s="62">
        <f>ABS(Z75-Y75)</f>
        <v>23.282999999999998</v>
      </c>
      <c r="AB75" s="59" t="e">
        <f>VLOOKUP(A75,Enforcements!$C$7:$K$16,8,0)</f>
        <v>#N/A</v>
      </c>
      <c r="AC75" s="55" t="e">
        <f>VLOOKUP(A75,Enforcements!$C$7:$E$16,3,0)</f>
        <v>#N/A</v>
      </c>
      <c r="AD75" s="56" t="str">
        <f>IF(LEN(A75)=6,"0"&amp;A75,A75)</f>
        <v>0163-01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/stypes="app*4046*20170201*"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163-01 --locoid 4046 --swversion DE.1.0.8.0 --startMP 204:467 --initTime 2017-02-01T11:29:03 --startdatetime 2017-02-01T11:32:51 --delay 2 --endMP 204:233297 --enddatetime 2017-02-01T12:14:13 --enforcementcount 0 &gt;&gt;C:\Users\stu\Documents\GitHub\eaglep3-reporting\EC\2017-02-01-refined-times.txt</v>
      </c>
      <c r="AI75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{"issue":{"subject":"","project_id":79,"tracker_id":40,"status_id":1,"priority_id":2,"assigned_to_id":23,"start_date":"2017-02-01","description":"","custom_fields":[{"id":1,"name":"Subdivision","value":"EC"},{"id":4,"name":"Milepost","value":"23.3297"},{"id":17,"name":"Train ID","value":"163-01"},{"id":16,"name":"Locomotive ID","value":"4046"},{"id":130,"name":"Impact","value":""},{"id":150,"name":"Time of Event (Mountain Time)","value":"12:14:13"},{"id":151,"name":"Denver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60" t="str">
        <f t="shared" si="5"/>
        <v>start /low /b %USERPROFILE%\Documents\GitHub\eaglep3\Utilities\DownloadLogsFromS3.py --loco 4046 --day 2017-02-01</v>
      </c>
      <c r="AN75" s="16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545</v>
      </c>
      <c r="B76" s="7">
        <v>4045</v>
      </c>
      <c r="C76" s="21" t="s">
        <v>193</v>
      </c>
      <c r="D76" s="21" t="s">
        <v>714</v>
      </c>
      <c r="E76" s="13">
        <v>42767.513726851852</v>
      </c>
      <c r="F76" s="13">
        <v>42767.519976851851</v>
      </c>
      <c r="G76" s="7">
        <v>1</v>
      </c>
      <c r="H76" s="21" t="s">
        <v>386</v>
      </c>
      <c r="I76" s="13">
        <v>42767.549641203703</v>
      </c>
      <c r="J76" s="7">
        <v>0</v>
      </c>
      <c r="K76" s="98" t="str">
        <f>IF(ISEVEN(B76),(B76-1)&amp;"/"&amp;B76,B76&amp;"/"&amp;(B76+1))</f>
        <v>4045/4046</v>
      </c>
      <c r="L76" s="21" t="str">
        <f>VLOOKUP(A76,'Trips&amp;Operators'!$C$1:$G$99999,5,FALSE)</f>
        <v>LEVERE CRAIG</v>
      </c>
      <c r="M76" s="6">
        <f>I76-F76</f>
        <v>2.9664351852261461E-2</v>
      </c>
      <c r="N76" s="7">
        <f>24*60*SUM($M76:$M76)</f>
        <v>42.716666667256504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9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-01T11:19:46-0700',mode:absolute,to:'2017-02-01T14:11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93" t="str">
        <f>IF(AA76&lt;IF(AG76="EC",23,5.65),"Y","N")</f>
        <v>N</v>
      </c>
      <c r="X76" s="193">
        <f>VALUE(LEFT(AD76,4))-VALUE(LEFT(AD75,4))</f>
        <v>1</v>
      </c>
      <c r="Y76" s="62">
        <f>RIGHT(D76,LEN(D76)-4)/10000</f>
        <v>23.296700000000001</v>
      </c>
      <c r="Z76" s="62">
        <f>RIGHT(H76,LEN(H76)-4)/10000</f>
        <v>1.67E-2</v>
      </c>
      <c r="AA76" s="62">
        <f>ABS(Z76-Y76)</f>
        <v>23.28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>IF(LEN(A76)=6,"0"&amp;A76,A76)</f>
        <v>0164-01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/stypes="app*4045*20170201*"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164-01 --locoid 4045 --swversion DE.1.0.8.0 --startMP 204:232967 --initTime 2017-02-01T12:19:46 --startdatetime 2017-02-01T12:28:46 --delay 1 --endMP 204:167 --enddatetime 2017-02-01T13:11:29 --enforcementcount 0 &gt;&gt;C:\Users\stu\Documents\GitHub\eaglep3-reporting\EC\2017-02-01-refined-times.txt</v>
      </c>
      <c r="AI76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{"issue":{"subject":"","project_id":79,"tracker_id":40,"status_id":1,"priority_id":2,"assigned_to_id":23,"start_date":"2017-02-01","description":"","custom_fields":[{"id":1,"name":"Subdivision","value":"EC"},{"id":4,"name":"Milepost","value":"0.0167"},{"id":17,"name":"Train ID","value":"164-01"},{"id":16,"name":"Locomotive ID","value":"4045"},{"id":130,"name":"Impact","value":""},{"id":150,"name":"Time of Event (Mountain Time)","value":"13:11:29"},{"id":151,"name":"Denver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60" t="str">
        <f t="shared" si="5"/>
        <v>start /low /b %USERPROFILE%\Documents\GitHub\eaglep3\Utilities\DownloadLogsFromS3.py --loco 4045 --day 2017-02-01</v>
      </c>
      <c r="AN76" s="16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537</v>
      </c>
      <c r="B77" s="7">
        <v>4011</v>
      </c>
      <c r="C77" s="21" t="s">
        <v>193</v>
      </c>
      <c r="D77" s="21" t="s">
        <v>300</v>
      </c>
      <c r="E77" s="13">
        <v>42767.489525462966</v>
      </c>
      <c r="F77" s="13">
        <v>42767.49150462963</v>
      </c>
      <c r="G77" s="7">
        <v>1</v>
      </c>
      <c r="H77" s="21" t="s">
        <v>316</v>
      </c>
      <c r="I77" s="13">
        <v>42767.521574074075</v>
      </c>
      <c r="J77" s="7">
        <v>0</v>
      </c>
      <c r="K77" s="98" t="str">
        <f>IF(ISEVEN(B77),(B77-1)&amp;"/"&amp;B77,B77&amp;"/"&amp;(B77+1))</f>
        <v>4011/4012</v>
      </c>
      <c r="L77" s="21" t="str">
        <f>VLOOKUP(A77,'Trips&amp;Operators'!$C$1:$G$99999,5,FALSE)</f>
        <v>HELVIE ADAM</v>
      </c>
      <c r="M77" s="6">
        <f>I77-F77</f>
        <v>3.0069444444961846E-2</v>
      </c>
      <c r="N77" s="7">
        <f>24*60*SUM($M77:$M77)</f>
        <v>43.300000000745058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9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-01T10:44:55-0700',mode:absolute,to:'2017-02-01T13:31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193" t="str">
        <f>IF(AA77&lt;IF(AG77="EC",23,5.65),"Y","N")</f>
        <v>N</v>
      </c>
      <c r="X77" s="193">
        <f>VALUE(LEFT(AD77,4))-VALUE(LEFT(AD76,4))</f>
        <v>1</v>
      </c>
      <c r="Y77" s="62">
        <f>RIGHT(D77,LEN(D77)-4)/10000</f>
        <v>4.5499999999999999E-2</v>
      </c>
      <c r="Z77" s="62">
        <f>RIGHT(H77,LEN(H77)-4)/10000</f>
        <v>23.3308</v>
      </c>
      <c r="AA77" s="62">
        <f>ABS(Z77-Y77)</f>
        <v>23.285299999999999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>IF(LEN(A77)=6,"0"&amp;A77,A77)</f>
        <v>0165-01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/stypes="app*4011*20170201*"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165-01 --locoid 4011 --swversion DE.1.0.8.0 --startMP 204:455 --initTime 2017-02-01T11:44:55 --startdatetime 2017-02-01T11:47:46 --delay 1 --endMP 204:233308 --enddatetime 2017-02-01T12:31:04 --enforcementcount 0 &gt;&gt;C:\Users\stu\Documents\GitHub\eaglep3-reporting\EC\2017-02-01-refined-times.txt</v>
      </c>
      <c r="AI77" s="108" t="str">
        <f t="shared" si="4"/>
        <v>echo {"issue":{"subject":"","project_id":79,"tracker_id":40,"status_id":1,"priority_id":2,"assigned_to_id":23,"start_date":"2017-02-01","description":"","custom_fields":[{"id":1,"name":"Subdivision","value":"EC"},{"id":4,"name":"Milepost","value":"23.3308"},{"id":17,"name":"Train ID","value":"165-01"},{"id":16,"name":"Locomotive ID","value":"4011"},{"id":130,"name":"Impact","value":""},{"id":150,"name":"Time of Event (Mountain Time)","value":"12:31:04"},{"id":151,"name":"Denver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60" t="str">
        <f t="shared" si="5"/>
        <v>start /low /b %USERPROFILE%\Documents\GitHub\eaglep3\Utilities\DownloadLogsFromS3.py --loco 4011 --day 2017-02-01</v>
      </c>
      <c r="AN77" s="16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546</v>
      </c>
      <c r="B78" s="7">
        <v>4012</v>
      </c>
      <c r="C78" s="21" t="s">
        <v>193</v>
      </c>
      <c r="D78" s="21" t="s">
        <v>406</v>
      </c>
      <c r="E78" s="13">
        <v>42767.524664351855</v>
      </c>
      <c r="F78" s="13">
        <v>42767.528692129628</v>
      </c>
      <c r="G78" s="7">
        <v>2</v>
      </c>
      <c r="H78" s="21" t="s">
        <v>297</v>
      </c>
      <c r="I78" s="13">
        <v>42767.555393518516</v>
      </c>
      <c r="J78" s="7">
        <v>0</v>
      </c>
      <c r="K78" s="98" t="str">
        <f>IF(ISEVEN(B78),(B78-1)&amp;"/"&amp;B78,B78&amp;"/"&amp;(B78+1))</f>
        <v>4011/4012</v>
      </c>
      <c r="L78" s="21" t="str">
        <f>VLOOKUP(A78,'Trips&amp;Operators'!$C$1:$G$99999,5,FALSE)</f>
        <v>HELVIE ADAM</v>
      </c>
      <c r="M78" s="6">
        <f>I78-F78</f>
        <v>2.6701388887886424E-2</v>
      </c>
      <c r="N78" s="7">
        <f>24*60*SUM($M78:$M78)</f>
        <v>38.44999999855645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9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-01T11:35:31-0700',mode:absolute,to:'2017-02-01T14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93" t="str">
        <f>IF(AA78&lt;IF(AG78="EC",23,5.65),"Y","N")</f>
        <v>N</v>
      </c>
      <c r="X78" s="193">
        <f>VALUE(LEFT(AD78,4))-VALUE(LEFT(AD77,4))</f>
        <v>1</v>
      </c>
      <c r="Y78" s="62">
        <f>RIGHT(D78,LEN(D78)-4)/10000</f>
        <v>23.296600000000002</v>
      </c>
      <c r="Z78" s="62">
        <f>RIGHT(H78,LEN(H78)-4)/10000</f>
        <v>1.5599999999999999E-2</v>
      </c>
      <c r="AA78" s="62">
        <f>ABS(Z78-Y78)</f>
        <v>23.281000000000002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>IF(LEN(A78)=6,"0"&amp;A78,A78)</f>
        <v>0166-01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/stypes="app*4012*20170201*"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0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4012 --swversion DE.1.0.8.0 --startMP 204:232966 --initTime 2017-02-01T12:35:31 --startdatetime 2017-02-01T12:41:19 --delay 2 --endMP 204:156 --enddatetime 2017-02-01T13:19:46 --enforcementcount 0 &gt;&gt;C:\Users\stu\Documents\GitHub\eaglep3-reporting\EC\2017-02-01-refined-times.txt</v>
      </c>
      <c r="AI78" s="108" t="str">
        <f t="shared" ref="AI78:AI140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{"issue":{"subject":"","project_id":79,"tracker_id":40,"status_id":1,"priority_id":2,"assigned_to_id":23,"start_date":"2017-02-01","description":"","custom_fields":[{"id":1,"name":"Subdivision","value":"EC"},{"id":4,"name":"Milepost","value":"0.0156"},{"id":17,"name":"Train ID","value":"166-01"},{"id":16,"name":"Locomotive ID","value":"4012"},{"id":130,"name":"Impact","value":""},{"id":150,"name":"Time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60" t="str">
        <f t="shared" ref="AM78:AM140" si="8">"start /low /b "&amp;dls3logs&amp;" --loco "&amp;B78&amp;" --day "&amp;TEXT(F78,"YYYY-MM-DD")</f>
        <v>start /low /b %USERPROFILE%\Documents\GitHub\eaglep3\Utilities\DownloadLogsFromS3.py --loco 4012 --day 2017-02-01</v>
      </c>
      <c r="AN78" s="16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</row>
    <row r="79" spans="1:91" x14ac:dyDescent="0.25">
      <c r="A79" s="33" t="s">
        <v>541</v>
      </c>
      <c r="B79" s="7">
        <v>4029</v>
      </c>
      <c r="C79" s="21" t="s">
        <v>193</v>
      </c>
      <c r="D79" s="21" t="s">
        <v>715</v>
      </c>
      <c r="E79" s="13">
        <v>42767.498738425929</v>
      </c>
      <c r="F79" s="13">
        <v>42767.500393518516</v>
      </c>
      <c r="G79" s="7">
        <v>1</v>
      </c>
      <c r="H79" s="21" t="s">
        <v>292</v>
      </c>
      <c r="I79" s="13">
        <v>42767.529652777775</v>
      </c>
      <c r="J79" s="7">
        <v>0</v>
      </c>
      <c r="K79" s="98" t="str">
        <f>IF(ISEVEN(B79),(B79-1)&amp;"/"&amp;B79,B79&amp;"/"&amp;(B79+1))</f>
        <v>4029/4030</v>
      </c>
      <c r="L79" s="21" t="str">
        <f>VLOOKUP(A79,'Trips&amp;Operators'!$C$1:$G$99999,5,FALSE)</f>
        <v>CRAYTON QUNTRELL</v>
      </c>
      <c r="M79" s="6">
        <f>I79-F79</f>
        <v>2.9259259259561077E-2</v>
      </c>
      <c r="N79" s="7">
        <f>24*60*SUM($M79:$M79)</f>
        <v>42.133333333767951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9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-01T10:58:11-0700',mode:absolute,to:'2017-02-01T13:42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9" s="193" t="str">
        <f>IF(AA79&lt;IF(AG79="EC",23,5.65),"Y","N")</f>
        <v>N</v>
      </c>
      <c r="X79" s="193">
        <f>VALUE(LEFT(AD79,4))-VALUE(LEFT(AD78,4))</f>
        <v>1</v>
      </c>
      <c r="Y79" s="62">
        <f>RIGHT(D79,LEN(D79)-4)/10000</f>
        <v>4.9799999999999997E-2</v>
      </c>
      <c r="Z79" s="62">
        <f>RIGHT(H79,LEN(H79)-4)/10000</f>
        <v>23.330100000000002</v>
      </c>
      <c r="AA79" s="62">
        <f>ABS(Z79-Y79)</f>
        <v>23.2803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>IF(LEN(A79)=6,"0"&amp;A79,A79)</f>
        <v>0167-01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/stypes="app*4029*20170201*"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167-01 --locoid 4029 --swversion DE.1.0.8.0 --startMP 204:498 --initTime 2017-02-01T11:58:11 --startdatetime 2017-02-01T12:00:34 --delay 1 --endMP 204:233301 --enddatetime 2017-02-01T12:42:42 --enforcementcount 0 &gt;&gt;C:\Users\stu\Documents\GitHub\eaglep3-reporting\EC\2017-02-01-refined-times.txt</v>
      </c>
      <c r="AI7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{"issue":{"subject":"","project_id":79,"tracker_id":40,"status_id":1,"priority_id":2,"assigned_to_id":23,"start_date":"2017-02-01","description":"","custom_fields":[{"id":1,"name":"Subdivision","value":"EC"},{"id":4,"name":"Milepost","value":"23.3301"},{"id":17,"name":"Train ID","value":"167-01"},{"id":16,"name":"Locomotive ID","value":"4029"},{"id":130,"name":"Impact","value":""},{"id":150,"name":"Time of Event (Mountain Time)","value":"12:42:42"},{"id":151,"name":"Denver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60" t="str">
        <f t="shared" si="8"/>
        <v>start /low /b %USERPROFILE%\Documents\GitHub\eaglep3\Utilities\DownloadLogsFromS3.py --loco 4029 --day 2017-02-01</v>
      </c>
      <c r="AN79" s="16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</row>
    <row r="80" spans="1:91" s="20" customFormat="1" x14ac:dyDescent="0.25">
      <c r="A80" s="33" t="s">
        <v>549</v>
      </c>
      <c r="B80" s="7">
        <v>4030</v>
      </c>
      <c r="C80" s="21" t="s">
        <v>193</v>
      </c>
      <c r="D80" s="21" t="s">
        <v>358</v>
      </c>
      <c r="E80" s="13">
        <v>42767.532858796294</v>
      </c>
      <c r="F80" s="13">
        <v>42767.539027777777</v>
      </c>
      <c r="G80" s="7">
        <v>1</v>
      </c>
      <c r="H80" s="21" t="s">
        <v>716</v>
      </c>
      <c r="I80" s="13">
        <v>42767.570150462961</v>
      </c>
      <c r="J80" s="7">
        <v>0</v>
      </c>
      <c r="K80" s="98" t="str">
        <f>IF(ISEVEN(B80),(B80-1)&amp;"/"&amp;B80,B80&amp;"/"&amp;(B80+1))</f>
        <v>4029/4030</v>
      </c>
      <c r="L80" s="21" t="str">
        <f>VLOOKUP(A80,'Trips&amp;Operators'!$C$1:$G$99999,5,FALSE)</f>
        <v>CRAYTON QUNTRELL</v>
      </c>
      <c r="M80" s="6">
        <f>I80-F80</f>
        <v>3.1122685184527654E-2</v>
      </c>
      <c r="N80" s="7">
        <f>24*60*SUM($M80:$M80)</f>
        <v>44.816666665719822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9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-01T11:47:19-0700',mode:absolute,to:'2017-02-01T14:41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0" s="193" t="str">
        <f>IF(AA80&lt;IF(AG80="EC",23,5.65),"Y","N")</f>
        <v>N</v>
      </c>
      <c r="X80" s="193">
        <f>VALUE(LEFT(AD80,4))-VALUE(LEFT(AD79,4))</f>
        <v>1</v>
      </c>
      <c r="Y80" s="62">
        <f>RIGHT(D80,LEN(D80)-4)/10000</f>
        <v>23.2973</v>
      </c>
      <c r="Z80" s="62">
        <f>RIGHT(H80,LEN(H80)-4)/10000</f>
        <v>1.8100000000000002E-2</v>
      </c>
      <c r="AA80" s="62">
        <f>ABS(Z80-Y80)</f>
        <v>23.279199999999999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>IF(LEN(A80)=6,"0"&amp;A80,A80)</f>
        <v>0168-01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/stypes="app*4030*20170201*"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168-01 --locoid 4030 --swversion DE.1.0.8.0 --startMP 204:232973 --initTime 2017-02-01T12:47:19 --startdatetime 2017-02-01T12:56:12 --delay 1 --endMP 204:181 --enddatetime 2017-02-01T13:41:01 --enforcementcount 0 &gt;&gt;C:\Users\stu\Documents\GitHub\eaglep3-reporting\EC\2017-02-01-refined-times.txt</v>
      </c>
      <c r="AI8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{"issue":{"subject":"","project_id":79,"tracker_id":40,"status_id":1,"priority_id":2,"assigned_to_id":23,"start_date":"2017-02-01","description":"","custom_fields":[{"id":1,"name":"Subdivision","value":"EC"},{"id":4,"name":"Milepost","value":"0.0181"},{"id":17,"name":"Train ID","value":"168-01"},{"id":16,"name":"Locomotive ID","value":"4030"},{"id":130,"name":"Impact","value":""},{"id":150,"name":"Time of Event (Mountain Time)","value":"13:41:01"},{"id":151,"name":"Denver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60" t="str">
        <f t="shared" si="8"/>
        <v>start /low /b %USERPROFILE%\Documents\GitHub\eaglep3\Utilities\DownloadLogsFromS3.py --loco 4030 --day 2017-02-01</v>
      </c>
      <c r="AN80" s="16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544</v>
      </c>
      <c r="B81" s="7">
        <v>4016</v>
      </c>
      <c r="C81" s="21" t="s">
        <v>193</v>
      </c>
      <c r="D81" s="21" t="s">
        <v>230</v>
      </c>
      <c r="E81" s="13">
        <v>42767.511238425926</v>
      </c>
      <c r="F81" s="13">
        <v>42767.51295138889</v>
      </c>
      <c r="G81" s="7">
        <v>1</v>
      </c>
      <c r="H81" s="21" t="s">
        <v>717</v>
      </c>
      <c r="I81" s="13">
        <v>42767.542986111112</v>
      </c>
      <c r="J81" s="7">
        <v>0</v>
      </c>
      <c r="K81" s="98" t="str">
        <f>IF(ISEVEN(B81),(B81-1)&amp;"/"&amp;B81,B81&amp;"/"&amp;(B81+1))</f>
        <v>4015/4016</v>
      </c>
      <c r="L81" s="21" t="str">
        <f>VLOOKUP(A81,'Trips&amp;Operators'!$C$1:$G$99999,5,FALSE)</f>
        <v>LEVIN SCOTT</v>
      </c>
      <c r="M81" s="6">
        <f>I81-F81</f>
        <v>3.0034722221898846E-2</v>
      </c>
      <c r="N81" s="7">
        <f>24*60*SUM($M81:$M81)</f>
        <v>43.249999999534339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9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-01T11:16:11-0700',mode:absolute,to:'2017-02-01T14:01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93" t="str">
        <f>IF(AA81&lt;IF(AG81="EC",23,5.65),"Y","N")</f>
        <v>N</v>
      </c>
      <c r="X81" s="193">
        <f>VALUE(LEFT(AD81,4))-VALUE(LEFT(AD80,4))</f>
        <v>1</v>
      </c>
      <c r="Y81" s="62">
        <f>RIGHT(D81,LEN(D81)-4)/10000</f>
        <v>4.58E-2</v>
      </c>
      <c r="Z81" s="62">
        <f>RIGHT(H81,LEN(H81)-4)/10000</f>
        <v>23.337</v>
      </c>
      <c r="AA81" s="62">
        <f>ABS(Z81-Y81)</f>
        <v>23.2912</v>
      </c>
      <c r="AB81" s="59" t="e">
        <f>VLOOKUP(A81,Enforcements!$C$7:$K$16,8,0)</f>
        <v>#N/A</v>
      </c>
      <c r="AC81" s="55" t="e">
        <f>VLOOKUP(A81,Enforcements!$C$7:$E$16,3,0)</f>
        <v>#N/A</v>
      </c>
      <c r="AD81" s="56" t="str">
        <f>IF(LEN(A81)=6,"0"&amp;A81,A81)</f>
        <v>0169-01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/stypes="app*4016*20170201*"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169-01 --locoid 4016 --swversion DE.1.0.8.0 --startMP 204:458 --initTime 2017-02-01T12:16:11 --startdatetime 2017-02-01T12:18:39 --delay 1 --endMP 204:233370 --enddatetime 2017-02-01T13:01:54 --enforcementcount 0 &gt;&gt;C:\Users\stu\Documents\GitHub\eaglep3-reporting\EC\2017-02-01-refined-times.txt</v>
      </c>
      <c r="AI8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{"issue":{"subject":"","project_id":79,"tracker_id":40,"status_id":1,"priority_id":2,"assigned_to_id":23,"start_date":"2017-02-01","description":"","custom_fields":[{"id":1,"name":"Subdivision","value":"EC"},{"id":4,"name":"Milepost","value":"23.337"},{"id":17,"name":"Train ID","value":"169-01"},{"id":16,"name":"Locomotive ID","value":"4016"},{"id":130,"name":"Impact","value":""},{"id":150,"name":"Time of Event (Mountain Time)","value":"13:01:54"},{"id":151,"name":"Denver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60" t="str">
        <f t="shared" si="8"/>
        <v>start /low /b %USERPROFILE%\Documents\GitHub\eaglep3\Utilities\DownloadLogsFromS3.py --loco 4016 --day 2017-02-01</v>
      </c>
      <c r="AN81" s="16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554</v>
      </c>
      <c r="B82" s="7">
        <v>4015</v>
      </c>
      <c r="C82" s="21" t="s">
        <v>193</v>
      </c>
      <c r="D82" s="21" t="s">
        <v>718</v>
      </c>
      <c r="E82" s="13">
        <v>42767.546956018516</v>
      </c>
      <c r="F82" s="13">
        <v>42767.549479166664</v>
      </c>
      <c r="G82" s="7">
        <v>1</v>
      </c>
      <c r="H82" s="21" t="s">
        <v>290</v>
      </c>
      <c r="I82" s="13">
        <v>42767.575416666667</v>
      </c>
      <c r="J82" s="7">
        <v>0</v>
      </c>
      <c r="K82" s="98" t="str">
        <f>IF(ISEVEN(B82),(B82-1)&amp;"/"&amp;B82,B82&amp;"/"&amp;(B82+1))</f>
        <v>4015/4016</v>
      </c>
      <c r="L82" s="21" t="str">
        <f>VLOOKUP(A82,'Trips&amp;Operators'!$C$1:$G$99999,5,FALSE)</f>
        <v>LEVIN SCOTT</v>
      </c>
      <c r="M82" s="6">
        <f>I82-F82</f>
        <v>2.5937500002328306E-2</v>
      </c>
      <c r="N82" s="7">
        <f>24*60*SUM($M82:$M82)</f>
        <v>37.350000003352761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9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-02-01T12:07:37-0700',mode:absolute,to:'2017-02-01T14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93" t="str">
        <f>IF(AA82&lt;IF(AG82="EC",23,5.65),"Y","N")</f>
        <v>N</v>
      </c>
      <c r="X82" s="193">
        <f>VALUE(LEFT(AD82,4))-VALUE(LEFT(AD81,4))</f>
        <v>1</v>
      </c>
      <c r="Y82" s="62">
        <f>RIGHT(D82,LEN(D82)-4)/10000</f>
        <v>23.3047</v>
      </c>
      <c r="Z82" s="62">
        <f>RIGHT(H82,LEN(H82)-4)/10000</f>
        <v>1.3599999999999999E-2</v>
      </c>
      <c r="AA82" s="62">
        <f>ABS(Z82-Y82)</f>
        <v>23.2911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>IF(LEN(A82)=6,"0"&amp;A82,A82)</f>
        <v>0170-01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/stypes="app*4015*20170201*"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170-01 --locoid 4015 --swversion DE.1.0.8.0 --startMP 204:233047 --initTime 2017-02-01T13:07:37 --startdatetime 2017-02-01T13:11:15 --delay 1 --endMP 204:136 --enddatetime 2017-02-01T13:48:36 --enforcementcount 0 &gt;&gt;C:\Users\stu\Documents\GitHub\eaglep3-reporting\EC\2017-02-01-refined-times.txt</v>
      </c>
      <c r="AI8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ID","value":"170-01"},{"id":16,"name":"Locomotive ID","value":"4015"},{"id":130,"name":"Impact","value":""},{"id":150,"name":"Time of Event (Mountain Time)","value":"13:48:36"},{"id":151,"name":"Denver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60" t="str">
        <f t="shared" si="8"/>
        <v>start /low /b %USERPROFILE%\Documents\GitHub\eaglep3\Utilities\DownloadLogsFromS3.py --loco 4015 --day 2017-02-01</v>
      </c>
      <c r="AN82" s="16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548</v>
      </c>
      <c r="B83" s="7">
        <v>4038</v>
      </c>
      <c r="C83" s="21" t="s">
        <v>193</v>
      </c>
      <c r="D83" s="21" t="s">
        <v>719</v>
      </c>
      <c r="E83" s="13">
        <v>42767.526620370372</v>
      </c>
      <c r="F83" s="13">
        <v>42767.535254629627</v>
      </c>
      <c r="G83" s="7">
        <v>10</v>
      </c>
      <c r="H83" s="21" t="s">
        <v>390</v>
      </c>
      <c r="I83" s="13">
        <v>42767.535277777781</v>
      </c>
      <c r="J83" s="7">
        <v>0</v>
      </c>
      <c r="K83" s="98" t="str">
        <f>IF(ISEVEN(B83),(B83-1)&amp;"/"&amp;B83,B83&amp;"/"&amp;(B83+1))</f>
        <v>4037/4038</v>
      </c>
      <c r="L83" s="21" t="str">
        <f>VLOOKUP(A83,'Trips&amp;Operators'!$C$1:$G$99999,5,FALSE)</f>
        <v>BRANNON JEFFREY</v>
      </c>
      <c r="M83" s="6">
        <f>I83-F83</f>
        <v>2.3148153559304774E-5</v>
      </c>
      <c r="N83" s="7"/>
      <c r="O83" s="7"/>
      <c r="P83" s="7">
        <v>1</v>
      </c>
      <c r="Q83" s="22"/>
      <c r="R83" s="22" t="s">
        <v>863</v>
      </c>
      <c r="S83" s="31">
        <f>SUM(U83:U83)/IF(AG83="EC",12,1)</f>
        <v>0</v>
      </c>
      <c r="T83" s="46" t="str">
        <f>IF(ISEVEN(LEFT(AD83,4)),"Southbound","NorthBound")</f>
        <v>NorthBound</v>
      </c>
      <c r="U83" s="19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-02-01T11:38:20-0700',mode:absolute,to:'2017-02-01T13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3" s="193" t="str">
        <f>IF(AA83&lt;IF(AG83="EC",23,5.65),"Y","N")</f>
        <v>Y</v>
      </c>
      <c r="X83" s="193">
        <f>VALUE(LEFT(AD83,4))-VALUE(LEFT(AD82,4))</f>
        <v>1</v>
      </c>
      <c r="Y83" s="62">
        <v>0</v>
      </c>
      <c r="Z83" s="62">
        <v>0</v>
      </c>
      <c r="AA83" s="62">
        <f>ABS(Z83-Y83)</f>
        <v>0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>IF(LEN(A83)=6,"0"&amp;A83,A83)</f>
        <v>0171-01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/stypes="app*4038*20170201*" /stext=" 19:.+((SYSTEM_STATE.+slice.+state.+changed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171-01 --locoid 4038 --swversion DE.1.0.8.0 --startMP 204:27440 --initTime 2017-02-01T12:38:20 --startdatetime 2017-02-01T12:50:46 --delay 10 --endMP 204:233319 --enddatetime 2017-02-01T12:50:48 --enforcementcount 0 &gt;&gt;C:\Users\stu\Documents\GitHub\eaglep3-reporting\EC\2017-02-01-refined-times.txt</v>
      </c>
      <c r="AI83" s="108" t="str">
        <f t="shared" si="7"/>
        <v>echo {"issue":{"subject":"Poor GPS at DUS, then Onboard in-route failure","project_id":79,"tracker_id":40,"status_id":1,"priority_id":2,"assigned_to_id":23,"start_date":"2017-02-01","description":"","custom_fields":[{"id":1,"name":"Subdivision","value":"EC"},{"id":4,"name":"Milepost","value":"0"},{"id":17,"name":"Train ID","value":"171-01"},{"id":16,"name":"Locomotive ID","value":"4038"},{"id":130,"name":"Impact","value":""},{"id":150,"name":"Time of Event (Mountain Time)","value":"12:50:48"},{"id":151,"name":"Denver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60" t="str">
        <f t="shared" si="8"/>
        <v>start /low /b %USERPROFILE%\Documents\GitHub\eaglep3\Utilities\DownloadLogsFromS3.py --loco 4038 --day 2017-02-01</v>
      </c>
      <c r="AN83" s="16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556</v>
      </c>
      <c r="B84" s="7">
        <v>4037</v>
      </c>
      <c r="C84" s="21" t="s">
        <v>193</v>
      </c>
      <c r="D84" s="21" t="s">
        <v>291</v>
      </c>
      <c r="E84" s="13">
        <v>42767.554143518515</v>
      </c>
      <c r="F84" s="13">
        <v>42767.559884259259</v>
      </c>
      <c r="G84" s="7">
        <v>1</v>
      </c>
      <c r="H84" s="21" t="s">
        <v>324</v>
      </c>
      <c r="I84" s="13">
        <v>42767.586956018517</v>
      </c>
      <c r="J84" s="7">
        <v>0</v>
      </c>
      <c r="K84" s="98" t="str">
        <f>IF(ISEVEN(B84),(B84-1)&amp;"/"&amp;B84,B84&amp;"/"&amp;(B84+1))</f>
        <v>4037/4038</v>
      </c>
      <c r="L84" s="21" t="str">
        <f>VLOOKUP(A84,'Trips&amp;Operators'!$C$1:$G$99999,5,FALSE)</f>
        <v>BRANNON JEFFREY</v>
      </c>
      <c r="M84" s="6">
        <f>I84-F84</f>
        <v>2.7071759257523809E-2</v>
      </c>
      <c r="N84" s="7">
        <f>24*60*SUM($M84:$M84)</f>
        <v>38.983333330834284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9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-02-01T12:17:58-0700',mode:absolute,to:'2017-02-01T15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4" s="193" t="str">
        <f>IF(AA84&lt;IF(AG84="EC",23,5.65),"Y","N")</f>
        <v>N</v>
      </c>
      <c r="X84" s="193">
        <f>VALUE(LEFT(AD84,4))-VALUE(LEFT(AD83,4))</f>
        <v>1</v>
      </c>
      <c r="Y84" s="62">
        <f>RIGHT(D84,LEN(D84)-4)/10000</f>
        <v>23.298200000000001</v>
      </c>
      <c r="Z84" s="62">
        <f>RIGHT(H84,LEN(H84)-4)/10000</f>
        <v>1.3899999999999999E-2</v>
      </c>
      <c r="AA84" s="62">
        <f>ABS(Z84-Y84)</f>
        <v>23.284300000000002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>IF(LEN(A84)=6,"0"&amp;A84,A84)</f>
        <v>0172-01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/stypes="app*4037*20170201*"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172-01 --locoid 4037 --swversion DE.1.0.8.0 --startMP 204:232982 --initTime 2017-02-01T13:17:58 --startdatetime 2017-02-01T13:26:14 --delay 1 --endMP 204:139 --enddatetime 2017-02-01T14:05:13 --enforcementcount 0 &gt;&gt;C:\Users\stu\Documents\GitHub\eaglep3-reporting\EC\2017-02-01-refined-times.txt</v>
      </c>
      <c r="AI8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{"issue":{"subject":"","project_id":79,"tracker_id":40,"status_id":1,"priority_id":2,"assigned_to_id":23,"start_date":"2017-02-01","description":"","custom_fields":[{"id":1,"name":"Subdivision","value":"EC"},{"id":4,"name":"Milepost","value":"0.0139"},{"id":17,"name":"Train ID","value":"172-01"},{"id":16,"name":"Locomotive ID","value":"4037"},{"id":130,"name":"Impact","value":""},{"id":150,"name":"Time of Event (Mountain Time)","value":"14:05:13"},{"id":151,"name":"Denver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60" t="str">
        <f t="shared" si="8"/>
        <v>start /low /b %USERPROFILE%\Documents\GitHub\eaglep3\Utilities\DownloadLogsFromS3.py --loco 4037 --day 2017-02-01</v>
      </c>
      <c r="AN84" s="16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550</v>
      </c>
      <c r="B85" s="7">
        <v>4051</v>
      </c>
      <c r="C85" s="21" t="s">
        <v>193</v>
      </c>
      <c r="D85" s="21" t="s">
        <v>720</v>
      </c>
      <c r="E85" s="13">
        <v>42767.534733796296</v>
      </c>
      <c r="F85" s="13">
        <v>42767.536805555559</v>
      </c>
      <c r="G85" s="7">
        <v>1</v>
      </c>
      <c r="H85" s="21" t="s">
        <v>397</v>
      </c>
      <c r="I85" s="13">
        <v>42767.56490740741</v>
      </c>
      <c r="J85" s="7">
        <v>0</v>
      </c>
      <c r="K85" s="98" t="str">
        <f>IF(ISEVEN(B85),(B85-1)&amp;"/"&amp;B85,B85&amp;"/"&amp;(B85+1))</f>
        <v>4051/4052</v>
      </c>
      <c r="L85" s="21" t="str">
        <f>VLOOKUP(A85,'Trips&amp;Operators'!$C$1:$G$99999,5,FALSE)</f>
        <v>CLARK KATHLEEN</v>
      </c>
      <c r="M85" s="6">
        <f>I85-F85</f>
        <v>2.810185185080627E-2</v>
      </c>
      <c r="N85" s="7">
        <f>24*60*SUM($M85:$M85)</f>
        <v>40.466666665161029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9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-02-01T11:50:01-0700',mode:absolute,to:'2017-02-01T14:33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5" s="193" t="str">
        <f>IF(AA85&lt;IF(AG85="EC",23,5.65),"Y","N")</f>
        <v>N</v>
      </c>
      <c r="X85" s="193">
        <f>VALUE(LEFT(AD85,4))-VALUE(LEFT(AD84,4))</f>
        <v>1</v>
      </c>
      <c r="Y85" s="62">
        <f>RIGHT(D85,LEN(D85)-4)/10000</f>
        <v>4.4400000000000002E-2</v>
      </c>
      <c r="Z85" s="62">
        <f>RIGHT(H85,LEN(H85)-4)/10000</f>
        <v>23.328099999999999</v>
      </c>
      <c r="AA85" s="62">
        <f>ABS(Z85-Y85)</f>
        <v>23.2837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>IF(LEN(A85)=6,"0"&amp;A85,A85)</f>
        <v>0173-01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/stypes="app*4051*20170201*"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173-01 --locoid 4051 --swversion DE.1.0.8.0 --startMP 204:444 --initTime 2017-02-01T12:50:01 --startdatetime 2017-02-01T12:53:00 --delay 1 --endMP 204:233281 --enddatetime 2017-02-01T13:33:28 --enforcementcount 0 &gt;&gt;C:\Users\stu\Documents\GitHub\eaglep3-reporting\EC\2017-02-01-refined-times.txt</v>
      </c>
      <c r="AI8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{"issue":{"subject":"","project_id":79,"tracker_id":40,"status_id":1,"priority_id":2,"assigned_to_id":23,"start_date":"2017-02-01","description":"","custom_fields":[{"id":1,"name":"Subdivision","value":"EC"},{"id":4,"name":"Milepost","value":"23.3281"},{"id":17,"name":"Train ID","value":"173-01"},{"id":16,"name":"Locomotive ID","value":"4051"},{"id":130,"name":"Impact","value":""},{"id":150,"name":"Time of Event (Mountain Time)","value":"13:33:28"},{"id":151,"name":"Denver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60" t="str">
        <f t="shared" si="8"/>
        <v>start /low /b %USERPROFILE%\Documents\GitHub\eaglep3\Utilities\DownloadLogsFromS3.py --loco 4051 --day 2017-02-01</v>
      </c>
      <c r="AN85" s="16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</row>
    <row r="86" spans="1:91" s="20" customFormat="1" x14ac:dyDescent="0.25">
      <c r="A86" s="33" t="s">
        <v>559</v>
      </c>
      <c r="B86" s="7">
        <v>4052</v>
      </c>
      <c r="C86" s="21" t="s">
        <v>193</v>
      </c>
      <c r="D86" s="21" t="s">
        <v>721</v>
      </c>
      <c r="E86" s="13">
        <v>42767.568784722222</v>
      </c>
      <c r="F86" s="13">
        <v>42767.570370370369</v>
      </c>
      <c r="G86" s="7">
        <v>1</v>
      </c>
      <c r="H86" s="21" t="s">
        <v>215</v>
      </c>
      <c r="I86" s="13">
        <v>42767.597893518519</v>
      </c>
      <c r="J86" s="7">
        <v>0</v>
      </c>
      <c r="K86" s="98" t="str">
        <f>IF(ISEVEN(B86),(B86-1)&amp;"/"&amp;B86,B86&amp;"/"&amp;(B86+1))</f>
        <v>4051/4052</v>
      </c>
      <c r="L86" s="21" t="str">
        <f>VLOOKUP(A86,'Trips&amp;Operators'!$C$1:$G$99999,5,FALSE)</f>
        <v>CLARK KATHLEEN</v>
      </c>
      <c r="M86" s="6">
        <f>I86-F86</f>
        <v>2.7523148150066845E-2</v>
      </c>
      <c r="N86" s="7">
        <f>24*60*SUM($M86:$M86)</f>
        <v>39.633333336096257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9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-02-01T12:39:03-0700',mode:absolute,to:'2017-02-01T15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193" t="str">
        <f>IF(AA86&lt;IF(AG86="EC",23,5.65),"Y","N")</f>
        <v>N</v>
      </c>
      <c r="X86" s="193">
        <f>VALUE(LEFT(AD86,4))-VALUE(LEFT(AD85,4))</f>
        <v>1</v>
      </c>
      <c r="Y86" s="62">
        <f>RIGHT(D86,LEN(D86)-4)/10000</f>
        <v>23.2959</v>
      </c>
      <c r="Z86" s="62">
        <f>RIGHT(H86,LEN(H86)-4)/10000</f>
        <v>1.5800000000000002E-2</v>
      </c>
      <c r="AA86" s="62">
        <f>ABS(Z86-Y86)</f>
        <v>23.280100000000001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>IF(LEN(A86)=6,"0"&amp;A86,A86)</f>
        <v>0174-01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/stypes="app*4052*20170201*"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174-01 --locoid 4052 --swversion DE.1.0.8.0 --startMP 204:232959 --initTime 2017-02-01T13:39:03 --startdatetime 2017-02-01T13:41:20 --delay 1 --endMP 204:158 --enddatetime 2017-02-01T14:20:58 --enforcementcount 0 &gt;&gt;C:\Users\stu\Documents\GitHub\eaglep3-reporting\EC\2017-02-01-refined-times.txt</v>
      </c>
      <c r="AI8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{"issue":{"subject":"","project_id":79,"tracker_id":40,"status_id":1,"priority_id":2,"assigned_to_id":23,"start_date":"2017-02-01","description":"","custom_fields":[{"id":1,"name":"Subdivision","value":"EC"},{"id":4,"name":"Milepost","value":"0.0158"},{"id":17,"name":"Train ID","value":"174-01"},{"id":16,"name":"Locomotive ID","value":"4052"},{"id":130,"name":"Impact","value":""},{"id":150,"name":"Time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60" t="str">
        <f t="shared" si="8"/>
        <v>start /low /b %USERPROFILE%\Documents\GitHub\eaglep3\Utilities\DownloadLogsFromS3.py --loco 4052 --day 2017-02-01</v>
      </c>
      <c r="AN86" s="16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438</v>
      </c>
      <c r="B87" s="7">
        <v>4042</v>
      </c>
      <c r="C87" s="21" t="s">
        <v>193</v>
      </c>
      <c r="D87" s="21" t="s">
        <v>282</v>
      </c>
      <c r="E87" s="13">
        <v>42767.546493055554</v>
      </c>
      <c r="F87" s="13">
        <v>42767.548263888886</v>
      </c>
      <c r="G87" s="7">
        <v>1</v>
      </c>
      <c r="H87" s="21" t="s">
        <v>722</v>
      </c>
      <c r="I87" s="13">
        <v>42767.575810185182</v>
      </c>
      <c r="J87" s="7">
        <v>0</v>
      </c>
      <c r="K87" s="98" t="str">
        <f>IF(ISEVEN(B87),(B87-1)&amp;"/"&amp;B87,B87&amp;"/"&amp;(B87+1))</f>
        <v>4041/4042</v>
      </c>
      <c r="L87" s="21" t="str">
        <f>VLOOKUP(A87,'Trips&amp;Operators'!$C$1:$G$99999,5,FALSE)</f>
        <v>DAVIS MICHAEL</v>
      </c>
      <c r="M87" s="6">
        <f>I87-F87</f>
        <v>2.7546296296350192E-2</v>
      </c>
      <c r="N87" s="7">
        <f>24*60*SUM($M87:$M87)</f>
        <v>39.666666666744277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9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-02-01T12:06:57-0700',mode:absolute,to:'2017-02-01T14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193" t="str">
        <f>IF(AA87&lt;IF(AG87="EC",23,5.65),"Y","N")</f>
        <v>N</v>
      </c>
      <c r="X87" s="193">
        <f>VALUE(LEFT(AD87,4))-VALUE(LEFT(AD86,4))</f>
        <v>1</v>
      </c>
      <c r="Y87" s="62">
        <f>RIGHT(D87,LEN(D87)-4)/10000</f>
        <v>4.53E-2</v>
      </c>
      <c r="Z87" s="62">
        <f>RIGHT(H87,LEN(H87)-4)/10000</f>
        <v>23.327000000000002</v>
      </c>
      <c r="AA87" s="62">
        <f>ABS(Z87-Y87)</f>
        <v>23.281700000000001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>IF(LEN(A87)=6,"0"&amp;A87,A87)</f>
        <v>0175-01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/stypes="app*4042*20170201*"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175-01 --locoid 4042 --swversion DE.1.0.8.0 --startMP 204:453 --initTime 2017-02-01T13:06:57 --startdatetime 2017-02-01T13:09:30 --delay 1 --endMP 204:233270 --enddatetime 2017-02-01T13:49:10 --enforcementcount 0 &gt;&gt;C:\Users\stu\Documents\GitHub\eaglep3-reporting\EC\2017-02-01-refined-times.txt</v>
      </c>
      <c r="AI8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{"issue":{"subject":"","project_id":79,"tracker_id":40,"status_id":1,"priority_id":2,"assigned_to_id":23,"start_date":"2017-02-01","description":"","custom_fields":[{"id":1,"name":"Subdivision","value":"EC"},{"id":4,"name":"Milepost","value":"23.327"},{"id":17,"name":"Train ID","value":"175-01"},{"id":16,"name":"Locomotive ID","value":"4042"},{"id":130,"name":"Impact","value":""},{"id":150,"name":"Time of Event (Mountain Time)","value":"13:49:10"},{"id":151,"name":"Denver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60" t="str">
        <f t="shared" si="8"/>
        <v>start /low /b %USERPROFILE%\Documents\GitHub\eaglep3\Utilities\DownloadLogsFromS3.py --loco 4042 --day 2017-02-01</v>
      </c>
      <c r="AN87" s="16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561</v>
      </c>
      <c r="B88" s="7">
        <v>4041</v>
      </c>
      <c r="C88" s="21" t="s">
        <v>193</v>
      </c>
      <c r="D88" s="21" t="s">
        <v>317</v>
      </c>
      <c r="E88" s="13">
        <v>42767.579652777778</v>
      </c>
      <c r="F88" s="13">
        <v>42767.581261574072</v>
      </c>
      <c r="G88" s="7">
        <v>1</v>
      </c>
      <c r="H88" s="21" t="s">
        <v>380</v>
      </c>
      <c r="I88" s="13">
        <v>42767.608796296299</v>
      </c>
      <c r="J88" s="7">
        <v>0</v>
      </c>
      <c r="K88" s="98" t="str">
        <f>IF(ISEVEN(B88),(B88-1)&amp;"/"&amp;B88,B88&amp;"/"&amp;(B88+1))</f>
        <v>4041/4042</v>
      </c>
      <c r="L88" s="21" t="str">
        <f>VLOOKUP(A88,'Trips&amp;Operators'!$C$1:$G$99999,5,FALSE)</f>
        <v>DAVIS MICHAEL</v>
      </c>
      <c r="M88" s="6">
        <f>I88-F88</f>
        <v>2.7534722226846498E-2</v>
      </c>
      <c r="N88" s="7">
        <f>24*60*SUM($M88:$M88)</f>
        <v>39.650000006658956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9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-02-01T12:54:42-0700',mode:absolute,to:'2017-02-01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193" t="str">
        <f>IF(AA88&lt;IF(AG88="EC",23,5.65),"Y","N")</f>
        <v>N</v>
      </c>
      <c r="X88" s="193">
        <f>VALUE(LEFT(AD88,4))-VALUE(LEFT(AD87,4))</f>
        <v>1</v>
      </c>
      <c r="Y88" s="62">
        <f>RIGHT(D88,LEN(D88)-4)/10000</f>
        <v>23.296900000000001</v>
      </c>
      <c r="Z88" s="62">
        <f>RIGHT(H88,LEN(H88)-4)/10000</f>
        <v>1.38E-2</v>
      </c>
      <c r="AA88" s="62">
        <f>ABS(Z88-Y88)</f>
        <v>23.283100000000001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>IF(LEN(A88)=6,"0"&amp;A88,A88)</f>
        <v>0176-01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/stypes="app*4041*20170201*"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176-01 --locoid 4041 --swversion DE.1.0.8.0 --startMP 204:232969 --initTime 2017-02-01T13:54:42 --startdatetime 2017-02-01T13:57:01 --delay 1 --endMP 204:138 --enddatetime 2017-02-01T14:36:40 --enforcementcount 0 &gt;&gt;C:\Users\stu\Documents\GitHub\eaglep3-reporting\EC\2017-02-01-refined-times.txt</v>
      </c>
      <c r="AI8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{"issue":{"subject":"","project_id":79,"tracker_id":40,"status_id":1,"priority_id":2,"assigned_to_id":23,"start_date":"2017-02-01","description":"","custom_fields":[{"id":1,"name":"Subdivision","value":"EC"},{"id":4,"name":"Milepost","value":"0.0138"},{"id":17,"name":"Train ID","value":"176-01"},{"id":16,"name":"Locomotive ID","value":"4041"},{"id":130,"name":"Impact","value":""},{"id":150,"name":"Time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60" t="str">
        <f t="shared" si="8"/>
        <v>start /low /b %USERPROFILE%\Documents\GitHub\eaglep3\Utilities\DownloadLogsFromS3.py --loco 4041 --day 2017-02-01</v>
      </c>
      <c r="AN88" s="16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555</v>
      </c>
      <c r="B89" s="7">
        <v>4046</v>
      </c>
      <c r="C89" s="21" t="s">
        <v>193</v>
      </c>
      <c r="D89" s="21" t="s">
        <v>357</v>
      </c>
      <c r="E89" s="13">
        <v>42767.550810185188</v>
      </c>
      <c r="F89" s="13">
        <v>42767.554837962962</v>
      </c>
      <c r="G89" s="7">
        <v>1</v>
      </c>
      <c r="H89" s="21" t="s">
        <v>690</v>
      </c>
      <c r="I89" s="13">
        <v>42767.586064814815</v>
      </c>
      <c r="J89" s="7">
        <v>0</v>
      </c>
      <c r="K89" s="98" t="str">
        <f>IF(ISEVEN(B89),(B89-1)&amp;"/"&amp;B89,B89&amp;"/"&amp;(B89+1))</f>
        <v>4045/4046</v>
      </c>
      <c r="L89" s="21" t="str">
        <f>VLOOKUP(A89,'Trips&amp;Operators'!$C$1:$G$99999,5,FALSE)</f>
        <v>LEVERE CRAIG</v>
      </c>
      <c r="M89" s="6">
        <f>I89-F89</f>
        <v>3.1226851853716653E-2</v>
      </c>
      <c r="N89" s="7">
        <f>24*60*SUM($M89:$M89)</f>
        <v>44.96666666935198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9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-02-01T12:13:10-0700',mode:absolute,to:'2017-02-01T15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193" t="str">
        <f>IF(AA89&lt;IF(AG89="EC",23,5.65),"Y","N")</f>
        <v>N</v>
      </c>
      <c r="X89" s="193">
        <f>VALUE(LEFT(AD89,4))-VALUE(LEFT(AD88,4))</f>
        <v>1</v>
      </c>
      <c r="Y89" s="62">
        <f>RIGHT(D89,LEN(D89)-4)/10000</f>
        <v>4.7300000000000002E-2</v>
      </c>
      <c r="Z89" s="62">
        <f>RIGHT(H89,LEN(H89)-4)/10000</f>
        <v>23.330200000000001</v>
      </c>
      <c r="AA89" s="62">
        <f>ABS(Z89-Y89)</f>
        <v>23.282900000000001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>IF(LEN(A89)=6,"0"&amp;A89,A89)</f>
        <v>0177-01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/stypes="app*4046*20170201*"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177-01 --locoid 4046 --swversion DE.1.0.8.0 --startMP 204:473 --initTime 2017-02-01T13:13:10 --startdatetime 2017-02-01T13:18:58 --delay 1 --endMP 204:233302 --enddatetime 2017-02-01T14:03:56 --enforcementcount 0 &gt;&gt;C:\Users\stu\Documents\GitHub\eaglep3-reporting\EC\2017-02-01-refined-times.txt</v>
      </c>
      <c r="AI8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{"issue":{"subject":"","project_id":79,"tracker_id":40,"status_id":1,"priority_id":2,"assigned_to_id":23,"start_date":"2017-02-01","description":"","custom_fields":[{"id":1,"name":"Subdivision","value":"EC"},{"id":4,"name":"Milepost","value":"23.3302"},{"id":17,"name":"Train ID","value":"177-01"},{"id":16,"name":"Locomotive ID","value":"4046"},{"id":130,"name":"Impact","value":""},{"id":150,"name":"Time of Event (Mountain Time)","value":"14:03:56"},{"id":151,"name":"Denver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60" t="str">
        <f t="shared" si="8"/>
        <v>start /low /b %USERPROFILE%\Documents\GitHub\eaglep3\Utilities\DownloadLogsFromS3.py --loco 4046 --day 2017-02-01</v>
      </c>
      <c r="AN89" s="16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563</v>
      </c>
      <c r="B90" s="7">
        <v>4045</v>
      </c>
      <c r="C90" s="21" t="s">
        <v>193</v>
      </c>
      <c r="D90" s="21" t="s">
        <v>327</v>
      </c>
      <c r="E90" s="13">
        <v>42767.588993055557</v>
      </c>
      <c r="F90" s="13">
        <v>42767.591261574074</v>
      </c>
      <c r="G90" s="7">
        <v>1</v>
      </c>
      <c r="H90" s="21" t="s">
        <v>227</v>
      </c>
      <c r="I90" s="13">
        <v>42767.618113425924</v>
      </c>
      <c r="J90" s="7">
        <v>0</v>
      </c>
      <c r="K90" s="98" t="str">
        <f>IF(ISEVEN(B90),(B90-1)&amp;"/"&amp;B90,B90&amp;"/"&amp;(B90+1))</f>
        <v>4045/4046</v>
      </c>
      <c r="L90" s="21" t="str">
        <f>VLOOKUP(A90,'Trips&amp;Operators'!$C$1:$G$99999,5,FALSE)</f>
        <v>LEVERE CRAIG</v>
      </c>
      <c r="M90" s="6">
        <f>I90-F90</f>
        <v>2.6851851849642117E-2</v>
      </c>
      <c r="N90" s="7">
        <f>24*60*SUM($M90:$M90)</f>
        <v>38.666666663484648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9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-02-01T13:08:09-0700',mode:absolute,to:'2017-02-01T15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193" t="str">
        <f>IF(AA90&lt;IF(AG90="EC",23,5.65),"Y","N")</f>
        <v>N</v>
      </c>
      <c r="X90" s="193">
        <f>VALUE(LEFT(AD90,4))-VALUE(LEFT(AD89,4))</f>
        <v>1</v>
      </c>
      <c r="Y90" s="62">
        <f>RIGHT(D90,LEN(D90)-4)/10000</f>
        <v>23.297899999999998</v>
      </c>
      <c r="Z90" s="62">
        <f>RIGHT(H90,LEN(H90)-4)/10000</f>
        <v>1.6299999999999999E-2</v>
      </c>
      <c r="AA90" s="62">
        <f>ABS(Z90-Y90)</f>
        <v>23.281599999999997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>IF(LEN(A90)=6,"0"&amp;A90,A90)</f>
        <v>0178-01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/stypes="app*4045*20170201*"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178-01 --locoid 4045 --swversion DE.1.0.8.0 --startMP 204:232979 --initTime 2017-02-01T14:08:09 --startdatetime 2017-02-01T14:11:25 --delay 1 --endMP 204:163 --enddatetime 2017-02-01T14:50:05 --enforcementcount 0 &gt;&gt;C:\Users\stu\Documents\GitHub\eaglep3-reporting\EC\2017-02-01-refined-times.txt</v>
      </c>
      <c r="AI9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{"issue":{"subject":"","project_id":79,"tracker_id":40,"status_id":1,"priority_id":2,"assigned_to_id":23,"start_date":"2017-02-01","description":"","custom_fields":[{"id":1,"name":"Subdivision","value":"EC"},{"id":4,"name":"Milepost","value":"0.0163"},{"id":17,"name":"Train ID","value":"178-01"},{"id":16,"name":"Locomotive ID","value":"4045"},{"id":130,"name":"Impact","value":""},{"id":150,"name":"Time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60" t="str">
        <f t="shared" si="8"/>
        <v>start /low /b %USERPROFILE%\Documents\GitHub\eaglep3\Utilities\DownloadLogsFromS3.py --loco 4045 --day 2017-02-01</v>
      </c>
      <c r="AN90" s="16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557</v>
      </c>
      <c r="B91" s="7">
        <v>4011</v>
      </c>
      <c r="C91" s="21" t="s">
        <v>193</v>
      </c>
      <c r="D91" s="21" t="s">
        <v>283</v>
      </c>
      <c r="E91" s="13">
        <v>42767.559155092589</v>
      </c>
      <c r="F91" s="13">
        <v>42767.562743055554</v>
      </c>
      <c r="G91" s="7">
        <v>1</v>
      </c>
      <c r="H91" s="21" t="s">
        <v>693</v>
      </c>
      <c r="I91" s="13">
        <v>42767.588888888888</v>
      </c>
      <c r="J91" s="7">
        <v>0</v>
      </c>
      <c r="K91" s="98" t="str">
        <f>IF(ISEVEN(B91),(B91-1)&amp;"/"&amp;B91,B91&amp;"/"&amp;(B91+1))</f>
        <v>4011/4012</v>
      </c>
      <c r="L91" s="21" t="str">
        <f>VLOOKUP(A91,'Trips&amp;Operators'!$C$1:$G$99999,5,FALSE)</f>
        <v>HELVIE ADAM</v>
      </c>
      <c r="M91" s="6">
        <f>I91-F91</f>
        <v>2.6145833333430346E-2</v>
      </c>
      <c r="N91" s="7">
        <f>24*60*SUM($M91:$M91)</f>
        <v>37.650000000139698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9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-02-01T12:25:11-0700',mode:absolute,to:'2017-02-01T15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93" t="str">
        <f>IF(AA91&lt;IF(AG91="EC",23,5.65),"Y","N")</f>
        <v>N</v>
      </c>
      <c r="X91" s="193">
        <f>VALUE(LEFT(AD91,4))-VALUE(LEFT(AD90,4))</f>
        <v>1</v>
      </c>
      <c r="Y91" s="62">
        <f>RIGHT(D91,LEN(D91)-4)/10000</f>
        <v>4.7100000000000003E-2</v>
      </c>
      <c r="Z91" s="62">
        <f>RIGHT(H91,LEN(H91)-4)/10000</f>
        <v>23.332799999999999</v>
      </c>
      <c r="AA91" s="62">
        <f>ABS(Z91-Y91)</f>
        <v>23.285699999999999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>IF(LEN(A91)=6,"0"&amp;A91,A91)</f>
        <v>0179-01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/stypes="app*4011*20170201*"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179-01 --locoid 4011 --swversion DE.1.0.8.0 --startMP 204:471 --initTime 2017-02-01T13:25:11 --startdatetime 2017-02-01T13:30:21 --delay 1 --endMP 204:233328 --enddatetime 2017-02-01T14:08:00 --enforcementcount 0 &gt;&gt;C:\Users\stu\Documents\GitHub\eaglep3-reporting\EC\2017-02-01-refined-times.txt</v>
      </c>
      <c r="AI9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{"issue":{"subject":"","project_id":79,"tracker_id":40,"status_id":1,"priority_id":2,"assigned_to_id":23,"start_date":"2017-02-01","description":"","custom_fields":[{"id":1,"name":"Subdivision","value":"EC"},{"id":4,"name":"Milepost","value":"23.3328"},{"id":17,"name":"Train ID","value":"179-01"},{"id":16,"name":"Locomotive ID","value":"4011"},{"id":130,"name":"Impact","value":""},{"id":150,"name":"Time of Event (Mountain Time)","value":"14:08:00"},{"id":151,"name":"Denver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60" t="str">
        <f t="shared" si="8"/>
        <v>start /low /b %USERPROFILE%\Documents\GitHub\eaglep3\Utilities\DownloadLogsFromS3.py --loco 4011 --day 2017-02-01</v>
      </c>
      <c r="AN91" s="16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565</v>
      </c>
      <c r="B92" s="7">
        <v>4012</v>
      </c>
      <c r="C92" s="21" t="s">
        <v>193</v>
      </c>
      <c r="D92" s="21" t="s">
        <v>323</v>
      </c>
      <c r="E92" s="13">
        <v>42767.598668981482</v>
      </c>
      <c r="F92" s="13">
        <v>42767.601597222223</v>
      </c>
      <c r="G92" s="7">
        <v>1</v>
      </c>
      <c r="H92" s="21" t="s">
        <v>208</v>
      </c>
      <c r="I92" s="13">
        <v>42767.628067129626</v>
      </c>
      <c r="J92" s="7">
        <v>0</v>
      </c>
      <c r="K92" s="98" t="str">
        <f>IF(ISEVEN(B92),(B92-1)&amp;"/"&amp;B92,B92&amp;"/"&amp;(B92+1))</f>
        <v>4011/4012</v>
      </c>
      <c r="L92" s="21" t="str">
        <f>VLOOKUP(A92,'Trips&amp;Operators'!$C$1:$G$99999,5,FALSE)</f>
        <v>HELVIE ADAM</v>
      </c>
      <c r="M92" s="6">
        <f>I92-F92</f>
        <v>2.6469907403225079E-2</v>
      </c>
      <c r="N92" s="7">
        <f>24*60*SUM($M92:$M92)</f>
        <v>38.116666660644114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9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-02-01T13:22:05-0700',mode:absolute,to:'2017-02-01T16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93" t="str">
        <f>IF(AA92&lt;IF(AG92="EC",23,5.65),"Y","N")</f>
        <v>N</v>
      </c>
      <c r="X92" s="193">
        <f>VALUE(LEFT(AD92,4))-VALUE(LEFT(AD91,4))</f>
        <v>1</v>
      </c>
      <c r="Y92" s="62">
        <f>RIGHT(D92,LEN(D92)-4)/10000</f>
        <v>23.298400000000001</v>
      </c>
      <c r="Z92" s="62">
        <f>RIGHT(H92,LEN(H92)-4)/10000</f>
        <v>1.47E-2</v>
      </c>
      <c r="AA92" s="62">
        <f>ABS(Z92-Y92)</f>
        <v>23.2837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>IF(LEN(A92)=6,"0"&amp;A92,A92)</f>
        <v>0180-01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/stypes="app*4012*20170201*" /stext=" 22:.+((SYSTEM_STATE.+slice.+state.+changed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180-01 --locoid 4012 --swversion DE.1.0.8.0 --startMP 204:232984 --initTime 2017-02-01T14:22:05 --startdatetime 2017-02-01T14:26:18 --delay 1 --endMP 204:147 --enddatetime 2017-02-01T15:04:25 --enforcementcount 0 &gt;&gt;C:\Users\stu\Documents\GitHub\eaglep3-reporting\EC\2017-02-01-refined-times.txt</v>
      </c>
      <c r="AI9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{"issue":{"subject":"","project_id":79,"tracker_id":40,"status_id":1,"priority_id":2,"assigned_to_id":23,"start_date":"2017-02-01","description":"","custom_fields":[{"id":1,"name":"Subdivision","value":"EC"},{"id":4,"name":"Milepost","value":"0.0147"},{"id":17,"name":"Train ID","value":"180-01"},{"id":16,"name":"Locomotive ID","value":"4012"},{"id":130,"name":"Impact","value":""},{"id":150,"name":"Time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60" t="str">
        <f t="shared" si="8"/>
        <v>start /low /b %USERPROFILE%\Documents\GitHub\eaglep3\Utilities\DownloadLogsFromS3.py --loco 4012 --day 2017-02-01</v>
      </c>
      <c r="AN92" s="16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560</v>
      </c>
      <c r="B93" s="7">
        <v>4029</v>
      </c>
      <c r="C93" s="21" t="s">
        <v>193</v>
      </c>
      <c r="D93" s="21" t="s">
        <v>723</v>
      </c>
      <c r="E93" s="13">
        <v>42767.57130787037</v>
      </c>
      <c r="F93" s="13">
        <v>42767.573136574072</v>
      </c>
      <c r="G93" s="7">
        <v>1</v>
      </c>
      <c r="H93" s="21" t="s">
        <v>690</v>
      </c>
      <c r="I93" s="13">
        <v>42767.597986111112</v>
      </c>
      <c r="J93" s="7">
        <v>0</v>
      </c>
      <c r="K93" s="98" t="str">
        <f>IF(ISEVEN(B93),(B93-1)&amp;"/"&amp;B93,B93&amp;"/"&amp;(B93+1))</f>
        <v>4029/4030</v>
      </c>
      <c r="L93" s="21" t="str">
        <f>VLOOKUP(A93,'Trips&amp;Operators'!$C$1:$G$99999,5,FALSE)</f>
        <v>CRAYTON QUNTRELL</v>
      </c>
      <c r="M93" s="6">
        <f>I93-F93</f>
        <v>2.4849537039699499E-2</v>
      </c>
      <c r="N93" s="7">
        <f>24*60*SUM($M93:$M93)</f>
        <v>35.783333337167278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9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-02-01T12:42:41-0700',mode:absolute,to:'2017-02-01T15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3" s="193" t="str">
        <f>IF(AA93&lt;IF(AG93="EC",23,5.65),"Y","N")</f>
        <v>N</v>
      </c>
      <c r="X93" s="193">
        <f>VALUE(LEFT(AD93,4))-VALUE(LEFT(AD92,4))</f>
        <v>1</v>
      </c>
      <c r="Y93" s="62">
        <f>RIGHT(D93,LEN(D93)-4)/10000</f>
        <v>5.0900000000000001E-2</v>
      </c>
      <c r="Z93" s="62">
        <f>RIGHT(H93,LEN(H93)-4)/10000</f>
        <v>23.330200000000001</v>
      </c>
      <c r="AA93" s="62">
        <f>ABS(Z93-Y93)</f>
        <v>23.279300000000003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>IF(LEN(A93)=6,"0"&amp;A93,A93)</f>
        <v>0181-01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/stypes="app*4029*20170201*"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181-01 --locoid 4029 --swversion DE.1.0.8.0 --startMP 204:509 --initTime 2017-02-01T13:42:41 --startdatetime 2017-02-01T13:45:19 --delay 1 --endMP 204:233302 --enddatetime 2017-02-01T14:21:06 --enforcementcount 0 &gt;&gt;C:\Users\stu\Documents\GitHub\eaglep3-reporting\EC\2017-02-01-refined-times.txt</v>
      </c>
      <c r="AI93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{"issue":{"subject":"","project_id":79,"tracker_id":40,"status_id":1,"priority_id":2,"assigned_to_id":23,"start_date":"2017-02-01","description":"","custom_fields":[{"id":1,"name":"Subdivision","value":"EC"},{"id":4,"name":"Milepost","value":"23.3302"},{"id":17,"name":"Train ID","value":"181-01"},{"id":16,"name":"Locomotive ID","value":"4029"},{"id":130,"name":"Impact","value":""},{"id":150,"name":"Time of Event (Mountain Time)","value":"14:21:06"},{"id":151,"name":"Denver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60" t="str">
        <f t="shared" si="8"/>
        <v>start /low /b %USERPROFILE%\Documents\GitHub\eaglep3\Utilities\DownloadLogsFromS3.py --loco 4029 --day 2017-02-01</v>
      </c>
      <c r="AN93" s="16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567</v>
      </c>
      <c r="B94" s="7">
        <v>4030</v>
      </c>
      <c r="C94" s="21" t="s">
        <v>193</v>
      </c>
      <c r="D94" s="21" t="s">
        <v>724</v>
      </c>
      <c r="E94" s="13">
        <v>42767.602523148147</v>
      </c>
      <c r="F94" s="13">
        <v>42767.611979166664</v>
      </c>
      <c r="G94" s="7">
        <v>1</v>
      </c>
      <c r="H94" s="21" t="s">
        <v>228</v>
      </c>
      <c r="I94" s="13">
        <v>42767.638645833336</v>
      </c>
      <c r="J94" s="7">
        <v>0</v>
      </c>
      <c r="K94" s="98" t="str">
        <f>IF(ISEVEN(B94),(B94-1)&amp;"/"&amp;B94,B94&amp;"/"&amp;(B94+1))</f>
        <v>4029/4030</v>
      </c>
      <c r="L94" s="21" t="str">
        <f>VLOOKUP(A94,'Trips&amp;Operators'!$C$1:$G$99999,5,FALSE)</f>
        <v>CRAYTON QUNTRELL</v>
      </c>
      <c r="M94" s="6">
        <f>I94-F94</f>
        <v>2.6666666672099382E-2</v>
      </c>
      <c r="N94" s="7">
        <f>24*60*SUM($M94:$M94)</f>
        <v>38.40000000782311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9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-02-01T13:27:38-0700',mode:absolute,to:'2017-02-01T16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193" t="str">
        <f>IF(AA94&lt;IF(AG94="EC",23,5.65),"Y","N")</f>
        <v>N</v>
      </c>
      <c r="X94" s="193">
        <f>VALUE(LEFT(AD94,4))-VALUE(LEFT(AD93,4))</f>
        <v>1</v>
      </c>
      <c r="Y94" s="62">
        <f>RIGHT(D94,LEN(D94)-4)/10000</f>
        <v>23.3004</v>
      </c>
      <c r="Z94" s="62">
        <f>RIGHT(H94,LEN(H94)-4)/10000</f>
        <v>1.54E-2</v>
      </c>
      <c r="AA94" s="62">
        <f>ABS(Z94-Y94)</f>
        <v>23.285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>IF(LEN(A94)=6,"0"&amp;A94,A94)</f>
        <v>0182-01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/stypes="app*4030*20170201*"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182-01 --locoid 4030 --swversion DE.1.0.8.0 --startMP 204:233004 --initTime 2017-02-01T14:27:38 --startdatetime 2017-02-01T14:41:15 --delay 1 --endMP 204:154 --enddatetime 2017-02-01T15:19:39 --enforcementcount 0 &gt;&gt;C:\Users\stu\Documents\GitHub\eaglep3-reporting\EC\2017-02-01-refined-times.txt</v>
      </c>
      <c r="AI9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{"issue":{"subject":"","project_id":79,"tracker_id":40,"status_id":1,"priority_id":2,"assigned_to_id":23,"start_date":"2017-02-01","description":"","custom_fields":[{"id":1,"name":"Subdivision","value":"EC"},{"id":4,"name":"Milepost","value":"0.0154"},{"id":17,"name":"Train ID","value":"182-01"},{"id":16,"name":"Locomotive ID","value":"4030"},{"id":130,"name":"Impact","value":""},{"id":150,"name":"Time of Event (Mountain Time)","value":"15:19:39"},{"id":151,"name":"Denver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60" t="str">
        <f t="shared" si="8"/>
        <v>start /low /b %USERPROFILE%\Documents\GitHub\eaglep3\Utilities\DownloadLogsFromS3.py --loco 4030 --day 2017-02-01</v>
      </c>
      <c r="AN94" s="16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439</v>
      </c>
      <c r="B95" s="7">
        <v>4016</v>
      </c>
      <c r="C95" s="21" t="s">
        <v>193</v>
      </c>
      <c r="D95" s="21" t="s">
        <v>688</v>
      </c>
      <c r="E95" s="13">
        <v>42767.579097222224</v>
      </c>
      <c r="F95" s="13">
        <v>42767.583657407406</v>
      </c>
      <c r="G95" s="7">
        <v>1</v>
      </c>
      <c r="H95" s="21" t="s">
        <v>725</v>
      </c>
      <c r="I95" s="13">
        <v>42767.608796296299</v>
      </c>
      <c r="J95" s="7">
        <v>0</v>
      </c>
      <c r="K95" s="98" t="str">
        <f>IF(ISEVEN(B95),(B95-1)&amp;"/"&amp;B95,B95&amp;"/"&amp;(B95+1))</f>
        <v>4015/4016</v>
      </c>
      <c r="L95" s="21" t="str">
        <f>VLOOKUP(A95,'Trips&amp;Operators'!$C$1:$G$99999,5,FALSE)</f>
        <v>LEVIN SCOTT</v>
      </c>
      <c r="M95" s="6">
        <f>I95-F95</f>
        <v>2.513888889370719E-2</v>
      </c>
      <c r="N95" s="7">
        <f>24*60*SUM($M95:$M95)</f>
        <v>36.200000006938353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9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-02-01T12:53:54-0700',mode:absolute,to:'2017-02-01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193" t="str">
        <f>IF(AA95&lt;IF(AG95="EC",23,5.65),"Y","N")</f>
        <v>N</v>
      </c>
      <c r="X95" s="193">
        <f>VALUE(LEFT(AD95,4))-VALUE(LEFT(AD94,4))</f>
        <v>1</v>
      </c>
      <c r="Y95" s="62">
        <f>RIGHT(D95,LEN(D95)-4)/10000</f>
        <v>4.3299999999999998E-2</v>
      </c>
      <c r="Z95" s="62">
        <f>RIGHT(H95,LEN(H95)-4)/10000</f>
        <v>23.335999999999999</v>
      </c>
      <c r="AA95" s="62">
        <f>ABS(Z95-Y95)</f>
        <v>23.2927</v>
      </c>
      <c r="AB95" s="59" t="str">
        <f>VLOOKUP(A95,Enforcements!$C$7:$K$16,8,0)</f>
        <v>Bulletin (2)</v>
      </c>
      <c r="AC95" s="55" t="str">
        <f>VLOOKUP(A95,Enforcements!$C$7:$E$16,3,0)</f>
        <v>GRADE CROSSING</v>
      </c>
      <c r="AD95" s="56" t="str">
        <f>IF(LEN(A95)=6,"0"&amp;A95,A95)</f>
        <v>0183-01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/stypes="app*4016*20170201*"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183-01 --locoid 4016 --swversion DE.1.0.8.0 --startMP 204:433 --initTime 2017-02-01T13:53:54 --startdatetime 2017-02-01T14:00:28 --delay 1 --endMP 204:233360 --enddatetime 2017-02-01T14:36:40 --enforcementcount 0 &gt;&gt;C:\Users\stu\Documents\GitHub\eaglep3-reporting\EC\2017-02-01-refined-times.txt</v>
      </c>
      <c r="AI9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{"issue":{"subject":"","project_id":79,"tracker_id":40,"status_id":1,"priority_id":2,"assigned_to_id":23,"start_date":"2017-02-01","description":"","custom_fields":[{"id":1,"name":"Subdivision","value":"EC"},{"id":4,"name":"Milepost","value":"23.336"},{"id":17,"name":"Train ID","value":"183-01"},{"id":16,"name":"Locomotive ID","value":"4016"},{"id":130,"name":"Impact","value":""},{"id":150,"name":"Time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60" t="str">
        <f t="shared" si="8"/>
        <v>start /low /b %USERPROFILE%\Documents\GitHub\eaglep3\Utilities\DownloadLogsFromS3.py --loco 4016 --day 2017-02-01</v>
      </c>
      <c r="AN95" s="16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</row>
    <row r="96" spans="1:91" s="20" customFormat="1" x14ac:dyDescent="0.25">
      <c r="A96" s="33" t="s">
        <v>571</v>
      </c>
      <c r="B96" s="7">
        <v>4015</v>
      </c>
      <c r="C96" s="21" t="s">
        <v>193</v>
      </c>
      <c r="D96" s="21" t="s">
        <v>696</v>
      </c>
      <c r="E96" s="13">
        <v>42767.620046296295</v>
      </c>
      <c r="F96" s="13">
        <v>42767.622476851851</v>
      </c>
      <c r="G96" s="7">
        <v>1</v>
      </c>
      <c r="H96" s="21" t="s">
        <v>208</v>
      </c>
      <c r="I96" s="13">
        <v>42767.649375000001</v>
      </c>
      <c r="J96" s="7">
        <v>0</v>
      </c>
      <c r="K96" s="98" t="str">
        <f>IF(ISEVEN(B96),(B96-1)&amp;"/"&amp;B96,B96&amp;"/"&amp;(B96+1))</f>
        <v>4015/4016</v>
      </c>
      <c r="L96" s="21" t="str">
        <f>VLOOKUP(A96,'Trips&amp;Operators'!$C$1:$G$99999,5,FALSE)</f>
        <v>LEVIN SCOTT</v>
      </c>
      <c r="M96" s="6">
        <f>I96-F96</f>
        <v>2.6898148149484769E-2</v>
      </c>
      <c r="N96" s="7">
        <f>24*60*SUM($M96:$M96)</f>
        <v>38.733333335258067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9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-02-01T13:52:52-0700',mode:absolute,to:'2017-02-01T16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193" t="str">
        <f>IF(AA96&lt;IF(AG96="EC",23,5.65),"Y","N")</f>
        <v>N</v>
      </c>
      <c r="X96" s="193">
        <f>VALUE(LEFT(AD96,4))-VALUE(LEFT(AD95,4))</f>
        <v>1</v>
      </c>
      <c r="Y96" s="62">
        <f>RIGHT(D96,LEN(D96)-4)/10000</f>
        <v>23.303599999999999</v>
      </c>
      <c r="Z96" s="62">
        <f>RIGHT(H96,LEN(H96)-4)/10000</f>
        <v>1.47E-2</v>
      </c>
      <c r="AA96" s="62">
        <f>ABS(Z96-Y96)</f>
        <v>23.288899999999998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>IF(LEN(A96)=6,"0"&amp;A96,A96)</f>
        <v>0184-01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/stypes="app*4015*20170201*"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184-01 --locoid 4015 --swversion DE.1.0.8.0 --startMP 204:233036 --initTime 2017-02-01T14:52:52 --startdatetime 2017-02-01T14:56:22 --delay 1 --endMP 204:147 --enddatetime 2017-02-01T15:35:06 --enforcementcount 0 &gt;&gt;C:\Users\stu\Documents\GitHub\eaglep3-reporting\EC\2017-02-01-refined-times.txt</v>
      </c>
      <c r="AI9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{"issue":{"subject":"","project_id":79,"tracker_id":40,"status_id":1,"priority_id":2,"assigned_to_id":23,"start_date":"2017-02-01","description":"","custom_fields":[{"id":1,"name":"Subdivision","value":"EC"},{"id":4,"name":"Milepost","value":"0.0147"},{"id":17,"name":"Train ID","value":"184-01"},{"id":16,"name":"Locomotive ID","value":"4015"},{"id":130,"name":"Impact","value":""},{"id":150,"name":"Time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60" t="str">
        <f t="shared" si="8"/>
        <v>start /low /b %USERPROFILE%\Documents\GitHub\eaglep3\Utilities\DownloadLogsFromS3.py --loco 4015 --day 2017-02-01</v>
      </c>
      <c r="AN96" s="16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562</v>
      </c>
      <c r="B97" s="7">
        <v>4038</v>
      </c>
      <c r="C97" s="21" t="s">
        <v>193</v>
      </c>
      <c r="D97" s="21" t="s">
        <v>703</v>
      </c>
      <c r="E97" s="13">
        <v>42767.588182870371</v>
      </c>
      <c r="F97" s="13">
        <v>42767.593900462962</v>
      </c>
      <c r="G97" s="7">
        <v>1</v>
      </c>
      <c r="H97" s="21" t="s">
        <v>390</v>
      </c>
      <c r="I97" s="13">
        <v>42767.618761574071</v>
      </c>
      <c r="J97" s="7">
        <v>0</v>
      </c>
      <c r="K97" s="98" t="str">
        <f>IF(ISEVEN(B97),(B97-1)&amp;"/"&amp;B97,B97&amp;"/"&amp;(B97+1))</f>
        <v>4037/4038</v>
      </c>
      <c r="L97" s="21" t="str">
        <f>VLOOKUP(A97,'Trips&amp;Operators'!$C$1:$G$99999,5,FALSE)</f>
        <v>BRANNON JEFFREY</v>
      </c>
      <c r="M97" s="6">
        <f>I97-F97</f>
        <v>2.4861111109203193E-2</v>
      </c>
      <c r="N97" s="7">
        <f>24*60*SUM($M97:$M97)</f>
        <v>35.799999997252598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9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-02-01T13:06:59-0700',mode:absolute,to:'2017-02-01T15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7" s="193" t="str">
        <f>IF(AA97&lt;IF(AG97="EC",23,5.65),"Y","N")</f>
        <v>N</v>
      </c>
      <c r="X97" s="193">
        <f>VALUE(LEFT(AD97,4))-VALUE(LEFT(AD96,4))</f>
        <v>1</v>
      </c>
      <c r="Y97" s="62">
        <f>RIGHT(D97,LEN(D97)-4)/10000</f>
        <v>4.3799999999999999E-2</v>
      </c>
      <c r="Z97" s="62">
        <f>RIGHT(H97,LEN(H97)-4)/10000</f>
        <v>23.331900000000001</v>
      </c>
      <c r="AA97" s="62">
        <f>ABS(Z97-Y97)</f>
        <v>23.2881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>IF(LEN(A97)=6,"0"&amp;A97,A97)</f>
        <v>0185-01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/stypes="app*4038*20170201*"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185-01 --locoid 4038 --swversion DE.1.0.8.0 --startMP 204:438 --initTime 2017-02-01T14:06:59 --startdatetime 2017-02-01T14:15:13 --delay 1 --endMP 204:233319 --enddatetime 2017-02-01T14:51:01 --enforcementcount 0 &gt;&gt;C:\Users\stu\Documents\GitHub\eaglep3-reporting\EC\2017-02-01-refined-times.txt</v>
      </c>
      <c r="AI9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{"issue":{"subject":"","project_id":79,"tracker_id":40,"status_id":1,"priority_id":2,"assigned_to_id":23,"start_date":"2017-02-01","description":"","custom_fields":[{"id":1,"name":"Subdivision","value":"EC"},{"id":4,"name":"Milepost","value":"23.3319"},{"id":17,"name":"Train ID","value":"185-01"},{"id":16,"name":"Locomotive ID","value":"4038"},{"id":130,"name":"Impact","value":""},{"id":150,"name":"Time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60" t="str">
        <f t="shared" si="8"/>
        <v>start /low /b %USERPROFILE%\Documents\GitHub\eaglep3\Utilities\DownloadLogsFromS3.py --loco 4038 --day 2017-02-01</v>
      </c>
      <c r="AN97" s="16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572</v>
      </c>
      <c r="B98" s="7">
        <v>4037</v>
      </c>
      <c r="C98" s="21" t="s">
        <v>193</v>
      </c>
      <c r="D98" s="21" t="s">
        <v>325</v>
      </c>
      <c r="E98" s="13">
        <v>42767.628182870372</v>
      </c>
      <c r="F98" s="13">
        <v>42767.6328587963</v>
      </c>
      <c r="G98" s="7">
        <v>0</v>
      </c>
      <c r="H98" s="21" t="s">
        <v>228</v>
      </c>
      <c r="I98" s="13">
        <v>42767.661041666666</v>
      </c>
      <c r="J98" s="7">
        <v>0</v>
      </c>
      <c r="K98" s="98" t="str">
        <f>IF(ISEVEN(B98),(B98-1)&amp;"/"&amp;B98,B98&amp;"/"&amp;(B98+1))</f>
        <v>4037/4038</v>
      </c>
      <c r="L98" s="21" t="str">
        <f>VLOOKUP(A98,'Trips&amp;Operators'!$C$1:$G$99999,5,FALSE)</f>
        <v>BRANNON JEFFREY</v>
      </c>
      <c r="M98" s="6">
        <f>I98-F98</f>
        <v>2.8182870366435964E-2</v>
      </c>
      <c r="N98" s="7">
        <f>24*60*SUM($M98:$M98)</f>
        <v>40.583333327667788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9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-02-01T14:04:35-0700',mode:absolute,to:'2017-02-01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8" s="193" t="str">
        <f>IF(AA98&lt;IF(AG98="EC",23,5.65),"Y","N")</f>
        <v>N</v>
      </c>
      <c r="X98" s="193">
        <f>VALUE(LEFT(AD98,4))-VALUE(LEFT(AD97,4))</f>
        <v>1</v>
      </c>
      <c r="Y98" s="62">
        <f>RIGHT(D98,LEN(D98)-4)/10000</f>
        <v>23.3017</v>
      </c>
      <c r="Z98" s="62">
        <f>RIGHT(H98,LEN(H98)-4)/10000</f>
        <v>1.54E-2</v>
      </c>
      <c r="AA98" s="62">
        <f>ABS(Z98-Y98)</f>
        <v>23.286300000000001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>IF(LEN(A98)=6,"0"&amp;A98,A98)</f>
        <v>0186-01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/stypes="app*4037*20170201*"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186-01 --locoid 4037 --swversion DE.1.0.8.0 --startMP 204:233017 --initTime 2017-02-01T15:04:35 --startdatetime 2017-02-01T15:11:19 --delay 0 --endMP 204:154 --enddatetime 2017-02-01T15:51:54 --enforcementcount 0 &gt;&gt;C:\Users\stu\Documents\GitHub\eaglep3-reporting\EC\2017-02-01-refined-times.txt</v>
      </c>
      <c r="AI9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{"issue":{"subject":"","project_id":79,"tracker_id":40,"status_id":1,"priority_id":2,"assigned_to_id":23,"start_date":"2017-02-01","description":"","custom_fields":[{"id":1,"name":"Subdivision","value":"EC"},{"id":4,"name":"Milepost","value":"0.0154"},{"id":17,"name":"Train ID","value":"186-01"},{"id":16,"name":"Locomotive ID","value":"4037"},{"id":130,"name":"Impact","value":""},{"id":150,"name":"Time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60" t="str">
        <f t="shared" si="8"/>
        <v>start /low /b %USERPROFILE%\Documents\GitHub\eaglep3\Utilities\DownloadLogsFromS3.py --loco 4037 --day 2017-02-01</v>
      </c>
      <c r="AN98" s="16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2017-02-01-UncaughtWiMAX.txt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566</v>
      </c>
      <c r="B99" s="7">
        <v>4051</v>
      </c>
      <c r="C99" s="21" t="s">
        <v>193</v>
      </c>
      <c r="D99" s="21" t="s">
        <v>244</v>
      </c>
      <c r="E99" s="13">
        <v>42767.599062499998</v>
      </c>
      <c r="F99" s="13">
        <v>42767.604363425926</v>
      </c>
      <c r="G99" s="7">
        <v>1</v>
      </c>
      <c r="H99" s="21" t="s">
        <v>381</v>
      </c>
      <c r="I99" s="13">
        <v>42767.631273148145</v>
      </c>
      <c r="J99" s="7">
        <v>0</v>
      </c>
      <c r="K99" s="98" t="str">
        <f>IF(ISEVEN(B99),(B99-1)&amp;"/"&amp;B99,B99&amp;"/"&amp;(B99+1))</f>
        <v>4051/4052</v>
      </c>
      <c r="L99" s="21" t="str">
        <f>VLOOKUP(A99,'Trips&amp;Operators'!$C$1:$G$99999,5,FALSE)</f>
        <v>CLARK KATHLEEN</v>
      </c>
      <c r="M99" s="6">
        <f>I99-F99</f>
        <v>2.6909722218988463E-2</v>
      </c>
      <c r="N99" s="7">
        <f>24*60*SUM($M99:$M99)</f>
        <v>38.749999995343387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9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-02-01T13:22:39-0700',mode:absolute,to:'2017-02-01T16:09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9" s="193" t="str">
        <f>IF(AA99&lt;IF(AG99="EC",23,5.65),"Y","N")</f>
        <v>N</v>
      </c>
      <c r="X99" s="193">
        <f>VALUE(LEFT(AD99,4))-VALUE(LEFT(AD98,4))</f>
        <v>1</v>
      </c>
      <c r="Y99" s="62">
        <f>RIGHT(D99,LEN(D99)-4)/10000</f>
        <v>4.5100000000000001E-2</v>
      </c>
      <c r="Z99" s="62">
        <f>RIGHT(H99,LEN(H99)-4)/10000</f>
        <v>23.328600000000002</v>
      </c>
      <c r="AA99" s="62">
        <f>ABS(Z99-Y99)</f>
        <v>23.2835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>IF(LEN(A99)=6,"0"&amp;A99,A99)</f>
        <v>0187-01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/stypes="app*4051*20170201*"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187-01 --locoid 4051 --swversion DE.1.0.8.0 --startMP 204:451 --initTime 2017-02-01T14:22:39 --startdatetime 2017-02-01T14:30:17 --delay 1 --endMP 204:233286 --enddatetime 2017-02-01T15:09:02 --enforcementcount 0 &gt;&gt;C:\Users\stu\Documents\GitHub\eaglep3-reporting\EC\2017-02-01-refined-times.txt</v>
      </c>
      <c r="AI9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{"issue":{"subject":"","project_id":79,"tracker_id":40,"status_id":1,"priority_id":2,"assigned_to_id":23,"start_date":"2017-02-01","description":"","custom_fields":[{"id":1,"name":"Subdivision","value":"EC"},{"id":4,"name":"Milepost","value":"23.3286"},{"id":17,"name":"Train ID","value":"187-01"},{"id":16,"name":"Locomotive ID","value":"4051"},{"id":130,"name":"Impact","value":""},{"id":150,"name":"Time of Event (Mountain Time)","value":"15:09:02"},{"id":151,"name":"Denver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60" t="str">
        <f t="shared" si="8"/>
        <v>start /low /b %USERPROFILE%\Documents\GitHub\eaglep3\Utilities\DownloadLogsFromS3.py --loco 4051 --day 2017-02-01</v>
      </c>
      <c r="AN99" s="16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575</v>
      </c>
      <c r="B100" s="7">
        <v>4052</v>
      </c>
      <c r="C100" s="21" t="s">
        <v>193</v>
      </c>
      <c r="D100" s="21" t="s">
        <v>726</v>
      </c>
      <c r="E100" s="13">
        <v>42767.639351851853</v>
      </c>
      <c r="F100" s="13">
        <v>42767.643217592595</v>
      </c>
      <c r="G100" s="7">
        <v>1</v>
      </c>
      <c r="H100" s="21" t="s">
        <v>727</v>
      </c>
      <c r="I100" s="13">
        <v>42767.670474537037</v>
      </c>
      <c r="J100" s="7">
        <v>0</v>
      </c>
      <c r="K100" s="98" t="str">
        <f>IF(ISEVEN(B100),(B100-1)&amp;"/"&amp;B100,B100&amp;"/"&amp;(B100+1))</f>
        <v>4051/4052</v>
      </c>
      <c r="L100" s="21" t="str">
        <f>VLOOKUP(A100,'Trips&amp;Operators'!$C$1:$G$99999,5,FALSE)</f>
        <v>CLARK KATHLEEN</v>
      </c>
      <c r="M100" s="6">
        <f>I100-F100</f>
        <v>2.7256944442342501E-2</v>
      </c>
      <c r="N100" s="7">
        <f>24*60*SUM($M100:$M100)</f>
        <v>39.249999996973202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9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-02-01T14:20:40-0700',mode:absolute,to:'2017-02-01T17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0" s="193" t="str">
        <f>IF(AA100&lt;IF(AG100="EC",23,5.65),"Y","N")</f>
        <v>N</v>
      </c>
      <c r="X100" s="193">
        <f>VALUE(LEFT(AD100,4))-VALUE(LEFT(AD99,4))</f>
        <v>1</v>
      </c>
      <c r="Y100" s="62">
        <f>RIGHT(D100,LEN(D100)-4)/10000</f>
        <v>23.297499999999999</v>
      </c>
      <c r="Z100" s="62">
        <f>RIGHT(H100,LEN(H100)-4)/10000</f>
        <v>1.8499999999999999E-2</v>
      </c>
      <c r="AA100" s="62">
        <f>ABS(Z100-Y100)</f>
        <v>23.279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>IF(LEN(A100)=6,"0"&amp;A100,A100)</f>
        <v>0188-01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/stypes="app*4052*20170201*" /stext=" 23:.+((SYSTEM_STATE.+slice.+state.+changed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188-01 --locoid 4052 --swversion DE.1.0.8.0 --startMP 204:232975 --initTime 2017-02-01T15:20:40 --startdatetime 2017-02-01T15:26:14 --delay 1 --endMP 204:185 --enddatetime 2017-02-01T16:05:29 --enforcementcount 0 &gt;&gt;C:\Users\stu\Documents\GitHub\eaglep3-reporting\EC\2017-02-01-refined-times.txt</v>
      </c>
      <c r="AI10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{"issue":{"subject":"","project_id":79,"tracker_id":40,"status_id":1,"priority_id":2,"assigned_to_id":23,"start_date":"2017-02-01","description":"","custom_fields":[{"id":1,"name":"Subdivision","value":"EC"},{"id":4,"name":"Milepost","value":"0.0185"},{"id":17,"name":"Train ID","value":"188-01"},{"id":16,"name":"Locomotive ID","value":"4052"},{"id":130,"name":"Impact","value":""},{"id":150,"name":"Time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60" t="str">
        <f t="shared" si="8"/>
        <v>start /low /b %USERPROFILE%\Documents\GitHub\eaglep3\Utilities\DownloadLogsFromS3.py --loco 4052 --day 2017-02-01</v>
      </c>
      <c r="AN100" s="16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569</v>
      </c>
      <c r="B101" s="7">
        <v>4042</v>
      </c>
      <c r="C101" s="21" t="s">
        <v>193</v>
      </c>
      <c r="D101" s="21" t="s">
        <v>244</v>
      </c>
      <c r="E101" s="13">
        <v>42767.61278935185</v>
      </c>
      <c r="F101" s="13">
        <v>42767.614849537036</v>
      </c>
      <c r="G101" s="7">
        <v>1</v>
      </c>
      <c r="H101" s="21" t="s">
        <v>398</v>
      </c>
      <c r="I101" s="13">
        <v>42767.642233796294</v>
      </c>
      <c r="J101" s="7">
        <v>0</v>
      </c>
      <c r="K101" s="98" t="str">
        <f>IF(ISEVEN(B101),(B101-1)&amp;"/"&amp;B101,B101&amp;"/"&amp;(B101+1))</f>
        <v>4041/4042</v>
      </c>
      <c r="L101" s="21" t="str">
        <f>VLOOKUP(A101,'Trips&amp;Operators'!$C$1:$G$99999,5,FALSE)</f>
        <v>DAVIS MICHAEL</v>
      </c>
      <c r="M101" s="6">
        <f>I101-F101</f>
        <v>2.7384259257814847E-2</v>
      </c>
      <c r="N101" s="7">
        <f>24*60*SUM($M101:$M101)</f>
        <v>39.43333333125338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9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-02-01T13:42:25-0700',mode:absolute,to:'2017-02-01T16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3" t="str">
        <f>IF(AA101&lt;IF(AG101="EC",23,5.65),"Y","N")</f>
        <v>N</v>
      </c>
      <c r="X101" s="193">
        <f>VALUE(LEFT(AD101,4))-VALUE(LEFT(AD100,4))</f>
        <v>1</v>
      </c>
      <c r="Y101" s="62">
        <f>RIGHT(D101,LEN(D101)-4)/10000</f>
        <v>4.5100000000000001E-2</v>
      </c>
      <c r="Z101" s="62">
        <f>RIGHT(H101,LEN(H101)-4)/10000</f>
        <v>23.3306</v>
      </c>
      <c r="AA101" s="62">
        <f>ABS(Z101-Y101)</f>
        <v>23.285499999999999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>IF(LEN(A101)=6,"0"&amp;A101,A101)</f>
        <v>0189-01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/stypes="app*4042*20170201*"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189-01 --locoid 4042 --swversion DE.1.0.8.0 --startMP 204:451 --initTime 2017-02-01T14:42:25 --startdatetime 2017-02-01T14:45:23 --delay 1 --endMP 204:233306 --enddatetime 2017-02-01T15:24:49 --enforcementcount 0 &gt;&gt;C:\Users\stu\Documents\GitHub\eaglep3-reporting\EC\2017-02-01-refined-times.txt</v>
      </c>
      <c r="AI10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{"issue":{"subject":"","project_id":79,"tracker_id":40,"status_id":1,"priority_id":2,"assigned_to_id":23,"start_date":"2017-02-01","description":"","custom_fields":[{"id":1,"name":"Subdivision","value":"EC"},{"id":4,"name":"Milepost","value":"23.3306"},{"id":17,"name":"Train ID","value":"189-01"},{"id":16,"name":"Locomotive ID","value":"4042"},{"id":130,"name":"Impact","value":""},{"id":150,"name":"Time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60" t="str">
        <f t="shared" si="8"/>
        <v>start /low /b %USERPROFILE%\Documents\GitHub\eaglep3\Utilities\DownloadLogsFromS3.py --loco 4042 --day 2017-02-01</v>
      </c>
      <c r="AN101" s="16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577</v>
      </c>
      <c r="B102" s="7">
        <v>4041</v>
      </c>
      <c r="C102" s="21" t="s">
        <v>193</v>
      </c>
      <c r="D102" s="21" t="s">
        <v>354</v>
      </c>
      <c r="E102" s="13">
        <v>42767.648217592592</v>
      </c>
      <c r="F102" s="13">
        <v>42767.654097222221</v>
      </c>
      <c r="G102" s="7">
        <v>1</v>
      </c>
      <c r="H102" s="21" t="s">
        <v>297</v>
      </c>
      <c r="I102" s="13">
        <v>42767.682592592595</v>
      </c>
      <c r="J102" s="7">
        <v>0</v>
      </c>
      <c r="K102" s="98" t="str">
        <f>IF(ISEVEN(B102),(B102-1)&amp;"/"&amp;B102,B102&amp;"/"&amp;(B102+1))</f>
        <v>4041/4042</v>
      </c>
      <c r="L102" s="21" t="str">
        <f>VLOOKUP(A102,'Trips&amp;Operators'!$C$1:$G$99999,5,FALSE)</f>
        <v>DAVIS MICHAEL</v>
      </c>
      <c r="M102" s="6">
        <f>I102-F102</f>
        <v>2.849537037400296E-2</v>
      </c>
      <c r="N102" s="7">
        <f>24*60*SUM($M102:$M102)</f>
        <v>41.033333338564262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9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-02-01T14:33:26-0700',mode:absolute,to:'2017-02-01T17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3" t="str">
        <f>IF(AA102&lt;IF(AG102="EC",23,5.65),"Y","N")</f>
        <v>N</v>
      </c>
      <c r="X102" s="193">
        <f>VALUE(LEFT(AD102,4))-VALUE(LEFT(AD101,4))</f>
        <v>1</v>
      </c>
      <c r="Y102" s="62">
        <f>RIGHT(D102,LEN(D102)-4)/10000</f>
        <v>23.299299999999999</v>
      </c>
      <c r="Z102" s="62">
        <f>RIGHT(H102,LEN(H102)-4)/10000</f>
        <v>1.5599999999999999E-2</v>
      </c>
      <c r="AA102" s="62">
        <f>ABS(Z102-Y102)</f>
        <v>23.2837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>IF(LEN(A102)=6,"0"&amp;A102,A102)</f>
        <v>0190-01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/stypes="app*4041*20170201*"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190-01 --locoid 4041 --swversion DE.1.0.8.0 --startMP 204:232993 --initTime 2017-02-01T15:33:26 --startdatetime 2017-02-01T15:41:54 --delay 1 --endMP 204:156 --enddatetime 2017-02-01T16:22:56 --enforcementcount 0 &gt;&gt;C:\Users\stu\Documents\GitHub\eaglep3-reporting\EC\2017-02-01-refined-times.txt</v>
      </c>
      <c r="AI10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{"issue":{"subject":"","project_id":79,"tracker_id":40,"status_id":1,"priority_id":2,"assigned_to_id":23,"start_date":"2017-02-01","description":"","custom_fields":[{"id":1,"name":"Subdivision","value":"EC"},{"id":4,"name":"Milepost","value":"0.0156"},{"id":17,"name":"Train ID","value":"190-01"},{"id":16,"name":"Locomotive ID","value":"4041"},{"id":130,"name":"Impact","value":""},{"id":150,"name":"Time of Event (Mountain Time)","value":"16:22:56"},{"id":151,"name":"Denver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60" t="str">
        <f t="shared" si="8"/>
        <v>start /low /b %USERPROFILE%\Documents\GitHub\eaglep3\Utilities\DownloadLogsFromS3.py --loco 4041 --day 2017-02-01</v>
      </c>
      <c r="AN102" s="16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2017-02-01-UncaughtWiMAX.txt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570</v>
      </c>
      <c r="B103" s="7">
        <v>4046</v>
      </c>
      <c r="C103" s="21" t="s">
        <v>193</v>
      </c>
      <c r="D103" s="21" t="s">
        <v>728</v>
      </c>
      <c r="E103" s="13">
        <v>42767.619525462964</v>
      </c>
      <c r="F103" s="13">
        <v>42767.625173611108</v>
      </c>
      <c r="G103" s="7">
        <v>1</v>
      </c>
      <c r="H103" s="21" t="s">
        <v>729</v>
      </c>
      <c r="I103" s="13">
        <v>42767.650937500002</v>
      </c>
      <c r="J103" s="7">
        <v>0</v>
      </c>
      <c r="K103" s="98" t="str">
        <f>IF(ISEVEN(B103),(B103-1)&amp;"/"&amp;B103,B103&amp;"/"&amp;(B103+1))</f>
        <v>4045/4046</v>
      </c>
      <c r="L103" s="21" t="str">
        <f>VLOOKUP(A103,'Trips&amp;Operators'!$C$1:$G$99999,5,FALSE)</f>
        <v>LEVERE CRAIG</v>
      </c>
      <c r="M103" s="6">
        <f>I103-F103</f>
        <v>2.5763888894289266E-2</v>
      </c>
      <c r="N103" s="7">
        <f>24*60*SUM($M103:$M103)</f>
        <v>37.100000007776543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9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-02-01T13:52:07-0700',mode:absolute,to:'2017-02-01T16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193" t="str">
        <f>IF(AA103&lt;IF(AG103="EC",23,5.65),"Y","N")</f>
        <v>N</v>
      </c>
      <c r="X103" s="193">
        <f>VALUE(LEFT(AD103,4))-VALUE(LEFT(AD102,4))</f>
        <v>1</v>
      </c>
      <c r="Y103" s="62">
        <f>RIGHT(D103,LEN(D103)-4)/10000</f>
        <v>4.7500000000000001E-2</v>
      </c>
      <c r="Z103" s="62">
        <f>RIGHT(H103,LEN(H103)-4)/10000</f>
        <v>23.328399999999998</v>
      </c>
      <c r="AA103" s="62">
        <f>ABS(Z103-Y103)</f>
        <v>23.280899999999999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>IF(LEN(A103)=6,"0"&amp;A103,A103)</f>
        <v>0191-01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/stypes="app*4046*20170201*"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191-01 --locoid 4046 --swversion DE.1.0.8.0 --startMP 204:475 --initTime 2017-02-01T14:52:07 --startdatetime 2017-02-01T15:00:15 --delay 1 --endMP 204:233284 --enddatetime 2017-02-01T15:37:21 --enforcementcount 0 &gt;&gt;C:\Users\stu\Documents\GitHub\eaglep3-reporting\EC\2017-02-01-refined-times.txt</v>
      </c>
      <c r="AI103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{"issue":{"subject":"","project_id":79,"tracker_id":40,"status_id":1,"priority_id":2,"assigned_to_id":23,"start_date":"2017-02-01","description":"","custom_fields":[{"id":1,"name":"Subdivision","value":"EC"},{"id":4,"name":"Milepost","value":"23.3284"},{"id":17,"name":"Train ID","value":"191-01"},{"id":16,"name":"Locomotive ID","value":"4046"},{"id":130,"name":"Impact","value":""},{"id":150,"name":"Time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60" t="str">
        <f t="shared" si="8"/>
        <v>start /low /b %USERPROFILE%\Documents\GitHub\eaglep3\Utilities\DownloadLogsFromS3.py --loco 4046 --day 2017-02-01</v>
      </c>
      <c r="AN103" s="16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"%USERPROFILE%\AppData\Local\Temp\OnboardLogs"\RTDC4046\*4046*20170201* | grep -SE "(Enforcement Action)|(\[TIMEOUT)|(CHR.+\|PRM\|1\|D.+(SWITCH|SIGNAL).+UNKNOWN)" - &gt;&gt; 2017-02-01-UncaughtWiMAX.txt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580</v>
      </c>
      <c r="B104" s="7">
        <v>4045</v>
      </c>
      <c r="C104" s="21" t="s">
        <v>193</v>
      </c>
      <c r="D104" s="21" t="s">
        <v>291</v>
      </c>
      <c r="E104" s="13">
        <v>42767.658541666664</v>
      </c>
      <c r="F104" s="13">
        <v>42767.664120370369</v>
      </c>
      <c r="G104" s="7">
        <v>1</v>
      </c>
      <c r="H104" s="21" t="s">
        <v>380</v>
      </c>
      <c r="I104" s="13">
        <v>42767.69259259259</v>
      </c>
      <c r="J104" s="7">
        <v>0</v>
      </c>
      <c r="K104" s="98" t="str">
        <f>IF(ISEVEN(B104),(B104-1)&amp;"/"&amp;B104,B104&amp;"/"&amp;(B104+1))</f>
        <v>4045/4046</v>
      </c>
      <c r="L104" s="21" t="str">
        <f>VLOOKUP(A104,'Trips&amp;Operators'!$C$1:$G$99999,5,FALSE)</f>
        <v>LEVERE CRAIG</v>
      </c>
      <c r="M104" s="6">
        <f>I104-F104</f>
        <v>2.8472222220443655E-2</v>
      </c>
      <c r="N104" s="7">
        <f>24*60*SUM($M104:$M104)</f>
        <v>40.999999997438863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9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-02-01T14:48:18-0700',mode:absolute,to:'2017-02-01T17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193" t="str">
        <f>IF(AA104&lt;IF(AG104="EC",23,5.65),"Y","N")</f>
        <v>N</v>
      </c>
      <c r="X104" s="193">
        <f>VALUE(LEFT(AD104,4))-VALUE(LEFT(AD103,4))</f>
        <v>1</v>
      </c>
      <c r="Y104" s="62">
        <f>RIGHT(D104,LEN(D104)-4)/10000</f>
        <v>23.298200000000001</v>
      </c>
      <c r="Z104" s="62">
        <f>RIGHT(H104,LEN(H104)-4)/10000</f>
        <v>1.38E-2</v>
      </c>
      <c r="AA104" s="62">
        <f>ABS(Z104-Y104)</f>
        <v>23.284400000000002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>IF(LEN(A104)=6,"0"&amp;A104,A104)</f>
        <v>0192-01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/stypes="app*4045*20170201*"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192-01 --locoid 4045 --swversion DE.1.0.8.0 --startMP 204:232982 --initTime 2017-02-01T15:48:18 --startdatetime 2017-02-01T15:56:20 --delay 1 --endMP 204:138 --enddatetime 2017-02-01T16:37:20 --enforcementcount 0 &gt;&gt;C:\Users\stu\Documents\GitHub\eaglep3-reporting\EC\2017-02-01-refined-times.txt</v>
      </c>
      <c r="AI10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{"issue":{"subject":"","project_id":79,"tracker_id":40,"status_id":1,"priority_id":2,"assigned_to_id":23,"start_date":"2017-02-01","description":"","custom_fields":[{"id":1,"name":"Subdivision","value":"EC"},{"id":4,"name":"Milepost","value":"0.0138"},{"id":17,"name":"Train ID","value":"192-01"},{"id":16,"name":"Locomotive ID","value":"4045"},{"id":130,"name":"Impact","value":""},{"id":150,"name":"Time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60" t="str">
        <f t="shared" si="8"/>
        <v>start /low /b %USERPROFILE%\Documents\GitHub\eaglep3\Utilities\DownloadLogsFromS3.py --loco 4045 --day 2017-02-01</v>
      </c>
      <c r="AN104" s="16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573</v>
      </c>
      <c r="B105" s="7">
        <v>4011</v>
      </c>
      <c r="C105" s="21" t="s">
        <v>193</v>
      </c>
      <c r="D105" s="21" t="s">
        <v>300</v>
      </c>
      <c r="E105" s="13">
        <v>42767.632453703707</v>
      </c>
      <c r="F105" s="13">
        <v>42767.635914351849</v>
      </c>
      <c r="G105" s="7">
        <v>1</v>
      </c>
      <c r="H105" s="21" t="s">
        <v>712</v>
      </c>
      <c r="I105" s="13">
        <v>42767.660520833335</v>
      </c>
      <c r="J105" s="7">
        <v>0</v>
      </c>
      <c r="K105" s="98" t="str">
        <f>IF(ISEVEN(B105),(B105-1)&amp;"/"&amp;B105,B105&amp;"/"&amp;(B105+1))</f>
        <v>4011/4012</v>
      </c>
      <c r="L105" s="21" t="str">
        <f>VLOOKUP(A105,'Trips&amp;Operators'!$C$1:$G$99999,5,FALSE)</f>
        <v>HELVIE ADAM</v>
      </c>
      <c r="M105" s="6">
        <f>I105-F105</f>
        <v>2.4606481485534459E-2</v>
      </c>
      <c r="N105" s="7">
        <f>24*60*SUM($M105:$M105)</f>
        <v>35.433333339169621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9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-02-01T14:10:44-0700',mode:absolute,to:'2017-02-01T16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93" t="str">
        <f>IF(AA105&lt;IF(AG105="EC",23,5.65),"Y","N")</f>
        <v>N</v>
      </c>
      <c r="X105" s="193">
        <f>VALUE(LEFT(AD105,4))-VALUE(LEFT(AD104,4))</f>
        <v>1</v>
      </c>
      <c r="Y105" s="62">
        <f>RIGHT(D105,LEN(D105)-4)/10000</f>
        <v>4.5499999999999999E-2</v>
      </c>
      <c r="Z105" s="62">
        <f>RIGHT(H105,LEN(H105)-4)/10000</f>
        <v>23.328700000000001</v>
      </c>
      <c r="AA105" s="62">
        <f>ABS(Z105-Y105)</f>
        <v>23.283200000000001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>IF(LEN(A105)=6,"0"&amp;A105,A105)</f>
        <v>0193-01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/stypes="app*4011*20170201*"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193-01 --locoid 4011 --swversion DE.1.0.8.0 --startMP 204:455 --initTime 2017-02-01T15:10:44 --startdatetime 2017-02-01T15:15:43 --delay 1 --endMP 204:233287 --enddatetime 2017-02-01T15:51:09 --enforcementcount 0 &gt;&gt;C:\Users\stu\Documents\GitHub\eaglep3-reporting\EC\2017-02-01-refined-times.txt</v>
      </c>
      <c r="AI10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{"issue":{"subject":"","project_id":79,"tracker_id":40,"status_id":1,"priority_id":2,"assigned_to_id":23,"start_date":"2017-02-01","description":"","custom_fields":[{"id":1,"name":"Subdivision","value":"EC"},{"id":4,"name":"Milepost","value":"23.3287"},{"id":17,"name":"Train ID","value":"193-01"},{"id":16,"name":"Locomotive ID","value":"4011"},{"id":130,"name":"Impact","value":""},{"id":150,"name":"Time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60" t="str">
        <f t="shared" si="8"/>
        <v>start /low /b %USERPROFILE%\Documents\GitHub\eaglep3\Utilities\DownloadLogsFromS3.py --loco 4011 --day 2017-02-01</v>
      </c>
      <c r="AN105" s="16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"%USERPROFILE%\AppData\Local\Temp\OnboardLogs"\RTDC4011\*4011*20170201* | grep -SE "(Enforcement Action)|(\[TIMEOUT)|(CHR.+\|PRM\|1\|D.+(SWITCH|SIGNAL).+UNKNOWN)" - &gt;&gt; 2017-02-01-UncaughtWiMAX.txt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582</v>
      </c>
      <c r="B106" s="7">
        <v>4012</v>
      </c>
      <c r="C106" s="21" t="s">
        <v>193</v>
      </c>
      <c r="D106" s="21" t="s">
        <v>730</v>
      </c>
      <c r="E106" s="13">
        <v>42767.671990740739</v>
      </c>
      <c r="F106" s="13">
        <v>42767.674525462964</v>
      </c>
      <c r="G106" s="7">
        <v>4</v>
      </c>
      <c r="H106" s="21" t="s">
        <v>297</v>
      </c>
      <c r="I106" s="13">
        <v>42767.700462962966</v>
      </c>
      <c r="J106" s="7">
        <v>0</v>
      </c>
      <c r="K106" s="98" t="str">
        <f>IF(ISEVEN(B106),(B106-1)&amp;"/"&amp;B106,B106&amp;"/"&amp;(B106+1))</f>
        <v>4011/4012</v>
      </c>
      <c r="L106" s="21" t="str">
        <f>VLOOKUP(A106,'Trips&amp;Operators'!$C$1:$G$99999,5,FALSE)</f>
        <v>HELVIE ADAM</v>
      </c>
      <c r="M106" s="6">
        <f>I106-F106</f>
        <v>2.5937500002328306E-2</v>
      </c>
      <c r="N106" s="7">
        <f>24*60*SUM($M106:$M106)</f>
        <v>37.350000003352761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9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-02-01T15:07:40-0700',mode:absolute,to:'2017-02-01T17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193" t="str">
        <f>IF(AA106&lt;IF(AG106="EC",23,5.65),"Y","N")</f>
        <v>N</v>
      </c>
      <c r="X106" s="193">
        <f t="shared" ref="X106:X112" si="9">VALUE(LEFT(AD106,4))-VALUE(LEFT(AD105,4))</f>
        <v>1</v>
      </c>
      <c r="Y106" s="62">
        <f>RIGHT(D106,LEN(D106)-4)/10000</f>
        <v>23.209599999999998</v>
      </c>
      <c r="Z106" s="62">
        <f>RIGHT(H106,LEN(H106)-4)/10000</f>
        <v>1.5599999999999999E-2</v>
      </c>
      <c r="AA106" s="62">
        <f>ABS(Z106-Y106)</f>
        <v>23.193999999999999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>IF(LEN(A106)=6,"0"&amp;A106,A106)</f>
        <v>0194-01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/stypes="app*4012*20170201*"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194-01 --locoid 4012 --swversion DE.1.0.8.0 --startMP 204:232096 --initTime 2017-02-01T16:07:40 --startdatetime 2017-02-01T16:11:19 --delay 4 --endMP 204:156 --enddatetime 2017-02-01T16:48:40 --enforcementcount 0 &gt;&gt;C:\Users\stu\Documents\GitHub\eaglep3-reporting\EC\2017-02-01-refined-times.txt</v>
      </c>
      <c r="AI10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{"issue":{"subject":"","project_id":79,"tracker_id":40,"status_id":1,"priority_id":2,"assigned_to_id":23,"start_date":"2017-02-01","description":"","custom_fields":[{"id":1,"name":"Subdivision","value":"EC"},{"id":4,"name":"Milepost","value":"0.0156"},{"id":17,"name":"Train ID","value":"194-01"},{"id":16,"name":"Locomotive ID","value":"4012"},{"id":130,"name":"Impact","value":""},{"id":150,"name":"Time of Event (Mountain Time)","value":"16:48:40"},{"id":151,"name":"Denver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60" t="str">
        <f t="shared" si="8"/>
        <v>start /low /b %USERPROFILE%\Documents\GitHub\eaglep3\Utilities\DownloadLogsFromS3.py --loco 4012 --day 2017-02-01</v>
      </c>
      <c r="AN106" s="16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576</v>
      </c>
      <c r="B107" s="7">
        <v>4029</v>
      </c>
      <c r="C107" s="21" t="s">
        <v>193</v>
      </c>
      <c r="D107" s="21" t="s">
        <v>211</v>
      </c>
      <c r="E107" s="13">
        <v>42767.640925925924</v>
      </c>
      <c r="F107" s="13">
        <v>42767.646215277775</v>
      </c>
      <c r="G107" s="7">
        <v>1</v>
      </c>
      <c r="H107" s="21" t="s">
        <v>356</v>
      </c>
      <c r="I107" s="13">
        <v>42767.671527777777</v>
      </c>
      <c r="J107" s="7">
        <v>0</v>
      </c>
      <c r="K107" s="98" t="str">
        <f>IF(ISEVEN(B107),(B107-1)&amp;"/"&amp;B107,B107&amp;"/"&amp;(B107+1))</f>
        <v>4029/4030</v>
      </c>
      <c r="L107" s="21" t="str">
        <f>VLOOKUP(A107,'Trips&amp;Operators'!$C$1:$G$99999,5,FALSE)</f>
        <v>CRAYTON QUNTRELL</v>
      </c>
      <c r="M107" s="6">
        <f>I107-F107</f>
        <v>2.531250000174623E-2</v>
      </c>
      <c r="N107" s="7">
        <f>24*60*SUM($M107:$M107)</f>
        <v>36.450000002514571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9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-02-01T14:22:56-0700',mode:absolute,to:'2017-02-01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193" t="str">
        <f>IF(AA107&lt;IF(AG107="EC",23,5.65),"Y","N")</f>
        <v>N</v>
      </c>
      <c r="X107" s="193">
        <f t="shared" si="9"/>
        <v>1</v>
      </c>
      <c r="Y107" s="62">
        <f>RIGHT(D107,LEN(D107)-4)/10000</f>
        <v>4.6199999999999998E-2</v>
      </c>
      <c r="Z107" s="62">
        <f>RIGHT(H107,LEN(H107)-4)/10000</f>
        <v>23.3291</v>
      </c>
      <c r="AA107" s="62">
        <f>ABS(Z107-Y107)</f>
        <v>23.282900000000001</v>
      </c>
      <c r="AB107" s="59" t="e">
        <f>VLOOKUP(A107,Enforcements!$C$7:$K$16,8,0)</f>
        <v>#N/A</v>
      </c>
      <c r="AC107" s="55" t="e">
        <f>VLOOKUP(A107,Enforcements!$C$7:$E$16,3,0)</f>
        <v>#N/A</v>
      </c>
      <c r="AD107" s="56" t="str">
        <f>IF(LEN(A107)=6,"0"&amp;A107,A107)</f>
        <v>0195-01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/stypes="app*4029*20170201*"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195-01 --locoid 4029 --swversion DE.1.0.8.0 --startMP 204:462 --initTime 2017-02-01T15:22:56 --startdatetime 2017-02-01T15:30:33 --delay 1 --endMP 204:233291 --enddatetime 2017-02-01T16:07:00 --enforcementcount 0 &gt;&gt;C:\Users\stu\Documents\GitHub\eaglep3-reporting\EC\2017-02-01-refined-times.txt</v>
      </c>
      <c r="AI10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{"issue":{"subject":"","project_id":79,"tracker_id":40,"status_id":1,"priority_id":2,"assigned_to_id":23,"start_date":"2017-02-01","description":"","custom_fields":[{"id":1,"name":"Subdivision","value":"EC"},{"id":4,"name":"Milepost","value":"23.3291"},{"id":17,"name":"Train ID","value":"195-01"},{"id":16,"name":"Locomotive ID","value":"4029"},{"id":130,"name":"Impact","value":""},{"id":150,"name":"Time of Event (Mountain Time)","value":"16:07:00"},{"id":151,"name":"Denver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60" t="str">
        <f t="shared" si="8"/>
        <v>start /low /b %USERPROFILE%\Documents\GitHub\eaglep3\Utilities\DownloadLogsFromS3.py --loco 4029 --day 2017-02-01</v>
      </c>
      <c r="AN107" s="16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"%USERPROFILE%\AppData\Local\Temp\OnboardLogs"\RTDC4029\*4029*20170201* | grep -SE "(Enforcement Action)|(\[TIMEOUT)|(CHR.+\|PRM\|1\|D.+(SWITCH|SIGNAL).+UNKNOWN)" - &gt;&gt; 2017-02-01-UncaughtWiMAX.txt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586</v>
      </c>
      <c r="B108" s="7">
        <v>4030</v>
      </c>
      <c r="C108" s="21" t="s">
        <v>193</v>
      </c>
      <c r="D108" s="21" t="s">
        <v>681</v>
      </c>
      <c r="E108" s="13">
        <v>42767.679050925923</v>
      </c>
      <c r="F108" s="13">
        <v>42767.684907407405</v>
      </c>
      <c r="G108" s="7">
        <v>1</v>
      </c>
      <c r="H108" s="21" t="s">
        <v>394</v>
      </c>
      <c r="I108" s="13">
        <v>42767.711886574078</v>
      </c>
      <c r="J108" s="7">
        <v>0</v>
      </c>
      <c r="K108" s="98" t="str">
        <f>IF(ISEVEN(B108),(B108-1)&amp;"/"&amp;B108,B108&amp;"/"&amp;(B108+1))</f>
        <v>4029/4030</v>
      </c>
      <c r="L108" s="21" t="str">
        <f>VLOOKUP(A108,'Trips&amp;Operators'!$C$1:$G$99999,5,FALSE)</f>
        <v>CRAYTON QUNTRELL</v>
      </c>
      <c r="M108" s="6">
        <f>I108-F108</f>
        <v>2.697916667239042E-2</v>
      </c>
      <c r="N108" s="7">
        <f>24*60*SUM($M108:$M108)</f>
        <v>38.850000008242205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9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-02-01T15:17:50-0700',mode:absolute,to:'2017-02-01T18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8" s="193" t="str">
        <f>IF(AA108&lt;IF(AG108="EC",23,5.65),"Y","N")</f>
        <v>N</v>
      </c>
      <c r="X108" s="193">
        <f t="shared" si="9"/>
        <v>1</v>
      </c>
      <c r="Y108" s="62">
        <f>RIGHT(D108,LEN(D108)-4)/10000</f>
        <v>23.296299999999999</v>
      </c>
      <c r="Z108" s="62">
        <f>RIGHT(H108,LEN(H108)-4)/10000</f>
        <v>1.78E-2</v>
      </c>
      <c r="AA108" s="62">
        <f>ABS(Z108-Y108)</f>
        <v>23.278499999999998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>IF(LEN(A108)=6,"0"&amp;A108,A108)</f>
        <v>0196-01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/stypes="app*4030*20170202*" /stext=" 00:.+((SYSTEM_STATE.+slice.+state.+changed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196-01 --locoid 4030 --swversion DE.1.0.8.0 --startMP 204:232963 --initTime 2017-02-01T16:17:50 --startdatetime 2017-02-01T16:26:16 --delay 1 --endMP 204:178 --enddatetime 2017-02-01T17:05:07 --enforcementcount 0 &gt;&gt;C:\Users\stu\Documents\GitHub\eaglep3-reporting\EC\2017-02-01-refined-times.txt</v>
      </c>
      <c r="AI10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{"issue":{"subject":"","project_id":79,"tracker_id":40,"status_id":1,"priority_id":2,"assigned_to_id":23,"start_date":"2017-02-01","description":"","custom_fields":[{"id":1,"name":"Subdivision","value":"EC"},{"id":4,"name":"Milepost","value":"0.0178"},{"id":17,"name":"Train ID","value":"196-01"},{"id":16,"name":"Locomotive ID","value":"4030"},{"id":130,"name":"Impact","value":""},{"id":150,"name":"Time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60" t="str">
        <f t="shared" si="8"/>
        <v>start /low /b %USERPROFILE%\Documents\GitHub\eaglep3\Utilities\DownloadLogsFromS3.py --loco 4030 --day 2017-02-01</v>
      </c>
      <c r="AN108" s="16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"%USERPROFILE%\AppData\Local\Temp\OnboardLogs"\RTDC4030\*4030*20170201* | grep -SE "(Enforcement Action)|(\[TIMEOUT)|(CHR.+\|PRM\|1\|D.+(SWITCH|SIGNAL).+UNKNOWN)" - &gt;&gt; 2017-02-01-UncaughtWiMAX.txt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578</v>
      </c>
      <c r="B109" s="7">
        <v>4016</v>
      </c>
      <c r="C109" s="21" t="s">
        <v>193</v>
      </c>
      <c r="D109" s="21" t="s">
        <v>300</v>
      </c>
      <c r="E109" s="13">
        <v>42767.65115740741</v>
      </c>
      <c r="F109" s="13">
        <v>42767.656770833331</v>
      </c>
      <c r="G109" s="7">
        <v>1</v>
      </c>
      <c r="H109" s="21" t="s">
        <v>404</v>
      </c>
      <c r="I109" s="13">
        <v>42767.681400462963</v>
      </c>
      <c r="J109" s="7">
        <v>0</v>
      </c>
      <c r="K109" s="98" t="str">
        <f>IF(ISEVEN(B109),(B109-1)&amp;"/"&amp;B109,B109&amp;"/"&amp;(B109+1))</f>
        <v>4015/4016</v>
      </c>
      <c r="L109" s="21" t="str">
        <f>VLOOKUP(A109,'Trips&amp;Operators'!$C$1:$G$99999,5,FALSE)</f>
        <v>LEVIN SCOTT</v>
      </c>
      <c r="M109" s="6">
        <f>I109-F109</f>
        <v>2.4629629631817807E-2</v>
      </c>
      <c r="N109" s="7">
        <f>24*60*SUM($M109:$M109)</f>
        <v>35.466666669817641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9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-01T14:37:40-0700',mode:absolute,to:'2017-02-01T17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193" t="str">
        <f>IF(AA109&lt;IF(AG109="EC",23,5.65),"Y","N")</f>
        <v>N</v>
      </c>
      <c r="X109" s="193">
        <f t="shared" si="9"/>
        <v>1</v>
      </c>
      <c r="Y109" s="62">
        <f>RIGHT(D109,LEN(D109)-4)/10000</f>
        <v>4.5499999999999999E-2</v>
      </c>
      <c r="Z109" s="62">
        <f>RIGHT(H109,LEN(H109)-4)/10000</f>
        <v>23.336099999999998</v>
      </c>
      <c r="AA109" s="62">
        <f>ABS(Z109-Y109)</f>
        <v>23.290599999999998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>IF(LEN(A109)=6,"0"&amp;A109,A109)</f>
        <v>0197-01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/stypes="app*4016*20170201*"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197-01 --locoid 4016 --swversion DE.1.0.8.0 --startMP 204:455 --initTime 2017-02-01T15:37:40 --startdatetime 2017-02-01T15:45:45 --delay 1 --endMP 204:233361 --enddatetime 2017-02-01T16:21:13 --enforcementcount 0 &gt;&gt;C:\Users\stu\Documents\GitHub\eaglep3-reporting\EC\2017-02-01-refined-times.txt</v>
      </c>
      <c r="AI10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{"issue":{"subject":"","project_id":79,"tracker_id":40,"status_id":1,"priority_id":2,"assigned_to_id":23,"start_date":"2017-02-01","description":"","custom_fields":[{"id":1,"name":"Subdivision","value":"EC"},{"id":4,"name":"Milepost","value":"23.3361"},{"id":17,"name":"Train ID","value":"197-01"},{"id":16,"name":"Locomotive ID","value":"4016"},{"id":130,"name":"Impact","value":""},{"id":150,"name":"Time of Event (Mountain Time)","value":"16:21:13"},{"id":151,"name":"Denver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60" t="str">
        <f t="shared" si="8"/>
        <v>start /low /b %USERPROFILE%\Documents\GitHub\eaglep3\Utilities\DownloadLogsFromS3.py --loco 4016 --day 2017-02-01</v>
      </c>
      <c r="AN109" s="16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"%USERPROFILE%\AppData\Local\Temp\OnboardLogs"\RTDC4016\*4016*20170201* | grep -SE "(Enforcement Action)|(\[TIMEOUT)|(CHR.+\|PRM\|1\|D.+(SWITCH|SIGNAL).+UNKNOWN)" - &gt;&gt; 2017-02-01-UncaughtWiMAX.txt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589</v>
      </c>
      <c r="B110" s="7">
        <v>4015</v>
      </c>
      <c r="C110" s="21" t="s">
        <v>193</v>
      </c>
      <c r="D110" s="21" t="s">
        <v>731</v>
      </c>
      <c r="E110" s="13">
        <v>42767.690659722219</v>
      </c>
      <c r="F110" s="13">
        <v>42767.695347222223</v>
      </c>
      <c r="G110" s="7">
        <v>1</v>
      </c>
      <c r="H110" s="21" t="s">
        <v>208</v>
      </c>
      <c r="I110" s="13">
        <v>42767.722407407404</v>
      </c>
      <c r="J110" s="7">
        <v>0</v>
      </c>
      <c r="K110" s="98" t="str">
        <f>IF(ISEVEN(B110),(B110-1)&amp;"/"&amp;B110,B110&amp;"/"&amp;(B110+1))</f>
        <v>4015/4016</v>
      </c>
      <c r="L110" s="21" t="str">
        <f>VLOOKUP(A110,'Trips&amp;Operators'!$C$1:$G$99999,5,FALSE)</f>
        <v>LEVIN SCOTT</v>
      </c>
      <c r="M110" s="6">
        <f>I110-F110</f>
        <v>2.7060185180744156E-2</v>
      </c>
      <c r="N110" s="7">
        <f>24*60*SUM($M110:$M110)</f>
        <v>38.966666660271585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9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-02-01T15:34:33-0700',mode:absolute,to:'2017-02-01T18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193" t="str">
        <f>IF(AA110&lt;IF(AG110="EC",23,5.65),"Y","N")</f>
        <v>N</v>
      </c>
      <c r="X110" s="193">
        <f t="shared" si="9"/>
        <v>1</v>
      </c>
      <c r="Y110" s="62">
        <f>RIGHT(D110,LEN(D110)-4)/10000</f>
        <v>23.304500000000001</v>
      </c>
      <c r="Z110" s="62">
        <f>RIGHT(H110,LEN(H110)-4)/10000</f>
        <v>1.47E-2</v>
      </c>
      <c r="AA110" s="62">
        <f>ABS(Z110-Y110)</f>
        <v>23.2898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>IF(LEN(A110)=6,"0"&amp;A110,A110)</f>
        <v>0198-01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/stypes="app*4015*20170202*"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198-01 --locoid 4015 --swversion DE.1.0.8.0 --startMP 204:233045 --initTime 2017-02-01T16:34:33 --startdatetime 2017-02-01T16:41:18 --delay 1 --endMP 204:147 --enddatetime 2017-02-01T17:20:16 --enforcementcount 0 &gt;&gt;C:\Users\stu\Documents\GitHub\eaglep3-reporting\EC\2017-02-01-refined-times.txt</v>
      </c>
      <c r="AI11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{"issue":{"subject":"","project_id":79,"tracker_id":40,"status_id":1,"priority_id":2,"assigned_to_id":23,"start_date":"2017-02-01","description":"","custom_fields":[{"id":1,"name":"Subdivision","value":"EC"},{"id":4,"name":"Milepost","value":"0.0147"},{"id":17,"name":"Train ID","value":"198-01"},{"id":16,"name":"Locomotive ID","value":"4015"},{"id":130,"name":"Impact","value":""},{"id":150,"name":"Time of Event (Mountain Time)","value":"17:20:16"},{"id":151,"name":"Denver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60" t="str">
        <f t="shared" si="8"/>
        <v>start /low /b %USERPROFILE%\Documents\GitHub\eaglep3\Utilities\DownloadLogsFromS3.py --loco 4015 --day 2017-02-01</v>
      </c>
      <c r="AN110" s="16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581</v>
      </c>
      <c r="B111" s="7">
        <v>4038</v>
      </c>
      <c r="C111" s="21" t="s">
        <v>193</v>
      </c>
      <c r="D111" s="21" t="s">
        <v>300</v>
      </c>
      <c r="E111" s="13">
        <v>42767.66238425926</v>
      </c>
      <c r="F111" s="13">
        <v>42767.666817129626</v>
      </c>
      <c r="G111" s="7">
        <v>1</v>
      </c>
      <c r="H111" s="21" t="s">
        <v>732</v>
      </c>
      <c r="I111" s="13">
        <v>42767.692372685182</v>
      </c>
      <c r="J111" s="7">
        <v>0</v>
      </c>
      <c r="K111" s="98" t="str">
        <f>IF(ISEVEN(B111),(B111-1)&amp;"/"&amp;B111,B111&amp;"/"&amp;(B111+1))</f>
        <v>4037/4038</v>
      </c>
      <c r="L111" s="21" t="str">
        <f>VLOOKUP(A111,'Trips&amp;Operators'!$C$1:$G$99999,5,FALSE)</f>
        <v>BRANNON JEFFREY</v>
      </c>
      <c r="M111" s="6">
        <f>I111-F111</f>
        <v>2.5555555555911269E-2</v>
      </c>
      <c r="N111" s="7">
        <f>24*60*SUM($M111:$M111)</f>
        <v>36.800000000512227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9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-02-01T14:53:50-0700',mode:absolute,to:'2017-02-01T17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1" s="193" t="str">
        <f>IF(AA111&lt;IF(AG111="EC",23,5.65),"Y","N")</f>
        <v>N</v>
      </c>
      <c r="X111" s="193">
        <f t="shared" si="9"/>
        <v>1</v>
      </c>
      <c r="Y111" s="62">
        <f>RIGHT(D111,LEN(D111)-4)/10000</f>
        <v>4.5499999999999999E-2</v>
      </c>
      <c r="Z111" s="62">
        <f>RIGHT(H111,LEN(H111)-4)/10000</f>
        <v>23.3322</v>
      </c>
      <c r="AA111" s="62">
        <f>ABS(Z111-Y111)</f>
        <v>23.2867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>IF(LEN(A111)=6,"0"&amp;A111,A111)</f>
        <v>0199-01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/stypes="app*4038*20170201*"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199-01 --locoid 4038 --swversion DE.1.0.8.0 --startMP 204:455 --initTime 2017-02-01T15:53:50 --startdatetime 2017-02-01T16:00:13 --delay 1 --endMP 204:233322 --enddatetime 2017-02-01T16:37:01 --enforcementcount 0 &gt;&gt;C:\Users\stu\Documents\GitHub\eaglep3-reporting\EC\2017-02-01-refined-times.txt</v>
      </c>
      <c r="AI11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{"issue":{"subject":"","project_id":79,"tracker_id":40,"status_id":1,"priority_id":2,"assigned_to_id":23,"start_date":"2017-02-01","description":"","custom_fields":[{"id":1,"name":"Subdivision","value":"EC"},{"id":4,"name":"Milepost","value":"23.3322"},{"id":17,"name":"Train ID","value":"199-01"},{"id":16,"name":"Locomotive ID","value":"4038"},{"id":130,"name":"Impact","value":""},{"id":150,"name":"Time of Event (Mountain Time)","value":"16:37:01"},{"id":151,"name":"Denver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60" t="str">
        <f t="shared" si="8"/>
        <v>start /low /b %USERPROFILE%\Documents\GitHub\eaglep3\Utilities\DownloadLogsFromS3.py --loco 4038 --day 2017-02-01</v>
      </c>
      <c r="AN111" s="16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2017-02-01-UncaughtWiMAX.txt</v>
      </c>
    </row>
    <row r="112" spans="1:91" s="20" customFormat="1" x14ac:dyDescent="0.25">
      <c r="A112" s="33" t="s">
        <v>591</v>
      </c>
      <c r="B112" s="7">
        <v>4037</v>
      </c>
      <c r="C112" s="21" t="s">
        <v>193</v>
      </c>
      <c r="D112" s="21" t="s">
        <v>378</v>
      </c>
      <c r="E112" s="13">
        <v>42767.69358796296</v>
      </c>
      <c r="F112" s="13">
        <v>42767.705740740741</v>
      </c>
      <c r="G112" s="7">
        <v>1</v>
      </c>
      <c r="H112" s="21" t="s">
        <v>241</v>
      </c>
      <c r="I112" s="13">
        <v>42767.734375</v>
      </c>
      <c r="J112" s="7">
        <v>0</v>
      </c>
      <c r="K112" s="98" t="str">
        <f>IF(ISEVEN(B112),(B112-1)&amp;"/"&amp;B112,B112&amp;"/"&amp;(B112+1))</f>
        <v>4037/4038</v>
      </c>
      <c r="L112" s="21" t="str">
        <f>VLOOKUP(A112,'Trips&amp;Operators'!$C$1:$G$99999,5,FALSE)</f>
        <v>BRANNON JEFFREY</v>
      </c>
      <c r="M112" s="6">
        <f>I112-F112</f>
        <v>2.8634259258979E-2</v>
      </c>
      <c r="N112" s="7">
        <f>24*60*SUM($M112:$M112)</f>
        <v>41.23333333292976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9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-02-01T15:38:46-0700',mode:absolute,to:'2017-02-01T18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2" s="193" t="str">
        <f>IF(AA112&lt;IF(AG112="EC",23,5.65),"Y","N")</f>
        <v>N</v>
      </c>
      <c r="X112" s="193">
        <f t="shared" si="9"/>
        <v>1</v>
      </c>
      <c r="Y112" s="62">
        <f>RIGHT(D112,LEN(D112)-4)/10000</f>
        <v>23.297699999999999</v>
      </c>
      <c r="Z112" s="62">
        <f>RIGHT(H112,LEN(H112)-4)/10000</f>
        <v>1.43E-2</v>
      </c>
      <c r="AA112" s="62">
        <f>ABS(Z112-Y112)</f>
        <v>23.2834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>IF(LEN(A112)=6,"0"&amp;A112,A112)</f>
        <v>0200-01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/stypes="app*4037*20170202*"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200-01 --locoid 4037 --swversion DE.1.0.8.0 --startMP 204:232977 --initTime 2017-02-01T16:38:46 --startdatetime 2017-02-01T16:56:16 --delay 1 --endMP 204:143 --enddatetime 2017-02-01T17:37:30 --enforcementcount 0 &gt;&gt;C:\Users\stu\Documents\GitHub\eaglep3-reporting\EC\2017-02-01-refined-times.txt</v>
      </c>
      <c r="AI11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ID","value":"200-01"},{"id":16,"name":"Locomotive ID","value":"4037"},{"id":130,"name":"Impact","value":""},{"id":150,"name":"Time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60" t="str">
        <f t="shared" si="8"/>
        <v>start /low /b %USERPROFILE%\Documents\GitHub\eaglep3\Utilities\DownloadLogsFromS3.py --loco 4037 --day 2017-02-01</v>
      </c>
      <c r="AN112" s="16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"%USERPROFILE%\AppData\Local\Temp\OnboardLogs"\RTDC4037\*4037*20170202* | grep -SE "(Enforcement Action)|(\[TIMEOUT)|(CHR.+\|PRM\|1\|D.+(SWITCH|SIGNAL).+UNKNOWN)" - &gt;&gt; 2017-02-01-UncaughtWiMAX.txt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583</v>
      </c>
      <c r="B113" s="7">
        <v>4051</v>
      </c>
      <c r="C113" s="21" t="s">
        <v>193</v>
      </c>
      <c r="D113" s="21" t="s">
        <v>733</v>
      </c>
      <c r="E113" s="13">
        <v>42767.672025462962</v>
      </c>
      <c r="F113" s="13">
        <v>42767.677233796298</v>
      </c>
      <c r="G113" s="7">
        <v>1</v>
      </c>
      <c r="H113" s="21" t="s">
        <v>356</v>
      </c>
      <c r="I113" s="13">
        <v>42767.703773148147</v>
      </c>
      <c r="J113" s="7">
        <v>0</v>
      </c>
      <c r="K113" s="98" t="str">
        <f>IF(ISEVEN(B113),(B113-1)&amp;"/"&amp;B113,B113&amp;"/"&amp;(B113+1))</f>
        <v>4051/4052</v>
      </c>
      <c r="L113" s="21" t="str">
        <f>VLOOKUP(A113,'Trips&amp;Operators'!$C$1:$G$99999,5,FALSE)</f>
        <v>CLARK KATHLEEN</v>
      </c>
      <c r="M113" s="6">
        <f>I113-F113</f>
        <v>2.6539351849351078E-2</v>
      </c>
      <c r="N113" s="7">
        <f>24*60*SUM($M113:$M113)</f>
        <v>38.216666663065553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9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-02-01T15:07:43-0700',mode:absolute,to:'2017-02-01T17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193" t="str">
        <f>IF(AA113&lt;IF(AG113="EC",23,5.65),"Y","N")</f>
        <v>N</v>
      </c>
      <c r="X113" s="193">
        <f>VALUE(LEFT(AD113,4))-VALUE(LEFT(AD112,4))</f>
        <v>1</v>
      </c>
      <c r="Y113" s="62">
        <f>RIGHT(D113,LEN(D113)-4)/10000</f>
        <v>4.8399999999999999E-2</v>
      </c>
      <c r="Z113" s="62">
        <f>RIGHT(H113,LEN(H113)-4)/10000</f>
        <v>23.3291</v>
      </c>
      <c r="AA113" s="62">
        <f>ABS(Z113-Y113)</f>
        <v>23.2807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>IF(LEN(A113)=6,"0"&amp;A113,A113)</f>
        <v>0201-01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/stypes="app*4051*20170201*"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201-01 --locoid 4051 --swversion DE.1.0.8.0 --startMP 204:484 --initTime 2017-02-01T16:07:43 --startdatetime 2017-02-01T16:15:13 --delay 1 --endMP 204:233291 --enddatetime 2017-02-01T16:53:26 --enforcementcount 0 &gt;&gt;C:\Users\stu\Documents\GitHub\eaglep3-reporting\EC\2017-02-01-refined-times.txt</v>
      </c>
      <c r="AI113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{"issue":{"subject":"","project_id":79,"tracker_id":40,"status_id":1,"priority_id":2,"assigned_to_id":23,"start_date":"2017-02-01","description":"","custom_fields":[{"id":1,"name":"Subdivision","value":"EC"},{"id":4,"name":"Milepost","value":"23.3291"},{"id":17,"name":"Train ID","value":"201-01"},{"id":16,"name":"Locomotive ID","value":"4051"},{"id":130,"name":"Impact","value":""},{"id":150,"name":"Time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60" t="str">
        <f t="shared" si="8"/>
        <v>start /low /b %USERPROFILE%\Documents\GitHub\eaglep3\Utilities\DownloadLogsFromS3.py --loco 4051 --day 2017-02-01</v>
      </c>
      <c r="AN113" s="16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"%USERPROFILE%\AppData\Local\Temp\OnboardLogs"\RTDC4051\*4051*20170201* | grep -SE "(Enforcement Action)|(\[TIMEOUT)|(CHR.+\|PRM\|1\|D.+(SWITCH|SIGNAL).+UNKNOWN)" - &gt;&gt; 2017-02-01-UncaughtWiMAX.txt</v>
      </c>
    </row>
    <row r="114" spans="1:91" s="20" customFormat="1" x14ac:dyDescent="0.25">
      <c r="A114" s="33" t="s">
        <v>594</v>
      </c>
      <c r="B114" s="7">
        <v>4052</v>
      </c>
      <c r="C114" s="21" t="s">
        <v>193</v>
      </c>
      <c r="D114" s="21" t="s">
        <v>721</v>
      </c>
      <c r="E114" s="13">
        <v>42767.709849537037</v>
      </c>
      <c r="F114" s="13">
        <v>42767.716145833336</v>
      </c>
      <c r="G114" s="7">
        <v>0</v>
      </c>
      <c r="H114" s="21" t="s">
        <v>392</v>
      </c>
      <c r="I114" s="13">
        <v>42767.744328703702</v>
      </c>
      <c r="J114" s="7">
        <v>0</v>
      </c>
      <c r="K114" s="98" t="str">
        <f>IF(ISEVEN(B114),(B114-1)&amp;"/"&amp;B114,B114&amp;"/"&amp;(B114+1))</f>
        <v>4051/4052</v>
      </c>
      <c r="L114" s="21" t="str">
        <f>VLOOKUP(A114,'Trips&amp;Operators'!$C$1:$G$99999,5,FALSE)</f>
        <v>CLARK KATHLEEN</v>
      </c>
      <c r="M114" s="6">
        <f>I114-F114</f>
        <v>2.8182870366435964E-2</v>
      </c>
      <c r="N114" s="7">
        <f>24*60*SUM($M114:$M114)</f>
        <v>40.583333327667788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9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-02-01T16:02:11-0700',mode:absolute,to:'2017-02-01T18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193" t="str">
        <f>IF(AA114&lt;IF(AG114="EC",23,5.65),"Y","N")</f>
        <v>N</v>
      </c>
      <c r="X114" s="193">
        <f>VALUE(LEFT(AD114,4))-VALUE(LEFT(AD113,4))</f>
        <v>1</v>
      </c>
      <c r="Y114" s="62">
        <f>RIGHT(D114,LEN(D114)-4)/10000</f>
        <v>23.2959</v>
      </c>
      <c r="Z114" s="62">
        <f>RIGHT(H114,LEN(H114)-4)/10000</f>
        <v>1.83E-2</v>
      </c>
      <c r="AA114" s="62">
        <f>ABS(Z114-Y114)</f>
        <v>23.2776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>IF(LEN(A114)=6,"0"&amp;A114,A114)</f>
        <v>0202-01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/stypes="app*4052*20170202*"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202-01 --locoid 4052 --swversion DE.1.0.8.0 --startMP 204:232959 --initTime 2017-02-01T17:02:11 --startdatetime 2017-02-01T17:11:15 --delay 0 --endMP 204:183 --enddatetime 2017-02-01T17:51:50 --enforcementcount 0 &gt;&gt;C:\Users\stu\Documents\GitHub\eaglep3-reporting\EC\2017-02-01-refined-times.txt</v>
      </c>
      <c r="AI11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{"issue":{"subject":"","project_id":79,"tracker_id":40,"status_id":1,"priority_id":2,"assigned_to_id":23,"start_date":"2017-02-01","description":"","custom_fields":[{"id":1,"name":"Subdivision","value":"EC"},{"id":4,"name":"Milepost","value":"0.0183"},{"id":17,"name":"Train ID","value":"202-01"},{"id":16,"name":"Locomotive ID","value":"4052"},{"id":130,"name":"Impact","value":""},{"id":150,"name":"Time of Event (Mountain Time)","value":"17:51:50"},{"id":151,"name":"Denver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60" t="str">
        <f t="shared" si="8"/>
        <v>start /low /b %USERPROFILE%\Documents\GitHub\eaglep3\Utilities\DownloadLogsFromS3.py --loco 4052 --day 2017-02-01</v>
      </c>
      <c r="AN114" s="16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587</v>
      </c>
      <c r="B115" s="7">
        <v>4042</v>
      </c>
      <c r="C115" s="21" t="s">
        <v>193</v>
      </c>
      <c r="D115" s="21" t="s">
        <v>230</v>
      </c>
      <c r="E115" s="13">
        <v>42767.684525462966</v>
      </c>
      <c r="F115" s="13">
        <v>42767.687905092593</v>
      </c>
      <c r="G115" s="7">
        <v>1</v>
      </c>
      <c r="H115" s="21" t="s">
        <v>391</v>
      </c>
      <c r="I115" s="13">
        <v>42767.715833333335</v>
      </c>
      <c r="J115" s="7">
        <v>0</v>
      </c>
      <c r="K115" s="98" t="str">
        <f>IF(ISEVEN(B115),(B115-1)&amp;"/"&amp;B115,B115&amp;"/"&amp;(B115+1))</f>
        <v>4041/4042</v>
      </c>
      <c r="L115" s="21" t="str">
        <f>VLOOKUP(A115,'Trips&amp;Operators'!$C$1:$G$99999,5,FALSE)</f>
        <v>DAVIS MICHAEL</v>
      </c>
      <c r="M115" s="6">
        <f>I115-F115</f>
        <v>2.792824074276723E-2</v>
      </c>
      <c r="N115" s="7">
        <f>24*60*SUM($M115:$M115)</f>
        <v>40.216666669584811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9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-02-01T15:25:43-0700',mode:absolute,to:'2017-02-01T18:10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3" t="str">
        <f>IF(AA115&lt;IF(AG115="EC",23,5.65),"Y","N")</f>
        <v>N</v>
      </c>
      <c r="X115" s="193">
        <f>VALUE(LEFT(AD115,4))-VALUE(LEFT(AD114,4))</f>
        <v>1</v>
      </c>
      <c r="Y115" s="62">
        <f>RIGHT(D115,LEN(D115)-4)/10000</f>
        <v>4.58E-2</v>
      </c>
      <c r="Z115" s="62">
        <f>RIGHT(H115,LEN(H115)-4)/10000</f>
        <v>23.330300000000001</v>
      </c>
      <c r="AA115" s="62">
        <f>ABS(Z115-Y115)</f>
        <v>23.284500000000001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>IF(LEN(A115)=6,"0"&amp;A115,A115)</f>
        <v>0203-01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/stypes="app*4042*20170202*"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203-01 --locoid 4042 --swversion DE.1.0.8.0 --startMP 204:458 --initTime 2017-02-01T16:25:43 --startdatetime 2017-02-01T16:30:35 --delay 1 --endMP 204:233303 --enddatetime 2017-02-01T17:10:48 --enforcementcount 0 &gt;&gt;C:\Users\stu\Documents\GitHub\eaglep3-reporting\EC\2017-02-01-refined-times.txt</v>
      </c>
      <c r="AI11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{"issue":{"subject":"","project_id":79,"tracker_id":40,"status_id":1,"priority_id":2,"assigned_to_id":23,"start_date":"2017-02-01","description":"","custom_fields":[{"id":1,"name":"Subdivision","value":"EC"},{"id":4,"name":"Milepost","value":"23.3303"},{"id":17,"name":"Train ID","value":"203-01"},{"id":16,"name":"Locomotive ID","value":"4042"},{"id":130,"name":"Impact","value":""},{"id":150,"name":"Time of Event (Mountain Time)","value":"17:10:48"},{"id":151,"name":"Denver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60" t="str">
        <f t="shared" si="8"/>
        <v>start /low /b %USERPROFILE%\Documents\GitHub\eaglep3\Utilities\DownloadLogsFromS3.py --loco 4042 --day 2017-02-01</v>
      </c>
      <c r="AN115" s="16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2017-02-01-UncaughtWiMAX.txt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600</v>
      </c>
      <c r="B116" s="7">
        <v>4041</v>
      </c>
      <c r="C116" s="21" t="s">
        <v>193</v>
      </c>
      <c r="D116" s="21" t="s">
        <v>681</v>
      </c>
      <c r="E116" s="13">
        <v>42767.723900462966</v>
      </c>
      <c r="F116" s="13">
        <v>42767.726689814815</v>
      </c>
      <c r="G116" s="7">
        <v>1</v>
      </c>
      <c r="H116" s="21" t="s">
        <v>241</v>
      </c>
      <c r="I116" s="13">
        <v>42767.755729166667</v>
      </c>
      <c r="J116" s="7">
        <v>0</v>
      </c>
      <c r="K116" s="98" t="str">
        <f>IF(ISEVEN(B116),(B116-1)&amp;"/"&amp;B116,B116&amp;"/"&amp;(B116+1))</f>
        <v>4041/4042</v>
      </c>
      <c r="L116" s="21" t="str">
        <f>VLOOKUP(A116,'Trips&amp;Operators'!$C$1:$G$99999,5,FALSE)</f>
        <v>DAVIS MICHAEL</v>
      </c>
      <c r="M116" s="6">
        <f>I116-F116</f>
        <v>2.9039351851679385E-2</v>
      </c>
      <c r="N116" s="7">
        <f>24*60*SUM($M116:$M116)</f>
        <v>41.816666666418314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9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-02-01T16:22:25-0700',mode:absolute,to:'2017-02-01T19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3" t="str">
        <f>IF(AA116&lt;IF(AG116="EC",23,5.65),"Y","N")</f>
        <v>N</v>
      </c>
      <c r="X116" s="193">
        <f>VALUE(LEFT(AD116,4))-VALUE(LEFT(AD115,4))</f>
        <v>1</v>
      </c>
      <c r="Y116" s="62">
        <f>RIGHT(D116,LEN(D116)-4)/10000</f>
        <v>23.296299999999999</v>
      </c>
      <c r="Z116" s="62">
        <f>RIGHT(H116,LEN(H116)-4)/10000</f>
        <v>1.43E-2</v>
      </c>
      <c r="AA116" s="62">
        <f>ABS(Z116-Y116)</f>
        <v>23.282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>IF(LEN(A116)=6,"0"&amp;A116,A116)</f>
        <v>0204-01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/stypes="app*4041*20170202*" /stext=" 01:.+((SYSTEM_STATE.+slice.+state.+changed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204-01 --locoid 4041 --swversion DE.1.0.8.0 --startMP 204:232963 --initTime 2017-02-01T17:22:25 --startdatetime 2017-02-01T17:26:26 --delay 1 --endMP 204:143 --enddatetime 2017-02-01T18:08:15 --enforcementcount 0 &gt;&gt;C:\Users\stu\Documents\GitHub\eaglep3-reporting\EC\2017-02-01-refined-times.txt</v>
      </c>
      <c r="AI11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ID","value":"204-01"},{"id":16,"name":"Locomotive ID","value":"4041"},{"id":130,"name":"Impact","value":""},{"id":150,"name":"Time of Event (Mountain Time)","value":"18:08:15"},{"id":151,"name":"Denver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60" t="str">
        <f t="shared" si="8"/>
        <v>start /low /b %USERPROFILE%\Documents\GitHub\eaglep3\Utilities\DownloadLogsFromS3.py --loco 4041 --day 2017-02-01</v>
      </c>
      <c r="AN116" s="16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"%USERPROFILE%\AppData\Local\Temp\OnboardLogs"\RTDC4041\*4041*20170202* | grep -SE "(Enforcement Action)|(\[TIMEOUT)|(CHR.+\|PRM\|1\|D.+(SWITCH|SIGNAL).+UNKNOWN)" - &gt;&gt; 2017-02-01-UncaughtWiMAX.txt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592</v>
      </c>
      <c r="B117" s="7">
        <v>4046</v>
      </c>
      <c r="C117" s="21" t="s">
        <v>193</v>
      </c>
      <c r="D117" s="21" t="s">
        <v>300</v>
      </c>
      <c r="E117" s="13">
        <v>42767.694675925923</v>
      </c>
      <c r="F117" s="13">
        <v>42767.698206018518</v>
      </c>
      <c r="G117" s="7">
        <v>1</v>
      </c>
      <c r="H117" s="21" t="s">
        <v>734</v>
      </c>
      <c r="I117" s="13">
        <v>42767.724594907406</v>
      </c>
      <c r="J117" s="7">
        <v>0</v>
      </c>
      <c r="K117" s="98" t="str">
        <f>IF(ISEVEN(B117),(B117-1)&amp;"/"&amp;B117,B117&amp;"/"&amp;(B117+1))</f>
        <v>4045/4046</v>
      </c>
      <c r="L117" s="21" t="str">
        <f>VLOOKUP(A117,'Trips&amp;Operators'!$C$1:$G$99999,5,FALSE)</f>
        <v>LEVERE CRAIG</v>
      </c>
      <c r="M117" s="6">
        <f>I117-F117</f>
        <v>2.6388888887595385E-2</v>
      </c>
      <c r="N117" s="7">
        <f>24*60*SUM($M117:$M117)</f>
        <v>37.999999998137355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9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-02-01T15:40:20-0700',mode:absolute,to:'2017-02-01T18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193" t="str">
        <f>IF(AA117&lt;IF(AG117="EC",23,5.65),"Y","N")</f>
        <v>N</v>
      </c>
      <c r="X117" s="193">
        <f>VALUE(LEFT(AD117,4))-VALUE(LEFT(AD116,4))</f>
        <v>1</v>
      </c>
      <c r="Y117" s="62">
        <f>RIGHT(D117,LEN(D117)-4)/10000</f>
        <v>4.5499999999999999E-2</v>
      </c>
      <c r="Z117" s="62">
        <f>RIGHT(H117,LEN(H117)-4)/10000</f>
        <v>23.328900000000001</v>
      </c>
      <c r="AA117" s="62">
        <f>ABS(Z117-Y117)</f>
        <v>23.2834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>IF(LEN(A117)=6,"0"&amp;A117,A117)</f>
        <v>0205-01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/stypes="app*4046*20170202*"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205-01 --locoid 4046 --swversion DE.1.0.8.0 --startMP 204:455 --initTime 2017-02-01T16:40:20 --startdatetime 2017-02-01T16:45:25 --delay 1 --endMP 204:233289 --enddatetime 2017-02-01T17:23:25 --enforcementcount 0 &gt;&gt;C:\Users\stu\Documents\GitHub\eaglep3-reporting\EC\2017-02-01-refined-times.txt</v>
      </c>
      <c r="AI11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{"issue":{"subject":"","project_id":79,"tracker_id":40,"status_id":1,"priority_id":2,"assigned_to_id":23,"start_date":"2017-02-01","description":"","custom_fields":[{"id":1,"name":"Subdivision","value":"EC"},{"id":4,"name":"Milepost","value":"23.3289"},{"id":17,"name":"Train ID","value":"205-01"},{"id":16,"name":"Locomotive ID","value":"4046"},{"id":130,"name":"Impact","value":""},{"id":150,"name":"Time of Event (Mountain Time)","value":"17:23:25"},{"id":151,"name":"Denver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60" t="str">
        <f t="shared" si="8"/>
        <v>start /low /b %USERPROFILE%\Documents\GitHub\eaglep3\Utilities\DownloadLogsFromS3.py --loco 4046 --day 2017-02-01</v>
      </c>
      <c r="AN117" s="16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"%USERPROFILE%\AppData\Local\Temp\OnboardLogs"\RTDC4046\*4046*20170202* | grep -SE "(Enforcement Action)|(\[TIMEOUT)|(CHR.+\|PRM\|1\|D.+(SWITCH|SIGNAL).+UNKNOWN)" - &gt;&gt; 2017-02-01-UncaughtWiMAX.txt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602</v>
      </c>
      <c r="B118" s="7">
        <v>4045</v>
      </c>
      <c r="C118" s="21" t="s">
        <v>193</v>
      </c>
      <c r="D118" s="21" t="s">
        <v>735</v>
      </c>
      <c r="E118" s="13">
        <v>42767.729953703703</v>
      </c>
      <c r="F118" s="13">
        <v>42767.737002314818</v>
      </c>
      <c r="G118" s="7">
        <v>1</v>
      </c>
      <c r="H118" s="21" t="s">
        <v>214</v>
      </c>
      <c r="I118" s="13">
        <v>42767.766701388886</v>
      </c>
      <c r="J118" s="7">
        <v>0</v>
      </c>
      <c r="K118" s="98" t="str">
        <f>IF(ISEVEN(B118),(B118-1)&amp;"/"&amp;B118,B118&amp;"/"&amp;(B118+1))</f>
        <v>4045/4046</v>
      </c>
      <c r="L118" s="21" t="str">
        <f>VLOOKUP(A118,'Trips&amp;Operators'!$C$1:$G$99999,5,FALSE)</f>
        <v>LEVERE CRAIG</v>
      </c>
      <c r="M118" s="6">
        <f>I118-F118</f>
        <v>2.9699074068048503E-2</v>
      </c>
      <c r="N118" s="7">
        <f>24*60*SUM($M118:$M118)</f>
        <v>42.766666657989845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9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-02-01T16:31:08-0700',mode:absolute,to:'2017-02-01T19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193" t="str">
        <f>IF(AA118&lt;IF(AG118="EC",23,5.65),"Y","N")</f>
        <v>N</v>
      </c>
      <c r="X118" s="193">
        <f>VALUE(LEFT(AD118,4))-VALUE(LEFT(AD117,4))</f>
        <v>1</v>
      </c>
      <c r="Y118" s="62">
        <f>RIGHT(D118,LEN(D118)-4)/10000</f>
        <v>23.296800000000001</v>
      </c>
      <c r="Z118" s="62">
        <f>RIGHT(H118,LEN(H118)-4)/10000</f>
        <v>1.52E-2</v>
      </c>
      <c r="AA118" s="62">
        <f>ABS(Z118-Y118)</f>
        <v>23.281600000000001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>IF(LEN(A118)=6,"0"&amp;A118,A118)</f>
        <v>0206-01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/stypes="app*4045*20170202*"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206-01 --locoid 4045 --swversion DE.1.0.8.0 --startMP 204:232968 --initTime 2017-02-01T17:31:08 --startdatetime 2017-02-01T17:41:17 --delay 1 --endMP 204:152 --enddatetime 2017-02-01T18:24:03 --enforcementcount 0 &gt;&gt;C:\Users\stu\Documents\GitHub\eaglep3-reporting\EC\2017-02-01-refined-times.txt</v>
      </c>
      <c r="AI11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{"issue":{"subject":"","project_id":79,"tracker_id":40,"status_id":1,"priority_id":2,"assigned_to_id":23,"start_date":"2017-02-01","description":"","custom_fields":[{"id":1,"name":"Subdivision","value":"EC"},{"id":4,"name":"Milepost","value":"0.0152"},{"id":17,"name":"Train ID","value":"206-01"},{"id":16,"name":"Locomotive ID","value":"4045"},{"id":130,"name":"Impact","value":""},{"id":150,"name":"Time of Event (Mountain Time)","value":"18:24:03"},{"id":151,"name":"Denver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60" t="str">
        <f t="shared" si="8"/>
        <v>start /low /b %USERPROFILE%\Documents\GitHub\eaglep3\Utilities\DownloadLogsFromS3.py --loco 4045 --day 2017-02-01</v>
      </c>
      <c r="AN118" s="16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"%USERPROFILE%\AppData\Local\Temp\OnboardLogs"\RTDC4045\*4045*20170202* | grep -SE "(Enforcement Action)|(\[TIMEOUT)|(CHR.+\|PRM\|1\|D.+(SWITCH|SIGNAL).+UNKNOWN)" - &gt;&gt; 2017-02-01-UncaughtWiMAX.txt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593</v>
      </c>
      <c r="B119" s="7">
        <v>4011</v>
      </c>
      <c r="C119" s="21" t="s">
        <v>193</v>
      </c>
      <c r="D119" s="21" t="s">
        <v>300</v>
      </c>
      <c r="E119" s="13">
        <v>42767.705104166664</v>
      </c>
      <c r="F119" s="13">
        <v>42767.708553240744</v>
      </c>
      <c r="G119" s="7">
        <v>1</v>
      </c>
      <c r="H119" s="21" t="s">
        <v>334</v>
      </c>
      <c r="I119" s="13">
        <v>42767.734016203707</v>
      </c>
      <c r="J119" s="7">
        <v>0</v>
      </c>
      <c r="K119" s="98" t="str">
        <f>IF(ISEVEN(B119),(B119-1)&amp;"/"&amp;B119,B119&amp;"/"&amp;(B119+1))</f>
        <v>4011/4012</v>
      </c>
      <c r="L119" s="21" t="str">
        <f>VLOOKUP(A119,'Trips&amp;Operators'!$C$1:$G$99999,5,FALSE)</f>
        <v>HELVIE ADAM</v>
      </c>
      <c r="M119" s="6">
        <f>I119-F119</f>
        <v>2.5462962963501923E-2</v>
      </c>
      <c r="N119" s="7">
        <f>24*60*SUM($M119:$M119)</f>
        <v>36.666666667442769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9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-02-01T15:55:21-0700',mode:absolute,to:'2017-02-01T18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193" t="str">
        <f>IF(AA119&lt;IF(AG119="EC",23,5.65),"Y","N")</f>
        <v>N</v>
      </c>
      <c r="X119" s="193">
        <f>VALUE(LEFT(AD119,4))-VALUE(LEFT(AD118,4))</f>
        <v>1</v>
      </c>
      <c r="Y119" s="62">
        <f>RIGHT(D119,LEN(D119)-4)/10000</f>
        <v>4.5499999999999999E-2</v>
      </c>
      <c r="Z119" s="62">
        <f>RIGHT(H119,LEN(H119)-4)/10000</f>
        <v>23.3278</v>
      </c>
      <c r="AA119" s="62">
        <f>ABS(Z119-Y119)</f>
        <v>23.282299999999999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>IF(LEN(A119)=6,"0"&amp;A119,A119)</f>
        <v>0207-01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 &amp; 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/stypes="app*4011*20170202*"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207-01 --locoid 4011 --swversion DE.1.0.8.0 --startMP 204:455 --initTime 2017-02-01T16:55:21 --startdatetime 2017-02-01T17:00:19 --delay 1 --endMP 204:233278 --enddatetime 2017-02-01T17:36:59 --enforcementcount 0 &gt;&gt;C:\Users\stu\Documents\GitHub\eaglep3-reporting\EC\2017-02-01-refined-times.txt</v>
      </c>
      <c r="AI11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{"issue":{"subject":"","project_id":79,"tracker_id":40,"status_id":1,"priority_id":2,"assigned_to_id":23,"start_date":"2017-02-01","description":"","custom_fields":[{"id":1,"name":"Subdivision","value":"EC"},{"id":4,"name":"Milepost","value":"23.3278"},{"id":17,"name":"Train ID","value":"207-01"},{"id":16,"name":"Locomotive ID","value":"4011"},{"id":130,"name":"Impact","value":""},{"id":150,"name":"Time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60" t="str">
        <f t="shared" si="8"/>
        <v>start /low /b %USERPROFILE%\Documents\GitHub\eaglep3\Utilities\DownloadLogsFromS3.py --loco 4011 --day 2017-02-01</v>
      </c>
      <c r="AN119" s="16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610</v>
      </c>
      <c r="B120" s="7">
        <v>4012</v>
      </c>
      <c r="C120" s="21" t="s">
        <v>193</v>
      </c>
      <c r="D120" s="21" t="s">
        <v>681</v>
      </c>
      <c r="E120" s="13">
        <v>42767.744652777779</v>
      </c>
      <c r="F120" s="13">
        <v>42767.747465277775</v>
      </c>
      <c r="G120" s="7">
        <v>1</v>
      </c>
      <c r="H120" s="21" t="s">
        <v>215</v>
      </c>
      <c r="I120" s="13">
        <v>42767.774224537039</v>
      </c>
      <c r="J120" s="7">
        <v>0</v>
      </c>
      <c r="K120" s="98" t="str">
        <f>IF(ISEVEN(B120),(B120-1)&amp;"/"&amp;B120,B120&amp;"/"&amp;(B120+1))</f>
        <v>4011/4012</v>
      </c>
      <c r="L120" s="21" t="str">
        <f>VLOOKUP(A120,'Trips&amp;Operators'!$C$1:$G$99999,5,FALSE)</f>
        <v>HELVIE ADAM</v>
      </c>
      <c r="M120" s="6">
        <f>I120-F120</f>
        <v>2.6759259264508728E-2</v>
      </c>
      <c r="N120" s="7">
        <f>24*60*SUM($M120:$M120)</f>
        <v>38.533333340892568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9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-02-01T16:52:18-0700',mode:absolute,to:'2017-02-01T19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93" t="str">
        <f>IF(AA120&lt;IF(AG120="EC",23,5.65),"Y","N")</f>
        <v>N</v>
      </c>
      <c r="X120" s="193">
        <f>VALUE(LEFT(AD120,4))-VALUE(LEFT(AD119,4))</f>
        <v>1</v>
      </c>
      <c r="Y120" s="62">
        <f>RIGHT(D120,LEN(D120)-4)/10000</f>
        <v>23.296299999999999</v>
      </c>
      <c r="Z120" s="62">
        <f>RIGHT(H120,LEN(H120)-4)/10000</f>
        <v>1.5800000000000002E-2</v>
      </c>
      <c r="AA120" s="62">
        <f>ABS(Z120-Y120)</f>
        <v>23.2805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>IF(LEN(A120)=6,"0"&amp;A120,A120)</f>
        <v>0208-01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/stypes="app*4012*20170202*"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208-01 --locoid 4012 --swversion DE.1.0.8.0 --startMP 204:232963 --initTime 2017-02-01T17:52:18 --startdatetime 2017-02-01T17:56:21 --delay 1 --endMP 204:158 --enddatetime 2017-02-01T18:34:53 --enforcementcount 0 &gt;&gt;C:\Users\stu\Documents\GitHub\eaglep3-reporting\EC\2017-02-01-refined-times.txt</v>
      </c>
      <c r="AI12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{"issue":{"subject":"","project_id":79,"tracker_id":40,"status_id":1,"priority_id":2,"assigned_to_id":23,"start_date":"2017-02-01","description":"","custom_fields":[{"id":1,"name":"Subdivision","value":"EC"},{"id":4,"name":"Milepost","value":"0.0158"},{"id":17,"name":"Train ID","value":"208-01"},{"id":16,"name":"Locomotive ID","value":"4012"},{"id":130,"name":"Impact","value":""},{"id":150,"name":"Time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60" t="str">
        <f t="shared" si="8"/>
        <v>start /low /b %USERPROFILE%\Documents\GitHub\eaglep3\Utilities\DownloadLogsFromS3.py --loco 4012 --day 2017-02-01</v>
      </c>
      <c r="AN120" s="16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596</v>
      </c>
      <c r="B121" s="7">
        <v>4029</v>
      </c>
      <c r="C121" s="21" t="s">
        <v>193</v>
      </c>
      <c r="D121" s="21" t="s">
        <v>224</v>
      </c>
      <c r="E121" s="13">
        <v>42767.714074074072</v>
      </c>
      <c r="F121" s="13">
        <v>42767.719293981485</v>
      </c>
      <c r="G121" s="7">
        <v>1</v>
      </c>
      <c r="H121" s="21" t="s">
        <v>334</v>
      </c>
      <c r="I121" s="13">
        <v>42767.745405092595</v>
      </c>
      <c r="J121" s="7">
        <v>0</v>
      </c>
      <c r="K121" s="98" t="str">
        <f>IF(ISEVEN(B121),(B121-1)&amp;"/"&amp;B121,B121&amp;"/"&amp;(B121+1))</f>
        <v>4029/4030</v>
      </c>
      <c r="L121" s="21" t="str">
        <f>VLOOKUP(A121,'Trips&amp;Operators'!$C$1:$G$99999,5,FALSE)</f>
        <v>DELGADO DIANAH</v>
      </c>
      <c r="M121" s="6">
        <f>I121-F121</f>
        <v>2.6111111110367347E-2</v>
      </c>
      <c r="N121" s="7">
        <f>24*60*SUM($M121:$M121)</f>
        <v>37.599999998928979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9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-02-01T16:08:16-0700',mode:absolute,to:'2017-02-01T18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193" t="str">
        <f>IF(AA121&lt;IF(AG121="EC",23,5.65),"Y","N")</f>
        <v>N</v>
      </c>
      <c r="X121" s="193">
        <f>VALUE(LEFT(AD121,4))-VALUE(LEFT(AD120,4))</f>
        <v>1</v>
      </c>
      <c r="Y121" s="62">
        <f>RIGHT(D121,LEN(D121)-4)/10000</f>
        <v>4.6899999999999997E-2</v>
      </c>
      <c r="Z121" s="62">
        <f>RIGHT(H121,LEN(H121)-4)/10000</f>
        <v>23.3278</v>
      </c>
      <c r="AA121" s="62">
        <f>ABS(Z121-Y121)</f>
        <v>23.280899999999999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>IF(LEN(A121)=6,"0"&amp;A121,A121)</f>
        <v>0209-01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/stypes="app*4029*20170202*"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209-01 --locoid 4029 --swversion DE.1.0.8.0 --startMP 204:469 --initTime 2017-02-01T17:08:16 --startdatetime 2017-02-01T17:15:47 --delay 1 --endMP 204:233278 --enddatetime 2017-02-01T17:53:23 --enforcementcount 0 &gt;&gt;C:\Users\stu\Documents\GitHub\eaglep3-reporting\EC\2017-02-01-refined-times.txt</v>
      </c>
      <c r="AI12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{"issue":{"subject":"","project_id":79,"tracker_id":40,"status_id":1,"priority_id":2,"assigned_to_id":23,"start_date":"2017-02-01","description":"","custom_fields":[{"id":1,"name":"Subdivision","value":"EC"},{"id":4,"name":"Milepost","value":"23.3278"},{"id":17,"name":"Train ID","value":"209-01"},{"id":16,"name":"Locomotive ID","value":"4029"},{"id":130,"name":"Impact","value":""},{"id":150,"name":"Time of Event (Mountain Time)","value":"17:53:23"},{"id":151,"name":"Denver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60" t="str">
        <f t="shared" si="8"/>
        <v>start /low /b %USERPROFILE%\Documents\GitHub\eaglep3\Utilities\DownloadLogsFromS3.py --loco 4029 --day 2017-02-01</v>
      </c>
      <c r="AN121" s="16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"%USERPROFILE%\AppData\Local\Temp\OnboardLogs"\RTDC4029\*4029*20170202* | grep -SE "(Enforcement Action)|(\[TIMEOUT)|(CHR.+\|PRM\|1\|D.+(SWITCH|SIGNAL).+UNKNOWN)" - &gt;&gt; 2017-02-01-UncaughtWiMAX.txt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613</v>
      </c>
      <c r="B122" s="7">
        <v>4030</v>
      </c>
      <c r="C122" s="21" t="s">
        <v>193</v>
      </c>
      <c r="D122" s="21" t="s">
        <v>400</v>
      </c>
      <c r="E122" s="13">
        <v>42767.750914351855</v>
      </c>
      <c r="F122" s="13">
        <v>42767.757847222223</v>
      </c>
      <c r="G122" s="7">
        <v>2</v>
      </c>
      <c r="H122" s="21" t="s">
        <v>215</v>
      </c>
      <c r="I122" s="13">
        <v>42767.785162037035</v>
      </c>
      <c r="J122" s="7">
        <v>0</v>
      </c>
      <c r="K122" s="98" t="str">
        <f>IF(ISEVEN(B122),(B122-1)&amp;"/"&amp;B122,B122&amp;"/"&amp;(B122+1))</f>
        <v>4029/4030</v>
      </c>
      <c r="L122" s="21" t="str">
        <f>VLOOKUP(A122,'Trips&amp;Operators'!$C$1:$G$99999,5,FALSE)</f>
        <v>DELGADO DIANAH</v>
      </c>
      <c r="M122" s="6">
        <f>I122-F122</f>
        <v>2.7314814811688848E-2</v>
      </c>
      <c r="N122" s="7">
        <f>24*60*SUM($M122:$M122)</f>
        <v>39.333333328831941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9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-02-01T17:01:19-0700',mode:absolute,to:'2017-02-01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2" s="193" t="str">
        <f>IF(AA122&lt;IF(AG122="EC",23,5.65),"Y","N")</f>
        <v>N</v>
      </c>
      <c r="X122" s="193">
        <f>VALUE(LEFT(AD122,4))-VALUE(LEFT(AD121,4))</f>
        <v>1</v>
      </c>
      <c r="Y122" s="62">
        <f>RIGHT(D122,LEN(D122)-4)/10000</f>
        <v>23.295300000000001</v>
      </c>
      <c r="Z122" s="62">
        <f>RIGHT(H122,LEN(H122)-4)/10000</f>
        <v>1.5800000000000002E-2</v>
      </c>
      <c r="AA122" s="62">
        <f>ABS(Z122-Y122)</f>
        <v>23.279500000000002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>IF(LEN(A122)=6,"0"&amp;A122,A122)</f>
        <v>0210-01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/stypes="app*4030*20170202*"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210-01 --locoid 4030 --swversion DE.1.0.8.0 --startMP 204:232953 --initTime 2017-02-01T18:01:19 --startdatetime 2017-02-01T18:11:18 --delay 2 --endMP 204:158 --enddatetime 2017-02-01T18:50:38 --enforcementcount 0 &gt;&gt;C:\Users\stu\Documents\GitHub\eaglep3-reporting\EC\2017-02-01-refined-times.txt</v>
      </c>
      <c r="AI12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{"issue":{"subject":"","project_id":79,"tracker_id":40,"status_id":1,"priority_id":2,"assigned_to_id":23,"start_date":"2017-02-01","description":"","custom_fields":[{"id":1,"name":"Subdivision","value":"EC"},{"id":4,"name":"Milepost","value":"0.0158"},{"id":17,"name":"Train ID","value":"210-01"},{"id":16,"name":"Locomotive ID","value":"4030"},{"id":130,"name":"Impact","value":""},{"id":150,"name":"Time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60" t="str">
        <f t="shared" si="8"/>
        <v>start /low /b %USERPROFILE%\Documents\GitHub\eaglep3\Utilities\DownloadLogsFromS3.py --loco 4030 --day 2017-02-01</v>
      </c>
      <c r="AN122" s="16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601</v>
      </c>
      <c r="B123" s="7">
        <v>4016</v>
      </c>
      <c r="C123" s="21" t="s">
        <v>193</v>
      </c>
      <c r="D123" s="21" t="s">
        <v>357</v>
      </c>
      <c r="E123" s="13">
        <v>42767.72415509259</v>
      </c>
      <c r="F123" s="13">
        <v>42767.729363425926</v>
      </c>
      <c r="G123" s="7">
        <v>2</v>
      </c>
      <c r="H123" s="21" t="s">
        <v>401</v>
      </c>
      <c r="I123" s="13">
        <v>42767.755648148152</v>
      </c>
      <c r="J123" s="7">
        <v>0</v>
      </c>
      <c r="K123" s="98" t="str">
        <f>IF(ISEVEN(B123),(B123-1)&amp;"/"&amp;B123,B123&amp;"/"&amp;(B123+1))</f>
        <v>4015/4016</v>
      </c>
      <c r="L123" s="21" t="str">
        <f>VLOOKUP(A123,'Trips&amp;Operators'!$C$1:$G$99999,5,FALSE)</f>
        <v>CRAYTON QUNTRELL</v>
      </c>
      <c r="M123" s="6">
        <f>I123-F123</f>
        <v>2.6284722225682344E-2</v>
      </c>
      <c r="N123" s="7">
        <f>24*60*SUM($M123:$M123)</f>
        <v>37.850000004982576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9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-02-01T16:22:47-0700',mode:absolute,to:'2017-02-01T19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193" t="str">
        <f>IF(AA123&lt;IF(AG123="EC",23,5.65),"Y","N")</f>
        <v>N</v>
      </c>
      <c r="X123" s="193">
        <f>VALUE(LEFT(AD123,4))-VALUE(LEFT(AD122,4))</f>
        <v>1</v>
      </c>
      <c r="Y123" s="62">
        <f>RIGHT(D123,LEN(D123)-4)/10000</f>
        <v>4.7300000000000002E-2</v>
      </c>
      <c r="Z123" s="62">
        <f>RIGHT(H123,LEN(H123)-4)/10000</f>
        <v>23.327400000000001</v>
      </c>
      <c r="AA123" s="62">
        <f>ABS(Z123-Y123)</f>
        <v>23.280100000000001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>IF(LEN(A123)=6,"0"&amp;A123,A123)</f>
        <v>0211-01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/stypes="app*4016*20170202*"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211-01 --locoid 4016 --swversion DE.1.0.8.0 --startMP 204:473 --initTime 2017-02-01T17:22:47 --startdatetime 2017-02-01T17:30:17 --delay 2 --endMP 204:233274 --enddatetime 2017-02-01T18:08:08 --enforcementcount 0 &gt;&gt;C:\Users\stu\Documents\GitHub\eaglep3-reporting\EC\2017-02-01-refined-times.txt</v>
      </c>
      <c r="AI123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{"issue":{"subject":"","project_id":79,"tracker_id":40,"status_id":1,"priority_id":2,"assigned_to_id":23,"start_date":"2017-02-01","description":"","custom_fields":[{"id":1,"name":"Subdivision","value":"EC"},{"id":4,"name":"Milepost","value":"23.3274"},{"id":17,"name":"Train ID","value":"211-01"},{"id":16,"name":"Locomotive ID","value":"4016"},{"id":130,"name":"Impact","value":""},{"id":150,"name":"Time of Event (Mountain Time)","value":"18:08:08"},{"id":151,"name":"Denver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60" t="str">
        <f t="shared" si="8"/>
        <v>start /low /b %USERPROFILE%\Documents\GitHub\eaglep3\Utilities\DownloadLogsFromS3.py --loco 4016 --day 2017-02-01</v>
      </c>
      <c r="AN123" s="16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618</v>
      </c>
      <c r="B124" s="7">
        <v>4015</v>
      </c>
      <c r="C124" s="21" t="s">
        <v>193</v>
      </c>
      <c r="D124" s="21" t="s">
        <v>736</v>
      </c>
      <c r="E124" s="13">
        <v>42767.764791666668</v>
      </c>
      <c r="F124" s="13">
        <v>42767.768206018518</v>
      </c>
      <c r="G124" s="7">
        <v>1</v>
      </c>
      <c r="H124" s="21" t="s">
        <v>328</v>
      </c>
      <c r="I124" s="13">
        <v>42767.795069444444</v>
      </c>
      <c r="J124" s="7">
        <v>0</v>
      </c>
      <c r="K124" s="98" t="str">
        <f>IF(ISEVEN(B124),(B124-1)&amp;"/"&amp;B124,B124&amp;"/"&amp;(B124+1))</f>
        <v>4015/4016</v>
      </c>
      <c r="L124" s="21" t="str">
        <f>VLOOKUP(A124,'Trips&amp;Operators'!$C$1:$G$99999,5,FALSE)</f>
        <v>CRAYTON QUNTRELL</v>
      </c>
      <c r="M124" s="6">
        <f>I124-F124</f>
        <v>2.6863425926421769E-2</v>
      </c>
      <c r="N124" s="7">
        <f>24*60*SUM($M124:$M124)</f>
        <v>38.683333334047347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9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-02-01T17:21:18-0700',mode:absolute,to:'2017-02-01T20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193" t="str">
        <f>IF(AA124&lt;IF(AG124="EC",23,5.65),"Y","N")</f>
        <v>N</v>
      </c>
      <c r="X124" s="193">
        <f>VALUE(LEFT(AD124,4))-VALUE(LEFT(AD123,4))</f>
        <v>1</v>
      </c>
      <c r="Y124" s="62">
        <f>RIGHT(D124,LEN(D124)-4)/10000</f>
        <v>23.294799999999999</v>
      </c>
      <c r="Z124" s="62">
        <f>RIGHT(H124,LEN(H124)-4)/10000</f>
        <v>1.7000000000000001E-2</v>
      </c>
      <c r="AA124" s="62">
        <f>ABS(Z124-Y124)</f>
        <v>23.277799999999999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>IF(LEN(A124)=6,"0"&amp;A124,A124)</f>
        <v>0212-01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/stypes="app*4015*20170202*" /stext=" 02:.+((SYSTEM_STATE.+slice.+state.+changed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212-01 --locoid 4015 --swversion DE.1.0.8.0 --startMP 204:232948 --initTime 2017-02-01T18:21:18 --startdatetime 2017-02-01T18:26:13 --delay 1 --endMP 204:170 --enddatetime 2017-02-01T19:04:54 --enforcementcount 0 &gt;&gt;C:\Users\stu\Documents\GitHub\eaglep3-reporting\EC\2017-02-01-refined-times.txt</v>
      </c>
      <c r="AI12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{"issue":{"subject":"","project_id":79,"tracker_id":40,"status_id":1,"priority_id":2,"assigned_to_id":23,"start_date":"2017-02-01","description":"","custom_fields":[{"id":1,"name":"Subdivision","value":"EC"},{"id":4,"name":"Milepost","value":"0.017"},{"id":17,"name":"Train ID","value":"212-01"},{"id":16,"name":"Locomotive ID","value":"4015"},{"id":130,"name":"Impact","value":""},{"id":150,"name":"Time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60" t="str">
        <f t="shared" si="8"/>
        <v>start /low /b %USERPROFILE%\Documents\GitHub\eaglep3\Utilities\DownloadLogsFromS3.py --loco 4015 --day 2017-02-01</v>
      </c>
      <c r="AN124" s="16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609</v>
      </c>
      <c r="B125" s="7">
        <v>4038</v>
      </c>
      <c r="C125" s="21" t="s">
        <v>193</v>
      </c>
      <c r="D125" s="21" t="s">
        <v>706</v>
      </c>
      <c r="E125" s="13">
        <v>42767.738344907404</v>
      </c>
      <c r="F125" s="13">
        <v>42767.739953703705</v>
      </c>
      <c r="G125" s="7">
        <v>2</v>
      </c>
      <c r="H125" s="21" t="s">
        <v>717</v>
      </c>
      <c r="I125" s="13">
        <v>42767.765081018515</v>
      </c>
      <c r="J125" s="7">
        <v>0</v>
      </c>
      <c r="K125" s="98" t="str">
        <f>IF(ISEVEN(B125),(B125-1)&amp;"/"&amp;B125,B125&amp;"/"&amp;(B125+1))</f>
        <v>4037/4038</v>
      </c>
      <c r="L125" s="21" t="str">
        <f>VLOOKUP(A125,'Trips&amp;Operators'!$C$1:$G$99999,5,FALSE)</f>
        <v>STORY SAMANTHA</v>
      </c>
      <c r="M125" s="6">
        <f>I125-F125</f>
        <v>2.512731480965158E-2</v>
      </c>
      <c r="N125" s="7">
        <f>24*60*SUM($M125:$M125)</f>
        <v>36.183333325898275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9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-02-01T16:43:13-0700',mode:absolute,to:'2017-02-01T19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5" s="193" t="str">
        <f>IF(AA125&lt;IF(AG125="EC",23,5.65),"Y","N")</f>
        <v>N</v>
      </c>
      <c r="X125" s="193">
        <f>VALUE(LEFT(AD125,4))-VALUE(LEFT(AD124,4))</f>
        <v>1</v>
      </c>
      <c r="Y125" s="62">
        <f>RIGHT(D125,LEN(D125)-4)/10000</f>
        <v>4.4200000000000003E-2</v>
      </c>
      <c r="Z125" s="62">
        <f>RIGHT(H125,LEN(H125)-4)/10000</f>
        <v>23.337</v>
      </c>
      <c r="AA125" s="62">
        <f>ABS(Z125-Y125)</f>
        <v>23.2928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>IF(LEN(A125)=6,"0"&amp;A125,A125)</f>
        <v>0213-01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/stypes="app*4038*20170202*"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213-01 --locoid 4038 --swversion DE.1.0.8.0 --startMP 204:442 --initTime 2017-02-01T17:43:13 --startdatetime 2017-02-01T17:45:32 --delay 2 --endMP 204:233370 --enddatetime 2017-02-01T18:21:43 --enforcementcount 0 &gt;&gt;C:\Users\stu\Documents\GitHub\eaglep3-reporting\EC\2017-02-01-refined-times.txt</v>
      </c>
      <c r="AI12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{"issue":{"subject":"","project_id":79,"tracker_id":40,"status_id":1,"priority_id":2,"assigned_to_id":23,"start_date":"2017-02-01","description":"","custom_fields":[{"id":1,"name":"Subdivision","value":"EC"},{"id":4,"name":"Milepost","value":"23.337"},{"id":17,"name":"Train ID","value":"213-01"},{"id":16,"name":"Locomotive ID","value":"4038"},{"id":130,"name":"Impact","value":""},{"id":150,"name":"Time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60" t="str">
        <f t="shared" si="8"/>
        <v>start /low /b %USERPROFILE%\Documents\GitHub\eaglep3\Utilities\DownloadLogsFromS3.py --loco 4038 --day 2017-02-01</v>
      </c>
      <c r="AN125" s="16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"%USERPROFILE%\AppData\Local\Temp\OnboardLogs"\RTDC4038\*4038*20170202* | grep -SE "(Enforcement Action)|(\[TIMEOUT)|(CHR.+\|PRM\|1\|D.+(SWITCH|SIGNAL).+UNKNOWN)" - &gt;&gt; 2017-02-01-UncaughtWiMAX.txt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443</v>
      </c>
      <c r="B126" s="7">
        <v>4037</v>
      </c>
      <c r="C126" s="21" t="s">
        <v>193</v>
      </c>
      <c r="D126" s="21" t="s">
        <v>405</v>
      </c>
      <c r="E126" s="13">
        <v>42767.769965277781</v>
      </c>
      <c r="F126" s="13">
        <v>42767.778784722221</v>
      </c>
      <c r="G126" s="7">
        <v>7</v>
      </c>
      <c r="H126" s="21" t="s">
        <v>241</v>
      </c>
      <c r="I126" s="13">
        <v>42767.805011574077</v>
      </c>
      <c r="J126" s="7">
        <v>0</v>
      </c>
      <c r="K126" s="98" t="str">
        <f>IF(ISEVEN(B126),(B126-1)&amp;"/"&amp;B126,B126&amp;"/"&amp;(B126+1))</f>
        <v>4037/4038</v>
      </c>
      <c r="L126" s="21" t="str">
        <f>VLOOKUP(A126,'Trips&amp;Operators'!$C$1:$G$99999,5,FALSE)</f>
        <v>STORY SAMANTHA</v>
      </c>
      <c r="M126" s="6">
        <f>I126-F126</f>
        <v>2.6226851856335998E-2</v>
      </c>
      <c r="N126" s="7">
        <f>24*60*SUM($M126:$M126)</f>
        <v>37.766666673123837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9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-02-01T17:28:45-0700',mode:absolute,to:'2017-02-01T20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6" s="193" t="str">
        <f>IF(AA126&lt;IF(AG126="EC",23,5.65),"Y","N")</f>
        <v>N</v>
      </c>
      <c r="X126" s="193">
        <f>VALUE(LEFT(AD126,4))-VALUE(LEFT(AD125,4))</f>
        <v>1</v>
      </c>
      <c r="Y126" s="62">
        <f>RIGHT(D126,LEN(D126)-4)/10000</f>
        <v>23.305299999999999</v>
      </c>
      <c r="Z126" s="62">
        <f>RIGHT(H126,LEN(H126)-4)/10000</f>
        <v>1.43E-2</v>
      </c>
      <c r="AA126" s="62">
        <f>ABS(Z126-Y126)</f>
        <v>23.291</v>
      </c>
      <c r="AB126" s="59" t="str">
        <f>VLOOKUP(A126,Enforcements!$C$7:$K$16,8,0)</f>
        <v>Bulletin (2)</v>
      </c>
      <c r="AC126" s="55" t="str">
        <f>VLOOKUP(A126,Enforcements!$C$7:$E$16,3,0)</f>
        <v>GRADE CROSSING</v>
      </c>
      <c r="AD126" s="56" t="str">
        <f>IF(LEN(A126)=6,"0"&amp;A126,A126)</f>
        <v>0214-01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/stypes="app*4037*20170202*"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214-01 --locoid 4037 --swversion DE.1.0.8.0 --startMP 204:233053 --initTime 2017-02-01T18:28:45 --startdatetime 2017-02-01T18:41:27 --delay 7 --endMP 204:143 --enddatetime 2017-02-01T19:19:13 --enforcementcount 0 &gt;&gt;C:\Users\stu\Documents\GitHub\eaglep3-reporting\EC\2017-02-01-refined-times.txt</v>
      </c>
      <c r="AI12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ID","value":"214-01"},{"id":16,"name":"Locomotive ID","value":"4037"},{"id":130,"name":"Impact","value":""},{"id":150,"name":"Time of Event (Mountain Time)","value":"19:19:13"},{"id":151,"name":"Denver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60" t="str">
        <f t="shared" si="8"/>
        <v>start /low /b %USERPROFILE%\Documents\GitHub\eaglep3\Utilities\DownloadLogsFromS3.py --loco 4037 --day 2017-02-01</v>
      </c>
      <c r="AN126" s="16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"%USERPROFILE%\AppData\Local\Temp\OnboardLogs"\RTDC4037\*4037*20170202* | grep -SE "(Enforcement Action)|(\[TIMEOUT)|(CHR.+\|PRM\|1\|D.+(SWITCH|SIGNAL).+UNKNOWN)" - &gt;&gt; 2017-02-01-UncaughtWiMAX.txt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611</v>
      </c>
      <c r="B127" s="7">
        <v>4051</v>
      </c>
      <c r="C127" s="21" t="s">
        <v>193</v>
      </c>
      <c r="D127" s="21" t="s">
        <v>737</v>
      </c>
      <c r="E127" s="13">
        <v>42767.745474537034</v>
      </c>
      <c r="F127" s="13">
        <v>42767.750138888892</v>
      </c>
      <c r="G127" s="7">
        <v>2</v>
      </c>
      <c r="H127" s="21" t="s">
        <v>229</v>
      </c>
      <c r="I127" s="13">
        <v>42767.775324074071</v>
      </c>
      <c r="J127" s="7">
        <v>0</v>
      </c>
      <c r="K127" s="98" t="str">
        <f>IF(ISEVEN(B127),(B127-1)&amp;"/"&amp;B127,B127&amp;"/"&amp;(B127+1))</f>
        <v>4051/4052</v>
      </c>
      <c r="L127" s="21" t="str">
        <f>VLOOKUP(A127,'Trips&amp;Operators'!$C$1:$G$99999,5,FALSE)</f>
        <v>BRANNON JEFFREY</v>
      </c>
      <c r="M127" s="6">
        <f>I127-F127</f>
        <v>2.5185185178997926E-2</v>
      </c>
      <c r="N127" s="7">
        <f>24*60*SUM($M127:$M127)</f>
        <v>36.266666657757014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9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-02-01T16:53:29-0700',mode:absolute,to:'2017-02-01T19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193" t="str">
        <f>IF(AA127&lt;IF(AG127="EC",23,5.65),"Y","N")</f>
        <v>N</v>
      </c>
      <c r="X127" s="193">
        <f>VALUE(LEFT(AD127,4))-VALUE(LEFT(AD126,4))</f>
        <v>1</v>
      </c>
      <c r="Y127" s="62">
        <f>RIGHT(D127,LEN(D127)-4)/10000</f>
        <v>4.7699999999999999E-2</v>
      </c>
      <c r="Z127" s="62">
        <f>RIGHT(H127,LEN(H127)-4)/10000</f>
        <v>23.329699999999999</v>
      </c>
      <c r="AA127" s="62">
        <f>ABS(Z127-Y127)</f>
        <v>23.282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>IF(LEN(A127)=6,"0"&amp;A127,A127)</f>
        <v>0215-01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 &amp; 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/stypes="app*4051*20170202*"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215-01 --locoid 4051 --swversion DE.1.0.8.0 --startMP 204:477 --initTime 2017-02-01T17:53:29 --startdatetime 2017-02-01T18:00:12 --delay 2 --endMP 204:233297 --enddatetime 2017-02-01T18:36:28 --enforcementcount 0 &gt;&gt;C:\Users\stu\Documents\GitHub\eaglep3-reporting\EC\2017-02-01-refined-times.txt</v>
      </c>
      <c r="AI12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{"issue":{"subject":"","project_id":79,"tracker_id":40,"status_id":1,"priority_id":2,"assigned_to_id":23,"start_date":"2017-02-01","description":"","custom_fields":[{"id":1,"name":"Subdivision","value":"EC"},{"id":4,"name":"Milepost","value":"23.3297"},{"id":17,"name":"Train ID","value":"215-01"},{"id":16,"name":"Locomotive ID","value":"4051"},{"id":130,"name":"Impact","value":""},{"id":150,"name":"Time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60" t="str">
        <f t="shared" si="8"/>
        <v>start /low /b %USERPROFILE%\Documents\GitHub\eaglep3\Utilities\DownloadLogsFromS3.py --loco 4051 --day 2017-02-01</v>
      </c>
      <c r="AN127" s="16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624</v>
      </c>
      <c r="B128" s="7">
        <v>4052</v>
      </c>
      <c r="C128" s="21" t="s">
        <v>193</v>
      </c>
      <c r="D128" s="21" t="s">
        <v>738</v>
      </c>
      <c r="E128" s="13">
        <v>42767.786840277775</v>
      </c>
      <c r="F128" s="13">
        <v>42767.789050925923</v>
      </c>
      <c r="G128" s="7">
        <v>1</v>
      </c>
      <c r="H128" s="21" t="s">
        <v>380</v>
      </c>
      <c r="I128" s="13">
        <v>42767.815011574072</v>
      </c>
      <c r="J128" s="7">
        <v>0</v>
      </c>
      <c r="K128" s="98" t="str">
        <f>IF(ISEVEN(B128),(B128-1)&amp;"/"&amp;B128,B128&amp;"/"&amp;(B128+1))</f>
        <v>4051/4052</v>
      </c>
      <c r="L128" s="21" t="str">
        <f>VLOOKUP(A128,'Trips&amp;Operators'!$C$1:$G$99999,5,FALSE)</f>
        <v>BRANNON JEFFREY</v>
      </c>
      <c r="M128" s="6">
        <f>I128-F128</f>
        <v>2.5960648148611654E-2</v>
      </c>
      <c r="N128" s="7">
        <f>24*60*SUM($M128:$M128)</f>
        <v>37.383333334000781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9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-02-01T17:53:03-0700',mode:absolute,to:'2017-02-01T20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193" t="str">
        <f>IF(AA128&lt;IF(AG128="EC",23,5.65),"Y","N")</f>
        <v>N</v>
      </c>
      <c r="X128" s="193">
        <f>VALUE(LEFT(AD128,4))-VALUE(LEFT(AD127,4))</f>
        <v>1</v>
      </c>
      <c r="Y128" s="62">
        <f>RIGHT(D128,LEN(D128)-4)/10000</f>
        <v>23.299600000000002</v>
      </c>
      <c r="Z128" s="62">
        <f>RIGHT(H128,LEN(H128)-4)/10000</f>
        <v>1.38E-2</v>
      </c>
      <c r="AA128" s="62">
        <f>ABS(Z128-Y128)</f>
        <v>23.285800000000002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>IF(LEN(A128)=6,"0"&amp;A128,A128)</f>
        <v>0216-01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/stypes="app*4052*20170202*"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216-01 --locoid 4052 --swversion DE.1.0.8.0 --startMP 204:232996 --initTime 2017-02-01T18:53:03 --startdatetime 2017-02-01T18:56:14 --delay 1 --endMP 204:138 --enddatetime 2017-02-01T19:33:37 --enforcementcount 0 &gt;&gt;C:\Users\stu\Documents\GitHub\eaglep3-reporting\EC\2017-02-01-refined-times.txt</v>
      </c>
      <c r="AI12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{"issue":{"subject":"","project_id":79,"tracker_id":40,"status_id":1,"priority_id":2,"assigned_to_id":23,"start_date":"2017-02-01","description":"","custom_fields":[{"id":1,"name":"Subdivision","value":"EC"},{"id":4,"name":"Milepost","value":"0.0138"},{"id":17,"name":"Train ID","value":"216-01"},{"id":16,"name":"Locomotive ID","value":"4052"},{"id":130,"name":"Impact","value":""},{"id":150,"name":"Time of Event (Mountain Time)","value":"19:33:37"},{"id":151,"name":"Denver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60" t="str">
        <f t="shared" si="8"/>
        <v>start /low /b %USERPROFILE%\Documents\GitHub\eaglep3\Utilities\DownloadLogsFromS3.py --loco 4052 --day 2017-02-01</v>
      </c>
      <c r="AN128" s="16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615</v>
      </c>
      <c r="B129" s="7">
        <v>4042</v>
      </c>
      <c r="C129" s="21" t="s">
        <v>193</v>
      </c>
      <c r="D129" s="21" t="s">
        <v>300</v>
      </c>
      <c r="E129" s="13">
        <v>42767.757835648146</v>
      </c>
      <c r="F129" s="13">
        <v>42767.760578703703</v>
      </c>
      <c r="G129" s="7">
        <v>2</v>
      </c>
      <c r="H129" s="21" t="s">
        <v>695</v>
      </c>
      <c r="I129" s="13">
        <v>42767.785868055558</v>
      </c>
      <c r="J129" s="7">
        <v>0</v>
      </c>
      <c r="K129" s="98" t="str">
        <f>IF(ISEVEN(B129),(B129-1)&amp;"/"&amp;B129,B129&amp;"/"&amp;(B129+1))</f>
        <v>4041/4042</v>
      </c>
      <c r="L129" s="21" t="str">
        <f>VLOOKUP(A129,'Trips&amp;Operators'!$C$1:$G$99999,5,FALSE)</f>
        <v>BROWN JACOB</v>
      </c>
      <c r="M129" s="6">
        <f>I129-F129</f>
        <v>2.5289351855462883E-2</v>
      </c>
      <c r="N129" s="7">
        <f>24*60*SUM($M129:$M129)</f>
        <v>36.416666671866551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9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-02-01T17:11:17-0700',mode:absolute,to:'2017-02-01T19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3" t="str">
        <f>IF(AA129&lt;IF(AG129="EC",23,5.65),"Y","N")</f>
        <v>N</v>
      </c>
      <c r="X129" s="193">
        <f>VALUE(LEFT(AD129,4))-VALUE(LEFT(AD128,4))</f>
        <v>1</v>
      </c>
      <c r="Y129" s="62">
        <f>RIGHT(D129,LEN(D129)-4)/10000</f>
        <v>4.5499999999999999E-2</v>
      </c>
      <c r="Z129" s="62">
        <f>RIGHT(H129,LEN(H129)-4)/10000</f>
        <v>23.332699999999999</v>
      </c>
      <c r="AA129" s="62">
        <f>ABS(Z129-Y129)</f>
        <v>23.287199999999999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>IF(LEN(A129)=6,"0"&amp;A129,A129)</f>
        <v>0217-01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/stypes="app*4042*20170202*"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6"/>
        <v>"%USERPROFILE%\Documents\GitHub\eaglep3\Utilities\RefineRTDCRunTimes.py" --tripid 217-01 --locoid 4042 --swversion DE.1.0.8.0 --startMP 204:455 --initTime 2017-02-01T18:11:17 --startdatetime 2017-02-01T18:15:14 --delay 2 --endMP 204:233327 --enddatetime 2017-02-01T18:51:39 --enforcementcount 0 &gt;&gt;C:\Users\stu\Documents\GitHub\eaglep3-reporting\EC\2017-02-01-refined-times.txt</v>
      </c>
      <c r="AI12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{"issue":{"subject":"","project_id":79,"tracker_id":40,"status_id":1,"priority_id":2,"assigned_to_id":23,"start_date":"2017-02-01","description":"","custom_fields":[{"id":1,"name":"Subdivision","value":"EC"},{"id":4,"name":"Milepost","value":"23.3327"},{"id":17,"name":"Train ID","value":"217-01"},{"id":16,"name":"Locomotive ID","value":"4042"},{"id":130,"name":"Impact","value":""},{"id":150,"name":"Time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60" t="str">
        <f t="shared" si="8"/>
        <v>start /low /b %USERPROFILE%\Documents\GitHub\eaglep3\Utilities\DownloadLogsFromS3.py --loco 4042 --day 2017-02-01</v>
      </c>
      <c r="AN129" s="16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626</v>
      </c>
      <c r="B130" s="7">
        <v>4041</v>
      </c>
      <c r="C130" s="21" t="s">
        <v>193</v>
      </c>
      <c r="D130" s="21" t="s">
        <v>354</v>
      </c>
      <c r="E130" s="13">
        <v>42767.795474537037</v>
      </c>
      <c r="F130" s="13">
        <v>42767.79991898148</v>
      </c>
      <c r="G130" s="7">
        <v>2</v>
      </c>
      <c r="H130" s="21" t="s">
        <v>324</v>
      </c>
      <c r="I130" s="13">
        <v>42767.826840277776</v>
      </c>
      <c r="J130" s="7">
        <v>0</v>
      </c>
      <c r="K130" s="98" t="str">
        <f>IF(ISEVEN(B130),(B130-1)&amp;"/"&amp;B130,B130&amp;"/"&amp;(B130+1))</f>
        <v>4041/4042</v>
      </c>
      <c r="L130" s="21" t="str">
        <f>VLOOKUP(A130,'Trips&amp;Operators'!$C$1:$G$99999,5,FALSE)</f>
        <v>BROWN JACOB</v>
      </c>
      <c r="M130" s="6">
        <f>I130-F130</f>
        <v>2.6921296295768116E-2</v>
      </c>
      <c r="N130" s="7">
        <f>24*60*SUM($M130:$M130)</f>
        <v>38.766666665906087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9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-02-01T18:05:29-0700',mode:absolute,to:'2017-02-01T20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3" t="str">
        <f>IF(AA130&lt;IF(AG130="EC",23,5.65),"Y","N")</f>
        <v>N</v>
      </c>
      <c r="X130" s="193">
        <f>VALUE(LEFT(AD130,4))-VALUE(LEFT(AD129,4))</f>
        <v>1</v>
      </c>
      <c r="Y130" s="62">
        <f>RIGHT(D130,LEN(D130)-4)/10000</f>
        <v>23.299299999999999</v>
      </c>
      <c r="Z130" s="62">
        <f>RIGHT(H130,LEN(H130)-4)/10000</f>
        <v>1.3899999999999999E-2</v>
      </c>
      <c r="AA130" s="62">
        <f>ABS(Z130-Y130)</f>
        <v>23.285399999999999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>IF(LEN(A130)=6,"0"&amp;A130,A130)</f>
        <v>0218-01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/stypes="app*4041*20170202*"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218-01 --locoid 4041 --swversion DE.1.0.8.0 --startMP 204:232993 --initTime 2017-02-01T19:05:29 --startdatetime 2017-02-01T19:11:53 --delay 2 --endMP 204:139 --enddatetime 2017-02-01T19:50:39 --enforcementcount 0 &gt;&gt;C:\Users\stu\Documents\GitHub\eaglep3-reporting\EC\2017-02-01-refined-times.txt</v>
      </c>
      <c r="AI13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{"issue":{"subject":"","project_id":79,"tracker_id":40,"status_id":1,"priority_id":2,"assigned_to_id":23,"start_date":"2017-02-01","description":"","custom_fields":[{"id":1,"name":"Subdivision","value":"EC"},{"id":4,"name":"Milepost","value":"0.0139"},{"id":17,"name":"Train ID","value":"218-01"},{"id":16,"name":"Locomotive ID","value":"4041"},{"id":130,"name":"Impact","value":""},{"id":150,"name":"Time of Event (Mountain Time)","value":"19:50:39"},{"id":151,"name":"Denver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60" t="str">
        <f t="shared" si="8"/>
        <v>start /low /b %USERPROFILE%\Documents\GitHub\eaglep3\Utilities\DownloadLogsFromS3.py --loco 4041 --day 2017-02-01</v>
      </c>
      <c r="AN130" s="16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"%USERPROFILE%\AppData\Local\Temp\OnboardLogs"\RTDC4041\*4041*20170202* | grep -SE "(Enforcement Action)|(\[TIMEOUT)|(CHR.+\|PRM\|1\|D.+(SWITCH|SIGNAL).+UNKNOWN)" - &gt;&gt; 2017-02-01-UncaughtWiMAX.txt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619</v>
      </c>
      <c r="B131" s="7">
        <v>4046</v>
      </c>
      <c r="C131" s="21" t="s">
        <v>193</v>
      </c>
      <c r="D131" s="21" t="s">
        <v>213</v>
      </c>
      <c r="E131" s="13">
        <v>42767.76902777778</v>
      </c>
      <c r="F131" s="13">
        <v>42767.77107638889</v>
      </c>
      <c r="G131" s="7">
        <v>1</v>
      </c>
      <c r="H131" s="21" t="s">
        <v>739</v>
      </c>
      <c r="I131" s="13">
        <v>42767.797002314815</v>
      </c>
      <c r="J131" s="7">
        <v>0</v>
      </c>
      <c r="K131" s="98" t="str">
        <f>IF(ISEVEN(B131),(B131-1)&amp;"/"&amp;B131,B131&amp;"/"&amp;(B131+1))</f>
        <v>4045/4046</v>
      </c>
      <c r="L131" s="21" t="str">
        <f>VLOOKUP(A131,'Trips&amp;Operators'!$C$1:$G$99999,5,FALSE)</f>
        <v>MCREYNOLDS KYLE</v>
      </c>
      <c r="M131" s="6">
        <f>I131-F131</f>
        <v>2.5925925925548654E-2</v>
      </c>
      <c r="N131" s="7">
        <f>24*60*SUM($M131:$M131)</f>
        <v>37.333333332790062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9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-02-01T17:27:24-0700',mode:absolute,to:'2017-02-01T20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193" t="str">
        <f>IF(AA131&lt;IF(AG131="EC",23,5.65),"Y","N")</f>
        <v>N</v>
      </c>
      <c r="X131" s="193">
        <f>VALUE(LEFT(AD131,4))-VALUE(LEFT(AD130,4))</f>
        <v>1</v>
      </c>
      <c r="Y131" s="62">
        <f>RIGHT(D131,LEN(D131)-4)/10000</f>
        <v>4.4900000000000002E-2</v>
      </c>
      <c r="Z131" s="62">
        <f>RIGHT(H131,LEN(H131)-4)/10000</f>
        <v>23.331600000000002</v>
      </c>
      <c r="AA131" s="62">
        <f>ABS(Z131-Y131)</f>
        <v>23.286700000000003</v>
      </c>
      <c r="AB131" s="59" t="e">
        <f>VLOOKUP(A131,Enforcements!$C$7:$K$16,8,0)</f>
        <v>#N/A</v>
      </c>
      <c r="AC131" s="55" t="e">
        <f>VLOOKUP(A131,Enforcements!$C$7:$E$16,3,0)</f>
        <v>#N/A</v>
      </c>
      <c r="AD131" s="56" t="str">
        <f>IF(LEN(A131)=6,"0"&amp;A131,A131)</f>
        <v>0219-01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/stypes="app*4046*20170202*"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219-01 --locoid 4046 --swversion DE.1.0.8.0 --startMP 204:449 --initTime 2017-02-01T18:27:24 --startdatetime 2017-02-01T18:30:21 --delay 1 --endMP 204:233316 --enddatetime 2017-02-01T19:07:41 --enforcementcount 0 &gt;&gt;C:\Users\stu\Documents\GitHub\eaglep3-reporting\EC\2017-02-01-refined-times.txt</v>
      </c>
      <c r="AI131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{"issue":{"subject":"","project_id":79,"tracker_id":40,"status_id":1,"priority_id":2,"assigned_to_id":23,"start_date":"2017-02-01","description":"","custom_fields":[{"id":1,"name":"Subdivision","value":"EC"},{"id":4,"name":"Milepost","value":"23.3316"},{"id":17,"name":"Train ID","value":"219-01"},{"id":16,"name":"Locomotive ID","value":"4046"},{"id":130,"name":"Impact","value":""},{"id":150,"name":"Time of Event (Mountain Time)","value":"19:07:41"},{"id":151,"name":"Denver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60" t="str">
        <f t="shared" si="8"/>
        <v>start /low /b %USERPROFILE%\Documents\GitHub\eaglep3\Utilities\DownloadLogsFromS3.py --loco 4046 --day 2017-02-01</v>
      </c>
      <c r="AN131" s="16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"%USERPROFILE%\AppData\Local\Temp\OnboardLogs"\RTDC4046\*4046*20170202* | grep -SE "(Enforcement Action)|(\[TIMEOUT)|(CHR.+\|PRM\|1\|D.+(SWITCH|SIGNAL).+UNKNOWN)" - &gt;&gt; 2017-02-01-UncaughtWiMAX.txt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630</v>
      </c>
      <c r="B132" s="7">
        <v>4045</v>
      </c>
      <c r="C132" s="21" t="s">
        <v>193</v>
      </c>
      <c r="D132" s="21" t="s">
        <v>379</v>
      </c>
      <c r="E132" s="13">
        <v>42767.802418981482</v>
      </c>
      <c r="F132" s="13">
        <v>42767.81009259259</v>
      </c>
      <c r="G132" s="7">
        <v>1</v>
      </c>
      <c r="H132" s="21" t="s">
        <v>184</v>
      </c>
      <c r="I132" s="13">
        <v>42767.837291666663</v>
      </c>
      <c r="J132" s="7">
        <v>0</v>
      </c>
      <c r="K132" s="98" t="str">
        <f>IF(ISEVEN(B132),(B132-1)&amp;"/"&amp;B132,B132&amp;"/"&amp;(B132+1))</f>
        <v>4045/4046</v>
      </c>
      <c r="L132" s="21" t="str">
        <f>VLOOKUP(A132,'Trips&amp;Operators'!$C$1:$G$99999,5,FALSE)</f>
        <v>WHITED DUSTIN</v>
      </c>
      <c r="M132" s="6">
        <f>I132-F132</f>
        <v>2.7199074072996154E-2</v>
      </c>
      <c r="N132" s="7">
        <f>24*60*SUM($M132:$M132)</f>
        <v>39.166666665114462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9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-02-01T18:15:29-0700',mode:absolute,to:'2017-02-01T21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93" t="str">
        <f>IF(AA132&lt;IF(AG132="EC",23,5.65),"Y","N")</f>
        <v>N</v>
      </c>
      <c r="X132" s="193">
        <f>VALUE(LEFT(AD132,4))-VALUE(LEFT(AD131,4))</f>
        <v>1</v>
      </c>
      <c r="Y132" s="62">
        <f>RIGHT(D132,LEN(D132)-4)/10000</f>
        <v>23.3</v>
      </c>
      <c r="Z132" s="62">
        <f>RIGHT(H132,LEN(H132)-4)/10000</f>
        <v>1.49E-2</v>
      </c>
      <c r="AA132" s="62">
        <f>ABS(Z132-Y132)</f>
        <v>23.2851</v>
      </c>
      <c r="AB132" s="59" t="e">
        <f>VLOOKUP(A132,Enforcements!$C$7:$K$16,8,0)</f>
        <v>#N/A</v>
      </c>
      <c r="AC132" s="55" t="e">
        <f>VLOOKUP(A132,Enforcements!$C$7:$E$16,3,0)</f>
        <v>#N/A</v>
      </c>
      <c r="AD132" s="56" t="str">
        <f>IF(LEN(A132)=6,"0"&amp;A132,A132)</f>
        <v>0220-01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/stypes="app*4045*20170202*" /stext=" 03:.+((SYSTEM_STATE.+slice.+state.+changed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220-01 --locoid 4045 --swversion DE.1.0.8.0 --startMP 204:233000 --initTime 2017-02-01T19:15:29 --startdatetime 2017-02-01T19:26:32 --delay 1 --endMP 204:149 --enddatetime 2017-02-01T20:05:42 --enforcementcount 0 &gt;&gt;C:\Users\stu\Documents\GitHub\eaglep3-reporting\EC\2017-02-01-refined-times.txt</v>
      </c>
      <c r="AI132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{"issue":{"subject":"","project_id":79,"tracker_id":40,"status_id":1,"priority_id":2,"assigned_to_id":23,"start_date":"2017-02-01","description":"","custom_fields":[{"id":1,"name":"Subdivision","value":"EC"},{"id":4,"name":"Milepost","value":"0.0149"},{"id":17,"name":"Train ID","value":"220-01"},{"id":16,"name":"Locomotive ID","value":"4045"},{"id":130,"name":"Impact","value":""},{"id":150,"name":"Time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60" t="str">
        <f t="shared" si="8"/>
        <v>start /low /b %USERPROFILE%\Documents\GitHub\eaglep3\Utilities\DownloadLogsFromS3.py --loco 4045 --day 2017-02-01</v>
      </c>
      <c r="AN132" s="16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"%USERPROFILE%\AppData\Local\Temp\OnboardLogs"\RTDC4045\*4045*20170202* | grep -SE "(Enforcement Action)|(\[TIMEOUT)|(CHR.+\|PRM\|1\|D.+(SWITCH|SIGNAL).+UNKNOWN)" - &gt;&gt; 2017-02-01-UncaughtWiMAX.txt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625</v>
      </c>
      <c r="B133" s="7">
        <v>4029</v>
      </c>
      <c r="C133" s="21" t="s">
        <v>193</v>
      </c>
      <c r="D133" s="21" t="s">
        <v>282</v>
      </c>
      <c r="E133" s="13">
        <v>42767.78702546296</v>
      </c>
      <c r="F133" s="13">
        <v>42767.79184027778</v>
      </c>
      <c r="G133" s="7">
        <v>1</v>
      </c>
      <c r="H133" s="21" t="s">
        <v>229</v>
      </c>
      <c r="I133" s="13">
        <v>42767.817488425928</v>
      </c>
      <c r="J133" s="7">
        <v>0</v>
      </c>
      <c r="K133" s="98" t="str">
        <f>IF(ISEVEN(B133),(B133-1)&amp;"/"&amp;B133,B133&amp;"/"&amp;(B133+1))</f>
        <v>4029/4030</v>
      </c>
      <c r="L133" s="21" t="str">
        <f>VLOOKUP(A133,'Trips&amp;Operators'!$C$1:$G$99999,5,FALSE)</f>
        <v>DELGADO DIANAH</v>
      </c>
      <c r="M133" s="6">
        <f>I133-F133</f>
        <v>2.5648148148320615E-2</v>
      </c>
      <c r="N133" s="7">
        <f>24*60*SUM($M133:$M133)</f>
        <v>36.933333333581686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9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-02-01T17:53:19-0700',mode:absolute,to:'2017-02-01T20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193" t="str">
        <f>IF(AA133&lt;IF(AG133="EC",23,5.65),"Y","N")</f>
        <v>N</v>
      </c>
      <c r="X133" s="193">
        <f>VALUE(LEFT(AD133,4))-VALUE(LEFT(AD132,4))</f>
        <v>1</v>
      </c>
      <c r="Y133" s="62">
        <f>RIGHT(D133,LEN(D133)-4)/10000</f>
        <v>4.53E-2</v>
      </c>
      <c r="Z133" s="62">
        <f>RIGHT(H133,LEN(H133)-4)/10000</f>
        <v>23.329699999999999</v>
      </c>
      <c r="AA133" s="62">
        <f>ABS(Z133-Y133)</f>
        <v>23.284399999999998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>IF(LEN(A133)=6,"0"&amp;A133,A133)</f>
        <v>0221-01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/stypes="app*4029*20170202*"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221-01 --locoid 4029 --swversion DE.1.0.8.0 --startMP 204:453 --initTime 2017-02-01T18:53:19 --startdatetime 2017-02-01T19:00:15 --delay 1 --endMP 204:233297 --enddatetime 2017-02-01T19:37:11 --enforcementcount 0 &gt;&gt;C:\Users\stu\Documents\GitHub\eaglep3-reporting\EC\2017-02-01-refined-times.txt</v>
      </c>
      <c r="AI133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{"issue":{"subject":"","project_id":79,"tracker_id":40,"status_id":1,"priority_id":2,"assigned_to_id":23,"start_date":"2017-02-01","description":"","custom_fields":[{"id":1,"name":"Subdivision","value":"EC"},{"id":4,"name":"Milepost","value":"23.3297"},{"id":17,"name":"Train ID","value":"221-01"},{"id":16,"name":"Locomotive ID","value":"4029"},{"id":130,"name":"Impact","value":""},{"id":150,"name":"Time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60" t="str">
        <f t="shared" si="8"/>
        <v>start /low /b %USERPROFILE%\Documents\GitHub\eaglep3\Utilities\DownloadLogsFromS3.py --loco 4029 --day 2017-02-01</v>
      </c>
      <c r="AN133" s="16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"%USERPROFILE%\AppData\Local\Temp\OnboardLogs"\RTDC4029\*4029*20170202* | grep -SE "(Enforcement Action)|(\[TIMEOUT)|(CHR.+\|PRM\|1\|D.+(SWITCH|SIGNAL).+UNKNOWN)" - &gt;&gt; 2017-02-01-UncaughtWiMAX.txt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634</v>
      </c>
      <c r="B134" s="7">
        <v>4030</v>
      </c>
      <c r="C134" s="21" t="s">
        <v>193</v>
      </c>
      <c r="D134" s="21" t="s">
        <v>378</v>
      </c>
      <c r="E134" s="13">
        <v>42767.825173611112</v>
      </c>
      <c r="F134" s="13">
        <v>42767.83084490741</v>
      </c>
      <c r="G134" s="7">
        <v>1</v>
      </c>
      <c r="H134" s="21" t="s">
        <v>241</v>
      </c>
      <c r="I134" s="13">
        <v>42767.857627314814</v>
      </c>
      <c r="J134" s="7">
        <v>0</v>
      </c>
      <c r="K134" s="98" t="str">
        <f>IF(ISEVEN(B134),(B134-1)&amp;"/"&amp;B134,B134&amp;"/"&amp;(B134+1))</f>
        <v>4029/4030</v>
      </c>
      <c r="L134" s="21" t="str">
        <f>VLOOKUP(A134,'Trips&amp;Operators'!$C$1:$G$99999,5,FALSE)</f>
        <v>DELGADO DIANAH</v>
      </c>
      <c r="M134" s="6">
        <f>I134-F134</f>
        <v>2.6782407403516117E-2</v>
      </c>
      <c r="N134" s="7">
        <f>24*60*SUM($M134:$M134)</f>
        <v>38.566666661063209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9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-02-01T18:48:15-0700',mode:absolute,to:'2017-02-01T21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193" t="str">
        <f>IF(AA134&lt;IF(AG134="EC",23,5.65),"Y","N")</f>
        <v>N</v>
      </c>
      <c r="X134" s="193">
        <f>VALUE(LEFT(AD134,4))-VALUE(LEFT(AD133,4))</f>
        <v>1</v>
      </c>
      <c r="Y134" s="62">
        <f>RIGHT(D134,LEN(D134)-4)/10000</f>
        <v>23.297699999999999</v>
      </c>
      <c r="Z134" s="62">
        <f>RIGHT(H134,LEN(H134)-4)/10000</f>
        <v>1.43E-2</v>
      </c>
      <c r="AA134" s="62">
        <f>ABS(Z134-Y134)</f>
        <v>23.2834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>IF(LEN(A134)=6,"0"&amp;A134,A134)</f>
        <v>0222-01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/stypes="app*4030*20170202*"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222-01 --locoid 4030 --swversion DE.1.0.8.0 --startMP 204:232977 --initTime 2017-02-01T19:48:15 --startdatetime 2017-02-01T19:56:25 --delay 1 --endMP 204:143 --enddatetime 2017-02-01T20:34:59 --enforcementcount 0 &gt;&gt;C:\Users\stu\Documents\GitHub\eaglep3-reporting\EC\2017-02-01-refined-times.txt</v>
      </c>
      <c r="AI134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{"issue":{"subject":"","project_id":79,"tracker_id":40,"status_id":1,"priority_id":2,"assigned_to_id":23,"start_date":"2017-02-01","description":"","custom_fields":[{"id":1,"name":"Subdivision","value":"EC"},{"id":4,"name":"Milepost","value":"0.0143"},{"id":17,"name":"Train ID","value":"222-01"},{"id":16,"name":"Locomotive ID","value":"4030"},{"id":130,"name":"Impact","value":""},{"id":150,"name":"Time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60" t="str">
        <f t="shared" si="8"/>
        <v>start /low /b %USERPROFILE%\Documents\GitHub\eaglep3\Utilities\DownloadLogsFromS3.py --loco 4030 --day 2017-02-01</v>
      </c>
      <c r="AN134" s="16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444</v>
      </c>
      <c r="B135" s="7">
        <v>4038</v>
      </c>
      <c r="C135" s="21" t="s">
        <v>193</v>
      </c>
      <c r="D135" s="21" t="s">
        <v>211</v>
      </c>
      <c r="E135" s="13">
        <v>42767.807175925926</v>
      </c>
      <c r="F135" s="13">
        <v>42767.812789351854</v>
      </c>
      <c r="G135" s="7">
        <v>1</v>
      </c>
      <c r="H135" s="21" t="s">
        <v>701</v>
      </c>
      <c r="I135" s="13">
        <v>42767.837824074071</v>
      </c>
      <c r="J135" s="7">
        <v>0</v>
      </c>
      <c r="K135" s="98" t="str">
        <f>IF(ISEVEN(B135),(B135-1)&amp;"/"&amp;B135,B135&amp;"/"&amp;(B135+1))</f>
        <v>4037/4038</v>
      </c>
      <c r="L135" s="21" t="str">
        <f>VLOOKUP(A135,'Trips&amp;Operators'!$C$1:$G$99999,5,FALSE)</f>
        <v>STORY SAMANTHA</v>
      </c>
      <c r="M135" s="6">
        <f>I135-F135</f>
        <v>2.5034722217242233E-2</v>
      </c>
      <c r="N135" s="7">
        <f>24*60*SUM($M135:$M135)</f>
        <v>36.049999992828816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9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-02-01T18:22:20-0700',mode:absolute,to:'2017-02-01T21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5" s="193" t="str">
        <f>IF(AA135&lt;IF(AG135="EC",23,5.65),"Y","N")</f>
        <v>N</v>
      </c>
      <c r="X135" s="193">
        <f>VALUE(LEFT(AD135,4))-VALUE(LEFT(AD134,4))</f>
        <v>1</v>
      </c>
      <c r="Y135" s="62">
        <f>RIGHT(D135,LEN(D135)-4)/10000</f>
        <v>4.6199999999999998E-2</v>
      </c>
      <c r="Z135" s="62">
        <f>RIGHT(H135,LEN(H135)-4)/10000</f>
        <v>23.334700000000002</v>
      </c>
      <c r="AA135" s="62">
        <f>ABS(Z135-Y135)</f>
        <v>23.288500000000003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>IF(LEN(A135)=6,"0"&amp;A135,A135)</f>
        <v>0223-01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/stypes="app*4038*20170202*"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223-01 --locoid 4038 --swversion DE.1.0.8.0 --startMP 204:462 --initTime 2017-02-01T19:22:20 --startdatetime 2017-02-01T19:30:25 --delay 1 --endMP 204:233347 --enddatetime 2017-02-01T20:06:28 --enforcementcount 0 &gt;&gt;C:\Users\stu\Documents\GitHub\eaglep3-reporting\EC\2017-02-01-refined-times.txt</v>
      </c>
      <c r="AI135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{"issue":{"subject":"","project_id":79,"tracker_id":40,"status_id":1,"priority_id":2,"assigned_to_id":23,"start_date":"2017-02-01","description":"","custom_fields":[{"id":1,"name":"Subdivision","value":"EC"},{"id":4,"name":"Milepost","value":"23.3347"},{"id":17,"name":"Train ID","value":"223-01"},{"id":16,"name":"Locomotive ID","value":"4038"},{"id":130,"name":"Impact","value":""},{"id":150,"name":"Time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60" t="str">
        <f t="shared" si="8"/>
        <v>start /low /b %USERPROFILE%\Documents\GitHub\eaglep3\Utilities\DownloadLogsFromS3.py --loco 4038 --day 2017-02-01</v>
      </c>
      <c r="AN135" s="16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"%USERPROFILE%\AppData\Local\Temp\OnboardLogs"\RTDC4038\*4038*20170202* | grep -SE "(Enforcement Action)|(\[TIMEOUT)|(CHR.+\|PRM\|1\|D.+(SWITCH|SIGNAL).+UNKNOWN)" - &gt;&gt; 2017-02-01-UncaughtWiMAX.txt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638</v>
      </c>
      <c r="B136" s="7">
        <v>4037</v>
      </c>
      <c r="C136" s="21" t="s">
        <v>193</v>
      </c>
      <c r="D136" s="21" t="s">
        <v>702</v>
      </c>
      <c r="E136" s="13">
        <v>42767.841793981483</v>
      </c>
      <c r="F136" s="13">
        <v>42767.896006944444</v>
      </c>
      <c r="G136" s="7">
        <v>1</v>
      </c>
      <c r="H136" s="21" t="s">
        <v>197</v>
      </c>
      <c r="I136" s="13">
        <v>42767.921342592592</v>
      </c>
      <c r="J136" s="7">
        <v>0</v>
      </c>
      <c r="K136" s="98" t="str">
        <f>IF(ISEVEN(B136),(B136-1)&amp;"/"&amp;B136,B136&amp;"/"&amp;(B136+1))</f>
        <v>4037/4038</v>
      </c>
      <c r="L136" s="21" t="str">
        <f>VLOOKUP(A136,'Trips&amp;Operators'!$C$1:$G$99999,5,FALSE)</f>
        <v>STORY SAMANTHA</v>
      </c>
      <c r="M136" s="6">
        <f>I136-F136</f>
        <v>2.5335648148029577E-2</v>
      </c>
      <c r="N136" s="7">
        <f>24*60*SUM($M136:$M136)</f>
        <v>36.483333333162591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9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-02-01T19:12:11-0700',mode:absolute,to:'2017-02-01T23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6" s="193" t="str">
        <f>IF(AA136&lt;IF(AG136="EC",23,5.65),"Y","N")</f>
        <v>N</v>
      </c>
      <c r="X136" s="193">
        <f>VALUE(LEFT(AD136,4))-VALUE(LEFT(AD135,4))</f>
        <v>1</v>
      </c>
      <c r="Y136" s="62">
        <f>RIGHT(D136,LEN(D136)-4)/10000</f>
        <v>23.302800000000001</v>
      </c>
      <c r="Z136" s="62">
        <f>RIGHT(H136,LEN(H136)-4)/10000</f>
        <v>1.4999999999999999E-2</v>
      </c>
      <c r="AA136" s="62">
        <f>ABS(Z136-Y136)</f>
        <v>23.287800000000001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>IF(LEN(A136)=6,"0"&amp;A136,A136)</f>
        <v>0224-01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/stypes="app*4037*20170202*" /stext=" 05:.+((SYSTEM_STATE.+slice.+state.+changed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224-01 --locoid 4037 --swversion DE.1.0.8.0 --startMP 204:233028 --initTime 2017-02-01T20:12:11 --startdatetime 2017-02-01T21:30:15 --delay 1 --endMP 204:150 --enddatetime 2017-02-01T22:06:44 --enforcementcount 0 &gt;&gt;C:\Users\stu\Documents\GitHub\eaglep3-reporting\EC\2017-02-01-refined-times.txt</v>
      </c>
      <c r="AI136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ID","value":"224-01"},{"id":16,"name":"Locomotive ID","value":"4037"},{"id":130,"name":"Impact","value":""},{"id":150,"name":"Time of Event (Mountain Time)","value":"22:06:44"},{"id":151,"name":"Denver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60" t="str">
        <f t="shared" si="8"/>
        <v>start /low /b %USERPROFILE%\Documents\GitHub\eaglep3\Utilities\DownloadLogsFromS3.py --loco 4037 --day 2017-02-01</v>
      </c>
      <c r="AN136" s="16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"%USERPROFILE%\AppData\Local\Temp\OnboardLogs"\RTDC4037\*4037*20170202* | grep -SE "(Enforcement Action)|(\[TIMEOUT)|(CHR.+\|PRM\|1\|D.+(SWITCH|SIGNAL).+UNKNOWN)" - &gt;&gt; 2017-02-01-UncaughtWiMAX.txt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635</v>
      </c>
      <c r="B137" s="7">
        <v>4042</v>
      </c>
      <c r="C137" s="21" t="s">
        <v>193</v>
      </c>
      <c r="D137" s="21" t="s">
        <v>282</v>
      </c>
      <c r="E137" s="13">
        <v>42767.830636574072</v>
      </c>
      <c r="F137" s="13">
        <v>42767.83357638889</v>
      </c>
      <c r="G137" s="7">
        <v>1</v>
      </c>
      <c r="H137" s="21" t="s">
        <v>383</v>
      </c>
      <c r="I137" s="13">
        <v>42767.858981481484</v>
      </c>
      <c r="J137" s="7">
        <v>0</v>
      </c>
      <c r="K137" s="98" t="str">
        <f>IF(ISEVEN(B137),(B137-1)&amp;"/"&amp;B137,B137&amp;"/"&amp;(B137+1))</f>
        <v>4041/4042</v>
      </c>
      <c r="L137" s="21" t="str">
        <f>VLOOKUP(A137,'Trips&amp;Operators'!$C$1:$G$99999,5,FALSE)</f>
        <v>BROWN JACOB</v>
      </c>
      <c r="M137" s="6">
        <f>I137-F137</f>
        <v>2.5405092594155576E-2</v>
      </c>
      <c r="N137" s="7">
        <f>24*60*SUM($M137:$M137)</f>
        <v>36.58333333558403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9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-02-01T18:56:07-0700',mode:absolute,to:'2017-02-01T21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93" t="str">
        <f>IF(AA137&lt;IF(AG137="EC",23,5.65),"Y","N")</f>
        <v>N</v>
      </c>
      <c r="X137" s="193">
        <f>VALUE(LEFT(AD137,4))-VALUE(LEFT(AD136,4))</f>
        <v>1</v>
      </c>
      <c r="Y137" s="62">
        <f>RIGHT(D137,LEN(D137)-4)/10000</f>
        <v>4.53E-2</v>
      </c>
      <c r="Z137" s="62">
        <f>RIGHT(H137,LEN(H137)-4)/10000</f>
        <v>23.329499999999999</v>
      </c>
      <c r="AA137" s="62">
        <f>ABS(Z137-Y137)</f>
        <v>23.284199999999998</v>
      </c>
      <c r="AB137" s="59" t="e">
        <f>VLOOKUP(A137,Enforcements!$C$7:$K$16,8,0)</f>
        <v>#N/A</v>
      </c>
      <c r="AC137" s="55" t="e">
        <f>VLOOKUP(A137,Enforcements!$C$7:$E$16,3,0)</f>
        <v>#N/A</v>
      </c>
      <c r="AD137" s="56" t="str">
        <f>IF(LEN(A137)=6,"0"&amp;A137,A137)</f>
        <v>0225-01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/stypes="app*4042*20170202*"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225-01 --locoid 4042 --swversion DE.1.0.8.0 --startMP 204:453 --initTime 2017-02-01T19:56:07 --startdatetime 2017-02-01T20:00:21 --delay 1 --endMP 204:233295 --enddatetime 2017-02-01T20:36:56 --enforcementcount 0 &gt;&gt;C:\Users\stu\Documents\GitHub\eaglep3-reporting\EC\2017-02-01-refined-times.txt</v>
      </c>
      <c r="AI137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{"issue":{"subject":"","project_id":79,"tracker_id":40,"status_id":1,"priority_id":2,"assigned_to_id":23,"start_date":"2017-02-01","description":"","custom_fields":[{"id":1,"name":"Subdivision","value":"EC"},{"id":4,"name":"Milepost","value":"23.3295"},{"id":17,"name":"Train ID","value":"225-01"},{"id":16,"name":"Locomotive ID","value":"4042"},{"id":130,"name":"Impact","value":""},{"id":150,"name":"Time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60" t="str">
        <f t="shared" si="8"/>
        <v>start /low /b %USERPROFILE%\Documents\GitHub\eaglep3\Utilities\DownloadLogsFromS3.py --loco 4042 --day 2017-02-01</v>
      </c>
      <c r="AN137" s="16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641</v>
      </c>
      <c r="B138" s="7">
        <v>4041</v>
      </c>
      <c r="C138" s="21" t="s">
        <v>193</v>
      </c>
      <c r="D138" s="21" t="s">
        <v>704</v>
      </c>
      <c r="E138" s="13">
        <v>42767.865636574075</v>
      </c>
      <c r="F138" s="13">
        <v>42767.872384259259</v>
      </c>
      <c r="G138" s="7">
        <v>2</v>
      </c>
      <c r="H138" s="21" t="s">
        <v>290</v>
      </c>
      <c r="I138" s="13">
        <v>42767.899953703702</v>
      </c>
      <c r="J138" s="7">
        <v>0</v>
      </c>
      <c r="K138" s="98" t="str">
        <f>IF(ISEVEN(B138),(B138-1)&amp;"/"&amp;B138,B138&amp;"/"&amp;(B138+1))</f>
        <v>4041/4042</v>
      </c>
      <c r="L138" s="21" t="str">
        <f>VLOOKUP(A138,'Trips&amp;Operators'!$C$1:$G$99999,5,FALSE)</f>
        <v>BROWN JACOB</v>
      </c>
      <c r="M138" s="6">
        <f>I138-F138</f>
        <v>2.7569444442633539E-2</v>
      </c>
      <c r="N138" s="7">
        <f>24*60*SUM($M138:$M138)</f>
        <v>39.699999997392297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9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-02-01T19:46:31-0700',mode:absolute,to:'2017-02-01T22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93" t="str">
        <f>IF(AA138&lt;IF(AG138="EC",23,5.65),"Y","N")</f>
        <v>N</v>
      </c>
      <c r="X138" s="193">
        <f>VALUE(LEFT(AD138,4))-VALUE(LEFT(AD137,4))</f>
        <v>1</v>
      </c>
      <c r="Y138" s="62">
        <f>RIGHT(D138,LEN(D138)-4)/10000</f>
        <v>23.298300000000001</v>
      </c>
      <c r="Z138" s="62">
        <f>RIGHT(H138,LEN(H138)-4)/10000</f>
        <v>1.3599999999999999E-2</v>
      </c>
      <c r="AA138" s="62">
        <f>ABS(Z138-Y138)</f>
        <v>23.284700000000001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>IF(LEN(A138)=6,"0"&amp;A138,A138)</f>
        <v>0226-01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/stypes="app*4041*20170202*"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si="6"/>
        <v>"%USERPROFILE%\Documents\GitHub\eaglep3\Utilities\RefineRTDCRunTimes.py" --tripid 226-01 --locoid 4041 --swversion DE.1.0.8.0 --startMP 204:232983 --initTime 2017-02-01T20:46:31 --startdatetime 2017-02-01T20:56:14 --delay 2 --endMP 204:136 --enddatetime 2017-02-01T21:35:56 --enforcementcount 0 &gt;&gt;C:\Users\stu\Documents\GitHub\eaglep3-reporting\EC\2017-02-01-refined-times.txt</v>
      </c>
      <c r="AI138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ID","value":"226-01"},{"id":16,"name":"Locomotive ID","value":"4041"},{"id":130,"name":"Impact","value":""},{"id":150,"name":"Time of Event (Mountain Time)","value":"21:35:56"},{"id":151,"name":"Denver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60" t="str">
        <f t="shared" si="8"/>
        <v>start /low /b %USERPROFILE%\Documents\GitHub\eaglep3\Utilities\DownloadLogsFromS3.py --loco 4041 --day 2017-02-01</v>
      </c>
      <c r="AN138" s="16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"%USERPROFILE%\AppData\Local\Temp\OnboardLogs"\RTDC4041\*4041*20170202* | grep -SE "(Enforcement Action)|(\[TIMEOUT)|(CHR.+\|PRM\|1\|D.+(SWITCH|SIGNAL).+UNKNOWN)" - &gt;&gt; 2017-02-01-UncaughtWiMAX.txt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637</v>
      </c>
      <c r="B139" s="7">
        <v>4046</v>
      </c>
      <c r="C139" s="21" t="s">
        <v>193</v>
      </c>
      <c r="D139" s="21" t="s">
        <v>300</v>
      </c>
      <c r="E139" s="13">
        <v>42767.840821759259</v>
      </c>
      <c r="F139" s="13">
        <v>42767.854409722226</v>
      </c>
      <c r="G139" s="7">
        <v>1</v>
      </c>
      <c r="H139" s="21" t="s">
        <v>712</v>
      </c>
      <c r="I139" s="13">
        <v>42767.878842592596</v>
      </c>
      <c r="J139" s="7">
        <v>0</v>
      </c>
      <c r="K139" s="98" t="str">
        <f>IF(ISEVEN(B139),(B139-1)&amp;"/"&amp;B139,B139&amp;"/"&amp;(B139+1))</f>
        <v>4045/4046</v>
      </c>
      <c r="L139" s="21" t="str">
        <f>VLOOKUP(A139,'Trips&amp;Operators'!$C$1:$G$99999,5,FALSE)</f>
        <v>MCREYNOLDS KYLE</v>
      </c>
      <c r="M139" s="6">
        <f>I139-F139</f>
        <v>2.4432870370219462E-2</v>
      </c>
      <c r="N139" s="7">
        <f>24*60*SUM($M139:$M139)</f>
        <v>35.183333333116025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9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-01T19:10:47-0700',mode:absolute,to:'2017-02-01T22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93" t="str">
        <f>IF(AA139&lt;IF(AG139="EC",23,5.65),"Y","N")</f>
        <v>N</v>
      </c>
      <c r="X139" s="193">
        <f>VALUE(LEFT(AD139,4))-VALUE(LEFT(AD138,4))</f>
        <v>1</v>
      </c>
      <c r="Y139" s="62">
        <f>RIGHT(D139,LEN(D139)-4)/10000</f>
        <v>4.5499999999999999E-2</v>
      </c>
      <c r="Z139" s="62">
        <f>RIGHT(H139,LEN(H139)-4)/10000</f>
        <v>23.328700000000001</v>
      </c>
      <c r="AA139" s="62">
        <f>ABS(Z139-Y139)</f>
        <v>23.283200000000001</v>
      </c>
      <c r="AB139" s="59" t="e">
        <f>VLOOKUP(A139,Enforcements!$C$7:$K$16,8,0)</f>
        <v>#N/A</v>
      </c>
      <c r="AC139" s="55" t="e">
        <f>VLOOKUP(A139,Enforcements!$C$7:$E$16,3,0)</f>
        <v>#N/A</v>
      </c>
      <c r="AD139" s="56" t="str">
        <f>IF(LEN(A139)=6,"0"&amp;A139,A139)</f>
        <v>0227-01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s3://rtdc.mdm.uploadarchive.raw/RTDC4046/ "%USERPROFILE%\AppData\Local\Temp\OnboardLogs"\RTDC4046\2017-02-01 --exclude "*" --recursive --include "*20170201*" &amp; "%USERPROFILE%\Documents\GitHub\mrs-test-scripts\Headless Mode &amp; Sideloading\WalkAndUnGZ.bat" "%USERPROFILE%\AppData\Local\Temp\OnboardLogs"\RTDC4046\2017-02-01 &amp; 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/stypes="app*4046*20170202*"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6"/>
        <v>"%USERPROFILE%\Documents\GitHub\eaglep3\Utilities\RefineRTDCRunTimes.py" --tripid 227-01 --locoid 4046 --swversion DE.1.0.8.0 --startMP 204:455 --initTime 2017-02-01T20:10:47 --startdatetime 2017-02-01T20:30:21 --delay 1 --endMP 204:233287 --enddatetime 2017-02-01T21:05:32 --enforcementcount 0 &gt;&gt;C:\Users\stu\Documents\GitHub\eaglep3-reporting\EC\2017-02-01-refined-times.txt</v>
      </c>
      <c r="AI139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{"issue":{"subject":"","project_id":79,"tracker_id":40,"status_id":1,"priority_id":2,"assigned_to_id":23,"start_date":"2017-02-01","description":"","custom_fields":[{"id":1,"name":"Subdivision","value":"EC"},{"id":4,"name":"Milepost","value":"23.3287"},{"id":17,"name":"Train ID","value":"227-01"},{"id":16,"name":"Locomotive ID","value":"4046"},{"id":130,"name":"Impact","value":""},{"id":150,"name":"Time of Event (Mountain Time)","value":"21:05:32"},{"id":151,"name":"Denver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60" t="str">
        <f t="shared" si="8"/>
        <v>start /low /b %USERPROFILE%\Documents\GitHub\eaglep3\Utilities\DownloadLogsFromS3.py --loco 4046 --day 2017-02-01</v>
      </c>
      <c r="AN139" s="16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"%USERPROFILE%\AppData\Local\Temp\OnboardLogs"\RTDC4046\*4046*20170202* | grep -SE "(Enforcement Action)|(\[TIMEOUT)|(CHR.+\|PRM\|1\|D.+(SWITCH|SIGNAL).+UNKNOWN)" - &gt;&gt; 2017-02-01-UncaughtWiMAX.txt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644</v>
      </c>
      <c r="B140" s="7">
        <v>4045</v>
      </c>
      <c r="C140" s="21" t="s">
        <v>193</v>
      </c>
      <c r="D140" s="21" t="s">
        <v>378</v>
      </c>
      <c r="E140" s="13">
        <v>42767.886400462965</v>
      </c>
      <c r="F140" s="13">
        <v>42767.893275462964</v>
      </c>
      <c r="G140" s="7">
        <v>1</v>
      </c>
      <c r="H140" s="21" t="s">
        <v>197</v>
      </c>
      <c r="I140" s="13">
        <v>42767.920740740738</v>
      </c>
      <c r="J140" s="7">
        <v>0</v>
      </c>
      <c r="K140" s="98" t="str">
        <f>IF(ISEVEN(B140),(B140-1)&amp;"/"&amp;B140,B140&amp;"/"&amp;(B140+1))</f>
        <v>4045/4046</v>
      </c>
      <c r="L140" s="21" t="str">
        <f>VLOOKUP(A140,'Trips&amp;Operators'!$C$1:$G$99999,5,FALSE)</f>
        <v>WHITED DUSTIN</v>
      </c>
      <c r="M140" s="6">
        <f>I140-F140</f>
        <v>2.7465277773444541E-2</v>
      </c>
      <c r="N140" s="7">
        <f>24*60*SUM($M140:$M140)</f>
        <v>39.549999993760139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9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-02-01T20:16:25-0700',mode:absolute,to:'2017-02-01T23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193" t="str">
        <f>IF(AA140&lt;IF(AG140="EC",23,5.65),"Y","N")</f>
        <v>N</v>
      </c>
      <c r="X140" s="193">
        <f>VALUE(LEFT(AD140,4))-VALUE(LEFT(AD139,4))</f>
        <v>1</v>
      </c>
      <c r="Y140" s="62">
        <f>RIGHT(D140,LEN(D140)-4)/10000</f>
        <v>23.297699999999999</v>
      </c>
      <c r="Z140" s="62">
        <f>RIGHT(H140,LEN(H140)-4)/10000</f>
        <v>1.4999999999999999E-2</v>
      </c>
      <c r="AA140" s="62">
        <f>ABS(Z140-Y140)</f>
        <v>23.282699999999998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>IF(LEN(A140)=6,"0"&amp;A140,A140)</f>
        <v>0228-01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/stypes="app*4045*20170202*" /stext=" 05:.+((SYSTEM_STATE.+slice.+state.+changed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6"/>
        <v>"%USERPROFILE%\Documents\GitHub\eaglep3\Utilities\RefineRTDCRunTimes.py" --tripid 228-01 --locoid 4045 --swversion DE.1.0.8.0 --startMP 204:232977 --initTime 2017-02-01T21:16:25 --startdatetime 2017-02-01T21:26:19 --delay 1 --endMP 204:150 --enddatetime 2017-02-01T22:05:52 --enforcementcount 0 &gt;&gt;C:\Users\stu\Documents\GitHub\eaglep3-reporting\EC\2017-02-01-refined-times.txt</v>
      </c>
      <c r="AI140" s="108" t="str">
        <f t="shared" si="7"/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ID","value":"228-01"},{"id":16,"name":"Locomotive ID","value":"4045"},{"id":130,"name":"Impact","value":""},{"id":150,"name":"Time of Event (Mountain Time)","value":"22:05:52"},{"id":151,"name":"Denver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60" t="str">
        <f t="shared" si="8"/>
        <v>start /low /b %USERPROFILE%\Documents\GitHub\eaglep3\Utilities\DownloadLogsFromS3.py --loco 4045 --day 2017-02-01</v>
      </c>
      <c r="AN140" s="16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"%USERPROFILE%\AppData\Local\Temp\OnboardLogs"\RTDC4045\*4045*20170202* | grep -SE "(Enforcement Action)|(\[TIMEOUT)|(CHR.+\|PRM\|1\|D.+(SWITCH|SIGNAL).+UNKNOWN)" - &gt;&gt; 2017-02-01-UncaughtWiMAX.txt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640</v>
      </c>
      <c r="B141" s="7">
        <v>4029</v>
      </c>
      <c r="C141" s="21" t="s">
        <v>193</v>
      </c>
      <c r="D141" s="21" t="s">
        <v>333</v>
      </c>
      <c r="E141" s="13">
        <v>42767.859756944446</v>
      </c>
      <c r="F141" s="13">
        <v>42767.875231481485</v>
      </c>
      <c r="G141" s="7">
        <v>1</v>
      </c>
      <c r="H141" s="21" t="s">
        <v>387</v>
      </c>
      <c r="I141" s="13">
        <v>42767.900173611109</v>
      </c>
      <c r="J141" s="7">
        <v>0</v>
      </c>
      <c r="K141" s="98" t="str">
        <f>IF(ISEVEN(B141),(B141-1)&amp;"/"&amp;B141,B141&amp;"/"&amp;(B141+1))</f>
        <v>4029/4030</v>
      </c>
      <c r="L141" s="21" t="str">
        <f>VLOOKUP(A141,'Trips&amp;Operators'!$C$1:$G$99999,5,FALSE)</f>
        <v>DELGADO DIANAH</v>
      </c>
      <c r="M141" s="6">
        <f>I141-F141</f>
        <v>2.4942129624832887E-2</v>
      </c>
      <c r="N141" s="7">
        <f>24*60*SUM($M141:$M141)</f>
        <v>35.916666659759358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9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-01T19:38:03-0700',mode:absolute,to:'2017-02-01T22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93" t="str">
        <f>IF(AA141&lt;IF(AG141="EC",23,5.65),"Y","N")</f>
        <v>N</v>
      </c>
      <c r="X141" s="193">
        <f>VALUE(LEFT(AD141,4))-VALUE(LEFT(AD140,4))</f>
        <v>1</v>
      </c>
      <c r="Y141" s="62">
        <f>RIGHT(D141,LEN(D141)-4)/10000</f>
        <v>4.3700000000000003E-2</v>
      </c>
      <c r="Z141" s="62">
        <f>RIGHT(H141,LEN(H141)-4)/10000</f>
        <v>23.3338</v>
      </c>
      <c r="AA141" s="62">
        <f>ABS(Z141-Y141)</f>
        <v>23.290099999999999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>IF(LEN(A141)=6,"0"&amp;A141,A141)</f>
        <v>0229-01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/stypes="app*4029*20170202*"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ref="AH141:AH204" si="1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229-01 --locoid 4029 --swversion DE.1.0.8.0 --startMP 204:437 --initTime 2017-02-01T20:38:03 --startdatetime 2017-02-01T21:00:20 --delay 1 --endMP 204:233338 --enddatetime 2017-02-01T21:36:15 --enforcementcount 0 &gt;&gt;C:\Users\stu\Documents\GitHub\eaglep3-reporting\EC\2017-02-01-refined-times.txt</v>
      </c>
      <c r="AI141" s="108" t="str">
        <f t="shared" ref="AI141:AI204" si="1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{"issue":{"subject":"","project_id":79,"tracker_id":40,"status_id":1,"priority_id":2,"assigned_to_id":23,"start_date":"2017-02-01","description":"","custom_fields":[{"id":1,"name":"Subdivision","value":"EC"},{"id":4,"name":"Milepost","value":"23.3338"},{"id":17,"name":"Train ID","value":"229-01"},{"id":16,"name":"Locomotive ID","value":"4029"},{"id":130,"name":"Impact","value":""},{"id":150,"name":"Time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60" t="str">
        <f t="shared" ref="AM141:AM204" si="12">"start /low /b "&amp;dls3logs&amp;" --loco "&amp;B141&amp;" --day "&amp;TEXT(F141,"YYYY-MM-DD")</f>
        <v>start /low /b %USERPROFILE%\Documents\GitHub\eaglep3\Utilities\DownloadLogsFromS3.py --loco 4029 --day 2017-02-01</v>
      </c>
      <c r="AN141" s="16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"%USERPROFILE%\AppData\Local\Temp\OnboardLogs"\RTDC4029\*4029*20170202* | grep -SE "(Enforcement Action)|(\[TIMEOUT)|(CHR.+\|PRM\|1\|D.+(SWITCH|SIGNAL).+UNKNOWN)" - &gt;&gt; 2017-02-01-UncaughtWiMAX.txt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647</v>
      </c>
      <c r="B142" s="7">
        <v>4030</v>
      </c>
      <c r="C142" s="21" t="s">
        <v>193</v>
      </c>
      <c r="D142" s="21" t="s">
        <v>740</v>
      </c>
      <c r="E142" s="13">
        <v>42767.925821759258</v>
      </c>
      <c r="F142" s="13">
        <v>42767.927789351852</v>
      </c>
      <c r="G142" s="7">
        <v>2</v>
      </c>
      <c r="H142" s="21" t="s">
        <v>741</v>
      </c>
      <c r="I142" s="13">
        <v>42767.944733796299</v>
      </c>
      <c r="J142" s="7">
        <v>0</v>
      </c>
      <c r="K142" s="98" t="str">
        <f>IF(ISEVEN(B142),(B142-1)&amp;"/"&amp;B142,B142&amp;"/"&amp;(B142+1))</f>
        <v>4029/4030</v>
      </c>
      <c r="L142" s="21" t="str">
        <f>VLOOKUP(A142,'Trips&amp;Operators'!$C$1:$G$99999,5,FALSE)</f>
        <v>DELGADO DIANAH</v>
      </c>
      <c r="M142" s="6">
        <f>I142-F142</f>
        <v>1.6944444447290152E-2</v>
      </c>
      <c r="N142" s="7"/>
      <c r="O142" s="7"/>
      <c r="P142" s="7">
        <f>24*60*SUM($M142:$M142)</f>
        <v>24.400000004097819</v>
      </c>
      <c r="Q142" s="22"/>
      <c r="R142" s="22" t="s">
        <v>862</v>
      </c>
      <c r="S142" s="31">
        <f>SUM(U142:U142)/IF(AG142="EC",12,1)</f>
        <v>1</v>
      </c>
      <c r="T142" s="46" t="str">
        <f>IF(ISEVEN(LEFT(AD142,4)),"Southbound","NorthBound")</f>
        <v>Southbound</v>
      </c>
      <c r="U142" s="19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-01T21:13:11-0700',mode:absolute,to:'2017-02-01T23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2" s="193" t="str">
        <f>IF(AA142&lt;IF(AG142="EC",23,5.65),"Y","N")</f>
        <v>Y</v>
      </c>
      <c r="X142" s="193">
        <f>VALUE(LEFT(AD142,4))-VALUE(LEFT(AD141,4))</f>
        <v>1</v>
      </c>
      <c r="Y142" s="62">
        <f>RIGHT(D142,LEN(D142)-4)/10000</f>
        <v>12.786899999999999</v>
      </c>
      <c r="Z142" s="62">
        <f>RIGHT(H142,LEN(H142)-4)/10000</f>
        <v>1.32E-2</v>
      </c>
      <c r="AA142" s="62">
        <f>ABS(Z142-Y142)</f>
        <v>12.7737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>IF(LEN(A142)=6,"0"&amp;A142,A142)</f>
        <v>0230-01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/stypes="app*4030*20170202*"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si="10"/>
        <v>"%USERPROFILE%\Documents\GitHub\eaglep3\Utilities\RefineRTDCRunTimes.py" --tripid 230-01 --locoid 4030 --swversion DE.1.0.8.0 --startMP 204:127869 --initTime 2017-02-01T22:13:11 --startdatetime 2017-02-01T22:16:01 --delay 2 --endMP 204:132 --enddatetime 2017-02-01T22:40:25 --enforcementcount 0 &gt;&gt;C:\Users\stu\Documents\GitHub\eaglep3-reporting\EC\2017-02-01-refined-times.txt</v>
      </c>
      <c r="AI142" s="108" t="str">
        <f t="shared" si="11"/>
        <v>echo {"issue":{"subject":"Onboard in-route failure","project_id":79,"tracker_id":40,"status_id":1,"priority_id":2,"assigned_to_id":23,"start_date":"2017-02-01","description":"","custom_fields":[{"id":1,"name":"Subdivision","value":"EC"},{"id":4,"name":"Milepost","value":"0.0132"},{"id":17,"name":"Train ID","value":"230-01"},{"id":16,"name":"Locomotive ID","value":"4030"},{"id":130,"name":"Impact","value":""},{"id":150,"name":"Time of Event (Mountain Time)","value":"22:40:25"},{"id":151,"name":"Denver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60" t="str">
        <f t="shared" si="12"/>
        <v>start /low /b %USERPROFILE%\Documents\GitHub\eaglep3\Utilities\DownloadLogsFromS3.py --loco 4030 --day 2017-02-01</v>
      </c>
      <c r="AN142" s="16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647</v>
      </c>
      <c r="B143" s="7">
        <v>4030</v>
      </c>
      <c r="C143" s="21" t="s">
        <v>193</v>
      </c>
      <c r="D143" s="21" t="s">
        <v>325</v>
      </c>
      <c r="E143" s="13">
        <v>42767.90892361111</v>
      </c>
      <c r="F143" s="13">
        <v>42767.927789351852</v>
      </c>
      <c r="G143" s="7">
        <v>2</v>
      </c>
      <c r="H143" s="21" t="s">
        <v>742</v>
      </c>
      <c r="I143" s="13">
        <v>42767.944733796299</v>
      </c>
      <c r="J143" s="7">
        <v>0</v>
      </c>
      <c r="K143" s="98" t="str">
        <f>IF(ISEVEN(B143),(B143-1)&amp;"/"&amp;B143,B143&amp;"/"&amp;(B143+1))</f>
        <v>4029/4030</v>
      </c>
      <c r="L143" s="21" t="str">
        <f>VLOOKUP(A143,'Trips&amp;Operators'!$C$1:$G$99999,5,FALSE)</f>
        <v>DELGADO DIANAH</v>
      </c>
      <c r="M143" s="6">
        <f>I143-F143</f>
        <v>1.6944444447290152E-2</v>
      </c>
      <c r="N143" s="7"/>
      <c r="O143" s="7"/>
      <c r="P143" s="7"/>
      <c r="Q143" s="22"/>
      <c r="R143" s="22"/>
      <c r="S143" s="31"/>
      <c r="T143" s="46" t="str">
        <f>IF(ISEVEN(LEFT(AD143,4)),"Southbound","NorthBound")</f>
        <v>Southbound</v>
      </c>
      <c r="U143" s="19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9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-01T20:48:51-0700',mode:absolute,to:'2017-02-01T23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93" t="str">
        <f>IF(AA143&lt;IF(AG143="EC",23,5.65),"Y","N")</f>
        <v>Y</v>
      </c>
      <c r="X143" s="193">
        <f>VALUE(LEFT(AD143,4))-VALUE(LEFT(AD142,4))</f>
        <v>0</v>
      </c>
      <c r="Y143" s="62">
        <f>RIGHT(D143,LEN(D143)-4)/10000</f>
        <v>23.3017</v>
      </c>
      <c r="Z143" s="62">
        <f>RIGHT(H143,LEN(H143)-4)/10000</f>
        <v>23.302700000000002</v>
      </c>
      <c r="AA143" s="62">
        <f>ABS(Z143-Y143)</f>
        <v>1.0000000000012221E-3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>IF(LEN(A143)=6,"0"&amp;A143,A143)</f>
        <v>0230-01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/stypes="app*4030*20170202*"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si="10"/>
        <v>"%USERPROFILE%\Documents\GitHub\eaglep3\Utilities\RefineRTDCRunTimes.py" --tripid 230-01 --locoid 4030 --swversion DE.1.0.8.0 --startMP 204:233017 --initTime 2017-02-01T21:48:51 --startdatetime 2017-02-01T22:16:01 --delay 2 --endMP 204:233027 --enddatetime 2017-02-01T22:40:25 --enforcementcount 0 &gt;&gt;C:\Users\stu\Documents\GitHub\eaglep3-reporting\EC\2017-02-01-refined-times.txt</v>
      </c>
      <c r="AI143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{"issue":{"subject":"","project_id":79,"tracker_id":40,"status_id":1,"priority_id":2,"assigned_to_id":23,"start_date":"2017-02-01","description":"","custom_fields":[{"id":1,"name":"Subdivision","value":"EC"},{"id":4,"name":"Milepost","value":"23.3027"},{"id":17,"name":"Train ID","value":"230-01"},{"id":16,"name":"Locomotive ID","value":"4030"},{"id":130,"name":"Impact","value":""},{"id":150,"name":"Time of Event (Mountain Time)","value":"22:40:25"},{"id":151,"name":"Denver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60" t="str">
        <f t="shared" si="12"/>
        <v>start /low /b %USERPROFILE%\Documents\GitHub\eaglep3\Utilities\DownloadLogsFromS3.py --loco 4030 --day 2017-02-01</v>
      </c>
      <c r="AN143" s="16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645</v>
      </c>
      <c r="B144" s="7">
        <v>4038</v>
      </c>
      <c r="C144" s="21" t="s">
        <v>193</v>
      </c>
      <c r="D144" s="21" t="s">
        <v>211</v>
      </c>
      <c r="E144" s="13">
        <v>42767.889062499999</v>
      </c>
      <c r="F144" s="13">
        <v>42767.896006944444</v>
      </c>
      <c r="G144" s="7">
        <v>1</v>
      </c>
      <c r="H144" s="21" t="s">
        <v>705</v>
      </c>
      <c r="I144" s="13">
        <v>42767.921342592592</v>
      </c>
      <c r="J144" s="7">
        <v>0</v>
      </c>
      <c r="K144" s="98" t="str">
        <f>IF(ISEVEN(B144),(B144-1)&amp;"/"&amp;B144,B144&amp;"/"&amp;(B144+1))</f>
        <v>4037/4038</v>
      </c>
      <c r="L144" s="21" t="str">
        <f>VLOOKUP(A144,'Trips&amp;Operators'!$C$1:$G$99999,5,FALSE)</f>
        <v>LALONDE GREGORY</v>
      </c>
      <c r="M144" s="6">
        <f>I144-F144</f>
        <v>2.5335648148029577E-2</v>
      </c>
      <c r="N144" s="7">
        <f>24*60*SUM($M144:$M144)</f>
        <v>36.483333333162591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9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-01T20:20:15-0700',mode:absolute,to:'2017-02-01T23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4" s="193" t="str">
        <f>IF(AA144&lt;IF(AG144="EC",23,5.65),"Y","N")</f>
        <v>N</v>
      </c>
      <c r="X144" s="193">
        <f>VALUE(LEFT(AD144,4))-VALUE(LEFT(AD143,4))</f>
        <v>1</v>
      </c>
      <c r="Y144" s="62">
        <f>RIGHT(D144,LEN(D144)-4)/10000</f>
        <v>4.6199999999999998E-2</v>
      </c>
      <c r="Z144" s="62">
        <f>RIGHT(H144,LEN(H144)-4)/10000</f>
        <v>23.3293</v>
      </c>
      <c r="AA144" s="62">
        <f>ABS(Z144-Y144)</f>
        <v>23.283100000000001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>IF(LEN(A144)=6,"0"&amp;A144,A144)</f>
        <v>0231-01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/stypes="app*4038*20170202*"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10"/>
        <v>"%USERPROFILE%\Documents\GitHub\eaglep3\Utilities\RefineRTDCRunTimes.py" --tripid 231-01 --locoid 4038 --swversion DE.1.0.8.0 --startMP 204:462 --initTime 2017-02-01T21:20:15 --startdatetime 2017-02-01T21:30:15 --delay 1 --endMP 204:233293 --enddatetime 2017-02-01T22:06:44 --enforcementcount 0 &gt;&gt;C:\Users\stu\Documents\GitHub\eaglep3-reporting\EC\2017-02-01-refined-times.txt</v>
      </c>
      <c r="AI144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{"issue":{"subject":"","project_id":79,"tracker_id":40,"status_id":1,"priority_id":2,"assigned_to_id":23,"start_date":"2017-02-01","description":"","custom_fields":[{"id":1,"name":"Subdivision","value":"EC"},{"id":4,"name":"Milepost","value":"23.3293"},{"id":17,"name":"Train ID","value":"231-01"},{"id":16,"name":"Locomotive ID","value":"4038"},{"id":130,"name":"Impact","value":""},{"id":150,"name":"Time of Event (Mountain Time)","value":"22:06:44"},{"id":151,"name":"Denver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60" t="str">
        <f t="shared" si="12"/>
        <v>start /low /b %USERPROFILE%\Documents\GitHub\eaglep3\Utilities\DownloadLogsFromS3.py --loco 4038 --day 2017-02-01</v>
      </c>
      <c r="AN144" s="16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"%USERPROFILE%\AppData\Local\Temp\OnboardLogs"\RTDC4038\*4038*20170202* | grep -SE "(Enforcement Action)|(\[TIMEOUT)|(CHR.+\|PRM\|1\|D.+(SWITCH|SIGNAL).+UNKNOWN)" - &gt;&gt; 2017-02-01-UncaughtWiMAX.txt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650</v>
      </c>
      <c r="B145" s="7">
        <v>4037</v>
      </c>
      <c r="C145" s="21" t="s">
        <v>193</v>
      </c>
      <c r="D145" s="21" t="s">
        <v>298</v>
      </c>
      <c r="E145" s="13">
        <v>42767.924675925926</v>
      </c>
      <c r="F145" s="13">
        <v>42767.934930555559</v>
      </c>
      <c r="G145" s="7">
        <v>2</v>
      </c>
      <c r="H145" s="21" t="s">
        <v>403</v>
      </c>
      <c r="I145" s="13">
        <v>42767.963287037041</v>
      </c>
      <c r="J145" s="7">
        <v>0</v>
      </c>
      <c r="K145" s="98" t="str">
        <f>IF(ISEVEN(B145),(B145-1)&amp;"/"&amp;B145,B145&amp;"/"&amp;(B145+1))</f>
        <v>4037/4038</v>
      </c>
      <c r="L145" s="21" t="str">
        <f>VLOOKUP(A145,'Trips&amp;Operators'!$C$1:$G$99999,5,FALSE)</f>
        <v>LALONDE GREGORY</v>
      </c>
      <c r="M145" s="6">
        <f>I145-F145</f>
        <v>2.8356481481750961E-2</v>
      </c>
      <c r="N145" s="7">
        <f>24*60*SUM($M145:$M145)</f>
        <v>40.833333333721384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9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-02-01T21:11:32-0700',mode:absolute,to:'2017-02-02T00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5" s="193" t="str">
        <f>IF(AA145&lt;IF(AG145="EC",23,5.65),"Y","N")</f>
        <v>N</v>
      </c>
      <c r="X145" s="193">
        <f>VALUE(LEFT(AD145,4))-VALUE(LEFT(AD144,4))</f>
        <v>1</v>
      </c>
      <c r="Y145" s="62">
        <f>RIGHT(D145,LEN(D145)-4)/10000</f>
        <v>23.2989</v>
      </c>
      <c r="Z145" s="62">
        <f>RIGHT(H145,LEN(H145)-4)/10000</f>
        <v>1.7399999999999999E-2</v>
      </c>
      <c r="AA145" s="62">
        <f>ABS(Z145-Y145)</f>
        <v>23.281500000000001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>IF(LEN(A145)=6,"0"&amp;A145,A145)</f>
        <v>0232-01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/stypes="app*4037*20170202*" /stext=" 06:.+((SYSTEM_STATE.+slice.+state.+changed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10"/>
        <v>"%USERPROFILE%\Documents\GitHub\eaglep3\Utilities\RefineRTDCRunTimes.py" --tripid 232-01 --locoid 4037 --swversion DE.1.0.8.0 --startMP 204:232989 --initTime 2017-02-01T22:11:32 --startdatetime 2017-02-01T22:26:18 --delay 2 --endMP 204:174 --enddatetime 2017-02-01T23:07:08 --enforcementcount 0 &gt;&gt;C:\Users\stu\Documents\GitHub\eaglep3-reporting\EC\2017-02-01-refined-times.txt</v>
      </c>
      <c r="AI145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{"issue":{"subject":"","project_id":79,"tracker_id":40,"status_id":1,"priority_id":2,"assigned_to_id":23,"start_date":"2017-02-01","description":"","custom_fields":[{"id":1,"name":"Subdivision","value":"EC"},{"id":4,"name":"Milepost","value":"0.0174"},{"id":17,"name":"Train ID","value":"232-01"},{"id":16,"name":"Locomotive ID","value":"4037"},{"id":130,"name":"Impact","value":""},{"id":150,"name":"Time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60" t="str">
        <f t="shared" si="12"/>
        <v>start /low /b %USERPROFILE%\Documents\GitHub\eaglep3\Utilities\DownloadLogsFromS3.py --loco 4037 --day 2017-02-01</v>
      </c>
      <c r="AN145" s="16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"%USERPROFILE%\AppData\Local\Temp\OnboardLogs"\RTDC4037\*4037*20170202* | grep -SE "(Enforcement Action)|(\[TIMEOUT)|(CHR.+\|PRM\|1\|D.+(SWITCH|SIGNAL).+UNKNOWN)" - &gt;&gt; 2017-02-01-UncaughtWiMAX.txt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649</v>
      </c>
      <c r="B146" s="7">
        <v>4042</v>
      </c>
      <c r="C146" s="21" t="s">
        <v>193</v>
      </c>
      <c r="D146" s="21" t="s">
        <v>385</v>
      </c>
      <c r="E146" s="13">
        <v>42767.912199074075</v>
      </c>
      <c r="F146" s="13">
        <v>42767.916875000003</v>
      </c>
      <c r="G146" s="7">
        <v>2</v>
      </c>
      <c r="H146" s="21" t="s">
        <v>743</v>
      </c>
      <c r="I146" s="13">
        <v>42767.943159722221</v>
      </c>
      <c r="J146" s="7">
        <v>0</v>
      </c>
      <c r="K146" s="98" t="str">
        <f>IF(ISEVEN(B146),(B146-1)&amp;"/"&amp;B146,B146&amp;"/"&amp;(B146+1))</f>
        <v>4041/4042</v>
      </c>
      <c r="L146" s="21" t="str">
        <f>VLOOKUP(A146,'Trips&amp;Operators'!$C$1:$G$99999,5,FALSE)</f>
        <v>BROWN JACOB</v>
      </c>
      <c r="M146" s="6">
        <f>I146-F146</f>
        <v>2.6284722218406387E-2</v>
      </c>
      <c r="N146" s="7">
        <f>24*60*SUM($M146:$M146)</f>
        <v>37.849999994505197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9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-02-01T20:53:34-0700',mode:absolute,to:'2017-02-01T23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6" s="193" t="str">
        <f>IF(AA146&lt;IF(AG146="EC",23,5.65),"Y","N")</f>
        <v>N</v>
      </c>
      <c r="X146" s="193">
        <f>VALUE(LEFT(AD146,4))-VALUE(LEFT(AD145,4))</f>
        <v>1</v>
      </c>
      <c r="Y146" s="62">
        <f>RIGHT(D146,LEN(D146)-4)/10000</f>
        <v>4.2700000000000002E-2</v>
      </c>
      <c r="Z146" s="62">
        <f>RIGHT(H146,LEN(H146)-4)/10000</f>
        <v>23.328800000000001</v>
      </c>
      <c r="AA146" s="62">
        <f>ABS(Z146-Y146)</f>
        <v>23.286100000000001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>IF(LEN(A146)=6,"0"&amp;A146,A146)</f>
        <v>0233-01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/stypes="app*4042*20170202*"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10"/>
        <v>"%USERPROFILE%\Documents\GitHub\eaglep3\Utilities\RefineRTDCRunTimes.py" --tripid 233-01 --locoid 4042 --swversion DE.1.0.8.0 --startMP 204:427 --initTime 2017-02-01T21:53:34 --startdatetime 2017-02-01T22:00:18 --delay 2 --endMP 204:233288 --enddatetime 2017-02-01T22:38:09 --enforcementcount 0 &gt;&gt;C:\Users\stu\Documents\GitHub\eaglep3-reporting\EC\2017-02-01-refined-times.txt</v>
      </c>
      <c r="AI146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{"issue":{"subject":"","project_id":79,"tracker_id":40,"status_id":1,"priority_id":2,"assigned_to_id":23,"start_date":"2017-02-01","description":"","custom_fields":[{"id":1,"name":"Subdivision","value":"EC"},{"id":4,"name":"Milepost","value":"23.3288"},{"id":17,"name":"Train ID","value":"233-01"},{"id":16,"name":"Locomotive ID","value":"4042"},{"id":130,"name":"Impact","value":""},{"id":150,"name":"Time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60" t="str">
        <f t="shared" si="12"/>
        <v>start /low /b %USERPROFILE%\Documents\GitHub\eaglep3\Utilities\DownloadLogsFromS3.py --loco 4042 --day 2017-02-01</v>
      </c>
      <c r="AN146" s="16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448</v>
      </c>
      <c r="B147" s="7">
        <v>4041</v>
      </c>
      <c r="C147" s="21" t="s">
        <v>193</v>
      </c>
      <c r="D147" s="21" t="s">
        <v>710</v>
      </c>
      <c r="E147" s="13">
        <v>42767.951481481483</v>
      </c>
      <c r="F147" s="13">
        <v>42767.955694444441</v>
      </c>
      <c r="G147" s="7">
        <v>2</v>
      </c>
      <c r="H147" s="21" t="s">
        <v>290</v>
      </c>
      <c r="I147" s="13">
        <v>42767.985000000001</v>
      </c>
      <c r="J147" s="7">
        <v>0</v>
      </c>
      <c r="K147" s="98" t="str">
        <f>IF(ISEVEN(B147),(B147-1)&amp;"/"&amp;B147,B147&amp;"/"&amp;(B147+1))</f>
        <v>4041/4042</v>
      </c>
      <c r="L147" s="21" t="str">
        <f>VLOOKUP(A147,'Trips&amp;Operators'!$C$1:$G$99999,5,FALSE)</f>
        <v>BROWN JACOB</v>
      </c>
      <c r="M147" s="6">
        <f>I147-F147</f>
        <v>2.9305555559403729E-2</v>
      </c>
      <c r="N147" s="7">
        <f>24*60*SUM($M147:$M147)</f>
        <v>42.200000005541369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9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-02-01T21:50:08-0700',mode:absolute,to:'2017-02-02T00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7" s="193" t="str">
        <f>IF(AA147&lt;IF(AG147="EC",23,5.65),"Y","N")</f>
        <v>N</v>
      </c>
      <c r="X147" s="193">
        <f>VALUE(LEFT(AD147,4))-VALUE(LEFT(AD146,4))</f>
        <v>1</v>
      </c>
      <c r="Y147" s="62">
        <f>RIGHT(D147,LEN(D147)-4)/10000</f>
        <v>23.297999999999998</v>
      </c>
      <c r="Z147" s="62">
        <f>RIGHT(H147,LEN(H147)-4)/10000</f>
        <v>1.3599999999999999E-2</v>
      </c>
      <c r="AA147" s="62">
        <f>ABS(Z147-Y147)</f>
        <v>23.284399999999998</v>
      </c>
      <c r="AB147" s="59" t="str">
        <f>VLOOKUP(A147,Enforcements!$C$7:$K$16,8,0)</f>
        <v>Bulletin (2)</v>
      </c>
      <c r="AC147" s="55" t="str">
        <f>VLOOKUP(A147,Enforcements!$C$7:$E$16,3,0)</f>
        <v>GRADE CROSSING</v>
      </c>
      <c r="AD147" s="56" t="str">
        <f>IF(LEN(A147)=6,"0"&amp;A147,A147)</f>
        <v>0234-01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/stypes="app*4041*20170202*"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10"/>
        <v>"%USERPROFILE%\Documents\GitHub\eaglep3\Utilities\RefineRTDCRunTimes.py" --tripid 234-01 --locoid 4041 --swversion DE.1.0.8.0 --startMP 204:232980 --initTime 2017-02-01T22:50:08 --startdatetime 2017-02-01T22:56:12 --delay 2 --endMP 204:136 --enddatetime 2017-02-01T23:38:24 --enforcementcount 0 &gt;&gt;C:\Users\stu\Documents\GitHub\eaglep3-reporting\EC\2017-02-01-refined-times.txt</v>
      </c>
      <c r="AI147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{"issue":{"subject":"","project_id":79,"tracker_id":40,"status_id":1,"priority_id":2,"assigned_to_id":23,"start_date":"2017-02-01","description":"","custom_fields":[{"id":1,"name":"Subdivision","value":"EC"},{"id":4,"name":"Milepost","value":"0.0136"},{"id":17,"name":"Train ID","value":"234-01"},{"id":16,"name":"Locomotive ID","value":"4041"},{"id":130,"name":"Impact","value":""},{"id":150,"name":"Time of Event (Mountain Time)","value":"23:38:24"},{"id":151,"name":"Denver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60" t="str">
        <f t="shared" si="12"/>
        <v>start /low /b %USERPROFILE%\Documents\GitHub\eaglep3\Utilities\DownloadLogsFromS3.py --loco 4041 --day 2017-02-01</v>
      </c>
      <c r="AN147" s="16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"%USERPROFILE%\AppData\Local\Temp\OnboardLogs"\RTDC4041\*4041*20170202* | grep -SE "(Enforcement Action)|(\[TIMEOUT)|(CHR.+\|PRM\|1\|D.+(SWITCH|SIGNAL).+UNKNOWN)" - &gt;&gt; 2017-02-01-UncaughtWiMAX.txt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651</v>
      </c>
      <c r="B148" s="7">
        <v>4040</v>
      </c>
      <c r="C148" s="21" t="s">
        <v>193</v>
      </c>
      <c r="D148" s="21" t="s">
        <v>744</v>
      </c>
      <c r="E148" s="13">
        <v>42767.92800925926</v>
      </c>
      <c r="F148" s="13">
        <v>42767.937696759262</v>
      </c>
      <c r="G148" s="7">
        <v>1</v>
      </c>
      <c r="H148" s="21" t="s">
        <v>335</v>
      </c>
      <c r="I148" s="13">
        <v>42767.962430555555</v>
      </c>
      <c r="J148" s="7">
        <v>0</v>
      </c>
      <c r="K148" s="98" t="str">
        <f>IF(ISEVEN(B148),(B148-1)&amp;"/"&amp;B148,B148&amp;"/"&amp;(B148+1))</f>
        <v>4039/4040</v>
      </c>
      <c r="L148" s="21" t="str">
        <f>VLOOKUP(A148,'Trips&amp;Operators'!$C$1:$G$99999,5,FALSE)</f>
        <v>MCREYNOLDS KYLE</v>
      </c>
      <c r="M148" s="6">
        <f>I148-F148</f>
        <v>2.4733796293730848E-2</v>
      </c>
      <c r="N148" s="7">
        <f>24*60*SUM($M148:$M148)</f>
        <v>35.61666666297242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9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-02-01T21:16:20-0700',mode:absolute,to:'2017-02-02T00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193" t="str">
        <f>IF(AA148&lt;IF(AG148="EC",23,5.65),"Y","N")</f>
        <v>N</v>
      </c>
      <c r="X148" s="193">
        <f>VALUE(LEFT(AD148,4))-VALUE(LEFT(AD147,4))</f>
        <v>1</v>
      </c>
      <c r="Y148" s="62">
        <f>RIGHT(D148,LEN(D148)-4)/10000</f>
        <v>0.115</v>
      </c>
      <c r="Z148" s="62">
        <f>RIGHT(H148,LEN(H148)-4)/10000</f>
        <v>23.330400000000001</v>
      </c>
      <c r="AA148" s="62">
        <f>ABS(Z148-Y148)</f>
        <v>23.215400000000002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>IF(LEN(A148)=6,"0"&amp;A148,A148)</f>
        <v>0235-01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 &amp; aws s3 cp s3://rtdc.mdm.uploadarchive.raw/RTDC4040/ "%USERPROFILE%\AppData\Local\Temp\OnboardLogs"\RTDC4040\2017-02-02 --exclude "*" --recursive --include "*20170202*" &amp; "%USERPROFILE%\Documents\GitHub\mrs-test-scripts\Headless Mode &amp; Sideloading\WalkAndUnGZ.bat" "%USERPROFILE%\AppData\Local\Temp\OnboardLogs"\RTDC4040\2017-02-02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/stypes="app*4040*20170202*"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10"/>
        <v>"%USERPROFILE%\Documents\GitHub\eaglep3\Utilities\RefineRTDCRunTimes.py" --tripid 235-01 --locoid 4040 --swversion DE.1.0.8.0 --startMP 204:1150 --initTime 2017-02-01T22:16:20 --startdatetime 2017-02-01T22:30:17 --delay 1 --endMP 204:233304 --enddatetime 2017-02-01T23:05:54 --enforcementcount 0 &gt;&gt;C:\Users\stu\Documents\GitHub\eaglep3-reporting\EC\2017-02-01-refined-times.txt</v>
      </c>
      <c r="AI148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{"issue":{"subject":"","project_id":79,"tracker_id":40,"status_id":1,"priority_id":2,"assigned_to_id":23,"start_date":"2017-02-01","description":"","custom_fields":[{"id":1,"name":"Subdivision","value":"EC"},{"id":4,"name":"Milepost","value":"23.3304"},{"id":17,"name":"Train ID","value":"235-01"},{"id":16,"name":"Locomotive ID","value":"4040"},{"id":130,"name":"Impact","value":""},{"id":150,"name":"Time of Event (Mountain Time)","value":"23:05:54"},{"id":151,"name":"Denver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60" t="str">
        <f t="shared" si="12"/>
        <v>start /low /b %USERPROFILE%\Documents\GitHub\eaglep3\Utilities\DownloadLogsFromS3.py --loco 4040 --day 2017-02-01</v>
      </c>
      <c r="AN148" s="16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"%USERPROFILE%\AppData\Local\Temp\OnboardLogs"\RTDC4040\*4040*20170202* | grep -SE "(Enforcement Action)|(\[TIMEOUT)|(CHR.+\|PRM\|1\|D.+(SWITCH|SIGNAL).+UNKNOWN)" - &gt;&gt; 2017-02-01-UncaughtWiMAX.txt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654</v>
      </c>
      <c r="B149" s="7">
        <v>4039</v>
      </c>
      <c r="C149" s="21" t="s">
        <v>193</v>
      </c>
      <c r="D149" s="21" t="s">
        <v>745</v>
      </c>
      <c r="E149" s="13">
        <v>42768.00472222222</v>
      </c>
      <c r="F149" s="13">
        <v>42768.005497685182</v>
      </c>
      <c r="G149" s="7">
        <v>1</v>
      </c>
      <c r="H149" s="21" t="s">
        <v>746</v>
      </c>
      <c r="I149" s="13">
        <v>42768.02716435185</v>
      </c>
      <c r="J149" s="7">
        <v>0</v>
      </c>
      <c r="K149" s="98" t="str">
        <f>IF(ISEVEN(B149),(B149-1)&amp;"/"&amp;B149,B149&amp;"/"&amp;(B149+1))</f>
        <v>4039/4040</v>
      </c>
      <c r="L149" s="21" t="str">
        <f>VLOOKUP(A149,'Trips&amp;Operators'!$C$1:$G$99999,5,FALSE)</f>
        <v>NELSON ARIANE</v>
      </c>
      <c r="M149" s="6">
        <f>I149-F149</f>
        <v>2.1666666667442769E-2</v>
      </c>
      <c r="N149" s="7"/>
      <c r="O149" s="7"/>
      <c r="P149" s="7">
        <f>24*60*SUM($M149:$M150)</f>
        <v>61.833333328831941</v>
      </c>
      <c r="Q149" s="22"/>
      <c r="R149" s="22" t="s">
        <v>864</v>
      </c>
      <c r="S149" s="31">
        <f>SUM(U149:U149)/IF(AG149="EC",12,1)</f>
        <v>1</v>
      </c>
      <c r="T149" s="46" t="str">
        <f>IF(ISEVEN(LEFT(AD149,4)),"Southbound","NorthBound")</f>
        <v>Southbound</v>
      </c>
      <c r="U149" s="19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-02-01T23:06:48-0700',mode:absolute,to:'2017-02-02T01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193" t="str">
        <f>IF(AA149&lt;IF(AG149="EC",23,5.65),"Y","N")</f>
        <v>Y</v>
      </c>
      <c r="X149" s="193">
        <f>VALUE(LEFT(AD149,4))-VALUE(LEFT(AD148,4))</f>
        <v>1</v>
      </c>
      <c r="Y149" s="62">
        <f>RIGHT(D149,LEN(D149)-4)/10000</f>
        <v>12.7866</v>
      </c>
      <c r="Z149" s="62">
        <f>RIGHT(H149,LEN(H149)-4)/10000</f>
        <v>8.8099999999999998E-2</v>
      </c>
      <c r="AA149" s="62">
        <f>ABS(Z149-Y149)</f>
        <v>12.698499999999999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>IF(LEN(A149)=6,"0"&amp;A149,A149)</f>
        <v>0236-01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 &amp; 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/stypes="app*4039*20170202*" /stext=" 07:.+((SYSTEM_STATE.+slice.+state.+changed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10"/>
        <v>"%USERPROFILE%\Documents\GitHub\eaglep3\Utilities\RefineRTDCRunTimes.py" --tripid 236-01 --locoid 4039 --swversion DE.1.0.8.0 --startMP 204:127866 --initTime 2017-02-02T00:06:48 --startdatetime 2017-02-02T00:07:55 --delay 1 --endMP 204:881 --enddatetime 2017-02-02T00:39:07 --enforcementcount 0 &gt;&gt;C:\Users\stu\Documents\GitHub\eaglep3-reporting\EC\2017-02-01-refined-times.txt</v>
      </c>
      <c r="AI149" s="108" t="str">
        <f t="shared" si="11"/>
        <v>echo {"issue":{"subject":"Pena 4S stuck at STOP","project_id":79,"tracker_id":40,"status_id":1,"priority_id":2,"assigned_to_id":23,"start_date":"2017-02-02","description":"At 23:31:36, Pena 4S received a clear control, but did not clear. Do logs show anything unusual at this time?","custom_fields":[{"id":1,"name":"Subdivision","value":"EC"},{"id":4,"name":"Milepost","value":"0.0881"},{"id":17,"name":"Train ID","value":"236-01"},{"id":16,"name":"Locomotive ID","value":"4039"},{"id":130,"name":"Impact","value":"Unexpected Cut-Out or Disengaged"},{"id":150,"name":"Time of Event (Mountain Time)","value":"00:39:07"},{"id":151,"name":"Denver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9" s="48" t="s">
        <v>865</v>
      </c>
      <c r="AK149" s="48" t="s">
        <v>130</v>
      </c>
      <c r="AL149" s="48" t="s">
        <v>129</v>
      </c>
      <c r="AM149" s="160" t="str">
        <f t="shared" si="12"/>
        <v>start /low /b %USERPROFILE%\Documents\GitHub\eaglep3\Utilities\DownloadLogsFromS3.py --loco 4039 --day 2017-02-02</v>
      </c>
      <c r="AN149" s="16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"%USERPROFILE%\AppData\Local\Temp\OnboardLogs"\RTDC4039\*4039*20170202* | grep -SE "(Enforcement Action)|(\[TIMEOUT)|(CHR.+\|PRM\|1\|D.+(SWITCH|SIGNAL).+UNKNOWN)" - &gt;&gt; 2017-02-01-UncaughtWiMAX.txt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654</v>
      </c>
      <c r="B150" s="7">
        <v>4039</v>
      </c>
      <c r="C150" s="21" t="s">
        <v>193</v>
      </c>
      <c r="D150" s="21" t="s">
        <v>336</v>
      </c>
      <c r="E150" s="13">
        <v>42767.96802083333</v>
      </c>
      <c r="F150" s="13">
        <v>42767.968981481485</v>
      </c>
      <c r="G150" s="7">
        <v>1</v>
      </c>
      <c r="H150" s="21" t="s">
        <v>747</v>
      </c>
      <c r="I150" s="13">
        <v>42767.990254629629</v>
      </c>
      <c r="J150" s="7">
        <v>0</v>
      </c>
      <c r="K150" s="98" t="str">
        <f>IF(ISEVEN(B150),(B150-1)&amp;"/"&amp;B150,B150&amp;"/"&amp;(B150+1))</f>
        <v>4039/4040</v>
      </c>
      <c r="L150" s="21" t="str">
        <f>VLOOKUP(A150,'Trips&amp;Operators'!$C$1:$G$99999,5,FALSE)</f>
        <v>NELSON ARIANE</v>
      </c>
      <c r="M150" s="6">
        <f>I150-F150</f>
        <v>2.1273148144246079E-2</v>
      </c>
      <c r="N150" s="7"/>
      <c r="O150" s="7"/>
      <c r="P150" s="7"/>
      <c r="Q150" s="22"/>
      <c r="R150" s="22"/>
      <c r="S150" s="31"/>
      <c r="T150" s="46" t="str">
        <f>IF(ISEVEN(LEFT(AD150,4)),"Southbound","NorthBound")</f>
        <v>Southbound</v>
      </c>
      <c r="U150" s="19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-02-01T22:13:57-0700',mode:absolute,to:'2017-02-02T00:45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193" t="str">
        <f>IF(AA150&lt;IF(AG150="EC",23,5.65),"Y","N")</f>
        <v>Y</v>
      </c>
      <c r="X150" s="193">
        <f>VALUE(LEFT(AD150,4))-VALUE(LEFT(AD149,4))</f>
        <v>0</v>
      </c>
      <c r="Y150" s="62">
        <f>RIGHT(D150,LEN(D150)-4)/10000</f>
        <v>23.297599999999999</v>
      </c>
      <c r="Z150" s="62">
        <f>RIGHT(H150,LEN(H150)-4)/10000</f>
        <v>19.3216</v>
      </c>
      <c r="AA150" s="62">
        <f>ABS(Z150-Y150)</f>
        <v>3.9759999999999991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>IF(LEN(A150)=6,"0"&amp;A150,A150)</f>
        <v>0236-01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 &amp; 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/stypes="app*4039*20170202*"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6" t="str">
        <f t="shared" si="10"/>
        <v>"%USERPROFILE%\Documents\GitHub\eaglep3\Utilities\RefineRTDCRunTimes.py" --tripid 236-01 --locoid 4039 --swversion DE.1.0.8.0 --startMP 204:232976 --initTime 2017-02-01T23:13:57 --startdatetime 2017-02-01T23:15:20 --delay 1 --endMP 204:193216 --enddatetime 2017-02-01T23:45:58 --enforcementcount 0 &gt;&gt;C:\Users\stu\Documents\GitHub\eaglep3-reporting\EC\2017-02-01-refined-times.txt</v>
      </c>
      <c r="AI150" s="108" t="str">
        <f t="shared" si="11"/>
        <v>echo {"issue":{"subject":"","project_id":79,"tracker_id":40,"status_id":1,"priority_id":2,"assigned_to_id":23,"start_date":"2017-02-01","description":"","custom_fields":[{"id":1,"name":"Subdivision","value":"EC"},{"id":4,"name":"Milepost","value":"19.3216"},{"id":17,"name":"Train ID","value":"236-01"},{"id":16,"name":"Locomotive ID","value":"4039"},{"id":130,"name":"Impact","value":""},{"id":150,"name":"Time of Event (Mountain Time)","value":"23:45:58"},{"id":151,"name":"Denver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60" t="str">
        <f t="shared" si="12"/>
        <v>start /low /b %USERPROFILE%\Documents\GitHub\eaglep3\Utilities\DownloadLogsFromS3.py --loco 4039 --day 2017-02-01</v>
      </c>
      <c r="AN150" s="16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"%USERPROFILE%\AppData\Local\Temp\OnboardLogs"\RTDC4039\*4039*20170202* | grep -SE "(Enforcement Action)|(\[TIMEOUT)|(CHR.+\|PRM\|1\|D.+(SWITCH|SIGNAL).+UNKNOWN)" - &gt;&gt; 2017-02-01-UncaughtWiMAX.txt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653</v>
      </c>
      <c r="B151" s="7">
        <v>4029</v>
      </c>
      <c r="C151" s="21" t="s">
        <v>193</v>
      </c>
      <c r="D151" s="21" t="s">
        <v>352</v>
      </c>
      <c r="E151" s="13">
        <v>42767.94798611111</v>
      </c>
      <c r="F151" s="13">
        <v>42767.958518518521</v>
      </c>
      <c r="G151" s="7">
        <v>0</v>
      </c>
      <c r="H151" s="21" t="s">
        <v>748</v>
      </c>
      <c r="I151" s="13">
        <v>42767.987662037034</v>
      </c>
      <c r="J151" s="7">
        <v>0</v>
      </c>
      <c r="K151" s="98" t="str">
        <f>IF(ISEVEN(B151),(B151-1)&amp;"/"&amp;B151,B151&amp;"/"&amp;(B151+1))</f>
        <v>4029/4030</v>
      </c>
      <c r="L151" s="21" t="str">
        <f>VLOOKUP(A151,'Trips&amp;Operators'!$C$1:$G$99999,5,FALSE)</f>
        <v>DELGADO DIANAH</v>
      </c>
      <c r="M151" s="6">
        <f>I151-F151</f>
        <v>2.9143518513592426E-2</v>
      </c>
      <c r="N151" s="7"/>
      <c r="O151" s="7"/>
      <c r="P151" s="7">
        <f>24*60*SUM($M151:$M151)</f>
        <v>41.966666659573093</v>
      </c>
      <c r="Q151" s="22"/>
      <c r="R151" s="22" t="s">
        <v>867</v>
      </c>
      <c r="S151" s="31">
        <f>SUM(U151:U151)/IF(AG151="EC",12,1)</f>
        <v>1</v>
      </c>
      <c r="T151" s="46" t="str">
        <f>IF(ISEVEN(LEFT(AD151,4)),"Southbound","NorthBound")</f>
        <v>NorthBound</v>
      </c>
      <c r="U151" s="19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-02-01T21:45:06-0700',mode:absolute,to:'2017-02-02T00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193" t="str">
        <f>IF(AA151&lt;IF(AG151="EC",23,5.65),"Y","N")</f>
        <v>Y</v>
      </c>
      <c r="X151" s="193">
        <f>VALUE(LEFT(AD151,4))-VALUE(LEFT(AD150,4))</f>
        <v>1</v>
      </c>
      <c r="Y151" s="62">
        <f>RIGHT(D151,LEN(D151)-4)/10000</f>
        <v>4.4699999999999997E-2</v>
      </c>
      <c r="Z151" s="62">
        <f>RIGHT(H151,LEN(H151)-4)/10000</f>
        <v>16.718699999999998</v>
      </c>
      <c r="AA151" s="62">
        <f>ABS(Z151-Y151)</f>
        <v>16.673999999999999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>IF(LEN(A151)=6,"0"&amp;A151,A151)</f>
        <v>0237-01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 &amp; aws s3 cp s3://rtdc.mdm.uploadarchive.raw/RTDC4029/ "%USERPROFILE%\AppData\Local\Temp\OnboardLogs"\RTDC4029\2017-02-02 --exclude "*" --recursive --include "*20170202*" &amp; "%USERPROFILE%\Documents\GitHub\mrs-test-scripts\Headless Mode &amp; Sideloading\WalkAndUnGZ.bat" "%USERPROFILE%\AppData\Local\Temp\OnboardLogs"\RTDC4029\2017-02-02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/stypes="app*4029*20170202*"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6" t="str">
        <f t="shared" si="10"/>
        <v>"%USERPROFILE%\Documents\GitHub\eaglep3\Utilities\RefineRTDCRunTimes.py" --tripid 237-01 --locoid 4029 --swversion DE.1.0.8.0 --startMP 204:447 --initTime 2017-02-01T22:45:06 --startdatetime 2017-02-01T23:00:16 --delay 0 --endMP 204:167187 --enddatetime 2017-02-01T23:42:14 --enforcementcount 0 &gt;&gt;C:\Users\stu\Documents\GitHub\eaglep3-reporting\EC\2017-02-01-refined-times.txt</v>
      </c>
      <c r="AI151" s="108" t="str">
        <f t="shared" si="11"/>
        <v>echo {"issue":{"subject":"61st 2N stuck at STOP","project_id":79,"tracker_id":40,"status_id":1,"priority_id":2,"assigned_to_id":23,"start_date":"2017-02-01","description":"","custom_fields":[{"id":1,"name":"Subdivision","value":"EC"},{"id":4,"name":"Milepost","value":"16.7187"},{"id":17,"name":"Train ID","value":"237-01"},{"id":16,"name":"Locomotive ID","value":"4029"},{"id":130,"name":"Impact","value":""},{"id":150,"name":"Time of Event (Mountain Time)","value":"23:42:14"},{"id":151,"name":"Denver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60" t="str">
        <f t="shared" si="12"/>
        <v>start /low /b %USERPROFILE%\Documents\GitHub\eaglep3\Utilities\DownloadLogsFromS3.py --loco 4029 --day 2017-02-01</v>
      </c>
      <c r="AN151" s="16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"%USERPROFILE%\AppData\Local\Temp\OnboardLogs"\RTDC4029\*4029*20170202* | grep -SE "(Enforcement Action)|(\[TIMEOUT)|(CHR.+\|PRM\|1\|D.+(SWITCH|SIGNAL).+UNKNOWN)" - &gt;&gt; 2017-02-01-UncaughtWiMAX.txt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658</v>
      </c>
      <c r="B152" s="7">
        <v>4030</v>
      </c>
      <c r="C152" s="21" t="s">
        <v>193</v>
      </c>
      <c r="D152" s="21" t="s">
        <v>749</v>
      </c>
      <c r="E152" s="13">
        <v>42768.025648148148</v>
      </c>
      <c r="F152" s="13">
        <v>42768.026932870373</v>
      </c>
      <c r="G152" s="7">
        <v>1</v>
      </c>
      <c r="H152" s="21" t="s">
        <v>241</v>
      </c>
      <c r="I152" s="13">
        <v>42768.044618055559</v>
      </c>
      <c r="J152" s="7">
        <v>0</v>
      </c>
      <c r="K152" s="98" t="str">
        <f>IF(ISEVEN(B152),(B152-1)&amp;"/"&amp;B152,B152&amp;"/"&amp;(B152+1))</f>
        <v>4029/4030</v>
      </c>
      <c r="L152" s="21" t="str">
        <f>VLOOKUP(A152,'Trips&amp;Operators'!$C$1:$G$99999,5,FALSE)</f>
        <v>DELGADO DIANAH</v>
      </c>
      <c r="M152" s="6">
        <f>I152-F152</f>
        <v>1.7685185186564922E-2</v>
      </c>
      <c r="N152" s="7"/>
      <c r="O152" s="7"/>
      <c r="P152" s="7">
        <f>24*60*SUM($M152:$M153)</f>
        <v>31.116666658781469</v>
      </c>
      <c r="Q152" s="22"/>
      <c r="R152" s="22" t="s">
        <v>864</v>
      </c>
      <c r="S152" s="31">
        <f>SUM(U152:U152)/IF(AG152="EC",12,1)</f>
        <v>1</v>
      </c>
      <c r="T152" s="46" t="str">
        <f>IF(ISEVEN(LEFT(AD152,4)),"Southbound","NorthBound")</f>
        <v>Southbound</v>
      </c>
      <c r="U152" s="19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-02-01T23:36:56-0700',mode:absolute,to:'2017-02-02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193" t="str">
        <f>IF(AA152&lt;IF(AG152="EC",23,5.65),"Y","N")</f>
        <v>Y</v>
      </c>
      <c r="X152" s="193">
        <f>VALUE(LEFT(AD152,4))-VALUE(LEFT(AD151,4))</f>
        <v>1</v>
      </c>
      <c r="Y152" s="62">
        <f>RIGHT(D152,LEN(D152)-4)/10000</f>
        <v>12.7867</v>
      </c>
      <c r="Z152" s="62">
        <f>RIGHT(H152,LEN(H152)-4)/10000</f>
        <v>1.43E-2</v>
      </c>
      <c r="AA152" s="62">
        <f>ABS(Z152-Y152)</f>
        <v>12.772399999999999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>IF(LEN(A152)=6,"0"&amp;A152,A152)</f>
        <v>0238-01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 &amp; 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/stypes="app*4030*20170202*" /stext=" 08:.+((SYSTEM_STATE.+slice.+state.+changed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6" t="str">
        <f t="shared" si="10"/>
        <v>"%USERPROFILE%\Documents\GitHub\eaglep3\Utilities\RefineRTDCRunTimes.py" --tripid 238-01 --locoid 4030 --swversion DE.1.0.8.0 --startMP 204:127867 --initTime 2017-02-02T00:36:56 --startdatetime 2017-02-02T00:38:47 --delay 1 --endMP 204:143 --enddatetime 2017-02-02T01:04:15 --enforcementcount 0 &gt;&gt;C:\Users\stu\Documents\GitHub\eaglep3-reporting\EC\2017-02-01-refined-times.txt</v>
      </c>
      <c r="AI152" s="108" t="str">
        <f t="shared" si="11"/>
        <v>echo {"issue":{"subject":"Pena 4S stuck at STOP","project_id":79,"tracker_id":40,"status_id":1,"priority_id":2,"assigned_to_id":23,"start_date":"2017-02-02","description":"","custom_fields":[{"id":1,"name":"Subdivision","value":"EC"},{"id":4,"name":"Milepost","value":"0.0143"},{"id":17,"name":"Train ID","value":"238-01"},{"id":16,"name":"Locomotive ID","value":"4030"},{"id":130,"name":"Impact","value":""},{"id":150,"name":"Time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60" t="str">
        <f t="shared" si="12"/>
        <v>start /low /b %USERPROFILE%\Documents\GitHub\eaglep3\Utilities\DownloadLogsFromS3.py --loco 4030 --day 2017-02-02</v>
      </c>
      <c r="AN152" s="16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658</v>
      </c>
      <c r="B153" s="7">
        <v>4030</v>
      </c>
      <c r="C153" s="21" t="s">
        <v>193</v>
      </c>
      <c r="D153" s="21" t="s">
        <v>694</v>
      </c>
      <c r="E153" s="13">
        <v>42767.996203703704</v>
      </c>
      <c r="F153" s="13">
        <v>42767.997743055559</v>
      </c>
      <c r="G153" s="7">
        <v>1</v>
      </c>
      <c r="H153" s="21" t="s">
        <v>750</v>
      </c>
      <c r="I153" s="13">
        <v>42768.001666666663</v>
      </c>
      <c r="J153" s="7">
        <v>0</v>
      </c>
      <c r="K153" s="98" t="str">
        <f>IF(ISEVEN(B153),(B153-1)&amp;"/"&amp;B153,B153&amp;"/"&amp;(B153+1))</f>
        <v>4029/4030</v>
      </c>
      <c r="L153" s="21" t="str">
        <f>VLOOKUP(A153,'Trips&amp;Operators'!$C$1:$G$99999,5,FALSE)</f>
        <v>DELGADO DIANAH</v>
      </c>
      <c r="M153" s="6">
        <f>I153-F153</f>
        <v>3.9236111042555422E-3</v>
      </c>
      <c r="N153" s="7"/>
      <c r="O153" s="7"/>
      <c r="P153" s="7"/>
      <c r="Q153" s="22"/>
      <c r="R153" s="22"/>
      <c r="S153" s="31"/>
      <c r="T153" s="46" t="str">
        <f>IF(ISEVEN(LEFT(AD153,4)),"Southbound","NorthBound")</f>
        <v>Southbound</v>
      </c>
      <c r="U153" s="19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9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-02-01T22:54:32-0700',mode:absolute,to:'2017-02-02T01:02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3" t="str">
        <f>IF(AA153&lt;IF(AG153="EC",23,5.65),"Y","N")</f>
        <v>Y</v>
      </c>
      <c r="X153" s="193">
        <f>VALUE(LEFT(AD153,4))-VALUE(LEFT(AD152,4))</f>
        <v>0</v>
      </c>
      <c r="Y153" s="62">
        <f>RIGHT(D153,LEN(D153)-4)/10000</f>
        <v>23.301500000000001</v>
      </c>
      <c r="Z153" s="62">
        <f>RIGHT(H153,LEN(H153)-4)/10000</f>
        <v>19.3003</v>
      </c>
      <c r="AA153" s="62">
        <f>ABS(Z153-Y153)</f>
        <v>4.0012000000000008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>IF(LEN(A153)=6,"0"&amp;A153,A153)</f>
        <v>0238-01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/stypes="app*4030*20170202*"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6" t="str">
        <f t="shared" si="10"/>
        <v>"%USERPROFILE%\Documents\GitHub\eaglep3\Utilities\RefineRTDCRunTimes.py" --tripid 238-01 --locoid 4030 --swversion DE.1.0.8.0 --startMP 204:233015 --initTime 2017-02-01T23:54:32 --startdatetime 2017-02-01T23:56:45 --delay 1 --endMP 204:193003 --enddatetime 2017-02-02T00:02:24 --enforcementcount 0 &gt;&gt;C:\Users\stu\Documents\GitHub\eaglep3-reporting\EC\2017-02-01-refined-times.txt</v>
      </c>
      <c r="AI153" s="108" t="str">
        <f t="shared" si="11"/>
        <v>echo {"issue":{"subject":"","project_id":79,"tracker_id":40,"status_id":1,"priority_id":2,"assigned_to_id":23,"start_date":"2017-02-02","description":"","custom_fields":[{"id":1,"name":"Subdivision","value":"EC"},{"id":4,"name":"Milepost","value":"19.3003"},{"id":17,"name":"Train ID","value":"238-01"},{"id":16,"name":"Locomotive ID","value":"4030"},{"id":130,"name":"Impact","value":""},{"id":150,"name":"Time of Event (Mountain Time)","value":"00:02:24"},{"id":151,"name":"Denver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60" t="str">
        <f t="shared" si="12"/>
        <v>start /low /b %USERPROFILE%\Documents\GitHub\eaglep3\Utilities\DownloadLogsFromS3.py --loco 4030 --day 2017-02-01</v>
      </c>
      <c r="AN153" s="16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"%USERPROFILE%\AppData\Local\Temp\OnboardLogs"\RTDC4030\*4030*20170202* | grep -SE "(Enforcement Action)|(\[TIMEOUT)|(CHR.+\|PRM\|1\|D.+(SWITCH|SIGNAL).+UNKNOWN)" - &gt;&gt; 2017-02-01-UncaughtWiMAX.txt</v>
      </c>
    </row>
    <row r="154" spans="1:91" s="20" customFormat="1" x14ac:dyDescent="0.25">
      <c r="A154" s="33" t="s">
        <v>655</v>
      </c>
      <c r="B154" s="7">
        <v>4038</v>
      </c>
      <c r="C154" s="21" t="s">
        <v>193</v>
      </c>
      <c r="D154" s="21" t="s">
        <v>352</v>
      </c>
      <c r="E154" s="13">
        <v>42767.97042824074</v>
      </c>
      <c r="F154" s="13">
        <v>42767.979467592595</v>
      </c>
      <c r="G154" s="7">
        <v>1</v>
      </c>
      <c r="H154" s="21" t="s">
        <v>751</v>
      </c>
      <c r="I154" s="13">
        <v>42767.998020833336</v>
      </c>
      <c r="J154" s="7">
        <v>0</v>
      </c>
      <c r="K154" s="98" t="str">
        <f>IF(ISEVEN(B154),(B154-1)&amp;"/"&amp;B154,B154&amp;"/"&amp;(B154+1))</f>
        <v>4037/4038</v>
      </c>
      <c r="L154" s="21" t="str">
        <f>VLOOKUP(A154,'Trips&amp;Operators'!$C$1:$G$99999,5,FALSE)</f>
        <v>STORY SAMANTHA</v>
      </c>
      <c r="M154" s="6">
        <f>I154-F154</f>
        <v>1.8553240741312038E-2</v>
      </c>
      <c r="N154" s="7"/>
      <c r="O154" s="7"/>
      <c r="P154" s="7">
        <f>24*60*SUM($M154:$M154)</f>
        <v>26.716666667489335</v>
      </c>
      <c r="Q154" s="22"/>
      <c r="R154" s="22" t="s">
        <v>867</v>
      </c>
      <c r="S154" s="31">
        <f>SUM(U154:U154)/IF(AG154="EC",12,1)</f>
        <v>1</v>
      </c>
      <c r="T154" s="46" t="str">
        <f>IF(ISEVEN(LEFT(AD154,4)),"Southbound","NorthBound")</f>
        <v>NorthBound</v>
      </c>
      <c r="U154" s="19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-02-01T22:17:25-0700',mode:absolute,to:'2017-02-02T00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4" s="193" t="str">
        <f>IF(AA154&lt;IF(AG154="EC",23,5.65),"Y","N")</f>
        <v>Y</v>
      </c>
      <c r="X154" s="193">
        <f>VALUE(LEFT(AD154,4))-VALUE(LEFT(AD153,4))</f>
        <v>1</v>
      </c>
      <c r="Y154" s="62">
        <f>RIGHT(D154,LEN(D154)-4)/10000</f>
        <v>4.4699999999999997E-2</v>
      </c>
      <c r="Z154" s="62">
        <f>RIGHT(H154,LEN(H154)-4)/10000</f>
        <v>15.4415</v>
      </c>
      <c r="AA154" s="62">
        <f>ABS(Z154-Y154)</f>
        <v>15.396799999999999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>IF(LEN(A154)=6,"0"&amp;A154,A154)</f>
        <v>0239-01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/stypes="app*4038*20170202*" /stext=" 06:.+((SYSTEM_STATE.+slice.+state.+changed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6" t="str">
        <f t="shared" si="10"/>
        <v>"%USERPROFILE%\Documents\GitHub\eaglep3\Utilities\RefineRTDCRunTimes.py" --tripid 239-01 --locoid 4038 --swversion DE.1.0.8.0 --startMP 204:447 --initTime 2017-02-01T23:17:25 --startdatetime 2017-02-01T23:30:26 --delay 1 --endMP 204:154415 --enddatetime 2017-02-01T23:57:09 --enforcementcount 0 &gt;&gt;C:\Users\stu\Documents\GitHub\eaglep3-reporting\EC\2017-02-01-refined-times.txt</v>
      </c>
      <c r="AI154" s="108" t="str">
        <f t="shared" si="11"/>
        <v>echo {"issue":{"subject":"61st 2N stuck at STOP","project_id":79,"tracker_id":40,"status_id":1,"priority_id":2,"assigned_to_id":23,"start_date":"2017-02-01","description":"","custom_fields":[{"id":1,"name":"Subdivision","value":"EC"},{"id":4,"name":"Milepost","value":"15.4415"},{"id":17,"name":"Train ID","value":"239-01"},{"id":16,"name":"Locomotive ID","value":"4038"},{"id":130,"name":"Impact","value":""},{"id":150,"name":"Time of Event (Mountain Time)","value":"23:57:09"},{"id":151,"name":"Denver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60" t="str">
        <f t="shared" si="12"/>
        <v>start /low /b %USERPROFILE%\Documents\GitHub\eaglep3\Utilities\DownloadLogsFromS3.py --loco 4038 --day 2017-02-01</v>
      </c>
      <c r="AN154" s="16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"%USERPROFILE%\AppData\Local\Temp\OnboardLogs"\RTDC4038\*4038*20170202* | grep -SE "(Enforcement Action)|(\[TIMEOUT)|(CHR.+\|PRM\|1\|D.+(SWITCH|SIGNAL).+UNKNOWN)" - &gt;&gt; 2017-02-01-UncaughtWiMAX.txt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449</v>
      </c>
      <c r="B155" s="7">
        <v>4037</v>
      </c>
      <c r="C155" s="21" t="s">
        <v>193</v>
      </c>
      <c r="D155" s="21" t="s">
        <v>395</v>
      </c>
      <c r="E155" s="13">
        <v>42768.01934027778</v>
      </c>
      <c r="F155" s="13">
        <v>42768.028854166667</v>
      </c>
      <c r="G155" s="7">
        <v>3</v>
      </c>
      <c r="H155" s="21" t="s">
        <v>403</v>
      </c>
      <c r="I155" s="13">
        <v>42768.065104166664</v>
      </c>
      <c r="J155" s="7">
        <v>0</v>
      </c>
      <c r="K155" s="98" t="str">
        <f>IF(ISEVEN(B155),(B155-1)&amp;"/"&amp;B155,B155&amp;"/"&amp;(B155+1))</f>
        <v>4037/4038</v>
      </c>
      <c r="L155" s="21" t="str">
        <f>VLOOKUP(A155,'Trips&amp;Operators'!$C$1:$G$99999,5,FALSE)</f>
        <v>STORY SAMANTHA</v>
      </c>
      <c r="M155" s="6">
        <f>I155-F155</f>
        <v>3.6249999997380655E-2</v>
      </c>
      <c r="N155" s="7">
        <f>24*60*SUM($M155:$M155)</f>
        <v>52.199999996228144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9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-02-01T23:27:51-0700',mode:absolute,to:'2017-02-02T02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5" s="193" t="str">
        <f>IF(AA155&lt;IF(AG155="EC",23,5.65),"Y","N")</f>
        <v>N</v>
      </c>
      <c r="X155" s="193">
        <f>VALUE(LEFT(AD155,4))-VALUE(LEFT(AD154,4))</f>
        <v>1</v>
      </c>
      <c r="Y155" s="62">
        <f>RIGHT(D155,LEN(D155)-4)/10000</f>
        <v>23.3096</v>
      </c>
      <c r="Z155" s="62">
        <f>RIGHT(H155,LEN(H155)-4)/10000</f>
        <v>1.7399999999999999E-2</v>
      </c>
      <c r="AA155" s="62">
        <f>ABS(Z155-Y155)</f>
        <v>23.292200000000001</v>
      </c>
      <c r="AB155" s="59" t="str">
        <f>VLOOKUP(A155,Enforcements!$C$7:$K$16,8,0)</f>
        <v>Bulletin (2)</v>
      </c>
      <c r="AC155" s="55" t="str">
        <f>VLOOKUP(A155,Enforcements!$C$7:$E$16,3,0)</f>
        <v>GRADE CROSSING</v>
      </c>
      <c r="AD155" s="56" t="str">
        <f>IF(LEN(A155)=6,"0"&amp;A155,A155)</f>
        <v>0240-01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 &amp; aws s3 cp s3://rtdc.mdm.uploadarchive.raw/RTDC4037/ "%USERPROFILE%\AppData\Local\Temp\OnboardLogs"\RTDC4037\2017-02-03 --exclude "*" --recursive --include "*20170203*" &amp; "%USERPROFILE%\Documents\GitHub\mrs-test-scripts\Headless Mode &amp; Sideloading\WalkAndUnGZ.bat" "%USERPROFILE%\AppData\Local\Temp\OnboardLogs"\RTDC4037\2017-02-03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/stypes="app*4037*20170202*" /stext=" 08:.+((SYSTEM_STATE.+slice.+state.+changed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6" t="str">
        <f t="shared" si="10"/>
        <v>"%USERPROFILE%\Documents\GitHub\eaglep3\Utilities\RefineRTDCRunTimes.py" --tripid 240-01 --locoid 4037 --swversion DE.1.0.8.0 --startMP 204:233096 --initTime 2017-02-02T00:27:51 --startdatetime 2017-02-02T00:41:33 --delay 3 --endMP 204:174 --enddatetime 2017-02-02T01:33:45 --enforcementcount 0 &gt;&gt;C:\Users\stu\Documents\GitHub\eaglep3-reporting\EC\2017-02-01-refined-times.txt</v>
      </c>
      <c r="AI155" s="108" t="str">
        <f t="shared" si="11"/>
        <v>echo {"issue":{"subject":"","project_id":79,"tracker_id":40,"status_id":1,"priority_id":2,"assigned_to_id":23,"start_date":"2017-02-02","description":"","custom_fields":[{"id":1,"name":"Subdivision","value":"EC"},{"id":4,"name":"Milepost","value":"0.0174"},{"id":17,"name":"Train ID","value":"240-01"},{"id":16,"name":"Locomotive ID","value":"4037"},{"id":130,"name":"Impact","value":""},{"id":150,"name":"Time of Event (Mountain Time)","value":"01:33:45"},{"id":151,"name":"Denver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60" t="str">
        <f t="shared" si="12"/>
        <v>start /low /b %USERPROFILE%\Documents\GitHub\eaglep3\Utilities\DownloadLogsFromS3.py --loco 4037 --day 2017-02-02</v>
      </c>
      <c r="AN155" s="16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"%USERPROFILE%\AppData\Local\Temp\OnboardLogs"\RTDC4037\*4037*20170202* | grep -SE "(Enforcement Action)|(\[TIMEOUT)|(CHR.+\|PRM\|1\|D.+(SWITCH|SIGNAL).+UNKNOWN)" - &gt;&gt; 2017-02-01-UncaughtWiMAX.txt</v>
      </c>
    </row>
    <row r="156" spans="1:91" s="20" customFormat="1" x14ac:dyDescent="0.25">
      <c r="A156" s="33" t="s">
        <v>656</v>
      </c>
      <c r="B156" s="7">
        <v>4042</v>
      </c>
      <c r="C156" s="21" t="s">
        <v>193</v>
      </c>
      <c r="D156" s="21" t="s">
        <v>720</v>
      </c>
      <c r="E156" s="13">
        <v>42767.994942129626</v>
      </c>
      <c r="F156" s="13">
        <v>42768.000509259262</v>
      </c>
      <c r="G156" s="7">
        <v>1</v>
      </c>
      <c r="H156" s="21" t="s">
        <v>752</v>
      </c>
      <c r="I156" s="13">
        <v>42768.020613425928</v>
      </c>
      <c r="J156" s="7">
        <v>0</v>
      </c>
      <c r="K156" s="98" t="str">
        <f>IF(ISEVEN(B156),(B156-1)&amp;"/"&amp;B156,B156&amp;"/"&amp;(B156+1))</f>
        <v>4041/4042</v>
      </c>
      <c r="L156" s="21" t="str">
        <f>VLOOKUP(A156,'Trips&amp;Operators'!$C$1:$G$99999,5,FALSE)</f>
        <v>BROWN JACOB</v>
      </c>
      <c r="M156" s="6">
        <f>I156-F156</f>
        <v>2.0104166665987577E-2</v>
      </c>
      <c r="N156" s="7"/>
      <c r="O156" s="7"/>
      <c r="P156" s="7">
        <f>24*60*SUM($M156:$M156)</f>
        <v>28.949999999022111</v>
      </c>
      <c r="Q156" s="22"/>
      <c r="R156" s="22" t="s">
        <v>867</v>
      </c>
      <c r="S156" s="31">
        <f>SUM(U156:U156)/IF(AG156="EC",12,1)</f>
        <v>1</v>
      </c>
      <c r="T156" s="46" t="str">
        <f>IF(ISEVEN(LEFT(AD156,4)),"Southbound","NorthBound")</f>
        <v>NorthBound</v>
      </c>
      <c r="U156" s="19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-02-01T22:52:43-0700',mode:absolute,to:'2017-02-02T01:29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193" t="str">
        <f>IF(AA156&lt;IF(AG156="EC",23,5.65),"Y","N")</f>
        <v>Y</v>
      </c>
      <c r="X156" s="193">
        <f>VALUE(LEFT(AD156,4))-VALUE(LEFT(AD155,4))</f>
        <v>1</v>
      </c>
      <c r="Y156" s="62">
        <f>RIGHT(D156,LEN(D156)-4)/10000</f>
        <v>4.4400000000000002E-2</v>
      </c>
      <c r="Z156" s="62">
        <f>RIGHT(H156,LEN(H156)-4)/10000</f>
        <v>15.443199999999999</v>
      </c>
      <c r="AA156" s="62">
        <f>ABS(Z156-Y156)</f>
        <v>15.3988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>IF(LEN(A156)=6,"0"&amp;A156,A156)</f>
        <v>0241-01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 &amp; aws s3 cp s3://rtdc.mdm.uploadarchive.raw/RTDC4042/ "%USERPROFILE%\AppData\Local\Temp\OnboardLogs"\RTDC4042\2017-02-03 --exclude "*" --recursive --include "*20170203*" &amp; "%USERPROFILE%\Documents\GitHub\mrs-test-scripts\Headless Mode &amp; Sideloading\WalkAndUnGZ.bat" "%USERPROFILE%\AppData\Local\Temp\OnboardLogs"\RTDC4042\2017-02-03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/stypes="app*4042*20170202*" /stext=" 07:.+((SYSTEM_STATE.+slice.+state.+changed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6" t="str">
        <f t="shared" si="10"/>
        <v>"%USERPROFILE%\Documents\GitHub\eaglep3\Utilities\RefineRTDCRunTimes.py" --tripid 241-01 --locoid 4042 --swversion DE.1.0.8.0 --startMP 204:444 --initTime 2017-02-01T23:52:43 --startdatetime 2017-02-02T00:00:44 --delay 1 --endMP 204:154432 --enddatetime 2017-02-02T00:29:41 --enforcementcount 0 &gt;&gt;C:\Users\stu\Documents\GitHub\eaglep3-reporting\EC\2017-02-01-refined-times.txt</v>
      </c>
      <c r="AI156" s="108" t="str">
        <f t="shared" si="11"/>
        <v>echo {"issue":{"subject":"61st 2N stuck at STOP","project_id":79,"tracker_id":40,"status_id":1,"priority_id":2,"assigned_to_id":23,"start_date":"2017-02-02","description":"","custom_fields":[{"id":1,"name":"Subdivision","value":"EC"},{"id":4,"name":"Milepost","value":"15.4432"},{"id":17,"name":"Train ID","value":"241-01"},{"id":16,"name":"Locomotive ID","value":"4042"},{"id":130,"name":"Impact","value":""},{"id":150,"name":"Time of Event (Mountain Time)","value":"00:29:41"},{"id":151,"name":"Denver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60" t="str">
        <f t="shared" si="12"/>
        <v>start /low /b %USERPROFILE%\Documents\GitHub\eaglep3\Utilities\DownloadLogsFromS3.py --loco 4042 --day 2017-02-02</v>
      </c>
      <c r="AN156" s="16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660</v>
      </c>
      <c r="B157" s="7">
        <v>4041</v>
      </c>
      <c r="C157" s="21" t="s">
        <v>193</v>
      </c>
      <c r="D157" s="21" t="s">
        <v>326</v>
      </c>
      <c r="E157" s="13">
        <v>42768.040196759262</v>
      </c>
      <c r="F157" s="13">
        <v>42768.04488425926</v>
      </c>
      <c r="G157" s="7">
        <v>2</v>
      </c>
      <c r="H157" s="21" t="s">
        <v>678</v>
      </c>
      <c r="I157" s="13">
        <v>42768.073750000003</v>
      </c>
      <c r="J157" s="7">
        <v>0</v>
      </c>
      <c r="K157" s="98" t="str">
        <f>IF(ISEVEN(B157),(B157-1)&amp;"/"&amp;B157,B157&amp;"/"&amp;(B157+1))</f>
        <v>4041/4042</v>
      </c>
      <c r="L157" s="21" t="str">
        <f>VLOOKUP(A157,'Trips&amp;Operators'!$C$1:$G$99999,5,FALSE)</f>
        <v>BROWN JACOB</v>
      </c>
      <c r="M157" s="6">
        <f>I157-F157</f>
        <v>2.8865740743640345E-2</v>
      </c>
      <c r="N157" s="7">
        <f>24*60*SUM($M157:$M157)</f>
        <v>41.566666670842096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9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-02-01T23:57:53-0700',mode:absolute,to:'2017-02-02T02:46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193" t="str">
        <f>IF(AA157&lt;IF(AG157="EC",23,5.65),"Y","N")</f>
        <v>N</v>
      </c>
      <c r="X157" s="193">
        <f>VALUE(LEFT(AD157,4))-VALUE(LEFT(AD156,4))</f>
        <v>1</v>
      </c>
      <c r="Y157" s="62">
        <f>RIGHT(D157,LEN(D157)-4)/10000</f>
        <v>23.299800000000001</v>
      </c>
      <c r="Z157" s="62">
        <f>RIGHT(H157,LEN(H157)-4)/10000</f>
        <v>1.29E-2</v>
      </c>
      <c r="AA157" s="62">
        <f>ABS(Z157-Y157)</f>
        <v>23.286900000000003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>IF(LEN(A157)=6,"0"&amp;A157,A157)</f>
        <v>0242-01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 &amp; aws s3 cp s3://rtdc.mdm.uploadarchive.raw/RTDC4041/ "%USERPROFILE%\AppData\Local\Temp\OnboardLogs"\RTDC4041\2017-02-03 --exclude "*" --recursive --include "*20170203*" &amp; "%USERPROFILE%\Documents\GitHub\mrs-test-scripts\Headless Mode &amp; Sideloading\WalkAndUnGZ.bat" "%USERPROFILE%\AppData\Local\Temp\OnboardLogs"\RTDC4041\2017-02-03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/stypes="app*4041*20170202*"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6" t="str">
        <f t="shared" si="10"/>
        <v>"%USERPROFILE%\Documents\GitHub\eaglep3\Utilities\RefineRTDCRunTimes.py" --tripid 242-01 --locoid 4041 --swversion DE.1.0.8.0 --startMP 204:232998 --initTime 2017-02-02T00:57:53 --startdatetime 2017-02-02T01:04:38 --delay 2 --endMP 204:129 --enddatetime 2017-02-02T01:46:12 --enforcementcount 0 &gt;&gt;C:\Users\stu\Documents\GitHub\eaglep3-reporting\EC\2017-02-01-refined-times.txt</v>
      </c>
      <c r="AI157" s="108" t="str">
        <f t="shared" si="11"/>
        <v>echo {"issue":{"subject":"","project_id":79,"tracker_id":40,"status_id":1,"priority_id":2,"assigned_to_id":23,"start_date":"2017-02-02","description":"","custom_fields":[{"id":1,"name":"Subdivision","value":"EC"},{"id":4,"name":"Milepost","value":"0.0129"},{"id":17,"name":"Train ID","value":"242-01"},{"id":16,"name":"Locomotive ID","value":"4041"},{"id":130,"name":"Impact","value":""},{"id":150,"name":"Time of Event (Mountain Time)","value":"01:46:12"},{"id":151,"name":"Denver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60" t="str">
        <f t="shared" si="12"/>
        <v>start /low /b %USERPROFILE%\Documents\GitHub\eaglep3\Utilities\DownloadLogsFromS3.py --loco 4041 --day 2017-02-02</v>
      </c>
      <c r="AN157" s="16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"%USERPROFILE%\AppData\Local\Temp\OnboardLogs"\RTDC4041\*4041*20170202* | grep -SE "(Enforcement Action)|(\[TIMEOUT)|(CHR.+\|PRM\|1\|D.+(SWITCH|SIGNAL).+UNKNOWN)" - &gt;&gt; 2017-02-01-UncaughtWiMAX.txt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659</v>
      </c>
      <c r="B158" s="7">
        <v>4046</v>
      </c>
      <c r="C158" s="21" t="s">
        <v>193</v>
      </c>
      <c r="D158" s="21" t="s">
        <v>698</v>
      </c>
      <c r="E158" s="13">
        <v>42768.003020833334</v>
      </c>
      <c r="F158" s="13">
        <v>42768.021064814813</v>
      </c>
      <c r="G158" s="7">
        <v>4</v>
      </c>
      <c r="H158" s="21" t="s">
        <v>383</v>
      </c>
      <c r="I158" s="13">
        <v>42768.050150462965</v>
      </c>
      <c r="J158" s="7">
        <v>0</v>
      </c>
      <c r="K158" s="98" t="str">
        <f>IF(ISEVEN(B158),(B158-1)&amp;"/"&amp;B158,B158&amp;"/"&amp;(B158+1))</f>
        <v>4045/4046</v>
      </c>
      <c r="L158" s="21" t="str">
        <f>VLOOKUP(A158,'Trips&amp;Operators'!$C$1:$G$99999,5,FALSE)</f>
        <v>NELSON ARIANE</v>
      </c>
      <c r="M158" s="6">
        <f>I158-F158</f>
        <v>2.9085648151522037E-2</v>
      </c>
      <c r="N158" s="7">
        <f>24*60*SUM($M158:$M158)</f>
        <v>41.883333338191733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9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-02-01T23:04:21-0700',mode:absolute,to:'2017-02-02T02:12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3" t="str">
        <f>IF(AA158&lt;IF(AG158="EC",23,5.65),"Y","N")</f>
        <v>N</v>
      </c>
      <c r="X158" s="193">
        <f>VALUE(LEFT(AD158,4))-VALUE(LEFT(AD157,4))</f>
        <v>1</v>
      </c>
      <c r="Y158" s="62">
        <f>RIGHT(D158,LEN(D158)-4)/10000</f>
        <v>4.3999999999999997E-2</v>
      </c>
      <c r="Z158" s="62">
        <f>RIGHT(H158,LEN(H158)-4)/10000</f>
        <v>23.329499999999999</v>
      </c>
      <c r="AA158" s="62">
        <f>ABS(Z158-Y158)</f>
        <v>23.285499999999999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>IF(LEN(A158)=6,"0"&amp;A158,A158)</f>
        <v>0243-01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 &amp; aws s3 cp s3://rtdc.mdm.uploadarchive.raw/RTDC4046/ "%USERPROFILE%\AppData\Local\Temp\OnboardLogs"\RTDC4046\2017-02-03 --exclude "*" --recursive --include "*20170203*" &amp; "%USERPROFILE%\Documents\GitHub\mrs-test-scripts\Headless Mode &amp; Sideloading\WalkAndUnGZ.bat" "%USERPROFILE%\AppData\Local\Temp\OnboardLogs"\RTDC4046\2017-02-03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/stypes="app*4046*20170202*" /stext=" 08:.+((SYSTEM_STATE.+slice.+state.+changed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6" t="str">
        <f t="shared" si="10"/>
        <v>"%USERPROFILE%\Documents\GitHub\eaglep3\Utilities\RefineRTDCRunTimes.py" --tripid 243-01 --locoid 4046 --swversion DE.1.0.8.0 --startMP 204:440 --initTime 2017-02-02T00:04:21 --startdatetime 2017-02-02T00:30:20 --delay 4 --endMP 204:233295 --enddatetime 2017-02-02T01:12:13 --enforcementcount 0 &gt;&gt;C:\Users\stu\Documents\GitHub\eaglep3-reporting\EC\2017-02-01-refined-times.txt</v>
      </c>
      <c r="AI158" s="108" t="str">
        <f t="shared" si="11"/>
        <v>echo {"issue":{"subject":"","project_id":79,"tracker_id":40,"status_id":1,"priority_id":2,"assigned_to_id":23,"start_date":"2017-02-02","description":"","custom_fields":[{"id":1,"name":"Subdivision","value":"EC"},{"id":4,"name":"Milepost","value":"23.3295"},{"id":17,"name":"Train ID","value":"243-01"},{"id":16,"name":"Locomotive ID","value":"4046"},{"id":130,"name":"Impact","value":""},{"id":150,"name":"Time of Event (Mountain Time)","value":"01:12:13"},{"id":151,"name":"Denver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60" t="str">
        <f t="shared" si="12"/>
        <v>start /low /b %USERPROFILE%\Documents\GitHub\eaglep3\Utilities\DownloadLogsFromS3.py --loco 4046 --day 2017-02-02</v>
      </c>
      <c r="AN158" s="16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"%USERPROFILE%\AppData\Local\Temp\OnboardLogs"\RTDC4046\*4046*20170202* | grep -SE "(Enforcement Action)|(\[TIMEOUT)|(CHR.+\|PRM\|1\|D.+(SWITCH|SIGNAL).+UNKNOWN)" - &gt;&gt; 2017-02-01-UncaughtWiMAX.txt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662</v>
      </c>
      <c r="B159" s="7">
        <v>4045</v>
      </c>
      <c r="C159" s="21" t="s">
        <v>193</v>
      </c>
      <c r="D159" s="21" t="s">
        <v>384</v>
      </c>
      <c r="E159" s="13">
        <v>42768.054444444446</v>
      </c>
      <c r="F159" s="13">
        <v>42768.060185185182</v>
      </c>
      <c r="G159" s="7">
        <v>2</v>
      </c>
      <c r="H159" s="21" t="s">
        <v>753</v>
      </c>
      <c r="I159" s="13">
        <v>42768.093344907407</v>
      </c>
      <c r="J159" s="7">
        <v>0</v>
      </c>
      <c r="K159" s="98" t="str">
        <f>IF(ISEVEN(B159),(B159-1)&amp;"/"&amp;B159,B159&amp;"/"&amp;(B159+1))</f>
        <v>4045/4046</v>
      </c>
      <c r="L159" s="21" t="str">
        <f>VLOOKUP(A159,'Trips&amp;Operators'!$C$1:$G$99999,5,FALSE)</f>
        <v>NELSON ARIANE</v>
      </c>
      <c r="M159" s="6">
        <f>I159-F159</f>
        <v>3.3159722224809229E-2</v>
      </c>
      <c r="N159" s="7">
        <f>24*60*SUM($M159:$M159)</f>
        <v>47.75000000372529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9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-02-02T00:18:24-0700',mode:absolute,to:'2017-02-02T03:14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3" t="str">
        <f>IF(AA159&lt;IF(AG159="EC",23,5.65),"Y","N")</f>
        <v>N</v>
      </c>
      <c r="X159" s="193">
        <f>VALUE(LEFT(AD159,4))-VALUE(LEFT(AD158,4))</f>
        <v>1</v>
      </c>
      <c r="Y159" s="62">
        <f>RIGHT(D159,LEN(D159)-4)/10000</f>
        <v>23.298100000000002</v>
      </c>
      <c r="Z159" s="62">
        <f>RIGHT(H159,LEN(H159)-4)/10000</f>
        <v>2.0500000000000001E-2</v>
      </c>
      <c r="AA159" s="62">
        <f>ABS(Z159-Y159)</f>
        <v>23.277600000000003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>IF(LEN(A159)=6,"0"&amp;A159,A159)</f>
        <v>0244-01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 &amp; 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/stypes="app*4045*20170202*" /stext=" 09:.+((SYSTEM_STATE.+slice.+state.+changed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86" t="str">
        <f t="shared" si="10"/>
        <v>"%USERPROFILE%\Documents\GitHub\eaglep3\Utilities\RefineRTDCRunTimes.py" --tripid 244-01 --locoid 4045 --swversion DE.1.0.8.0 --startMP 204:232981 --initTime 2017-02-02T01:18:24 --startdatetime 2017-02-02T01:26:40 --delay 2 --endMP 204:205 --enddatetime 2017-02-02T02:14:25 --enforcementcount 0 &gt;&gt;C:\Users\stu\Documents\GitHub\eaglep3-reporting\EC\2017-02-01-refined-times.txt</v>
      </c>
      <c r="AI159" s="108" t="str">
        <f t="shared" si="11"/>
        <v>echo {"issue":{"subject":"","project_id":79,"tracker_id":40,"status_id":1,"priority_id":2,"assigned_to_id":23,"start_date":"2017-02-02","description":"","custom_fields":[{"id":1,"name":"Subdivision","value":"EC"},{"id":4,"name":"Milepost","value":"0.0205"},{"id":17,"name":"Train ID","value":"244-01"},{"id":16,"name":"Locomotive ID","value":"4045"},{"id":130,"name":"Impact","value":""},{"id":150,"name":"Time of Event (Mountain Time)","value":"02:14:25"},{"id":151,"name":"Denver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60" t="str">
        <f t="shared" si="12"/>
        <v>start /low /b %USERPROFILE%\Documents\GitHub\eaglep3\Utilities\DownloadLogsFromS3.py --loco 4045 --day 2017-02-02</v>
      </c>
      <c r="AN159" s="16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"%USERPROFILE%\AppData\Local\Temp\OnboardLogs"\RTDC4045\*4045*20170202* | grep -SE "(Enforcement Action)|(\[TIMEOUT)|(CHR.+\|PRM\|1\|D.+(SWITCH|SIGNAL).+UNKNOWN)" - &gt;&gt; 2017-02-01-UncaughtWiMAX.txt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471</v>
      </c>
      <c r="B160" s="7">
        <v>4026</v>
      </c>
      <c r="C160" s="21" t="s">
        <v>193</v>
      </c>
      <c r="D160" s="21" t="s">
        <v>774</v>
      </c>
      <c r="E160" s="13">
        <v>42767.214837962965</v>
      </c>
      <c r="F160" s="13">
        <v>42767.21738425926</v>
      </c>
      <c r="G160" s="7">
        <v>1</v>
      </c>
      <c r="H160" s="21" t="s">
        <v>775</v>
      </c>
      <c r="I160" s="13">
        <v>42767.226203703707</v>
      </c>
      <c r="J160" s="7">
        <v>0</v>
      </c>
      <c r="K160" s="98" t="str">
        <f>IF(ISEVEN(B160),(B160-1)&amp;"/"&amp;B160,B160&amp;"/"&amp;(B160+1))</f>
        <v>4025/4026</v>
      </c>
      <c r="L160" s="21" t="str">
        <f>VLOOKUP(A160,'Trips&amp;Operators'!$C$1:$G$99999,5,FALSE)</f>
        <v>YORK EDGAR</v>
      </c>
      <c r="M160" s="6">
        <f>I160-F160</f>
        <v>8.819444446999114E-3</v>
      </c>
      <c r="N160" s="7">
        <f>24*60*SUM($M160:$M160)</f>
        <v>12.700000003678724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9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-02-01T04:09:22-0700',mode:absolute,to:'2017-02-01T06:25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93" t="str">
        <f>IF(AA160&lt;IF(AG160="EC",23,5.65),"Y","N")</f>
        <v>N</v>
      </c>
      <c r="X160" s="193">
        <f>VALUE(LEFT(AD160,4))-VALUE(LEFT(AD159,4))</f>
        <v>556</v>
      </c>
      <c r="Y160" s="62">
        <f>RIGHT(D160,LEN(D160)-4)/10000</f>
        <v>5.8615000000000004</v>
      </c>
      <c r="Z160" s="62">
        <f>RIGHT(H160,LEN(H160)-4)/10000</f>
        <v>7.3099999999999998E-2</v>
      </c>
      <c r="AA160" s="62">
        <f>ABS(Z160-Y160)</f>
        <v>5.7884000000000002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>IF(LEN(A160)=6,"0"&amp;A160,A160)</f>
        <v>0800-01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/stypes="app*4026*20170201*" /stext=" 12:.+((SYSTEM_STATE.+slice.+state.+changed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10"/>
        <v>"%USERPROFILE%\Documents\GitHub\eaglep3\Utilities\RefineRTDCRunTimes.py" --tripid 800-01 --locoid 4026 --swversion DE.1.0.8.0 --startMP 300:58615 --initTime 2017-02-01T05:09:22 --startdatetime 2017-02-01T05:13:02 --delay 1 --endMP 204:731 --enddatetime 2017-02-01T05:25:44 --enforcementcount 0 &gt;&gt;C:\Users\stu\Documents\GitHub\eaglep3-reporting\EC\2017-02-01-refined-times.txt</v>
      </c>
      <c r="AI160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{"issue":{"subject":"","project_id":79,"tracker_id":40,"status_id":1,"priority_id":2,"assigned_to_id":23,"start_date":"2017-02-01","description":"","custom_fields":[{"id":1,"name":"Subdivision","value":"NW"},{"id":4,"name":"Milepost","value":"0.0731"},{"id":17,"name":"Train ID","value":"800-01"},{"id":16,"name":"Locomotive ID","value":"4026"},{"id":130,"name":"Impact","value":""},{"id":150,"name":"Time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60" t="str">
        <f t="shared" si="12"/>
        <v>start /low /b %USERPROFILE%\Documents\GitHub\eaglep3\Utilities\DownloadLogsFromS3.py --loco 4026 --day 2017-02-01</v>
      </c>
      <c r="AN160" s="16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475</v>
      </c>
      <c r="B161" s="7">
        <v>4025</v>
      </c>
      <c r="C161" s="21" t="s">
        <v>193</v>
      </c>
      <c r="D161" s="21" t="s">
        <v>412</v>
      </c>
      <c r="E161" s="13">
        <v>42767.227326388886</v>
      </c>
      <c r="F161" s="13">
        <v>42767.244930555556</v>
      </c>
      <c r="G161" s="7">
        <v>1</v>
      </c>
      <c r="H161" s="21" t="s">
        <v>776</v>
      </c>
      <c r="I161" s="13">
        <v>42767.254131944443</v>
      </c>
      <c r="J161" s="7">
        <v>0</v>
      </c>
      <c r="K161" s="98" t="str">
        <f>IF(ISEVEN(B161),(B161-1)&amp;"/"&amp;B161,B161&amp;"/"&amp;(B161+1))</f>
        <v>4025/4026</v>
      </c>
      <c r="L161" s="21" t="str">
        <f>VLOOKUP(A161,'Trips&amp;Operators'!$C$1:$G$99999,5,FALSE)</f>
        <v>YORK EDGAR</v>
      </c>
      <c r="M161" s="6">
        <f>I161-F161</f>
        <v>9.2013888861401938E-3</v>
      </c>
      <c r="N161" s="7">
        <f>24*60*SUM($M161:$M161)</f>
        <v>13.249999996041879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9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-02-01T04:27:21-0700',mode:absolute,to:'2017-02-01T07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93" t="str">
        <f>IF(AA161&lt;IF(AG161="EC",23,5.65),"Y","N")</f>
        <v>N</v>
      </c>
      <c r="X161" s="193">
        <f>VALUE(LEFT(AD161,4))-VALUE(LEFT(AD160,4))</f>
        <v>1</v>
      </c>
      <c r="Y161" s="62">
        <f>RIGHT(D161,LEN(D161)-4)/10000</f>
        <v>0.1021</v>
      </c>
      <c r="Z161" s="62">
        <f>RIGHT(H161,LEN(H161)-4)/10000</f>
        <v>5.8924000000000003</v>
      </c>
      <c r="AA161" s="62">
        <f>ABS(Z161-Y161)</f>
        <v>5.7903000000000002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>IF(LEN(A161)=6,"0"&amp;A161,A161)</f>
        <v>0801-01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/stypes="app*4025*20170201*"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10"/>
        <v>"%USERPROFILE%\Documents\GitHub\eaglep3\Utilities\RefineRTDCRunTimes.py" --tripid 801-01 --locoid 4025 --swversion DE.1.0.8.0 --startMP 204:1021 --initTime 2017-02-01T05:27:21 --startdatetime 2017-02-01T05:52:42 --delay 1 --endMP 300:58924 --enddatetime 2017-02-01T06:05:57 --enforcementcount 0 &gt;&gt;C:\Users\stu\Documents\GitHub\eaglep3-reporting\EC\2017-02-01-refined-times.txt</v>
      </c>
      <c r="AI161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{"issue":{"subject":"","project_id":79,"tracker_id":40,"status_id":1,"priority_id":2,"assigned_to_id":23,"start_date":"2017-02-01","description":"","custom_fields":[{"id":1,"name":"Subdivision","value":"NW"},{"id":4,"name":"Milepost","value":"5.8924"},{"id":17,"name":"Train ID","value":"801-01"},{"id":16,"name":"Locomotive ID","value":"4025"},{"id":130,"name":"Impact","value":""},{"id":150,"name":"Time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60" t="str">
        <f t="shared" si="12"/>
        <v>start /low /b %USERPROFILE%\Documents\GitHub\eaglep3\Utilities\DownloadLogsFromS3.py --loco 4025 --day 2017-02-01</v>
      </c>
      <c r="AN161" s="16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</row>
    <row r="162" spans="1:91" s="20" customFormat="1" x14ac:dyDescent="0.25">
      <c r="A162" s="33" t="s">
        <v>481</v>
      </c>
      <c r="B162" s="7">
        <v>4026</v>
      </c>
      <c r="C162" s="21" t="s">
        <v>193</v>
      </c>
      <c r="D162" s="21" t="s">
        <v>421</v>
      </c>
      <c r="E162" s="13">
        <v>42767.255057870374</v>
      </c>
      <c r="F162" s="13">
        <v>42767.256238425929</v>
      </c>
      <c r="G162" s="7">
        <v>0</v>
      </c>
      <c r="H162" s="21" t="s">
        <v>777</v>
      </c>
      <c r="I162" s="13">
        <v>42767.267395833333</v>
      </c>
      <c r="J162" s="7">
        <v>0</v>
      </c>
      <c r="K162" s="98" t="str">
        <f>IF(ISEVEN(B162),(B162-1)&amp;"/"&amp;B162,B162&amp;"/"&amp;(B162+1))</f>
        <v>4025/4026</v>
      </c>
      <c r="L162" s="21" t="str">
        <f>VLOOKUP(A162,'Trips&amp;Operators'!$C$1:$G$99999,5,FALSE)</f>
        <v>YORK EDGAR</v>
      </c>
      <c r="M162" s="6">
        <f>I162-F162</f>
        <v>1.1157407403516117E-2</v>
      </c>
      <c r="N162" s="7">
        <f>24*60*SUM($M162:$M162)</f>
        <v>16.066666661063209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9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-02-01T05:07:17-0700',mode:absolute,to:'2017-02-01T07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93" t="str">
        <f>IF(AA162&lt;IF(AG162="EC",23,5.65),"Y","N")</f>
        <v>N</v>
      </c>
      <c r="X162" s="193">
        <f>VALUE(LEFT(AD162,4))-VALUE(LEFT(AD161,4))</f>
        <v>1</v>
      </c>
      <c r="Y162" s="62">
        <f>RIGHT(D162,LEN(D162)-4)/10000</f>
        <v>5.8624000000000001</v>
      </c>
      <c r="Z162" s="62">
        <f>RIGHT(H162,LEN(H162)-4)/10000</f>
        <v>7.3599999999999999E-2</v>
      </c>
      <c r="AA162" s="62">
        <f>ABS(Z162-Y162)</f>
        <v>5.7888000000000002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>IF(LEN(A162)=6,"0"&amp;A162,A162)</f>
        <v>0802-01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/stypes="app*4026*20170201*"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10"/>
        <v>"%USERPROFILE%\Documents\GitHub\eaglep3\Utilities\RefineRTDCRunTimes.py" --tripid 802-01 --locoid 4026 --swversion DE.1.0.8.0 --startMP 300:58624 --initTime 2017-02-01T06:07:17 --startdatetime 2017-02-01T06:08:59 --delay 0 --endMP 204:736 --enddatetime 2017-02-01T06:25:03 --enforcementcount 0 &gt;&gt;C:\Users\stu\Documents\GitHub\eaglep3-reporting\EC\2017-02-01-refined-times.txt</v>
      </c>
      <c r="AI162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{"issue":{"subject":"","project_id":79,"tracker_id":40,"status_id":1,"priority_id":2,"assigned_to_id":23,"start_date":"2017-02-01","description":"","custom_fields":[{"id":1,"name":"Subdivision","value":"NW"},{"id":4,"name":"Milepost","value":"0.0736"},{"id":17,"name":"Train ID","value":"802-01"},{"id":16,"name":"Locomotive ID","value":"4026"},{"id":130,"name":"Impact","value":""},{"id":150,"name":"Time of Event (Mountain Time)","value":"06:25:03"},{"id":151,"name":"Denver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60" t="str">
        <f t="shared" si="12"/>
        <v>start /low /b %USERPROFILE%\Documents\GitHub\eaglep3\Utilities\DownloadLogsFromS3.py --loco 4026 --day 2017-02-01</v>
      </c>
      <c r="AN162" s="16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484</v>
      </c>
      <c r="B163" s="7">
        <v>4044</v>
      </c>
      <c r="C163" s="21" t="s">
        <v>193</v>
      </c>
      <c r="D163" s="21" t="s">
        <v>778</v>
      </c>
      <c r="E163" s="13">
        <v>42767.26226851852</v>
      </c>
      <c r="F163" s="13">
        <v>42767.264814814815</v>
      </c>
      <c r="G163" s="7">
        <v>1</v>
      </c>
      <c r="H163" s="21" t="s">
        <v>779</v>
      </c>
      <c r="I163" s="13">
        <v>42767.27443287037</v>
      </c>
      <c r="J163" s="7">
        <v>0</v>
      </c>
      <c r="K163" s="98" t="str">
        <f>IF(ISEVEN(B163),(B163-1)&amp;"/"&amp;B163,B163&amp;"/"&amp;(B163+1))</f>
        <v>4043/4044</v>
      </c>
      <c r="L163" s="21" t="str">
        <f>VLOOKUP(A163,'Trips&amp;Operators'!$C$1:$G$99999,5,FALSE)</f>
        <v>LOZA FIDEL</v>
      </c>
      <c r="M163" s="6">
        <f>I163-F163</f>
        <v>9.6180555556202307E-3</v>
      </c>
      <c r="N163" s="7">
        <f>24*60*SUM($M163:$M163)</f>
        <v>13.850000000093132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9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-02-01T05:17:40-0700',mode:absolute,to:'2017-02-01T07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93" t="str">
        <f>IF(AA163&lt;IF(AG163="EC",23,5.65),"Y","N")</f>
        <v>N</v>
      </c>
      <c r="X163" s="193">
        <f>VALUE(LEFT(AD163,4))-VALUE(LEFT(AD162,4))</f>
        <v>1</v>
      </c>
      <c r="Y163" s="62">
        <f>RIGHT(D163,LEN(D163)-4)/10000</f>
        <v>9.5699999999999993E-2</v>
      </c>
      <c r="Z163" s="62">
        <f>RIGHT(H163,LEN(H163)-4)/10000</f>
        <v>5.8975999999999997</v>
      </c>
      <c r="AA163" s="62">
        <f>ABS(Z163-Y163)</f>
        <v>5.8018999999999998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>IF(LEN(A163)=6,"0"&amp;A163,A163)</f>
        <v>0803-01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/stypes="app*4044*20170201*"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10"/>
        <v>"%USERPROFILE%\Documents\GitHub\eaglep3\Utilities\RefineRTDCRunTimes.py" --tripid 803-01 --locoid 4044 --swversion DE.1.0.8.0 --startMP 204:957 --initTime 2017-02-01T06:17:40 --startdatetime 2017-02-01T06:21:20 --delay 1 --endMP 300:58976 --enddatetime 2017-02-01T06:35:11 --enforcementcount 0 &gt;&gt;C:\Users\stu\Documents\GitHub\eaglep3-reporting\EC\2017-02-01-refined-times.txt</v>
      </c>
      <c r="AI163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{"issue":{"subject":"","project_id":79,"tracker_id":40,"status_id":1,"priority_id":2,"assigned_to_id":23,"start_date":"2017-02-01","description":"","custom_fields":[{"id":1,"name":"Subdivision","value":"NW"},{"id":4,"name":"Milepost","value":"5.8976"},{"id":17,"name":"Train ID","value":"803-01"},{"id":16,"name":"Locomotive ID","value":"4044"},{"id":130,"name":"Impact","value":""},{"id":150,"name":"Time of Event (Mountain Time)","value":"06:35:11"},{"id":151,"name":"Denver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60" t="str">
        <f t="shared" si="12"/>
        <v>start /low /b %USERPROFILE%\Documents\GitHub\eaglep3\Utilities\DownloadLogsFromS3.py --loco 4044 --day 2017-02-01</v>
      </c>
      <c r="AN163" s="16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488</v>
      </c>
      <c r="B164" s="7">
        <v>4043</v>
      </c>
      <c r="C164" s="21" t="s">
        <v>193</v>
      </c>
      <c r="D164" s="21" t="s">
        <v>414</v>
      </c>
      <c r="E164" s="13">
        <v>42767.276689814818</v>
      </c>
      <c r="F164" s="13">
        <v>42767.278171296297</v>
      </c>
      <c r="G164" s="7">
        <v>0</v>
      </c>
      <c r="H164" s="21" t="s">
        <v>780</v>
      </c>
      <c r="I164" s="13">
        <v>42767.288611111115</v>
      </c>
      <c r="J164" s="7">
        <v>0</v>
      </c>
      <c r="K164" s="98" t="str">
        <f>IF(ISEVEN(B164),(B164-1)&amp;"/"&amp;B164,B164&amp;"/"&amp;(B164+1))</f>
        <v>4043/4044</v>
      </c>
      <c r="L164" s="21" t="str">
        <f>VLOOKUP(A164,'Trips&amp;Operators'!$C$1:$G$99999,5,FALSE)</f>
        <v>LOZA FIDEL</v>
      </c>
      <c r="M164" s="6">
        <f>I164-F164</f>
        <v>1.0439814817800652E-2</v>
      </c>
      <c r="N164" s="7">
        <f>24*60*SUM($M164:$M164)</f>
        <v>15.033333337632939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9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-02-01T05:38:26-0700',mode:absolute,to:'2017-02-01T07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93" t="str">
        <f>IF(AA164&lt;IF(AG164="EC",23,5.65),"Y","N")</f>
        <v>N</v>
      </c>
      <c r="X164" s="193">
        <f>VALUE(LEFT(AD164,4))-VALUE(LEFT(AD163,4))</f>
        <v>1</v>
      </c>
      <c r="Y164" s="62">
        <f>RIGHT(D164,LEN(D164)-4)/10000</f>
        <v>5.8647</v>
      </c>
      <c r="Z164" s="62">
        <f>RIGHT(H164,LEN(H164)-4)/10000</f>
        <v>6.7799999999999999E-2</v>
      </c>
      <c r="AA164" s="62">
        <f>ABS(Z164-Y164)</f>
        <v>5.7968999999999999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>IF(LEN(A164)=6,"0"&amp;A164,A164)</f>
        <v>0804-01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/stypes="app*4043*20170201*" /stext=" 13:.+((SYSTEM_STATE.+slice.+state.+changed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10"/>
        <v>"%USERPROFILE%\Documents\GitHub\eaglep3\Utilities\RefineRTDCRunTimes.py" --tripid 804-01 --locoid 4043 --swversion DE.1.0.8.0 --startMP 300:58647 --initTime 2017-02-01T06:38:26 --startdatetime 2017-02-01T06:40:34 --delay 0 --endMP 204:678 --enddatetime 2017-02-01T06:55:36 --enforcementcount 0 &gt;&gt;C:\Users\stu\Documents\GitHub\eaglep3-reporting\EC\2017-02-01-refined-times.txt</v>
      </c>
      <c r="AI164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{"issue":{"subject":"","project_id":79,"tracker_id":40,"status_id":1,"priority_id":2,"assigned_to_id":23,"start_date":"2017-02-01","description":"","custom_fields":[{"id":1,"name":"Subdivision","value":"NW"},{"id":4,"name":"Milepost","value":"0.0678"},{"id":17,"name":"Train ID","value":"804-01"},{"id":16,"name":"Locomotive ID","value":"4043"},{"id":130,"name":"Impact","value":""},{"id":150,"name":"Time of Event (Mountain Time)","value":"06:55:36"},{"id":151,"name":"Denver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60" t="str">
        <f t="shared" si="12"/>
        <v>start /low /b %USERPROFILE%\Documents\GitHub\eaglep3\Utilities\DownloadLogsFromS3.py --loco 4043 --day 2017-02-01</v>
      </c>
      <c r="AN164" s="16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486</v>
      </c>
      <c r="B165" s="7">
        <v>4025</v>
      </c>
      <c r="C165" s="21" t="s">
        <v>193</v>
      </c>
      <c r="D165" s="21" t="s">
        <v>781</v>
      </c>
      <c r="E165" s="13">
        <v>42767.268287037034</v>
      </c>
      <c r="F165" s="13">
        <v>42767.285590277781</v>
      </c>
      <c r="G165" s="7">
        <v>0</v>
      </c>
      <c r="H165" s="21" t="s">
        <v>782</v>
      </c>
      <c r="I165" s="13">
        <v>42767.295567129629</v>
      </c>
      <c r="J165" s="7">
        <v>0</v>
      </c>
      <c r="K165" s="98" t="str">
        <f>IF(ISEVEN(B165),(B165-1)&amp;"/"&amp;B165,B165&amp;"/"&amp;(B165+1))</f>
        <v>4025/4026</v>
      </c>
      <c r="L165" s="21" t="str">
        <f>VLOOKUP(A165,'Trips&amp;Operators'!$C$1:$G$99999,5,FALSE)</f>
        <v>YORK EDGAR</v>
      </c>
      <c r="M165" s="6">
        <f>I165-F165</f>
        <v>9.9768518484779634E-3</v>
      </c>
      <c r="N165" s="7">
        <f>24*60*SUM($M165:$M165)</f>
        <v>14.366666661808267</v>
      </c>
      <c r="O165" s="7"/>
      <c r="P165" s="7"/>
      <c r="Q165" s="22"/>
      <c r="R165" s="22" t="s">
        <v>870</v>
      </c>
      <c r="S165" s="31">
        <f>SUM(U165:U165)/IF(AG165="EC",12,1)</f>
        <v>1</v>
      </c>
      <c r="T165" s="46" t="str">
        <f>IF(ISEVEN(LEFT(AD165,4)),"Southbound","NorthBound")</f>
        <v>NorthBound</v>
      </c>
      <c r="U165" s="19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-02-01T05:26:20-0700',mode:absolute,to:'2017-02-01T08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3" t="str">
        <f>IF(AA165&lt;IF(AG165="EC",23,5.65),"Y","N")</f>
        <v>N</v>
      </c>
      <c r="X165" s="193">
        <f>VALUE(LEFT(AD165,4))-VALUE(LEFT(AD164,4))</f>
        <v>1</v>
      </c>
      <c r="Y165" s="62">
        <f>RIGHT(D165,LEN(D165)-4)/10000</f>
        <v>0.1032</v>
      </c>
      <c r="Z165" s="62">
        <f>RIGHT(H165,LEN(H165)-4)/10000</f>
        <v>5.8933</v>
      </c>
      <c r="AA165" s="62">
        <f>ABS(Z165-Y165)</f>
        <v>5.7900999999999998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>IF(LEN(A165)=6,"0"&amp;A165,A165)</f>
        <v>0805-01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/stypes="app*4025*20170201*"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10"/>
        <v>"%USERPROFILE%\Documents\GitHub\eaglep3\Utilities\RefineRTDCRunTimes.py" --tripid 805-01 --locoid 4025 --swversion DE.1.0.8.0 --startMP 204:1032 --initTime 2017-02-01T06:26:20 --startdatetime 2017-02-01T06:51:15 --delay 0 --endMP 300:58933 --enddatetime 2017-02-01T07:05:37 --enforcementcount 0 &gt;&gt;C:\Users\stu\Documents\GitHub\eaglep3-reporting\EC\2017-02-01-refined-times.txt</v>
      </c>
      <c r="AI165" s="108" t="str">
        <f t="shared" si="11"/>
        <v>echo {"issue":{"subject":"Hard cap flip observed, no PTC enforcement","project_id":79,"tracker_id":40,"status_id":1,"priority_id":2,"assigned_to_id":23,"start_date":"2017-02-01","description":"","custom_fields":[{"id":1,"name":"Subdivision","value":"NW"},{"id":4,"name":"Milepost","value":"5.8933"},{"id":17,"name":"Train ID","value":"805-01"},{"id":16,"name":"Locomotive ID","value":"4025"},{"id":130,"name":"Impact","value":""},{"id":150,"name":"Time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60" t="str">
        <f t="shared" si="12"/>
        <v>start /low /b %USERPROFILE%\Documents\GitHub\eaglep3\Utilities\DownloadLogsFromS3.py --loco 4025 --day 2017-02-01</v>
      </c>
      <c r="AN165" s="16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492</v>
      </c>
      <c r="B166" s="7">
        <v>4026</v>
      </c>
      <c r="C166" s="21" t="s">
        <v>193</v>
      </c>
      <c r="D166" s="21" t="s">
        <v>783</v>
      </c>
      <c r="E166" s="13">
        <v>42767.296388888892</v>
      </c>
      <c r="F166" s="13">
        <v>42767.299525462964</v>
      </c>
      <c r="G166" s="7">
        <v>1</v>
      </c>
      <c r="H166" s="21" t="s">
        <v>413</v>
      </c>
      <c r="I166" s="13">
        <v>42767.30976851852</v>
      </c>
      <c r="J166" s="7">
        <v>0</v>
      </c>
      <c r="K166" s="98" t="str">
        <f>IF(ISEVEN(B166),(B166-1)&amp;"/"&amp;B166,B166&amp;"/"&amp;(B166+1))</f>
        <v>4025/4026</v>
      </c>
      <c r="L166" s="21" t="str">
        <f>VLOOKUP(A166,'Trips&amp;Operators'!$C$1:$G$99999,5,FALSE)</f>
        <v>YORK EDGAR</v>
      </c>
      <c r="M166" s="6">
        <f>I166-F166</f>
        <v>1.0243055556202307E-2</v>
      </c>
      <c r="N166" s="7">
        <f>24*60*SUM($M166:$M166)</f>
        <v>14.750000000931323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9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-02-01T06:06:48-0700',mode:absolute,to:'2017-02-01T08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93" t="str">
        <f>IF(AA166&lt;IF(AG166="EC",23,5.65),"Y","N")</f>
        <v>N</v>
      </c>
      <c r="X166" s="193">
        <f>VALUE(LEFT(AD166,4))-VALUE(LEFT(AD165,4))</f>
        <v>1</v>
      </c>
      <c r="Y166" s="62">
        <f>RIGHT(D166,LEN(D166)-4)/10000</f>
        <v>5.8620999999999999</v>
      </c>
      <c r="Z166" s="62">
        <f>RIGHT(H166,LEN(H166)-4)/10000</f>
        <v>7.22E-2</v>
      </c>
      <c r="AA166" s="62">
        <f>ABS(Z166-Y166)</f>
        <v>5.7899000000000003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>IF(LEN(A166)=6,"0"&amp;A166,A166)</f>
        <v>0806-01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/stypes="app*4026*20170201*"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10"/>
        <v>"%USERPROFILE%\Documents\GitHub\eaglep3\Utilities\RefineRTDCRunTimes.py" --tripid 806-01 --locoid 4026 --swversion DE.1.0.8.0 --startMP 300:58621 --initTime 2017-02-01T07:06:48 --startdatetime 2017-02-01T07:11:19 --delay 1 --endMP 204:722 --enddatetime 2017-02-01T07:26:04 --enforcementcount 0 &gt;&gt;C:\Users\stu\Documents\GitHub\eaglep3-reporting\EC\2017-02-01-refined-times.txt</v>
      </c>
      <c r="AI166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{"issue":{"subject":"","project_id":79,"tracker_id":40,"status_id":1,"priority_id":2,"assigned_to_id":23,"start_date":"2017-02-01","description":"","custom_fields":[{"id":1,"name":"Subdivision","value":"NW"},{"id":4,"name":"Milepost","value":"0.0722"},{"id":17,"name":"Train ID","value":"806-01"},{"id":16,"name":"Locomotive ID","value":"4026"},{"id":130,"name":"Impact","value":""},{"id":150,"name":"Time of Event (Mountain Time)","value":"07:26:04"},{"id":151,"name":"Denver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60" t="str">
        <f t="shared" si="12"/>
        <v>start /low /b %USERPROFILE%\Documents\GitHub\eaglep3\Utilities\DownloadLogsFromS3.py --loco 4026 --day 2017-02-01</v>
      </c>
      <c r="AN166" s="16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494</v>
      </c>
      <c r="B167" s="7">
        <v>4044</v>
      </c>
      <c r="C167" s="21" t="s">
        <v>193</v>
      </c>
      <c r="D167" s="21" t="s">
        <v>784</v>
      </c>
      <c r="E167" s="13">
        <v>42767.304537037038</v>
      </c>
      <c r="F167" s="13">
        <v>42767.306562500002</v>
      </c>
      <c r="G167" s="7">
        <v>1</v>
      </c>
      <c r="H167" s="21" t="s">
        <v>785</v>
      </c>
      <c r="I167" s="13">
        <v>42767.316145833334</v>
      </c>
      <c r="J167" s="7">
        <v>0</v>
      </c>
      <c r="K167" s="98" t="str">
        <f>IF(ISEVEN(B167),(B167-1)&amp;"/"&amp;B167,B167&amp;"/"&amp;(B167+1))</f>
        <v>4043/4044</v>
      </c>
      <c r="L167" s="21" t="str">
        <f>VLOOKUP(A167,'Trips&amp;Operators'!$C$1:$G$99999,5,FALSE)</f>
        <v>LOZA FIDEL</v>
      </c>
      <c r="M167" s="6">
        <f>I167-F167</f>
        <v>9.5833333325572312E-3</v>
      </c>
      <c r="N167" s="7">
        <f>24*60*SUM($M167:$M167)</f>
        <v>13.799999998882413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9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-02-01T06:18:32-0700',mode:absolute,to:'2017-02-01T08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93" t="str">
        <f>IF(AA167&lt;IF(AG167="EC",23,5.65),"Y","N")</f>
        <v>N</v>
      </c>
      <c r="X167" s="193">
        <f>VALUE(LEFT(AD167,4))-VALUE(LEFT(AD166,4))</f>
        <v>1</v>
      </c>
      <c r="Y167" s="62">
        <f>RIGHT(D167,LEN(D167)-4)/10000</f>
        <v>9.5500000000000002E-2</v>
      </c>
      <c r="Z167" s="62">
        <f>RIGHT(H167,LEN(H167)-4)/10000</f>
        <v>5.8960999999999997</v>
      </c>
      <c r="AA167" s="62">
        <f>ABS(Z167-Y167)</f>
        <v>5.8005999999999993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>IF(LEN(A167)=6,"0"&amp;A167,A167)</f>
        <v>0807-01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/stypes="app*4044*20170201*"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10"/>
        <v>"%USERPROFILE%\Documents\GitHub\eaglep3\Utilities\RefineRTDCRunTimes.py" --tripid 807-01 --locoid 4044 --swversion DE.1.0.8.0 --startMP 204:955 --initTime 2017-02-01T07:18:32 --startdatetime 2017-02-01T07:21:27 --delay 1 --endMP 300:58961 --enddatetime 2017-02-01T07:35:15 --enforcementcount 0 &gt;&gt;C:\Users\stu\Documents\GitHub\eaglep3-reporting\EC\2017-02-01-refined-times.txt</v>
      </c>
      <c r="AI167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{"issue":{"subject":"","project_id":79,"tracker_id":40,"status_id":1,"priority_id":2,"assigned_to_id":23,"start_date":"2017-02-01","description":"","custom_fields":[{"id":1,"name":"Subdivision","value":"NW"},{"id":4,"name":"Milepost","value":"5.8961"},{"id":17,"name":"Train ID","value":"807-01"},{"id":16,"name":"Locomotive ID","value":"4044"},{"id":130,"name":"Impact","value":""},{"id":150,"name":"Time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60" t="str">
        <f t="shared" si="12"/>
        <v>start /low /b %USERPROFILE%\Documents\GitHub\eaglep3\Utilities\DownloadLogsFromS3.py --loco 4044 --day 2017-02-01</v>
      </c>
      <c r="AN167" s="16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497</v>
      </c>
      <c r="B168" s="7">
        <v>4043</v>
      </c>
      <c r="C168" s="21" t="s">
        <v>193</v>
      </c>
      <c r="D168" s="21" t="s">
        <v>411</v>
      </c>
      <c r="E168" s="13">
        <v>42767.317453703705</v>
      </c>
      <c r="F168" s="13">
        <v>42767.318842592591</v>
      </c>
      <c r="G168" s="7">
        <v>0</v>
      </c>
      <c r="H168" s="21" t="s">
        <v>786</v>
      </c>
      <c r="I168" s="13">
        <v>42767.330231481479</v>
      </c>
      <c r="J168" s="7">
        <v>0</v>
      </c>
      <c r="K168" s="98" t="str">
        <f>IF(ISEVEN(B168),(B168-1)&amp;"/"&amp;B168,B168&amp;"/"&amp;(B168+1))</f>
        <v>4043/4044</v>
      </c>
      <c r="L168" s="21" t="str">
        <f>VLOOKUP(A168,'Trips&amp;Operators'!$C$1:$G$99999,5,FALSE)</f>
        <v>LOZA FIDEL</v>
      </c>
      <c r="M168" s="6">
        <f>I168-F168</f>
        <v>1.1388888888177462E-2</v>
      </c>
      <c r="N168" s="7">
        <f>24*60*SUM($M168:$M168)</f>
        <v>16.399999998975545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9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-02-01T06:37:08-0700',mode:absolute,to:'2017-02-01T08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93" t="str">
        <f>IF(AA168&lt;IF(AG168="EC",23,5.65),"Y","N")</f>
        <v>N</v>
      </c>
      <c r="X168" s="193">
        <f>VALUE(LEFT(AD168,4))-VALUE(LEFT(AD167,4))</f>
        <v>1</v>
      </c>
      <c r="Y168" s="62">
        <f>RIGHT(D168,LEN(D168)-4)/10000</f>
        <v>5.8648999999999996</v>
      </c>
      <c r="Z168" s="62">
        <f>RIGHT(H168,LEN(H168)-4)/10000</f>
        <v>6.8699999999999997E-2</v>
      </c>
      <c r="AA168" s="62">
        <f>ABS(Z168-Y168)</f>
        <v>5.7961999999999998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>IF(LEN(A168)=6,"0"&amp;A168,A168)</f>
        <v>0808-01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/stypes="app*4043*20170201*" /stext=" 14:.+((SYSTEM_STATE.+slice.+state.+changed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10"/>
        <v>"%USERPROFILE%\Documents\GitHub\eaglep3\Utilities\RefineRTDCRunTimes.py" --tripid 808-01 --locoid 4043 --swversion DE.1.0.8.0 --startMP 300:58649 --initTime 2017-02-01T07:37:08 --startdatetime 2017-02-01T07:39:08 --delay 0 --endMP 204:687 --enddatetime 2017-02-01T07:55:32 --enforcementcount 0 &gt;&gt;C:\Users\stu\Documents\GitHub\eaglep3-reporting\EC\2017-02-01-refined-times.txt</v>
      </c>
      <c r="AI168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{"issue":{"subject":"","project_id":79,"tracker_id":40,"status_id":1,"priority_id":2,"assigned_to_id":23,"start_date":"2017-02-01","description":"","custom_fields":[{"id":1,"name":"Subdivision","value":"NW"},{"id":4,"name":"Milepost","value":"0.0687"},{"id":17,"name":"Train ID","value":"808-01"},{"id":16,"name":"Locomotive ID","value":"4043"},{"id":130,"name":"Impact","value":""},{"id":150,"name":"Time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60" t="str">
        <f t="shared" si="12"/>
        <v>start /low /b %USERPROFILE%\Documents\GitHub\eaglep3\Utilities\DownloadLogsFromS3.py --loco 4043 --day 2017-02-01</v>
      </c>
      <c r="AN168" s="16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433</v>
      </c>
      <c r="B169" s="7">
        <v>4025</v>
      </c>
      <c r="C169" s="21" t="s">
        <v>193</v>
      </c>
      <c r="D169" s="21" t="s">
        <v>787</v>
      </c>
      <c r="E169" s="13">
        <v>42767.311203703706</v>
      </c>
      <c r="F169" s="13">
        <v>42767.327604166669</v>
      </c>
      <c r="G169" s="7">
        <v>0</v>
      </c>
      <c r="H169" s="21" t="s">
        <v>788</v>
      </c>
      <c r="I169" s="13">
        <v>42767.336851851855</v>
      </c>
      <c r="J169" s="7">
        <v>0</v>
      </c>
      <c r="K169" s="98" t="str">
        <f>IF(ISEVEN(B169),(B169-1)&amp;"/"&amp;B169,B169&amp;"/"&amp;(B169+1))</f>
        <v>4025/4026</v>
      </c>
      <c r="L169" s="21" t="str">
        <f>VLOOKUP(A169,'Trips&amp;Operators'!$C$1:$G$99999,5,FALSE)</f>
        <v>YORK EDGAR</v>
      </c>
      <c r="M169" s="6">
        <f>I169-F169</f>
        <v>9.2476851859828457E-3</v>
      </c>
      <c r="N169" s="7">
        <f>24*60*SUM($M169:$M169)</f>
        <v>13.316666667815298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9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-02-01T06:28:08-0700',mode:absolute,to:'2017-02-01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3" t="str">
        <f>IF(AA169&lt;IF(AG169="EC",23,5.65),"Y","N")</f>
        <v>N</v>
      </c>
      <c r="X169" s="193">
        <f>VALUE(LEFT(AD169,4))-VALUE(LEFT(AD168,4))</f>
        <v>1</v>
      </c>
      <c r="Y169" s="62">
        <f>RIGHT(D169,LEN(D169)-4)/10000</f>
        <v>0.1023</v>
      </c>
      <c r="Z169" s="62">
        <f>RIGHT(H169,LEN(H169)-4)/10000</f>
        <v>5.8935000000000004</v>
      </c>
      <c r="AA169" s="62">
        <f>ABS(Z169-Y169)</f>
        <v>5.7912000000000008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>IF(LEN(A169)=6,"0"&amp;A169,A169)</f>
        <v>0809-01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/stypes="app*4025*20170201*"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10"/>
        <v>"%USERPROFILE%\Documents\GitHub\eaglep3\Utilities\RefineRTDCRunTimes.py" --tripid 809-01 --locoid 4025 --swversion DE.1.0.8.0 --startMP 204:1023 --initTime 2017-02-01T07:28:08 --startdatetime 2017-02-01T07:51:45 --delay 0 --endMP 300:58935 --enddatetime 2017-02-01T08:05:04 --enforcementcount 0 &gt;&gt;C:\Users\stu\Documents\GitHub\eaglep3-reporting\EC\2017-02-01-refined-times.txt</v>
      </c>
      <c r="AI169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{"issue":{"subject":"","project_id":79,"tracker_id":40,"status_id":1,"priority_id":2,"assigned_to_id":23,"start_date":"2017-02-01","description":"","custom_fields":[{"id":1,"name":"Subdivision","value":"NW"},{"id":4,"name":"Milepost","value":"5.8935"},{"id":17,"name":"Train ID","value":"809-01"},{"id":16,"name":"Locomotive ID","value":"4025"},{"id":130,"name":"Impact","value":""},{"id":150,"name":"Time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60" t="str">
        <f t="shared" si="12"/>
        <v>start /low /b %USERPROFILE%\Documents\GitHub\eaglep3\Utilities\DownloadLogsFromS3.py --loco 4025 --day 2017-02-01</v>
      </c>
      <c r="AN169" s="16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501</v>
      </c>
      <c r="B170" s="7">
        <v>4026</v>
      </c>
      <c r="C170" s="21" t="s">
        <v>193</v>
      </c>
      <c r="D170" s="21" t="s">
        <v>421</v>
      </c>
      <c r="E170" s="13">
        <v>42767.338171296295</v>
      </c>
      <c r="F170" s="13">
        <v>42767.339745370373</v>
      </c>
      <c r="G170" s="7">
        <v>0</v>
      </c>
      <c r="H170" s="21" t="s">
        <v>789</v>
      </c>
      <c r="I170" s="13">
        <v>42767.350590277776</v>
      </c>
      <c r="J170" s="7">
        <v>0</v>
      </c>
      <c r="K170" s="98" t="str">
        <f>IF(ISEVEN(B170),(B170-1)&amp;"/"&amp;B170,B170&amp;"/"&amp;(B170+1))</f>
        <v>4025/4026</v>
      </c>
      <c r="L170" s="21" t="str">
        <f>VLOOKUP(A170,'Trips&amp;Operators'!$C$1:$G$99999,5,FALSE)</f>
        <v>YORK EDGAR</v>
      </c>
      <c r="M170" s="6">
        <f>I170-F170</f>
        <v>1.0844907403225079E-2</v>
      </c>
      <c r="N170" s="7">
        <f>24*60*SUM($M170:$M170)</f>
        <v>15.616666660644114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9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-02-01T07:06:58-0700',mode:absolute,to:'2017-02-01T09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93" t="str">
        <f>IF(AA170&lt;IF(AG170="EC",23,5.65),"Y","N")</f>
        <v>N</v>
      </c>
      <c r="X170" s="193">
        <f>VALUE(LEFT(AD170,4))-VALUE(LEFT(AD169,4))</f>
        <v>1</v>
      </c>
      <c r="Y170" s="62">
        <f>RIGHT(D170,LEN(D170)-4)/10000</f>
        <v>5.8624000000000001</v>
      </c>
      <c r="Z170" s="62">
        <f>RIGHT(H170,LEN(H170)-4)/10000</f>
        <v>8.1699999999999995E-2</v>
      </c>
      <c r="AA170" s="62">
        <f>ABS(Z170-Y170)</f>
        <v>5.7807000000000004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>IF(LEN(A170)=6,"0"&amp;A170,A170)</f>
        <v>0810-01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/stypes="app*4026*20170201*"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10"/>
        <v>"%USERPROFILE%\Documents\GitHub\eaglep3\Utilities\RefineRTDCRunTimes.py" --tripid 810-01 --locoid 4026 --swversion DE.1.0.8.0 --startMP 300:58624 --initTime 2017-02-01T08:06:58 --startdatetime 2017-02-01T08:09:14 --delay 0 --endMP 204:817 --enddatetime 2017-02-01T08:24:51 --enforcementcount 0 &gt;&gt;C:\Users\stu\Documents\GitHub\eaglep3-reporting\EC\2017-02-01-refined-times.txt</v>
      </c>
      <c r="AI170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{"issue":{"subject":"","project_id":79,"tracker_id":40,"status_id":1,"priority_id":2,"assigned_to_id":23,"start_date":"2017-02-01","description":"","custom_fields":[{"id":1,"name":"Subdivision","value":"NW"},{"id":4,"name":"Milepost","value":"0.0817"},{"id":17,"name":"Train ID","value":"810-01"},{"id":16,"name":"Locomotive ID","value":"4026"},{"id":130,"name":"Impact","value":""},{"id":150,"name":"Time of Event (Mountain Time)","value":"08:24:51"},{"id":151,"name":"Denver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60" t="str">
        <f t="shared" si="12"/>
        <v>start /low /b %USERPROFILE%\Documents\GitHub\eaglep3\Utilities\DownloadLogsFromS3.py --loco 4026 --day 2017-02-01</v>
      </c>
      <c r="AN170" s="16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</row>
    <row r="171" spans="1:91" x14ac:dyDescent="0.25">
      <c r="A171" s="33" t="s">
        <v>502</v>
      </c>
      <c r="B171" s="7">
        <v>4044</v>
      </c>
      <c r="C171" s="21" t="s">
        <v>193</v>
      </c>
      <c r="D171" s="21" t="s">
        <v>790</v>
      </c>
      <c r="E171" s="13">
        <v>42767.345243055555</v>
      </c>
      <c r="F171" s="13">
        <v>42767.34814814815</v>
      </c>
      <c r="G171" s="7">
        <v>1</v>
      </c>
      <c r="H171" s="21" t="s">
        <v>791</v>
      </c>
      <c r="I171" s="13">
        <v>42767.357974537037</v>
      </c>
      <c r="J171" s="7">
        <v>0</v>
      </c>
      <c r="K171" s="98" t="str">
        <f>IF(ISEVEN(B171),(B171-1)&amp;"/"&amp;B171,B171&amp;"/"&amp;(B171+1))</f>
        <v>4043/4044</v>
      </c>
      <c r="L171" s="21" t="str">
        <f>VLOOKUP(A171,'Trips&amp;Operators'!$C$1:$G$99999,5,FALSE)</f>
        <v>LOZA FIDEL</v>
      </c>
      <c r="M171" s="6">
        <f>I171-F171</f>
        <v>9.8263888867222704E-3</v>
      </c>
      <c r="N171" s="7">
        <f>24*60*SUM($M171:$M171)</f>
        <v>14.149999996880069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9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-02-01T07:17:09-0700',mode:absolute,to:'2017-02-01T09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3" t="str">
        <f>IF(AA171&lt;IF(AG171="EC",23,5.65),"Y","N")</f>
        <v>N</v>
      </c>
      <c r="X171" s="193">
        <f>VALUE(LEFT(AD171,4))-VALUE(LEFT(AD170,4))</f>
        <v>1</v>
      </c>
      <c r="Y171" s="62">
        <f>RIGHT(D171,LEN(D171)-4)/10000</f>
        <v>9.6699999999999994E-2</v>
      </c>
      <c r="Z171" s="62">
        <f>RIGHT(H171,LEN(H171)-4)/10000</f>
        <v>5.8954000000000004</v>
      </c>
      <c r="AA171" s="62">
        <f>ABS(Z171-Y171)</f>
        <v>5.7987000000000002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>IF(LEN(A171)=6,"0"&amp;A171,A171)</f>
        <v>0811-01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/stypes="app*4044*20170201*"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10"/>
        <v>"%USERPROFILE%\Documents\GitHub\eaglep3\Utilities\RefineRTDCRunTimes.py" --tripid 811-01 --locoid 4044 --swversion DE.1.0.8.0 --startMP 204:967 --initTime 2017-02-01T08:17:09 --startdatetime 2017-02-01T08:21:20 --delay 1 --endMP 300:58954 --enddatetime 2017-02-01T08:35:29 --enforcementcount 0 &gt;&gt;C:\Users\stu\Documents\GitHub\eaglep3-reporting\EC\2017-02-01-refined-times.txt</v>
      </c>
      <c r="AI171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{"issue":{"subject":"","project_id":79,"tracker_id":40,"status_id":1,"priority_id":2,"assigned_to_id":23,"start_date":"2017-02-01","description":"","custom_fields":[{"id":1,"name":"Subdivision","value":"NW"},{"id":4,"name":"Milepost","value":"5.8954"},{"id":17,"name":"Train ID","value":"811-01"},{"id":16,"name":"Locomotive ID","value":"4044"},{"id":130,"name":"Impact","value":""},{"id":150,"name":"Time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60" t="str">
        <f t="shared" si="12"/>
        <v>start /low /b %USERPROFILE%\Documents\GitHub\eaglep3\Utilities\DownloadLogsFromS3.py --loco 4044 --day 2017-02-01</v>
      </c>
      <c r="AN171" s="16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72" spans="1:91" x14ac:dyDescent="0.25">
      <c r="A172" s="33" t="s">
        <v>507</v>
      </c>
      <c r="B172" s="7">
        <v>4043</v>
      </c>
      <c r="C172" s="21" t="s">
        <v>193</v>
      </c>
      <c r="D172" s="21" t="s">
        <v>411</v>
      </c>
      <c r="E172" s="13">
        <v>42767.3593287037</v>
      </c>
      <c r="F172" s="13">
        <v>42767.361921296295</v>
      </c>
      <c r="G172" s="7">
        <v>1</v>
      </c>
      <c r="H172" s="21" t="s">
        <v>792</v>
      </c>
      <c r="I172" s="13">
        <v>42767.372048611112</v>
      </c>
      <c r="J172" s="7">
        <v>0</v>
      </c>
      <c r="K172" s="98" t="str">
        <f>IF(ISEVEN(B172),(B172-1)&amp;"/"&amp;B172,B172&amp;"/"&amp;(B172+1))</f>
        <v>4043/4044</v>
      </c>
      <c r="L172" s="21" t="str">
        <f>VLOOKUP(A172,'Trips&amp;Operators'!$C$1:$G$99999,5,FALSE)</f>
        <v>LOZA FIDEL</v>
      </c>
      <c r="M172" s="6">
        <f>I172-F172</f>
        <v>1.0127314817509614E-2</v>
      </c>
      <c r="N172" s="7">
        <f>24*60*SUM($M172:$M172)</f>
        <v>14.583333337213844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9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-02-01T07:37:26-0700',mode:absolute,to:'2017-02-01T09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93" t="str">
        <f>IF(AA172&lt;IF(AG172="EC",23,5.65),"Y","N")</f>
        <v>N</v>
      </c>
      <c r="X172" s="193">
        <f>VALUE(LEFT(AD172,4))-VALUE(LEFT(AD171,4))</f>
        <v>1</v>
      </c>
      <c r="Y172" s="62">
        <f>RIGHT(D172,LEN(D172)-4)/10000</f>
        <v>5.8648999999999996</v>
      </c>
      <c r="Z172" s="62">
        <f>RIGHT(H172,LEN(H172)-4)/10000</f>
        <v>6.7500000000000004E-2</v>
      </c>
      <c r="AA172" s="62">
        <f>ABS(Z172-Y172)</f>
        <v>5.7973999999999997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>IF(LEN(A172)=6,"0"&amp;A172,A172)</f>
        <v>0812-01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/stypes="app*4043*20170201*" /stext=" 15:.+((SYSTEM_STATE.+slice.+state.+changed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10"/>
        <v>"%USERPROFILE%\Documents\GitHub\eaglep3\Utilities\RefineRTDCRunTimes.py" --tripid 812-01 --locoid 4043 --swversion DE.1.0.8.0 --startMP 300:58649 --initTime 2017-02-01T08:37:26 --startdatetime 2017-02-01T08:41:10 --delay 1 --endMP 204:675 --enddatetime 2017-02-01T08:55:45 --enforcementcount 0 &gt;&gt;C:\Users\stu\Documents\GitHub\eaglep3-reporting\EC\2017-02-01-refined-times.txt</v>
      </c>
      <c r="AI172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{"issue":{"subject":"","project_id":79,"tracker_id":40,"status_id":1,"priority_id":2,"assigned_to_id":23,"start_date":"2017-02-01","description":"","custom_fields":[{"id":1,"name":"Subdivision","value":"NW"},{"id":4,"name":"Milepost","value":"0.0675"},{"id":17,"name":"Train ID","value":"812-01"},{"id":16,"name":"Locomotive ID","value":"4043"},{"id":130,"name":"Impact","value":""},{"id":150,"name":"Time of Event (Mountain Time)","value":"08:55:45"},{"id":151,"name":"Denver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60" t="str">
        <f t="shared" si="12"/>
        <v>start /low /b %USERPROFILE%\Documents\GitHub\eaglep3\Utilities\DownloadLogsFromS3.py --loco 4043 --day 2017-02-01</v>
      </c>
      <c r="AN172" s="16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173" spans="1:91" x14ac:dyDescent="0.25">
      <c r="A173" s="33" t="s">
        <v>515</v>
      </c>
      <c r="B173" s="7">
        <v>4044</v>
      </c>
      <c r="C173" s="21" t="s">
        <v>193</v>
      </c>
      <c r="D173" s="21" t="s">
        <v>793</v>
      </c>
      <c r="E173" s="13">
        <v>42767.38726851852</v>
      </c>
      <c r="F173" s="13">
        <v>42767.389826388891</v>
      </c>
      <c r="G173" s="7">
        <v>0</v>
      </c>
      <c r="H173" s="21" t="s">
        <v>794</v>
      </c>
      <c r="I173" s="13">
        <v>42767.399444444447</v>
      </c>
      <c r="J173" s="7">
        <v>0</v>
      </c>
      <c r="K173" s="98" t="str">
        <f>IF(ISEVEN(B173),(B173-1)&amp;"/"&amp;B173,B173&amp;"/"&amp;(B173+1))</f>
        <v>4043/4044</v>
      </c>
      <c r="L173" s="21" t="str">
        <f>VLOOKUP(A173,'Trips&amp;Operators'!$C$1:$G$99999,5,FALSE)</f>
        <v>LOZA FIDEL</v>
      </c>
      <c r="M173" s="6">
        <f>I173-F173</f>
        <v>9.6180555556202307E-3</v>
      </c>
      <c r="N173" s="7">
        <f>24*60*SUM($M173:$M173)</f>
        <v>13.850000000093132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9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-01T08:17:40-0700',mode:absolute,to:'2017-02-01T10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93" t="str">
        <f>IF(AA173&lt;IF(AG173="EC",23,5.65),"Y","N")</f>
        <v>N</v>
      </c>
      <c r="X173" s="193">
        <f>VALUE(LEFT(AD173,4))-VALUE(LEFT(AD172,4))</f>
        <v>1</v>
      </c>
      <c r="Y173" s="62">
        <f>RIGHT(D173,LEN(D173)-4)/10000</f>
        <v>9.6000000000000002E-2</v>
      </c>
      <c r="Z173" s="62">
        <f>RIGHT(H173,LEN(H173)-4)/10000</f>
        <v>5.8948</v>
      </c>
      <c r="AA173" s="62">
        <f>ABS(Z173-Y173)</f>
        <v>5.7988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>IF(LEN(A173)=6,"0"&amp;A173,A173)</f>
        <v>0813-01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/stypes="app*4044*20170201*"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10"/>
        <v>"%USERPROFILE%\Documents\GitHub\eaglep3\Utilities\RefineRTDCRunTimes.py" --tripid 813-01 --locoid 4044 --swversion DE.1.0.8.0 --startMP 204:960 --initTime 2017-02-01T09:17:40 --startdatetime 2017-02-01T09:21:21 --delay 0 --endMP 300:58948 --enddatetime 2017-02-01T09:35:12 --enforcementcount 0 &gt;&gt;C:\Users\stu\Documents\GitHub\eaglep3-reporting\EC\2017-02-01-refined-times.txt</v>
      </c>
      <c r="AI173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{"issue":{"subject":"","project_id":79,"tracker_id":40,"status_id":1,"priority_id":2,"assigned_to_id":23,"start_date":"2017-02-01","description":"","custom_fields":[{"id":1,"name":"Subdivision","value":"NW"},{"id":4,"name":"Milepost","value":"5.8948"},{"id":17,"name":"Train ID","value":"813-01"},{"id":16,"name":"Locomotive ID","value":"4044"},{"id":130,"name":"Impact","value":""},{"id":150,"name":"Time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60" t="str">
        <f t="shared" si="12"/>
        <v>start /low /b %USERPROFILE%\Documents\GitHub\eaglep3\Utilities\DownloadLogsFromS3.py --loco 4044 --day 2017-02-01</v>
      </c>
      <c r="AN173" s="16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74" spans="1:91" s="20" customFormat="1" x14ac:dyDescent="0.25">
      <c r="A174" s="33" t="s">
        <v>518</v>
      </c>
      <c r="B174" s="7">
        <v>4043</v>
      </c>
      <c r="C174" s="21" t="s">
        <v>193</v>
      </c>
      <c r="D174" s="21" t="s">
        <v>422</v>
      </c>
      <c r="E174" s="13">
        <v>42767.400578703702</v>
      </c>
      <c r="F174" s="13">
        <v>42767.402037037034</v>
      </c>
      <c r="G174" s="7">
        <v>1</v>
      </c>
      <c r="H174" s="21" t="s">
        <v>427</v>
      </c>
      <c r="I174" s="13">
        <v>42767.413344907407</v>
      </c>
      <c r="J174" s="7">
        <v>0</v>
      </c>
      <c r="K174" s="98" t="str">
        <f>IF(ISEVEN(B174),(B174-1)&amp;"/"&amp;B174,B174&amp;"/"&amp;(B174+1))</f>
        <v>4043/4044</v>
      </c>
      <c r="L174" s="21" t="str">
        <f>VLOOKUP(A174,'Trips&amp;Operators'!$C$1:$G$99999,5,FALSE)</f>
        <v>LOZA FIDEL</v>
      </c>
      <c r="M174" s="6">
        <f>I174-F174</f>
        <v>1.1307870372547768E-2</v>
      </c>
      <c r="N174" s="7">
        <f>24*60*SUM($M174:$M174)</f>
        <v>16.283333336468786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9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-02-01T08:36:50-0700',mode:absolute,to:'2017-02-01T10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93" t="str">
        <f>IF(AA174&lt;IF(AG174="EC",23,5.65),"Y","N")</f>
        <v>N</v>
      </c>
      <c r="X174" s="193">
        <f>VALUE(LEFT(AD174,4))-VALUE(LEFT(AD173,4))</f>
        <v>1</v>
      </c>
      <c r="Y174" s="62">
        <f>RIGHT(D174,LEN(D174)-4)/10000</f>
        <v>5.8634000000000004</v>
      </c>
      <c r="Z174" s="62">
        <f>RIGHT(H174,LEN(H174)-4)/10000</f>
        <v>6.6100000000000006E-2</v>
      </c>
      <c r="AA174" s="62">
        <f>ABS(Z174-Y174)</f>
        <v>5.7973000000000008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>IF(LEN(A174)=6,"0"&amp;A174,A174)</f>
        <v>0814-01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/stypes="app*4043*20170201*" /stext=" 16:.+((SYSTEM_STATE.+slice.+state.+changed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10"/>
        <v>"%USERPROFILE%\Documents\GitHub\eaglep3\Utilities\RefineRTDCRunTimes.py" --tripid 814-01 --locoid 4043 --swversion DE.1.0.8.0 --startMP 300:58634 --initTime 2017-02-01T09:36:50 --startdatetime 2017-02-01T09:38:56 --delay 1 --endMP 204:661 --enddatetime 2017-02-01T09:55:13 --enforcementcount 0 &gt;&gt;C:\Users\stu\Documents\GitHub\eaglep3-reporting\EC\2017-02-01-refined-times.txt</v>
      </c>
      <c r="AI174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{"issue":{"subject":"","project_id":79,"tracker_id":40,"status_id":1,"priority_id":2,"assigned_to_id":23,"start_date":"2017-02-01","description":"","custom_fields":[{"id":1,"name":"Subdivision","value":"NW"},{"id":4,"name":"Milepost","value":"0.0661"},{"id":17,"name":"Train ID","value":"814-01"},{"id":16,"name":"Locomotive ID","value":"4043"},{"id":130,"name":"Impact","value":""},{"id":150,"name":"Time of Event (Mountain Time)","value":"09:55:13"},{"id":151,"name":"Denver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60" t="str">
        <f t="shared" si="12"/>
        <v>start /low /b %USERPROFILE%\Documents\GitHub\eaglep3\Utilities\DownloadLogsFromS3.py --loco 4043 --day 2017-02-01</v>
      </c>
      <c r="AN174" s="16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525</v>
      </c>
      <c r="B175" s="7">
        <v>4044</v>
      </c>
      <c r="C175" s="21" t="s">
        <v>193</v>
      </c>
      <c r="D175" s="21" t="s">
        <v>795</v>
      </c>
      <c r="E175" s="13">
        <v>42767.429143518515</v>
      </c>
      <c r="F175" s="13">
        <v>42767.431481481479</v>
      </c>
      <c r="G175" s="7">
        <v>1</v>
      </c>
      <c r="H175" s="21" t="s">
        <v>779</v>
      </c>
      <c r="I175" s="13">
        <v>42767.441134259258</v>
      </c>
      <c r="J175" s="7">
        <v>0</v>
      </c>
      <c r="K175" s="98" t="str">
        <f>IF(ISEVEN(B175),(B175-1)&amp;"/"&amp;B175,B175&amp;"/"&amp;(B175+1))</f>
        <v>4043/4044</v>
      </c>
      <c r="L175" s="21" t="str">
        <f>VLOOKUP(A175,'Trips&amp;Operators'!$C$1:$G$99999,5,FALSE)</f>
        <v>LOZA FIDEL</v>
      </c>
      <c r="M175" s="6">
        <f>I175-F175</f>
        <v>9.6527777786832303E-3</v>
      </c>
      <c r="N175" s="7">
        <f>24*60*SUM($M175:$M175)</f>
        <v>13.900000001303852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9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-02-01T09:17:58-0700',mode:absolute,to:'2017-02-01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93" t="str">
        <f>IF(AA175&lt;IF(AG175="EC",23,5.65),"Y","N")</f>
        <v>N</v>
      </c>
      <c r="X175" s="193">
        <f>VALUE(LEFT(AD175,4))-VALUE(LEFT(AD174,4))</f>
        <v>1</v>
      </c>
      <c r="Y175" s="62">
        <f>RIGHT(D175,LEN(D175)-4)/10000</f>
        <v>9.7100000000000006E-2</v>
      </c>
      <c r="Z175" s="62">
        <f>RIGHT(H175,LEN(H175)-4)/10000</f>
        <v>5.8975999999999997</v>
      </c>
      <c r="AA175" s="62">
        <f>ABS(Z175-Y175)</f>
        <v>5.8004999999999995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>IF(LEN(A175)=6,"0"&amp;A175,A175)</f>
        <v>0815-01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/stypes="app*4044*20170201*"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10"/>
        <v>"%USERPROFILE%\Documents\GitHub\eaglep3\Utilities\RefineRTDCRunTimes.py" --tripid 815-01 --locoid 4044 --swversion DE.1.0.8.0 --startMP 204:971 --initTime 2017-02-01T10:17:58 --startdatetime 2017-02-01T10:21:20 --delay 1 --endMP 300:58976 --enddatetime 2017-02-01T10:35:14 --enforcementcount 0 &gt;&gt;C:\Users\stu\Documents\GitHub\eaglep3-reporting\EC\2017-02-01-refined-times.txt</v>
      </c>
      <c r="AI175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{"issue":{"subject":"","project_id":79,"tracker_id":40,"status_id":1,"priority_id":2,"assigned_to_id":23,"start_date":"2017-02-01","description":"","custom_fields":[{"id":1,"name":"Subdivision","value":"NW"},{"id":4,"name":"Milepost","value":"5.8976"},{"id":17,"name":"Train ID","value":"815-01"},{"id":16,"name":"Locomotive ID","value":"4044"},{"id":130,"name":"Impact","value":""},{"id":150,"name":"Time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60" t="str">
        <f t="shared" si="12"/>
        <v>start /low /b %USERPROFILE%\Documents\GitHub\eaglep3\Utilities\DownloadLogsFromS3.py --loco 4044 --day 2017-02-01</v>
      </c>
      <c r="AN175" s="16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76" spans="1:91" x14ac:dyDescent="0.25">
      <c r="A176" s="33" t="s">
        <v>528</v>
      </c>
      <c r="B176" s="7">
        <v>4043</v>
      </c>
      <c r="C176" s="21" t="s">
        <v>193</v>
      </c>
      <c r="D176" s="21" t="s">
        <v>418</v>
      </c>
      <c r="E176" s="13">
        <v>42767.442175925928</v>
      </c>
      <c r="F176" s="13">
        <v>42767.443796296298</v>
      </c>
      <c r="G176" s="7">
        <v>1</v>
      </c>
      <c r="H176" s="21" t="s">
        <v>796</v>
      </c>
      <c r="I176" s="13">
        <v>42767.454872685186</v>
      </c>
      <c r="J176" s="7">
        <v>0</v>
      </c>
      <c r="K176" s="98" t="str">
        <f>IF(ISEVEN(B176),(B176-1)&amp;"/"&amp;B176,B176&amp;"/"&amp;(B176+1))</f>
        <v>4043/4044</v>
      </c>
      <c r="L176" s="21" t="str">
        <f>VLOOKUP(A176,'Trips&amp;Operators'!$C$1:$G$99999,5,FALSE)</f>
        <v>LOZA FIDEL</v>
      </c>
      <c r="M176" s="6">
        <f>I176-F176</f>
        <v>1.1076388887886424E-2</v>
      </c>
      <c r="N176" s="7">
        <f>24*60*SUM($M176:$M176)</f>
        <v>15.94999999855645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9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-02-01T09:36:44-0700',mode:absolute,to:'2017-02-01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93" t="str">
        <f>IF(AA176&lt;IF(AG176="EC",23,5.65),"Y","N")</f>
        <v>N</v>
      </c>
      <c r="X176" s="193">
        <f>VALUE(LEFT(AD176,4))-VALUE(LEFT(AD175,4))</f>
        <v>1</v>
      </c>
      <c r="Y176" s="62">
        <f>RIGHT(D176,LEN(D176)-4)/10000</f>
        <v>5.8662000000000001</v>
      </c>
      <c r="Z176" s="62">
        <f>RIGHT(H176,LEN(H176)-4)/10000</f>
        <v>6.7299999999999999E-2</v>
      </c>
      <c r="AA176" s="62">
        <f>ABS(Z176-Y176)</f>
        <v>5.7988999999999997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>IF(LEN(A176)=6,"0"&amp;A176,A176)</f>
        <v>0816-01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/stypes="app*4043*20170201*" /stext=" 17:.+((SYSTEM_STATE.+slice.+state.+changed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10"/>
        <v>"%USERPROFILE%\Documents\GitHub\eaglep3\Utilities\RefineRTDCRunTimes.py" --tripid 816-01 --locoid 4043 --swversion DE.1.0.8.0 --startMP 300:58662 --initTime 2017-02-01T10:36:44 --startdatetime 2017-02-01T10:39:04 --delay 1 --endMP 204:673 --enddatetime 2017-02-01T10:55:01 --enforcementcount 0 &gt;&gt;C:\Users\stu\Documents\GitHub\eaglep3-reporting\EC\2017-02-01-refined-times.txt</v>
      </c>
      <c r="AI176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{"issue":{"subject":"","project_id":79,"tracker_id":40,"status_id":1,"priority_id":2,"assigned_to_id":23,"start_date":"2017-02-01","description":"","custom_fields":[{"id":1,"name":"Subdivision","value":"NW"},{"id":4,"name":"Milepost","value":"0.0673"},{"id":17,"name":"Train ID","value":"816-01"},{"id":16,"name":"Locomotive ID","value":"4043"},{"id":130,"name":"Impact","value":""},{"id":150,"name":"Time of Event (Mountain Time)","value":"10:55:01"},{"id":151,"name":"Denver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60" t="str">
        <f t="shared" si="12"/>
        <v>start /low /b %USERPROFILE%\Documents\GitHub\eaglep3\Utilities\DownloadLogsFromS3.py --loco 4043 --day 2017-02-01</v>
      </c>
      <c r="AN176" s="16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177" spans="1:91" x14ac:dyDescent="0.25">
      <c r="A177" s="33" t="s">
        <v>533</v>
      </c>
      <c r="B177" s="7">
        <v>4044</v>
      </c>
      <c r="C177" s="21" t="s">
        <v>193</v>
      </c>
      <c r="D177" s="21" t="s">
        <v>790</v>
      </c>
      <c r="E177" s="13">
        <v>42767.470613425925</v>
      </c>
      <c r="F177" s="13">
        <v>42767.47314814815</v>
      </c>
      <c r="G177" s="7">
        <v>1</v>
      </c>
      <c r="H177" s="21" t="s">
        <v>797</v>
      </c>
      <c r="I177" s="13">
        <v>42767.482847222222</v>
      </c>
      <c r="J177" s="7">
        <v>0</v>
      </c>
      <c r="K177" s="98" t="str">
        <f>IF(ISEVEN(B177),(B177-1)&amp;"/"&amp;B177,B177&amp;"/"&amp;(B177+1))</f>
        <v>4043/4044</v>
      </c>
      <c r="L177" s="21" t="str">
        <f>VLOOKUP(A177,'Trips&amp;Operators'!$C$1:$G$99999,5,FALSE)</f>
        <v>LOZA FIDEL</v>
      </c>
      <c r="M177" s="6">
        <f>I177-F177</f>
        <v>9.6990740712499246E-3</v>
      </c>
      <c r="N177" s="7">
        <f>24*60*SUM($M177:$M177)</f>
        <v>13.966666662599891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9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-02-01T10:17:41-0700',mode:absolute,to:'2017-02-01T12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93" t="str">
        <f>IF(AA177&lt;IF(AG177="EC",23,5.65),"Y","N")</f>
        <v>N</v>
      </c>
      <c r="X177" s="193">
        <f>VALUE(LEFT(AD177,4))-VALUE(LEFT(AD176,4))</f>
        <v>1</v>
      </c>
      <c r="Y177" s="62">
        <f>RIGHT(D177,LEN(D177)-4)/10000</f>
        <v>9.6699999999999994E-2</v>
      </c>
      <c r="Z177" s="62">
        <f>RIGHT(H177,LEN(H177)-4)/10000</f>
        <v>5.8963000000000001</v>
      </c>
      <c r="AA177" s="62">
        <f>ABS(Z177-Y177)</f>
        <v>5.7995999999999999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>IF(LEN(A177)=6,"0"&amp;A177,A177)</f>
        <v>0817-01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/stypes="app*4044*20170201*"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10"/>
        <v>"%USERPROFILE%\Documents\GitHub\eaglep3\Utilities\RefineRTDCRunTimes.py" --tripid 817-01 --locoid 4044 --swversion DE.1.0.8.0 --startMP 204:967 --initTime 2017-02-01T11:17:41 --startdatetime 2017-02-01T11:21:20 --delay 1 --endMP 300:58963 --enddatetime 2017-02-01T11:35:18 --enforcementcount 0 &gt;&gt;C:\Users\stu\Documents\GitHub\eaglep3-reporting\EC\2017-02-01-refined-times.txt</v>
      </c>
      <c r="AI177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{"issue":{"subject":"","project_id":79,"tracker_id":40,"status_id":1,"priority_id":2,"assigned_to_id":23,"start_date":"2017-02-01","description":"","custom_fields":[{"id":1,"name":"Subdivision","value":"NW"},{"id":4,"name":"Milepost","value":"5.8963"},{"id":17,"name":"Train ID","value":"817-01"},{"id":16,"name":"Locomotive ID","value":"4044"},{"id":130,"name":"Impact","value":""},{"id":150,"name":"Time of Event (Mountain Time)","value":"11:35:18"},{"id":151,"name":"Denver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60" t="str">
        <f t="shared" si="12"/>
        <v>start /low /b %USERPROFILE%\Documents\GitHub\eaglep3\Utilities\DownloadLogsFromS3.py --loco 4044 --day 2017-02-01</v>
      </c>
      <c r="AN177" s="16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78" spans="1:91" x14ac:dyDescent="0.25">
      <c r="A178" s="33" t="s">
        <v>535</v>
      </c>
      <c r="B178" s="7">
        <v>4043</v>
      </c>
      <c r="C178" s="21" t="s">
        <v>193</v>
      </c>
      <c r="D178" s="21" t="s">
        <v>798</v>
      </c>
      <c r="E178" s="13">
        <v>42767.485046296293</v>
      </c>
      <c r="F178" s="13">
        <v>42767.486446759256</v>
      </c>
      <c r="G178" s="7">
        <v>1</v>
      </c>
      <c r="H178" s="21" t="s">
        <v>799</v>
      </c>
      <c r="I178" s="13">
        <v>42767.496828703705</v>
      </c>
      <c r="J178" s="7">
        <v>0</v>
      </c>
      <c r="K178" s="98" t="str">
        <f>IF(ISEVEN(B178),(B178-1)&amp;"/"&amp;B178,B178&amp;"/"&amp;(B178+1))</f>
        <v>4043/4044</v>
      </c>
      <c r="L178" s="21" t="str">
        <f>VLOOKUP(A178,'Trips&amp;Operators'!$C$1:$G$99999,5,FALSE)</f>
        <v>LOZA FIDEL</v>
      </c>
      <c r="M178" s="6">
        <f>I178-F178</f>
        <v>1.0381944448454306E-2</v>
      </c>
      <c r="N178" s="7">
        <f>24*60*SUM($M178:$M178)</f>
        <v>14.9500000057742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9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-02-01T10:38:28-0700',mode:absolute,to:'2017-02-01T12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93" t="str">
        <f>IF(AA178&lt;IF(AG178="EC",23,5.65),"Y","N")</f>
        <v>N</v>
      </c>
      <c r="X178" s="193">
        <f>VALUE(LEFT(AD178,4))-VALUE(LEFT(AD177,4))</f>
        <v>1</v>
      </c>
      <c r="Y178" s="62">
        <f>RIGHT(D178,LEN(D178)-4)/10000</f>
        <v>5.8653000000000004</v>
      </c>
      <c r="Z178" s="62">
        <f>RIGHT(H178,LEN(H178)-4)/10000</f>
        <v>6.8199999999999997E-2</v>
      </c>
      <c r="AA178" s="62">
        <f>ABS(Z178-Y178)</f>
        <v>5.7971000000000004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>IF(LEN(A178)=6,"0"&amp;A178,A178)</f>
        <v>0818-01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/stypes="app*4043*20170201*" /stext=" 18:.+((SYSTEM_STATE.+slice.+state.+changed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10"/>
        <v>"%USERPROFILE%\Documents\GitHub\eaglep3\Utilities\RefineRTDCRunTimes.py" --tripid 818-01 --locoid 4043 --swversion DE.1.0.8.0 --startMP 300:58653 --initTime 2017-02-01T11:38:28 --startdatetime 2017-02-01T11:40:29 --delay 1 --endMP 204:682 --enddatetime 2017-02-01T11:55:26 --enforcementcount 0 &gt;&gt;C:\Users\stu\Documents\GitHub\eaglep3-reporting\EC\2017-02-01-refined-times.txt</v>
      </c>
      <c r="AI178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{"issue":{"subject":"","project_id":79,"tracker_id":40,"status_id":1,"priority_id":2,"assigned_to_id":23,"start_date":"2017-02-01","description":"","custom_fields":[{"id":1,"name":"Subdivision","value":"NW"},{"id":4,"name":"Milepost","value":"0.0682"},{"id":17,"name":"Train ID","value":"818-01"},{"id":16,"name":"Locomotive ID","value":"4043"},{"id":130,"name":"Impact","value":""},{"id":150,"name":"Time of Event (Mountain Time)","value":"11:55:26"},{"id":151,"name":"Denver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60" t="str">
        <f t="shared" si="12"/>
        <v>start /low /b %USERPROFILE%\Documents\GitHub\eaglep3\Utilities\DownloadLogsFromS3.py --loco 4043 --day 2017-02-01</v>
      </c>
      <c r="AN178" s="16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179" spans="1:91" x14ac:dyDescent="0.25">
      <c r="A179" s="33" t="s">
        <v>543</v>
      </c>
      <c r="B179" s="7">
        <v>4044</v>
      </c>
      <c r="C179" s="21" t="s">
        <v>193</v>
      </c>
      <c r="D179" s="21" t="s">
        <v>800</v>
      </c>
      <c r="E179" s="13">
        <v>42767.511041666665</v>
      </c>
      <c r="F179" s="13">
        <v>42767.514814814815</v>
      </c>
      <c r="G179" s="7">
        <v>2</v>
      </c>
      <c r="H179" s="21" t="s">
        <v>791</v>
      </c>
      <c r="I179" s="13">
        <v>42767.524305555555</v>
      </c>
      <c r="J179" s="7">
        <v>0</v>
      </c>
      <c r="K179" s="98" t="str">
        <f>IF(ISEVEN(B179),(B179-1)&amp;"/"&amp;B179,B179&amp;"/"&amp;(B179+1))</f>
        <v>4043/4044</v>
      </c>
      <c r="L179" s="21" t="str">
        <f>VLOOKUP(A179,'Trips&amp;Operators'!$C$1:$G$99999,5,FALSE)</f>
        <v>LOZA FIDEL</v>
      </c>
      <c r="M179" s="6">
        <f>I179-F179</f>
        <v>9.4907407401478849E-3</v>
      </c>
      <c r="N179" s="7">
        <f>24*60*SUM($M179:$M179)</f>
        <v>13.666666665812954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9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-02-01T11:15:54-0700',mode:absolute,to:'2017-02-01T13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93" t="str">
        <f>IF(AA179&lt;IF(AG179="EC",23,5.65),"Y","N")</f>
        <v>N</v>
      </c>
      <c r="X179" s="193">
        <f>VALUE(LEFT(AD179,4))-VALUE(LEFT(AD178,4))</f>
        <v>1</v>
      </c>
      <c r="Y179" s="62">
        <f>RIGHT(D179,LEN(D179)-4)/10000</f>
        <v>9.7900000000000001E-2</v>
      </c>
      <c r="Z179" s="62">
        <f>RIGHT(H179,LEN(H179)-4)/10000</f>
        <v>5.8954000000000004</v>
      </c>
      <c r="AA179" s="62">
        <f>ABS(Z179-Y179)</f>
        <v>5.7975000000000003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>IF(LEN(A179)=6,"0"&amp;A179,A179)</f>
        <v>0819-01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/stypes="app*4044*20170201*"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10"/>
        <v>"%USERPROFILE%\Documents\GitHub\eaglep3\Utilities\RefineRTDCRunTimes.py" --tripid 819-01 --locoid 4044 --swversion DE.1.0.8.0 --startMP 204:979 --initTime 2017-02-01T12:15:54 --startdatetime 2017-02-01T12:21:20 --delay 2 --endMP 300:58954 --enddatetime 2017-02-01T12:35:00 --enforcementcount 0 &gt;&gt;C:\Users\stu\Documents\GitHub\eaglep3-reporting\EC\2017-02-01-refined-times.txt</v>
      </c>
      <c r="AI179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{"issue":{"subject":"","project_id":79,"tracker_id":40,"status_id":1,"priority_id":2,"assigned_to_id":23,"start_date":"2017-02-01","description":"","custom_fields":[{"id":1,"name":"Subdivision","value":"NW"},{"id":4,"name":"Milepost","value":"5.8954"},{"id":17,"name":"Train ID","value":"819-01"},{"id":16,"name":"Locomotive ID","value":"4044"},{"id":130,"name":"Impact","value":""},{"id":150,"name":"Time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60" t="str">
        <f t="shared" si="12"/>
        <v>start /low /b %USERPROFILE%\Documents\GitHub\eaglep3\Utilities\DownloadLogsFromS3.py --loco 4044 --day 2017-02-01</v>
      </c>
      <c r="AN179" s="16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80" spans="1:91" s="20" customFormat="1" x14ac:dyDescent="0.25">
      <c r="A180" s="33" t="s">
        <v>547</v>
      </c>
      <c r="B180" s="7">
        <v>4043</v>
      </c>
      <c r="C180" s="21" t="s">
        <v>193</v>
      </c>
      <c r="D180" s="21" t="s">
        <v>423</v>
      </c>
      <c r="E180" s="13">
        <v>42767.525509259256</v>
      </c>
      <c r="F180" s="13">
        <v>42767.526863425926</v>
      </c>
      <c r="G180" s="7">
        <v>1</v>
      </c>
      <c r="H180" s="21" t="s">
        <v>426</v>
      </c>
      <c r="I180" s="13">
        <v>42767.538425925923</v>
      </c>
      <c r="J180" s="7">
        <v>0</v>
      </c>
      <c r="K180" s="98" t="str">
        <f>IF(ISEVEN(B180),(B180-1)&amp;"/"&amp;B180,B180&amp;"/"&amp;(B180+1))</f>
        <v>4043/4044</v>
      </c>
      <c r="L180" s="21" t="str">
        <f>VLOOKUP(A180,'Trips&amp;Operators'!$C$1:$G$99999,5,FALSE)</f>
        <v>LOZA FIDEL</v>
      </c>
      <c r="M180" s="6">
        <f>I180-F180</f>
        <v>1.1562499996216502E-2</v>
      </c>
      <c r="N180" s="7">
        <f>24*60*SUM($M180:$M180)</f>
        <v>16.649999994551763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9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-02-01T11:36:44-0700',mode:absolute,to:'2017-02-01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93" t="str">
        <f>IF(AA180&lt;IF(AG180="EC",23,5.65),"Y","N")</f>
        <v>N</v>
      </c>
      <c r="X180" s="193">
        <f>VALUE(LEFT(AD180,4))-VALUE(LEFT(AD179,4))</f>
        <v>1</v>
      </c>
      <c r="Y180" s="62">
        <f>RIGHT(D180,LEN(D180)-4)/10000</f>
        <v>5.8643000000000001</v>
      </c>
      <c r="Z180" s="62">
        <f>RIGHT(H180,LEN(H180)-4)/10000</f>
        <v>6.7100000000000007E-2</v>
      </c>
      <c r="AA180" s="62">
        <f>ABS(Z180-Y180)</f>
        <v>5.7972000000000001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>IF(LEN(A180)=6,"0"&amp;A180,A180)</f>
        <v>0820-01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/stypes="app*4043*20170201*" /stext=" 19:.+((SYSTEM_STATE.+slice.+state.+changed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10"/>
        <v>"%USERPROFILE%\Documents\GitHub\eaglep3\Utilities\RefineRTDCRunTimes.py" --tripid 820-01 --locoid 4043 --swversion DE.1.0.8.0 --startMP 300:58643 --initTime 2017-02-01T12:36:44 --startdatetime 2017-02-01T12:38:41 --delay 1 --endMP 204:671 --enddatetime 2017-02-01T12:55:20 --enforcementcount 0 &gt;&gt;C:\Users\stu\Documents\GitHub\eaglep3-reporting\EC\2017-02-01-refined-times.txt</v>
      </c>
      <c r="AI180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{"issue":{"subject":"","project_id":79,"tracker_id":40,"status_id":1,"priority_id":2,"assigned_to_id":23,"start_date":"2017-02-01","description":"","custom_fields":[{"id":1,"name":"Subdivision","value":"NW"},{"id":4,"name":"Milepost","value":"0.0671"},{"id":17,"name":"Train ID","value":"820-01"},{"id":16,"name":"Locomotive ID","value":"4043"},{"id":130,"name":"Impact","value":""},{"id":150,"name":"Time of Event (Mountain Time)","value":"12:55:20"},{"id":151,"name":"Denver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60" t="str">
        <f t="shared" si="12"/>
        <v>start /low /b %USERPROFILE%\Documents\GitHub\eaglep3\Utilities\DownloadLogsFromS3.py --loco 4043 --day 2017-02-01</v>
      </c>
      <c r="AN180" s="16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551</v>
      </c>
      <c r="B181" s="7">
        <v>4044</v>
      </c>
      <c r="C181" s="21" t="s">
        <v>193</v>
      </c>
      <c r="D181" s="21" t="s">
        <v>805</v>
      </c>
      <c r="E181" s="13">
        <v>42767.546087962961</v>
      </c>
      <c r="F181" s="13">
        <v>42767.556493055556</v>
      </c>
      <c r="G181" s="7">
        <v>2</v>
      </c>
      <c r="H181" s="21" t="s">
        <v>420</v>
      </c>
      <c r="I181" s="13">
        <v>42767.566388888888</v>
      </c>
      <c r="J181" s="7">
        <v>0</v>
      </c>
      <c r="K181" s="98" t="str">
        <f>IF(ISEVEN(B181),(B181-1)&amp;"/"&amp;B181,B181&amp;"/"&amp;(B181+1))</f>
        <v>4043/4044</v>
      </c>
      <c r="L181" s="21" t="str">
        <f>VLOOKUP(A181,'Trips&amp;Operators'!$C$1:$G$99999,5,FALSE)</f>
        <v>BRUDER RICHARD</v>
      </c>
      <c r="M181" s="6">
        <f>I181-F181</f>
        <v>9.8958333328482695E-3</v>
      </c>
      <c r="N181" s="7">
        <f>24*60*SUM($M181:$M181)</f>
        <v>14.249999999301508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9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-02-01T12:06:22-0700',mode:absolute,to:'2017-02-01T14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93" t="str">
        <f>IF(AA181&lt;IF(AG181="EC",23,5.65),"Y","N")</f>
        <v>N</v>
      </c>
      <c r="X181" s="193">
        <f>VALUE(LEFT(AD181,4))-VALUE(LEFT(AD180,4))</f>
        <v>1</v>
      </c>
      <c r="Y181" s="62">
        <f>RIGHT(D181,LEN(D181)-4)/10000</f>
        <v>9.6500000000000002E-2</v>
      </c>
      <c r="Z181" s="62">
        <f>RIGHT(H181,LEN(H181)-4)/10000</f>
        <v>5.8944000000000001</v>
      </c>
      <c r="AA181" s="62">
        <f>ABS(Z181-Y181)</f>
        <v>5.7979000000000003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>IF(LEN(A181)=6,"0"&amp;A181,A181)</f>
        <v>0821-01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/stypes="app*4044*20170201*"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10"/>
        <v>"%USERPROFILE%\Documents\GitHub\eaglep3\Utilities\RefineRTDCRunTimes.py" --tripid 821-01 --locoid 4044 --swversion DE.1.0.8.0 --startMP 204:965 --initTime 2017-02-01T13:06:22 --startdatetime 2017-02-01T13:21:21 --delay 2 --endMP 300:58944 --enddatetime 2017-02-01T13:35:36 --enforcementcount 0 &gt;&gt;C:\Users\stu\Documents\GitHub\eaglep3-reporting\EC\2017-02-01-refined-times.txt</v>
      </c>
      <c r="AI181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{"issue":{"subject":"","project_id":79,"tracker_id":40,"status_id":1,"priority_id":2,"assigned_to_id":23,"start_date":"2017-02-01","description":"","custom_fields":[{"id":1,"name":"Subdivision","value":"NW"},{"id":4,"name":"Milepost","value":"5.8944"},{"id":17,"name":"Train ID","value":"821-01"},{"id":16,"name":"Locomotive ID","value":"4044"},{"id":130,"name":"Impact","value":""},{"id":150,"name":"Time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60" t="str">
        <f t="shared" si="12"/>
        <v>start /low /b %USERPROFILE%\Documents\GitHub\eaglep3\Utilities\DownloadLogsFromS3.py --loco 4044 --day 2017-02-01</v>
      </c>
      <c r="AN181" s="16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82" spans="1:91" x14ac:dyDescent="0.25">
      <c r="A182" s="33" t="s">
        <v>558</v>
      </c>
      <c r="B182" s="7">
        <v>4043</v>
      </c>
      <c r="C182" s="21" t="s">
        <v>193</v>
      </c>
      <c r="D182" s="21" t="s">
        <v>359</v>
      </c>
      <c r="E182" s="13">
        <v>42767.56826388889</v>
      </c>
      <c r="F182" s="13">
        <v>42767.570092592592</v>
      </c>
      <c r="G182" s="7">
        <v>1</v>
      </c>
      <c r="H182" s="21" t="s">
        <v>806</v>
      </c>
      <c r="I182" s="13">
        <v>42767.579976851855</v>
      </c>
      <c r="J182" s="7">
        <v>0</v>
      </c>
      <c r="K182" s="98" t="str">
        <f>IF(ISEVEN(B182),(B182-1)&amp;"/"&amp;B182,B182&amp;"/"&amp;(B182+1))</f>
        <v>4043/4044</v>
      </c>
      <c r="L182" s="21" t="str">
        <f>VLOOKUP(A182,'Trips&amp;Operators'!$C$1:$G$99999,5,FALSE)</f>
        <v>BRUDER RICHARD</v>
      </c>
      <c r="M182" s="6">
        <f>I182-F182</f>
        <v>9.8842592633445747E-3</v>
      </c>
      <c r="N182" s="7">
        <f>24*60*SUM($M182:$M182)</f>
        <v>14.233333339216188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9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-02-01T12:38:18-0700',mode:absolute,to:'2017-02-01T14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93" t="str">
        <f>IF(AA182&lt;IF(AG182="EC",23,5.65),"Y","N")</f>
        <v>N</v>
      </c>
      <c r="X182" s="193">
        <f>VALUE(LEFT(AD182,4))-VALUE(LEFT(AD181,4))</f>
        <v>1</v>
      </c>
      <c r="Y182" s="62">
        <f>RIGHT(D182,LEN(D182)-4)/10000</f>
        <v>5.8628</v>
      </c>
      <c r="Z182" s="62">
        <f>RIGHT(H182,LEN(H182)-4)/10000</f>
        <v>6.6799999999999998E-2</v>
      </c>
      <c r="AA182" s="62">
        <f>ABS(Z182-Y182)</f>
        <v>5.7960000000000003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>IF(LEN(A182)=6,"0"&amp;A182,A182)</f>
        <v>0822-01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/stypes="app*4043*20170201*" /stext=" 20:.+((SYSTEM_STATE.+slice.+state.+changed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10"/>
        <v>"%USERPROFILE%\Documents\GitHub\eaglep3\Utilities\RefineRTDCRunTimes.py" --tripid 822-01 --locoid 4043 --swversion DE.1.0.8.0 --startMP 300:58628 --initTime 2017-02-01T13:38:18 --startdatetime 2017-02-01T13:40:56 --delay 1 --endMP 204:668 --enddatetime 2017-02-01T13:55:10 --enforcementcount 0 &gt;&gt;C:\Users\stu\Documents\GitHub\eaglep3-reporting\EC\2017-02-01-refined-times.txt</v>
      </c>
      <c r="AI182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{"issue":{"subject":"","project_id":79,"tracker_id":40,"status_id":1,"priority_id":2,"assigned_to_id":23,"start_date":"2017-02-01","description":"","custom_fields":[{"id":1,"name":"Subdivision","value":"NW"},{"id":4,"name":"Milepost","value":"0.0668"},{"id":17,"name":"Train ID","value":"822-01"},{"id":16,"name":"Locomotive ID","value":"4043"},{"id":130,"name":"Impact","value":""},{"id":150,"name":"Time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60" t="str">
        <f t="shared" si="12"/>
        <v>start /low /b %USERPROFILE%\Documents\GitHub\eaglep3\Utilities\DownloadLogsFromS3.py --loco 4043 --day 2017-02-01</v>
      </c>
      <c r="AN182" s="16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183" spans="1:91" x14ac:dyDescent="0.25">
      <c r="A183" s="33" t="s">
        <v>564</v>
      </c>
      <c r="B183" s="7">
        <v>4044</v>
      </c>
      <c r="C183" s="21" t="s">
        <v>193</v>
      </c>
      <c r="D183" s="21" t="s">
        <v>807</v>
      </c>
      <c r="E183" s="13">
        <v>42767.593738425923</v>
      </c>
      <c r="F183" s="13">
        <v>42767.598113425927</v>
      </c>
      <c r="G183" s="7">
        <v>2</v>
      </c>
      <c r="H183" s="21" t="s">
        <v>808</v>
      </c>
      <c r="I183" s="13">
        <v>42767.607615740744</v>
      </c>
      <c r="J183" s="7">
        <v>0</v>
      </c>
      <c r="K183" s="98" t="str">
        <f>IF(ISEVEN(B183),(B183-1)&amp;"/"&amp;B183,B183&amp;"/"&amp;(B183+1))</f>
        <v>4043/4044</v>
      </c>
      <c r="L183" s="21" t="str">
        <f>VLOOKUP(A183,'Trips&amp;Operators'!$C$1:$G$99999,5,FALSE)</f>
        <v>BRUDER RICHARD</v>
      </c>
      <c r="M183" s="6">
        <f>I183-F183</f>
        <v>9.5023148169275373E-3</v>
      </c>
      <c r="N183" s="7">
        <f>24*60*SUM($M183:$M183)</f>
        <v>13.683333336375654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9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-02-01T13:14:59-0700',mode:absolute,to:'2017-02-01T15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93" t="str">
        <f>IF(AA183&lt;IF(AG183="EC",23,5.65),"Y","N")</f>
        <v>N</v>
      </c>
      <c r="X183" s="193">
        <f>VALUE(LEFT(AD183,4))-VALUE(LEFT(AD182,4))</f>
        <v>1</v>
      </c>
      <c r="Y183" s="62">
        <f>RIGHT(D183,LEN(D183)-4)/10000</f>
        <v>9.69E-2</v>
      </c>
      <c r="Z183" s="62">
        <f>RIGHT(H183,LEN(H183)-4)/10000</f>
        <v>5.8930999999999996</v>
      </c>
      <c r="AA183" s="62">
        <f>ABS(Z183-Y183)</f>
        <v>5.7961999999999998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>IF(LEN(A183)=6,"0"&amp;A183,A183)</f>
        <v>0823-01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/stypes="app*4044*20170201*"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10"/>
        <v>"%USERPROFILE%\Documents\GitHub\eaglep3\Utilities\RefineRTDCRunTimes.py" --tripid 823-01 --locoid 4044 --swversion DE.1.0.8.0 --startMP 204:969 --initTime 2017-02-01T14:14:59 --startdatetime 2017-02-01T14:21:17 --delay 2 --endMP 300:58931 --enddatetime 2017-02-01T14:34:58 --enforcementcount 0 &gt;&gt;C:\Users\stu\Documents\GitHub\eaglep3-reporting\EC\2017-02-01-refined-times.txt</v>
      </c>
      <c r="AI183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{"issue":{"subject":"","project_id":79,"tracker_id":40,"status_id":1,"priority_id":2,"assigned_to_id":23,"start_date":"2017-02-01","description":"","custom_fields":[{"id":1,"name":"Subdivision","value":"NW"},{"id":4,"name":"Milepost","value":"5.8931"},{"id":17,"name":"Train ID","value":"823-01"},{"id":16,"name":"Locomotive ID","value":"4044"},{"id":130,"name":"Impact","value":""},{"id":150,"name":"Time of Event (Mountain Time)","value":"14:34:58"},{"id":151,"name":"Denver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60" t="str">
        <f t="shared" si="12"/>
        <v>start /low /b %USERPROFILE%\Documents\GitHub\eaglep3\Utilities\DownloadLogsFromS3.py --loco 4044 --day 2017-02-01</v>
      </c>
      <c r="AN183" s="16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84" spans="1:91" s="20" customFormat="1" x14ac:dyDescent="0.25">
      <c r="A184" s="33" t="s">
        <v>568</v>
      </c>
      <c r="B184" s="7">
        <v>4043</v>
      </c>
      <c r="C184" s="21" t="s">
        <v>193</v>
      </c>
      <c r="D184" s="21" t="s">
        <v>809</v>
      </c>
      <c r="E184" s="13">
        <v>42767.609386574077</v>
      </c>
      <c r="F184" s="13">
        <v>42767.611134259256</v>
      </c>
      <c r="G184" s="7">
        <v>1</v>
      </c>
      <c r="H184" s="21" t="s">
        <v>810</v>
      </c>
      <c r="I184" s="13">
        <v>42767.621527777781</v>
      </c>
      <c r="J184" s="7">
        <v>0</v>
      </c>
      <c r="K184" s="98" t="str">
        <f>IF(ISEVEN(B184),(B184-1)&amp;"/"&amp;B184,B184&amp;"/"&amp;(B184+1))</f>
        <v>4043/4044</v>
      </c>
      <c r="L184" s="21" t="str">
        <f>VLOOKUP(A184,'Trips&amp;Operators'!$C$1:$G$99999,5,FALSE)</f>
        <v>BRUDER RICHARD</v>
      </c>
      <c r="M184" s="6">
        <f>I184-F184</f>
        <v>1.0393518525233958E-2</v>
      </c>
      <c r="N184" s="7">
        <f>24*60*SUM($M184:$M184)</f>
        <v>14.966666676336899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9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-02-01T13:37:31-0700',mode:absolute,to:'2017-02-01T15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93" t="str">
        <f>IF(AA184&lt;IF(AG184="EC",23,5.65),"Y","N")</f>
        <v>N</v>
      </c>
      <c r="X184" s="193">
        <f>VALUE(LEFT(AD184,4))-VALUE(LEFT(AD183,4))</f>
        <v>1</v>
      </c>
      <c r="Y184" s="62">
        <f>RIGHT(D184,LEN(D184)-4)/10000</f>
        <v>5.8611000000000004</v>
      </c>
      <c r="Z184" s="62">
        <f>RIGHT(H184,LEN(H184)-4)/10000</f>
        <v>6.5199999999999994E-2</v>
      </c>
      <c r="AA184" s="62">
        <f>ABS(Z184-Y184)</f>
        <v>5.7959000000000005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>IF(LEN(A184)=6,"0"&amp;A184,A184)</f>
        <v>0824-01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/stypes="app*4043*20170201*" /stext=" 21:.+((SYSTEM_STATE.+slice.+state.+changed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10"/>
        <v>"%USERPROFILE%\Documents\GitHub\eaglep3\Utilities\RefineRTDCRunTimes.py" --tripid 824-01 --locoid 4043 --swversion DE.1.0.8.0 --startMP 300:58611 --initTime 2017-02-01T14:37:31 --startdatetime 2017-02-01T14:40:02 --delay 1 --endMP 204:652 --enddatetime 2017-02-01T14:55:00 --enforcementcount 0 &gt;&gt;C:\Users\stu\Documents\GitHub\eaglep3-reporting\EC\2017-02-01-refined-times.txt</v>
      </c>
      <c r="AI184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{"issue":{"subject":"","project_id":79,"tracker_id":40,"status_id":1,"priority_id":2,"assigned_to_id":23,"start_date":"2017-02-01","description":"","custom_fields":[{"id":1,"name":"Subdivision","value":"NW"},{"id":4,"name":"Milepost","value":"0.0652"},{"id":17,"name":"Train ID","value":"824-01"},{"id":16,"name":"Locomotive ID","value":"4043"},{"id":130,"name":"Impact","value":""},{"id":150,"name":"Time of Event (Mountain Time)","value":"14:55:00"},{"id":151,"name":"Denver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60" t="str">
        <f t="shared" si="12"/>
        <v>start /low /b %USERPROFILE%\Documents\GitHub\eaglep3\Utilities\DownloadLogsFromS3.py --loco 4043 --day 2017-02-01</v>
      </c>
      <c r="AN184" s="16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574</v>
      </c>
      <c r="B185" s="7">
        <v>4044</v>
      </c>
      <c r="C185" s="21" t="s">
        <v>193</v>
      </c>
      <c r="D185" s="21" t="s">
        <v>795</v>
      </c>
      <c r="E185" s="13">
        <v>42767.636481481481</v>
      </c>
      <c r="F185" s="13">
        <v>42767.639884259261</v>
      </c>
      <c r="G185" s="7">
        <v>1</v>
      </c>
      <c r="H185" s="21" t="s">
        <v>782</v>
      </c>
      <c r="I185" s="13">
        <v>42767.649537037039</v>
      </c>
      <c r="J185" s="7">
        <v>0</v>
      </c>
      <c r="K185" s="98" t="str">
        <f>IF(ISEVEN(B185),(B185-1)&amp;"/"&amp;B185,B185&amp;"/"&amp;(B185+1))</f>
        <v>4043/4044</v>
      </c>
      <c r="L185" s="21" t="str">
        <f>VLOOKUP(A185,'Trips&amp;Operators'!$C$1:$G$99999,5,FALSE)</f>
        <v>BRUDER RICHARD</v>
      </c>
      <c r="M185" s="6">
        <f>I185-F185</f>
        <v>9.6527777786832303E-3</v>
      </c>
      <c r="N185" s="7">
        <f>24*60*SUM($M185:$M185)</f>
        <v>13.900000001303852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9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-02-01T14:16:32-0700',mode:absolute,to:'2017-02-01T16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93" t="str">
        <f>IF(AA185&lt;IF(AG185="EC",23,5.65),"Y","N")</f>
        <v>N</v>
      </c>
      <c r="X185" s="193">
        <f>VALUE(LEFT(AD185,4))-VALUE(LEFT(AD184,4))</f>
        <v>1</v>
      </c>
      <c r="Y185" s="62">
        <f>RIGHT(D185,LEN(D185)-4)/10000</f>
        <v>9.7100000000000006E-2</v>
      </c>
      <c r="Z185" s="62">
        <f>RIGHT(H185,LEN(H185)-4)/10000</f>
        <v>5.8933</v>
      </c>
      <c r="AA185" s="62">
        <f>ABS(Z185-Y185)</f>
        <v>5.7961999999999998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>IF(LEN(A185)=6,"0"&amp;A185,A185)</f>
        <v>0825-01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/stypes="app*4044*20170201*"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10"/>
        <v>"%USERPROFILE%\Documents\GitHub\eaglep3\Utilities\RefineRTDCRunTimes.py" --tripid 825-01 --locoid 4044 --swversion DE.1.0.8.0 --startMP 204:971 --initTime 2017-02-01T15:16:32 --startdatetime 2017-02-01T15:21:26 --delay 1 --endMP 300:58933 --enddatetime 2017-02-01T15:35:20 --enforcementcount 0 &gt;&gt;C:\Users\stu\Documents\GitHub\eaglep3-reporting\EC\2017-02-01-refined-times.txt</v>
      </c>
      <c r="AI185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{"issue":{"subject":"","project_id":79,"tracker_id":40,"status_id":1,"priority_id":2,"assigned_to_id":23,"start_date":"2017-02-01","description":"","custom_fields":[{"id":1,"name":"Subdivision","value":"NW"},{"id":4,"name":"Milepost","value":"5.8933"},{"id":17,"name":"Train ID","value":"825-01"},{"id":16,"name":"Locomotive ID","value":"4044"},{"id":130,"name":"Impact","value":""},{"id":150,"name":"Time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60" t="str">
        <f t="shared" si="12"/>
        <v>start /low /b %USERPROFILE%\Documents\GitHub\eaglep3\Utilities\DownloadLogsFromS3.py --loco 4044 --day 2017-02-01</v>
      </c>
      <c r="AN185" s="16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86" spans="1:91" x14ac:dyDescent="0.25">
      <c r="A186" s="33" t="s">
        <v>579</v>
      </c>
      <c r="B186" s="7">
        <v>4043</v>
      </c>
      <c r="C186" s="21" t="s">
        <v>193</v>
      </c>
      <c r="D186" s="21" t="s">
        <v>417</v>
      </c>
      <c r="E186" s="13">
        <v>42767.651469907411</v>
      </c>
      <c r="F186" s="13">
        <v>42767.653495370374</v>
      </c>
      <c r="G186" s="7">
        <v>1</v>
      </c>
      <c r="H186" s="21" t="s">
        <v>780</v>
      </c>
      <c r="I186" s="13">
        <v>42767.663576388892</v>
      </c>
      <c r="J186" s="7">
        <v>0</v>
      </c>
      <c r="K186" s="98" t="str">
        <f>IF(ISEVEN(B186),(B186-1)&amp;"/"&amp;B186,B186&amp;"/"&amp;(B186+1))</f>
        <v>4043/4044</v>
      </c>
      <c r="L186" s="21" t="str">
        <f>VLOOKUP(A186,'Trips&amp;Operators'!$C$1:$G$99999,5,FALSE)</f>
        <v>BRUDER RICHARD</v>
      </c>
      <c r="M186" s="6">
        <f>I186-F186</f>
        <v>1.0081018517666962E-2</v>
      </c>
      <c r="N186" s="7">
        <f>24*60*SUM($M186:$M186)</f>
        <v>14.516666665440425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9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-02-01T14:38:07-0700',mode:absolute,to:'2017-02-01T16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93" t="str">
        <f>IF(AA186&lt;IF(AG186="EC",23,5.65),"Y","N")</f>
        <v>N</v>
      </c>
      <c r="X186" s="193">
        <f>VALUE(LEFT(AD186,4))-VALUE(LEFT(AD185,4))</f>
        <v>1</v>
      </c>
      <c r="Y186" s="62">
        <f>RIGHT(D186,LEN(D186)-4)/10000</f>
        <v>5.8632</v>
      </c>
      <c r="Z186" s="62">
        <f>RIGHT(H186,LEN(H186)-4)/10000</f>
        <v>6.7799999999999999E-2</v>
      </c>
      <c r="AA186" s="62">
        <f>ABS(Z186-Y186)</f>
        <v>5.7953999999999999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>IF(LEN(A186)=6,"0"&amp;A186,A186)</f>
        <v>0826-01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/stypes="app*4043*20170201*" /stext=" 22:.+((SYSTEM_STATE.+slice.+state.+changed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10"/>
        <v>"%USERPROFILE%\Documents\GitHub\eaglep3\Utilities\RefineRTDCRunTimes.py" --tripid 826-01 --locoid 4043 --swversion DE.1.0.8.0 --startMP 300:58632 --initTime 2017-02-01T15:38:07 --startdatetime 2017-02-01T15:41:02 --delay 1 --endMP 204:678 --enddatetime 2017-02-01T15:55:33 --enforcementcount 0 &gt;&gt;C:\Users\stu\Documents\GitHub\eaglep3-reporting\EC\2017-02-01-refined-times.txt</v>
      </c>
      <c r="AI186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{"issue":{"subject":"","project_id":79,"tracker_id":40,"status_id":1,"priority_id":2,"assigned_to_id":23,"start_date":"2017-02-01","description":"","custom_fields":[{"id":1,"name":"Subdivision","value":"NW"},{"id":4,"name":"Milepost","value":"0.0678"},{"id":17,"name":"Train ID","value":"826-01"},{"id":16,"name":"Locomotive ID","value":"4043"},{"id":130,"name":"Impact","value":""},{"id":150,"name":"Time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60" t="str">
        <f t="shared" si="12"/>
        <v>start /low /b %USERPROFILE%\Documents\GitHub\eaglep3\Utilities\DownloadLogsFromS3.py --loco 4043 --day 2017-02-01</v>
      </c>
      <c r="AN186" s="16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187" spans="1:91" x14ac:dyDescent="0.25">
      <c r="A187" s="33" t="s">
        <v>441</v>
      </c>
      <c r="B187" s="7">
        <v>4025</v>
      </c>
      <c r="C187" s="21" t="s">
        <v>193</v>
      </c>
      <c r="D187" s="21" t="s">
        <v>811</v>
      </c>
      <c r="E187" s="13">
        <v>42767.654351851852</v>
      </c>
      <c r="F187" s="13">
        <v>42767.660601851851</v>
      </c>
      <c r="G187" s="7">
        <v>1</v>
      </c>
      <c r="H187" s="21" t="s">
        <v>424</v>
      </c>
      <c r="I187" s="13">
        <v>42767.6716087963</v>
      </c>
      <c r="J187" s="7">
        <v>0</v>
      </c>
      <c r="K187" s="98" t="str">
        <f>IF(ISEVEN(B187),(B187-1)&amp;"/"&amp;B187,B187&amp;"/"&amp;(B187+1))</f>
        <v>4025/4026</v>
      </c>
      <c r="L187" s="21" t="str">
        <f>VLOOKUP(A187,'Trips&amp;Operators'!$C$1:$G$99999,5,FALSE)</f>
        <v>STRICKLAND EVAN</v>
      </c>
      <c r="M187" s="6">
        <f>I187-F187</f>
        <v>1.1006944449036382E-2</v>
      </c>
      <c r="N187" s="7">
        <f>24*60*SUM($M187:$M187)</f>
        <v>15.85000000661239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9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-02-01T14:42:16-0700',mode:absolute,to:'2017-02-01T17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93" t="str">
        <f>IF(AA187&lt;IF(AG187="EC",23,5.65),"Y","N")</f>
        <v>N</v>
      </c>
      <c r="X187" s="193">
        <f>VALUE(LEFT(AD187,4))-VALUE(LEFT(AD186,4))</f>
        <v>1</v>
      </c>
      <c r="Y187" s="62">
        <f>RIGHT(D187,LEN(D187)-4)/10000</f>
        <v>0.10489999999999999</v>
      </c>
      <c r="Z187" s="62">
        <f>RIGHT(H187,LEN(H187)-4)/10000</f>
        <v>5.8975</v>
      </c>
      <c r="AA187" s="62">
        <f>ABS(Z187-Y187)</f>
        <v>5.7926000000000002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>IF(LEN(A187)=6,"0"&amp;A187,A187)</f>
        <v>0827-01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/stypes="app*4025*20170201*"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10"/>
        <v>"%USERPROFILE%\Documents\GitHub\eaglep3\Utilities\RefineRTDCRunTimes.py" --tripid 827-01 --locoid 4025 --swversion DE.1.0.8.0 --startMP 204:1049 --initTime 2017-02-01T15:42:16 --startdatetime 2017-02-01T15:51:16 --delay 1 --endMP 300:58975 --enddatetime 2017-02-01T16:07:07 --enforcementcount 0 &gt;&gt;C:\Users\stu\Documents\GitHub\eaglep3-reporting\EC\2017-02-01-refined-times.txt</v>
      </c>
      <c r="AI187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{"issue":{"subject":"","project_id":79,"tracker_id":40,"status_id":1,"priority_id":2,"assigned_to_id":23,"start_date":"2017-02-01","description":"","custom_fields":[{"id":1,"name":"Subdivision","value":"NW"},{"id":4,"name":"Milepost","value":"5.8975"},{"id":17,"name":"Train ID","value":"827-01"},{"id":16,"name":"Locomotive ID","value":"4025"},{"id":130,"name":"Impact","value":""},{"id":150,"name":"Time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60" t="str">
        <f t="shared" si="12"/>
        <v>start /low /b %USERPROFILE%\Documents\GitHub\eaglep3\Utilities\DownloadLogsFromS3.py --loco 4025 --day 2017-02-01</v>
      </c>
      <c r="AN187" s="16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</row>
    <row r="188" spans="1:91" s="20" customFormat="1" x14ac:dyDescent="0.25">
      <c r="A188" s="33" t="s">
        <v>584</v>
      </c>
      <c r="B188" s="7">
        <v>4026</v>
      </c>
      <c r="C188" s="21" t="s">
        <v>193</v>
      </c>
      <c r="D188" s="21" t="s">
        <v>812</v>
      </c>
      <c r="E188" s="13">
        <v>42767.672430555554</v>
      </c>
      <c r="F188" s="13">
        <v>42767.673726851855</v>
      </c>
      <c r="G188" s="7">
        <v>1</v>
      </c>
      <c r="H188" s="21" t="s">
        <v>689</v>
      </c>
      <c r="I188" s="13">
        <v>42767.684756944444</v>
      </c>
      <c r="J188" s="7">
        <v>0</v>
      </c>
      <c r="K188" s="98" t="str">
        <f>IF(ISEVEN(B188),(B188-1)&amp;"/"&amp;B188,B188&amp;"/"&amp;(B188+1))</f>
        <v>4025/4026</v>
      </c>
      <c r="L188" s="21" t="str">
        <f>VLOOKUP(A188,'Trips&amp;Operators'!$C$1:$G$99999,5,FALSE)</f>
        <v>STRICKLAND EVAN</v>
      </c>
      <c r="M188" s="6">
        <f>I188-F188</f>
        <v>1.1030092588043772E-2</v>
      </c>
      <c r="N188" s="7">
        <f>24*60*SUM($M188:$M188)</f>
        <v>15.883333326783031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9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-02-01T15:08:18-0700',mode:absolute,to:'2017-02-01T17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193" t="str">
        <f>IF(AA188&lt;IF(AG188="EC",23,5.65),"Y","N")</f>
        <v>N</v>
      </c>
      <c r="X188" s="193">
        <f>VALUE(LEFT(AD188,4))-VALUE(LEFT(AD187,4))</f>
        <v>1</v>
      </c>
      <c r="Y188" s="62">
        <f>RIGHT(D188,LEN(D188)-4)/10000</f>
        <v>5.8654999999999999</v>
      </c>
      <c r="Z188" s="62">
        <f>RIGHT(H188,LEN(H188)-4)/10000</f>
        <v>7.5499999999999998E-2</v>
      </c>
      <c r="AA188" s="62">
        <f>ABS(Z188-Y188)</f>
        <v>5.79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>IF(LEN(A188)=6,"0"&amp;A188,A188)</f>
        <v>0828-01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/stypes="app*4026*20170201*"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10"/>
        <v>"%USERPROFILE%\Documents\GitHub\eaglep3\Utilities\RefineRTDCRunTimes.py" --tripid 828-01 --locoid 4026 --swversion DE.1.0.8.0 --startMP 300:58655 --initTime 2017-02-01T16:08:18 --startdatetime 2017-02-01T16:10:10 --delay 1 --endMP 204:755 --enddatetime 2017-02-01T16:26:03 --enforcementcount 0 &gt;&gt;C:\Users\stu\Documents\GitHub\eaglep3-reporting\EC\2017-02-01-refined-times.txt</v>
      </c>
      <c r="AI188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{"issue":{"subject":"","project_id":79,"tracker_id":40,"status_id":1,"priority_id":2,"assigned_to_id":23,"start_date":"2017-02-01","description":"","custom_fields":[{"id":1,"name":"Subdivision","value":"NW"},{"id":4,"name":"Milepost","value":"0.0755"},{"id":17,"name":"Train ID","value":"828-01"},{"id":16,"name":"Locomotive ID","value":"4026"},{"id":130,"name":"Impact","value":""},{"id":150,"name":"Time of Event (Mountain Time)","value":"16:26:03"},{"id":151,"name":"Denver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60" t="str">
        <f t="shared" si="12"/>
        <v>start /low /b %USERPROFILE%\Documents\GitHub\eaglep3\Utilities\DownloadLogsFromS3.py --loco 4026 --day 2017-02-01</v>
      </c>
      <c r="AN188" s="16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585</v>
      </c>
      <c r="B189" s="7">
        <v>4044</v>
      </c>
      <c r="C189" s="21" t="s">
        <v>193</v>
      </c>
      <c r="D189" s="21" t="s">
        <v>813</v>
      </c>
      <c r="E189" s="13">
        <v>42767.675509259258</v>
      </c>
      <c r="F189" s="13">
        <v>42767.681493055556</v>
      </c>
      <c r="G189" s="7">
        <v>1</v>
      </c>
      <c r="H189" s="21" t="s">
        <v>808</v>
      </c>
      <c r="I189" s="13">
        <v>42767.690775462965</v>
      </c>
      <c r="J189" s="7">
        <v>0</v>
      </c>
      <c r="K189" s="98" t="str">
        <f>IF(ISEVEN(B189),(B189-1)&amp;"/"&amp;B189,B189&amp;"/"&amp;(B189+1))</f>
        <v>4043/4044</v>
      </c>
      <c r="L189" s="21" t="str">
        <f>VLOOKUP(A189,'Trips&amp;Operators'!$C$1:$G$99999,5,FALSE)</f>
        <v>BRUDER RICHARD</v>
      </c>
      <c r="M189" s="6">
        <f>I189-F189</f>
        <v>9.2824074090458453E-3</v>
      </c>
      <c r="N189" s="7">
        <f>24*60*SUM($M189:$M189)</f>
        <v>13.366666669026017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9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-02-01T15:12:44-0700',mode:absolute,to:'2017-02-01T17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193" t="str">
        <f>IF(AA189&lt;IF(AG189="EC",23,5.65),"Y","N")</f>
        <v>N</v>
      </c>
      <c r="X189" s="193">
        <f>VALUE(LEFT(AD189,4))-VALUE(LEFT(AD188,4))</f>
        <v>1</v>
      </c>
      <c r="Y189" s="62">
        <f>RIGHT(D189,LEN(D189)-4)/10000</f>
        <v>9.7600000000000006E-2</v>
      </c>
      <c r="Z189" s="62">
        <f>RIGHT(H189,LEN(H189)-4)/10000</f>
        <v>5.8930999999999996</v>
      </c>
      <c r="AA189" s="62">
        <f>ABS(Z189-Y189)</f>
        <v>5.7954999999999997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>IF(LEN(A189)=6,"0"&amp;A189,A189)</f>
        <v>0829-01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/stypes="app*4044*20170201*"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10"/>
        <v>"%USERPROFILE%\Documents\GitHub\eaglep3\Utilities\RefineRTDCRunTimes.py" --tripid 829-01 --locoid 4044 --swversion DE.1.0.8.0 --startMP 204:976 --initTime 2017-02-01T16:12:44 --startdatetime 2017-02-01T16:21:21 --delay 1 --endMP 300:58931 --enddatetime 2017-02-01T16:34:43 --enforcementcount 0 &gt;&gt;C:\Users\stu\Documents\GitHub\eaglep3-reporting\EC\2017-02-01-refined-times.txt</v>
      </c>
      <c r="AI189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{"issue":{"subject":"","project_id":79,"tracker_id":40,"status_id":1,"priority_id":2,"assigned_to_id":23,"start_date":"2017-02-01","description":"","custom_fields":[{"id":1,"name":"Subdivision","value":"NW"},{"id":4,"name":"Milepost","value":"5.8931"},{"id":17,"name":"Train ID","value":"829-01"},{"id":16,"name":"Locomotive ID","value":"4044"},{"id":130,"name":"Impact","value":""},{"id":150,"name":"Time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60" t="str">
        <f t="shared" si="12"/>
        <v>start /low /b %USERPROFILE%\Documents\GitHub\eaglep3\Utilities\DownloadLogsFromS3.py --loco 4044 --day 2017-02-01</v>
      </c>
      <c r="AN189" s="16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"%USERPROFILE%\AppData\Local\Temp\OnboardLogs"\RTDC4044\*4044*20170201* | grep -SE "(Enforcement Action)|(\[TIMEOUT)|(CHR.+\|PRM\|1\|D.+(SWITCH|SIGNAL).+UNKNOWN)" - &gt;&gt; 2017-02-01-UncaughtWiMAX.txt</v>
      </c>
    </row>
    <row r="190" spans="1:91" s="20" customFormat="1" x14ac:dyDescent="0.25">
      <c r="A190" s="33" t="s">
        <v>590</v>
      </c>
      <c r="B190" s="7">
        <v>4043</v>
      </c>
      <c r="C190" s="21" t="s">
        <v>193</v>
      </c>
      <c r="D190" s="21" t="s">
        <v>359</v>
      </c>
      <c r="E190" s="13">
        <v>42767.692488425928</v>
      </c>
      <c r="F190" s="13">
        <v>42767.694201388891</v>
      </c>
      <c r="G190" s="7">
        <v>1</v>
      </c>
      <c r="H190" s="21" t="s">
        <v>816</v>
      </c>
      <c r="I190" s="13">
        <v>42767.705416666664</v>
      </c>
      <c r="J190" s="7">
        <v>0</v>
      </c>
      <c r="K190" s="98" t="str">
        <f>IF(ISEVEN(B190),(B190-1)&amp;"/"&amp;B190,B190&amp;"/"&amp;(B190+1))</f>
        <v>4043/4044</v>
      </c>
      <c r="L190" s="21" t="str">
        <f>VLOOKUP(A190,'Trips&amp;Operators'!$C$1:$G$99999,5,FALSE)</f>
        <v>BRUDER RICHARD</v>
      </c>
      <c r="M190" s="6">
        <f>I190-F190</f>
        <v>1.1215277772862464E-2</v>
      </c>
      <c r="N190" s="7">
        <f>24*60*SUM($M190:$M190)</f>
        <v>16.149999992921948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9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-02-01T15:37:11-0700',mode:absolute,to:'2017-02-01T17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93" t="str">
        <f>IF(AA190&lt;IF(AG190="EC",23,5.65),"Y","N")</f>
        <v>N</v>
      </c>
      <c r="X190" s="193">
        <f>VALUE(LEFT(AD190,4))-VALUE(LEFT(AD189,4))</f>
        <v>1</v>
      </c>
      <c r="Y190" s="62">
        <f>RIGHT(D190,LEN(D190)-4)/10000</f>
        <v>5.8628</v>
      </c>
      <c r="Z190" s="62">
        <f>RIGHT(H190,LEN(H190)-4)/10000</f>
        <v>7.0599999999999996E-2</v>
      </c>
      <c r="AA190" s="62">
        <f>ABS(Z190-Y190)</f>
        <v>5.7922000000000002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>IF(LEN(A190)=6,"0"&amp;A190,A190)</f>
        <v>0830-01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/stypes="app*4043*20170201*" /stext=" 23:.+((SYSTEM_STATE.+slice.+state.+changed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10"/>
        <v>"%USERPROFILE%\Documents\GitHub\eaglep3\Utilities\RefineRTDCRunTimes.py" --tripid 830-01 --locoid 4043 --swversion DE.1.0.8.0 --startMP 300:58628 --initTime 2017-02-01T16:37:11 --startdatetime 2017-02-01T16:39:39 --delay 1 --endMP 204:706 --enddatetime 2017-02-01T16:55:48 --enforcementcount 0 &gt;&gt;C:\Users\stu\Documents\GitHub\eaglep3-reporting\EC\2017-02-01-refined-times.txt</v>
      </c>
      <c r="AI190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{"issue":{"subject":"","project_id":79,"tracker_id":40,"status_id":1,"priority_id":2,"assigned_to_id":23,"start_date":"2017-02-01","description":"","custom_fields":[{"id":1,"name":"Subdivision","value":"NW"},{"id":4,"name":"Milepost","value":"0.0706"},{"id":17,"name":"Train ID","value":"830-01"},{"id":16,"name":"Locomotive ID","value":"4043"},{"id":130,"name":"Impact","value":""},{"id":150,"name":"Time of Event (Mountain Time)","value":"16:55:48"},{"id":151,"name":"Denver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60" t="str">
        <f t="shared" si="12"/>
        <v>start /low /b %USERPROFILE%\Documents\GitHub\eaglep3\Utilities\DownloadLogsFromS3.py --loco 4043 --day 2017-02-01</v>
      </c>
      <c r="AN190" s="16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588</v>
      </c>
      <c r="B191" s="7">
        <v>4025</v>
      </c>
      <c r="C191" s="21" t="s">
        <v>193</v>
      </c>
      <c r="D191" s="21" t="s">
        <v>410</v>
      </c>
      <c r="E191" s="13">
        <v>42767.686249999999</v>
      </c>
      <c r="F191" s="13">
        <v>42767.702453703707</v>
      </c>
      <c r="G191" s="7">
        <v>1</v>
      </c>
      <c r="H191" s="21" t="s">
        <v>785</v>
      </c>
      <c r="I191" s="13">
        <v>42767.712754629632</v>
      </c>
      <c r="J191" s="7">
        <v>0</v>
      </c>
      <c r="K191" s="98" t="str">
        <f>IF(ISEVEN(B191),(B191-1)&amp;"/"&amp;B191,B191&amp;"/"&amp;(B191+1))</f>
        <v>4025/4026</v>
      </c>
      <c r="L191" s="21" t="str">
        <f>VLOOKUP(A191,'Trips&amp;Operators'!$C$1:$G$99999,5,FALSE)</f>
        <v>STRICKLAND EVAN</v>
      </c>
      <c r="M191" s="6">
        <f>I191-F191</f>
        <v>1.0300925925548654E-2</v>
      </c>
      <c r="N191" s="7">
        <f>24*60*SUM($M191:$M191)</f>
        <v>14.833333332790062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9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-02-01T15:28:12-0700',mode:absolute,to:'2017-02-01T18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93" t="str">
        <f>IF(AA191&lt;IF(AG191="EC",23,5.65),"Y","N")</f>
        <v>N</v>
      </c>
      <c r="X191" s="193">
        <f>VALUE(LEFT(AD191,4))-VALUE(LEFT(AD190,4))</f>
        <v>1</v>
      </c>
      <c r="Y191" s="62">
        <f>RIGHT(D191,LEN(D191)-4)/10000</f>
        <v>0.10440000000000001</v>
      </c>
      <c r="Z191" s="62">
        <f>RIGHT(H191,LEN(H191)-4)/10000</f>
        <v>5.8960999999999997</v>
      </c>
      <c r="AA191" s="62">
        <f>ABS(Z191-Y191)</f>
        <v>5.7916999999999996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>IF(LEN(A191)=6,"0"&amp;A191,A191)</f>
        <v>0831-01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/stypes="app*4025*20170202*"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10"/>
        <v>"%USERPROFILE%\Documents\GitHub\eaglep3\Utilities\RefineRTDCRunTimes.py" --tripid 831-01 --locoid 4025 --swversion DE.1.0.8.0 --startMP 204:1044 --initTime 2017-02-01T16:28:12 --startdatetime 2017-02-01T16:51:32 --delay 1 --endMP 300:58961 --enddatetime 2017-02-01T17:06:22 --enforcementcount 0 &gt;&gt;C:\Users\stu\Documents\GitHub\eaglep3-reporting\EC\2017-02-01-refined-times.txt</v>
      </c>
      <c r="AI191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{"issue":{"subject":"","project_id":79,"tracker_id":40,"status_id":1,"priority_id":2,"assigned_to_id":23,"start_date":"2017-02-01","description":"","custom_fields":[{"id":1,"name":"Subdivision","value":"NW"},{"id":4,"name":"Milepost","value":"5.8961"},{"id":17,"name":"Train ID","value":"831-01"},{"id":16,"name":"Locomotive ID","value":"4025"},{"id":130,"name":"Impact","value":""},{"id":150,"name":"Time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60" t="str">
        <f t="shared" si="12"/>
        <v>start /low /b %USERPROFILE%\Documents\GitHub\eaglep3\Utilities\DownloadLogsFromS3.py --loco 4025 --day 2017-02-01</v>
      </c>
      <c r="AN191" s="16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</row>
    <row r="192" spans="1:91" x14ac:dyDescent="0.25">
      <c r="A192" s="33" t="s">
        <v>595</v>
      </c>
      <c r="B192" s="7">
        <v>4026</v>
      </c>
      <c r="C192" s="21" t="s">
        <v>193</v>
      </c>
      <c r="D192" s="21" t="s">
        <v>414</v>
      </c>
      <c r="E192" s="13">
        <v>42767.713738425926</v>
      </c>
      <c r="F192" s="13">
        <v>42767.715081018519</v>
      </c>
      <c r="G192" s="7">
        <v>1</v>
      </c>
      <c r="H192" s="21" t="s">
        <v>817</v>
      </c>
      <c r="I192" s="13">
        <v>42767.725983796299</v>
      </c>
      <c r="J192" s="7">
        <v>0</v>
      </c>
      <c r="K192" s="98" t="str">
        <f>IF(ISEVEN(B192),(B192-1)&amp;"/"&amp;B192,B192&amp;"/"&amp;(B192+1))</f>
        <v>4025/4026</v>
      </c>
      <c r="L192" s="21" t="str">
        <f>VLOOKUP(A192,'Trips&amp;Operators'!$C$1:$G$99999,5,FALSE)</f>
        <v>STRICKLAND EVAN</v>
      </c>
      <c r="M192" s="6">
        <f>I192-F192</f>
        <v>1.0902777779847383E-2</v>
      </c>
      <c r="N192" s="7">
        <f>24*60*SUM($M192:$M192)</f>
        <v>15.700000002980232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9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-02-01T16:07:47-0700',mode:absolute,to:'2017-02-01T18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93" t="str">
        <f>IF(AA192&lt;IF(AG192="EC",23,5.65),"Y","N")</f>
        <v>N</v>
      </c>
      <c r="X192" s="193">
        <f>VALUE(LEFT(AD192,4))-VALUE(LEFT(AD191,4))</f>
        <v>1</v>
      </c>
      <c r="Y192" s="62">
        <f>RIGHT(D192,LEN(D192)-4)/10000</f>
        <v>5.8647</v>
      </c>
      <c r="Z192" s="62">
        <f>RIGHT(H192,LEN(H192)-4)/10000</f>
        <v>7.4499999999999997E-2</v>
      </c>
      <c r="AA192" s="62">
        <f>ABS(Z192-Y192)</f>
        <v>5.7902000000000005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>IF(LEN(A192)=6,"0"&amp;A192,A192)</f>
        <v>0832-01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/stypes="app*4026*20170202*"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10"/>
        <v>"%USERPROFILE%\Documents\GitHub\eaglep3\Utilities\RefineRTDCRunTimes.py" --tripid 832-01 --locoid 4026 --swversion DE.1.0.8.0 --startMP 300:58647 --initTime 2017-02-01T17:07:47 --startdatetime 2017-02-01T17:09:43 --delay 1 --endMP 204:745 --enddatetime 2017-02-01T17:25:25 --enforcementcount 0 &gt;&gt;C:\Users\stu\Documents\GitHub\eaglep3-reporting\EC\2017-02-01-refined-times.txt</v>
      </c>
      <c r="AI192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{"issue":{"subject":"","project_id":79,"tracker_id":40,"status_id":1,"priority_id":2,"assigned_to_id":23,"start_date":"2017-02-01","description":"","custom_fields":[{"id":1,"name":"Subdivision","value":"NW"},{"id":4,"name":"Milepost","value":"0.0745"},{"id":17,"name":"Train ID","value":"832-01"},{"id":16,"name":"Locomotive ID","value":"4026"},{"id":130,"name":"Impact","value":""},{"id":150,"name":"Time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60" t="str">
        <f t="shared" si="12"/>
        <v>start /low /b %USERPROFILE%\Documents\GitHub\eaglep3\Utilities\DownloadLogsFromS3.py --loco 4026 --day 2017-02-01</v>
      </c>
      <c r="AN192" s="16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2017-02-01-UncaughtWiMAX.txt</v>
      </c>
    </row>
    <row r="193" spans="1:91" s="20" customFormat="1" x14ac:dyDescent="0.25">
      <c r="A193" s="33" t="s">
        <v>599</v>
      </c>
      <c r="B193" s="7">
        <v>4044</v>
      </c>
      <c r="C193" s="21" t="s">
        <v>193</v>
      </c>
      <c r="D193" s="21" t="s">
        <v>807</v>
      </c>
      <c r="E193" s="13">
        <v>42767.719351851854</v>
      </c>
      <c r="F193" s="13">
        <v>42767.723101851851</v>
      </c>
      <c r="G193" s="7">
        <v>1</v>
      </c>
      <c r="H193" s="21" t="s">
        <v>782</v>
      </c>
      <c r="I193" s="13">
        <v>42767.733055555553</v>
      </c>
      <c r="J193" s="7">
        <v>0</v>
      </c>
      <c r="K193" s="98" t="str">
        <f>IF(ISEVEN(B193),(B193-1)&amp;"/"&amp;B193,B193&amp;"/"&amp;(B193+1))</f>
        <v>4043/4044</v>
      </c>
      <c r="L193" s="21" t="str">
        <f>VLOOKUP(A193,'Trips&amp;Operators'!$C$1:$G$99999,5,FALSE)</f>
        <v>BRUDER RICHARD</v>
      </c>
      <c r="M193" s="6">
        <f>I193-F193</f>
        <v>9.9537037021946162E-3</v>
      </c>
      <c r="N193" s="7">
        <f>24*60*SUM($M193:$M193)</f>
        <v>14.333333331160247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9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-02-01T16:15:52-0700',mode:absolute,to:'2017-02-01T18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93" t="str">
        <f>IF(AA193&lt;IF(AG193="EC",23,5.65),"Y","N")</f>
        <v>N</v>
      </c>
      <c r="X193" s="193">
        <f>VALUE(LEFT(AD193,4))-VALUE(LEFT(AD192,4))</f>
        <v>1</v>
      </c>
      <c r="Y193" s="62">
        <f>RIGHT(D193,LEN(D193)-4)/10000</f>
        <v>9.69E-2</v>
      </c>
      <c r="Z193" s="62">
        <f>RIGHT(H193,LEN(H193)-4)/10000</f>
        <v>5.8933</v>
      </c>
      <c r="AA193" s="62">
        <f>ABS(Z193-Y193)</f>
        <v>5.7964000000000002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>IF(LEN(A193)=6,"0"&amp;A193,A193)</f>
        <v>0833-01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/stypes="app*4044*20170202*"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10"/>
        <v>"%USERPROFILE%\Documents\GitHub\eaglep3\Utilities\RefineRTDCRunTimes.py" --tripid 833-01 --locoid 4044 --swversion DE.1.0.8.0 --startMP 204:969 --initTime 2017-02-01T17:15:52 --startdatetime 2017-02-01T17:21:16 --delay 1 --endMP 300:58933 --enddatetime 2017-02-01T17:35:36 --enforcementcount 0 &gt;&gt;C:\Users\stu\Documents\GitHub\eaglep3-reporting\EC\2017-02-01-refined-times.txt</v>
      </c>
      <c r="AI193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{"issue":{"subject":"","project_id":79,"tracker_id":40,"status_id":1,"priority_id":2,"assigned_to_id":23,"start_date":"2017-02-01","description":"","custom_fields":[{"id":1,"name":"Subdivision","value":"NW"},{"id":4,"name":"Milepost","value":"5.8933"},{"id":17,"name":"Train ID","value":"833-01"},{"id":16,"name":"Locomotive ID","value":"4044"},{"id":130,"name":"Impact","value":""},{"id":150,"name":"Time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60" t="str">
        <f t="shared" si="12"/>
        <v>start /low /b %USERPROFILE%\Documents\GitHub\eaglep3\Utilities\DownloadLogsFromS3.py --loco 4044 --day 2017-02-01</v>
      </c>
      <c r="AN193" s="16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607</v>
      </c>
      <c r="B194" s="7">
        <v>4043</v>
      </c>
      <c r="C194" s="21" t="s">
        <v>193</v>
      </c>
      <c r="D194" s="21" t="s">
        <v>818</v>
      </c>
      <c r="E194" s="13">
        <v>42767.734212962961</v>
      </c>
      <c r="F194" s="13">
        <v>42767.736192129632</v>
      </c>
      <c r="G194" s="7">
        <v>1</v>
      </c>
      <c r="H194" s="21" t="s">
        <v>806</v>
      </c>
      <c r="I194" s="13">
        <v>42767.747083333335</v>
      </c>
      <c r="J194" s="7">
        <v>0</v>
      </c>
      <c r="K194" s="98" t="str">
        <f>IF(ISEVEN(B194),(B194-1)&amp;"/"&amp;B194,B194&amp;"/"&amp;(B194+1))</f>
        <v>4043/4044</v>
      </c>
      <c r="L194" s="21" t="str">
        <f>VLOOKUP(A194,'Trips&amp;Operators'!$C$1:$G$99999,5,FALSE)</f>
        <v>BRUDER RICHARD</v>
      </c>
      <c r="M194" s="6">
        <f>I194-F194</f>
        <v>1.0891203703067731E-2</v>
      </c>
      <c r="N194" s="7">
        <f>24*60*SUM($M194:$M194)</f>
        <v>15.683333332417533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9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-02-01T16:37:16-0700',mode:absolute,to:'2017-02-01T18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93" t="str">
        <f>IF(AA194&lt;IF(AG194="EC",23,5.65),"Y","N")</f>
        <v>N</v>
      </c>
      <c r="X194" s="193">
        <f>VALUE(LEFT(AD194,4))-VALUE(LEFT(AD193,4))</f>
        <v>1</v>
      </c>
      <c r="Y194" s="62">
        <f>RIGHT(D194,LEN(D194)-4)/10000</f>
        <v>5.8619000000000003</v>
      </c>
      <c r="Z194" s="62">
        <f>RIGHT(H194,LEN(H194)-4)/10000</f>
        <v>6.6799999999999998E-2</v>
      </c>
      <c r="AA194" s="62">
        <f>ABS(Z194-Y194)</f>
        <v>5.7951000000000006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>IF(LEN(A194)=6,"0"&amp;A194,A194)</f>
        <v>0834-01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/stypes="app*4043*20170202*" /stext=" 00:.+((SYSTEM_STATE.+slice.+state.+changed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6" t="str">
        <f t="shared" si="10"/>
        <v>"%USERPROFILE%\Documents\GitHub\eaglep3\Utilities\RefineRTDCRunTimes.py" --tripid 834-01 --locoid 4043 --swversion DE.1.0.8.0 --startMP 300:58619 --initTime 2017-02-01T17:37:16 --startdatetime 2017-02-01T17:40:07 --delay 1 --endMP 204:668 --enddatetime 2017-02-01T17:55:48 --enforcementcount 0 &gt;&gt;C:\Users\stu\Documents\GitHub\eaglep3-reporting\EC\2017-02-01-refined-times.txt</v>
      </c>
      <c r="AI194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{"issue":{"subject":"","project_id":79,"tracker_id":40,"status_id":1,"priority_id":2,"assigned_to_id":23,"start_date":"2017-02-01","description":"","custom_fields":[{"id":1,"name":"Subdivision","value":"NW"},{"id":4,"name":"Milepost","value":"0.0668"},{"id":17,"name":"Train ID","value":"834-01"},{"id":16,"name":"Locomotive ID","value":"4043"},{"id":130,"name":"Impact","value":""},{"id":150,"name":"Time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60" t="str">
        <f t="shared" si="12"/>
        <v>start /low /b %USERPROFILE%\Documents\GitHub\eaglep3\Utilities\DownloadLogsFromS3.py --loco 4043 --day 2017-02-01</v>
      </c>
      <c r="AN194" s="16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195" spans="1:91" s="20" customFormat="1" x14ac:dyDescent="0.25">
      <c r="A195" s="33" t="s">
        <v>604</v>
      </c>
      <c r="B195" s="7">
        <v>4025</v>
      </c>
      <c r="C195" s="21" t="s">
        <v>193</v>
      </c>
      <c r="D195" s="21" t="s">
        <v>781</v>
      </c>
      <c r="E195" s="13">
        <v>42767.733923611115</v>
      </c>
      <c r="F195" s="13">
        <v>42767.743935185186</v>
      </c>
      <c r="G195" s="7">
        <v>1</v>
      </c>
      <c r="H195" s="21" t="s">
        <v>420</v>
      </c>
      <c r="I195" s="13">
        <v>42767.753587962965</v>
      </c>
      <c r="J195" s="7">
        <v>0</v>
      </c>
      <c r="K195" s="98" t="str">
        <f>IF(ISEVEN(B195),(B195-1)&amp;"/"&amp;B195,B195&amp;"/"&amp;(B195+1))</f>
        <v>4025/4026</v>
      </c>
      <c r="L195" s="21" t="str">
        <f>VLOOKUP(A195,'Trips&amp;Operators'!$C$1:$G$99999,5,FALSE)</f>
        <v>LOPES KIMBERLY</v>
      </c>
      <c r="M195" s="6">
        <f>I195-F195</f>
        <v>9.6527777786832303E-3</v>
      </c>
      <c r="N195" s="7">
        <f>24*60*SUM($M195:$M195)</f>
        <v>13.900000001303852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9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-02-01T16:36:51-0700',mode:absolute,to:'2017-02-01T19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93" t="str">
        <f>IF(AA195&lt;IF(AG195="EC",23,5.65),"Y","N")</f>
        <v>N</v>
      </c>
      <c r="X195" s="193">
        <f>VALUE(LEFT(AD195,4))-VALUE(LEFT(AD194,4))</f>
        <v>1</v>
      </c>
      <c r="Y195" s="62">
        <f>RIGHT(D195,LEN(D195)-4)/10000</f>
        <v>0.1032</v>
      </c>
      <c r="Z195" s="62">
        <f>RIGHT(H195,LEN(H195)-4)/10000</f>
        <v>5.8944000000000001</v>
      </c>
      <c r="AA195" s="62">
        <f>ABS(Z195-Y195)</f>
        <v>5.7911999999999999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>IF(LEN(A195)=6,"0"&amp;A195,A195)</f>
        <v>0835-01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/stypes="app*4025*20170202*"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6" t="str">
        <f t="shared" si="10"/>
        <v>"%USERPROFILE%\Documents\GitHub\eaglep3\Utilities\RefineRTDCRunTimes.py" --tripid 835-01 --locoid 4025 --swversion DE.1.0.8.0 --startMP 204:1032 --initTime 2017-02-01T17:36:51 --startdatetime 2017-02-01T17:51:16 --delay 1 --endMP 300:58944 --enddatetime 2017-02-01T18:05:10 --enforcementcount 0 &gt;&gt;C:\Users\stu\Documents\GitHub\eaglep3-reporting\EC\2017-02-01-refined-times.txt</v>
      </c>
      <c r="AI195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{"issue":{"subject":"","project_id":79,"tracker_id":40,"status_id":1,"priority_id":2,"assigned_to_id":23,"start_date":"2017-02-01","description":"","custom_fields":[{"id":1,"name":"Subdivision","value":"NW"},{"id":4,"name":"Milepost","value":"5.8944"},{"id":17,"name":"Train ID","value":"835-01"},{"id":16,"name":"Locomotive ID","value":"4025"},{"id":130,"name":"Impact","value":""},{"id":150,"name":"Time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60" t="str">
        <f t="shared" si="12"/>
        <v>start /low /b %USERPROFILE%\Documents\GitHub\eaglep3\Utilities\DownloadLogsFromS3.py --loco 4025 --day 2017-02-01</v>
      </c>
      <c r="AN195" s="16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2017-02-01-UncaughtWiMAX.txt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614</v>
      </c>
      <c r="B196" s="7">
        <v>4026</v>
      </c>
      <c r="C196" s="21" t="s">
        <v>193</v>
      </c>
      <c r="D196" s="21" t="s">
        <v>819</v>
      </c>
      <c r="E196" s="13">
        <v>42767.75472222222</v>
      </c>
      <c r="F196" s="13">
        <v>42767.756354166668</v>
      </c>
      <c r="G196" s="7">
        <v>1</v>
      </c>
      <c r="H196" s="21" t="s">
        <v>820</v>
      </c>
      <c r="I196" s="13">
        <v>42767.768055555556</v>
      </c>
      <c r="J196" s="7">
        <v>0</v>
      </c>
      <c r="K196" s="98" t="str">
        <f>IF(ISEVEN(B196),(B196-1)&amp;"/"&amp;B196,B196&amp;"/"&amp;(B196+1))</f>
        <v>4025/4026</v>
      </c>
      <c r="L196" s="21" t="str">
        <f>VLOOKUP(A196,'Trips&amp;Operators'!$C$1:$G$99999,5,FALSE)</f>
        <v>LOPES KIMBERLY</v>
      </c>
      <c r="M196" s="6">
        <f>I196-F196</f>
        <v>1.17013888884685E-2</v>
      </c>
      <c r="N196" s="7">
        <f>24*60*SUM($M196:$M196)</f>
        <v>16.84999999939464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9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-02-01T17:06:48-0700',mode:absolute,to:'2017-02-01T19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193" t="str">
        <f>IF(AA196&lt;IF(AG196="EC",23,5.65),"Y","N")</f>
        <v>N</v>
      </c>
      <c r="X196" s="193">
        <f>VALUE(LEFT(AD196,4))-VALUE(LEFT(AD195,4))</f>
        <v>1</v>
      </c>
      <c r="Y196" s="62">
        <f>RIGHT(D196,LEN(D196)-4)/10000</f>
        <v>5.8623000000000003</v>
      </c>
      <c r="Z196" s="62">
        <f>RIGHT(H196,LEN(H196)-4)/10000</f>
        <v>7.2900000000000006E-2</v>
      </c>
      <c r="AA196" s="62">
        <f>ABS(Z196-Y196)</f>
        <v>5.7894000000000005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>IF(LEN(A196)=6,"0"&amp;A196,A196)</f>
        <v>0836-01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/stypes="app*4026*20170202*"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6" t="str">
        <f t="shared" si="10"/>
        <v>"%USERPROFILE%\Documents\GitHub\eaglep3\Utilities\RefineRTDCRunTimes.py" --tripid 836-01 --locoid 4026 --swversion DE.1.0.8.0 --startMP 300:58623 --initTime 2017-02-01T18:06:48 --startdatetime 2017-02-01T18:09:09 --delay 1 --endMP 204:729 --enddatetime 2017-02-01T18:26:00 --enforcementcount 0 &gt;&gt;C:\Users\stu\Documents\GitHub\eaglep3-reporting\EC\2017-02-01-refined-times.txt</v>
      </c>
      <c r="AI196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{"issue":{"subject":"","project_id":79,"tracker_id":40,"status_id":1,"priority_id":2,"assigned_to_id":23,"start_date":"2017-02-01","description":"","custom_fields":[{"id":1,"name":"Subdivision","value":"NW"},{"id":4,"name":"Milepost","value":"0.0729"},{"id":17,"name":"Train ID","value":"836-01"},{"id":16,"name":"Locomotive ID","value":"4026"},{"id":130,"name":"Impact","value":""},{"id":150,"name":"Time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60" t="str">
        <f t="shared" si="12"/>
        <v>start /low /b %USERPROFILE%\Documents\GitHub\eaglep3\Utilities\DownloadLogsFromS3.py --loco 4026 --day 2017-02-01</v>
      </c>
      <c r="AN196" s="16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2017-02-01-UncaughtWiMAX.txt</v>
      </c>
    </row>
    <row r="197" spans="1:91" x14ac:dyDescent="0.25">
      <c r="A197" s="33" t="s">
        <v>616</v>
      </c>
      <c r="B197" s="7">
        <v>4044</v>
      </c>
      <c r="C197" s="21" t="s">
        <v>193</v>
      </c>
      <c r="D197" s="21" t="s">
        <v>821</v>
      </c>
      <c r="E197" s="13">
        <v>42767.758159722223</v>
      </c>
      <c r="F197" s="13">
        <v>42767.764768518522</v>
      </c>
      <c r="G197" s="7">
        <v>3</v>
      </c>
      <c r="H197" s="21" t="s">
        <v>822</v>
      </c>
      <c r="I197" s="13">
        <v>42767.774409722224</v>
      </c>
      <c r="J197" s="7">
        <v>0</v>
      </c>
      <c r="K197" s="98" t="str">
        <f>IF(ISEVEN(B197),(B197-1)&amp;"/"&amp;B197,B197&amp;"/"&amp;(B197+1))</f>
        <v>4043/4044</v>
      </c>
      <c r="L197" s="21" t="str">
        <f>VLOOKUP(A197,'Trips&amp;Operators'!$C$1:$G$99999,5,FALSE)</f>
        <v>BRUDER RICHARD</v>
      </c>
      <c r="M197" s="6">
        <f>I197-F197</f>
        <v>9.6412037019035779E-3</v>
      </c>
      <c r="N197" s="7">
        <f>24*60*SUM($M197:$M197)</f>
        <v>13.883333330741152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9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-02-01T17:11:45-0700',mode:absolute,to:'2017-02-01T19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93" t="str">
        <f>IF(AA197&lt;IF(AG197="EC",23,5.65),"Y","N")</f>
        <v>N</v>
      </c>
      <c r="X197" s="193">
        <f>VALUE(LEFT(AD197,4))-VALUE(LEFT(AD196,4))</f>
        <v>1</v>
      </c>
      <c r="Y197" s="62">
        <f>RIGHT(D197,LEN(D197)-4)/10000</f>
        <v>9.7799999999999998E-2</v>
      </c>
      <c r="Z197" s="62">
        <f>RIGHT(H197,LEN(H197)-4)/10000</f>
        <v>5.8936999999999999</v>
      </c>
      <c r="AA197" s="62">
        <f>ABS(Z197-Y197)</f>
        <v>5.7958999999999996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>IF(LEN(A197)=6,"0"&amp;A197,A197)</f>
        <v>0837-01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/stypes="app*4044*20170202*"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6" t="str">
        <f t="shared" si="10"/>
        <v>"%USERPROFILE%\Documents\GitHub\eaglep3\Utilities\RefineRTDCRunTimes.py" --tripid 837-01 --locoid 4044 --swversion DE.1.0.8.0 --startMP 204:978 --initTime 2017-02-01T18:11:45 --startdatetime 2017-02-01T18:21:16 --delay 3 --endMP 300:58937 --enddatetime 2017-02-01T18:35:09 --enforcementcount 0 &gt;&gt;C:\Users\stu\Documents\GitHub\eaglep3-reporting\EC\2017-02-01-refined-times.txt</v>
      </c>
      <c r="AI197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{"issue":{"subject":"","project_id":79,"tracker_id":40,"status_id":1,"priority_id":2,"assigned_to_id":23,"start_date":"2017-02-01","description":"","custom_fields":[{"id":1,"name":"Subdivision","value":"NW"},{"id":4,"name":"Milepost","value":"5.8937"},{"id":17,"name":"Train ID","value":"837-01"},{"id":16,"name":"Locomotive ID","value":"4044"},{"id":130,"name":"Impact","value":""},{"id":150,"name":"Time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60" t="str">
        <f t="shared" si="12"/>
        <v>start /low /b %USERPROFILE%\Documents\GitHub\eaglep3\Utilities\DownloadLogsFromS3.py --loco 4044 --day 2017-02-01</v>
      </c>
      <c r="AN197" s="16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</row>
    <row r="198" spans="1:91" x14ac:dyDescent="0.25">
      <c r="A198" s="33" t="s">
        <v>623</v>
      </c>
      <c r="B198" s="7">
        <v>4043</v>
      </c>
      <c r="C198" s="21" t="s">
        <v>193</v>
      </c>
      <c r="D198" s="21" t="s">
        <v>819</v>
      </c>
      <c r="E198" s="13">
        <v>42767.776030092595</v>
      </c>
      <c r="F198" s="13">
        <v>42767.777905092589</v>
      </c>
      <c r="G198" s="7">
        <v>1</v>
      </c>
      <c r="H198" s="21" t="s">
        <v>823</v>
      </c>
      <c r="I198" s="13">
        <v>42767.790324074071</v>
      </c>
      <c r="J198" s="7">
        <v>0</v>
      </c>
      <c r="K198" s="98" t="str">
        <f>IF(ISEVEN(B198),(B198-1)&amp;"/"&amp;B198,B198&amp;"/"&amp;(B198+1))</f>
        <v>4043/4044</v>
      </c>
      <c r="L198" s="21" t="str">
        <f>VLOOKUP(A198,'Trips&amp;Operators'!$C$1:$G$99999,5,FALSE)</f>
        <v>BRUDER RICHARD</v>
      </c>
      <c r="M198" s="6">
        <f>I198-F198</f>
        <v>1.2418981481459923E-2</v>
      </c>
      <c r="N198" s="7">
        <f>24*60*SUM($M198:$M198)</f>
        <v>17.883333333302289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9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-02-01T17:37:29-0700',mode:absolute,to:'2017-02-01T19:58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3" t="str">
        <f>IF(AA198&lt;IF(AG198="EC",23,5.65),"Y","N")</f>
        <v>N</v>
      </c>
      <c r="X198" s="193">
        <f>VALUE(LEFT(AD198,4))-VALUE(LEFT(AD197,4))</f>
        <v>1</v>
      </c>
      <c r="Y198" s="62">
        <f>RIGHT(D198,LEN(D198)-4)/10000</f>
        <v>5.8623000000000003</v>
      </c>
      <c r="Z198" s="62">
        <f>RIGHT(H198,LEN(H198)-4)/10000</f>
        <v>6.4500000000000002E-2</v>
      </c>
      <c r="AA198" s="62">
        <f>ABS(Z198-Y198)</f>
        <v>5.7978000000000005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>IF(LEN(A198)=6,"0"&amp;A198,A198)</f>
        <v>0838-01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/stypes="app*4043*20170202*" /stext=" 01:.+((SYSTEM_STATE.+slice.+state.+changed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6" t="str">
        <f t="shared" si="10"/>
        <v>"%USERPROFILE%\Documents\GitHub\eaglep3\Utilities\RefineRTDCRunTimes.py" --tripid 838-01 --locoid 4043 --swversion DE.1.0.8.0 --startMP 300:58623 --initTime 2017-02-01T18:37:29 --startdatetime 2017-02-01T18:40:11 --delay 1 --endMP 204:645 --enddatetime 2017-02-01T18:58:04 --enforcementcount 0 &gt;&gt;C:\Users\stu\Documents\GitHub\eaglep3-reporting\EC\2017-02-01-refined-times.txt</v>
      </c>
      <c r="AI198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{"issue":{"subject":"","project_id":79,"tracker_id":40,"status_id":1,"priority_id":2,"assigned_to_id":23,"start_date":"2017-02-01","description":"","custom_fields":[{"id":1,"name":"Subdivision","value":"NW"},{"id":4,"name":"Milepost","value":"0.0645"},{"id":17,"name":"Train ID","value":"838-01"},{"id":16,"name":"Locomotive ID","value":"4043"},{"id":130,"name":"Impact","value":""},{"id":150,"name":"Time of Event (Mountain Time)","value":"18:58:04"},{"id":151,"name":"Denver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60" t="str">
        <f t="shared" si="12"/>
        <v>start /low /b %USERPROFILE%\Documents\GitHub\eaglep3\Utilities\DownloadLogsFromS3.py --loco 4043 --day 2017-02-01</v>
      </c>
      <c r="AN198" s="16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199" spans="1:91" s="20" customFormat="1" x14ac:dyDescent="0.25">
      <c r="A199" s="33" t="s">
        <v>620</v>
      </c>
      <c r="B199" s="7">
        <v>4025</v>
      </c>
      <c r="C199" s="21" t="s">
        <v>193</v>
      </c>
      <c r="D199" s="21" t="s">
        <v>824</v>
      </c>
      <c r="E199" s="13">
        <v>42767.771747685183</v>
      </c>
      <c r="F199" s="13">
        <v>42767.785590277781</v>
      </c>
      <c r="G199" s="7">
        <v>1</v>
      </c>
      <c r="H199" s="21" t="s">
        <v>794</v>
      </c>
      <c r="I199" s="13">
        <v>42767.795324074075</v>
      </c>
      <c r="J199" s="7">
        <v>0</v>
      </c>
      <c r="K199" s="98" t="str">
        <f>IF(ISEVEN(B199),(B199-1)&amp;"/"&amp;B199,B199&amp;"/"&amp;(B199+1))</f>
        <v>4025/4026</v>
      </c>
      <c r="L199" s="21" t="str">
        <f>VLOOKUP(A199,'Trips&amp;Operators'!$C$1:$G$99999,5,FALSE)</f>
        <v>LOPES KIMBERLY</v>
      </c>
      <c r="M199" s="6">
        <f>I199-F199</f>
        <v>9.7337962943129241E-3</v>
      </c>
      <c r="N199" s="7">
        <f>24*60*SUM($M199:$M199)</f>
        <v>14.016666663810611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9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-02-01T17:31:19-0700',mode:absolute,to:'2017-02-01T20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93" t="str">
        <f>IF(AA199&lt;IF(AG199="EC",23,5.65),"Y","N")</f>
        <v>N</v>
      </c>
      <c r="X199" s="193">
        <f>VALUE(LEFT(AD199,4))-VALUE(LEFT(AD198,4))</f>
        <v>1</v>
      </c>
      <c r="Y199" s="62">
        <f>RIGHT(D199,LEN(D199)-4)/10000</f>
        <v>0.1016</v>
      </c>
      <c r="Z199" s="62">
        <f>RIGHT(H199,LEN(H199)-4)/10000</f>
        <v>5.8948</v>
      </c>
      <c r="AA199" s="62">
        <f>ABS(Z199-Y199)</f>
        <v>5.7931999999999997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>IF(LEN(A199)=6,"0"&amp;A199,A199)</f>
        <v>0839-01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/stypes="app*4025*20170202*"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6" t="str">
        <f t="shared" si="10"/>
        <v>"%USERPROFILE%\Documents\GitHub\eaglep3\Utilities\RefineRTDCRunTimes.py" --tripid 839-01 --locoid 4025 --swversion DE.1.0.8.0 --startMP 204:1016 --initTime 2017-02-01T18:31:19 --startdatetime 2017-02-01T18:51:15 --delay 1 --endMP 300:58948 --enddatetime 2017-02-01T19:05:16 --enforcementcount 0 &gt;&gt;C:\Users\stu\Documents\GitHub\eaglep3-reporting\EC\2017-02-01-refined-times.txt</v>
      </c>
      <c r="AI199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{"issue":{"subject":"","project_id":79,"tracker_id":40,"status_id":1,"priority_id":2,"assigned_to_id":23,"start_date":"2017-02-01","description":"","custom_fields":[{"id":1,"name":"Subdivision","value":"NW"},{"id":4,"name":"Milepost","value":"5.8948"},{"id":17,"name":"Train ID","value":"839-01"},{"id":16,"name":"Locomotive ID","value":"4025"},{"id":130,"name":"Impact","value":""},{"id":150,"name":"Time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60" t="str">
        <f t="shared" si="12"/>
        <v>start /low /b %USERPROFILE%\Documents\GitHub\eaglep3\Utilities\DownloadLogsFromS3.py --loco 4025 --day 2017-02-01</v>
      </c>
      <c r="AN199" s="16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2017-02-01-UncaughtWiMAX.txt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3" t="s">
        <v>633</v>
      </c>
      <c r="B200" s="7">
        <v>4043</v>
      </c>
      <c r="C200" s="21" t="s">
        <v>193</v>
      </c>
      <c r="D200" s="21" t="s">
        <v>819</v>
      </c>
      <c r="E200" s="13">
        <v>42767.817152777781</v>
      </c>
      <c r="F200" s="13">
        <v>42767.818923611114</v>
      </c>
      <c r="G200" s="7">
        <v>1</v>
      </c>
      <c r="H200" s="21" t="s">
        <v>825</v>
      </c>
      <c r="I200" s="13">
        <v>42767.830983796295</v>
      </c>
      <c r="J200" s="7">
        <v>0</v>
      </c>
      <c r="K200" s="98" t="str">
        <f>IF(ISEVEN(B200),(B200-1)&amp;"/"&amp;B200,B200&amp;"/"&amp;(B200+1))</f>
        <v>4043/4044</v>
      </c>
      <c r="L200" s="21" t="str">
        <f>VLOOKUP(A200,'Trips&amp;Operators'!$C$1:$G$99999,5,FALSE)</f>
        <v>BRUDER RICHARD</v>
      </c>
      <c r="M200" s="6">
        <f>I200-F200</f>
        <v>1.2060185181326233E-2</v>
      </c>
      <c r="N200" s="7">
        <f>24*60*SUM($M200:$M200)</f>
        <v>17.366666661109775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9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-02-01T18:36:42-0700',mode:absolute,to:'2017-02-01T20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3" t="str">
        <f>IF(AA200&lt;IF(AG200="EC",23,5.65),"Y","N")</f>
        <v>N</v>
      </c>
      <c r="X200" s="193">
        <f>VALUE(LEFT(AD200,4))-VALUE(LEFT(AD199,4))</f>
        <v>1</v>
      </c>
      <c r="Y200" s="62">
        <f>RIGHT(D200,LEN(D200)-4)/10000</f>
        <v>5.8623000000000003</v>
      </c>
      <c r="Z200" s="62">
        <f>RIGHT(H200,LEN(H200)-4)/10000</f>
        <v>6.9099999999999995E-2</v>
      </c>
      <c r="AA200" s="62">
        <f>ABS(Z200-Y200)</f>
        <v>5.7932000000000006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>IF(LEN(A200)=6,"0"&amp;A200,A200)</f>
        <v>0840-01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/stypes="app*4043*20170202*"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6" t="str">
        <f t="shared" si="10"/>
        <v>"%USERPROFILE%\Documents\GitHub\eaglep3\Utilities\RefineRTDCRunTimes.py" --tripid 840-01 --locoid 4043 --swversion DE.1.0.8.0 --startMP 300:58623 --initTime 2017-02-01T19:36:42 --startdatetime 2017-02-01T19:39:15 --delay 1 --endMP 204:691 --enddatetime 2017-02-01T19:56:37 --enforcementcount 0 &gt;&gt;C:\Users\stu\Documents\GitHub\eaglep3-reporting\EC\2017-02-01-refined-times.txt</v>
      </c>
      <c r="AI200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{"issue":{"subject":"","project_id":79,"tracker_id":40,"status_id":1,"priority_id":2,"assigned_to_id":23,"start_date":"2017-02-01","description":"","custom_fields":[{"id":1,"name":"Subdivision","value":"NW"},{"id":4,"name":"Milepost","value":"0.0691"},{"id":17,"name":"Train ID","value":"840-01"},{"id":16,"name":"Locomotive ID","value":"4043"},{"id":130,"name":"Impact","value":""},{"id":150,"name":"Time of Event (Mountain Time)","value":"19:56:37"},{"id":151,"name":"Denver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60" t="str">
        <f t="shared" si="12"/>
        <v>start /low /b %USERPROFILE%\Documents\GitHub\eaglep3\Utilities\DownloadLogsFromS3.py --loco 4043 --day 2017-02-01</v>
      </c>
      <c r="AN200" s="16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201" spans="1:91" s="20" customFormat="1" x14ac:dyDescent="0.25">
      <c r="A201" s="33" t="s">
        <v>629</v>
      </c>
      <c r="B201" s="7">
        <v>4044</v>
      </c>
      <c r="C201" s="21" t="s">
        <v>193</v>
      </c>
      <c r="D201" s="21" t="s">
        <v>826</v>
      </c>
      <c r="E201" s="13">
        <v>42767.800497685188</v>
      </c>
      <c r="F201" s="13">
        <v>42767.806828703702</v>
      </c>
      <c r="G201" s="7">
        <v>1</v>
      </c>
      <c r="H201" s="21" t="s">
        <v>822</v>
      </c>
      <c r="I201" s="13">
        <v>42767.816111111111</v>
      </c>
      <c r="J201" s="7">
        <v>0</v>
      </c>
      <c r="K201" s="98" t="str">
        <f>IF(ISEVEN(B201),(B201-1)&amp;"/"&amp;B201,B201&amp;"/"&amp;(B201+1))</f>
        <v>4043/4044</v>
      </c>
      <c r="L201" s="21" t="str">
        <f>VLOOKUP(A201,'Trips&amp;Operators'!$C$1:$G$99999,5,FALSE)</f>
        <v>BRUDER RICHARD</v>
      </c>
      <c r="M201" s="6">
        <f>I201-F201</f>
        <v>9.2824074090458453E-3</v>
      </c>
      <c r="N201" s="7">
        <f>24*60*SUM($M201:$M201)</f>
        <v>13.366666669026017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9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-02-01T18:12:43-0700',mode:absolute,to:'2017-02-01T20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93" t="str">
        <f>IF(AA201&lt;IF(AG201="EC",23,5.65),"Y","N")</f>
        <v>N</v>
      </c>
      <c r="X201" s="193">
        <f>VALUE(LEFT(AD201,4))-VALUE(LEFT(AD200,4))</f>
        <v>1</v>
      </c>
      <c r="Y201" s="62">
        <f>RIGHT(D201,LEN(D201)-4)/10000</f>
        <v>9.5799999999999996E-2</v>
      </c>
      <c r="Z201" s="62">
        <f>RIGHT(H201,LEN(H201)-4)/10000</f>
        <v>5.8936999999999999</v>
      </c>
      <c r="AA201" s="62">
        <f>ABS(Z201-Y201)</f>
        <v>5.7979000000000003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>IF(LEN(A201)=6,"0"&amp;A201,A201)</f>
        <v>0841-01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/stypes="app*4044*20170202*" /stext=" 02:.+((SYSTEM_STATE.+slice.+state.+changed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6" t="str">
        <f t="shared" si="10"/>
        <v>"%USERPROFILE%\Documents\GitHub\eaglep3\Utilities\RefineRTDCRunTimes.py" --tripid 841-01 --locoid 4044 --swversion DE.1.0.8.0 --startMP 204:958 --initTime 2017-02-01T19:12:43 --startdatetime 2017-02-01T19:21:50 --delay 1 --endMP 300:58937 --enddatetime 2017-02-01T19:35:12 --enforcementcount 0 &gt;&gt;C:\Users\stu\Documents\GitHub\eaglep3-reporting\EC\2017-02-01-refined-times.txt</v>
      </c>
      <c r="AI201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{"issue":{"subject":"","project_id":79,"tracker_id":40,"status_id":1,"priority_id":2,"assigned_to_id":23,"start_date":"2017-02-01","description":"","custom_fields":[{"id":1,"name":"Subdivision","value":"NW"},{"id":4,"name":"Milepost","value":"5.8937"},{"id":17,"name":"Train ID","value":"841-01"},{"id":16,"name":"Locomotive ID","value":"4044"},{"id":130,"name":"Impact","value":""},{"id":150,"name":"Time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60" t="str">
        <f t="shared" si="12"/>
        <v>start /low /b %USERPROFILE%\Documents\GitHub\eaglep3\Utilities\DownloadLogsFromS3.py --loco 4044 --day 2017-02-01</v>
      </c>
      <c r="AN201" s="16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3" t="s">
        <v>639</v>
      </c>
      <c r="B202" s="7">
        <v>4043</v>
      </c>
      <c r="C202" s="21" t="s">
        <v>193</v>
      </c>
      <c r="D202" s="21" t="s">
        <v>827</v>
      </c>
      <c r="E202" s="13">
        <v>42767.858807870369</v>
      </c>
      <c r="F202" s="13">
        <v>42767.860868055555</v>
      </c>
      <c r="G202" s="7">
        <v>1</v>
      </c>
      <c r="H202" s="21" t="s">
        <v>828</v>
      </c>
      <c r="I202" s="13">
        <v>42767.871377314812</v>
      </c>
      <c r="J202" s="7">
        <v>0</v>
      </c>
      <c r="K202" s="98" t="str">
        <f>IF(ISEVEN(B202),(B202-1)&amp;"/"&amp;B202,B202&amp;"/"&amp;(B202+1))</f>
        <v>4043/4044</v>
      </c>
      <c r="L202" s="21" t="str">
        <f>VLOOKUP(A202,'Trips&amp;Operators'!$C$1:$G$99999,5,FALSE)</f>
        <v>BRUDER RICHARD</v>
      </c>
      <c r="M202" s="6">
        <f>I202-F202</f>
        <v>1.0509259256650694E-2</v>
      </c>
      <c r="N202" s="7">
        <f>24*60*SUM($M202:$M202)</f>
        <v>15.133333329576999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9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-01T19:36:41-0700',mode:absolute,to:'2017-02-01T21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93" t="str">
        <f>IF(AA202&lt;IF(AG202="EC",23,5.65),"Y","N")</f>
        <v>N</v>
      </c>
      <c r="X202" s="193">
        <f>VALUE(LEFT(AD202,4))-VALUE(LEFT(AD201,4))</f>
        <v>1</v>
      </c>
      <c r="Y202" s="62">
        <f>RIGHT(D202,LEN(D202)-4)/10000</f>
        <v>5.8609</v>
      </c>
      <c r="Z202" s="62">
        <f>RIGHT(H202,LEN(H202)-4)/10000</f>
        <v>6.9199999999999998E-2</v>
      </c>
      <c r="AA202" s="62">
        <f>ABS(Z202-Y202)</f>
        <v>5.7916999999999996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>IF(LEN(A202)=6,"0"&amp;A202,A202)</f>
        <v>0842-01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/stypes="app*4043*20170202*"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6" t="str">
        <f t="shared" si="10"/>
        <v>"%USERPROFILE%\Documents\GitHub\eaglep3\Utilities\RefineRTDCRunTimes.py" --tripid 842-01 --locoid 4043 --swversion DE.1.0.8.0 --startMP 300:58609 --initTime 2017-02-01T20:36:41 --startdatetime 2017-02-01T20:39:39 --delay 1 --endMP 204:692 --enddatetime 2017-02-01T20:54:47 --enforcementcount 0 &gt;&gt;C:\Users\stu\Documents\GitHub\eaglep3-reporting\EC\2017-02-01-refined-times.txt</v>
      </c>
      <c r="AI202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{"issue":{"subject":"","project_id":79,"tracker_id":40,"status_id":1,"priority_id":2,"assigned_to_id":23,"start_date":"2017-02-01","description":"","custom_fields":[{"id":1,"name":"Subdivision","value":"NW"},{"id":4,"name":"Milepost","value":"0.0692"},{"id":17,"name":"Train ID","value":"842-01"},{"id":16,"name":"Locomotive ID","value":"4043"},{"id":130,"name":"Impact","value":""},{"id":150,"name":"Time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60" t="str">
        <f t="shared" si="12"/>
        <v>start /low /b %USERPROFILE%\Documents\GitHub\eaglep3\Utilities\DownloadLogsFromS3.py --loco 4043 --day 2017-02-01</v>
      </c>
      <c r="AN202" s="16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203" spans="1:91" x14ac:dyDescent="0.25">
      <c r="A203" s="33" t="s">
        <v>636</v>
      </c>
      <c r="B203" s="7">
        <v>4044</v>
      </c>
      <c r="C203" s="21" t="s">
        <v>193</v>
      </c>
      <c r="D203" s="21" t="s">
        <v>821</v>
      </c>
      <c r="E203" s="13">
        <v>42767.836840277778</v>
      </c>
      <c r="F203" s="13">
        <v>42767.848113425927</v>
      </c>
      <c r="G203" s="7">
        <v>1</v>
      </c>
      <c r="H203" s="21" t="s">
        <v>808</v>
      </c>
      <c r="I203" s="13">
        <v>42767.857546296298</v>
      </c>
      <c r="J203" s="7">
        <v>0</v>
      </c>
      <c r="K203" s="98" t="str">
        <f>IF(ISEVEN(B203),(B203-1)&amp;"/"&amp;B203,B203&amp;"/"&amp;(B203+1))</f>
        <v>4043/4044</v>
      </c>
      <c r="L203" s="21" t="str">
        <f>VLOOKUP(A203,'Trips&amp;Operators'!$C$1:$G$99999,5,FALSE)</f>
        <v>BRUDER RICHARD</v>
      </c>
      <c r="M203" s="6">
        <f>I203-F203</f>
        <v>9.4328703708015382E-3</v>
      </c>
      <c r="N203" s="7">
        <f>24*60*SUM($M203:$M203)</f>
        <v>13.583333333954215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9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-01T19:05:03-0700',mode:absolute,to:'2017-02-01T21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3" t="str">
        <f>IF(AA203&lt;IF(AG203="EC",23,5.65),"Y","N")</f>
        <v>N</v>
      </c>
      <c r="X203" s="193">
        <f>VALUE(LEFT(AD203,4))-VALUE(LEFT(AD202,4))</f>
        <v>1</v>
      </c>
      <c r="Y203" s="62">
        <f>RIGHT(D203,LEN(D203)-4)/10000</f>
        <v>9.7799999999999998E-2</v>
      </c>
      <c r="Z203" s="62">
        <f>RIGHT(H203,LEN(H203)-4)/10000</f>
        <v>5.8930999999999996</v>
      </c>
      <c r="AA203" s="62">
        <f>ABS(Z203-Y203)</f>
        <v>5.7952999999999992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>IF(LEN(A203)=6,"0"&amp;A203,A203)</f>
        <v>0843-01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/stypes="app*4044*20170202*" /stext=" 03:.+((SYSTEM_STATE.+slice.+state.+changed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6" t="str">
        <f t="shared" si="10"/>
        <v>"%USERPROFILE%\Documents\GitHub\eaglep3\Utilities\RefineRTDCRunTimes.py" --tripid 843-01 --locoid 4044 --swversion DE.1.0.8.0 --startMP 204:978 --initTime 2017-02-01T20:05:03 --startdatetime 2017-02-01T20:21:17 --delay 1 --endMP 300:58931 --enddatetime 2017-02-01T20:34:52 --enforcementcount 0 &gt;&gt;C:\Users\stu\Documents\GitHub\eaglep3-reporting\EC\2017-02-01-refined-times.txt</v>
      </c>
      <c r="AI203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{"issue":{"subject":"","project_id":79,"tracker_id":40,"status_id":1,"priority_id":2,"assigned_to_id":23,"start_date":"2017-02-01","description":"","custom_fields":[{"id":1,"name":"Subdivision","value":"NW"},{"id":4,"name":"Milepost","value":"5.8931"},{"id":17,"name":"Train ID","value":"843-01"},{"id":16,"name":"Locomotive ID","value":"4044"},{"id":130,"name":"Impact","value":""},{"id":150,"name":"Time of Event (Mountain Time)","value":"20:34:52"},{"id":151,"name":"Denver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60" t="str">
        <f t="shared" si="12"/>
        <v>start /low /b %USERPROFILE%\Documents\GitHub\eaglep3\Utilities\DownloadLogsFromS3.py --loco 4044 --day 2017-02-01</v>
      </c>
      <c r="AN203" s="16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</row>
    <row r="204" spans="1:91" x14ac:dyDescent="0.25">
      <c r="A204" s="33" t="s">
        <v>646</v>
      </c>
      <c r="B204" s="7">
        <v>4043</v>
      </c>
      <c r="C204" s="21" t="s">
        <v>193</v>
      </c>
      <c r="D204" s="21" t="s">
        <v>829</v>
      </c>
      <c r="E204" s="13">
        <v>42767.899814814817</v>
      </c>
      <c r="F204" s="13">
        <v>42767.901030092595</v>
      </c>
      <c r="G204" s="7">
        <v>1</v>
      </c>
      <c r="H204" s="21" t="s">
        <v>830</v>
      </c>
      <c r="I204" s="13">
        <v>42767.91337962963</v>
      </c>
      <c r="J204" s="7">
        <v>0</v>
      </c>
      <c r="K204" s="98" t="str">
        <f>IF(ISEVEN(B204),(B204-1)&amp;"/"&amp;B204,B204&amp;"/"&amp;(B204+1))</f>
        <v>4043/4044</v>
      </c>
      <c r="L204" s="21" t="str">
        <f>VLOOKUP(A204,'Trips&amp;Operators'!$C$1:$G$99999,5,FALSE)</f>
        <v>LOPES KIMBERLY</v>
      </c>
      <c r="M204" s="6">
        <f>I204-F204</f>
        <v>1.2349537035333924E-2</v>
      </c>
      <c r="N204" s="7">
        <f>24*60*SUM($M204:$M204)</f>
        <v>17.783333330880851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Southbound</v>
      </c>
      <c r="U204" s="19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-01T20:35:44-0700',mode:absolute,to:'2017-02-01T22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93" t="str">
        <f>IF(AA204&lt;IF(AG204="EC",23,5.65),"Y","N")</f>
        <v>N</v>
      </c>
      <c r="X204" s="193">
        <f>VALUE(LEFT(AD204,4))-VALUE(LEFT(AD203,4))</f>
        <v>1</v>
      </c>
      <c r="Y204" s="62">
        <f>RIGHT(D204,LEN(D204)-4)/10000</f>
        <v>5.8630000000000004</v>
      </c>
      <c r="Z204" s="62">
        <f>RIGHT(H204,LEN(H204)-4)/10000</f>
        <v>6.8500000000000005E-2</v>
      </c>
      <c r="AA204" s="62">
        <f>ABS(Z204-Y204)</f>
        <v>5.7945000000000002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>IF(LEN(A204)=6,"0"&amp;A204,A204)</f>
        <v>0844-01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/stypes="app*4043*20170202*"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6" t="str">
        <f t="shared" si="10"/>
        <v>"%USERPROFILE%\Documents\GitHub\eaglep3\Utilities\RefineRTDCRunTimes.py" --tripid 844-01 --locoid 4043 --swversion DE.1.0.8.0 --startMP 300:58630 --initTime 2017-02-01T21:35:44 --startdatetime 2017-02-01T21:37:29 --delay 1 --endMP 204:685 --enddatetime 2017-02-01T21:55:16 --enforcementcount 0 &gt;&gt;C:\Users\stu\Documents\GitHub\eaglep3-reporting\EC\2017-02-01-refined-times.txt</v>
      </c>
      <c r="AI204" s="108" t="str">
        <f t="shared" si="11"/>
        <v>echo {"issue":{"subject":"","project_id":79,"tracker_id":40,"status_id":1,"priority_id":2,"assigned_to_id":23,"start_date":"2017-02-01","description":"","custom_fields":[{"id":1,"name":"Subdivision","value":"NW"},{"id":4,"name":"Milepost","value":"0.0685"},{"id":17,"name":"Train ID","value":"844-01"},{"id":16,"name":"Locomotive ID","value":"4043"},{"id":130,"name":"Impact","value":""},{"id":150,"name":"Time of Event (Mountain Time)","value":"21:55:16"},{"id":151,"name":"Denver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60" t="str">
        <f t="shared" si="12"/>
        <v>start /low /b %USERPROFILE%\Documents\GitHub\eaglep3\Utilities\DownloadLogsFromS3.py --loco 4043 --day 2017-02-01</v>
      </c>
      <c r="AN204" s="16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205" spans="1:91" x14ac:dyDescent="0.25">
      <c r="A205" s="33" t="s">
        <v>643</v>
      </c>
      <c r="B205" s="7">
        <v>4044</v>
      </c>
      <c r="C205" s="21" t="s">
        <v>193</v>
      </c>
      <c r="D205" s="21" t="s">
        <v>790</v>
      </c>
      <c r="E205" s="13">
        <v>42767.875833333332</v>
      </c>
      <c r="F205" s="13">
        <v>42767.889756944445</v>
      </c>
      <c r="G205" s="7">
        <v>1</v>
      </c>
      <c r="H205" s="21" t="s">
        <v>301</v>
      </c>
      <c r="I205" s="13">
        <v>42767.898946759262</v>
      </c>
      <c r="J205" s="7">
        <v>0</v>
      </c>
      <c r="K205" s="98" t="str">
        <f>IF(ISEVEN(B205),(B205-1)&amp;"/"&amp;B205,B205&amp;"/"&amp;(B205+1))</f>
        <v>4043/4044</v>
      </c>
      <c r="L205" s="21" t="str">
        <f>VLOOKUP(A205,'Trips&amp;Operators'!$C$1:$G$99999,5,FALSE)</f>
        <v>LOPES KIMBERLY</v>
      </c>
      <c r="M205" s="6">
        <f>I205-F205</f>
        <v>9.189814816636499E-3</v>
      </c>
      <c r="N205" s="7">
        <f>24*60*SUM($M205:$M205)</f>
        <v>13.233333335956559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9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-01T20:01:12-0700',mode:absolute,to:'2017-02-01T22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3" t="str">
        <f>IF(AA205&lt;IF(AG205="EC",23,5.65),"Y","N")</f>
        <v>N</v>
      </c>
      <c r="X205" s="193">
        <f>VALUE(LEFT(AD205,4))-VALUE(LEFT(AD204,4))</f>
        <v>1</v>
      </c>
      <c r="Y205" s="62">
        <f>RIGHT(D205,LEN(D205)-4)/10000</f>
        <v>9.6699999999999994E-2</v>
      </c>
      <c r="Z205" s="62">
        <f>RIGHT(H205,LEN(H205)-4)/10000</f>
        <v>5.8939000000000004</v>
      </c>
      <c r="AA205" s="62">
        <f>ABS(Z205-Y205)</f>
        <v>5.7972000000000001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>IF(LEN(A205)=6,"0"&amp;A205,A205)</f>
        <v>0845-01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/stypes="app*4044*20170202*" /stext=" 04:.+((SYSTEM_STATE.+slice.+state.+changed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86" t="str">
        <f t="shared" ref="AH205:AH236" si="1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845-01 --locoid 4044 --swversion DE.1.0.8.0 --startMP 204:967 --initTime 2017-02-01T21:01:12 --startdatetime 2017-02-01T21:21:15 --delay 1 --endMP 300:58939 --enddatetime 2017-02-01T21:34:29 --enforcementcount 0 &gt;&gt;C:\Users\stu\Documents\GitHub\eaglep3-reporting\EC\2017-02-01-refined-times.txt</v>
      </c>
      <c r="AI205" s="108" t="str">
        <f t="shared" ref="AI205:AI236" si="1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{"issue":{"subject":"","project_id":79,"tracker_id":40,"status_id":1,"priority_id":2,"assigned_to_id":23,"start_date":"2017-02-01","description":"","custom_fields":[{"id":1,"name":"Subdivision","value":"NW"},{"id":4,"name":"Milepost","value":"5.8939"},{"id":17,"name":"Train ID","value":"845-01"},{"id":16,"name":"Locomotive ID","value":"4044"},{"id":130,"name":"Impact","value":""},{"id":150,"name":"Time of Event (Mountain Time)","value":"21:34:29"},{"id":151,"name":"Denver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60" t="str">
        <f t="shared" ref="AM205:AM236" si="15">"start /low /b "&amp;dls3logs&amp;" --loco "&amp;B205&amp;" --day "&amp;TEXT(F205,"YYYY-MM-DD")</f>
        <v>start /low /b %USERPROFILE%\Documents\GitHub\eaglep3\Utilities\DownloadLogsFromS3.py --loco 4044 --day 2017-02-01</v>
      </c>
      <c r="AN205" s="16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</row>
    <row r="206" spans="1:91" x14ac:dyDescent="0.25">
      <c r="A206" s="33" t="s">
        <v>445</v>
      </c>
      <c r="B206" s="7">
        <v>4044</v>
      </c>
      <c r="C206" s="21" t="s">
        <v>193</v>
      </c>
      <c r="D206" s="21" t="s">
        <v>831</v>
      </c>
      <c r="E206" s="13">
        <v>42767.916168981479</v>
      </c>
      <c r="F206" s="13">
        <v>42767.931435185186</v>
      </c>
      <c r="G206" s="7">
        <v>1</v>
      </c>
      <c r="H206" s="21" t="s">
        <v>416</v>
      </c>
      <c r="I206" s="13">
        <v>42767.941712962966</v>
      </c>
      <c r="J206" s="7">
        <v>0</v>
      </c>
      <c r="K206" s="98" t="str">
        <f>IF(ISEVEN(B206),(B206-1)&amp;"/"&amp;B206,B206&amp;"/"&amp;(B206+1))</f>
        <v>4043/4044</v>
      </c>
      <c r="L206" s="21" t="str">
        <f>VLOOKUP(A206,'Trips&amp;Operators'!$C$1:$G$99999,5,FALSE)</f>
        <v>LOPES KIMBERLY</v>
      </c>
      <c r="M206" s="6">
        <f>I206-F206</f>
        <v>1.0277777779265307E-2</v>
      </c>
      <c r="N206" s="7">
        <f>24*60*SUM($M206:$M206)</f>
        <v>14.800000002142042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9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-01T20:59:17-0700',mode:absolute,to:'2017-02-01T23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3" t="str">
        <f>IF(AA206&lt;IF(AG206="EC",23,5.65),"Y","N")</f>
        <v>N</v>
      </c>
      <c r="X206" s="193">
        <f>VALUE(LEFT(AD206,4))-VALUE(LEFT(AD205,4))</f>
        <v>2</v>
      </c>
      <c r="Y206" s="62">
        <f>RIGHT(D206,LEN(D206)-4)/10000</f>
        <v>9.9299999999999999E-2</v>
      </c>
      <c r="Z206" s="62">
        <f>RIGHT(H206,LEN(H206)-4)/10000</f>
        <v>5.8949999999999996</v>
      </c>
      <c r="AA206" s="62">
        <f>ABS(Z206-Y206)</f>
        <v>5.7956999999999992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>IF(LEN(A206)=6,"0"&amp;A206,A206)</f>
        <v>0847-01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/stypes="app*4044*20170202*" /stext=" 05:.+((SYSTEM_STATE.+slice.+state.+changed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86" t="str">
        <f t="shared" si="13"/>
        <v>"%USERPROFILE%\Documents\GitHub\eaglep3\Utilities\RefineRTDCRunTimes.py" --tripid 847-01 --locoid 4044 --swversion DE.1.0.8.0 --startMP 204:993 --initTime 2017-02-01T21:59:17 --startdatetime 2017-02-01T22:21:16 --delay 1 --endMP 300:58950 --enddatetime 2017-02-01T22:36:04 --enforcementcount 0 &gt;&gt;C:\Users\stu\Documents\GitHub\eaglep3-reporting\EC\2017-02-01-refined-times.txt</v>
      </c>
      <c r="AI206" s="108" t="str">
        <f t="shared" si="14"/>
        <v>echo {"issue":{"subject":"","project_id":79,"tracker_id":40,"status_id":1,"priority_id":2,"assigned_to_id":23,"start_date":"2017-02-01","description":"","custom_fields":[{"id":1,"name":"Subdivision","value":"NW"},{"id":4,"name":"Milepost","value":"5.895"},{"id":17,"name":"Train ID","value":"847-01"},{"id":16,"name":"Locomotive ID","value":"4044"},{"id":130,"name":"Impact","value":""},{"id":150,"name":"Time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60" t="str">
        <f t="shared" si="15"/>
        <v>start /low /b %USERPROFILE%\Documents\GitHub\eaglep3\Utilities\DownloadLogsFromS3.py --loco 4044 --day 2017-02-01</v>
      </c>
      <c r="AN206" s="16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"%USERPROFILE%\AppData\Local\Temp\OnboardLogs"\RTDC4044\*4044*20170202* | grep -SE "(Enforcement Action)|(\[TIMEOUT)|(CHR.+\|PRM\|1\|D.+(SWITCH|SIGNAL).+UNKNOWN)" - &gt;&gt; 2017-02-01-UncaughtWiMAX.txt</v>
      </c>
    </row>
    <row r="207" spans="1:91" x14ac:dyDescent="0.25">
      <c r="A207" s="33" t="s">
        <v>450</v>
      </c>
      <c r="B207" s="7">
        <v>4015</v>
      </c>
      <c r="C207" s="21" t="s">
        <v>193</v>
      </c>
      <c r="D207" s="21" t="s">
        <v>754</v>
      </c>
      <c r="E207" s="13">
        <v>42767.115798611114</v>
      </c>
      <c r="F207" s="13">
        <v>42767.117743055554</v>
      </c>
      <c r="G207" s="7">
        <v>2</v>
      </c>
      <c r="H207" s="21" t="s">
        <v>380</v>
      </c>
      <c r="I207" s="13">
        <v>42767.124571759261</v>
      </c>
      <c r="J207" s="7">
        <v>0</v>
      </c>
      <c r="K207" s="98" t="str">
        <f>IF(ISEVEN(B207),(B207-1)&amp;"/"&amp;B207,B207&amp;"/"&amp;(B207+1))</f>
        <v>4015/4016</v>
      </c>
      <c r="L207" s="21" t="str">
        <f>VLOOKUP(A207,'Trips&amp;Operators'!$C$1:$G$99999,5,FALSE)</f>
        <v>PERKINS DARREN</v>
      </c>
      <c r="M207" s="6">
        <f>I207-F207</f>
        <v>6.8287037065601908E-3</v>
      </c>
      <c r="N207" s="7">
        <f>24*60*SUM($M207:$M207)</f>
        <v>9.8333333374466747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Southbound</v>
      </c>
      <c r="U207" s="19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-02-01T01:46:45-0700',mode:absolute,to:'2017-02-01T03:59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193" t="str">
        <f>IF(AA207&lt;IF(AG207="EC",23,5.65),"Y","N")</f>
        <v>Y</v>
      </c>
      <c r="X207" s="193">
        <f>VALUE(LEFT(AD207,4))-VALUE(LEFT(AD206,4))</f>
        <v>-545</v>
      </c>
      <c r="Y207" s="62">
        <f>RIGHT(D207,LEN(D207)-4)/10000</f>
        <v>2.3302</v>
      </c>
      <c r="Z207" s="62">
        <f>RIGHT(H207,LEN(H207)-4)/10000</f>
        <v>1.38E-2</v>
      </c>
      <c r="AA207" s="62">
        <f>ABS(Z207-Y207)</f>
        <v>2.3164000000000002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>IF(LEN(A207)=6,"0"&amp;A207,A207)</f>
        <v>0302-01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/stypes="app*4015*20170201*" /stext=" 09:.+((SYSTEM_STATE.+slice.+state.+changed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3"/>
        <v>"%USERPROFILE%\Documents\GitHub\eaglep3\Utilities\RefineRTDCRunTimes.py" --tripid 302-01 --locoid 4015 --swversion DE.1.0.8.0 --startMP 300:23302 --initTime 2017-02-01T02:46:45 --startdatetime 2017-02-01T02:49:33 --delay 2 --endMP 204:138 --enddatetime 2017-02-01T02:59:23 --enforcementcount 0 &gt;&gt;C:\Users\stu\Documents\GitHub\eaglep3-reporting\EC\2017-02-01-refined-times.txt</v>
      </c>
      <c r="AI207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{"issue":{"subject":"","project_id":79,"tracker_id":40,"status_id":1,"priority_id":2,"assigned_to_id":23,"start_date":"2017-02-01","description":"","custom_fields":[{"id":1,"name":"Subdivision","value":"Other"},{"id":4,"name":"Milepost","value":"0.0138"},{"id":17,"name":"Train ID","value":"302-01"},{"id":16,"name":"Locomotive ID","value":"4015"},{"id":130,"name":"Impact","value":""},{"id":150,"name":"Time of Event (Mountain Time)","value":"02:59:23"},{"id":151,"name":"Denver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60" t="str">
        <f t="shared" si="15"/>
        <v>start /low /b %USERPROFILE%\Documents\GitHub\eaglep3\Utilities\DownloadLogsFromS3.py --loco 4015 --day 2017-02-01</v>
      </c>
      <c r="AN207" s="16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"%USERPROFILE%\AppData\Local\Temp\OnboardLogs"\RTDC4015\*4015*20170201* | grep -SE "(Enforcement Action)|(\[TIMEOUT)|(CHR.+\|PRM\|1\|D.+(SWITCH|SIGNAL).+UNKNOWN)" - &gt;&gt; 2017-02-01-UncaughtWiMAX.txt</v>
      </c>
    </row>
    <row r="208" spans="1:91" x14ac:dyDescent="0.25">
      <c r="A208" s="33" t="s">
        <v>454</v>
      </c>
      <c r="B208" s="7">
        <v>4052</v>
      </c>
      <c r="C208" s="21" t="s">
        <v>193</v>
      </c>
      <c r="D208" s="21" t="s">
        <v>755</v>
      </c>
      <c r="E208" s="13">
        <v>42767.139027777775</v>
      </c>
      <c r="F208" s="13">
        <v>42767.14266203704</v>
      </c>
      <c r="G208" s="7">
        <v>5</v>
      </c>
      <c r="H208" s="21" t="s">
        <v>380</v>
      </c>
      <c r="I208" s="13">
        <v>42767.147916666669</v>
      </c>
      <c r="J208" s="7">
        <v>0</v>
      </c>
      <c r="K208" s="98" t="str">
        <f>IF(ISEVEN(B208),(B208-1)&amp;"/"&amp;B208,B208&amp;"/"&amp;(B208+1))</f>
        <v>4051/4052</v>
      </c>
      <c r="L208" s="21" t="str">
        <f>VLOOKUP(A208,'Trips&amp;Operators'!$C$1:$G$99999,5,FALSE)</f>
        <v>MAELZER KURT</v>
      </c>
      <c r="M208" s="6">
        <f>I208-F208</f>
        <v>5.2546296283253469E-3</v>
      </c>
      <c r="N208" s="7">
        <f>24*60*SUM($M208:$M208)</f>
        <v>7.5666666647884995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9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-02-01T02:20:12-0700',mode:absolute,to:'2017-02-01T04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8" s="193" t="str">
        <f>IF(AA208&lt;IF(AG208="EC",23,5.65),"Y","N")</f>
        <v>Y</v>
      </c>
      <c r="X208" s="193">
        <f>VALUE(LEFT(AD208,4))-VALUE(LEFT(AD207,4))</f>
        <v>2</v>
      </c>
      <c r="Y208" s="62">
        <f>RIGHT(D208,LEN(D208)-4)/10000</f>
        <v>1.9658</v>
      </c>
      <c r="Z208" s="62">
        <f>RIGHT(H208,LEN(H208)-4)/10000</f>
        <v>1.38E-2</v>
      </c>
      <c r="AA208" s="62">
        <f>ABS(Z208-Y208)</f>
        <v>1.952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>IF(LEN(A208)=6,"0"&amp;A208,A208)</f>
        <v>0304-01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 &amp; 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/stypes="app*4052*20170201*" /stext=" 10:.+((SYSTEM_STATE.+slice.+state.+changed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3"/>
        <v>"%USERPROFILE%\Documents\GitHub\eaglep3\Utilities\RefineRTDCRunTimes.py" --tripid 304-01 --locoid 4052 --swversion DE.1.0.8.0 --startMP 300:19658 --initTime 2017-02-01T03:20:12 --startdatetime 2017-02-01T03:25:26 --delay 5 --endMP 204:138 --enddatetime 2017-02-01T03:33:00 --enforcementcount 0 &gt;&gt;C:\Users\stu\Documents\GitHub\eaglep3-reporting\EC\2017-02-01-refined-times.txt</v>
      </c>
      <c r="AI208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{"issue":{"subject":"","project_id":79,"tracker_id":40,"status_id":1,"priority_id":2,"assigned_to_id":23,"start_date":"2017-02-01","description":"","custom_fields":[{"id":1,"name":"Subdivision","value":"Other"},{"id":4,"name":"Milepost","value":"0.0138"},{"id":17,"name":"Train ID","value":"304-01"},{"id":16,"name":"Locomotive ID","value":"4052"},{"id":130,"name":"Impact","value":""},{"id":150,"name":"Time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60" t="str">
        <f t="shared" si="15"/>
        <v>start /low /b %USERPROFILE%\Documents\GitHub\eaglep3\Utilities\DownloadLogsFromS3.py --loco 4052 --day 2017-02-01</v>
      </c>
      <c r="AN208" s="16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"%USERPROFILE%\AppData\Local\Temp\OnboardLogs"\RTDC4052\*4052*20170201* | grep -SE "(Enforcement Action)|(\[TIMEOUT)|(CHR.+\|PRM\|1\|D.+(SWITCH|SIGNAL).+UNKNOWN)" - &gt;&gt; 2017-02-01-UncaughtWiMAX.txt</v>
      </c>
    </row>
    <row r="209" spans="1:40" x14ac:dyDescent="0.25">
      <c r="A209" s="33" t="s">
        <v>628</v>
      </c>
      <c r="B209" s="7">
        <v>4016</v>
      </c>
      <c r="C209" s="21" t="s">
        <v>193</v>
      </c>
      <c r="D209" s="21" t="s">
        <v>756</v>
      </c>
      <c r="E209" s="13">
        <v>42767.797384259262</v>
      </c>
      <c r="F209" s="13">
        <v>25568.708333333332</v>
      </c>
      <c r="G209" s="7">
        <v>2</v>
      </c>
      <c r="H209" s="21" t="s">
        <v>757</v>
      </c>
      <c r="I209" s="13">
        <v>25568.708333333332</v>
      </c>
      <c r="J209" s="7">
        <v>0</v>
      </c>
      <c r="K209" s="98" t="str">
        <f>IF(ISEVEN(B209),(B209-1)&amp;"/"&amp;B209,B209&amp;"/"&amp;(B209+1))</f>
        <v>4015/4016</v>
      </c>
      <c r="L209" s="21" t="str">
        <f>VLOOKUP(A209,'Trips&amp;Operators'!$C$1:$G$99999,5,FALSE)</f>
        <v>CRAYTON QUNTRELL</v>
      </c>
      <c r="M209" s="6">
        <f>I209-F209</f>
        <v>0</v>
      </c>
      <c r="N209" s="7">
        <f>24*60*SUM($M209:$M209)</f>
        <v>0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9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-02-01T18:08:14-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93" t="str">
        <f>IF(AA209&lt;IF(AG209="EC",23,5.65),"Y","N")</f>
        <v>Y</v>
      </c>
      <c r="X209" s="193">
        <f>VALUE(LEFT(AD209,4))-VALUE(LEFT(AD208,4))</f>
        <v>1</v>
      </c>
      <c r="Y209" s="62">
        <f>RIGHT(D209,LEN(D209)-4)/10000</f>
        <v>0.05</v>
      </c>
      <c r="Z209" s="62">
        <f>RIGHT(H209,LEN(H209)-4)/10000</f>
        <v>2.3081</v>
      </c>
      <c r="AA209" s="62">
        <f>ABS(Z209-Y209)</f>
        <v>2.2581000000000002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>IF(LEN(A209)=6,"0"&amp;A209,A209)</f>
        <v>0305-01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3"/>
        <v>"%USERPROFILE%\Documents\GitHub\eaglep3\Utilities\RefineRTDCRunTimes.py" --tripid 305-01 --locoid 4016 --swversion DE.1.0.8.0 --startMP 204:500 --initTime 2017-02-01T19:08:14 --startdatetime 1969-12-31T17:00:00 --delay 2 --endMP 300:23081 --enddatetime 1969-12-31T17:00:00 --enforcementcount 0 &gt;&gt;C:\Users\stu\Documents\GitHub\eaglep3-reporting\EC\2017-02-01-refined-times.txt</v>
      </c>
      <c r="AI209" s="108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{"issue":{"subject":"","project_id":79,"tracker_id":40,"status_id":1,"priority_id":2,"assigned_to_id":23,"start_date":"1969-12-31","description":"","custom_fields":[{"id":1,"name":"Subdivision","value":"Other"},{"id":4,"name":"Milepost","value":"2.3081"},{"id":17,"name":"Train ID","value":"305-01"},{"id":16,"name":"Locomotive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60" t="str">
        <f t="shared" si="15"/>
        <v>start /low /b %USERPROFILE%\Documents\GitHub\eaglep3\Utilities\DownloadLogsFromS3.py --loco 4016 --day 1969-12-31</v>
      </c>
      <c r="AN209" s="16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2017-02-01-UncaughtWiMAX.txt</v>
      </c>
    </row>
    <row r="210" spans="1:40" x14ac:dyDescent="0.25">
      <c r="A210" s="33" t="s">
        <v>456</v>
      </c>
      <c r="B210" s="7">
        <v>4021</v>
      </c>
      <c r="C210" s="21" t="s">
        <v>193</v>
      </c>
      <c r="D210" s="21" t="s">
        <v>758</v>
      </c>
      <c r="E210" s="13">
        <v>42767.163101851853</v>
      </c>
      <c r="F210" s="13">
        <v>42767.166365740741</v>
      </c>
      <c r="G210" s="7">
        <v>4</v>
      </c>
      <c r="H210" s="21" t="s">
        <v>678</v>
      </c>
      <c r="I210" s="13">
        <v>42767.172442129631</v>
      </c>
      <c r="J210" s="7">
        <v>0</v>
      </c>
      <c r="K210" s="98" t="str">
        <f>IF(ISEVEN(B210),(B210-1)&amp;"/"&amp;B210,B210&amp;"/"&amp;(B210+1))</f>
        <v>4021/4022</v>
      </c>
      <c r="L210" s="21" t="str">
        <f>VLOOKUP(A210,'Trips&amp;Operators'!$C$1:$G$99999,5,FALSE)</f>
        <v>GEBRETEKLE DAGNEW</v>
      </c>
      <c r="M210" s="6">
        <f>I210-F210</f>
        <v>6.0763888905057684E-3</v>
      </c>
      <c r="N210" s="7">
        <f>24*60*SUM($M210:$M210)</f>
        <v>8.7500000023283064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Southbound</v>
      </c>
      <c r="U210" s="19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-02-01T02:54:52-0700',mode:absolute,to:'2017-02-01T05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193" t="str">
        <f>IF(AA210&lt;IF(AG210="EC",23,5.65),"Y","N")</f>
        <v>Y</v>
      </c>
      <c r="X210" s="193">
        <f>VALUE(LEFT(AD210,4))-VALUE(LEFT(AD209,4))</f>
        <v>1</v>
      </c>
      <c r="Y210" s="62">
        <f>RIGHT(D210,LEN(D210)-4)/10000</f>
        <v>2.3342999999999998</v>
      </c>
      <c r="Z210" s="62">
        <f>RIGHT(H210,LEN(H210)-4)/10000</f>
        <v>1.29E-2</v>
      </c>
      <c r="AA210" s="62">
        <f>ABS(Z210-Y210)</f>
        <v>2.3213999999999997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>IF(LEN(A210)=6,"0"&amp;A210,A210)</f>
        <v>0306-01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s3://rtdc.mdm.uploadarchive.raw/RTDC4021/ "%USERPROFILE%\AppData\Local\Temp\OnboardLogs"\RTDC4021\2017-02-01 --exclude "*" --recursive --include "*20170201*" &amp; "%USERPROFILE%\Documents\GitHub\mrs-test-scripts\Headless Mode &amp; Sideloading\WalkAndUnGZ.bat" "%USERPROFILE%\AppData\Local\Temp\OnboardLogs"\RTDC4021\2017-02-01 &amp; 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/stypes="app*4021*20170201*" /stext=" 11:.+((SYSTEM_STATE.+slice.+state.+changed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3"/>
        <v>"%USERPROFILE%\Documents\GitHub\eaglep3\Utilities\RefineRTDCRunTimes.py" --tripid 306-01 --locoid 4021 --swversion DE.1.0.8.0 --startMP 300:23343 --initTime 2017-02-01T03:54:52 --startdatetime 2017-02-01T03:59:34 --delay 4 --endMP 204:129 --enddatetime 2017-02-01T04:08:19 --enforcementcount 0 &gt;&gt;C:\Users\stu\Documents\GitHub\eaglep3-reporting\EC\2017-02-01-refined-times.txt</v>
      </c>
      <c r="AI210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{"issue":{"subject":"","project_id":79,"tracker_id":40,"status_id":1,"priority_id":2,"assigned_to_id":23,"start_date":"2017-02-01","description":"","custom_fields":[{"id":1,"name":"Subdivision","value":"Other"},{"id":4,"name":"Milepost","value":"0.0129"},{"id":17,"name":"Train ID","value":"306-01"},{"id":16,"name":"Locomotive ID","value":"4021"},{"id":130,"name":"Impact","value":""},{"id":150,"name":"Time of Event (Mountain Time)","value":"04:08:19"},{"id":151,"name":"Denver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60" t="str">
        <f t="shared" si="15"/>
        <v>start /low /b %USERPROFILE%\Documents\GitHub\eaglep3\Utilities\DownloadLogsFromS3.py --loco 4021 --day 2017-02-01</v>
      </c>
      <c r="AN210" s="16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"%USERPROFILE%\AppData\Local\Temp\OnboardLogs"\RTDC4021\*4021*20170201* | grep -SE "(Enforcement Action)|(\[TIMEOUT)|(CHR.+\|PRM\|1\|D.+(SWITCH|SIGNAL).+UNKNOWN)" - &gt;&gt; 2017-02-01-UncaughtWiMAX.txt</v>
      </c>
    </row>
    <row r="211" spans="1:40" x14ac:dyDescent="0.25">
      <c r="A211" s="33" t="s">
        <v>632</v>
      </c>
      <c r="B211" s="7">
        <v>4051</v>
      </c>
      <c r="C211" s="21" t="s">
        <v>193</v>
      </c>
      <c r="D211" s="21" t="s">
        <v>299</v>
      </c>
      <c r="E211" s="13">
        <v>42767.816238425927</v>
      </c>
      <c r="F211" s="13">
        <v>25568.708333333332</v>
      </c>
      <c r="G211" s="7">
        <v>1</v>
      </c>
      <c r="H211" s="21" t="s">
        <v>407</v>
      </c>
      <c r="I211" s="13">
        <v>25568.708333333332</v>
      </c>
      <c r="J211" s="7">
        <v>0</v>
      </c>
      <c r="K211" s="98" t="str">
        <f>IF(ISEVEN(B211),(B211-1)&amp;"/"&amp;B211,B211&amp;"/"&amp;(B211+1))</f>
        <v>4051/4052</v>
      </c>
      <c r="L211" s="21" t="str">
        <f>VLOOKUP(A211,'Trips&amp;Operators'!$C$1:$G$99999,5,FALSE)</f>
        <v>BRANNON JEFFREY</v>
      </c>
      <c r="M211" s="6">
        <f>I211-F211</f>
        <v>0</v>
      </c>
      <c r="N211" s="7">
        <f>24*60*SUM($M211:$M211)</f>
        <v>0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9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-02-01T18:35:23-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193" t="str">
        <f>IF(AA211&lt;IF(AG211="EC",23,5.65),"Y","N")</f>
        <v>Y</v>
      </c>
      <c r="X211" s="193">
        <f>VALUE(LEFT(AD211,4))-VALUE(LEFT(AD210,4))</f>
        <v>1</v>
      </c>
      <c r="Y211" s="62">
        <f>RIGHT(D211,LEN(D211)-4)/10000</f>
        <v>4.4600000000000001E-2</v>
      </c>
      <c r="Z211" s="62">
        <f>RIGHT(H211,LEN(H211)-4)/10000</f>
        <v>2.3346</v>
      </c>
      <c r="AA211" s="62">
        <f>ABS(Z211-Y211)</f>
        <v>2.29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>IF(LEN(A211)=6,"0"&amp;A211,A211)</f>
        <v>0307-01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3"/>
        <v>"%USERPROFILE%\Documents\GitHub\eaglep3\Utilities\RefineRTDCRunTimes.py" --tripid 307-01 --locoid 4051 --swversion DE.1.0.8.0 --startMP 204:446 --initTime 2017-02-01T19:35:23 --startdatetime 1969-12-31T17:00:00 --delay 1 --endMP 300:23346 --enddatetime 1969-12-31T17:00:00 --enforcementcount 0 &gt;&gt;C:\Users\stu\Documents\GitHub\eaglep3-reporting\EC\2017-02-01-refined-times.txt</v>
      </c>
      <c r="AI211" s="108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60" t="str">
        <f t="shared" si="15"/>
        <v>start /low /b %USERPROFILE%\Documents\GitHub\eaglep3\Utilities\DownloadLogsFromS3.py --loco 4051 --day 1969-12-31</v>
      </c>
      <c r="AN211" s="16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2017-02-01-UncaughtWiMAX.txt</v>
      </c>
    </row>
    <row r="212" spans="1:40" x14ac:dyDescent="0.25">
      <c r="A212" s="33" t="s">
        <v>459</v>
      </c>
      <c r="B212" s="7">
        <v>4045</v>
      </c>
      <c r="C212" s="21" t="s">
        <v>193</v>
      </c>
      <c r="D212" s="21" t="s">
        <v>759</v>
      </c>
      <c r="E212" s="13">
        <v>42767.173333333332</v>
      </c>
      <c r="F212" s="13">
        <v>42767.17523148148</v>
      </c>
      <c r="G212" s="7">
        <v>1</v>
      </c>
      <c r="H212" s="21" t="s">
        <v>297</v>
      </c>
      <c r="I212" s="13">
        <v>42767.181643518517</v>
      </c>
      <c r="J212" s="7">
        <v>0</v>
      </c>
      <c r="K212" s="98" t="str">
        <f>IF(ISEVEN(B212),(B212-1)&amp;"/"&amp;B212,B212&amp;"/"&amp;(B212+1))</f>
        <v>4045/4046</v>
      </c>
      <c r="L212" s="21" t="str">
        <f>VLOOKUP(A212,'Trips&amp;Operators'!$C$1:$G$99999,5,FALSE)</f>
        <v>BONDS REYNALDO</v>
      </c>
      <c r="M212" s="6">
        <f>I212-F212</f>
        <v>6.4120370370801538E-3</v>
      </c>
      <c r="N212" s="7">
        <f>24*60*SUM($M212:$M212)</f>
        <v>9.2333333333954215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9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-02-01T03:09:36-0700',mode:absolute,to:'2017-02-01T05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93" t="str">
        <f>IF(AA212&lt;IF(AG212="EC",23,5.65),"Y","N")</f>
        <v>Y</v>
      </c>
      <c r="X212" s="193">
        <f>VALUE(LEFT(AD212,4))-VALUE(LEFT(AD211,4))</f>
        <v>1</v>
      </c>
      <c r="Y212" s="62">
        <f>RIGHT(D212,LEN(D212)-4)/10000</f>
        <v>2.2181000000000002</v>
      </c>
      <c r="Z212" s="62">
        <f>RIGHT(H212,LEN(H212)-4)/10000</f>
        <v>1.5599999999999999E-2</v>
      </c>
      <c r="AA212" s="62">
        <f>ABS(Z212-Y212)</f>
        <v>2.2025000000000001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>IF(LEN(A212)=6,"0"&amp;A212,A212)</f>
        <v>0308-01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AF212" s="8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/stypes="app*4045*20170201*"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3"/>
        <v>"%USERPROFILE%\Documents\GitHub\eaglep3\Utilities\RefineRTDCRunTimes.py" --tripid 308-01 --locoid 4045 --swversion DE.1.0.8.0 --startMP 300:22181 --initTime 2017-02-01T04:09:36 --startdatetime 2017-02-01T04:12:20 --delay 1 --endMP 204:156 --enddatetime 2017-02-01T04:21:34 --enforcementcount 0 &gt;&gt;C:\Users\stu\Documents\GitHub\eaglep3-reporting\EC\2017-02-01-refined-times.txt</v>
      </c>
      <c r="AI212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{"issue":{"subject":"","project_id":79,"tracker_id":40,"status_id":1,"priority_id":2,"assigned_to_id":23,"start_date":"2017-02-01","description":"","custom_fields":[{"id":1,"name":"Subdivision","value":"Other"},{"id":4,"name":"Milepost","value":"0.0156"},{"id":17,"name":"Train ID","value":"308-01"},{"id":16,"name":"Locomotive ID","value":"4045"},{"id":130,"name":"Impact","value":""},{"id":150,"name":"Time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60" t="str">
        <f t="shared" si="15"/>
        <v>start /low /b %USERPROFILE%\Documents\GitHub\eaglep3\Utilities\DownloadLogsFromS3.py --loco 4045 --day 2017-02-01</v>
      </c>
      <c r="AN212" s="16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"%USERPROFILE%\AppData\Local\Temp\OnboardLogs"\RTDC4045\*4045*20170201* | grep -SE "(Enforcement Action)|(\[TIMEOUT)|(CHR.+\|PRM\|1\|D.+(SWITCH|SIGNAL).+UNKNOWN)" - &gt;&gt; 2017-02-01-UncaughtWiMAX.txt</v>
      </c>
    </row>
    <row r="213" spans="1:40" x14ac:dyDescent="0.25">
      <c r="A213" s="33" t="s">
        <v>661</v>
      </c>
      <c r="B213" s="7">
        <v>4029</v>
      </c>
      <c r="C213" s="21" t="s">
        <v>193</v>
      </c>
      <c r="D213" s="21" t="s">
        <v>213</v>
      </c>
      <c r="E213" s="13">
        <v>42768.047314814816</v>
      </c>
      <c r="F213" s="13">
        <v>25568.708333333332</v>
      </c>
      <c r="G213" s="7">
        <v>3</v>
      </c>
      <c r="H213" s="21" t="s">
        <v>754</v>
      </c>
      <c r="I213" s="13">
        <v>25568.708333333332</v>
      </c>
      <c r="J213" s="7">
        <v>0</v>
      </c>
      <c r="K213" s="98" t="str">
        <f>IF(ISEVEN(B213),(B213-1)&amp;"/"&amp;B213,B213&amp;"/"&amp;(B213+1))</f>
        <v>4029/4030</v>
      </c>
      <c r="L213" s="21" t="str">
        <f>VLOOKUP(A213,'Trips&amp;Operators'!$C$1:$G$99999,5,FALSE)</f>
        <v>DELGADO DIANAH</v>
      </c>
      <c r="M213" s="6">
        <f>I213-F213</f>
        <v>0</v>
      </c>
      <c r="N213" s="7">
        <f>24*60*SUM($M213:$M213)</f>
        <v>0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9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-02-02T00:08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3" t="str">
        <f>IF(AA213&lt;IF(AG213="EC",23,5.65),"Y","N")</f>
        <v>Y</v>
      </c>
      <c r="X213" s="193">
        <f>VALUE(LEFT(AD213,4))-VALUE(LEFT(AD212,4))</f>
        <v>1</v>
      </c>
      <c r="Y213" s="62">
        <f>RIGHT(D213,LEN(D213)-4)/10000</f>
        <v>4.4900000000000002E-2</v>
      </c>
      <c r="Z213" s="62">
        <f>RIGHT(H213,LEN(H213)-4)/10000</f>
        <v>2.3302</v>
      </c>
      <c r="AA213" s="62">
        <f>ABS(Z213-Y213)</f>
        <v>2.2852999999999999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>IF(LEN(A213)=6,"0"&amp;A213,A213)</f>
        <v>0309-01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3" s="8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3"/>
        <v>"%USERPROFILE%\Documents\GitHub\eaglep3\Utilities\RefineRTDCRunTimes.py" --tripid 309-01 --locoid 4029 --swversion DE.1.0.8.0 --startMP 204:449 --initTime 2017-02-02T01:08:08 --startdatetime 1969-12-31T17:00:00 --delay 3 --endMP 300:23302 --enddatetime 1969-12-31T17:00:00 --enforcementcount 0 &gt;&gt;C:\Users\stu\Documents\GitHub\eaglep3-reporting\EC\2017-02-01-refined-times.txt</v>
      </c>
      <c r="AI213" s="108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ID","value":"309-01"},{"id":16,"name":"Locomotive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60" t="str">
        <f t="shared" si="15"/>
        <v>start /low /b %USERPROFILE%\Documents\GitHub\eaglep3\Utilities\DownloadLogsFromS3.py --loco 4029 --day 1969-12-31</v>
      </c>
      <c r="AN213" s="16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2017-02-01-UncaughtWiMAX.txt</v>
      </c>
    </row>
    <row r="214" spans="1:40" x14ac:dyDescent="0.25">
      <c r="A214" s="33" t="s">
        <v>462</v>
      </c>
      <c r="B214" s="7">
        <v>4012</v>
      </c>
      <c r="C214" s="21" t="s">
        <v>193</v>
      </c>
      <c r="D214" s="21" t="s">
        <v>760</v>
      </c>
      <c r="E214" s="13">
        <v>42767.180486111109</v>
      </c>
      <c r="F214" s="13">
        <v>42767.187824074077</v>
      </c>
      <c r="G214" s="7">
        <v>10</v>
      </c>
      <c r="H214" s="21" t="s">
        <v>269</v>
      </c>
      <c r="I214" s="13">
        <v>42767.194016203706</v>
      </c>
      <c r="J214" s="7">
        <v>0</v>
      </c>
      <c r="K214" s="98" t="str">
        <f>IF(ISEVEN(B214),(B214-1)&amp;"/"&amp;B214,B214&amp;"/"&amp;(B214+1))</f>
        <v>4011/4012</v>
      </c>
      <c r="L214" s="21" t="str">
        <f>VLOOKUP(A214,'Trips&amp;Operators'!$C$1:$G$99999,5,FALSE)</f>
        <v>OUN ZACK</v>
      </c>
      <c r="M214" s="6">
        <f>I214-F214</f>
        <v>6.1921296291984618E-3</v>
      </c>
      <c r="N214" s="7">
        <f>24*60*SUM($M214:$M214)</f>
        <v>8.916666666045785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Southbound</v>
      </c>
      <c r="U214" s="19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-02-01T03:19:54-0700',mode:absolute,to:'2017-02-01T05:39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3" t="str">
        <f>IF(AA214&lt;IF(AG214="EC",23,5.65),"Y","N")</f>
        <v>Y</v>
      </c>
      <c r="X214" s="193">
        <f>VALUE(LEFT(AD214,4))-VALUE(LEFT(AD213,4))</f>
        <v>1</v>
      </c>
      <c r="Y214" s="62">
        <f>RIGHT(D214,LEN(D214)-4)/10000</f>
        <v>2.3191999999999999</v>
      </c>
      <c r="Z214" s="62">
        <f>RIGHT(H214,LEN(H214)-4)/10000</f>
        <v>1.41E-2</v>
      </c>
      <c r="AA214" s="62">
        <f>ABS(Z214-Y214)</f>
        <v>2.3050999999999999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>IF(LEN(A214)=6,"0"&amp;A214,A214)</f>
        <v>0310-01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 &amp; 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</v>
      </c>
      <c r="AF214" s="8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/stypes="app*4012*20170201*" /stext=" 11:.+((SYSTEM_STATE.+slice.+state.+changed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3"/>
        <v>"%USERPROFILE%\Documents\GitHub\eaglep3\Utilities\RefineRTDCRunTimes.py" --tripid 310-01 --locoid 4012 --swversion DE.1.0.8.0 --startMP 300:23192 --initTime 2017-02-01T04:19:54 --startdatetime 2017-02-01T04:30:28 --delay 10 --endMP 204:141 --enddatetime 2017-02-01T04:39:23 --enforcementcount 0 &gt;&gt;C:\Users\stu\Documents\GitHub\eaglep3-reporting\EC\2017-02-01-refined-times.txt</v>
      </c>
      <c r="AI214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{"issue":{"subject":"","project_id":79,"tracker_id":40,"status_id":1,"priority_id":2,"assigned_to_id":23,"start_date":"2017-02-01","description":"","custom_fields":[{"id":1,"name":"Subdivision","value":"Other"},{"id":4,"name":"Milepost","value":"0.0141"},{"id":17,"name":"Train ID","value":"310-01"},{"id":16,"name":"Locomotive ID","value":"4012"},{"id":130,"name":"Impact","value":""},{"id":150,"name":"Time of Event (Mountain Time)","value":"04:39:23"},{"id":151,"name":"Denver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60" t="str">
        <f t="shared" si="15"/>
        <v>start /low /b %USERPROFILE%\Documents\GitHub\eaglep3\Utilities\DownloadLogsFromS3.py --loco 4012 --day 2017-02-01</v>
      </c>
      <c r="AN214" s="16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2017-02-01-UncaughtWiMAX.txt</v>
      </c>
    </row>
    <row r="215" spans="1:40" x14ac:dyDescent="0.25">
      <c r="A215" s="33" t="s">
        <v>665</v>
      </c>
      <c r="B215" s="7">
        <v>4042</v>
      </c>
      <c r="C215" s="21" t="s">
        <v>193</v>
      </c>
      <c r="D215" s="21" t="s">
        <v>282</v>
      </c>
      <c r="E215" s="13">
        <v>42768.077569444446</v>
      </c>
      <c r="F215" s="13">
        <v>42768.079432870371</v>
      </c>
      <c r="G215" s="7">
        <v>1</v>
      </c>
      <c r="H215" s="21" t="s">
        <v>761</v>
      </c>
      <c r="I215" s="13">
        <v>42768.079687500001</v>
      </c>
      <c r="J215" s="7">
        <v>0</v>
      </c>
      <c r="K215" s="98" t="str">
        <f>IF(ISEVEN(B215),(B215-1)&amp;"/"&amp;B215,B215&amp;"/"&amp;(B215+1))</f>
        <v>4041/4042</v>
      </c>
      <c r="L215" s="21" t="str">
        <f>VLOOKUP(A215,'Trips&amp;Operators'!$C$1:$G$99999,5,FALSE)</f>
        <v>BROWN JACOB</v>
      </c>
      <c r="M215" s="6">
        <f>I215-F215</f>
        <v>2.546296309446916E-4</v>
      </c>
      <c r="N215" s="7">
        <f>24*60*SUM($M215:$M215)</f>
        <v>0.3666666685603559</v>
      </c>
      <c r="O215" s="7"/>
      <c r="P215" s="7"/>
      <c r="Q215" s="22"/>
      <c r="R215" s="22" t="s">
        <v>871</v>
      </c>
      <c r="S215" s="31">
        <f>SUM(U215:U215)/IF(AG215="EC",12,1)</f>
        <v>0</v>
      </c>
      <c r="T215" s="46" t="str">
        <f>IF(ISEVEN(LEFT(AD215,4)),"Southbound","NorthBound")</f>
        <v>NorthBound</v>
      </c>
      <c r="U215" s="19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-02-02T00:51:42-0700',mode:absolute,to:'2017-02-02T02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93" t="str">
        <f>IF(AA215&lt;IF(AG215="EC",23,5.65),"Y","N")</f>
        <v>Y</v>
      </c>
      <c r="X215" s="193">
        <f>VALUE(LEFT(AD215,4))-VALUE(LEFT(AD214,4))</f>
        <v>3</v>
      </c>
      <c r="Y215" s="62">
        <f>RIGHT(D215,LEN(D215)-4)/10000</f>
        <v>4.53E-2</v>
      </c>
      <c r="Z215" s="62">
        <f>RIGHT(H215,LEN(H215)-4)/10000</f>
        <v>0.10100000000000001</v>
      </c>
      <c r="AA215" s="62">
        <f>ABS(Z215-Y215)</f>
        <v>5.5700000000000006E-2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>IF(LEN(A215)=6,"0"&amp;A215,A215)</f>
        <v>0313-01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 &amp; aws s3 cp s3://rtdc.mdm.uploadarchive.raw/RTDC4042/ "%USERPROFILE%\AppData\Local\Temp\OnboardLogs"\RTDC4042\2017-02-03 --exclude "*" --recursive --include "*20170203*" &amp; "%USERPROFILE%\Documents\GitHub\mrs-test-scripts\Headless Mode &amp; Sideloading\WalkAndUnGZ.bat" "%USERPROFILE%\AppData\Local\Temp\OnboardLogs"\RTDC4042\2017-02-03</v>
      </c>
      <c r="AF215" s="8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/stypes="app*4042*20170202*" /stext=" 08:.+((SYSTEM_STATE.+slice.+state.+changed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3"/>
        <v>"%USERPROFILE%\Documents\GitHub\eaglep3\Utilities\RefineRTDCRunTimes.py" --tripid 313-01 --locoid 4042 --swversion DE.1.0.8.0 --startMP 204:453 --initTime 2017-02-02T01:51:42 --startdatetime 2017-02-02T01:54:23 --delay 1 --endMP 204:1010 --enddatetime 2017-02-02T01:54:45 --enforcementcount 0 &gt;&gt;C:\Users\stu\Documents\GitHub\eaglep3-reporting\EC\2017-02-01-refined-times.txt</v>
      </c>
      <c r="AI215" s="108" t="str">
        <f t="shared" si="14"/>
        <v>echo {"issue":{"subject":"Selected MAIN 1, train was on MAIN 2","project_id":79,"tracker_id":40,"status_id":1,"priority_id":2,"assigned_to_id":23,"start_date":"2017-02-02","description":"","custom_fields":[{"id":1,"name":"Subdivision","value":"Other"},{"id":4,"name":"Milepost","value":"0.101"},{"id":17,"name":"Train ID","value":"313-01"},{"id":16,"name":"Locomotive ID","value":"4042"},{"id":130,"name":"Impact","value":""},{"id":150,"name":"Time of Event (Mountain Time)","value":"01:54:45"},{"id":151,"name":"Denver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60" t="str">
        <f t="shared" si="15"/>
        <v>start /low /b %USERPROFILE%\Documents\GitHub\eaglep3\Utilities\DownloadLogsFromS3.py --loco 4042 --day 2017-02-02</v>
      </c>
      <c r="AN215" s="16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2017-02-01-UncaughtWiMAX.txt</v>
      </c>
    </row>
    <row r="216" spans="1:40" x14ac:dyDescent="0.25">
      <c r="A216" s="33" t="s">
        <v>377</v>
      </c>
      <c r="B216" s="7">
        <v>4027</v>
      </c>
      <c r="C216" s="21" t="s">
        <v>193</v>
      </c>
      <c r="D216" s="21" t="s">
        <v>408</v>
      </c>
      <c r="E216" s="13">
        <v>42767.088576388887</v>
      </c>
      <c r="F216" s="13">
        <v>42767.094398148147</v>
      </c>
      <c r="G216" s="7">
        <v>6</v>
      </c>
      <c r="H216" s="21" t="s">
        <v>409</v>
      </c>
      <c r="I216" s="13">
        <v>42767.097453703704</v>
      </c>
      <c r="J216" s="7">
        <v>0</v>
      </c>
      <c r="K216" s="98" t="str">
        <f>IF(ISEVEN(B216),(B216-1)&amp;"/"&amp;B216,B216&amp;"/"&amp;(B216+1))</f>
        <v>4027/4028</v>
      </c>
      <c r="L216" s="21" t="str">
        <f>VLOOKUP(A216,'Trips&amp;Operators'!$C$1:$G$99999,5,FALSE)</f>
        <v>STAMBAUGH JAMES</v>
      </c>
      <c r="M216" s="6">
        <f>I216-F216</f>
        <v>3.055555556784384E-3</v>
      </c>
      <c r="N216" s="7">
        <f>24*60*SUM($M216:$M216)</f>
        <v>4.4000000017695129</v>
      </c>
      <c r="O216" s="7"/>
      <c r="P216" s="7"/>
      <c r="Q216" s="22"/>
      <c r="R216" s="22"/>
      <c r="S216" s="31">
        <f>SUM(U216:U216)/IF(AG216="EC",12,1)</f>
        <v>0</v>
      </c>
      <c r="T216" s="46" t="str">
        <f>IF(ISEVEN(LEFT(AD216,4)),"Southbound","NorthBound")</f>
        <v>NorthBound</v>
      </c>
      <c r="U216" s="19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-02-01T01:07:33-0700',mode:absolute,to:'2017-02-01T03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193" t="str">
        <f>IF(AA216&lt;IF(AG216="EC",23,5.65),"Y","N")</f>
        <v>Y</v>
      </c>
      <c r="X216" s="193">
        <f>VALUE(LEFT(AD216,4))-VALUE(LEFT(AD215,4))</f>
        <v>2</v>
      </c>
      <c r="Y216" s="62">
        <f>RIGHT(D216,LEN(D216)-4)/10000</f>
        <v>5.3699999999999998E-2</v>
      </c>
      <c r="Z216" s="62">
        <f>RIGHT(H216,LEN(H216)-4)/10000</f>
        <v>0.15390000000000001</v>
      </c>
      <c r="AA216" s="62">
        <f>ABS(Z216-Y216)</f>
        <v>0.10020000000000001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>IF(LEN(A216)=6,"0"&amp;A216,A216)</f>
        <v>0315-31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 &amp; 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</v>
      </c>
      <c r="AF216" s="8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/stypes="app*4027*20170201*" /stext=" 09:.+((SYSTEM_STATE.+slice.+state.+changed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3"/>
        <v>"%USERPROFILE%\Documents\GitHub\eaglep3\Utilities\RefineRTDCRunTimes.py" --tripid 315-31 --locoid 4027 --swversion DE.1.0.8.0 --startMP 204:537 --initTime 2017-02-01T02:07:33 --startdatetime 2017-02-01T02:15:56 --delay 6 --endMP 204:1539 --enddatetime 2017-02-01T02:20:20 --enforcementcount 0 &gt;&gt;C:\Users\stu\Documents\GitHub\eaglep3-reporting\EC\2017-02-01-refined-times.txt</v>
      </c>
      <c r="AI216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{"issue":{"subject":"","project_id":79,"tracker_id":40,"status_id":1,"priority_id":2,"assigned_to_id":23,"start_date":"2017-02-01","description":"","custom_fields":[{"id":1,"name":"Subdivision","value":"Other"},{"id":4,"name":"Milepost","value":"0.1539"},{"id":17,"name":"Train ID","value":"315-31"},{"id":16,"name":"Locomotive ID","value":"4027"},{"id":130,"name":"Impact","value":""},{"id":150,"name":"Time of Event (Mountain Time)","value":"02:20:20"},{"id":151,"name":"Denver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60" t="str">
        <f t="shared" si="15"/>
        <v>start /low /b %USERPROFILE%\Documents\GitHub\eaglep3\Utilities\DownloadLogsFromS3.py --loco 4027 --day 2017-02-01</v>
      </c>
      <c r="AN216" s="16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2017-02-01-UncaughtWiMAX.txt</v>
      </c>
    </row>
    <row r="217" spans="1:40" x14ac:dyDescent="0.25">
      <c r="A217" s="33" t="s">
        <v>465</v>
      </c>
      <c r="B217" s="7">
        <v>4025</v>
      </c>
      <c r="C217" s="21" t="s">
        <v>193</v>
      </c>
      <c r="D217" s="21" t="s">
        <v>832</v>
      </c>
      <c r="E217" s="13">
        <v>42767.204108796293</v>
      </c>
      <c r="F217" s="13">
        <v>42767.208078703705</v>
      </c>
      <c r="G217" s="7">
        <v>5</v>
      </c>
      <c r="H217" s="21" t="s">
        <v>419</v>
      </c>
      <c r="I217" s="13">
        <v>42767.213796296295</v>
      </c>
      <c r="J217" s="7">
        <v>0</v>
      </c>
      <c r="K217" s="98" t="str">
        <f>IF(ISEVEN(B217),(B217-1)&amp;"/"&amp;B217,B217&amp;"/"&amp;(B217+1))</f>
        <v>4025/4026</v>
      </c>
      <c r="L217" s="21" t="str">
        <f>VLOOKUP(A217,'Trips&amp;Operators'!$C$1:$G$99999,5,FALSE)</f>
        <v>YORK EDGAR</v>
      </c>
      <c r="M217" s="6">
        <f>I217-F217</f>
        <v>5.7175925903720781E-3</v>
      </c>
      <c r="N217" s="7">
        <f>24*60*SUM($M217:$M217)</f>
        <v>8.2333333301357925</v>
      </c>
      <c r="O217" s="7"/>
      <c r="P217" s="7"/>
      <c r="Q217" s="22"/>
      <c r="R217" s="22"/>
      <c r="S217" s="31">
        <f>SUM(U217:U217)/IF(AG217="EC",12,1)</f>
        <v>0</v>
      </c>
      <c r="T217" s="46" t="str">
        <f>IF(ISEVEN(LEFT(AD217,4)),"Southbound","NorthBound")</f>
        <v>NorthBound</v>
      </c>
      <c r="U217" s="19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-02-01T03:53:55-0700',mode:absolute,to:'2017-02-01T06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193" t="str">
        <f>IF(AA217&lt;IF(AG217="EC",23,5.65),"Y","N")</f>
        <v>Y</v>
      </c>
      <c r="X217" s="193">
        <f>VALUE(LEFT(AD217,4))-VALUE(LEFT(AD216,4))</f>
        <v>586</v>
      </c>
      <c r="Y217" s="62">
        <f>RIGHT(D217,LEN(D217)-4)/10000</f>
        <v>2.9980000000000002</v>
      </c>
      <c r="Z217" s="62">
        <f>RIGHT(H217,LEN(H217)-4)/10000</f>
        <v>5.8945999999999996</v>
      </c>
      <c r="AA217" s="62">
        <f>ABS(Z217-Y217)</f>
        <v>2.8965999999999994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>IF(LEN(A217)=6,"0"&amp;A217,A217)</f>
        <v>0901-01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217" s="8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/stypes="app*4025*20170201*" /stext=" 12:.+((SYSTEM_STATE.+slice.+state.+changed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3"/>
        <v>"%USERPROFILE%\Documents\GitHub\eaglep3\Utilities\RefineRTDCRunTimes.py" --tripid 901-01 --locoid 4025 --swversion DE.1.0.8.0 --startMP 300:29980 --initTime 2017-02-01T04:53:55 --startdatetime 2017-02-01T04:59:38 --delay 5 --endMP 300:58946 --enddatetime 2017-02-01T05:07:52 --enforcementcount 0 &gt;&gt;C:\Users\stu\Documents\GitHub\eaglep3-reporting\EC\2017-02-01-refined-times.txt</v>
      </c>
      <c r="AI217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{"issue":{"subject":"","project_id":79,"tracker_id":40,"status_id":1,"priority_id":2,"assigned_to_id":23,"start_date":"2017-02-01","description":"","custom_fields":[{"id":1,"name":"Subdivision","value":"Other"},{"id":4,"name":"Milepost","value":"5.8946"},{"id":17,"name":"Train ID","value":"901-01"},{"id":16,"name":"Locomotive ID","value":"4025"},{"id":130,"name":"Impact","value":""},{"id":150,"name":"Time of Event (Mountain Time)","value":"05:07:52"},{"id":151,"name":"Denver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60" t="str">
        <f t="shared" si="15"/>
        <v>start /low /b %USERPROFILE%\Documents\GitHub\eaglep3\Utilities\DownloadLogsFromS3.py --loco 4025 --day 2017-02-01</v>
      </c>
      <c r="AN217" s="16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</row>
    <row r="218" spans="1:40" x14ac:dyDescent="0.25">
      <c r="A218" s="33" t="s">
        <v>479</v>
      </c>
      <c r="B218" s="7">
        <v>4043</v>
      </c>
      <c r="C218" s="21" t="s">
        <v>193</v>
      </c>
      <c r="D218" s="21" t="s">
        <v>833</v>
      </c>
      <c r="E218" s="13">
        <v>42767.249571759261</v>
      </c>
      <c r="F218" s="13">
        <v>42767.252430555556</v>
      </c>
      <c r="G218" s="7">
        <v>3</v>
      </c>
      <c r="H218" s="21" t="s">
        <v>425</v>
      </c>
      <c r="I218" s="13">
        <v>42767.258842592593</v>
      </c>
      <c r="J218" s="7">
        <v>0</v>
      </c>
      <c r="K218" s="98" t="str">
        <f>IF(ISEVEN(B218),(B218-1)&amp;"/"&amp;B218,B218&amp;"/"&amp;(B218+1))</f>
        <v>4043/4044</v>
      </c>
      <c r="L218" s="21" t="str">
        <f>VLOOKUP(A218,'Trips&amp;Operators'!$C$1:$G$99999,5,FALSE)</f>
        <v>LOZA FIDEL</v>
      </c>
      <c r="M218" s="6">
        <f>I218-F218</f>
        <v>6.4120370370801538E-3</v>
      </c>
      <c r="N218" s="7">
        <f>24*60*SUM($M218:$M218)</f>
        <v>9.2333333333954215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Southbound</v>
      </c>
      <c r="U218" s="19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-02-01T04:59:23-0700',mode:absolute,to:'2017-02-01T07:12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193" t="str">
        <f>IF(AA218&lt;IF(AG218="EC",23,5.65),"Y","N")</f>
        <v>Y</v>
      </c>
      <c r="X218" s="193">
        <f>VALUE(LEFT(AD218,4))-VALUE(LEFT(AD217,4))</f>
        <v>1</v>
      </c>
      <c r="Y218" s="62">
        <f>RIGHT(D218,LEN(D218)-4)/10000</f>
        <v>2.3338000000000001</v>
      </c>
      <c r="Z218" s="62">
        <f>RIGHT(H218,LEN(H218)-4)/10000</f>
        <v>6.6299999999999998E-2</v>
      </c>
      <c r="AA218" s="62">
        <f>ABS(Z218-Y218)</f>
        <v>2.2675000000000001</v>
      </c>
      <c r="AB218" s="59" t="e">
        <f>VLOOKUP(A218,Enforcements!$C$7:$K$16,8,0)</f>
        <v>#N/A</v>
      </c>
      <c r="AC218" s="55" t="e">
        <f>VLOOKUP(A218,Enforcements!$C$7:$E$16,3,0)</f>
        <v>#N/A</v>
      </c>
      <c r="AD218" s="56" t="str">
        <f>IF(LEN(A218)=6,"0"&amp;A218,A218)</f>
        <v>0902-01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218" s="8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/stypes="app*4043*20170201*" /stext=" 13:.+((SYSTEM_STATE.+slice.+state.+changed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3"/>
        <v>"%USERPROFILE%\Documents\GitHub\eaglep3\Utilities\RefineRTDCRunTimes.py" --tripid 902-01 --locoid 4043 --swversion DE.1.0.8.0 --startMP 300:23338 --initTime 2017-02-01T05:59:23 --startdatetime 2017-02-01T06:03:30 --delay 3 --endMP 204:663 --enddatetime 2017-02-01T06:12:44 --enforcementcount 0 &gt;&gt;C:\Users\stu\Documents\GitHub\eaglep3-reporting\EC\2017-02-01-refined-times.txt</v>
      </c>
      <c r="AI218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{"issue":{"subject":"","project_id":79,"tracker_id":40,"status_id":1,"priority_id":2,"assigned_to_id":23,"start_date":"2017-02-01","description":"","custom_fields":[{"id":1,"name":"Subdivision","value":"Other"},{"id":4,"name":"Milepost","value":"0.0663"},{"id":17,"name":"Train ID","value":"902-01"},{"id":16,"name":"Locomotive ID","value":"4043"},{"id":130,"name":"Impact","value":""},{"id":150,"name":"Time of Event (Mountain Time)","value":"06:12:44"},{"id":151,"name":"Denver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60" t="str">
        <f t="shared" si="15"/>
        <v>start /low /b %USERPROFILE%\Documents\GitHub\eaglep3\Utilities\DownloadLogsFromS3.py --loco 4043 --day 2017-02-01</v>
      </c>
      <c r="AN218" s="16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"%USERPROFILE%\AppData\Local\Temp\OnboardLogs"\RTDC4043\*4043*20170201* | grep -SE "(Enforcement Action)|(\[TIMEOUT)|(CHR.+\|PRM\|1\|D.+(SWITCH|SIGNAL).+UNKNOWN)" - &gt;&gt; 2017-02-01-UncaughtWiMAX.txt</v>
      </c>
    </row>
    <row r="219" spans="1:40" x14ac:dyDescent="0.25">
      <c r="A219" s="33" t="s">
        <v>505</v>
      </c>
      <c r="B219" s="7">
        <v>4025</v>
      </c>
      <c r="C219" s="21" t="s">
        <v>193</v>
      </c>
      <c r="D219" s="21" t="s">
        <v>834</v>
      </c>
      <c r="E219" s="13">
        <v>42767.351909722223</v>
      </c>
      <c r="F219" s="13">
        <v>42767.35297453704</v>
      </c>
      <c r="G219" s="7">
        <v>0</v>
      </c>
      <c r="H219" s="21" t="s">
        <v>835</v>
      </c>
      <c r="I219" s="13">
        <v>42767.358483796299</v>
      </c>
      <c r="J219" s="7">
        <v>0</v>
      </c>
      <c r="K219" s="98" t="str">
        <f>IF(ISEVEN(B219),(B219-1)&amp;"/"&amp;B219,B219&amp;"/"&amp;(B219+1))</f>
        <v>4025/4026</v>
      </c>
      <c r="L219" s="21" t="str">
        <f>VLOOKUP(A219,'Trips&amp;Operators'!$C$1:$G$99999,5,FALSE)</f>
        <v>YORK EDGAR</v>
      </c>
      <c r="M219" s="6">
        <f>I219-F219</f>
        <v>5.5092592592700385E-3</v>
      </c>
      <c r="N219" s="7">
        <f>24*60*SUM($M219:$M219)</f>
        <v>7.9333333333488554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NorthBound</v>
      </c>
      <c r="U219" s="19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-02-01T07:26:45-0700',mode:absolute,to:'2017-02-01T09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193" t="str">
        <f>IF(AA219&lt;IF(AG219="EC",23,5.65),"Y","N")</f>
        <v>Y</v>
      </c>
      <c r="X219" s="193">
        <f>VALUE(LEFT(AD219,4))-VALUE(LEFT(AD218,4))</f>
        <v>1</v>
      </c>
      <c r="Y219" s="62">
        <f>RIGHT(D219,LEN(D219)-4)/10000</f>
        <v>0.1116</v>
      </c>
      <c r="Z219" s="62">
        <f>RIGHT(H219,LEN(H219)-4)/10000</f>
        <v>2.4232999999999998</v>
      </c>
      <c r="AA219" s="62">
        <f>ABS(Z219-Y219)</f>
        <v>2.3116999999999996</v>
      </c>
      <c r="AB219" s="59" t="e">
        <f>VLOOKUP(A219,Enforcements!$C$7:$K$16,8,0)</f>
        <v>#N/A</v>
      </c>
      <c r="AC219" s="55" t="e">
        <f>VLOOKUP(A219,Enforcements!$C$7:$E$16,3,0)</f>
        <v>#N/A</v>
      </c>
      <c r="AD219" s="56" t="str">
        <f>IF(LEN(A219)=6,"0"&amp;A219,A219)</f>
        <v>0903-01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AF219" s="8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/stypes="app*4025*20170201*" /stext=" 15:.+((SYSTEM_STATE.+slice.+state.+changed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3"/>
        <v>"%USERPROFILE%\Documents\GitHub\eaglep3\Utilities\RefineRTDCRunTimes.py" --tripid 903-01 --locoid 4025 --swversion DE.1.0.8.0 --startMP 204:1116 --initTime 2017-02-01T08:26:45 --startdatetime 2017-02-01T08:28:17 --delay 0 --endMP 300:24233 --enddatetime 2017-02-01T08:36:13 --enforcementcount 0 &gt;&gt;C:\Users\stu\Documents\GitHub\eaglep3-reporting\EC\2017-02-01-refined-times.txt</v>
      </c>
      <c r="AI219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{"issue":{"subject":"","project_id":79,"tracker_id":40,"status_id":1,"priority_id":2,"assigned_to_id":23,"start_date":"2017-02-01","description":"","custom_fields":[{"id":1,"name":"Subdivision","value":"Other"},{"id":4,"name":"Milepost","value":"2.4233"},{"id":17,"name":"Train ID","value":"903-01"},{"id":16,"name":"Locomotive ID","value":"4025"},{"id":130,"name":"Impact","value":""},{"id":150,"name":"Time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60" t="str">
        <f t="shared" si="15"/>
        <v>start /low /b %USERPROFILE%\Documents\GitHub\eaglep3\Utilities\DownloadLogsFromS3.py --loco 4025 --day 2017-02-01</v>
      </c>
      <c r="AN219" s="16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2017-02-01-UncaughtWiMAX.txt</v>
      </c>
    </row>
    <row r="220" spans="1:40" x14ac:dyDescent="0.25">
      <c r="A220" s="33" t="s">
        <v>440</v>
      </c>
      <c r="B220" s="7">
        <v>4026</v>
      </c>
      <c r="C220" s="21" t="s">
        <v>193</v>
      </c>
      <c r="D220" s="21" t="s">
        <v>836</v>
      </c>
      <c r="E220" s="13">
        <v>42767.646053240744</v>
      </c>
      <c r="F220" s="13">
        <v>42767.647314814814</v>
      </c>
      <c r="G220" s="7">
        <v>1</v>
      </c>
      <c r="H220" s="21" t="s">
        <v>777</v>
      </c>
      <c r="I220" s="13">
        <v>42767.652974537035</v>
      </c>
      <c r="J220" s="7">
        <v>0</v>
      </c>
      <c r="K220" s="98" t="str">
        <f>IF(ISEVEN(B220),(B220-1)&amp;"/"&amp;B220,B220&amp;"/"&amp;(B220+1))</f>
        <v>4025/4026</v>
      </c>
      <c r="L220" s="21" t="str">
        <f>VLOOKUP(A220,'Trips&amp;Operators'!$C$1:$G$99999,5,FALSE)</f>
        <v>STRICKLAND EVAN</v>
      </c>
      <c r="M220" s="6">
        <f>I220-F220</f>
        <v>5.6597222210257314E-3</v>
      </c>
      <c r="N220" s="7">
        <f>24*60*SUM($M220:$M220)</f>
        <v>8.1499999982770532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Southbound</v>
      </c>
      <c r="U220" s="19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-02-01T14:30:19-0700',mode:absolute,to:'2017-02-01T16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193" t="str">
        <f>IF(AA220&lt;IF(AG220="EC",23,5.65),"Y","N")</f>
        <v>Y</v>
      </c>
      <c r="X220" s="193">
        <f>VALUE(LEFT(AD220,4))-VALUE(LEFT(AD219,4))</f>
        <v>1</v>
      </c>
      <c r="Y220" s="62">
        <f>RIGHT(D220,LEN(D220)-4)/10000</f>
        <v>2.1373000000000002</v>
      </c>
      <c r="Z220" s="62">
        <f>RIGHT(H220,LEN(H220)-4)/10000</f>
        <v>7.3599999999999999E-2</v>
      </c>
      <c r="AA220" s="62">
        <f>ABS(Z220-Y220)</f>
        <v>2.0637000000000003</v>
      </c>
      <c r="AB220" s="59" t="e">
        <f>VLOOKUP(A220,Enforcements!$C$7:$K$16,8,0)</f>
        <v>#N/A</v>
      </c>
      <c r="AC220" s="55" t="e">
        <f>VLOOKUP(A220,Enforcements!$C$7:$E$16,3,0)</f>
        <v>#N/A</v>
      </c>
      <c r="AD220" s="56" t="str">
        <f>IF(LEN(A220)=6,"0"&amp;A220,A220)</f>
        <v>0904-01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220" s="8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/stypes="app*4026*20170201*" /stext=" 22:.+((SYSTEM_STATE.+slice.+state.+changed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3"/>
        <v>"%USERPROFILE%\Documents\GitHub\eaglep3\Utilities\RefineRTDCRunTimes.py" --tripid 904-01 --locoid 4026 --swversion DE.1.0.8.0 --startMP 300:21373 --initTime 2017-02-01T15:30:19 --startdatetime 2017-02-01T15:32:08 --delay 1 --endMP 204:736 --enddatetime 2017-02-01T15:40:17 --enforcementcount 0 &gt;&gt;C:\Users\stu\Documents\GitHub\eaglep3-reporting\EC\2017-02-01-refined-times.txt</v>
      </c>
      <c r="AI220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{"issue":{"subject":"","project_id":79,"tracker_id":40,"status_id":1,"priority_id":2,"assigned_to_id":23,"start_date":"2017-02-01","description":"","custom_fields":[{"id":1,"name":"Subdivision","value":"Other"},{"id":4,"name":"Milepost","value":"0.0736"},{"id":17,"name":"Train ID","value":"904-01"},{"id":16,"name":"Locomotive ID","value":"4026"},{"id":130,"name":"Impact","value":""},{"id":150,"name":"Time of Event (Mountain Time)","value":"15:40:17"},{"id":151,"name":"Denver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60" t="str">
        <f t="shared" si="15"/>
        <v>start /low /b %USERPROFILE%\Documents\GitHub\eaglep3\Utilities\DownloadLogsFromS3.py --loco 4026 --day 2017-02-01</v>
      </c>
      <c r="AN220" s="16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</row>
    <row r="221" spans="1:40" x14ac:dyDescent="0.25">
      <c r="A221" s="33" t="s">
        <v>440</v>
      </c>
      <c r="B221" s="7">
        <v>4026</v>
      </c>
      <c r="C221" s="21" t="s">
        <v>193</v>
      </c>
      <c r="D221" s="21" t="s">
        <v>837</v>
      </c>
      <c r="E221" s="13">
        <v>42767.640335648146</v>
      </c>
      <c r="F221" s="13">
        <v>42767.647314814814</v>
      </c>
      <c r="G221" s="7">
        <v>5</v>
      </c>
      <c r="H221" s="21" t="s">
        <v>838</v>
      </c>
      <c r="I221" s="13">
        <v>42767.652974537035</v>
      </c>
      <c r="J221" s="7">
        <v>0</v>
      </c>
      <c r="K221" s="98" t="str">
        <f>IF(ISEVEN(B221),(B221-1)&amp;"/"&amp;B221,B221&amp;"/"&amp;(B221+1))</f>
        <v>4025/4026</v>
      </c>
      <c r="L221" s="21" t="str">
        <f>VLOOKUP(A221,'Trips&amp;Operators'!$C$1:$G$99999,5,FALSE)</f>
        <v>STRICKLAND EVAN</v>
      </c>
      <c r="M221" s="6">
        <f>I221-F221</f>
        <v>5.6597222210257314E-3</v>
      </c>
      <c r="N221" s="7">
        <f>24*60*SUM($M221:$M221)</f>
        <v>8.1499999982770532</v>
      </c>
      <c r="O221" s="7"/>
      <c r="P221" s="7"/>
      <c r="Q221" s="22"/>
      <c r="R221" s="22"/>
      <c r="S221" s="31">
        <f>SUM(U221:U221)/IF(AG221="EC",12,1)</f>
        <v>0</v>
      </c>
      <c r="T221" s="46" t="str">
        <f>IF(ISEVEN(LEFT(AD221,4)),"Southbound","NorthBound")</f>
        <v>Southbound</v>
      </c>
      <c r="U221" s="19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-02-01T14:22:05-0700',mode:absolute,to:'2017-02-01T16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1" s="193" t="str">
        <f>IF(AA221&lt;IF(AG221="EC",23,5.65),"Y","N")</f>
        <v>Y</v>
      </c>
      <c r="X221" s="193">
        <f>VALUE(LEFT(AD221,4))-VALUE(LEFT(AD220,4))</f>
        <v>0</v>
      </c>
      <c r="Y221" s="62">
        <f>RIGHT(D221,LEN(D221)-4)/10000</f>
        <v>2.3553000000000002</v>
      </c>
      <c r="Z221" s="62">
        <f>RIGHT(H221,LEN(H221)-4)/10000</f>
        <v>2.3205</v>
      </c>
      <c r="AA221" s="62">
        <f>ABS(Z221-Y221)</f>
        <v>3.4800000000000164E-2</v>
      </c>
      <c r="AB221" s="59" t="e">
        <f>VLOOKUP(A221,Enforcements!$C$7:$K$16,8,0)</f>
        <v>#N/A</v>
      </c>
      <c r="AC221" s="55" t="e">
        <f>VLOOKUP(A221,Enforcements!$C$7:$E$16,3,0)</f>
        <v>#N/A</v>
      </c>
      <c r="AD221" s="56" t="str">
        <f>IF(LEN(A221)=6,"0"&amp;A221,A221)</f>
        <v>0904-01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221" s="8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/stypes="app*4026*20170201*" /stext=" 22:.+((SYSTEM_STATE.+slice.+state.+changed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3"/>
        <v>"%USERPROFILE%\Documents\GitHub\eaglep3\Utilities\RefineRTDCRunTimes.py" --tripid 904-01 --locoid 4026 --swversion DE.1.0.8.0 --startMP 300:23553 --initTime 2017-02-01T15:22:05 --startdatetime 2017-02-01T15:32:08 --delay 5 --endMP 300:23205 --enddatetime 2017-02-01T15:40:17 --enforcementcount 0 &gt;&gt;C:\Users\stu\Documents\GitHub\eaglep3-reporting\EC\2017-02-01-refined-times.txt</v>
      </c>
      <c r="AI221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{"issue":{"subject":"","project_id":79,"tracker_id":40,"status_id":1,"priority_id":2,"assigned_to_id":23,"start_date":"2017-02-01","description":"","custom_fields":[{"id":1,"name":"Subdivision","value":"Other"},{"id":4,"name":"Milepost","value":"2.3205"},{"id":17,"name":"Train ID","value":"904-01"},{"id":16,"name":"Locomotive ID","value":"4026"},{"id":130,"name":"Impact","value":""},{"id":150,"name":"Time of Event (Mountain Time)","value":"15:40:17"},{"id":151,"name":"Denver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60" t="str">
        <f t="shared" si="15"/>
        <v>start /low /b %USERPROFILE%\Documents\GitHub\eaglep3\Utilities\DownloadLogsFromS3.py --loco 4026 --day 2017-02-01</v>
      </c>
      <c r="AN221" s="16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2017-02-01-UncaughtWiMAX.txt</v>
      </c>
    </row>
    <row r="222" spans="1:40" x14ac:dyDescent="0.25">
      <c r="A222" s="33" t="s">
        <v>627</v>
      </c>
      <c r="B222" s="7">
        <v>4026</v>
      </c>
      <c r="C222" s="21" t="s">
        <v>193</v>
      </c>
      <c r="D222" s="21" t="s">
        <v>829</v>
      </c>
      <c r="E222" s="13">
        <v>42767.7965625</v>
      </c>
      <c r="F222" s="13">
        <v>42767.797962962963</v>
      </c>
      <c r="G222" s="7">
        <v>1</v>
      </c>
      <c r="H222" s="21" t="s">
        <v>839</v>
      </c>
      <c r="I222" s="13">
        <v>42767.803831018522</v>
      </c>
      <c r="J222" s="7">
        <v>0</v>
      </c>
      <c r="K222" s="98" t="str">
        <f>IF(ISEVEN(B222),(B222-1)&amp;"/"&amp;B222,B222&amp;"/"&amp;(B222+1))</f>
        <v>4025/4026</v>
      </c>
      <c r="L222" s="21" t="str">
        <f>VLOOKUP(A222,'Trips&amp;Operators'!$C$1:$G$99999,5,FALSE)</f>
        <v>LOPES KIMBERLY</v>
      </c>
      <c r="M222" s="6">
        <f>I222-F222</f>
        <v>5.8680555594037287E-3</v>
      </c>
      <c r="N222" s="7">
        <f>24*60*SUM($M222:$M222)</f>
        <v>8.4500000055413693</v>
      </c>
      <c r="O222" s="7"/>
      <c r="P222" s="7"/>
      <c r="Q222" s="22"/>
      <c r="R222" s="22"/>
      <c r="S222" s="31">
        <f>SUM(U222:U222)/IF(AG222="EC",12,1)</f>
        <v>0</v>
      </c>
      <c r="T222" s="46" t="str">
        <f>IF(ISEVEN(LEFT(AD222,4)),"Southbound","NorthBound")</f>
        <v>Southbound</v>
      </c>
      <c r="U222" s="19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-02-01T18:07:03-0700',mode:absolute,to:'2017-02-01T20:17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93" t="str">
        <f>IF(AA222&lt;IF(AG222="EC",23,5.65),"Y","N")</f>
        <v>Y</v>
      </c>
      <c r="X222" s="193">
        <f>VALUE(LEFT(AD222,4))-VALUE(LEFT(AD221,4))</f>
        <v>2</v>
      </c>
      <c r="Y222" s="62">
        <f>RIGHT(D222,LEN(D222)-4)/10000</f>
        <v>5.8630000000000004</v>
      </c>
      <c r="Z222" s="62">
        <f>RIGHT(H222,LEN(H222)-4)/10000</f>
        <v>2.1488</v>
      </c>
      <c r="AA222" s="62">
        <f>ABS(Z222-Y222)</f>
        <v>3.7142000000000004</v>
      </c>
      <c r="AB222" s="59" t="e">
        <f>VLOOKUP(A222,Enforcements!$C$7:$K$16,8,0)</f>
        <v>#N/A</v>
      </c>
      <c r="AC222" s="55" t="e">
        <f>VLOOKUP(A222,Enforcements!$C$7:$E$16,3,0)</f>
        <v>#N/A</v>
      </c>
      <c r="AD222" s="56" t="str">
        <f>IF(LEN(A222)=6,"0"&amp;A222,A222)</f>
        <v>0906-01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AF222" s="8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/stypes="app*4026*20170202*" /stext=" 02:.+((SYSTEM_STATE.+slice.+state.+changed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3"/>
        <v>"%USERPROFILE%\Documents\GitHub\eaglep3\Utilities\RefineRTDCRunTimes.py" --tripid 906-01 --locoid 4026 --swversion DE.1.0.8.0 --startMP 300:58630 --initTime 2017-02-01T19:07:03 --startdatetime 2017-02-01T19:09:04 --delay 1 --endMP 300:21488 --enddatetime 2017-02-01T19:17:31 --enforcementcount 0 &gt;&gt;C:\Users\stu\Documents\GitHub\eaglep3-reporting\EC\2017-02-01-refined-times.txt</v>
      </c>
      <c r="AI222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{"issue":{"subject":"","project_id":79,"tracker_id":40,"status_id":1,"priority_id":2,"assigned_to_id":23,"start_date":"2017-02-01","description":"","custom_fields":[{"id":1,"name":"Subdivision","value":"Other"},{"id":4,"name":"Milepost","value":"2.1488"},{"id":17,"name":"Train ID","value":"906-01"},{"id":16,"name":"Locomotive ID","value":"4026"},{"id":130,"name":"Impact","value":""},{"id":150,"name":"Time of Event (Mountain Time)","value":"19:17:31"},{"id":151,"name":"Denver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60" t="str">
        <f t="shared" si="15"/>
        <v>start /low /b %USERPROFILE%\Documents\GitHub\eaglep3\Utilities\DownloadLogsFromS3.py --loco 4026 --day 2017-02-01</v>
      </c>
      <c r="AN222" s="16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2017-02-01-UncaughtWiMAX.txt</v>
      </c>
    </row>
    <row r="223" spans="1:40" x14ac:dyDescent="0.25">
      <c r="A223" s="33" t="s">
        <v>652</v>
      </c>
      <c r="B223" s="7">
        <v>4043</v>
      </c>
      <c r="C223" s="21" t="s">
        <v>193</v>
      </c>
      <c r="D223" s="21" t="s">
        <v>840</v>
      </c>
      <c r="E223" s="13">
        <v>42767.942766203705</v>
      </c>
      <c r="F223" s="13">
        <v>42767.943854166668</v>
      </c>
      <c r="G223" s="7">
        <v>1</v>
      </c>
      <c r="H223" s="21" t="s">
        <v>841</v>
      </c>
      <c r="I223" s="13">
        <v>42767.948819444442</v>
      </c>
      <c r="J223" s="7">
        <v>0</v>
      </c>
      <c r="K223" s="98" t="str">
        <f>IF(ISEVEN(B223),(B223-1)&amp;"/"&amp;B223,B223&amp;"/"&amp;(B223+1))</f>
        <v>4043/4044</v>
      </c>
      <c r="L223" s="21" t="str">
        <f>VLOOKUP(A223,'Trips&amp;Operators'!$C$1:$G$99999,5,FALSE)</f>
        <v>LOPES KIMBERLY</v>
      </c>
      <c r="M223" s="6">
        <f>I223-F223</f>
        <v>4.9652777743176557E-3</v>
      </c>
      <c r="N223" s="7">
        <f>24*60*SUM($M223:$M223)</f>
        <v>7.1499999950174242</v>
      </c>
      <c r="O223" s="7"/>
      <c r="P223" s="7"/>
      <c r="Q223" s="22"/>
      <c r="R223" s="22"/>
      <c r="S223" s="31">
        <f>SUM(U223:U223)/IF(AG223="EC",12,1)</f>
        <v>0</v>
      </c>
      <c r="T223" s="46" t="str">
        <f>IF(ISEVEN(LEFT(AD223,4)),"Southbound","NorthBound")</f>
        <v>Southbound</v>
      </c>
      <c r="U223" s="19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-02-01T21:37:35-0700',mode:absolute,to:'2017-02-01T23:46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93" t="str">
        <f>IF(AA223&lt;IF(AG223="EC",23,5.65),"Y","N")</f>
        <v>Y</v>
      </c>
      <c r="X223" s="193">
        <f>VALUE(LEFT(AD223,4))-VALUE(LEFT(AD222,4))</f>
        <v>2</v>
      </c>
      <c r="Y223" s="62">
        <f>RIGHT(D223,LEN(D223)-4)/10000</f>
        <v>5.8638000000000003</v>
      </c>
      <c r="Z223" s="62">
        <f>RIGHT(H223,LEN(H223)-4)/10000</f>
        <v>2.1492</v>
      </c>
      <c r="AA223" s="62">
        <f>ABS(Z223-Y223)</f>
        <v>3.7146000000000003</v>
      </c>
      <c r="AB223" s="59" t="e">
        <f>VLOOKUP(A223,Enforcements!$C$7:$K$16,8,0)</f>
        <v>#N/A</v>
      </c>
      <c r="AC223" s="55" t="e">
        <f>VLOOKUP(A223,Enforcements!$C$7:$E$16,3,0)</f>
        <v>#N/A</v>
      </c>
      <c r="AD223" s="56" t="str">
        <f>IF(LEN(A223)=6,"0"&amp;A223,A223)</f>
        <v>0908-01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s3://rtdc.mdm.uploadarchive.raw/RTDC4043/ "%USERPROFILE%\AppData\Local\Temp\OnboardLogs"\RTDC4043\2017-02-01 --exclude "*" --recursive --include "*20170201*" &amp; "%USERPROFILE%\Documents\GitHub\mrs-test-scripts\Headless Mode &amp; Sideloading\WalkAndUnGZ.bat" "%USERPROFILE%\AppData\Local\Temp\OnboardLogs"\RTDC4043\2017-02-01 &amp; aws s3 cp s3://rtdc.mdm.uploadarchive.raw/RTDC4043/ "%USERPROFILE%\AppData\Local\Temp\OnboardLogs"\RTDC4043\2017-02-02 --exclude "*" --recursive --include "*20170202*" &amp; "%USERPROFILE%\Documents\GitHub\mrs-test-scripts\Headless Mode &amp; Sideloading\WalkAndUnGZ.bat" "%USERPROFILE%\AppData\Local\Temp\OnboardLogs"\RTDC4043\2017-02-02</v>
      </c>
      <c r="AF223" s="82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/stypes="app*4043*20170202*" /stext=" 05:.+((SYSTEM_STATE.+slice.+state.+changed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3"/>
        <v>"%USERPROFILE%\Documents\GitHub\eaglep3\Utilities\RefineRTDCRunTimes.py" --tripid 908-01 --locoid 4043 --swversion DE.1.0.8.0 --startMP 300:58638 --initTime 2017-02-01T22:37:35 --startdatetime 2017-02-01T22:39:09 --delay 1 --endMP 300:21492 --enddatetime 2017-02-01T22:46:18 --enforcementcount 0 &gt;&gt;C:\Users\stu\Documents\GitHub\eaglep3-reporting\EC\2017-02-01-refined-times.txt</v>
      </c>
      <c r="AI223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{"issue":{"subject":"","project_id":79,"tracker_id":40,"status_id":1,"priority_id":2,"assigned_to_id":23,"start_date":"2017-02-01","description":"","custom_fields":[{"id":1,"name":"Subdivision","value":"Other"},{"id":4,"name":"Milepost","value":"2.1492"},{"id":17,"name":"Train ID","value":"908-01"},{"id":16,"name":"Locomotive ID","value":"4043"},{"id":130,"name":"Impact","value":""},{"id":150,"name":"Time of Event (Mountain Time)","value":"22:46:18"},{"id":151,"name":"Denver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60" t="str">
        <f t="shared" si="15"/>
        <v>start /low /b %USERPROFILE%\Documents\GitHub\eaglep3\Utilities\DownloadLogsFromS3.py --loco 4043 --day 2017-02-01</v>
      </c>
      <c r="AN223" s="16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"%USERPROFILE%\AppData\Local\Temp\OnboardLogs"\RTDC4043\*4043*20170202* | grep -SE "(Enforcement Action)|(\[TIMEOUT)|(CHR.+\|PRM\|1\|D.+(SWITCH|SIGNAL).+UNKNOWN)" - &gt;&gt; 2017-02-01-UncaughtWiMAX.txt</v>
      </c>
    </row>
    <row r="224" spans="1:40" x14ac:dyDescent="0.25">
      <c r="A224" s="33" t="s">
        <v>603</v>
      </c>
      <c r="B224" s="7">
        <v>4022</v>
      </c>
      <c r="C224" s="21" t="s">
        <v>193</v>
      </c>
      <c r="D224" s="21" t="s">
        <v>762</v>
      </c>
      <c r="E224" s="13">
        <v>42767.730983796297</v>
      </c>
      <c r="F224" s="13">
        <v>42767.747013888889</v>
      </c>
      <c r="G224" s="7">
        <v>1</v>
      </c>
      <c r="H224" s="21" t="s">
        <v>763</v>
      </c>
      <c r="I224" s="13">
        <v>42767.751932870371</v>
      </c>
      <c r="J224" s="7">
        <v>0</v>
      </c>
      <c r="K224" s="98" t="str">
        <f>IF(ISEVEN(B224),(B224-1)&amp;"/"&amp;B224,B224&amp;"/"&amp;(B224+1))</f>
        <v>4021/4022</v>
      </c>
      <c r="L224" s="21" t="str">
        <f>VLOOKUP(A224,'Trips&amp;Operators'!$C$1:$G$99999,5,FALSE)</f>
        <v>SANTIZO D. EDY</v>
      </c>
      <c r="M224" s="6">
        <f>I224-F224</f>
        <v>4.9189814817509614E-3</v>
      </c>
      <c r="N224" s="7">
        <f>24*60*SUM($M224:$M224)</f>
        <v>7.0833333337213844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9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-02-01T16:32:37-0700',mode:absolute,to:'2017-02-01T19:02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4" s="193" t="str">
        <f>IF(AA224&lt;IF(AG224="EC",23,5.65),"Y","N")</f>
        <v>Y</v>
      </c>
      <c r="X224" s="193" t="e">
        <f>VALUE(LEFT(AD224,4))-VALUE(LEFT(AD223,4))</f>
        <v>#VALUE!</v>
      </c>
      <c r="Y224" s="62">
        <f>RIGHT(D224,LEN(D224)-4)/10000</f>
        <v>0.1469</v>
      </c>
      <c r="Z224" s="62">
        <f>RIGHT(H224,LEN(H224)-4)/10000</f>
        <v>2.4237000000000002</v>
      </c>
      <c r="AA224" s="62">
        <f>ABS(Z224-Y224)</f>
        <v>2.2768000000000002</v>
      </c>
      <c r="AB224" s="59" t="e">
        <f>VLOOKUP(A224,Enforcements!$C$7:$K$16,8,0)</f>
        <v>#N/A</v>
      </c>
      <c r="AC224" s="55" t="e">
        <f>VLOOKUP(A224,Enforcements!$C$7:$E$16,3,0)</f>
        <v>#N/A</v>
      </c>
      <c r="AD224" s="56" t="str">
        <f>IF(LEN(A224)=6,"0"&amp;A224,A224)</f>
        <v>65-01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s3://rtdc.mdm.uploadarchive.raw/RTDC4022/ "%USERPROFILE%\AppData\Local\Temp\OnboardLogs"\RTDC4022\2017-02-01 --exclude "*" --recursive --include "*20170201*" &amp; "%USERPROFILE%\Documents\GitHub\mrs-test-scripts\Headless Mode &amp; Sideloading\WalkAndUnGZ.bat" "%USERPROFILE%\AppData\Local\Temp\OnboardLogs"\RTDC4022\2017-02-01 &amp; 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</v>
      </c>
      <c r="AF224" s="82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/stypes="app*4022*20170202*" /stext=" 01:.+((SYSTEM_STATE.+slice.+state.+changed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3"/>
        <v>"%USERPROFILE%\Documents\GitHub\eaglep3\Utilities\RefineRTDCRunTimes.py" --tripid 65-01 --locoid 4022 --swversion DE.1.0.8.0 --startMP 204:1469 --initTime 2017-02-01T17:32:37 --startdatetime 2017-02-01T17:55:42 --delay 1 --endMP 300:24237 --enddatetime 2017-02-01T18:02:47 --enforcementcount 0 &gt;&gt;C:\Users\stu\Documents\GitHub\eaglep3-reporting\EC\2017-02-01-refined-times.txt</v>
      </c>
      <c r="AI224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{"issue":{"subject":"","project_id":79,"tracker_id":40,"status_id":1,"priority_id":2,"assigned_to_id":23,"start_date":"2017-02-01","description":"","custom_fields":[{"id":1,"name":"Subdivision","value":"Other"},{"id":4,"name":"Milepost","value":"2.4237"},{"id":17,"name":"Train ID","value":"65-01"},{"id":16,"name":"Locomotive ID","value":"4022"},{"id":130,"name":"Impact","value":""},{"id":150,"name":"Time of Event (Mountain Time)","value":"18:02:47"},{"id":151,"name":"Denver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60" t="str">
        <f t="shared" si="15"/>
        <v>start /low /b %USERPROFILE%\Documents\GitHub\eaglep3\Utilities\DownloadLogsFromS3.py --loco 4022 --day 2017-02-01</v>
      </c>
      <c r="AN224" s="16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2017-02-01-UncaughtWiMAX.txt</v>
      </c>
    </row>
    <row r="225" spans="1:40" x14ac:dyDescent="0.25">
      <c r="A225" s="33" t="s">
        <v>608</v>
      </c>
      <c r="B225" s="7">
        <v>4008</v>
      </c>
      <c r="C225" s="21" t="s">
        <v>193</v>
      </c>
      <c r="D225" s="21" t="s">
        <v>764</v>
      </c>
      <c r="E225" s="13">
        <v>42767.733530092592</v>
      </c>
      <c r="F225" s="13">
        <v>42767.737268518518</v>
      </c>
      <c r="G225" s="7">
        <v>5</v>
      </c>
      <c r="H225" s="21" t="s">
        <v>765</v>
      </c>
      <c r="I225" s="13">
        <v>42767.743113425924</v>
      </c>
      <c r="J225" s="7">
        <v>0</v>
      </c>
      <c r="K225" s="98" t="str">
        <f>IF(ISEVEN(B225),(B225-1)&amp;"/"&amp;B225,B225&amp;"/"&amp;(B225+1))</f>
        <v>4007/4008</v>
      </c>
      <c r="L225" s="21" t="str">
        <f>VLOOKUP(A225,'Trips&amp;Operators'!$C$1:$G$99999,5,FALSE)</f>
        <v>BROWN JACOB</v>
      </c>
      <c r="M225" s="6">
        <f>I225-F225</f>
        <v>5.8449074058444239E-3</v>
      </c>
      <c r="N225" s="7">
        <f>24*60*SUM($M225:$M225)</f>
        <v>8.4166666644159704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9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-02-01T16:36:17-0700',mode:absolute,to:'2017-02-01T18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5" s="193" t="str">
        <f>IF(AA225&lt;IF(AG225="EC",23,5.65),"Y","N")</f>
        <v>Y</v>
      </c>
      <c r="X225" s="193" t="e">
        <f>VALUE(LEFT(AD225,4))-VALUE(LEFT(AD224,4))</f>
        <v>#VALUE!</v>
      </c>
      <c r="Y225" s="62">
        <f>RIGHT(D225,LEN(D225)-4)/10000</f>
        <v>2.1821999999999999</v>
      </c>
      <c r="Z225" s="62">
        <f>RIGHT(H225,LEN(H225)-4)/10000</f>
        <v>1.66E-2</v>
      </c>
      <c r="AA225" s="62">
        <f>ABS(Z225-Y225)</f>
        <v>2.1656</v>
      </c>
      <c r="AB225" s="59" t="e">
        <f>VLOOKUP(A225,Enforcements!$C$7:$K$16,8,0)</f>
        <v>#N/A</v>
      </c>
      <c r="AC225" s="55" t="e">
        <f>VLOOKUP(A225,Enforcements!$C$7:$E$16,3,0)</f>
        <v>#N/A</v>
      </c>
      <c r="AD225" s="56" t="str">
        <f>IF(LEN(A225)=6,"0"&amp;A225,A225)</f>
        <v>70-01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 &amp; aws s3 cp s3://rtdc.mdm.uploadarchive.raw/RTDC4008/ "%USERPROFILE%\AppData\Local\Temp\OnboardLogs"\RTDC4008\2017-02-02 --exclude "*" --recursive --include "*20170202*" &amp; "%USERPROFILE%\Documents\GitHub\mrs-test-scripts\Headless Mode &amp; Sideloading\WalkAndUnGZ.bat" "%USERPROFILE%\AppData\Local\Temp\OnboardLogs"\RTDC4008\2017-02-02</v>
      </c>
      <c r="AF225" s="82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/stypes="app*4008*20170202*" /stext=" 00:.+((SYSTEM_STATE.+slice.+state.+changed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3"/>
        <v>"%USERPROFILE%\Documents\GitHub\eaglep3\Utilities\RefineRTDCRunTimes.py" --tripid 70-01 --locoid 4008 --swversion DE.1.0.8.0 --startMP 300:21822 --initTime 2017-02-01T17:36:17 --startdatetime 2017-02-01T17:41:40 --delay 5 --endMP 204:166 --enddatetime 2017-02-01T17:50:05 --enforcementcount 0 &gt;&gt;C:\Users\stu\Documents\GitHub\eaglep3-reporting\EC\2017-02-01-refined-times.txt</v>
      </c>
      <c r="AI225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{"issue":{"subject":"","project_id":79,"tracker_id":40,"status_id":1,"priority_id":2,"assigned_to_id":23,"start_date":"2017-02-01","description":"","custom_fields":[{"id":1,"name":"Subdivision","value":"Other"},{"id":4,"name":"Milepost","value":"0.0166"},{"id":17,"name":"Train ID","value":"70-01"},{"id":16,"name":"Locomotive ID","value":"4008"},{"id":130,"name":"Impact","value":""},{"id":150,"name":"Time of Event (Mountain Time)","value":"17:50:05"},{"id":151,"name":"Denver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60" t="str">
        <f t="shared" si="15"/>
        <v>start /low /b %USERPROFILE%\Documents\GitHub\eaglep3\Utilities\DownloadLogsFromS3.py --loco 4008 --day 2017-02-01</v>
      </c>
      <c r="AN225" s="16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"%USERPROFILE%\AppData\Local\Temp\OnboardLogs"\RTDC4008\*4008*20170202* | grep -SE "(Enforcement Action)|(\[TIMEOUT)|(CHR.+\|PRM\|1\|D.+(SWITCH|SIGNAL).+UNKNOWN)" - &gt;&gt; 2017-02-01-UncaughtWiMAX.txt</v>
      </c>
    </row>
    <row r="226" spans="1:40" x14ac:dyDescent="0.25">
      <c r="A226" s="33" t="s">
        <v>617</v>
      </c>
      <c r="B226" s="7">
        <v>4009</v>
      </c>
      <c r="C226" s="21" t="s">
        <v>193</v>
      </c>
      <c r="D226" s="21" t="s">
        <v>766</v>
      </c>
      <c r="E226" s="13">
        <v>42767.76353009259</v>
      </c>
      <c r="F226" s="13">
        <v>42767.768217592595</v>
      </c>
      <c r="G226" s="7">
        <v>2</v>
      </c>
      <c r="H226" s="21" t="s">
        <v>407</v>
      </c>
      <c r="I226" s="13">
        <v>42767.7734375</v>
      </c>
      <c r="J226" s="7">
        <v>0</v>
      </c>
      <c r="K226" s="98" t="str">
        <f>IF(ISEVEN(B226),(B226-1)&amp;"/"&amp;B226,B226&amp;"/"&amp;(B226+1))</f>
        <v>4009/4010</v>
      </c>
      <c r="L226" s="21" t="str">
        <f>VLOOKUP(A226,'Trips&amp;Operators'!$C$1:$G$99999,5,FALSE)</f>
        <v>DAVIS MICHAEL</v>
      </c>
      <c r="M226" s="6">
        <f>I226-F226</f>
        <v>5.2199074052623473E-3</v>
      </c>
      <c r="N226" s="7">
        <f>24*60*SUM($M226:$M226)</f>
        <v>7.5166666635777801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9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-02-01T17:19:29-0700',mode:absolute,to:'2017-02-01T19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193" t="str">
        <f>IF(AA226&lt;IF(AG226="EC",23,5.65),"Y","N")</f>
        <v>Y</v>
      </c>
      <c r="X226" s="193" t="e">
        <f>VALUE(LEFT(AD226,4))-VALUE(LEFT(AD225,4))</f>
        <v>#VALUE!</v>
      </c>
      <c r="Y226" s="62">
        <f>RIGHT(D226,LEN(D226)-4)/10000</f>
        <v>7.4800000000000005E-2</v>
      </c>
      <c r="Z226" s="62">
        <f>RIGHT(H226,LEN(H226)-4)/10000</f>
        <v>2.3346</v>
      </c>
      <c r="AA226" s="62">
        <f>ABS(Z226-Y226)</f>
        <v>2.2597999999999998</v>
      </c>
      <c r="AB226" s="59" t="e">
        <f>VLOOKUP(A226,Enforcements!$C$7:$K$16,8,0)</f>
        <v>#N/A</v>
      </c>
      <c r="AC226" s="55" t="e">
        <f>VLOOKUP(A226,Enforcements!$C$7:$E$16,3,0)</f>
        <v>#N/A</v>
      </c>
      <c r="AD226" s="56" t="str">
        <f>IF(LEN(A226)=6,"0"&amp;A226,A226)</f>
        <v>71-01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 &amp; 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</v>
      </c>
      <c r="AF226" s="82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/stypes="app*4009*20170202*" /stext=" 01:.+((SYSTEM_STATE.+slice.+state.+changed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3"/>
        <v>"%USERPROFILE%\Documents\GitHub\eaglep3\Utilities\RefineRTDCRunTimes.py" --tripid 71-01 --locoid 4009 --swversion DE.1.0.8.0 --startMP 204:748 --initTime 2017-02-01T18:19:29 --startdatetime 2017-02-01T18:26:14 --delay 2 --endMP 300:23346 --enddatetime 2017-02-01T18:33:45 --enforcementcount 0 &gt;&gt;C:\Users\stu\Documents\GitHub\eaglep3-reporting\EC\2017-02-01-refined-times.txt</v>
      </c>
      <c r="AI226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{"issue":{"subject":"","project_id":79,"tracker_id":40,"status_id":1,"priority_id":2,"assigned_to_id":23,"start_date":"2017-02-01","description":"","custom_fields":[{"id":1,"name":"Subdivision","value":"Other"},{"id":4,"name":"Milepost","value":"2.3346"},{"id":17,"name":"Train ID","value":"71-01"},{"id":16,"name":"Locomotive ID","value":"4009"},{"id":130,"name":"Impact","value":""},{"id":150,"name":"Time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60" t="str">
        <f t="shared" si="15"/>
        <v>start /low /b %USERPROFILE%\Documents\GitHub\eaglep3\Utilities\DownloadLogsFromS3.py --loco 4009 --day 2017-02-01</v>
      </c>
      <c r="AN226" s="16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2017-02-01-UncaughtWiMAX.txt</v>
      </c>
    </row>
    <row r="227" spans="1:40" x14ac:dyDescent="0.25">
      <c r="A227" s="33" t="s">
        <v>612</v>
      </c>
      <c r="B227" s="7">
        <v>4010</v>
      </c>
      <c r="C227" s="21" t="s">
        <v>193</v>
      </c>
      <c r="D227" s="21" t="s">
        <v>767</v>
      </c>
      <c r="E227" s="13">
        <v>42767.748599537037</v>
      </c>
      <c r="F227" s="13">
        <v>42767.749895833331</v>
      </c>
      <c r="G227" s="7">
        <v>1</v>
      </c>
      <c r="H227" s="21" t="s">
        <v>768</v>
      </c>
      <c r="I227" s="13">
        <v>42767.756076388891</v>
      </c>
      <c r="J227" s="7">
        <v>0</v>
      </c>
      <c r="K227" s="98" t="str">
        <f>IF(ISEVEN(B227),(B227-1)&amp;"/"&amp;B227,B227&amp;"/"&amp;(B227+1))</f>
        <v>4009/4010</v>
      </c>
      <c r="L227" s="21" t="str">
        <f>VLOOKUP(A227,'Trips&amp;Operators'!$C$1:$G$99999,5,FALSE)</f>
        <v>MCREYNOLDS KYLE</v>
      </c>
      <c r="M227" s="6">
        <f>I227-F227</f>
        <v>6.180555559694767E-3</v>
      </c>
      <c r="N227" s="7">
        <f>24*60*SUM($M227:$M227)</f>
        <v>8.9000000059604645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9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-02-01T16:57:59-0700',mode:absolute,to:'2017-02-01T19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193" t="str">
        <f>IF(AA227&lt;IF(AG227="EC",23,5.65),"Y","N")</f>
        <v>Y</v>
      </c>
      <c r="X227" s="193" t="e">
        <f>VALUE(LEFT(AD227,4))-VALUE(LEFT(AD226,4))</f>
        <v>#VALUE!</v>
      </c>
      <c r="Y227" s="62">
        <f>RIGHT(D227,LEN(D227)-4)/10000</f>
        <v>2.1909000000000001</v>
      </c>
      <c r="Z227" s="62">
        <f>RIGHT(H227,LEN(H227)-4)/10000</f>
        <v>4.7899999999999998E-2</v>
      </c>
      <c r="AA227" s="62">
        <f>ABS(Z227-Y227)</f>
        <v>2.1430000000000002</v>
      </c>
      <c r="AB227" s="59" t="e">
        <f>VLOOKUP(A227,Enforcements!$C$7:$K$16,8,0)</f>
        <v>#N/A</v>
      </c>
      <c r="AC227" s="55" t="e">
        <f>VLOOKUP(A227,Enforcements!$C$7:$E$16,3,0)</f>
        <v>#N/A</v>
      </c>
      <c r="AD227" s="56" t="str">
        <f>IF(LEN(A227)=6,"0"&amp;A227,A227)</f>
        <v>72-01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 &amp; 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</v>
      </c>
      <c r="AF227" s="82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/stypes="app*4010*20170202*" /stext=" 01:.+((SYSTEM_STATE.+slice.+state.+changed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3"/>
        <v>"%USERPROFILE%\Documents\GitHub\eaglep3\Utilities\RefineRTDCRunTimes.py" --tripid 72-01 --locoid 4010 --swversion DE.1.0.8.0 --startMP 300:21909 --initTime 2017-02-01T17:57:59 --startdatetime 2017-02-01T17:59:51 --delay 1 --endMP 204:479 --enddatetime 2017-02-01T18:08:45 --enforcementcount 0 &gt;&gt;C:\Users\stu\Documents\GitHub\eaglep3-reporting\EC\2017-02-01-refined-times.txt</v>
      </c>
      <c r="AI227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{"issue":{"subject":"","project_id":79,"tracker_id":40,"status_id":1,"priority_id":2,"assigned_to_id":23,"start_date":"2017-02-01","description":"","custom_fields":[{"id":1,"name":"Subdivision","value":"Other"},{"id":4,"name":"Milepost","value":"0.0479"},{"id":17,"name":"Train ID","value":"72-01"},{"id":16,"name":"Locomotive ID","value":"4010"},{"id":130,"name":"Impact","value":""},{"id":150,"name":"Time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60" t="str">
        <f t="shared" si="15"/>
        <v>start /low /b %USERPROFILE%\Documents\GitHub\eaglep3\Utilities\DownloadLogsFromS3.py --loco 4010 --day 2017-02-01</v>
      </c>
      <c r="AN227" s="16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2017-02-01-UncaughtWiMAX.txt</v>
      </c>
    </row>
    <row r="228" spans="1:40" x14ac:dyDescent="0.25">
      <c r="A228" s="33" t="s">
        <v>621</v>
      </c>
      <c r="B228" s="7">
        <v>4007</v>
      </c>
      <c r="C228" s="21" t="s">
        <v>193</v>
      </c>
      <c r="D228" s="21" t="s">
        <v>211</v>
      </c>
      <c r="E228" s="13">
        <v>42767.774745370371</v>
      </c>
      <c r="F228" s="13">
        <v>42767.776550925926</v>
      </c>
      <c r="G228" s="7">
        <v>1</v>
      </c>
      <c r="H228" s="21" t="s">
        <v>769</v>
      </c>
      <c r="I228" s="13">
        <v>42767.782488425924</v>
      </c>
      <c r="J228" s="7">
        <v>0</v>
      </c>
      <c r="K228" s="98" t="str">
        <f>IF(ISEVEN(B228),(B228-1)&amp;"/"&amp;B228,B228&amp;"/"&amp;(B228+1))</f>
        <v>4007/4008</v>
      </c>
      <c r="L228" s="21" t="str">
        <f>VLOOKUP(A228,'Trips&amp;Operators'!$C$1:$G$99999,5,FALSE)</f>
        <v>LEVERE CRAIG</v>
      </c>
      <c r="M228" s="6">
        <f>I228-F228</f>
        <v>5.9374999982537702E-3</v>
      </c>
      <c r="N228" s="7">
        <f>24*60*SUM($M228:$M228)</f>
        <v>8.549999997485429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9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-02-01T17:35:38-0700',mode:absolute,to:'2017-02-01T19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8" s="193" t="str">
        <f>IF(AA228&lt;IF(AG228="EC",23,5.65),"Y","N")</f>
        <v>Y</v>
      </c>
      <c r="X228" s="193" t="e">
        <f>VALUE(LEFT(AD228,4))-VALUE(LEFT(AD227,4))</f>
        <v>#VALUE!</v>
      </c>
      <c r="Y228" s="62">
        <f>RIGHT(D228,LEN(D228)-4)/10000</f>
        <v>4.6199999999999998E-2</v>
      </c>
      <c r="Z228" s="62">
        <f>RIGHT(H228,LEN(H228)-4)/10000</f>
        <v>2.286</v>
      </c>
      <c r="AA228" s="62">
        <f>ABS(Z228-Y228)</f>
        <v>2.2398000000000002</v>
      </c>
      <c r="AB228" s="59" t="e">
        <f>VLOOKUP(A228,Enforcements!$C$7:$K$16,8,0)</f>
        <v>#N/A</v>
      </c>
      <c r="AC228" s="55" t="e">
        <f>VLOOKUP(A228,Enforcements!$C$7:$E$16,3,0)</f>
        <v>#N/A</v>
      </c>
      <c r="AD228" s="56" t="str">
        <f>IF(LEN(A228)=6,"0"&amp;A228,A228)</f>
        <v>73-01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 &amp; aws s3 cp s3://rtdc.mdm.uploadarchive.raw/RTDC4007/ "%USERPROFILE%\AppData\Local\Temp\OnboardLogs"\RTDC4007\2017-02-02 --exclude "*" --recursive --include "*20170202*" &amp; "%USERPROFILE%\Documents\GitHub\mrs-test-scripts\Headless Mode &amp; Sideloading\WalkAndUnGZ.bat" "%USERPROFILE%\AppData\Local\Temp\OnboardLogs"\RTDC4007\2017-02-02</v>
      </c>
      <c r="AF228" s="82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/stypes="app*4007*20170202*" /stext=" 01:.+((SYSTEM_STATE.+slice.+state.+changed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3"/>
        <v>"%USERPROFILE%\Documents\GitHub\eaglep3\Utilities\RefineRTDCRunTimes.py" --tripid 73-01 --locoid 4007 --swversion DE.1.0.8.0 --startMP 204:462 --initTime 2017-02-01T18:35:38 --startdatetime 2017-02-01T18:38:14 --delay 1 --endMP 300:22860 --enddatetime 2017-02-01T18:46:47 --enforcementcount 0 &gt;&gt;C:\Users\stu\Documents\GitHub\eaglep3-reporting\EC\2017-02-01-refined-times.txt</v>
      </c>
      <c r="AI228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{"issue":{"subject":"","project_id":79,"tracker_id":40,"status_id":1,"priority_id":2,"assigned_to_id":23,"start_date":"2017-02-01","description":"","custom_fields":[{"id":1,"name":"Subdivision","value":"Other"},{"id":4,"name":"Milepost","value":"2.286"},{"id":17,"name":"Train ID","value":"73-01"},{"id":16,"name":"Locomotive ID","value":"4007"},{"id":130,"name":"Impact","value":""},{"id":150,"name":"Time of Event (Mountain Time)","value":"18:46:47"},{"id":151,"name":"Denver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60" t="str">
        <f t="shared" si="15"/>
        <v>start /low /b %USERPROFILE%\Documents\GitHub\eaglep3\Utilities\DownloadLogsFromS3.py --loco 4007 --day 2017-02-01</v>
      </c>
      <c r="AN228" s="16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"%USERPROFILE%\AppData\Local\Temp\OnboardLogs"\RTDC4007\*4007*20170202* | grep -SE "(Enforcement Action)|(\[TIMEOUT)|(CHR.+\|PRM\|1\|D.+(SWITCH|SIGNAL).+UNKNOWN)" - &gt;&gt; 2017-02-01-UncaughtWiMAX.txt</v>
      </c>
    </row>
    <row r="229" spans="1:40" x14ac:dyDescent="0.25">
      <c r="A229" s="33" t="s">
        <v>442</v>
      </c>
      <c r="B229" s="7">
        <v>4039</v>
      </c>
      <c r="C229" s="21" t="s">
        <v>193</v>
      </c>
      <c r="D229" s="21" t="s">
        <v>770</v>
      </c>
      <c r="E229" s="13">
        <v>42767.759050925924</v>
      </c>
      <c r="F229" s="13">
        <v>42767.75986111111</v>
      </c>
      <c r="G229" s="7">
        <v>1</v>
      </c>
      <c r="H229" s="21" t="s">
        <v>771</v>
      </c>
      <c r="I229" s="13">
        <v>42767.764317129629</v>
      </c>
      <c r="J229" s="7">
        <v>0</v>
      </c>
      <c r="K229" s="98" t="str">
        <f>IF(ISEVEN(B229),(B229-1)&amp;"/"&amp;B229,B229&amp;"/"&amp;(B229+1))</f>
        <v>4039/4040</v>
      </c>
      <c r="L229" s="21" t="str">
        <f>VLOOKUP(A229,'Trips&amp;Operators'!$C$1:$G$99999,5,FALSE)</f>
        <v>NELSON ARIANE</v>
      </c>
      <c r="M229" s="6">
        <f>I229-F229</f>
        <v>4.4560185197042301E-3</v>
      </c>
      <c r="N229" s="7">
        <f>24*60*SUM($M229:$M229)</f>
        <v>6.4166666683740914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9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-02-01T17:13:02-0700',mode:absolute,to:'2017-02-01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9" s="193" t="str">
        <f>IF(AA229&lt;IF(AG229="EC",23,5.65),"Y","N")</f>
        <v>Y</v>
      </c>
      <c r="X229" s="193" t="e">
        <f>VALUE(LEFT(AD229,4))-VALUE(LEFT(AD228,4))</f>
        <v>#VALUE!</v>
      </c>
      <c r="Y229" s="62">
        <f>RIGHT(D229,LEN(D229)-4)/10000</f>
        <v>1.4216</v>
      </c>
      <c r="Z229" s="62">
        <f>RIGHT(H229,LEN(H229)-4)/10000</f>
        <v>9.5600000000000004E-2</v>
      </c>
      <c r="AA229" s="62">
        <f>ABS(Z229-Y229)</f>
        <v>1.3260000000000001</v>
      </c>
      <c r="AB229" s="59" t="e">
        <f>VLOOKUP(A229,Enforcements!$C$7:$K$16,8,0)</f>
        <v>#N/A</v>
      </c>
      <c r="AC229" s="55" t="e">
        <f>VLOOKUP(A229,Enforcements!$C$7:$E$16,3,0)</f>
        <v>#N/A</v>
      </c>
      <c r="AD229" s="56" t="str">
        <f>IF(LEN(A229)=6,"0"&amp;A229,A229)</f>
        <v>74-01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 &amp; 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</v>
      </c>
      <c r="AF229" s="82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/stypes="app*4039*20170202*" /stext=" 01:.+((SYSTEM_STATE.+slice.+state.+changed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3"/>
        <v>"%USERPROFILE%\Documents\GitHub\eaglep3\Utilities\RefineRTDCRunTimes.py" --tripid 74-01 --locoid 4039 --swversion DE.1.0.8.0 --startMP 300:14216 --initTime 2017-02-01T18:13:02 --startdatetime 2017-02-01T18:14:12 --delay 1 --endMP 204:956 --enddatetime 2017-02-01T18:20:37 --enforcementcount 0 &gt;&gt;C:\Users\stu\Documents\GitHub\eaglep3-reporting\EC\2017-02-01-refined-times.txt</v>
      </c>
      <c r="AI229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{"issue":{"subject":"","project_id":79,"tracker_id":40,"status_id":1,"priority_id":2,"assigned_to_id":23,"start_date":"2017-02-01","description":"","custom_fields":[{"id":1,"name":"Subdivision","value":"Other"},{"id":4,"name":"Milepost","value":"0.0956"},{"id":17,"name":"Train ID","value":"74-01"},{"id":16,"name":"Locomotive ID","value":"4039"},{"id":130,"name":"Impact","value":""},{"id":150,"name":"Time of Event (Mountain Time)","value":"18:20:37"},{"id":151,"name":"Denver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60" t="str">
        <f t="shared" si="15"/>
        <v>start /low /b %USERPROFILE%\Documents\GitHub\eaglep3\Utilities\DownloadLogsFromS3.py --loco 4039 --day 2017-02-01</v>
      </c>
      <c r="AN229" s="16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"%USERPROFILE%\AppData\Local\Temp\OnboardLogs"\RTDC4039\*4039*20170202* | grep -SE "(Enforcement Action)|(\[TIMEOUT)|(CHR.+\|PRM\|1\|D.+(SWITCH|SIGNAL).+UNKNOWN)" - &gt;&gt; 2017-02-01-UncaughtWiMAX.txt</v>
      </c>
    </row>
    <row r="230" spans="1:40" x14ac:dyDescent="0.25">
      <c r="A230" s="33" t="s">
        <v>442</v>
      </c>
      <c r="B230" s="7">
        <v>4039</v>
      </c>
      <c r="C230" s="21" t="s">
        <v>193</v>
      </c>
      <c r="D230" s="21" t="s">
        <v>772</v>
      </c>
      <c r="E230" s="13">
        <v>42767.754317129627</v>
      </c>
      <c r="F230" s="13">
        <v>42767.75986111111</v>
      </c>
      <c r="G230" s="7">
        <v>1</v>
      </c>
      <c r="H230" s="21" t="s">
        <v>773</v>
      </c>
      <c r="I230" s="13">
        <v>42767.764317129629</v>
      </c>
      <c r="J230" s="7">
        <v>0</v>
      </c>
      <c r="K230" s="98" t="str">
        <f>IF(ISEVEN(B230),(B230-1)&amp;"/"&amp;B230,B230&amp;"/"&amp;(B230+1))</f>
        <v>4039/4040</v>
      </c>
      <c r="L230" s="21" t="str">
        <f>VLOOKUP(A230,'Trips&amp;Operators'!$C$1:$G$99999,5,FALSE)</f>
        <v>NELSON ARIANE</v>
      </c>
      <c r="M230" s="6">
        <f>I230-F230</f>
        <v>4.4560185197042301E-3</v>
      </c>
      <c r="N230" s="7">
        <f>24*60*SUM($M230:$M230)</f>
        <v>6.4166666683740914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9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-02-01T17:06:13-0700',mode:absolute,to:'2017-02-01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0" s="193" t="str">
        <f>IF(AA230&lt;IF(AG230="EC",23,5.65),"Y","N")</f>
        <v>Y</v>
      </c>
      <c r="X230" s="193" t="e">
        <f>VALUE(LEFT(AD230,4))-VALUE(LEFT(AD229,4))</f>
        <v>#VALUE!</v>
      </c>
      <c r="Y230" s="62">
        <f>RIGHT(D230,LEN(D230)-4)/10000</f>
        <v>2.2480000000000002</v>
      </c>
      <c r="Z230" s="62">
        <f>RIGHT(H230,LEN(H230)-4)/10000</f>
        <v>1.9725999999999999</v>
      </c>
      <c r="AA230" s="62">
        <f>ABS(Z230-Y230)</f>
        <v>0.27540000000000031</v>
      </c>
      <c r="AB230" s="59" t="e">
        <f>VLOOKUP(A230,Enforcements!$C$7:$K$16,8,0)</f>
        <v>#N/A</v>
      </c>
      <c r="AC230" s="55" t="e">
        <f>VLOOKUP(A230,Enforcements!$C$7:$E$16,3,0)</f>
        <v>#N/A</v>
      </c>
      <c r="AD230" s="56" t="str">
        <f>IF(LEN(A230)=6,"0"&amp;A230,A230)</f>
        <v>74-01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 &amp; 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</v>
      </c>
      <c r="AF230" s="82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/stypes="app*4039*20170202*" /stext=" 01:.+((SYSTEM_STATE.+slice.+state.+changed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3"/>
        <v>"%USERPROFILE%\Documents\GitHub\eaglep3\Utilities\RefineRTDCRunTimes.py" --tripid 74-01 --locoid 4039 --swversion DE.1.0.8.0 --startMP 300:22480 --initTime 2017-02-01T18:06:13 --startdatetime 2017-02-01T18:14:12 --delay 1 --endMP 300:19726 --enddatetime 2017-02-01T18:20:37 --enforcementcount 0 &gt;&gt;C:\Users\stu\Documents\GitHub\eaglep3-reporting\EC\2017-02-01-refined-times.txt</v>
      </c>
      <c r="AI230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{"issue":{"subject":"","project_id":79,"tracker_id":40,"status_id":1,"priority_id":2,"assigned_to_id":23,"start_date":"2017-02-01","description":"","custom_fields":[{"id":1,"name":"Subdivision","value":"Other"},{"id":4,"name":"Milepost","value":"1.9726"},{"id":17,"name":"Train ID","value":"74-01"},{"id":16,"name":"Locomotive ID","value":"4039"},{"id":130,"name":"Impact","value":""},{"id":150,"name":"Time of Event (Mountain Time)","value":"18:20:37"},{"id":151,"name":"Denver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60" t="str">
        <f t="shared" si="15"/>
        <v>start /low /b %USERPROFILE%\Documents\GitHub\eaglep3\Utilities\DownloadLogsFromS3.py --loco 4039 --day 2017-02-01</v>
      </c>
      <c r="AN230" s="16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"%USERPROFILE%\AppData\Local\Temp\OnboardLogs"\RTDC4039\*4039*20170202* | grep -SE "(Enforcement Action)|(\[TIMEOUT)|(CHR.+\|PRM\|1\|D.+(SWITCH|SIGNAL).+UNKNOWN)" - &gt;&gt; 2017-02-01-UncaughtWiMAX.txt</v>
      </c>
    </row>
    <row r="231" spans="1:40" x14ac:dyDescent="0.25">
      <c r="A231" s="33" t="s">
        <v>447</v>
      </c>
      <c r="B231" s="7">
        <v>4055</v>
      </c>
      <c r="C231" s="21" t="s">
        <v>193</v>
      </c>
      <c r="D231" s="21" t="s">
        <v>801</v>
      </c>
      <c r="E231" s="13">
        <v>42767.952094907407</v>
      </c>
      <c r="F231" s="13">
        <v>42767.953506944446</v>
      </c>
      <c r="G231" s="7">
        <v>1</v>
      </c>
      <c r="H231" s="21" t="s">
        <v>802</v>
      </c>
      <c r="I231" s="13">
        <v>42767.977442129632</v>
      </c>
      <c r="J231" s="7">
        <v>0</v>
      </c>
      <c r="K231" s="98" t="str">
        <f>IF(ISEVEN(B231),(B231-1)&amp;"/"&amp;B231,B231&amp;"/"&amp;(B231+1))</f>
        <v>4055/4056</v>
      </c>
      <c r="L231" s="21" t="str">
        <f>VLOOKUP(A231,'Trips&amp;Operators'!$C$1:$G$99999,5,FALSE)</f>
        <v>COMELLA JUSTIN</v>
      </c>
      <c r="M231" s="6">
        <f>I231-F231</f>
        <v>2.3935185185109731E-2</v>
      </c>
      <c r="N231" s="7"/>
      <c r="O231" s="7"/>
      <c r="P231" s="7">
        <f>24*60*SUM($M231:$M231)</f>
        <v>34.466666666558012</v>
      </c>
      <c r="Q231" s="22"/>
      <c r="R231" s="22" t="s">
        <v>867</v>
      </c>
      <c r="S231" s="31">
        <f>SUM(U231:U231)/IF(AG231="EC",12,1)</f>
        <v>0</v>
      </c>
      <c r="T231" s="46" t="e">
        <f>IF(ISEVEN(LEFT(AD231,4)),"Southbound","NorthBound")</f>
        <v>#VALUE!</v>
      </c>
      <c r="U231" s="19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-02-01T21:51:01-0700',mode:absolute,to:'2017-02-02T00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1" s="193" t="str">
        <f>IF(AA231&lt;IF(AG231="EC",23,5.65),"Y","N")</f>
        <v>N</v>
      </c>
      <c r="X231" s="193" t="e">
        <f>VALUE(LEFT(AD231,4))-VALUE(LEFT(AD230,4))</f>
        <v>#VALUE!</v>
      </c>
      <c r="Y231" s="62">
        <f>RIGHT(D231,LEN(D231)-4)/10000</f>
        <v>0.1545</v>
      </c>
      <c r="Z231" s="62">
        <f>RIGHT(H231,LEN(H231)-4)/10000</f>
        <v>17.2364</v>
      </c>
      <c r="AA231" s="62">
        <f>ABS(Z231-Y231)</f>
        <v>17.081900000000001</v>
      </c>
      <c r="AB231" s="59" t="e">
        <f>VLOOKUP(A231,Enforcements!$C$7:$K$16,8,0)</f>
        <v>#N/A</v>
      </c>
      <c r="AC231" s="55" t="e">
        <f>VLOOKUP(A231,Enforcements!$C$7:$E$16,3,0)</f>
        <v>#N/A</v>
      </c>
      <c r="AD231" s="56" t="str">
        <f>IF(LEN(A231)=6,"0"&amp;A231,A231)</f>
        <v>82-01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s3://rtdc.mdm.uploadarchive.raw/RTDC4055/ "%USERPROFILE%\AppData\Local\Temp\OnboardLogs"\RTDC4055\2017-02-01 --exclude "*" --recursive --include "*20170201*" &amp; "%USERPROFILE%\Documents\GitHub\mrs-test-scripts\Headless Mode &amp; Sideloading\WalkAndUnGZ.bat" "%USERPROFILE%\AppData\Local\Temp\OnboardLogs"\RTDC4055\2017-02-01 &amp; 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</v>
      </c>
      <c r="AF231" s="82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/stypes="app*4055*20170202*" /stext=" 06:.+((SYSTEM_STATE.+slice.+state.+changed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3"/>
        <v>"%USERPROFILE%\Documents\GitHub\eaglep3\Utilities\RefineRTDCRunTimes.py" --tripid 82-01 --locoid 4055 --swversion DE.1.0.8.0 --startMP 204:1545 --initTime 2017-02-01T22:51:01 --startdatetime 2017-02-01T22:53:03 --delay 1 --endMP 204:172364 --enddatetime 2017-02-01T23:27:31 --enforcementcount 0 &gt;&gt;C:\Users\stu\Documents\GitHub\eaglep3-reporting\EC\2017-02-01-refined-times.txt</v>
      </c>
      <c r="AI231" s="108" t="str">
        <f t="shared" si="14"/>
        <v>echo {"issue":{"subject":"61st 2N stuck at STOP","project_id":79,"tracker_id":40,"status_id":1,"priority_id":2,"assigned_to_id":23,"start_date":"2017-02-01","description":"","custom_fields":[{"id":1,"name":"Subdivision","value":"Other"},{"id":4,"name":"Milepost","value":"17.2364"},{"id":17,"name":"Train ID","value":"82-01"},{"id":16,"name":"Locomotive ID","value":"4055"},{"id":130,"name":"Impact","value":""},{"id":150,"name":"Time of Event (Mountain Time)","value":"23:27:31"},{"id":151,"name":"Denver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60" t="str">
        <f t="shared" si="15"/>
        <v>start /low /b %USERPROFILE%\Documents\GitHub\eaglep3\Utilities\DownloadLogsFromS3.py --loco 4055 --day 2017-02-01</v>
      </c>
      <c r="AN231" s="16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"%USERPROFILE%\AppData\Local\Temp\OnboardLogs"\RTDC4055\*4055*20170202* | grep -SE "(Enforcement Action)|(\[TIMEOUT)|(CHR.+\|PRM\|1\|D.+(SWITCH|SIGNAL).+UNKNOWN)" - &gt;&gt; 2017-02-01-UncaughtWiMAX.txt</v>
      </c>
    </row>
    <row r="232" spans="1:40" x14ac:dyDescent="0.25">
      <c r="A232" s="33" t="s">
        <v>447</v>
      </c>
      <c r="B232" s="7">
        <v>4055</v>
      </c>
      <c r="C232" s="21" t="s">
        <v>193</v>
      </c>
      <c r="D232" s="21" t="s">
        <v>415</v>
      </c>
      <c r="E232" s="13">
        <v>42767.885381944441</v>
      </c>
      <c r="F232" s="13">
        <v>42767.924583333333</v>
      </c>
      <c r="G232" s="7">
        <v>0</v>
      </c>
      <c r="H232" s="21" t="s">
        <v>803</v>
      </c>
      <c r="I232" s="13">
        <v>42767.950370370374</v>
      </c>
      <c r="J232" s="7">
        <v>0</v>
      </c>
      <c r="K232" s="98" t="str">
        <f>IF(ISEVEN(B232),(B232-1)&amp;"/"&amp;B232,B232&amp;"/"&amp;(B232+1))</f>
        <v>4055/4056</v>
      </c>
      <c r="L232" s="21" t="str">
        <f>VLOOKUP(A232,'Trips&amp;Operators'!$C$1:$G$99999,5,FALSE)</f>
        <v>COMELLA JUSTIN</v>
      </c>
      <c r="M232" s="6">
        <f>I232-F232</f>
        <v>2.5787037040572613E-2</v>
      </c>
      <c r="N232" s="7">
        <f>24*60*SUM($M232:$M232)</f>
        <v>37.133333338424563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9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-02-01T20:14:57-0700',mode:absolute,to:'2017-02-01T23:48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2" s="193" t="str">
        <f>IF(AA232&lt;IF(AG232="EC",23,5.65),"Y","N")</f>
        <v>N</v>
      </c>
      <c r="X232" s="193" t="e">
        <f>VALUE(LEFT(AD232,4))-VALUE(LEFT(AD231,4))</f>
        <v>#VALUE!</v>
      </c>
      <c r="Y232" s="62">
        <f>RIGHT(D232,LEN(D232)-4)/10000</f>
        <v>7.4099999999999999E-2</v>
      </c>
      <c r="Z232" s="62">
        <f>RIGHT(H232,LEN(H232)-4)/10000</f>
        <v>23.3232</v>
      </c>
      <c r="AA232" s="62">
        <f>ABS(Z232-Y232)</f>
        <v>23.249099999999999</v>
      </c>
      <c r="AB232" s="59" t="e">
        <f>VLOOKUP(A232,Enforcements!$C$7:$K$16,8,0)</f>
        <v>#N/A</v>
      </c>
      <c r="AC232" s="55" t="e">
        <f>VLOOKUP(A232,Enforcements!$C$7:$E$16,3,0)</f>
        <v>#N/A</v>
      </c>
      <c r="AD232" s="56" t="str">
        <f>IF(LEN(A232)=6,"0"&amp;A232,A232)</f>
        <v>82-01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s3://rtdc.mdm.uploadarchive.raw/RTDC4055/ "%USERPROFILE%\AppData\Local\Temp\OnboardLogs"\RTDC4055\2017-02-01 --exclude "*" --recursive --include "*20170201*" &amp; "%USERPROFILE%\Documents\GitHub\mrs-test-scripts\Headless Mode &amp; Sideloading\WalkAndUnGZ.bat" "%USERPROFILE%\AppData\Local\Temp\OnboardLogs"\RTDC4055\2017-02-01 &amp; 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</v>
      </c>
      <c r="AF232" s="82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/stypes="app*4055*20170202*" /stext=" 05:.+((SYSTEM_STATE.+slice.+state.+changed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86" t="str">
        <f t="shared" si="13"/>
        <v>"%USERPROFILE%\Documents\GitHub\eaglep3\Utilities\RefineRTDCRunTimes.py" --tripid 82-01 --locoid 4055 --swversion DE.1.0.8.0 --startMP 204:741 --initTime 2017-02-01T21:14:57 --startdatetime 2017-02-01T22:11:24 --delay 0 --endMP 204:233232 --enddatetime 2017-02-01T22:48:32 --enforcementcount 0 &gt;&gt;C:\Users\stu\Documents\GitHub\eaglep3-reporting\EC\2017-02-01-refined-times.txt</v>
      </c>
      <c r="AI232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{"issue":{"subject":"","project_id":79,"tracker_id":40,"status_id":1,"priority_id":2,"assigned_to_id":23,"start_date":"2017-02-01","description":"","custom_fields":[{"id":1,"name":"Subdivision","value":"Other"},{"id":4,"name":"Milepost","value":"23.3232"},{"id":17,"name":"Train ID","value":"82-01"},{"id":16,"name":"Locomotive ID","value":"4055"},{"id":130,"name":"Impact","value":""},{"id":150,"name":"Time of Event (Mountain Time)","value":"22:48:32"},{"id":151,"name":"Denver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60" t="str">
        <f t="shared" si="15"/>
        <v>start /low /b %USERPROFILE%\Documents\GitHub\eaglep3\Utilities\DownloadLogsFromS3.py --loco 4055 --day 2017-02-01</v>
      </c>
      <c r="AN232" s="169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"%USERPROFILE%\AppData\Local\Temp\OnboardLogs"\RTDC4055\*4055*20170202* | grep -SE "(Enforcement Action)|(\[TIMEOUT)|(CHR.+\|PRM\|1\|D.+(SWITCH|SIGNAL).+UNKNOWN)" - &gt;&gt; 2017-02-01-UncaughtWiMAX.txt</v>
      </c>
    </row>
    <row r="233" spans="1:40" x14ac:dyDescent="0.25">
      <c r="A233" s="33" t="s">
        <v>447</v>
      </c>
      <c r="B233" s="7">
        <v>4057</v>
      </c>
      <c r="C233" s="21" t="s">
        <v>193</v>
      </c>
      <c r="D233" s="21" t="s">
        <v>804</v>
      </c>
      <c r="E233" s="13">
        <v>42767.872337962966</v>
      </c>
      <c r="F233" s="13">
        <v>42767.88658564815</v>
      </c>
      <c r="G233" s="7">
        <v>1</v>
      </c>
      <c r="H233" s="21" t="s">
        <v>678</v>
      </c>
      <c r="I233" s="13">
        <v>42767.909328703703</v>
      </c>
      <c r="J233" s="7">
        <v>0</v>
      </c>
      <c r="K233" s="98" t="str">
        <f>IF(ISEVEN(B233),(B233-1)&amp;"/"&amp;B233,B233&amp;"/"&amp;(B233+1))</f>
        <v>4057/4058</v>
      </c>
      <c r="L233" s="21" t="str">
        <f>VLOOKUP(A233,'Trips&amp;Operators'!$C$1:$G$99999,5,FALSE)</f>
        <v>COMELLA JUSTIN</v>
      </c>
      <c r="M233" s="6">
        <f>I233-F233</f>
        <v>2.2743055553291924E-2</v>
      </c>
      <c r="N233" s="7">
        <f>24*60*SUM($M233:$M233)</f>
        <v>32.749999996740371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9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-02-01T19:56:10-0700',mode:absolute,to:'2017-02-01T22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193" t="str">
        <f>IF(AA233&lt;IF(AG233="EC",23,5.65),"Y","N")</f>
        <v>Y</v>
      </c>
      <c r="X233" s="193" t="e">
        <f>VALUE(LEFT(AD233,4))-VALUE(LEFT(AD232,4))</f>
        <v>#VALUE!</v>
      </c>
      <c r="Y233" s="62">
        <f>RIGHT(D233,LEN(D233)-4)/10000</f>
        <v>2.2772999999999999</v>
      </c>
      <c r="Z233" s="62">
        <f>RIGHT(H233,LEN(H233)-4)/10000</f>
        <v>1.29E-2</v>
      </c>
      <c r="AA233" s="62">
        <f>ABS(Z233-Y233)</f>
        <v>2.2643999999999997</v>
      </c>
      <c r="AB233" s="59" t="e">
        <f>VLOOKUP(A233,Enforcements!$C$7:$K$16,8,0)</f>
        <v>#N/A</v>
      </c>
      <c r="AC233" s="55" t="e">
        <f>VLOOKUP(A233,Enforcements!$C$7:$E$16,3,0)</f>
        <v>#N/A</v>
      </c>
      <c r="AD233" s="56" t="str">
        <f>IF(LEN(A233)=6,"0"&amp;A233,A233)</f>
        <v>82-01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s3://rtdc.mdm.uploadarchive.raw/RTDC4057/ "%USERPROFILE%\AppData\Local\Temp\OnboardLogs"\RTDC4057\2017-02-01 --exclude "*" --recursive --include "*20170201*" &amp; "%USERPROFILE%\Documents\GitHub\mrs-test-scripts\Headless Mode &amp; Sideloading\WalkAndUnGZ.bat" "%USERPROFILE%\AppData\Local\Temp\OnboardLogs"\RTDC4057\2017-02-01 &amp; 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</v>
      </c>
      <c r="AF233" s="82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/stypes="app*4057*20170202*" /stext=" 04:.+((SYSTEM_STATE.+slice.+state.+changed )|(ment ac)|(multiple cpu faults)|(system.+state.+changed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86" t="str">
        <f t="shared" si="13"/>
        <v>"%USERPROFILE%\Documents\GitHub\eaglep3\Utilities\RefineRTDCRunTimes.py" --tripid 82-01 --locoid 4057 --swversion DE.1.0.8.0 --startMP 300:22773 --initTime 2017-02-01T20:56:10 --startdatetime 2017-02-01T21:16:41 --delay 1 --endMP 204:129 --enddatetime 2017-02-01T21:49:26 --enforcementcount 0 &gt;&gt;C:\Users\stu\Documents\GitHub\eaglep3-reporting\EC\2017-02-01-refined-times.txt</v>
      </c>
      <c r="AI233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{"issue":{"subject":"","project_id":79,"tracker_id":40,"status_id":1,"priority_id":2,"assigned_to_id":23,"start_date":"2017-02-01","description":"","custom_fields":[{"id":1,"name":"Subdivision","value":"Other"},{"id":4,"name":"Milepost","value":"0.0129"},{"id":17,"name":"Train ID","value":"82-01"},{"id":16,"name":"Locomotive ID","value":"4057"},{"id":130,"name":"Impact","value":""},{"id":150,"name":"Time of Event (Mountain Time)","value":"21:49:26"},{"id":151,"name":"Denver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60" t="str">
        <f t="shared" si="15"/>
        <v>start /low /b %USERPROFILE%\Documents\GitHub\eaglep3\Utilities\DownloadLogsFromS3.py --loco 4057 --day 2017-02-01</v>
      </c>
      <c r="AN233" s="169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"%USERPROFILE%\AppData\Local\Temp\OnboardLogs"\RTDC4057\*4057*20170202* | grep -SE "(Enforcement Action)|(\[TIMEOUT)|(CHR.+\|PRM\|1\|D.+(SWITCH|SIGNAL).+UNKNOWN)" - &gt;&gt; 2017-02-01-UncaughtWiMAX.txt</v>
      </c>
    </row>
    <row r="234" spans="1:40" x14ac:dyDescent="0.25">
      <c r="A234" s="33" t="s">
        <v>648</v>
      </c>
      <c r="B234" s="7">
        <v>4057</v>
      </c>
      <c r="C234" s="21" t="s">
        <v>193</v>
      </c>
      <c r="D234" s="21" t="s">
        <v>814</v>
      </c>
      <c r="E234" s="13">
        <v>42767.91138888889</v>
      </c>
      <c r="F234" s="13">
        <v>42767.924583333333</v>
      </c>
      <c r="G234" s="7">
        <v>1</v>
      </c>
      <c r="H234" s="21" t="s">
        <v>815</v>
      </c>
      <c r="I234" s="13">
        <v>42767.950370370374</v>
      </c>
      <c r="J234" s="7">
        <v>0</v>
      </c>
      <c r="K234" s="98" t="str">
        <f>IF(ISEVEN(B234),(B234-1)&amp;"/"&amp;B234,B234&amp;"/"&amp;(B234+1))</f>
        <v>4057/4058</v>
      </c>
      <c r="L234" s="21" t="str">
        <f>VLOOKUP(A234,'Trips&amp;Operators'!$C$1:$G$99999,5,FALSE)</f>
        <v>COMELLA JUSTIN</v>
      </c>
      <c r="M234" s="6">
        <f>I234-F234</f>
        <v>2.5787037040572613E-2</v>
      </c>
      <c r="N234" s="7">
        <f>24*60*SUM($M234:$M234)</f>
        <v>37.133333338424563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9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-02-01T20:52:24-0700',mode:absolute,to:'2017-02-01T23:48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4" s="193" t="str">
        <f>IF(AA234&lt;IF(AG234="EC",23,5.65),"Y","N")</f>
        <v>N</v>
      </c>
      <c r="X234" s="193" t="e">
        <f>VALUE(LEFT(AD234,4))-VALUE(LEFT(AD233,4))</f>
        <v>#VALUE!</v>
      </c>
      <c r="Y234" s="62">
        <f>RIGHT(D234,LEN(D234)-4)/10000</f>
        <v>23.258099999999999</v>
      </c>
      <c r="Z234" s="62">
        <f>RIGHT(H234,LEN(H234)-4)/10000</f>
        <v>8.9800000000000005E-2</v>
      </c>
      <c r="AA234" s="62">
        <f>ABS(Z234-Y234)</f>
        <v>23.168299999999999</v>
      </c>
      <c r="AB234" s="59" t="e">
        <f>VLOOKUP(A234,Enforcements!$C$7:$K$16,8,0)</f>
        <v>#N/A</v>
      </c>
      <c r="AC234" s="55" t="e">
        <f>VLOOKUP(A234,Enforcements!$C$7:$E$16,3,0)</f>
        <v>#N/A</v>
      </c>
      <c r="AD234" s="56" t="str">
        <f>IF(LEN(A234)=6,"0"&amp;A234,A234)</f>
        <v>83-01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s3://rtdc.mdm.uploadarchive.raw/RTDC4057/ "%USERPROFILE%\AppData\Local\Temp\OnboardLogs"\RTDC4057\2017-02-01 --exclude "*" --recursive --include "*20170201*" &amp; "%USERPROFILE%\Documents\GitHub\mrs-test-scripts\Headless Mode &amp; Sideloading\WalkAndUnGZ.bat" "%USERPROFILE%\AppData\Local\Temp\OnboardLogs"\RTDC4057\2017-02-01 &amp; 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</v>
      </c>
      <c r="AF234" s="82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/stypes="app*4057*20170202*" /stext=" 05:.+((SYSTEM_STATE.+slice.+state.+changed )|(ment ac)|(multiple cpu faults)|(system.+state.+changed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86" t="str">
        <f t="shared" si="13"/>
        <v>"%USERPROFILE%\Documents\GitHub\eaglep3\Utilities\RefineRTDCRunTimes.py" --tripid 83-01 --locoid 4057 --swversion DE.1.0.8.0 --startMP 204:232581 --initTime 2017-02-01T21:52:24 --startdatetime 2017-02-01T22:11:24 --delay 1 --endMP 204:898 --enddatetime 2017-02-01T22:48:32 --enforcementcount 0 &gt;&gt;C:\Users\stu\Documents\GitHub\eaglep3-reporting\EC\2017-02-01-refined-times.txt</v>
      </c>
      <c r="AI234" s="108" t="str">
        <f t="shared" si="14"/>
        <v>echo {"issue":{"subject":"","project_id":79,"tracker_id":40,"status_id":1,"priority_id":2,"assigned_to_id":23,"start_date":"2017-02-01","description":"","custom_fields":[{"id":1,"name":"Subdivision","value":"Other"},{"id":4,"name":"Milepost","value":"0.0898"},{"id":17,"name":"Train ID","value":"83-01"},{"id":16,"name":"Locomotive ID","value":"4057"},{"id":130,"name":"Impact","value":""},{"id":150,"name":"Time of Event (Mountain Time)","value":"22:48:32"},{"id":151,"name":"Denver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60" t="str">
        <f t="shared" si="15"/>
        <v>start /low /b %USERPROFILE%\Documents\GitHub\eaglep3\Utilities\DownloadLogsFromS3.py --loco 4057 --day 2017-02-01</v>
      </c>
      <c r="AN234" s="169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"%USERPROFILE%\AppData\Local\Temp\OnboardLogs"\RTDC4057\*4057*20170202* | grep -SE "(Enforcement Action)|(\[TIMEOUT)|(CHR.+\|PRM\|1\|D.+(SWITCH|SIGNAL).+UNKNOWN)" - &gt;&gt; 2017-02-01-UncaughtWiMAX.txt</v>
      </c>
    </row>
    <row r="235" spans="1:40" x14ac:dyDescent="0.25">
      <c r="A235" s="33" t="s">
        <v>663</v>
      </c>
      <c r="B235" s="7">
        <v>4055</v>
      </c>
      <c r="C235" s="21" t="s">
        <v>193</v>
      </c>
      <c r="D235" s="21" t="s">
        <v>842</v>
      </c>
      <c r="E235" s="13">
        <v>42768.05872685185</v>
      </c>
      <c r="F235" s="13">
        <v>42768.075138888889</v>
      </c>
      <c r="G235" s="7">
        <v>1</v>
      </c>
      <c r="H235" s="21" t="s">
        <v>843</v>
      </c>
      <c r="I235" s="13">
        <v>42768.076585648145</v>
      </c>
      <c r="J235" s="7">
        <v>0</v>
      </c>
      <c r="K235" s="98" t="str">
        <f>IF(ISEVEN(B235),(B235-1)&amp;"/"&amp;B235,B235&amp;"/"&amp;(B235+1))</f>
        <v>4055/4056</v>
      </c>
      <c r="L235" s="21" t="str">
        <f>VLOOKUP(A235,'Trips&amp;Operators'!$C$1:$G$99999,5,FALSE)</f>
        <v>COMELLA JUSTIN</v>
      </c>
      <c r="M235" s="6">
        <f>I235-F235</f>
        <v>1.4467592554865405E-3</v>
      </c>
      <c r="N235" s="7">
        <f>24*60*SUM($M235:$M235)</f>
        <v>2.0833333279006183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9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-02-02T00:24:34-0700',mode:absolute,to:'2017-02-02T02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3" t="str">
        <f>IF(AA235&lt;IF(AG235="EC",23,5.65),"Y","N")</f>
        <v>Y</v>
      </c>
      <c r="X235" s="193" t="e">
        <f>VALUE(LEFT(AD235,4))-VALUE(LEFT(AD234,4))</f>
        <v>#VALUE!</v>
      </c>
      <c r="Y235" s="62">
        <f>RIGHT(D235,LEN(D235)-4)/10000</f>
        <v>7.3200000000000001E-2</v>
      </c>
      <c r="Z235" s="62">
        <f>RIGHT(H235,LEN(H235)-4)/10000</f>
        <v>0.5534</v>
      </c>
      <c r="AA235" s="62">
        <f>ABS(Z235-Y235)</f>
        <v>0.48020000000000002</v>
      </c>
      <c r="AB235" s="59" t="e">
        <f>VLOOKUP(A235,Enforcements!$C$7:$K$16,8,0)</f>
        <v>#N/A</v>
      </c>
      <c r="AC235" s="55" t="e">
        <f>VLOOKUP(A235,Enforcements!$C$7:$E$16,3,0)</f>
        <v>#N/A</v>
      </c>
      <c r="AD235" s="56" t="str">
        <f>IF(LEN(A235)=6,"0"&amp;A235,A235)</f>
        <v>NORTH55-01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 &amp; 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</v>
      </c>
      <c r="AF235" s="82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/stypes="app*4055*20170202*" /stext=" 08:.+((SYSTEM_STATE.+slice.+state.+changed )|(ment ac)|(multiple cpu faults)|(system.+state.+changed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86" t="str">
        <f t="shared" si="13"/>
        <v>"%USERPROFILE%\Documents\GitHub\eaglep3\Utilities\RefineRTDCRunTimes.py" --tripid NORTH55-01 --locoid 4055 --swversion DE.1.0.8.0 --startMP 204:732 --initTime 2017-02-02T01:24:34 --startdatetime 2017-02-02T01:48:12 --delay 1 --endMP 204:5534 --enddatetime 2017-02-02T01:50:17 --enforcementcount 0 &gt;&gt;C:\Users\stu\Documents\GitHub\eaglep3-reporting\EC\2017-02-01-refined-times.txt</v>
      </c>
      <c r="AI235" s="108" t="str">
        <f t="shared" si="14"/>
        <v>echo {"issue":{"subject":"","project_id":79,"tracker_id":40,"status_id":1,"priority_id":2,"assigned_to_id":23,"start_date":"2017-02-02","description":"","custom_fields":[{"id":1,"name":"Subdivision","value":"Other"},{"id":4,"name":"Milepost","value":"0.5534"},{"id":17,"name":"Train ID","value":"NORTH55-01"},{"id":16,"name":"Locomotive ID","value":"4055"},{"id":130,"name":"Impact","value":""},{"id":150,"name":"Time of Event (Mountain Time)","value":"01:50:17"},{"id":151,"name":"Denver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60" t="str">
        <f t="shared" si="15"/>
        <v>start /low /b %USERPROFILE%\Documents\GitHub\eaglep3\Utilities\DownloadLogsFromS3.py --loco 4055 --day 2017-02-02</v>
      </c>
      <c r="AN235" s="169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"%USERPROFILE%\AppData\Local\Temp\OnboardLogs"\RTDC4055\*4055*20170202* | grep -SE "(Enforcement Action)|(\[TIMEOUT)|(CHR.+\|PRM\|1\|D.+(SWITCH|SIGNAL).+UNKNOWN)" - &gt;&gt; 2017-02-01-UncaughtWiMAX.txt</v>
      </c>
    </row>
    <row r="236" spans="1:40" x14ac:dyDescent="0.25">
      <c r="A236" s="33" t="s">
        <v>657</v>
      </c>
      <c r="B236" s="7">
        <v>4057</v>
      </c>
      <c r="C236" s="21" t="s">
        <v>193</v>
      </c>
      <c r="D236" s="21" t="s">
        <v>844</v>
      </c>
      <c r="E236" s="13">
        <v>42767.995138888888</v>
      </c>
      <c r="F236" s="13">
        <v>42768.014953703707</v>
      </c>
      <c r="G236" s="7">
        <v>2</v>
      </c>
      <c r="H236" s="21" t="s">
        <v>403</v>
      </c>
      <c r="I236" s="13">
        <v>42768.057025462964</v>
      </c>
      <c r="J236" s="7">
        <v>0</v>
      </c>
      <c r="K236" s="98" t="str">
        <f>IF(ISEVEN(B236),(B236-1)&amp;"/"&amp;B236,B236&amp;"/"&amp;(B236+1))</f>
        <v>4057/4058</v>
      </c>
      <c r="L236" s="21" t="str">
        <f>VLOOKUP(A236,'Trips&amp;Operators'!$C$1:$G$99999,5,FALSE)</f>
        <v>COMELLA JUSTIN</v>
      </c>
      <c r="M236" s="6">
        <f>I236-F236</f>
        <v>4.2071759256941732E-2</v>
      </c>
      <c r="N236" s="7">
        <f>24*60*SUM($M236:$M236)</f>
        <v>60.583333329996094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9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-02-01T22:53:00-0700',mode:absolute,to:'2017-02-02T02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6" s="193" t="str">
        <f>IF(AA236&lt;IF(AG236="EC",23,5.65),"Y","N")</f>
        <v>N</v>
      </c>
      <c r="X236" s="193" t="e">
        <f>VALUE(LEFT(AD236,4))-VALUE(LEFT(AD235,4))</f>
        <v>#VALUE!</v>
      </c>
      <c r="Y236" s="62">
        <f>RIGHT(D236,LEN(D236)-4)/10000</f>
        <v>23.2669</v>
      </c>
      <c r="Z236" s="62">
        <f>RIGHT(H236,LEN(H236)-4)/10000</f>
        <v>1.7399999999999999E-2</v>
      </c>
      <c r="AA236" s="62">
        <f>ABS(Z236-Y236)</f>
        <v>23.249500000000001</v>
      </c>
      <c r="AB236" s="59" t="e">
        <f>VLOOKUP(A236,Enforcements!$C$7:$K$16,8,0)</f>
        <v>#N/A</v>
      </c>
      <c r="AC236" s="55" t="e">
        <f>VLOOKUP(A236,Enforcements!$C$7:$E$16,3,0)</f>
        <v>#N/A</v>
      </c>
      <c r="AD236" s="56" t="str">
        <f>IF(LEN(A236)=6,"0"&amp;A236,A236)</f>
        <v>SOUTH57-01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AF236" s="82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/stypes="app*4057*20170202*" /stext=" 08:.+((SYSTEM_STATE.+slice.+state.+changed )|(ment ac)|(multiple cpu faults)|(system.+state.+changed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86" t="str">
        <f t="shared" si="13"/>
        <v>"%USERPROFILE%\Documents\GitHub\eaglep3\Utilities\RefineRTDCRunTimes.py" --tripid SOUTH57-01 --locoid 4057 --swversion DE.1.0.8.0 --startMP 204:232669 --initTime 2017-02-01T23:53:00 --startdatetime 2017-02-02T00:21:32 --delay 2 --endMP 204:174 --enddatetime 2017-02-02T01:22:07 --enforcementcount 0 &gt;&gt;C:\Users\stu\Documents\GitHub\eaglep3-reporting\EC\2017-02-01-refined-times.txt</v>
      </c>
      <c r="AI236" s="108" t="str">
        <f t="shared" si="14"/>
        <v>echo {"issue":{"subject":"","project_id":79,"tracker_id":40,"status_id":1,"priority_id":2,"assigned_to_id":23,"start_date":"2017-02-02","description":"","custom_fields":[{"id":1,"name":"Subdivision","value":"Other"},{"id":4,"name":"Milepost","value":"0.0174"},{"id":17,"name":"Train ID","value":"SOUTH57-01"},{"id":16,"name":"Locomotive ID","value":"4057"},{"id":130,"name":"Impact","value":""},{"id":150,"name":"Time of Event (Mountain Time)","value":"01:22:07"},{"id":151,"name":"Denver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60" t="str">
        <f t="shared" si="15"/>
        <v>start /low /b %USERPROFILE%\Documents\GitHub\eaglep3\Utilities\DownloadLogsFromS3.py --loco 4057 --day 2017-02-02</v>
      </c>
      <c r="AN236" s="169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"%USERPROFILE%\AppData\Local\Temp\OnboardLogs"\RTDC4057\*4057*20170202* | grep -SE "(Enforcement Action)|(\[TIMEOUT)|(CHR.+\|PRM\|1\|D.+(SWITCH|SIGNAL).+UNKNOWN)" - &gt;&gt; 2017-02-01-UncaughtWiMAX.txt</v>
      </c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29">
    <sortState ref="A13:AG237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36">
    <cfRule type="cellIs" dxfId="10" priority="356" operator="equal">
      <formula>"Y"</formula>
    </cfRule>
  </conditionalFormatting>
  <conditionalFormatting sqref="X263:X1048576 X13:X236">
    <cfRule type="cellIs" dxfId="9" priority="339" operator="greaterThan">
      <formula>1</formula>
    </cfRule>
  </conditionalFormatting>
  <conditionalFormatting sqref="X263:X1048576 X12:X236">
    <cfRule type="cellIs" dxfId="8" priority="336" operator="equal">
      <formula>0</formula>
    </cfRule>
  </conditionalFormatting>
  <conditionalFormatting sqref="A13:S23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60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60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6">
        <f>COUNTIF($O$7:$O$322,"=Y")</f>
        <v>1</v>
      </c>
      <c r="P2" s="122"/>
      <c r="R2" s="83"/>
      <c r="S2" s="90"/>
      <c r="T2" s="80"/>
      <c r="V2" s="44"/>
      <c r="AC2" s="128"/>
      <c r="AE2" s="160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7">
        <f>COUNTA($O$7:$O$322)-O2</f>
        <v>22</v>
      </c>
      <c r="P3" s="122"/>
      <c r="R3" s="83"/>
      <c r="S3" s="90"/>
      <c r="T3" s="80"/>
      <c r="V3" s="44"/>
      <c r="AC3" s="128"/>
      <c r="AE3" s="160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60"/>
    </row>
    <row r="5" spans="1:31" s="10" customFormat="1" ht="15" customHeight="1" x14ac:dyDescent="0.25">
      <c r="A5" s="195" t="str">
        <f>"Eagle P3 Braking Events - "&amp;TEXT(Variables!$A$2,"YYYY-mm-dd")</f>
        <v>Eagle P3 Braking Events - 2017-02-01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2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8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201</v>
      </c>
      <c r="AE6" s="161" t="s">
        <v>217</v>
      </c>
    </row>
    <row r="7" spans="1:31" s="1" customFormat="1" x14ac:dyDescent="0.25">
      <c r="A7" s="32">
        <v>42767.453981481478</v>
      </c>
      <c r="B7" s="30" t="s">
        <v>199</v>
      </c>
      <c r="C7" s="30" t="s">
        <v>435</v>
      </c>
      <c r="D7" s="30" t="s">
        <v>49</v>
      </c>
      <c r="E7" s="30" t="s">
        <v>203</v>
      </c>
      <c r="F7" s="43">
        <v>0</v>
      </c>
      <c r="G7" s="43">
        <v>191</v>
      </c>
      <c r="H7" s="43">
        <v>26964</v>
      </c>
      <c r="I7" s="43">
        <v>27226</v>
      </c>
      <c r="J7" s="30" t="s">
        <v>204</v>
      </c>
      <c r="K7" s="43">
        <v>27053</v>
      </c>
      <c r="L7" s="143" t="s">
        <v>50</v>
      </c>
      <c r="M7" s="144">
        <f>CONVERT((I7-K7)/10000,"mi","ft")*IF(L7="Increasing Mileposts (1)",-1,1)</f>
        <v>-91.343999999999994</v>
      </c>
      <c r="N7" s="145" t="str">
        <f>VLOOKUP(C7,'Trips&amp;Operators'!$C$1:$G$99999,5,FALSE)</f>
        <v>STARKS ANGELINA</v>
      </c>
      <c r="O7" s="159" t="s">
        <v>185</v>
      </c>
      <c r="P7" s="146" t="s">
        <v>337</v>
      </c>
      <c r="Q7" s="30"/>
      <c r="R7" s="89" t="str">
        <f>VLOOKUP(C7,'Train Runs'!$A$13:$AE$9967,31,0)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S7" s="92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-02-01T09:44:46-0700',mode:absolute,to:'2017-02-01T12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/stypes="*4038*201702011*" /stext=" 17:.+((SYSTEM_STATE.+slice.+state.+changed )|(ment ac)|(multiple cpu faults)|(system.+state.+changed )|(\[timeout)|(PRM\|1\|D)|(kpr)|(kdp)|(\|lc)|(penalty))" /e /r /s</v>
      </c>
      <c r="U7" s="9" t="str">
        <f>MID(B7,13,4)</f>
        <v>4038</v>
      </c>
      <c r="V7" s="32">
        <f>A7-utc_offset/24</f>
        <v>42767.745648148142</v>
      </c>
      <c r="W7" s="46" t="str">
        <f>IF(VALUE(LEFT(IF(LEN(C7)=6,"0"&amp;C7,C7),2))&lt;=2,"EC",IF(OR(VALUE(LEFT(IF(LEN(C7)=6,"0"&amp;C7,C7),2))=8,VALUE(LEFT(IF(LEN(C7)=6,"0"&amp;C7,C7),2))=18),"NW","Other"))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arrival","project_id":79,"tracker_id":40,"status_id":1,"priority_id":2,"assigned_to_id":23,"start_date":"2017-02-01","description":"","custom_fields":[{"id":1,"name":"Subdivision","value":"EC"},{"id":4,"name":"Milepost","value":"2.7053"},{"id":17,"name":"Train ID","value":"157-01"},{"id":16,"name":"Locomotive ID","value":"4038"},{"id":130,"name":"Impact","value":""},{"id":150,"name":"Time of Event (Mountain Time)","value":"10:53:44"},{"id":151,"name":"Denver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"%USERPROFILE%\AppData\Local\Temp\OnboardLogs"\RTDC4038\*4038*201702011*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"%USERPROFILE%\AppData\Local\Temp\OnboardLogs"\RTDC4038\*4038*201702011* &gt;&gt; 2017-02-01-SliceDisagreementCheck.txt</v>
      </c>
      <c r="AE7" s="163" t="str">
        <f>"start /low /b "&amp;dls3logs&amp;" --loco "&amp;U7&amp;" --day "&amp;TEXT(V7,"YYYY-MM-DD")</f>
        <v>start /low /b %USERPROFILE%\Documents\GitHub\eaglep3\Utilities\DownloadLogsFromS3.py --loco 4038 --day 2017-02-01</v>
      </c>
    </row>
    <row r="8" spans="1:31" s="1" customFormat="1" x14ac:dyDescent="0.25">
      <c r="A8" s="32">
        <v>42767.58797453704</v>
      </c>
      <c r="B8" s="30" t="s">
        <v>338</v>
      </c>
      <c r="C8" s="30" t="s">
        <v>439</v>
      </c>
      <c r="D8" s="30" t="s">
        <v>49</v>
      </c>
      <c r="E8" s="30" t="s">
        <v>203</v>
      </c>
      <c r="F8" s="43">
        <v>0</v>
      </c>
      <c r="G8" s="43">
        <v>217</v>
      </c>
      <c r="H8" s="43">
        <v>26993</v>
      </c>
      <c r="I8" s="43">
        <v>27309</v>
      </c>
      <c r="J8" s="30" t="s">
        <v>204</v>
      </c>
      <c r="K8" s="43">
        <v>27053</v>
      </c>
      <c r="L8" s="143" t="s">
        <v>50</v>
      </c>
      <c r="M8" s="144">
        <f>CONVERT((I8-K8)/10000,"mi","ft")*IF(L8="Increasing Mileposts (1)",-1,1)</f>
        <v>-135.16800000000001</v>
      </c>
      <c r="N8" s="145" t="str">
        <f>VLOOKUP(C8,'Trips&amp;Operators'!$C$1:$G$99999,5,FALSE)</f>
        <v>LEVIN SCOTT</v>
      </c>
      <c r="O8" s="159" t="s">
        <v>185</v>
      </c>
      <c r="P8" s="146" t="s">
        <v>337</v>
      </c>
      <c r="Q8" s="30"/>
      <c r="R8" s="89" t="str">
        <f>VLOOKUP(C8,'Train Runs'!$A$13:$AE$9967,31,0)</f>
        <v>aws s3 cp s3://rtdc.mdm.uploadarchive.raw/RTDC4016/ "%USERPROFILE%\AppData\Local\Temp\OnboardLogs"\RTDC4016\2017-02-01 --exclude "*" --recursive --include "*20170201*" &amp; "%USERPROFILE%\Documents\GitHub\mrs-test-scripts\Headless Mode &amp; Sideloading\WalkAndUnGZ.bat" "%USERPROFILE%\AppData\Local\Temp\OnboardLogs"\RTDC4016\2017-02-01 &amp; 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</v>
      </c>
      <c r="S8" s="92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-02-01T12:53:54-0700',mode:absolute,to:'2017-02-01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/stypes="*4016*201702012*" /stext=" 21:.+((SYSTEM_STATE.+slice.+state.+changed )|(ment ac)|(multiple cpu faults)|(system.+state.+changed )|(\[timeout)|(PRM\|1\|D)|(kpr)|(kdp)|(\|lc)|(penalty))" /e /r /s</v>
      </c>
      <c r="U8" s="9" t="str">
        <f>MID(B8,13,4)</f>
        <v>4016</v>
      </c>
      <c r="V8" s="32">
        <f>A8-utc_offset/24</f>
        <v>42767.879641203705</v>
      </c>
      <c r="W8" s="46" t="str">
        <f>IF(VALUE(LEFT(IF(LEN(C8)=6,"0"&amp;C8,C8),2))&lt;=2,"EC",IF(OR(VALUE(LEFT(IF(LEN(C8)=6,"0"&amp;C8,C8),2))=8,VALUE(LEFT(IF(LEN(C8)=6,"0"&amp;C8,C8),2))=18),"NW","Other"))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arrival","project_id":79,"tracker_id":40,"status_id":1,"priority_id":2,"assigned_to_id":23,"start_date":"2017-02-01","description":"","custom_fields":[{"id":1,"name":"Subdivision","value":"EC"},{"id":4,"name":"Milepost","value":"2.7053"},{"id":17,"name":"Train ID","value":"183-01"},{"id":16,"name":"Locomotive ID","value":"4016"},{"id":130,"name":"Impact","value":""},{"id":150,"name":"Time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"%USERPROFILE%\AppData\Local\Temp\OnboardLogs"\RTDC4016\*4016*201702012*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"%USERPROFILE%\AppData\Local\Temp\OnboardLogs"\RTDC4016\*4016*201702012* &gt;&gt; 2017-02-01-SliceDisagreementCheck.txt</v>
      </c>
      <c r="AE8" s="163" t="str">
        <f>"start /low /b "&amp;dls3logs&amp;" --loco "&amp;U8&amp;" --day "&amp;TEXT(V8,"YYYY-MM-DD")</f>
        <v>start /low /b %USERPROFILE%\Documents\GitHub\eaglep3\Utilities\DownloadLogsFromS3.py --loco 4016 --day 2017-02-01</v>
      </c>
    </row>
    <row r="9" spans="1:31" s="1" customFormat="1" x14ac:dyDescent="0.25">
      <c r="A9" s="32">
        <v>42767.977870370371</v>
      </c>
      <c r="B9" s="30" t="s">
        <v>288</v>
      </c>
      <c r="C9" s="30" t="s">
        <v>448</v>
      </c>
      <c r="D9" s="30" t="s">
        <v>98</v>
      </c>
      <c r="E9" s="30" t="s">
        <v>203</v>
      </c>
      <c r="F9" s="43">
        <v>0</v>
      </c>
      <c r="G9" s="43">
        <v>126</v>
      </c>
      <c r="H9" s="43">
        <v>27345</v>
      </c>
      <c r="I9" s="43">
        <v>27264</v>
      </c>
      <c r="J9" s="30" t="s">
        <v>204</v>
      </c>
      <c r="K9" s="43">
        <v>27350</v>
      </c>
      <c r="L9" s="143" t="s">
        <v>51</v>
      </c>
      <c r="M9" s="144">
        <f>CONVERT((I9-K9)/10000,"mi","ft")*IF(L9="Increasing Mileposts (1)",-1,1)</f>
        <v>-45.408000000000001</v>
      </c>
      <c r="N9" s="145" t="str">
        <f>VLOOKUP(C9,'Trips&amp;Operators'!$C$1:$G$99999,5,FALSE)</f>
        <v>BROWN JACOB</v>
      </c>
      <c r="O9" s="159" t="s">
        <v>185</v>
      </c>
      <c r="P9" s="146" t="s">
        <v>337</v>
      </c>
      <c r="Q9" s="30"/>
      <c r="R9" s="89" t="str">
        <f>VLOOKUP(C9,'Train Runs'!$A$13:$AE$9967,31,0)</f>
        <v>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 &amp; aws s3 cp s3://rtdc.mdm.uploadarchive.raw/RTDC4041/ "%USERPROFILE%\AppData\Local\Temp\OnboardLogs"\RTDC4041\2017-02-02 --exclude "*" --recursive --include "*20170202*" &amp; "%USERPROFILE%\Documents\GitHub\mrs-test-scripts\Headless Mode &amp; Sideloading\WalkAndUnGZ.bat" "%USERPROFILE%\AppData\Local\Temp\OnboardLogs"\RTDC4041\2017-02-02</v>
      </c>
      <c r="S9" s="92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-02-01T21:50:08-0700',mode:absolute,to:'2017-02-02T00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/stypes="*4041*201702020*" /stext=" 06:.+((SYSTEM_STATE.+slice.+state.+changed )|(ment ac)|(multiple cpu faults)|(system.+state.+changed )|(\[timeout)|(PRM\|1\|D)|(kpr)|(kdp)|(\|lc)|(penalty))" /e /r /s</v>
      </c>
      <c r="U9" s="9" t="str">
        <f>MID(B9,13,4)</f>
        <v>4041</v>
      </c>
      <c r="V9" s="32">
        <f>A9-utc_offset/24</f>
        <v>42768.269537037035</v>
      </c>
      <c r="W9" s="46" t="str">
        <f>IF(VALUE(LEFT(IF(LEN(C9)=6,"0"&amp;C9,C9),2))&lt;=2,"EC",IF(OR(VALUE(LEFT(IF(LEN(C9)=6,"0"&amp;C9,C9),2))=8,VALUE(LEFT(IF(LEN(C9)=6,"0"&amp;C9,C9),2))=18),"NW","Other"))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arrival","project_id":79,"tracker_id":40,"status_id":1,"priority_id":2,"assigned_to_id":23,"start_date":"2017-02-01","description":"","custom_fields":[{"id":1,"name":"Subdivision","value":"EC"},{"id":4,"name":"Milepost","value":"2.735"},{"id":17,"name":"Train ID","value":"234-01"},{"id":16,"name":"Locomotive ID","value":"4041"},{"id":130,"name":"Impact","value":""},{"id":150,"name":"Time of Event (Mountain Time)","value":"23:28:08"},{"id":151,"name":"Denver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"%USERPROFILE%\AppData\Local\Temp\OnboardLogs"\RTDC4041\*4041*201702020*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"%USERPROFILE%\AppData\Local\Temp\OnboardLogs"\RTDC4041\*4041*201702020* &gt;&gt; 2017-02-01-SliceDisagreementCheck.txt</v>
      </c>
      <c r="AE9" s="163" t="str">
        <f>"start /low /b "&amp;dls3logs&amp;" --loco "&amp;U9&amp;" --day "&amp;TEXT(V9,"YYYY-MM-DD")</f>
        <v>start /low /b %USERPROFILE%\Documents\GitHub\eaglep3\Utilities\DownloadLogsFromS3.py --loco 4041 --day 2017-02-02</v>
      </c>
    </row>
    <row r="10" spans="1:31" s="1" customFormat="1" x14ac:dyDescent="0.25">
      <c r="A10" s="32">
        <v>42767.798310185186</v>
      </c>
      <c r="B10" s="30" t="s">
        <v>200</v>
      </c>
      <c r="C10" s="30" t="s">
        <v>443</v>
      </c>
      <c r="D10" s="30" t="s">
        <v>49</v>
      </c>
      <c r="E10" s="30" t="s">
        <v>203</v>
      </c>
      <c r="F10" s="43">
        <v>0</v>
      </c>
      <c r="G10" s="43">
        <v>230</v>
      </c>
      <c r="H10" s="43">
        <v>33369</v>
      </c>
      <c r="I10" s="43">
        <v>33046</v>
      </c>
      <c r="J10" s="30" t="s">
        <v>204</v>
      </c>
      <c r="K10" s="43">
        <v>33257</v>
      </c>
      <c r="L10" s="143" t="s">
        <v>51</v>
      </c>
      <c r="M10" s="144">
        <f>CONVERT((I10-K10)/10000,"mi","ft")*IF(L10="Increasing Mileposts (1)",-1,1)</f>
        <v>-111.408</v>
      </c>
      <c r="N10" s="145" t="str">
        <f>VLOOKUP(C10,'Trips&amp;Operators'!$C$1:$G$99999,5,FALSE)</f>
        <v>STORY SAMANTHA</v>
      </c>
      <c r="O10" s="159" t="s">
        <v>185</v>
      </c>
      <c r="P10" s="146" t="s">
        <v>337</v>
      </c>
      <c r="Q10" s="30"/>
      <c r="R10" s="89" t="str">
        <f>VLOOKUP(C10,'Train Runs'!$A$13:$AE$9967,31,0)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S10" s="92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-02-01T17:28:45-0700',mode:absolute,to:'2017-02-01T20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/stypes="*4037*201702020*" /stext=" 02:.+((SYSTEM_STATE.+slice.+state.+changed )|(ment ac)|(multiple cpu faults)|(system.+state.+changed )|(\[timeout)|(PRM\|1\|D)|(kpr)|(kdp)|(\|lc)|(penalty))" /e /r /s</v>
      </c>
      <c r="U10" s="9" t="str">
        <f>MID(B10,13,4)</f>
        <v>4037</v>
      </c>
      <c r="V10" s="32">
        <f>A10-utc_offset/24</f>
        <v>42768.08997685185</v>
      </c>
      <c r="W10" s="46" t="str">
        <f>IF(VALUE(LEFT(IF(LEN(C10)=6,"0"&amp;C10,C10),2))&lt;=2,"EC",IF(OR(VALUE(LEFT(IF(LEN(C10)=6,"0"&amp;C10,C10),2))=8,VALUE(LEFT(IF(LEN(C10)=6,"0"&amp;C10,C10),2))=18),"NW","Other"))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arrival","project_id":79,"tracker_id":40,"status_id":1,"priority_id":2,"assigned_to_id":23,"start_date":"2017-02-01","description":"","custom_fields":[{"id":1,"name":"Subdivision","value":"EC"},{"id":4,"name":"Milepost","value":"3.3257"},{"id":17,"name":"Train ID","value":"214-01"},{"id":16,"name":"Locomotive ID","value":"4037"},{"id":130,"name":"Impact","value":""},{"id":150,"name":"Time of Event (Mountain Time)","value":"19:09:34"},{"id":151,"name":"Denver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"%USERPROFILE%\AppData\Local\Temp\OnboardLogs"\RTDC4037\*4037*201702020*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"%USERPROFILE%\AppData\Local\Temp\OnboardLogs"\RTDC4037\*4037*201702020* &gt;&gt; 2017-02-01-SliceDisagreementCheck.txt</v>
      </c>
      <c r="AE10" s="163" t="str">
        <f>"start /low /b "&amp;dls3logs&amp;" --loco "&amp;U10&amp;" --day "&amp;TEXT(V10,"YYYY-MM-DD")</f>
        <v>start /low /b %USERPROFILE%\Documents\GitHub\eaglep3\Utilities\DownloadLogsFromS3.py --loco 4037 --day 2017-02-02</v>
      </c>
    </row>
    <row r="11" spans="1:31" s="1" customFormat="1" x14ac:dyDescent="0.25">
      <c r="A11" s="32">
        <v>42768.057962962965</v>
      </c>
      <c r="B11" s="30" t="s">
        <v>200</v>
      </c>
      <c r="C11" s="30" t="s">
        <v>449</v>
      </c>
      <c r="D11" s="30" t="s">
        <v>49</v>
      </c>
      <c r="E11" s="30" t="s">
        <v>203</v>
      </c>
      <c r="F11" s="43">
        <v>0</v>
      </c>
      <c r="G11" s="43">
        <v>173</v>
      </c>
      <c r="H11" s="43">
        <v>33297</v>
      </c>
      <c r="I11" s="43">
        <v>33134</v>
      </c>
      <c r="J11" s="30" t="s">
        <v>204</v>
      </c>
      <c r="K11" s="43">
        <v>33257</v>
      </c>
      <c r="L11" s="143" t="s">
        <v>51</v>
      </c>
      <c r="M11" s="144">
        <f>CONVERT((I11-K11)/10000,"mi","ft")*IF(L11="Increasing Mileposts (1)",-1,1)</f>
        <v>-64.944000000000003</v>
      </c>
      <c r="N11" s="145" t="str">
        <f>VLOOKUP(C11,'Trips&amp;Operators'!$C$1:$G$99999,5,FALSE)</f>
        <v>STORY SAMANTHA</v>
      </c>
      <c r="O11" s="159" t="s">
        <v>185</v>
      </c>
      <c r="P11" s="146" t="s">
        <v>337</v>
      </c>
      <c r="Q11" s="30"/>
      <c r="R11" s="89" t="str">
        <f>VLOOKUP(C11,'Train Runs'!$A$13:$AE$9967,31,0)</f>
        <v>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 &amp; aws s3 cp s3://rtdc.mdm.uploadarchive.raw/RTDC4037/ "%USERPROFILE%\AppData\Local\Temp\OnboardLogs"\RTDC4037\2017-02-03 --exclude "*" --recursive --include "*20170203*" &amp; "%USERPROFILE%\Documents\GitHub\mrs-test-scripts\Headless Mode &amp; Sideloading\WalkAndUnGZ.bat" "%USERPROFILE%\AppData\Local\Temp\OnboardLogs"\RTDC4037\2017-02-03</v>
      </c>
      <c r="S11" s="92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-02-01T23:27:51-0700',mode:absolute,to:'2017-02-02T02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/stypes="*4037*201702020*" /stext=" 08:.+((SYSTEM_STATE.+slice.+state.+changed )|(ment ac)|(multiple cpu faults)|(system.+state.+changed )|(\[timeout)|(PRM\|1\|D)|(kpr)|(kdp)|(\|lc)|(penalty))" /e /r /s</v>
      </c>
      <c r="U11" s="9" t="str">
        <f>MID(B11,13,4)</f>
        <v>4037</v>
      </c>
      <c r="V11" s="32">
        <f>A11-utc_offset/24</f>
        <v>42768.349629629629</v>
      </c>
      <c r="W11" s="46" t="str">
        <f>IF(VALUE(LEFT(IF(LEN(C11)=6,"0"&amp;C11,C11),2))&lt;=2,"EC",IF(OR(VALUE(LEFT(IF(LEN(C11)=6,"0"&amp;C11,C11),2))=8,VALUE(LEFT(IF(LEN(C11)=6,"0"&amp;C11,C11),2))=18),"NW","Other"))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arrival","project_id":79,"tracker_id":40,"status_id":1,"priority_id":2,"assigned_to_id":23,"start_date":"2017-02-02","description":"","custom_fields":[{"id":1,"name":"Subdivision","value":"EC"},{"id":4,"name":"Milepost","value":"3.3257"},{"id":17,"name":"Train ID","value":"240-01"},{"id":16,"name":"Locomotive ID","value":"4037"},{"id":130,"name":"Impact","value":""},{"id":150,"name":"Time of Event (Mountain Time)","value":"01:23:28"},{"id":151,"name":"Denver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"%USERPROFILE%\AppData\Local\Temp\OnboardLogs"\RTDC4037\*4037*201702020*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"%USERPROFILE%\AppData\Local\Temp\OnboardLogs"\RTDC4037\*4037*201702020* &gt;&gt; 2017-02-01-SliceDisagreementCheck.txt</v>
      </c>
      <c r="AE11" s="163" t="str">
        <f>"start /low /b "&amp;dls3logs&amp;" --loco "&amp;U11&amp;" --day "&amp;TEXT(V11,"YYYY-MM-DD")</f>
        <v>start /low /b %USERPROFILE%\Documents\GitHub\eaglep3\Utilities\DownloadLogsFromS3.py --loco 4037 --day 2017-02-02</v>
      </c>
    </row>
    <row r="12" spans="1:31" s="1" customFormat="1" x14ac:dyDescent="0.25">
      <c r="A12" s="32">
        <v>42767.186828703707</v>
      </c>
      <c r="B12" s="30" t="s">
        <v>242</v>
      </c>
      <c r="C12" s="30" t="s">
        <v>429</v>
      </c>
      <c r="D12" s="30" t="s">
        <v>49</v>
      </c>
      <c r="E12" s="30" t="s">
        <v>203</v>
      </c>
      <c r="F12" s="43">
        <v>0</v>
      </c>
      <c r="G12" s="43">
        <v>408</v>
      </c>
      <c r="H12" s="43">
        <v>109452</v>
      </c>
      <c r="I12" s="43">
        <v>108392</v>
      </c>
      <c r="J12" s="30" t="s">
        <v>204</v>
      </c>
      <c r="K12" s="43">
        <v>109135</v>
      </c>
      <c r="L12" s="143" t="s">
        <v>51</v>
      </c>
      <c r="M12" s="144">
        <f>CONVERT((I12-K12)/10000,"mi","ft")*IF(L12="Increasing Mileposts (1)",-1,1)</f>
        <v>-392.30399999999997</v>
      </c>
      <c r="N12" s="145" t="str">
        <f>VLOOKUP(C12,'Trips&amp;Operators'!$C$1:$G$99999,5,FALSE)</f>
        <v>PERKINS DARREN</v>
      </c>
      <c r="O12" s="159" t="s">
        <v>185</v>
      </c>
      <c r="P12" s="146" t="s">
        <v>337</v>
      </c>
      <c r="Q12" s="30"/>
      <c r="R12" s="89" t="str">
        <f>VLOOKUP(C12,'Train Runs'!$A$13:$AE$9967,31,0)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S12" s="92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-02-01T03:02:11-0700',mode:absolute,to:'2017-02-01T05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/stypes="*4015*201702011*" /stext=" 11:.+((SYSTEM_STATE.+slice.+state.+changed )|(ment ac)|(multiple cpu faults)|(system.+state.+changed )|(\[timeout)|(PRM\|1\|D)|(kpr)|(kdp)|(\|lc)|(penalty))" /e /r /s</v>
      </c>
      <c r="U12" s="9" t="str">
        <f>MID(B12,13,4)</f>
        <v>4015</v>
      </c>
      <c r="V12" s="32">
        <f>A12-utc_offset/24</f>
        <v>42767.478495370371</v>
      </c>
      <c r="W12" s="46" t="str">
        <f>IF(VALUE(LEFT(IF(LEN(C12)=6,"0"&amp;C12,C12),2))&lt;=2,"EC",IF(OR(VALUE(LEFT(IF(LEN(C12)=6,"0"&amp;C12,C12),2))=8,VALUE(LEFT(IF(LEN(C12)=6,"0"&amp;C12,C12),2))=18),"NW","Other"))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arrival","project_id":79,"tracker_id":40,"status_id":1,"priority_id":2,"assigned_to_id":23,"start_date":"2017-02-01","description":"","custom_fields":[{"id":1,"name":"Subdivision","value":"EC"},{"id":4,"name":"Milepost","value":"10.9135"},{"id":17,"name":"Train ID","value":"102-01"},{"id":16,"name":"Locomotive ID","value":"4015"},{"id":130,"name":"Impact","value":""},{"id":150,"name":"Time of Event (Mountain Time)","value":"04:29:02"},{"id":151,"name":"Denver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"%USERPROFILE%\AppData\Local\Temp\OnboardLogs"\RTDC4015\*4015*201702011*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"%USERPROFILE%\AppData\Local\Temp\OnboardLogs"\RTDC4015\*4015*201702011* &gt;&gt; 2017-02-01-SliceDisagreementCheck.txt</v>
      </c>
      <c r="AE12" s="163" t="str">
        <f>"start /low /b "&amp;dls3logs&amp;" --loco "&amp;U12&amp;" --day "&amp;TEXT(V12,"YYYY-MM-DD")</f>
        <v>start /low /b %USERPROFILE%\Documents\GitHub\eaglep3\Utilities\DownloadLogsFromS3.py --loco 4015 --day 2017-02-01</v>
      </c>
    </row>
    <row r="13" spans="1:31" s="1" customFormat="1" x14ac:dyDescent="0.25">
      <c r="A13" s="32">
        <v>42767.460520833331</v>
      </c>
      <c r="B13" s="30" t="s">
        <v>234</v>
      </c>
      <c r="C13" s="30" t="s">
        <v>436</v>
      </c>
      <c r="D13" s="30" t="s">
        <v>49</v>
      </c>
      <c r="E13" s="30" t="s">
        <v>203</v>
      </c>
      <c r="F13" s="43">
        <v>0</v>
      </c>
      <c r="G13" s="43">
        <v>88</v>
      </c>
      <c r="H13" s="43">
        <v>109329</v>
      </c>
      <c r="I13" s="43">
        <v>109246</v>
      </c>
      <c r="J13" s="30" t="s">
        <v>204</v>
      </c>
      <c r="K13" s="43">
        <v>109135</v>
      </c>
      <c r="L13" s="143" t="s">
        <v>51</v>
      </c>
      <c r="M13" s="144">
        <f>CONVERT((I13-K13)/10000,"mi","ft")*IF(L13="Increasing Mileposts (1)",-1,1)</f>
        <v>58.607999999999997</v>
      </c>
      <c r="N13" s="145" t="str">
        <f>VLOOKUP(C13,'Trips&amp;Operators'!$C$1:$G$99999,5,FALSE)</f>
        <v>BONDS REYNALDO</v>
      </c>
      <c r="O13" s="159" t="s">
        <v>185</v>
      </c>
      <c r="P13" s="146" t="s">
        <v>866</v>
      </c>
      <c r="Q13" s="30"/>
      <c r="R13" s="89" t="str">
        <f>VLOOKUP(C13,'Train Runs'!$A$13:$AE$9967,31,0)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S13" s="92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-02-01T09:38:16-0700',mode:absolute,to:'2017-02-01T12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/stypes="*4045*201702011*" /stext=" 18:.+((SYSTEM_STATE.+slice.+state.+changed )|(ment ac)|(multiple cpu faults)|(system.+state.+changed )|(\[timeout)|(PRM\|1\|D)|(kpr)|(kdp)|(\|lc)|(penalty))" /e /r /s</v>
      </c>
      <c r="U13" s="9" t="str">
        <f>MID(B13,13,4)</f>
        <v>4045</v>
      </c>
      <c r="V13" s="32">
        <f>A13-utc_offset/24</f>
        <v>42767.752187499995</v>
      </c>
      <c r="W13" s="46" t="str">
        <f>IF(VALUE(LEFT(IF(LEN(C13)=6,"0"&amp;C13,C13),2))&lt;=2,"EC",IF(OR(VALUE(LEFT(IF(LEN(C13)=6,"0"&amp;C13,C13),2))=8,VALUE(LEFT(IF(LEN(C13)=6,"0"&amp;C13,C13),2))=18),"NW","Other"))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C","project_id":79,"tracker_id":40,"status_id":1,"priority_id":2,"assigned_to_id":23,"start_date":"2017-02-01","description":"","custom_fields":[{"id":1,"name":"Subdivision","value":"EC"},{"id":4,"name":"Milepost","value":"10.9135"},{"id":17,"name":"Train ID","value":"150-01"},{"id":16,"name":"Locomotive ID","value":"4045"},{"id":130,"name":"Impact","value":""},{"id":150,"name":"Time of Event (Mountain Time)","value":"11:03:09"},{"id":151,"name":"Denver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"%USERPROFILE%\AppData\Local\Temp\OnboardLogs"\RTDC4045\*4045*201702011*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"%USERPROFILE%\AppData\Local\Temp\OnboardLogs"\RTDC4045\*4045*201702011* &gt;&gt; 2017-02-01-SliceDisagreementCheck.txt</v>
      </c>
      <c r="AE13" s="163" t="str">
        <f>"start /low /b "&amp;dls3logs&amp;" --loco "&amp;U13&amp;" --day "&amp;TEXT(V13,"YYYY-MM-DD")</f>
        <v>start /low /b %USERPROFILE%\Documents\GitHub\eaglep3\Utilities\DownloadLogsFromS3.py --loco 4045 --day 2017-02-01</v>
      </c>
    </row>
    <row r="14" spans="1:31" s="1" customFormat="1" x14ac:dyDescent="0.25">
      <c r="A14" s="32">
        <v>42767.333124999997</v>
      </c>
      <c r="B14" s="30" t="s">
        <v>242</v>
      </c>
      <c r="C14" s="30" t="s">
        <v>432</v>
      </c>
      <c r="D14" s="30" t="s">
        <v>98</v>
      </c>
      <c r="E14" s="30" t="s">
        <v>221</v>
      </c>
      <c r="F14" s="43">
        <v>550</v>
      </c>
      <c r="G14" s="43">
        <v>606</v>
      </c>
      <c r="H14" s="43">
        <v>222077</v>
      </c>
      <c r="I14" s="43">
        <v>218417</v>
      </c>
      <c r="J14" s="30" t="s">
        <v>222</v>
      </c>
      <c r="K14" s="43">
        <v>224581</v>
      </c>
      <c r="L14" s="143" t="s">
        <v>51</v>
      </c>
      <c r="M14" s="144">
        <f>CONVERT((I14-K14)/10000,"mi","ft")*IF(L14="Increasing Mileposts (1)",-1,1)</f>
        <v>-3254.5920000000001</v>
      </c>
      <c r="N14" s="145" t="str">
        <f>VLOOKUP(C14,'Trips&amp;Operators'!$C$1:$G$99999,5,FALSE)</f>
        <v>PERKINS DARREN</v>
      </c>
      <c r="O14" s="159" t="s">
        <v>223</v>
      </c>
      <c r="P14" s="146" t="s">
        <v>428</v>
      </c>
      <c r="Q14" s="30"/>
      <c r="R14" s="89" t="str">
        <f>VLOOKUP(C14,'Train Runs'!$A$13:$AE$9967,31,0)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S14" s="92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-02-01T06:42:57-0700',mode:absolute,to:'2017-02-01T09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/stypes="*4015*201702011*" /stext=" 14:.+((SYSTEM_STATE.+slice.+state.+changed )|(ment ac)|(multiple cpu faults)|(system.+state.+changed )|(\[timeout)|(PRM\|1\|D)|(kpr)|(kdp)|(\|lc)|(penalty))" /e /r /s</v>
      </c>
      <c r="U14" s="9" t="str">
        <f>MID(B14,13,4)</f>
        <v>4015</v>
      </c>
      <c r="V14" s="32">
        <f>A14-utc_offset/24</f>
        <v>42767.624791666662</v>
      </c>
      <c r="W14" s="46" t="str">
        <f>IF(VALUE(LEFT(IF(LEN(C14)=6,"0"&amp;C14,C14),2))&lt;=2,"EC",IF(OR(VALUE(LEFT(IF(LEN(C14)=6,"0"&amp;C14,C14),2))=8,VALUE(LEFT(IF(LEN(C14)=6,"0"&amp;C14,C14),2))=18),"NW","Other"))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{"issue":{"subject":"Banner w/o braking","project_id":79,"tracker_id":40,"status_id":1,"priority_id":2,"assigned_to_id":23,"start_date":"2017-02-01","description":"","custom_fields":[{"id":1,"name":"Subdivision","value":"EC"},{"id":4,"name":"Milepost","value":"22.4581"},{"id":17,"name":"Train ID","value":"128-01"},{"id":16,"name":"Locomotive ID","value":"4015"},{"id":130,"name":"Impact","value":""},{"id":150,"name":"Time of Event (Mountain Time)","value":"07:59:42"},{"id":151,"name":"Denver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"%USERPROFILE%\AppData\Local\Temp\OnboardLogs"\RTDC4015\*4015*201702011*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"%USERPROFILE%\AppData\Local\Temp\OnboardLogs"\RTDC4015\*4015*201702011* &gt;&gt; 2017-02-01-SliceDisagreementCheck.txt</v>
      </c>
      <c r="AE14" s="163" t="str">
        <f>"start /low /b "&amp;dls3logs&amp;" --loco "&amp;U14&amp;" --day "&amp;TEXT(V14,"YYYY-MM-DD")</f>
        <v>start /low /b %USERPROFILE%\Documents\GitHub\eaglep3\Utilities\DownloadLogsFromS3.py --loco 4015 --day 2017-02-01</v>
      </c>
    </row>
    <row r="15" spans="1:31" s="1" customFormat="1" x14ac:dyDescent="0.25">
      <c r="A15" s="32">
        <v>42767.342974537038</v>
      </c>
      <c r="B15" s="30" t="s">
        <v>200</v>
      </c>
      <c r="C15" s="30" t="s">
        <v>434</v>
      </c>
      <c r="D15" s="30" t="s">
        <v>98</v>
      </c>
      <c r="E15" s="30" t="s">
        <v>221</v>
      </c>
      <c r="F15" s="43">
        <v>550</v>
      </c>
      <c r="G15" s="43">
        <v>601</v>
      </c>
      <c r="H15" s="43">
        <v>222468</v>
      </c>
      <c r="I15" s="43">
        <v>219800</v>
      </c>
      <c r="J15" s="30" t="s">
        <v>222</v>
      </c>
      <c r="K15" s="43">
        <v>224581</v>
      </c>
      <c r="L15" s="143" t="s">
        <v>51</v>
      </c>
      <c r="M15" s="144">
        <f>CONVERT((I15-K15)/10000,"mi","ft")*IF(L15="Increasing Mileposts (1)",-1,1)</f>
        <v>-2524.3679999999999</v>
      </c>
      <c r="N15" s="145" t="str">
        <f>VLOOKUP(C15,'Trips&amp;Operators'!$C$1:$G$99999,5,FALSE)</f>
        <v>STARKS ANGELINA</v>
      </c>
      <c r="O15" s="159" t="s">
        <v>185</v>
      </c>
      <c r="P15" s="146"/>
      <c r="Q15" s="30"/>
      <c r="R15" s="89" t="str">
        <f>VLOOKUP(C15,'Train Runs'!$A$13:$AE$9967,31,0)</f>
        <v>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 &amp; 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</v>
      </c>
      <c r="S15" s="92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-02-01T07:05:15-0700',mode:absolute,to:'2017-02-01T09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/stypes="*4037*201702011*" /stext=" 15:.+((SYSTEM_STATE.+slice.+state.+changed )|(ment ac)|(multiple cpu faults)|(system.+state.+changed )|(\[timeout)|(PRM\|1\|D)|(kpr)|(kdp)|(\|lc)|(penalty))" /e /r /s</v>
      </c>
      <c r="U15" s="9" t="str">
        <f>MID(B15,13,4)</f>
        <v>4037</v>
      </c>
      <c r="V15" s="32">
        <f>A15-utc_offset/24</f>
        <v>42767.634641203702</v>
      </c>
      <c r="W15" s="46" t="str">
        <f>IF(VALUE(LEFT(IF(LEN(C15)=6,"0"&amp;C15,C15),2))&lt;=2,"EC",IF(OR(VALUE(LEFT(IF(LEN(C15)=6,"0"&amp;C15,C15),2))=8,VALUE(LEFT(IF(LEN(C15)=6,"0"&amp;C15,C15),2))=18),"NW","Other"))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{"issue":{"subject":"","project_id":79,"tracker_id":40,"status_id":1,"priority_id":2,"assigned_to_id":23,"start_date":"2017-02-01","description":"","custom_fields":[{"id":1,"name":"Subdivision","value":"EC"},{"id":4,"name":"Milepost","value":"22.4581"},{"id":17,"name":"Train ID","value":"130-01"},{"id":16,"name":"Locomotive ID","value":"4037"},{"id":130,"name":"Impact","value":""},{"id":150,"name":"Time of Event (Mountain Time)","value":"08:13:53"},{"id":151,"name":"Denver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"%USERPROFILE%\AppData\Local\Temp\OnboardLogs"\RTDC4037\*4037*201702011*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"%USERPROFILE%\AppData\Local\Temp\OnboardLogs"\RTDC4037\*4037*201702011* &gt;&gt; 2017-02-01-SliceDisagreementCheck.txt</v>
      </c>
      <c r="AE15" s="163" t="str">
        <f>"start /low /b "&amp;dls3logs&amp;" --loco "&amp;U15&amp;" --day "&amp;TEXT(V15,"YYYY-MM-DD")</f>
        <v>start /low /b %USERPROFILE%\Documents\GitHub\eaglep3\Utilities\DownloadLogsFromS3.py --loco 4037 --day 2017-02-01</v>
      </c>
    </row>
    <row r="16" spans="1:31" s="1" customFormat="1" x14ac:dyDescent="0.25">
      <c r="A16" s="32">
        <v>42767.322013888886</v>
      </c>
      <c r="B16" s="30" t="s">
        <v>216</v>
      </c>
      <c r="C16" s="30" t="s">
        <v>430</v>
      </c>
      <c r="D16" s="30" t="s">
        <v>98</v>
      </c>
      <c r="E16" s="30" t="s">
        <v>221</v>
      </c>
      <c r="F16" s="43">
        <v>350</v>
      </c>
      <c r="G16" s="43">
        <v>402</v>
      </c>
      <c r="H16" s="43">
        <v>224713</v>
      </c>
      <c r="I16" s="43">
        <v>223021</v>
      </c>
      <c r="J16" s="30" t="s">
        <v>222</v>
      </c>
      <c r="K16" s="43">
        <v>232107</v>
      </c>
      <c r="L16" s="143" t="s">
        <v>51</v>
      </c>
      <c r="M16" s="144">
        <f>CONVERT((I16-K16)/10000,"mi","ft")*IF(L16="Increasing Mileposts (1)",-1,1)</f>
        <v>-4797.4080000000004</v>
      </c>
      <c r="N16" s="145" t="str">
        <f>VLOOKUP(C16,'Trips&amp;Operators'!$C$1:$G$99999,5,FALSE)</f>
        <v>ROCHA YAOTL</v>
      </c>
      <c r="O16" s="159" t="s">
        <v>185</v>
      </c>
      <c r="P16" s="146"/>
      <c r="Q16" s="30"/>
      <c r="R16" s="89" t="str">
        <f>VLOOKUP(C16,'Train Runs'!$A$13:$AE$9967,31,0)</f>
        <v>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 &amp; aws s3 cp s3://rtdc.mdm.uploadarchive.raw/RTDC4030/ "%USERPROFILE%\AppData\Local\Temp\OnboardLogs"\RTDC4030\2017-02-02 --exclude "*" --recursive --include "*20170202*" &amp; "%USERPROFILE%\Documents\GitHub\mrs-test-scripts\Headless Mode &amp; Sideloading\WalkAndUnGZ.bat" "%USERPROFILE%\AppData\Local\Temp\OnboardLogs"\RTDC4030\2017-02-02</v>
      </c>
      <c r="S16" s="92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-02-01T06:39:23-0700',mode:absolute,to:'2017-02-01T09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/stypes="*4030*201702011*" /stext=" 14:.+((SYSTEM_STATE.+slice.+state.+changed )|(ment ac)|(multiple cpu faults)|(system.+state.+changed )|(\[timeout)|(PRM\|1\|D)|(kpr)|(kdp)|(\|lc)|(penalty))" /e /r /s</v>
      </c>
      <c r="U16" s="9" t="str">
        <f>MID(B16,13,4)</f>
        <v>4030</v>
      </c>
      <c r="V16" s="32">
        <f>A16-utc_offset/24</f>
        <v>42767.613680555551</v>
      </c>
      <c r="W16" s="46" t="str">
        <f>IF(VALUE(LEFT(IF(LEN(C16)=6,"0"&amp;C16,C16),2))&lt;=2,"EC",IF(OR(VALUE(LEFT(IF(LEN(C16)=6,"0"&amp;C16,C16),2))=8,VALUE(LEFT(IF(LEN(C16)=6,"0"&amp;C16,C16),2))=18),"NW","Other"))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{"issue":{"subject":"","project_id":79,"tracker_id":40,"status_id":1,"priority_id":2,"assigned_to_id":23,"start_date":"2017-02-01","description":"","custom_fields":[{"id":1,"name":"Subdivision","value":"EC"},{"id":4,"name":"Milepost","value":"23.2107"},{"id":17,"name":"Train ID","value":"126-01"},{"id":16,"name":"Locomotive ID","value":"4030"},{"id":130,"name":"Impact","value":""},{"id":150,"name":"Time of Event (Mountain Time)","value":"07:43:42"},{"id":151,"name":"Denver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"%USERPROFILE%\AppData\Local\Temp\OnboardLogs"\RTDC4030\*4030*201702011*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"%USERPROFILE%\AppData\Local\Temp\OnboardLogs"\RTDC4030\*4030*201702011* &gt;&gt; 2017-02-01-SliceDisagreementCheck.txt</v>
      </c>
      <c r="AE16" s="163" t="str">
        <f>"start /low /b "&amp;dls3logs&amp;" --loco "&amp;U16&amp;" --day "&amp;TEXT(V16,"YYYY-MM-DD")</f>
        <v>start /low /b %USERPROFILE%\Documents\GitHub\eaglep3\Utilities\DownloadLogsFromS3.py --loco 4030 --day 2017-02-01</v>
      </c>
    </row>
    <row r="17" spans="1:32" x14ac:dyDescent="0.25">
      <c r="A17" s="32">
        <v>42767.490555555552</v>
      </c>
      <c r="B17" s="30" t="s">
        <v>242</v>
      </c>
      <c r="C17" s="30" t="s">
        <v>437</v>
      </c>
      <c r="D17" s="30" t="s">
        <v>49</v>
      </c>
      <c r="E17" s="30" t="s">
        <v>186</v>
      </c>
      <c r="F17" s="43">
        <v>0</v>
      </c>
      <c r="G17" s="43">
        <v>122</v>
      </c>
      <c r="H17" s="43">
        <v>127979</v>
      </c>
      <c r="I17" s="43">
        <v>127854</v>
      </c>
      <c r="J17" s="30" t="s">
        <v>187</v>
      </c>
      <c r="K17" s="43">
        <v>127587</v>
      </c>
      <c r="L17" s="143" t="s">
        <v>51</v>
      </c>
      <c r="M17" s="144">
        <f>CONVERT((I17-K17)/10000,"mi","ft")*IF(L17="Increasing Mileposts (1)",-1,1)</f>
        <v>140.976</v>
      </c>
      <c r="N17" s="145" t="str">
        <f>VLOOKUP(C17,'Trips&amp;Operators'!$C$1:$G$99999,5,FALSE)</f>
        <v>YORK EDGAR</v>
      </c>
      <c r="O17" s="159" t="s">
        <v>185</v>
      </c>
      <c r="P17" s="146" t="s">
        <v>868</v>
      </c>
      <c r="Q17" s="30"/>
      <c r="R17" s="89" t="str">
        <f>VLOOKUP(C17,'Train Runs'!$A$13:$AE$9967,31,0)</f>
        <v>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 &amp; 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</v>
      </c>
      <c r="S17" s="92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-02-01T10:10:48-0700',mode:absolute,to:'2017-02-01T13:12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/stypes="*4015*201702011*" /stext=" 18:.+((SYSTEM_STATE.+slice.+state.+changed )|(ment ac)|(multiple cpu faults)|(system.+state.+changed )|(\[timeout)|(PRM\|1\|D)|(kpr)|(kdp)|(\|lc)|(penalty))" /e /r /s</v>
      </c>
      <c r="U17" s="9" t="str">
        <f>MID(B17,13,4)</f>
        <v>4015</v>
      </c>
      <c r="V17" s="32">
        <f>A17-utc_offset/24</f>
        <v>42767.782222222217</v>
      </c>
      <c r="W17" s="46" t="str">
        <f>IF(VALUE(LEFT(IF(LEN(C17)=6,"0"&amp;C17,C17),2))&lt;=2,"EC",IF(OR(VALUE(LEFT(IF(LEN(C17)=6,"0"&amp;C17,C17),2))=8,VALUE(LEFT(IF(LEN(C17)=6,"0"&amp;C17,C17),2))=18),"NW","Other"))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STOP","project_id":79,"tracker_id":40,"status_id":1,"priority_id":2,"assigned_to_id":23,"start_date":"2017-02-01","description":"","custom_fields":[{"id":1,"name":"Subdivision","value":"EC"},{"id":4,"name":"Milepost","value":"12.7587"},{"id":17,"name":"Train ID","value":"156-01"},{"id":16,"name":"Locomotive ID","value":"4015"},{"id":130,"name":"Impact","value":""},{"id":150,"name":"Time of Event (Mountain Time)","value":"11:46:24"},{"id":151,"name":"Denver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"%USERPROFILE%\AppData\Local\Temp\OnboardLogs"\RTDC4015\*4015*201702011*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"%USERPROFILE%\AppData\Local\Temp\OnboardLogs"\RTDC4015\*4015*201702011* &gt;&gt; 2017-02-01-SliceDisagreementCheck.txt</v>
      </c>
      <c r="AE17" s="163" t="str">
        <f>"start /low /b "&amp;dls3logs&amp;" --loco "&amp;U17&amp;" --day "&amp;TEXT(V17,"YYYY-MM-DD")</f>
        <v>start /low /b %USERPROFILE%\Documents\GitHub\eaglep3\Utilities\DownloadLogsFromS3.py --loco 4015 --day 2017-02-01</v>
      </c>
      <c r="AF17" s="1"/>
    </row>
    <row r="18" spans="1:32" ht="15" customHeight="1" x14ac:dyDescent="0.25">
      <c r="A18" s="32">
        <v>42768.03429398148</v>
      </c>
      <c r="B18" s="30" t="s">
        <v>200</v>
      </c>
      <c r="C18" s="30" t="s">
        <v>449</v>
      </c>
      <c r="D18" s="30" t="s">
        <v>49</v>
      </c>
      <c r="E18" s="30" t="s">
        <v>186</v>
      </c>
      <c r="F18" s="43">
        <v>0</v>
      </c>
      <c r="G18" s="43">
        <v>119</v>
      </c>
      <c r="H18" s="43">
        <v>198807</v>
      </c>
      <c r="I18" s="43">
        <v>198661</v>
      </c>
      <c r="J18" s="30" t="s">
        <v>187</v>
      </c>
      <c r="K18" s="43">
        <v>198256</v>
      </c>
      <c r="L18" s="143" t="s">
        <v>51</v>
      </c>
      <c r="M18" s="144">
        <f>CONVERT((I18-K18)/10000,"mi","ft")*IF(L18="Increasing Mileposts (1)",-1,1)</f>
        <v>213.84</v>
      </c>
      <c r="N18" s="145" t="str">
        <f>VLOOKUP(C18,'Trips&amp;Operators'!$C$1:$G$99999,5,FALSE)</f>
        <v>STORY SAMANTHA</v>
      </c>
      <c r="O18" s="159" t="s">
        <v>185</v>
      </c>
      <c r="P18" s="146" t="s">
        <v>869</v>
      </c>
      <c r="Q18" s="30"/>
      <c r="R18" s="89" t="str">
        <f>VLOOKUP(C18,'Train Runs'!$A$13:$AE$9967,31,0)</f>
        <v>aws s3 cp s3://rtdc.mdm.uploadarchive.raw/RTDC4037/ "%USERPROFILE%\AppData\Local\Temp\OnboardLogs"\RTDC4037\2017-02-02 --exclude "*" --recursive --include "*20170202*" &amp; "%USERPROFILE%\Documents\GitHub\mrs-test-scripts\Headless Mode &amp; Sideloading\WalkAndUnGZ.bat" "%USERPROFILE%\AppData\Local\Temp\OnboardLogs"\RTDC4037\2017-02-02 &amp; aws s3 cp s3://rtdc.mdm.uploadarchive.raw/RTDC4037/ "%USERPROFILE%\AppData\Local\Temp\OnboardLogs"\RTDC4037\2017-02-03 --exclude "*" --recursive --include "*20170203*" &amp; "%USERPROFILE%\Documents\GitHub\mrs-test-scripts\Headless Mode &amp; Sideloading\WalkAndUnGZ.bat" "%USERPROFILE%\AppData\Local\Temp\OnboardLogs"\RTDC4037\2017-02-03</v>
      </c>
      <c r="S18" s="92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-02-01T23:27:51-0700',mode:absolute,to:'2017-02-02T02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/stypes="*4037*201702020*" /stext=" 07:.+((SYSTEM_STATE.+slice.+state.+changed )|(ment ac)|(multiple cpu faults)|(system.+state.+changed )|(\[timeout)|(PRM\|1\|D)|(kpr)|(kdp)|(\|lc)|(penalty))" /e /r /s</v>
      </c>
      <c r="U18" s="9" t="str">
        <f>MID(B18,13,4)</f>
        <v>4037</v>
      </c>
      <c r="V18" s="32">
        <f>A18-utc_offset/24</f>
        <v>42768.325960648144</v>
      </c>
      <c r="W18" s="46" t="str">
        <f>IF(VALUE(LEFT(IF(LEN(C18)=6,"0"&amp;C18,C18),2))&lt;=2,"EC",IF(OR(VALUE(LEFT(IF(LEN(C18)=6,"0"&amp;C18,C18),2))=8,VALUE(LEFT(IF(LEN(C18)=6,"0"&amp;C18,C18),2))=18),"NW","Other"))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{"issue":{"subject":"EC1981RH 204-2T 2S STOP","project_id":79,"tracker_id":40,"status_id":1,"priority_id":2,"assigned_to_id":23,"start_date":"2017-02-02","description":"","custom_fields":[{"id":1,"name":"Subdivision","value":"EC"},{"id":4,"name":"Milepost","value":"19.8256"},{"id":17,"name":"Train ID","value":"240-01"},{"id":16,"name":"Locomotive ID","value":"4037"},{"id":130,"name":"Impact","value":""},{"id":150,"name":"Time of Event (Mountain Time)","value":"00:49:23"},{"id":151,"name":"Denver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"%USERPROFILE%\AppData\Local\Temp\OnboardLogs"\RTDC4037\*4037*201702020*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"%USERPROFILE%\AppData\Local\Temp\OnboardLogs"\RTDC4037\*4037*201702020* &gt;&gt; 2017-02-01-SliceDisagreementCheck.txt</v>
      </c>
      <c r="AE18" s="163" t="str">
        <f>"start /low /b "&amp;dls3logs&amp;" --loco "&amp;U18&amp;" --day "&amp;TEXT(V18,"YYYY-MM-DD")</f>
        <v>start /low /b %USERPROFILE%\Documents\GitHub\eaglep3\Utilities\DownloadLogsFromS3.py --loco 4037 --day 2017-02-02</v>
      </c>
      <c r="AF18" s="1"/>
    </row>
    <row r="19" spans="1:32" x14ac:dyDescent="0.25">
      <c r="A19" s="32">
        <v>42767.326770833337</v>
      </c>
      <c r="B19" s="30" t="s">
        <v>234</v>
      </c>
      <c r="C19" s="30" t="s">
        <v>431</v>
      </c>
      <c r="D19" s="30" t="s">
        <v>49</v>
      </c>
      <c r="E19" s="30" t="s">
        <v>188</v>
      </c>
      <c r="F19" s="43">
        <v>0</v>
      </c>
      <c r="G19" s="43">
        <v>41</v>
      </c>
      <c r="H19" s="43">
        <v>121</v>
      </c>
      <c r="I19" s="43">
        <v>98</v>
      </c>
      <c r="J19" s="30" t="s">
        <v>189</v>
      </c>
      <c r="K19" s="43">
        <v>1</v>
      </c>
      <c r="L19" s="143" t="s">
        <v>51</v>
      </c>
      <c r="M19" s="144">
        <f>CONVERT((I19-K19)/10000,"mi","ft")*IF(L19="Increasing Mileposts (1)",-1,1)</f>
        <v>51.216000000000001</v>
      </c>
      <c r="N19" s="145" t="str">
        <f>VLOOKUP(C19,'Trips&amp;Operators'!$C$1:$G$99999,5,FALSE)</f>
        <v>BONDS REYNALDO</v>
      </c>
      <c r="O19" s="159" t="s">
        <v>185</v>
      </c>
      <c r="P19" s="146"/>
      <c r="Q19" s="30"/>
      <c r="R19" s="89" t="str">
        <f>VLOOKUP(C19,'Train Runs'!$A$13:$AE$9967,31,0)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S19" s="92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-02-01T06:05:21-0700',mode:absolute,to:'2017-02-01T08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/stypes="*4045*201702011*" /stext=" 14:.+((SYSTEM_STATE.+slice.+state.+changed )|(ment ac)|(multiple cpu faults)|(system.+state.+changed )|(\[timeout)|(PRM\|1\|D)|(kpr)|(kdp)|(\|lc)|(penalty))" /e /r /s</v>
      </c>
      <c r="U19" s="9" t="str">
        <f>MID(B19,13,4)</f>
        <v>4045</v>
      </c>
      <c r="V19" s="32">
        <f>A19-utc_offset/24</f>
        <v>42767.618437500001</v>
      </c>
      <c r="W19" s="46" t="str">
        <f>IF(VALUE(LEFT(IF(LEN(C19)=6,"0"&amp;C19,C19),2))&lt;=2,"EC",IF(OR(VALUE(LEFT(IF(LEN(C19)=6,"0"&amp;C19,C19),2))=8,VALUE(LEFT(IF(LEN(C19)=6,"0"&amp;C19,C19),2))=18),"NW","Other"))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{"issue":{"subject":"","project_id":79,"tracker_id":40,"status_id":1,"priority_id":2,"assigned_to_id":23,"start_date":"2017-02-01","description":"","custom_fields":[{"id":1,"name":"Subdivision","value":"EC"},{"id":4,"name":"Milepost","value":"0.0001"},{"id":17,"name":"Train ID","value":"122-01"},{"id":16,"name":"Locomotive ID","value":"4045"},{"id":130,"name":"Impact","value":""},{"id":150,"name":"Time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"%USERPROFILE%\AppData\Local\Temp\OnboardLogs"\RTDC4045\*4045*201702011*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"%USERPROFILE%\AppData\Local\Temp\OnboardLogs"\RTDC4045\*4045*201702011* &gt;&gt; 2017-02-01-SliceDisagreementCheck.txt</v>
      </c>
      <c r="AE19" s="163" t="str">
        <f>"start /low /b "&amp;dls3logs&amp;" --loco "&amp;U19&amp;" --day "&amp;TEXT(V19,"YYYY-MM-DD")</f>
        <v>start /low /b %USERPROFILE%\Documents\GitHub\eaglep3\Utilities\DownloadLogsFromS3.py --loco 4045 --day 2017-02-01</v>
      </c>
      <c r="AF19" s="1"/>
    </row>
    <row r="20" spans="1:32" x14ac:dyDescent="0.25">
      <c r="A20" s="32">
        <v>42767.476643518516</v>
      </c>
      <c r="B20" s="30" t="s">
        <v>234</v>
      </c>
      <c r="C20" s="30" t="s">
        <v>436</v>
      </c>
      <c r="D20" s="30" t="s">
        <v>49</v>
      </c>
      <c r="E20" s="30" t="s">
        <v>188</v>
      </c>
      <c r="F20" s="43">
        <v>0</v>
      </c>
      <c r="G20" s="43">
        <v>42</v>
      </c>
      <c r="H20" s="43">
        <v>145</v>
      </c>
      <c r="I20" s="43">
        <v>121</v>
      </c>
      <c r="J20" s="30" t="s">
        <v>189</v>
      </c>
      <c r="K20" s="43">
        <v>1</v>
      </c>
      <c r="L20" s="143" t="s">
        <v>51</v>
      </c>
      <c r="M20" s="144">
        <f>CONVERT((I20-K20)/10000,"mi","ft")*IF(L20="Increasing Mileposts (1)",-1,1)</f>
        <v>63.36</v>
      </c>
      <c r="N20" s="145" t="str">
        <f>VLOOKUP(C20,'Trips&amp;Operators'!$C$1:$G$99999,5,FALSE)</f>
        <v>BONDS REYNALDO</v>
      </c>
      <c r="O20" s="159" t="s">
        <v>185</v>
      </c>
      <c r="P20" s="146"/>
      <c r="Q20" s="30"/>
      <c r="R20" s="89" t="str">
        <f>VLOOKUP(C20,'Train Runs'!$A$13:$AE$9967,31,0)</f>
        <v>aws s3 cp s3://rtdc.mdm.uploadarchive.raw/RTDC4045/ "%USERPROFILE%\AppData\Local\Temp\OnboardLogs"\RTDC4045\2017-02-01 --exclude "*" --recursive --include "*20170201*" &amp; "%USERPROFILE%\Documents\GitHub\mrs-test-scripts\Headless Mode &amp; Sideloading\WalkAndUnGZ.bat" "%USERPROFILE%\AppData\Local\Temp\OnboardLogs"\RTDC4045\2017-02-01 &amp; 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</v>
      </c>
      <c r="S20" s="92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-02-01T09:38:16-0700',mode:absolute,to:'2017-02-01T12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/stypes="*4045*201702011*" /stext=" 18:.+((SYSTEM_STATE.+slice.+state.+changed )|(ment ac)|(multiple cpu faults)|(system.+state.+changed )|(\[timeout)|(PRM\|1\|D)|(kpr)|(kdp)|(\|lc)|(penalty))" /e /r /s</v>
      </c>
      <c r="U20" s="9" t="str">
        <f>MID(B20,13,4)</f>
        <v>4045</v>
      </c>
      <c r="V20" s="32">
        <f>A20-utc_offset/24</f>
        <v>42767.76831018518</v>
      </c>
      <c r="W20" s="46" t="str">
        <f>IF(VALUE(LEFT(IF(LEN(C20)=6,"0"&amp;C20,C20),2))&lt;=2,"EC",IF(OR(VALUE(LEFT(IF(LEN(C20)=6,"0"&amp;C20,C20),2))=8,VALUE(LEFT(IF(LEN(C20)=6,"0"&amp;C20,C20),2))=18),"NW","Other"))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{"issue":{"subject":"","project_id":79,"tracker_id":40,"status_id":1,"priority_id":2,"assigned_to_id":23,"start_date":"2017-02-01","description":"","custom_fields":[{"id":1,"name":"Subdivision","value":"EC"},{"id":4,"name":"Milepost","value":"0.0001"},{"id":17,"name":"Train ID","value":"150-01"},{"id":16,"name":"Locomotive ID","value":"4045"},{"id":130,"name":"Impact","value":""},{"id":150,"name":"Time of Event (Mountain Time)","value":"11:26:22"},{"id":151,"name":"Denver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"%USERPROFILE%\AppData\Local\Temp\OnboardLogs"\RTDC4045\*4045*201702011*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"%USERPROFILE%\AppData\Local\Temp\OnboardLogs"\RTDC4045\*4045*201702011* &gt;&gt; 2017-02-01-SliceDisagreementCheck.txt</v>
      </c>
      <c r="AE20" s="163" t="str">
        <f>"start /low /b "&amp;dls3logs&amp;" --loco "&amp;U20&amp;" --day "&amp;TEXT(V20,"YYYY-MM-DD")</f>
        <v>start /low /b %USERPROFILE%\Documents\GitHub\eaglep3\Utilities\DownloadLogsFromS3.py --loco 4045 --day 2017-02-01</v>
      </c>
      <c r="AF20" s="1"/>
    </row>
    <row r="21" spans="1:32" x14ac:dyDescent="0.25">
      <c r="A21" s="32">
        <v>42767.575810185182</v>
      </c>
      <c r="B21" s="30" t="s">
        <v>289</v>
      </c>
      <c r="C21" s="30" t="s">
        <v>438</v>
      </c>
      <c r="D21" s="30" t="s">
        <v>49</v>
      </c>
      <c r="E21" s="30" t="s">
        <v>188</v>
      </c>
      <c r="F21" s="43">
        <v>0</v>
      </c>
      <c r="G21" s="43">
        <v>99</v>
      </c>
      <c r="H21" s="43">
        <v>233086</v>
      </c>
      <c r="I21" s="43">
        <v>233205</v>
      </c>
      <c r="J21" s="30" t="s">
        <v>189</v>
      </c>
      <c r="K21" s="43">
        <v>233491</v>
      </c>
      <c r="L21" s="143" t="s">
        <v>50</v>
      </c>
      <c r="M21" s="144">
        <f>CONVERT((I21-K21)/10000,"mi","ft")*IF(L21="Increasing Mileposts (1)",-1,1)</f>
        <v>151.00800000000001</v>
      </c>
      <c r="N21" s="145" t="str">
        <f>VLOOKUP(C21,'Trips&amp;Operators'!$C$1:$G$99999,5,FALSE)</f>
        <v>DAVIS MICHAEL</v>
      </c>
      <c r="O21" s="159" t="s">
        <v>185</v>
      </c>
      <c r="P21" s="146"/>
      <c r="Q21" s="30"/>
      <c r="R21" s="89" t="str">
        <f>VLOOKUP(C21,'Train Runs'!$A$13:$AE$9967,31,0)</f>
        <v>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 &amp; 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</v>
      </c>
      <c r="S21" s="92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-02-01T12:06:57-0700',mode:absolute,to:'2017-02-01T14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/stypes="*4042*201702012*" /stext=" 20:.+((SYSTEM_STATE.+slice.+state.+changed )|(ment ac)|(multiple cpu faults)|(system.+state.+changed )|(\[timeout)|(PRM\|1\|D)|(kpr)|(kdp)|(\|lc)|(penalty))" /e /r /s</v>
      </c>
      <c r="U21" s="9" t="str">
        <f>MID(B21,13,4)</f>
        <v>4042</v>
      </c>
      <c r="V21" s="32">
        <f>A21-utc_offset/24</f>
        <v>42767.867476851847</v>
      </c>
      <c r="W21" s="46" t="str">
        <f>IF(VALUE(LEFT(IF(LEN(C21)=6,"0"&amp;C21,C21),2))&lt;=2,"EC",IF(OR(VALUE(LEFT(IF(LEN(C21)=6,"0"&amp;C21,C21),2))=8,VALUE(LEFT(IF(LEN(C21)=6,"0"&amp;C21,C21),2))=18),"NW","Other"))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{"issue":{"subject":"","project_id":79,"tracker_id":40,"status_id":1,"priority_id":2,"assigned_to_id":23,"start_date":"2017-02-01","description":"","custom_fields":[{"id":1,"name":"Subdivision","value":"EC"},{"id":4,"name":"Milepost","value":"23.3491"},{"id":17,"name":"Train ID","value":"175-01"},{"id":16,"name":"Locomotive ID","value":"4042"},{"id":130,"name":"Impact","value":""},{"id":150,"name":"Time of Event (Mountain Time)","value":"13:49:10"},{"id":151,"name":"Denver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"%USERPROFILE%\AppData\Local\Temp\OnboardLogs"\RTDC4042\*4042*201702012*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"%USERPROFILE%\AppData\Local\Temp\OnboardLogs"\RTDC4042\*4042*201702012* &gt;&gt; 2017-02-01-SliceDisagreementCheck.txt</v>
      </c>
      <c r="AE21" s="163" t="str">
        <f>"start /low /b "&amp;dls3logs&amp;" --loco "&amp;U21&amp;" --day "&amp;TEXT(V21,"YYYY-MM-DD")</f>
        <v>start /low /b %USERPROFILE%\Documents\GitHub\eaglep3\Utilities\DownloadLogsFromS3.py --loco 4042 --day 2017-02-01</v>
      </c>
      <c r="AF21" s="1"/>
    </row>
    <row r="22" spans="1:32" ht="15" customHeight="1" x14ac:dyDescent="0.25">
      <c r="A22" s="32">
        <v>42767.837824074071</v>
      </c>
      <c r="B22" s="30" t="s">
        <v>199</v>
      </c>
      <c r="C22" s="30" t="s">
        <v>444</v>
      </c>
      <c r="D22" s="30" t="s">
        <v>49</v>
      </c>
      <c r="E22" s="30" t="s">
        <v>188</v>
      </c>
      <c r="F22" s="43">
        <v>0</v>
      </c>
      <c r="G22" s="43">
        <v>54</v>
      </c>
      <c r="H22" s="43">
        <v>233300</v>
      </c>
      <c r="I22" s="43">
        <v>233380</v>
      </c>
      <c r="J22" s="30" t="s">
        <v>189</v>
      </c>
      <c r="K22" s="43">
        <v>233491</v>
      </c>
      <c r="L22" s="143" t="s">
        <v>50</v>
      </c>
      <c r="M22" s="144">
        <f>CONVERT((I22-K22)/10000,"mi","ft")*IF(L22="Increasing Mileposts (1)",-1,1)</f>
        <v>58.607999999999997</v>
      </c>
      <c r="N22" s="145" t="str">
        <f>VLOOKUP(C22,'Trips&amp;Operators'!$C$1:$G$99999,5,FALSE)</f>
        <v>STORY SAMANTHA</v>
      </c>
      <c r="O22" s="159" t="s">
        <v>185</v>
      </c>
      <c r="P22" s="146"/>
      <c r="Q22" s="30"/>
      <c r="R22" s="89" t="str">
        <f>VLOOKUP(C22,'Train Runs'!$A$13:$AE$9967,31,0)</f>
        <v>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 &amp; aws s3 cp s3://rtdc.mdm.uploadarchive.raw/RTDC4038/ "%USERPROFILE%\AppData\Local\Temp\OnboardLogs"\RTDC4038\2017-02-02 --exclude "*" --recursive --include "*20170202*" &amp; "%USERPROFILE%\Documents\GitHub\mrs-test-scripts\Headless Mode &amp; Sideloading\WalkAndUnGZ.bat" "%USERPROFILE%\AppData\Local\Temp\OnboardLogs"\RTDC4038\2017-02-02</v>
      </c>
      <c r="S22" s="92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-02-01T18:22:20-0700',mode:absolute,to:'2017-02-01T21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/stypes="*4038*201702020*" /stext=" 03:.+((SYSTEM_STATE.+slice.+state.+changed )|(ment ac)|(multiple cpu faults)|(system.+state.+changed )|(\[timeout)|(PRM\|1\|D)|(kpr)|(kdp)|(\|lc)|(penalty))" /e /r /s</v>
      </c>
      <c r="U22" s="9" t="str">
        <f>MID(B22,13,4)</f>
        <v>4038</v>
      </c>
      <c r="V22" s="32">
        <f>A22-utc_offset/24</f>
        <v>42768.129490740735</v>
      </c>
      <c r="W22" s="46" t="str">
        <f>IF(VALUE(LEFT(IF(LEN(C22)=6,"0"&amp;C22,C22),2))&lt;=2,"EC",IF(OR(VALUE(LEFT(IF(LEN(C22)=6,"0"&amp;C22,C22),2))=8,VALUE(LEFT(IF(LEN(C22)=6,"0"&amp;C22,C22),2))=18),"NW","Other"))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{"issue":{"subject":"","project_id":79,"tracker_id":40,"status_id":1,"priority_id":2,"assigned_to_id":23,"start_date":"2017-02-01","description":"","custom_fields":[{"id":1,"name":"Subdivision","value":"EC"},{"id":4,"name":"Milepost","value":"23.3491"},{"id":17,"name":"Train ID","value":"223-01"},{"id":16,"name":"Locomotive ID","value":"4038"},{"id":130,"name":"Impact","value":""},{"id":150,"name":"Time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"%USERPROFILE%\AppData\Local\Temp\OnboardLogs"\RTDC4038\*4038*201702020*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"%USERPROFILE%\AppData\Local\Temp\OnboardLogs"\RTDC4038\*4038*201702020* &gt;&gt; 2017-02-01-SliceDisagreementCheck.txt</v>
      </c>
      <c r="AE22" s="163" t="str">
        <f>"start /low /b "&amp;dls3logs&amp;" --loco "&amp;U22&amp;" --day "&amp;TEXT(V22,"YYYY-MM-DD")</f>
        <v>start /low /b %USERPROFILE%\Documents\GitHub\eaglep3\Utilities\DownloadLogsFromS3.py --loco 4038 --day 2017-02-02</v>
      </c>
      <c r="AF22" s="1"/>
    </row>
    <row r="23" spans="1:32" x14ac:dyDescent="0.25">
      <c r="A23" s="32">
        <v>42767.664421296293</v>
      </c>
      <c r="B23" s="30" t="s">
        <v>253</v>
      </c>
      <c r="C23" s="30" t="s">
        <v>441</v>
      </c>
      <c r="D23" s="30" t="s">
        <v>49</v>
      </c>
      <c r="E23" s="30" t="s">
        <v>221</v>
      </c>
      <c r="F23" s="43">
        <v>300</v>
      </c>
      <c r="G23" s="43">
        <v>357</v>
      </c>
      <c r="H23" s="43">
        <v>19787</v>
      </c>
      <c r="I23" s="43">
        <v>20600</v>
      </c>
      <c r="J23" s="30" t="s">
        <v>222</v>
      </c>
      <c r="K23" s="43">
        <v>21299</v>
      </c>
      <c r="L23" s="143" t="s">
        <v>50</v>
      </c>
      <c r="M23" s="144">
        <f>CONVERT((I23-K23)/10000,"mi","ft")*IF(L23="Increasing Mileposts (1)",-1,1)</f>
        <v>369.072</v>
      </c>
      <c r="N23" s="145" t="str">
        <f>VLOOKUP(C23,'Trips&amp;Operators'!$C$1:$G$99999,5,FALSE)</f>
        <v>STRICKLAND EVAN</v>
      </c>
      <c r="O23" s="159" t="s">
        <v>185</v>
      </c>
      <c r="P23" s="146"/>
      <c r="Q23" s="30"/>
      <c r="R23" s="89" t="str">
        <f>VLOOKUP(C23,'Train Runs'!$A$13:$AE$9967,31,0)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S23" s="92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-02-01T14:42:16-0700',mode:absolute,to:'2017-02-01T17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/stypes="*4025*201702012*" /stext=" 22:.+((SYSTEM_STATE.+slice.+state.+changed )|(ment ac)|(multiple cpu faults)|(system.+state.+changed )|(\[timeout)|(PRM\|1\|D)|(kpr)|(kdp)|(\|lc)|(penalty))" /e /r /s</v>
      </c>
      <c r="U23" s="9" t="str">
        <f>MID(B23,13,4)</f>
        <v>4025</v>
      </c>
      <c r="V23" s="32">
        <f>A23-utc_offset/24</f>
        <v>42767.956087962957</v>
      </c>
      <c r="W23" s="46" t="str">
        <f>IF(VALUE(LEFT(IF(LEN(C23)=6,"0"&amp;C23,C23),2))&lt;=2,"EC",IF(OR(VALUE(LEFT(IF(LEN(C23)=6,"0"&amp;C23,C23),2))=8,VALUE(LEFT(IF(LEN(C23)=6,"0"&amp;C23,C23),2))=18),"NW","Other"))</f>
        <v>NW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{"issue":{"subject":"","project_id":79,"tracker_id":40,"status_id":1,"priority_id":2,"assigned_to_id":23,"start_date":"2017-02-01","description":"","custom_fields":[{"id":1,"name":"Subdivision","value":"NW"},{"id":4,"name":"Milepost","value":"2.1299"},{"id":17,"name":"Train ID","value":"827-01"},{"id":16,"name":"Locomotive ID","value":"4025"},{"id":130,"name":"Impact","value":""},{"id":150,"name":"Time of Event (Mountain Time)","value":"15:56:46"},{"id":151,"name":"Denver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"%USERPROFILE%\AppData\Local\Temp\OnboardLogs"\RTDC4025\*4025*201702012*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"%USERPROFILE%\AppData\Local\Temp\OnboardLogs"\RTDC4025\*4025*201702012* &gt;&gt; 2017-02-01-SliceDisagreementCheck.txt</v>
      </c>
      <c r="AE23" s="163" t="str">
        <f>"start /low /b "&amp;dls3logs&amp;" --loco "&amp;U23&amp;" --day "&amp;TEXT(V23,"YYYY-MM-DD")</f>
        <v>start /low /b %USERPROFILE%\Documents\GitHub\eaglep3\Utilities\DownloadLogsFromS3.py --loco 4025 --day 2017-02-01</v>
      </c>
      <c r="AF23" s="1"/>
    </row>
    <row r="24" spans="1:32" x14ac:dyDescent="0.25">
      <c r="A24" s="32">
        <v>42767.336851851855</v>
      </c>
      <c r="B24" s="30" t="s">
        <v>253</v>
      </c>
      <c r="C24" s="30" t="s">
        <v>433</v>
      </c>
      <c r="D24" s="30" t="s">
        <v>49</v>
      </c>
      <c r="E24" s="30" t="s">
        <v>188</v>
      </c>
      <c r="F24" s="43">
        <v>0</v>
      </c>
      <c r="G24" s="43">
        <v>67</v>
      </c>
      <c r="H24" s="43">
        <v>58816</v>
      </c>
      <c r="I24" s="43">
        <v>58899</v>
      </c>
      <c r="J24" s="30" t="s">
        <v>189</v>
      </c>
      <c r="K24" s="43">
        <v>59048</v>
      </c>
      <c r="L24" s="143" t="s">
        <v>50</v>
      </c>
      <c r="M24" s="144">
        <f>CONVERT((I24-K24)/10000,"mi","ft")*IF(L24="Increasing Mileposts (1)",-1,1)</f>
        <v>78.671999999999997</v>
      </c>
      <c r="N24" s="145" t="str">
        <f>VLOOKUP(C24,'Trips&amp;Operators'!$C$1:$G$99999,5,FALSE)</f>
        <v>YORK EDGAR</v>
      </c>
      <c r="O24" s="159" t="s">
        <v>185</v>
      </c>
      <c r="P24" s="146"/>
      <c r="Q24" s="30"/>
      <c r="R24" s="89" t="str">
        <f>VLOOKUP(C24,'Train Runs'!$A$13:$AE$9967,31,0)</f>
        <v>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 &amp; 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</v>
      </c>
      <c r="S24" s="92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-02-01T06:28:08-0700',mode:absolute,to:'2017-02-01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/stypes="*4025*201702011*" /stext=" 15:.+((SYSTEM_STATE.+slice.+state.+changed )|(ment ac)|(multiple cpu faults)|(system.+state.+changed )|(\[timeout)|(PRM\|1\|D)|(kpr)|(kdp)|(\|lc)|(penalty))" /e /r /s</v>
      </c>
      <c r="U24" s="9" t="str">
        <f>MID(B24,13,4)</f>
        <v>4025</v>
      </c>
      <c r="V24" s="32">
        <f>A24-utc_offset/24</f>
        <v>42767.628518518519</v>
      </c>
      <c r="W24" s="46" t="str">
        <f>IF(VALUE(LEFT(IF(LEN(C24)=6,"0"&amp;C24,C24),2))&lt;=2,"EC",IF(OR(VALUE(LEFT(IF(LEN(C24)=6,"0"&amp;C24,C24),2))=8,VALUE(LEFT(IF(LEN(C24)=6,"0"&amp;C24,C24),2))=18),"NW","Other"))</f>
        <v>NW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{"issue":{"subject":"","project_id":79,"tracker_id":40,"status_id":1,"priority_id":2,"assigned_to_id":23,"start_date":"2017-02-01","description":"","custom_fields":[{"id":1,"name":"Subdivision","value":"NW"},{"id":4,"name":"Milepost","value":"5.9048"},{"id":17,"name":"Train ID","value":"809-01"},{"id":16,"name":"Locomotive ID","value":"4025"},{"id":130,"name":"Impact","value":""},{"id":150,"name":"Time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"%USERPROFILE%\AppData\Local\Temp\OnboardLogs"\RTDC4025\*4025*201702011*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"%USERPROFILE%\AppData\Local\Temp\OnboardLogs"\RTDC4025\*4025*201702011* &gt;&gt; 2017-02-01-SliceDisagreementCheck.txt</v>
      </c>
      <c r="AE24" s="163" t="str">
        <f>"start /low /b "&amp;dls3logs&amp;" --loco "&amp;U24&amp;" --day "&amp;TEXT(V24,"YYYY-MM-DD")</f>
        <v>start /low /b %USERPROFILE%\Documents\GitHub\eaglep3\Utilities\DownloadLogsFromS3.py --loco 4025 --day 2017-02-01</v>
      </c>
      <c r="AF24" s="1"/>
    </row>
    <row r="25" spans="1:32" x14ac:dyDescent="0.25">
      <c r="A25" s="32">
        <v>42767.940300925926</v>
      </c>
      <c r="B25" s="30" t="s">
        <v>271</v>
      </c>
      <c r="C25" s="30" t="s">
        <v>445</v>
      </c>
      <c r="D25" s="30" t="s">
        <v>49</v>
      </c>
      <c r="E25" s="30" t="s">
        <v>188</v>
      </c>
      <c r="F25" s="43">
        <v>0</v>
      </c>
      <c r="G25" s="43">
        <v>156</v>
      </c>
      <c r="H25" s="43">
        <v>57901</v>
      </c>
      <c r="I25" s="43">
        <v>58090</v>
      </c>
      <c r="J25" s="30" t="s">
        <v>189</v>
      </c>
      <c r="K25" s="43">
        <v>59048</v>
      </c>
      <c r="L25" s="143" t="s">
        <v>50</v>
      </c>
      <c r="M25" s="144">
        <f>CONVERT((I25-K25)/10000,"mi","ft")*IF(L25="Increasing Mileposts (1)",-1,1)</f>
        <v>505.82400000000001</v>
      </c>
      <c r="N25" s="145" t="str">
        <f>VLOOKUP(C25,'Trips&amp;Operators'!$C$1:$G$99999,5,FALSE)</f>
        <v>LOPES KIMBERLY</v>
      </c>
      <c r="O25" s="159" t="s">
        <v>185</v>
      </c>
      <c r="P25" s="146"/>
      <c r="Q25" s="30"/>
      <c r="R25" s="89" t="str">
        <f>VLOOKUP(C25,'Train Runs'!$A$13:$AE$9967,31,0)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S25" s="92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-02-01T20:59:17-0700',mode:absolute,to:'2017-02-01T23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/stypes="*4044*201702020*" /stext=" 05:.+((SYSTEM_STATE.+slice.+state.+changed )|(ment ac)|(multiple cpu faults)|(system.+state.+changed )|(\[timeout)|(PRM\|1\|D)|(kpr)|(kdp)|(\|lc)|(penalty))" /e /r /s</v>
      </c>
      <c r="U25" s="9" t="str">
        <f>MID(B25,13,4)</f>
        <v>4044</v>
      </c>
      <c r="V25" s="32">
        <f>A25-utc_offset/24</f>
        <v>42768.23196759259</v>
      </c>
      <c r="W25" s="46" t="str">
        <f>IF(VALUE(LEFT(IF(LEN(C25)=6,"0"&amp;C25,C25),2))&lt;=2,"EC",IF(OR(VALUE(LEFT(IF(LEN(C25)=6,"0"&amp;C25,C25),2))=8,VALUE(LEFT(IF(LEN(C25)=6,"0"&amp;C25,C25),2))=18),"NW","Other"))</f>
        <v>NW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{"issue":{"subject":"","project_id":79,"tracker_id":40,"status_id":1,"priority_id":2,"assigned_to_id":23,"start_date":"2017-02-01","description":"","custom_fields":[{"id":1,"name":"Subdivision","value":"NW"},{"id":4,"name":"Milepost","value":"5.9048"},{"id":17,"name":"Train ID","value":"847-01"},{"id":16,"name":"Locomotive ID","value":"4044"},{"id":130,"name":"Impact","value":""},{"id":150,"name":"Time of Event (Mountain Time)","value":"22:34:02"},{"id":151,"name":"Denver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"%USERPROFILE%\AppData\Local\Temp\OnboardLogs"\RTDC4044\*4044*201702020*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"%USERPROFILE%\AppData\Local\Temp\OnboardLogs"\RTDC4044\*4044*201702020* &gt;&gt; 2017-02-01-SliceDisagreementCheck.txt</v>
      </c>
      <c r="AE25" s="163" t="str">
        <f>"start /low /b "&amp;dls3logs&amp;" --loco "&amp;U25&amp;" --day "&amp;TEXT(V25,"YYYY-MM-DD")</f>
        <v>start /low /b %USERPROFILE%\Documents\GitHub\eaglep3\Utilities\DownloadLogsFromS3.py --loco 4044 --day 2017-02-02</v>
      </c>
      <c r="AF25" s="1"/>
    </row>
    <row r="26" spans="1:32" x14ac:dyDescent="0.25">
      <c r="A26" s="32">
        <v>42767.940740740742</v>
      </c>
      <c r="B26" s="30" t="s">
        <v>271</v>
      </c>
      <c r="C26" s="30" t="s">
        <v>445</v>
      </c>
      <c r="D26" s="30" t="s">
        <v>49</v>
      </c>
      <c r="E26" s="30" t="s">
        <v>188</v>
      </c>
      <c r="F26" s="43">
        <v>0</v>
      </c>
      <c r="G26" s="43">
        <v>110</v>
      </c>
      <c r="H26" s="43">
        <v>58220</v>
      </c>
      <c r="I26" s="43">
        <v>58329</v>
      </c>
      <c r="J26" s="30" t="s">
        <v>189</v>
      </c>
      <c r="K26" s="43">
        <v>59048</v>
      </c>
      <c r="L26" s="143" t="s">
        <v>50</v>
      </c>
      <c r="M26" s="144">
        <f>CONVERT((I26-K26)/10000,"mi","ft")*IF(L26="Increasing Mileposts (1)",-1,1)</f>
        <v>379.63200000000001</v>
      </c>
      <c r="N26" s="145" t="str">
        <f>VLOOKUP(C26,'Trips&amp;Operators'!$C$1:$G$99999,5,FALSE)</f>
        <v>LOPES KIMBERLY</v>
      </c>
      <c r="O26" s="159" t="s">
        <v>185</v>
      </c>
      <c r="P26" s="146"/>
      <c r="Q26" s="30"/>
      <c r="R26" s="89" t="str">
        <f>VLOOKUP(C26,'Train Runs'!$A$13:$AE$9967,31,0)</f>
        <v>aws s3 cp s3://rtdc.mdm.uploadarchive.raw/RTDC4044/ "%USERPROFILE%\AppData\Local\Temp\OnboardLogs"\RTDC4044\2017-02-01 --exclude "*" --recursive --include "*20170201*" &amp; "%USERPROFILE%\Documents\GitHub\mrs-test-scripts\Headless Mode &amp; Sideloading\WalkAndUnGZ.bat" "%USERPROFILE%\AppData\Local\Temp\OnboardLogs"\RTDC4044\2017-02-01 &amp; aws s3 cp s3://rtdc.mdm.uploadarchive.raw/RTDC4044/ "%USERPROFILE%\AppData\Local\Temp\OnboardLogs"\RTDC4044\2017-02-02 --exclude "*" --recursive --include "*20170202*" &amp; "%USERPROFILE%\Documents\GitHub\mrs-test-scripts\Headless Mode &amp; Sideloading\WalkAndUnGZ.bat" "%USERPROFILE%\AppData\Local\Temp\OnboardLogs"\RTDC4044\2017-02-02</v>
      </c>
      <c r="S26" s="92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-02-01T20:59:17-0700',mode:absolute,to:'2017-02-01T23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/stypes="*4044*201702020*" /stext=" 05:.+((SYSTEM_STATE.+slice.+state.+changed )|(ment ac)|(multiple cpu faults)|(system.+state.+changed )|(\[timeout)|(PRM\|1\|D)|(kpr)|(kdp)|(\|lc)|(penalty))" /e /r /s</v>
      </c>
      <c r="U26" s="9" t="str">
        <f>MID(B26,13,4)</f>
        <v>4044</v>
      </c>
      <c r="V26" s="32">
        <f>A26-utc_offset/24</f>
        <v>42768.232407407406</v>
      </c>
      <c r="W26" s="46" t="str">
        <f>IF(VALUE(LEFT(IF(LEN(C26)=6,"0"&amp;C26,C26),2))&lt;=2,"EC",IF(OR(VALUE(LEFT(IF(LEN(C26)=6,"0"&amp;C26,C26),2))=8,VALUE(LEFT(IF(LEN(C26)=6,"0"&amp;C26,C26),2))=18),"NW","Other"))</f>
        <v>NW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{"issue":{"subject":"","project_id":79,"tracker_id":40,"status_id":1,"priority_id":2,"assigned_to_id":23,"start_date":"2017-02-01","description":"","custom_fields":[{"id":1,"name":"Subdivision","value":"NW"},{"id":4,"name":"Milepost","value":"5.9048"},{"id":17,"name":"Train ID","value":"847-01"},{"id":16,"name":"Locomotive ID","value":"4044"},{"id":130,"name":"Impact","value":""},{"id":150,"name":"Time of Event (Mountain Time)","value":"22:34:40"},{"id":151,"name":"Denver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"%USERPROFILE%\AppData\Local\Temp\OnboardLogs"\RTDC4044\*4044*201702020*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"%USERPROFILE%\AppData\Local\Temp\OnboardLogs"\RTDC4044\*4044*201702020* &gt;&gt; 2017-02-01-SliceDisagreementCheck.txt</v>
      </c>
      <c r="AE26" s="163" t="str">
        <f>"start /low /b "&amp;dls3logs&amp;" --loco "&amp;U26&amp;" --day "&amp;TEXT(V26,"YYYY-MM-DD")</f>
        <v>start /low /b %USERPROFILE%\Documents\GitHub\eaglep3\Utilities\DownloadLogsFromS3.py --loco 4044 --day 2017-02-02</v>
      </c>
      <c r="AF26" s="1"/>
    </row>
    <row r="27" spans="1:32" x14ac:dyDescent="0.25">
      <c r="A27" s="32">
        <v>42767.644270833334</v>
      </c>
      <c r="B27" s="30" t="s">
        <v>226</v>
      </c>
      <c r="C27" s="30" t="s">
        <v>440</v>
      </c>
      <c r="D27" s="30" t="s">
        <v>98</v>
      </c>
      <c r="E27" s="30" t="s">
        <v>186</v>
      </c>
      <c r="F27" s="43">
        <v>0</v>
      </c>
      <c r="G27" s="43">
        <v>78</v>
      </c>
      <c r="H27" s="43">
        <v>23252</v>
      </c>
      <c r="I27" s="43">
        <v>23169</v>
      </c>
      <c r="J27" s="30" t="s">
        <v>187</v>
      </c>
      <c r="K27" s="43">
        <v>24161</v>
      </c>
      <c r="L27" s="143" t="s">
        <v>51</v>
      </c>
      <c r="M27" s="144">
        <f>CONVERT((I27-K27)/10000,"mi","ft")*IF(L27="Increasing Mileposts (1)",-1,1)</f>
        <v>-523.77599999999995</v>
      </c>
      <c r="N27" s="145" t="str">
        <f>VLOOKUP(C27,'Trips&amp;Operators'!$C$1:$G$99999,5,FALSE)</f>
        <v>STRICKLAND EVAN</v>
      </c>
      <c r="O27" s="159" t="s">
        <v>185</v>
      </c>
      <c r="P27" s="146"/>
      <c r="Q27" s="30"/>
      <c r="R27" s="89" t="str">
        <f>VLOOKUP(C27,'Train Runs'!$A$13:$AE$9967,31,0)</f>
        <v>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 &amp; 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</v>
      </c>
      <c r="S27" s="92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-02-01T14:30:19-0700',mode:absolute,to:'2017-02-01T16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/stypes="*4026*201702012*" /stext=" 22:.+((SYSTEM_STATE.+slice.+state.+changed )|(ment ac)|(multiple cpu faults)|(system.+state.+changed )|(\[timeout)|(PRM\|1\|D)|(kpr)|(kdp)|(\|lc)|(penalty))" /e /r /s</v>
      </c>
      <c r="U27" s="9" t="str">
        <f>MID(B27,13,4)</f>
        <v>4026</v>
      </c>
      <c r="V27" s="32">
        <f>A27-utc_offset/24</f>
        <v>42767.935937499999</v>
      </c>
      <c r="W27" s="46" t="str">
        <f>IF(VALUE(LEFT(IF(LEN(C27)=6,"0"&amp;C27,C27),2))&lt;=2,"EC",IF(OR(VALUE(LEFT(IF(LEN(C27)=6,"0"&amp;C27,C27),2))=8,VALUE(LEFT(IF(LEN(C27)=6,"0"&amp;C27,C27),2))=18),"NW","Other"))</f>
        <v>Other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{"issue":{"subject":"","project_id":79,"tracker_id":40,"status_id":1,"priority_id":2,"assigned_to_id":23,"start_date":"2017-02-01","description":"","custom_fields":[{"id":1,"name":"Subdivision","value":"Other"},{"id":4,"name":"Milepost","value":"2.4161"},{"id":17,"name":"Train ID","value":"904-01"},{"id":16,"name":"Locomotive ID","value":"4026"},{"id":130,"name":"Impact","value":""},{"id":150,"name":"Time of Event (Mountain Time)","value":"15:27:45"},{"id":151,"name":"Denver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"%USERPROFILE%\AppData\Local\Temp\OnboardLogs"\RTDC4026\*4026*201702012*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"%USERPROFILE%\AppData\Local\Temp\OnboardLogs"\RTDC4026\*4026*201702012* &gt;&gt; 2017-02-01-SliceDisagreementCheck.txt</v>
      </c>
      <c r="AE27" s="163" t="str">
        <f>"start /low /b "&amp;dls3logs&amp;" --loco "&amp;U27&amp;" --day "&amp;TEXT(V27,"YYYY-MM-DD")</f>
        <v>start /low /b %USERPROFILE%\Documents\GitHub\eaglep3\Utilities\DownloadLogsFromS3.py --loco 4026 --day 2017-02-01</v>
      </c>
      <c r="AF27" s="1"/>
    </row>
    <row r="28" spans="1:32" x14ac:dyDescent="0.25">
      <c r="A28" s="32">
        <v>42767.974629629629</v>
      </c>
      <c r="B28" s="30" t="s">
        <v>446</v>
      </c>
      <c r="C28" s="30" t="s">
        <v>447</v>
      </c>
      <c r="D28" s="30" t="s">
        <v>49</v>
      </c>
      <c r="E28" s="30" t="s">
        <v>186</v>
      </c>
      <c r="F28" s="43">
        <v>0</v>
      </c>
      <c r="G28" s="43">
        <v>667</v>
      </c>
      <c r="H28" s="43">
        <v>167696</v>
      </c>
      <c r="I28" s="43">
        <v>170823</v>
      </c>
      <c r="J28" s="30" t="s">
        <v>187</v>
      </c>
      <c r="K28" s="43">
        <v>168003</v>
      </c>
      <c r="L28" s="143" t="s">
        <v>50</v>
      </c>
      <c r="M28" s="144">
        <f>CONVERT((I28-K28)/10000,"mi","ft")*IF(L28="Increasing Mileposts (1)",-1,1)</f>
        <v>-1488.96</v>
      </c>
      <c r="N28" s="145" t="str">
        <f>VLOOKUP(C28,'Trips&amp;Operators'!$C$1:$G$99999,5,FALSE)</f>
        <v>COMELLA JUSTIN</v>
      </c>
      <c r="O28" s="159" t="s">
        <v>185</v>
      </c>
      <c r="P28" s="146"/>
      <c r="Q28" s="30"/>
      <c r="R28" s="89" t="str">
        <f>VLOOKUP(C28,'Train Runs'!$A$13:$AE$9967,31,0)</f>
        <v>aws s3 cp s3://rtdc.mdm.uploadarchive.raw/RTDC4055/ "%USERPROFILE%\AppData\Local\Temp\OnboardLogs"\RTDC4055\2017-02-01 --exclude "*" --recursive --include "*20170201*" &amp; "%USERPROFILE%\Documents\GitHub\mrs-test-scripts\Headless Mode &amp; Sideloading\WalkAndUnGZ.bat" "%USERPROFILE%\AppData\Local\Temp\OnboardLogs"\RTDC4055\2017-02-01 &amp; 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</v>
      </c>
      <c r="S28" s="92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-02-01T21:51:01-0700',mode:absolute,to:'2017-02-02T00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/stypes="*4055*201702020*" /stext=" 06:.+((SYSTEM_STATE.+slice.+state.+changed )|(ment ac)|(multiple cpu faults)|(system.+state.+changed )|(\[timeout)|(PRM\|1\|D)|(kpr)|(kdp)|(\|lc)|(penalty))" /e /r /s</v>
      </c>
      <c r="U28" s="9" t="str">
        <f>MID(B28,13,4)</f>
        <v>4055</v>
      </c>
      <c r="V28" s="32">
        <f>A28-utc_offset/24</f>
        <v>42768.266296296293</v>
      </c>
      <c r="W28" s="46" t="str">
        <f>IF(VALUE(LEFT(IF(LEN(C28)=6,"0"&amp;C28,C28),2))&lt;=2,"EC",IF(OR(VALUE(LEFT(IF(LEN(C28)=6,"0"&amp;C28,C28),2))=8,VALUE(LEFT(IF(LEN(C28)=6,"0"&amp;C28,C28),2))=18),"NW","Other"))</f>
        <v>Other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{"issue":{"subject":"","project_id":79,"tracker_id":40,"status_id":1,"priority_id":2,"assigned_to_id":23,"start_date":"2017-02-01","description":"","custom_fields":[{"id":1,"name":"Subdivision","value":"Other"},{"id":4,"name":"Milepost","value":"16.8003"},{"id":17,"name":"Train ID","value":"82-01"},{"id":16,"name":"Locomotive ID","value":"4055"},{"id":130,"name":"Impact","value":""},{"id":150,"name":"Time of Event (Mountain Time)","value":"23:23:28"},{"id":151,"name":"Denver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"%USERPROFILE%\AppData\Local\Temp\OnboardLogs"\RTDC4055\*4055*201702020*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"%USERPROFILE%\AppData\Local\Temp\OnboardLogs"\RTDC4055\*4055*201702020* &gt;&gt; 2017-02-01-SliceDisagreementCheck.txt</v>
      </c>
      <c r="AE28" s="163" t="str">
        <f>"start /low /b "&amp;dls3logs&amp;" --loco "&amp;U28&amp;" --day "&amp;TEXT(V28,"YYYY-MM-DD")</f>
        <v>start /low /b %USERPROFILE%\Documents\GitHub\eaglep3\Utilities\DownloadLogsFromS3.py --loco 4055 --day 2017-02-02</v>
      </c>
      <c r="AF28" s="1"/>
    </row>
    <row r="29" spans="1:32" x14ac:dyDescent="0.25">
      <c r="A29" s="32">
        <v>42767.764317129629</v>
      </c>
      <c r="B29" s="30" t="s">
        <v>249</v>
      </c>
      <c r="C29" s="30" t="s">
        <v>442</v>
      </c>
      <c r="D29" s="30" t="s">
        <v>49</v>
      </c>
      <c r="E29" s="30" t="s">
        <v>188</v>
      </c>
      <c r="F29" s="43">
        <v>0</v>
      </c>
      <c r="G29" s="43">
        <v>24</v>
      </c>
      <c r="H29" s="43">
        <v>937</v>
      </c>
      <c r="I29" s="43">
        <v>922</v>
      </c>
      <c r="J29" s="30" t="s">
        <v>189</v>
      </c>
      <c r="K29" s="43">
        <v>839</v>
      </c>
      <c r="L29" s="143" t="s">
        <v>51</v>
      </c>
      <c r="M29" s="144">
        <f>CONVERT((I29-K29)/10000,"mi","ft")*IF(L29="Increasing Mileposts (1)",-1,1)</f>
        <v>43.823999999999998</v>
      </c>
      <c r="N29" s="145" t="str">
        <f>VLOOKUP(C29,'Trips&amp;Operators'!$C$1:$G$99999,5,FALSE)</f>
        <v>NELSON ARIANE</v>
      </c>
      <c r="O29" s="159" t="s">
        <v>185</v>
      </c>
      <c r="P29" s="146"/>
      <c r="Q29" s="30"/>
      <c r="R29" s="89" t="str">
        <f>VLOOKUP(C29,'Train Runs'!$A$13:$AE$9967,31,0)</f>
        <v>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 &amp; 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</v>
      </c>
      <c r="S29" s="92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-02-01T17:13:02-0700',mode:absolute,to:'2017-02-01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/stypes="*4039*201702020*" /stext=" 01:.+((SYSTEM_STATE.+slice.+state.+changed )|(ment ac)|(multiple cpu faults)|(system.+state.+changed )|(\[timeout)|(PRM\|1\|D)|(kpr)|(kdp)|(\|lc)|(penalty))" /e /r /s</v>
      </c>
      <c r="U29" s="9" t="str">
        <f>MID(B29,13,4)</f>
        <v>4039</v>
      </c>
      <c r="V29" s="32">
        <f>A29-utc_offset/24</f>
        <v>42768.055983796294</v>
      </c>
      <c r="W29" s="46" t="str">
        <f>IF(VALUE(LEFT(IF(LEN(C29)=6,"0"&amp;C29,C29),2))&lt;=2,"EC",IF(OR(VALUE(LEFT(IF(LEN(C29)=6,"0"&amp;C29,C29),2))=8,VALUE(LEFT(IF(LEN(C29)=6,"0"&amp;C29,C29),2))=18),"NW","Other"))</f>
        <v>Other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{"issue":{"subject":"","project_id":79,"tracker_id":40,"status_id":1,"priority_id":2,"assigned_to_id":23,"start_date":"2017-02-01","description":"","custom_fields":[{"id":1,"name":"Subdivision","value":"Other"},{"id":4,"name":"Milepost","value":"0.0839"},{"id":17,"name":"Train ID","value":"74-01"},{"id":16,"name":"Locomotive ID","value":"4039"},{"id":130,"name":"Impact","value":""},{"id":150,"name":"Time of Event (Mountain Time)","value":"18:20:37"},{"id":151,"name":"Denver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"%USERPROFILE%\AppData\Local\Temp\OnboardLogs"\RTDC4039\*4039*201702020*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"%USERPROFILE%\AppData\Local\Temp\OnboardLogs"\RTDC4039\*4039*201702020* &gt;&gt; 2017-02-01-SliceDisagreementCheck.txt</v>
      </c>
      <c r="AE29" s="163" t="str">
        <f>"start /low /b "&amp;dls3logs&amp;" --loco "&amp;U29&amp;" --day "&amp;TEXT(V29,"YYYY-MM-DD")</f>
        <v>start /low /b %USERPROFILE%\Documents\GitHub\eaglep3\Utilities\DownloadLogsFromS3.py --loco 4039 --day 2017-02-02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6">
    <sortState ref="A7:AC36">
      <sortCondition ref="V6:V36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64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"/>
    </sheetView>
  </sheetViews>
  <sheetFormatPr defaultRowHeight="15" x14ac:dyDescent="0.25"/>
  <cols>
    <col min="1" max="1" width="9.140625" style="152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2"/>
      <c r="B1" s="196" t="str">
        <f>"Trips that did not appear in PTC Data "&amp;TEXT(Variables!$A$2,"YYYY-mm-dd")</f>
        <v>Trips that did not appear in PTC Data 2017-02-01</v>
      </c>
      <c r="C1" s="196"/>
      <c r="D1" s="196"/>
      <c r="E1" s="196"/>
      <c r="F1" s="196"/>
    </row>
    <row r="2" spans="1:10" s="23" customFormat="1" ht="45" x14ac:dyDescent="0.25">
      <c r="A2" s="155" t="s">
        <v>152</v>
      </c>
      <c r="B2" s="99" t="s">
        <v>58</v>
      </c>
      <c r="C2" s="96" t="s">
        <v>59</v>
      </c>
      <c r="D2" s="17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53"/>
      <c r="B3" s="43" t="str">
        <f>A3&amp;"-"&amp;IF(DAY(Variables!$A$2)&lt;10,0,"")&amp;DAY(Variables!$A$2)</f>
        <v>-01</v>
      </c>
      <c r="C3" s="147"/>
      <c r="D3" s="17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Runs'!$A$13:$A$99964,1,FALSE)</f>
        <v>#N/A</v>
      </c>
    </row>
    <row r="4" spans="1:10" x14ac:dyDescent="0.25">
      <c r="A4" s="153"/>
      <c r="B4" s="43" t="str">
        <f>A4&amp;"-"&amp;IF(DAY(Variables!$A$2)&lt;10,0,"")&amp;DAY(Variables!$A$2)</f>
        <v>-01</v>
      </c>
      <c r="C4" s="147"/>
      <c r="D4" s="17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Runs'!$A$13:$A$99964,1,FALSE)</f>
        <v>#N/A</v>
      </c>
    </row>
    <row r="5" spans="1:10" x14ac:dyDescent="0.25">
      <c r="A5" s="153"/>
      <c r="B5" s="43" t="str">
        <f>A5&amp;"-"&amp;IF(DAY(Variables!$A$2)&lt;10,0,"")&amp;DAY(Variables!$A$2)</f>
        <v>-01</v>
      </c>
      <c r="C5" s="147"/>
      <c r="D5" s="17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Runs'!$A$13:$A$99964,1,FALSE)</f>
        <v>#N/A</v>
      </c>
    </row>
    <row r="6" spans="1:10" x14ac:dyDescent="0.25">
      <c r="A6" s="153"/>
      <c r="B6" s="43" t="str">
        <f>A6&amp;"-"&amp;IF(DAY(Variables!$A$2)&lt;10,0,"")&amp;DAY(Variables!$A$2)</f>
        <v>-01</v>
      </c>
      <c r="C6" s="147"/>
      <c r="D6" s="17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Runs'!$A$13:$A$99964,1,FALSE)</f>
        <v>#N/A</v>
      </c>
    </row>
    <row r="7" spans="1:10" x14ac:dyDescent="0.25">
      <c r="A7" s="153"/>
      <c r="B7" s="43" t="str">
        <f>A7&amp;"-"&amp;IF(DAY(Variables!$A$2)&lt;10,0,"")&amp;DAY(Variables!$A$2)</f>
        <v>-01</v>
      </c>
      <c r="C7" s="147"/>
      <c r="D7" s="17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Runs'!$A$13:$A$99964,1,FALSE)</f>
        <v>#N/A</v>
      </c>
    </row>
    <row r="8" spans="1:10" x14ac:dyDescent="0.25">
      <c r="A8" s="153"/>
      <c r="B8" s="43" t="str">
        <f>A8&amp;"-"&amp;IF(DAY(Variables!$A$2)&lt;10,0,"")&amp;DAY(Variables!$A$2)</f>
        <v>-01</v>
      </c>
      <c r="C8" s="147"/>
      <c r="D8" s="17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Runs'!$A$13:$A$99964,1,FALSE)</f>
        <v>#N/A</v>
      </c>
    </row>
    <row r="9" spans="1:10" x14ac:dyDescent="0.25">
      <c r="A9" s="153"/>
      <c r="B9" s="43" t="str">
        <f>A9&amp;"-"&amp;IF(DAY(Variables!$A$2)&lt;10,0,"")&amp;DAY(Variables!$A$2)</f>
        <v>-01</v>
      </c>
      <c r="C9" s="147"/>
      <c r="D9" s="17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Runs'!$A$13:$A$99964,1,FALSE)</f>
        <v>#N/A</v>
      </c>
    </row>
    <row r="10" spans="1:10" x14ac:dyDescent="0.25">
      <c r="A10" s="153"/>
      <c r="B10" s="43" t="str">
        <f>A10&amp;"-"&amp;IF(DAY(Variables!$A$2)&lt;10,0,"")&amp;DAY(Variables!$A$2)</f>
        <v>-01</v>
      </c>
      <c r="C10" s="147"/>
      <c r="D10" s="17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Runs'!$A$13:$A$99964,1,FALSE)</f>
        <v>#N/A</v>
      </c>
    </row>
    <row r="11" spans="1:10" x14ac:dyDescent="0.25">
      <c r="A11" s="153"/>
      <c r="B11" s="43" t="str">
        <f>A11&amp;"-"&amp;IF(DAY(Variables!$A$2)&lt;10,0,"")&amp;DAY(Variables!$A$2)</f>
        <v>-01</v>
      </c>
      <c r="C11" s="147"/>
      <c r="D11" s="17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Runs'!$A$13:$A$99964,1,FALSE)</f>
        <v>#N/A</v>
      </c>
    </row>
    <row r="12" spans="1:10" x14ac:dyDescent="0.25">
      <c r="A12" s="153"/>
      <c r="B12" s="43" t="str">
        <f>A12&amp;"-"&amp;IF(DAY(Variables!$A$2)&lt;10,0,"")&amp;DAY(Variables!$A$2)</f>
        <v>-01</v>
      </c>
      <c r="C12" s="147"/>
      <c r="D12" s="17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Runs'!$A$13:$A$99964,1,FALSE)</f>
        <v>#N/A</v>
      </c>
    </row>
    <row r="13" spans="1:10" x14ac:dyDescent="0.25">
      <c r="A13" s="153"/>
      <c r="B13" s="43" t="str">
        <f>A13&amp;"-"&amp;IF(DAY(Variables!$A$2)&lt;10,0,"")&amp;DAY(Variables!$A$2)</f>
        <v>-01</v>
      </c>
      <c r="C13" s="147"/>
      <c r="D13" s="17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Runs'!$A$13:$A$99964,1,FALSE)</f>
        <v>#N/A</v>
      </c>
    </row>
    <row r="14" spans="1:10" x14ac:dyDescent="0.25">
      <c r="A14" s="153"/>
      <c r="B14" s="43" t="str">
        <f>A14&amp;"-"&amp;IF(DAY(Variables!$A$2)&lt;10,0,"")&amp;DAY(Variables!$A$2)</f>
        <v>-01</v>
      </c>
      <c r="C14" s="147"/>
      <c r="D14" s="17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Runs'!$A$13:$A$99964,1,FALSE)</f>
        <v>#N/A</v>
      </c>
    </row>
    <row r="15" spans="1:10" x14ac:dyDescent="0.25">
      <c r="A15" s="153"/>
      <c r="B15" s="43" t="str">
        <f>A15&amp;"-"&amp;IF(DAY(Variables!$A$2)&lt;10,0,"")&amp;DAY(Variables!$A$2)</f>
        <v>-01</v>
      </c>
      <c r="C15" s="147"/>
      <c r="D15" s="17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Runs'!$A$13:$A$99964,1,FALSE)</f>
        <v>#N/A</v>
      </c>
    </row>
    <row r="16" spans="1:10" x14ac:dyDescent="0.25">
      <c r="A16" s="153"/>
      <c r="B16" s="43" t="str">
        <f>A16&amp;"-"&amp;IF(DAY(Variables!$A$2)&lt;10,0,"")&amp;DAY(Variables!$A$2)</f>
        <v>-01</v>
      </c>
      <c r="C16" s="147"/>
      <c r="D16" s="17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Runs'!$A$13:$A$99964,1,FALSE)</f>
        <v>#N/A</v>
      </c>
    </row>
    <row r="17" spans="1:10" x14ac:dyDescent="0.25">
      <c r="A17" s="153"/>
      <c r="B17" s="43" t="str">
        <f>A17&amp;"-"&amp;IF(DAY(Variables!$A$2)&lt;10,0,"")&amp;DAY(Variables!$A$2)</f>
        <v>-01</v>
      </c>
      <c r="C17" s="147"/>
      <c r="D17" s="17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Runs'!$A$13:$A$99964,1,FALSE)</f>
        <v>#N/A</v>
      </c>
    </row>
    <row r="18" spans="1:10" x14ac:dyDescent="0.25">
      <c r="A18" s="153"/>
      <c r="B18" s="43" t="str">
        <f>A18&amp;"-"&amp;IF(DAY(Variables!$A$2)&lt;10,0,"")&amp;DAY(Variables!$A$2)</f>
        <v>-01</v>
      </c>
      <c r="C18" s="147"/>
      <c r="D18" s="17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Runs'!$A$13:$A$99964,1,FALSE)</f>
        <v>#N/A</v>
      </c>
    </row>
    <row r="19" spans="1:10" x14ac:dyDescent="0.25">
      <c r="A19" s="153"/>
      <c r="B19" s="43" t="str">
        <f>A19&amp;"-"&amp;IF(DAY(Variables!$A$2)&lt;10,0,"")&amp;DAY(Variables!$A$2)</f>
        <v>-01</v>
      </c>
      <c r="C19" s="147"/>
      <c r="D19" s="17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Runs'!$A$13:$A$99964,1,FALSE)</f>
        <v>#N/A</v>
      </c>
    </row>
    <row r="20" spans="1:10" x14ac:dyDescent="0.25">
      <c r="A20" s="153"/>
      <c r="B20" s="43" t="str">
        <f>A20&amp;"-"&amp;IF(DAY(Variables!$A$2)&lt;10,0,"")&amp;DAY(Variables!$A$2)</f>
        <v>-01</v>
      </c>
      <c r="C20" s="147"/>
      <c r="D20" s="17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Runs'!$A$13:$A$99964,1,FALSE)</f>
        <v>#N/A</v>
      </c>
    </row>
    <row r="21" spans="1:10" x14ac:dyDescent="0.25">
      <c r="A21" s="153"/>
      <c r="B21" s="43" t="str">
        <f>A21&amp;"-"&amp;IF(DAY(Variables!$A$2)&lt;10,0,"")&amp;DAY(Variables!$A$2)</f>
        <v>-01</v>
      </c>
      <c r="C21" s="147"/>
      <c r="D21" s="17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Runs'!$A$13:$A$99964,1,FALSE)</f>
        <v>#N/A</v>
      </c>
    </row>
    <row r="22" spans="1:10" x14ac:dyDescent="0.25">
      <c r="A22" s="153"/>
      <c r="B22" s="43" t="str">
        <f>A22&amp;"-"&amp;IF(DAY(Variables!$A$2)&lt;10,0,"")&amp;DAY(Variables!$A$2)</f>
        <v>-01</v>
      </c>
      <c r="C22" s="147"/>
      <c r="D22" s="17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Runs'!$A$13:$A$99964,1,FALSE)</f>
        <v>#N/A</v>
      </c>
    </row>
    <row r="23" spans="1:10" x14ac:dyDescent="0.25">
      <c r="A23" s="153"/>
      <c r="B23" s="43" t="str">
        <f>A23&amp;"-"&amp;IF(DAY(Variables!$A$2)&lt;10,0,"")&amp;DAY(Variables!$A$2)</f>
        <v>-01</v>
      </c>
      <c r="C23" s="147"/>
      <c r="D23" s="17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Runs'!$A$13:$A$99964,1,FALSE)</f>
        <v>#N/A</v>
      </c>
    </row>
    <row r="24" spans="1:10" x14ac:dyDescent="0.25">
      <c r="A24" s="153"/>
      <c r="B24" s="43" t="str">
        <f>A24&amp;"-"&amp;IF(DAY(Variables!$A$2)&lt;10,0,"")&amp;DAY(Variables!$A$2)</f>
        <v>-01</v>
      </c>
      <c r="C24" s="147"/>
      <c r="D24" s="17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Runs'!$A$13:$A$99964,1,FALSE)</f>
        <v>#N/A</v>
      </c>
    </row>
    <row r="25" spans="1:10" x14ac:dyDescent="0.25">
      <c r="A25" s="153"/>
      <c r="B25" s="43" t="str">
        <f>A25&amp;"-"&amp;IF(DAY(Variables!$A$2)&lt;10,0,"")&amp;DAY(Variables!$A$2)</f>
        <v>-01</v>
      </c>
      <c r="C25" s="147"/>
      <c r="D25" s="17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Runs'!$A$13:$A$99964,1,FALSE)</f>
        <v>#N/A</v>
      </c>
    </row>
    <row r="26" spans="1:10" x14ac:dyDescent="0.25">
      <c r="A26" s="153"/>
      <c r="B26" s="43" t="str">
        <f>A26&amp;"-"&amp;IF(DAY(Variables!$A$2)&lt;10,0,"")&amp;DAY(Variables!$A$2)</f>
        <v>-01</v>
      </c>
      <c r="C26" s="147"/>
      <c r="D26" s="17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Runs'!$A$13:$A$99964,1,FALSE)</f>
        <v>#N/A</v>
      </c>
    </row>
    <row r="27" spans="1:10" x14ac:dyDescent="0.25">
      <c r="A27" s="153"/>
      <c r="B27" s="43" t="str">
        <f>A27&amp;"-"&amp;IF(DAY(Variables!$A$2)&lt;10,0,"")&amp;DAY(Variables!$A$2)</f>
        <v>-01</v>
      </c>
      <c r="C27" s="147"/>
      <c r="D27" s="17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Runs'!$A$13:$A$99964,1,FALSE)</f>
        <v>#N/A</v>
      </c>
    </row>
    <row r="28" spans="1:10" x14ac:dyDescent="0.25">
      <c r="A28" s="153"/>
      <c r="B28" s="43" t="str">
        <f>A28&amp;"-"&amp;IF(DAY(Variables!$A$2)&lt;10,0,"")&amp;DAY(Variables!$A$2)</f>
        <v>-01</v>
      </c>
      <c r="C28" s="147"/>
      <c r="D28" s="17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Runs'!$A$13:$A$99964,1,FALSE)</f>
        <v>#N/A</v>
      </c>
    </row>
    <row r="29" spans="1:10" x14ac:dyDescent="0.25">
      <c r="A29" s="153"/>
      <c r="B29" s="43" t="str">
        <f>A29&amp;"-"&amp;IF(DAY(Variables!$A$2)&lt;10,0,"")&amp;DAY(Variables!$A$2)</f>
        <v>-01</v>
      </c>
      <c r="C29" s="147"/>
      <c r="D29" s="17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Runs'!$A$13:$A$99964,1,FALSE)</f>
        <v>#N/A</v>
      </c>
    </row>
    <row r="30" spans="1:10" x14ac:dyDescent="0.25">
      <c r="A30" s="153"/>
      <c r="B30" s="43" t="str">
        <f>A30&amp;"-"&amp;IF(DAY(Variables!$A$2)&lt;10,0,"")&amp;DAY(Variables!$A$2)</f>
        <v>-01</v>
      </c>
      <c r="C30" s="147"/>
      <c r="D30" s="17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Runs'!$A$13:$A$99964,1,FALSE)</f>
        <v>#N/A</v>
      </c>
    </row>
    <row r="31" spans="1:10" x14ac:dyDescent="0.25">
      <c r="A31" s="153"/>
      <c r="B31" s="43" t="str">
        <f>A31&amp;"-"&amp;IF(DAY(Variables!$A$2)&lt;10,0,"")&amp;DAY(Variables!$A$2)</f>
        <v>-01</v>
      </c>
      <c r="C31" s="147"/>
      <c r="D31" s="17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Runs'!$A$13:$A$99964,1,FALSE)</f>
        <v>#N/A</v>
      </c>
    </row>
    <row r="32" spans="1:10" x14ac:dyDescent="0.25">
      <c r="A32" s="153"/>
      <c r="B32" s="43" t="str">
        <f>A32&amp;"-"&amp;IF(DAY(Variables!$A$2)&lt;10,0,"")&amp;DAY(Variables!$A$2)</f>
        <v>-01</v>
      </c>
      <c r="C32" s="147"/>
      <c r="D32" s="17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Runs'!$A$13:$A$99964,1,FALSE)</f>
        <v>#N/A</v>
      </c>
    </row>
    <row r="33" spans="1:10" x14ac:dyDescent="0.25">
      <c r="A33" s="153"/>
      <c r="B33" s="43" t="str">
        <f>A33&amp;"-"&amp;IF(DAY(Variables!$A$2)&lt;10,0,"")&amp;DAY(Variables!$A$2)</f>
        <v>-01</v>
      </c>
      <c r="C33" s="147"/>
      <c r="D33" s="17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Runs'!$A$13:$A$99964,1,FALSE)</f>
        <v>#N/A</v>
      </c>
    </row>
    <row r="34" spans="1:10" x14ac:dyDescent="0.25">
      <c r="A34" s="153"/>
      <c r="B34" s="43" t="str">
        <f>A34&amp;"-"&amp;IF(DAY(Variables!$A$2)&lt;10,0,"")&amp;DAY(Variables!$A$2)</f>
        <v>-01</v>
      </c>
      <c r="C34" s="147"/>
      <c r="D34" s="17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Runs'!$A$13:$A$99964,1,FALSE)</f>
        <v>#N/A</v>
      </c>
    </row>
    <row r="35" spans="1:10" x14ac:dyDescent="0.25">
      <c r="A35" s="153"/>
      <c r="B35" s="43" t="str">
        <f>A35&amp;"-"&amp;IF(DAY(Variables!$A$2)&lt;10,0,"")&amp;DAY(Variables!$A$2)</f>
        <v>-01</v>
      </c>
      <c r="C35" s="147"/>
      <c r="D35" s="17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Runs'!$A$13:$A$99964,1,FALSE)</f>
        <v>#N/A</v>
      </c>
    </row>
    <row r="36" spans="1:10" x14ac:dyDescent="0.25">
      <c r="A36" s="153"/>
      <c r="B36" s="43" t="str">
        <f>A36&amp;"-"&amp;IF(DAY(Variables!$A$2)&lt;10,0,"")&amp;DAY(Variables!$A$2)</f>
        <v>-01</v>
      </c>
      <c r="C36" s="147"/>
      <c r="D36" s="17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Runs'!$A$13:$A$99964,1,FALSE)</f>
        <v>#N/A</v>
      </c>
    </row>
    <row r="37" spans="1:10" x14ac:dyDescent="0.25">
      <c r="A37" s="153"/>
      <c r="B37" s="43" t="str">
        <f>A37&amp;"-"&amp;IF(DAY(Variables!$A$2)&lt;10,0,"")&amp;DAY(Variables!$A$2)</f>
        <v>-01</v>
      </c>
      <c r="C37" s="147"/>
      <c r="D37" s="17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Runs'!$A$13:$A$99964,1,FALSE)</f>
        <v>#N/A</v>
      </c>
    </row>
    <row r="38" spans="1:10" x14ac:dyDescent="0.25">
      <c r="A38" s="153"/>
      <c r="B38" s="43" t="str">
        <f>A38&amp;"-"&amp;IF(DAY(Variables!$A$2)&lt;10,0,"")&amp;DAY(Variables!$A$2)</f>
        <v>-01</v>
      </c>
      <c r="C38" s="147"/>
      <c r="D38" s="17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Runs'!$A$13:$A$99964,1,FALSE)</f>
        <v>#N/A</v>
      </c>
    </row>
    <row r="39" spans="1:10" x14ac:dyDescent="0.25">
      <c r="A39" s="153"/>
      <c r="B39" s="43" t="str">
        <f>A39&amp;"-"&amp;IF(DAY(Variables!$A$2)&lt;10,0,"")&amp;DAY(Variables!$A$2)</f>
        <v>-01</v>
      </c>
      <c r="C39" s="147"/>
      <c r="D39" s="17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Runs'!$A$13:$A$99964,1,FALSE)</f>
        <v>#N/A</v>
      </c>
    </row>
    <row r="40" spans="1:10" x14ac:dyDescent="0.25">
      <c r="A40" s="153"/>
      <c r="B40" s="43" t="str">
        <f>A40&amp;"-"&amp;IF(DAY(Variables!$A$2)&lt;10,0,"")&amp;DAY(Variables!$A$2)</f>
        <v>-01</v>
      </c>
      <c r="C40" s="147"/>
      <c r="D40" s="17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Runs'!$A$13:$A$99964,1,FALSE)</f>
        <v>#N/A</v>
      </c>
    </row>
    <row r="41" spans="1:10" x14ac:dyDescent="0.25">
      <c r="A41" s="153"/>
      <c r="B41" s="43" t="str">
        <f>A41&amp;"-"&amp;IF(DAY(Variables!$A$2)&lt;10,0,"")&amp;DAY(Variables!$A$2)</f>
        <v>-01</v>
      </c>
      <c r="C41" s="147"/>
      <c r="D41" s="17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Runs'!$A$13:$A$99964,1,FALSE)</f>
        <v>#N/A</v>
      </c>
    </row>
    <row r="42" spans="1:10" x14ac:dyDescent="0.25">
      <c r="A42" s="153"/>
      <c r="B42" s="43" t="str">
        <f>A42&amp;"-"&amp;IF(DAY(Variables!$A$2)&lt;10,0,"")&amp;DAY(Variables!$A$2)</f>
        <v>-01</v>
      </c>
      <c r="C42" s="147"/>
      <c r="D42" s="17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Runs'!$A$13:$A$99964,1,FALSE)</f>
        <v>#N/A</v>
      </c>
    </row>
    <row r="43" spans="1:10" x14ac:dyDescent="0.25">
      <c r="A43" s="153"/>
      <c r="B43" s="43" t="str">
        <f>A43&amp;"-"&amp;IF(DAY(Variables!$A$2)&lt;10,0,"")&amp;DAY(Variables!$A$2)</f>
        <v>-01</v>
      </c>
      <c r="C43" s="147"/>
      <c r="D43" s="17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Runs'!$A$13:$A$99964,1,FALSE)</f>
        <v>#N/A</v>
      </c>
    </row>
    <row r="44" spans="1:10" x14ac:dyDescent="0.25">
      <c r="A44" s="153"/>
      <c r="B44" s="43" t="str">
        <f>A44&amp;"-"&amp;IF(DAY(Variables!$A$2)&lt;10,0,"")&amp;DAY(Variables!$A$2)</f>
        <v>-01</v>
      </c>
      <c r="C44" s="147"/>
      <c r="D44" s="17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Runs'!$A$13:$A$99964,1,FALSE)</f>
        <v>#N/A</v>
      </c>
    </row>
    <row r="45" spans="1:10" x14ac:dyDescent="0.25">
      <c r="A45" s="153"/>
      <c r="B45" s="43" t="str">
        <f>A45&amp;"-"&amp;IF(DAY(Variables!$A$2)&lt;10,0,"")&amp;DAY(Variables!$A$2)</f>
        <v>-01</v>
      </c>
      <c r="C45" s="147"/>
      <c r="D45" s="17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5" s="30" t="e">
        <f>VLOOKUP(B45,'Train Runs'!$A$13:$A$99964,1,FALSE)</f>
        <v>#N/A</v>
      </c>
    </row>
    <row r="46" spans="1:10" x14ac:dyDescent="0.25">
      <c r="A46" s="153"/>
      <c r="B46" s="43" t="str">
        <f>A46&amp;"-"&amp;IF(DAY(Variables!$A$2)&lt;10,0,"")&amp;DAY(Variables!$A$2)</f>
        <v>-01</v>
      </c>
      <c r="C46" s="147"/>
      <c r="D46" s="17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6" s="30" t="e">
        <f>VLOOKUP(B46,'Train Runs'!$A$13:$A$99964,1,FALSE)</f>
        <v>#N/A</v>
      </c>
    </row>
    <row r="47" spans="1:10" x14ac:dyDescent="0.25">
      <c r="A47" s="153"/>
      <c r="B47" s="43" t="str">
        <f>A47&amp;"-"&amp;IF(DAY(Variables!$A$2)&lt;10,0,"")&amp;DAY(Variables!$A$2)</f>
        <v>-01</v>
      </c>
      <c r="C47" s="147"/>
      <c r="D47" s="17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7" s="30" t="e">
        <f>VLOOKUP(B47,'Train Runs'!$A$13:$A$99964,1,FALSE)</f>
        <v>#N/A</v>
      </c>
    </row>
    <row r="48" spans="1:10" x14ac:dyDescent="0.25">
      <c r="A48" s="153"/>
      <c r="B48" s="43" t="str">
        <f>A48&amp;"-"&amp;IF(DAY(Variables!$A$2)&lt;10,0,"")&amp;DAY(Variables!$A$2)</f>
        <v>-01</v>
      </c>
      <c r="C48" s="147"/>
      <c r="D48" s="17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8" s="30" t="e">
        <f>VLOOKUP(B48,'Train Runs'!$A$13:$A$99964,1,FALSE)</f>
        <v>#N/A</v>
      </c>
    </row>
    <row r="49" spans="1:10" x14ac:dyDescent="0.25">
      <c r="A49" s="153"/>
      <c r="B49" s="43" t="str">
        <f>A49&amp;"-"&amp;IF(DAY(Variables!$A$2)&lt;10,0,"")&amp;DAY(Variables!$A$2)</f>
        <v>-01</v>
      </c>
      <c r="C49" s="147"/>
      <c r="D49" s="17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9" s="30" t="e">
        <f>VLOOKUP(B49,'Train Runs'!$A$13:$A$99964,1,FALSE)</f>
        <v>#N/A</v>
      </c>
    </row>
    <row r="50" spans="1:10" x14ac:dyDescent="0.25">
      <c r="A50" s="153"/>
      <c r="B50" s="43" t="str">
        <f>A50&amp;"-"&amp;IF(DAY(Variables!$A$2)&lt;10,0,"")&amp;DAY(Variables!$A$2)</f>
        <v>-01</v>
      </c>
      <c r="C50" s="147"/>
      <c r="D50" s="17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0" s="30" t="e">
        <f>VLOOKUP(B50,'Train Runs'!$A$13:$A$99964,1,FALSE)</f>
        <v>#N/A</v>
      </c>
    </row>
    <row r="51" spans="1:10" x14ac:dyDescent="0.25">
      <c r="A51" s="153"/>
      <c r="B51" s="43" t="str">
        <f>A51&amp;"-"&amp;IF(DAY(Variables!$A$2)&lt;10,0,"")&amp;DAY(Variables!$A$2)</f>
        <v>-01</v>
      </c>
      <c r="C51" s="147"/>
      <c r="D51" s="17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1" s="30" t="e">
        <f>VLOOKUP(B51,'Train Runs'!$A$13:$A$99964,1,FALSE)</f>
        <v>#N/A</v>
      </c>
    </row>
    <row r="52" spans="1:10" x14ac:dyDescent="0.25">
      <c r="A52" s="153"/>
      <c r="B52" s="43" t="str">
        <f>A52&amp;"-"&amp;IF(DAY(Variables!$A$2)&lt;10,0,"")&amp;DAY(Variables!$A$2)</f>
        <v>-01</v>
      </c>
      <c r="C52" s="147"/>
      <c r="D52" s="17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2" s="30" t="e">
        <f>VLOOKUP(B52,'Train Runs'!$A$13:$A$99964,1,FALSE)</f>
        <v>#N/A</v>
      </c>
    </row>
    <row r="53" spans="1:10" x14ac:dyDescent="0.25">
      <c r="A53" s="153"/>
      <c r="B53" s="43" t="str">
        <f>A53&amp;"-"&amp;IF(DAY(Variables!$A$2)&lt;10,0,"")&amp;DAY(Variables!$A$2)</f>
        <v>-01</v>
      </c>
      <c r="C53" s="147"/>
      <c r="D53" s="17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3" s="30" t="e">
        <f>VLOOKUP(B53,'Train Runs'!$A$13:$A$99964,1,FALSE)</f>
        <v>#N/A</v>
      </c>
    </row>
    <row r="54" spans="1:10" x14ac:dyDescent="0.25">
      <c r="A54" s="153"/>
      <c r="B54" s="43" t="str">
        <f>A54&amp;"-"&amp;IF(DAY(Variables!$A$2)&lt;10,0,"")&amp;DAY(Variables!$A$2)</f>
        <v>-01</v>
      </c>
      <c r="C54" s="147"/>
      <c r="D54" s="17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4" s="30" t="e">
        <f>VLOOKUP(B54,'Train Runs'!$A$13:$A$99964,1,FALSE)</f>
        <v>#N/A</v>
      </c>
    </row>
    <row r="55" spans="1:10" x14ac:dyDescent="0.25">
      <c r="A55" s="153"/>
      <c r="B55" s="43" t="str">
        <f>A55&amp;"-"&amp;IF(DAY(Variables!$A$2)&lt;10,0,"")&amp;DAY(Variables!$A$2)</f>
        <v>-01</v>
      </c>
      <c r="C55" s="147"/>
      <c r="D55" s="17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5" s="30" t="e">
        <f>VLOOKUP(B55,'Train Runs'!$A$13:$A$99964,1,FALSE)</f>
        <v>#N/A</v>
      </c>
    </row>
    <row r="56" spans="1:10" x14ac:dyDescent="0.25">
      <c r="A56" s="153"/>
      <c r="B56" s="43" t="str">
        <f>A56&amp;"-"&amp;IF(DAY(Variables!$A$2)&lt;10,0,"")&amp;DAY(Variables!$A$2)</f>
        <v>-01</v>
      </c>
      <c r="C56" s="147"/>
      <c r="D56" s="17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6" s="30" t="e">
        <f>VLOOKUP(B56,'Train Runs'!$A$13:$A$99964,1,FALSE)</f>
        <v>#N/A</v>
      </c>
    </row>
    <row r="57" spans="1:10" x14ac:dyDescent="0.25">
      <c r="A57" s="153"/>
      <c r="B57" s="43" t="str">
        <f>A57&amp;"-"&amp;IF(DAY(Variables!$A$2)&lt;10,0,"")&amp;DAY(Variables!$A$2)</f>
        <v>-01</v>
      </c>
      <c r="C57" s="147"/>
      <c r="D57" s="17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7" s="30" t="e">
        <f>VLOOKUP(B57,'Train Runs'!$A$13:$A$99964,1,FALSE)</f>
        <v>#N/A</v>
      </c>
    </row>
    <row r="58" spans="1:10" x14ac:dyDescent="0.25">
      <c r="A58" s="153"/>
      <c r="B58" s="43" t="str">
        <f>A58&amp;"-"&amp;IF(DAY(Variables!$A$2)&lt;10,0,"")&amp;DAY(Variables!$A$2)</f>
        <v>-01</v>
      </c>
      <c r="C58" s="147"/>
      <c r="D58" s="17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8" s="30" t="e">
        <f>VLOOKUP(B58,'Train Runs'!$A$13:$A$99964,1,FALSE)</f>
        <v>#N/A</v>
      </c>
    </row>
    <row r="59" spans="1:10" x14ac:dyDescent="0.25">
      <c r="A59" s="153"/>
      <c r="B59" s="43" t="str">
        <f>A59&amp;"-"&amp;IF(DAY(Variables!$A$2)&lt;10,0,"")&amp;DAY(Variables!$A$2)</f>
        <v>-01</v>
      </c>
      <c r="C59" s="147"/>
      <c r="D59" s="17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9" s="30" t="e">
        <f>VLOOKUP(B59,'Train Runs'!$A$13:$A$99964,1,FALSE)</f>
        <v>#N/A</v>
      </c>
    </row>
    <row r="60" spans="1:10" x14ac:dyDescent="0.25">
      <c r="A60" s="153"/>
      <c r="B60" s="43" t="str">
        <f>A60&amp;"-"&amp;IF(DAY(Variables!$A$2)&lt;10,0,"")&amp;DAY(Variables!$A$2)</f>
        <v>-01</v>
      </c>
      <c r="C60" s="147"/>
      <c r="D60" s="17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0" s="30" t="e">
        <f>VLOOKUP(B60,'Train Runs'!$A$13:$A$99964,1,FALSE)</f>
        <v>#N/A</v>
      </c>
    </row>
    <row r="61" spans="1:10" x14ac:dyDescent="0.25">
      <c r="A61" s="153"/>
      <c r="B61" s="43" t="str">
        <f>A61&amp;"-"&amp;IF(DAY(Variables!$A$2)&lt;10,0,"")&amp;DAY(Variables!$A$2)</f>
        <v>-01</v>
      </c>
      <c r="C61" s="147"/>
      <c r="D61" s="17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1" s="30" t="e">
        <f>VLOOKUP(B61,'Train Runs'!$A$13:$A$99964,1,FALSE)</f>
        <v>#N/A</v>
      </c>
    </row>
    <row r="62" spans="1:10" x14ac:dyDescent="0.25">
      <c r="A62" s="153"/>
      <c r="B62" s="43" t="str">
        <f>A62&amp;"-"&amp;IF(DAY(Variables!$A$2)&lt;10,0,"")&amp;DAY(Variables!$A$2)</f>
        <v>-01</v>
      </c>
      <c r="C62" s="147"/>
      <c r="D62" s="17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2" s="30" t="e">
        <f>VLOOKUP(B62,'Train Runs'!$A$13:$A$99964,1,FALSE)</f>
        <v>#N/A</v>
      </c>
    </row>
    <row r="63" spans="1:10" x14ac:dyDescent="0.25">
      <c r="A63" s="153"/>
      <c r="B63" s="43" t="str">
        <f>A63&amp;"-"&amp;IF(DAY(Variables!$A$2)&lt;10,0,"")&amp;DAY(Variables!$A$2)</f>
        <v>-01</v>
      </c>
      <c r="C63" s="147"/>
      <c r="D63" s="17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3" s="30" t="e">
        <f>VLOOKUP(B63,'Train Runs'!$A$13:$A$99964,1,FALSE)</f>
        <v>#N/A</v>
      </c>
    </row>
    <row r="64" spans="1:10" x14ac:dyDescent="0.25">
      <c r="A64" s="153"/>
      <c r="B64" s="43" t="str">
        <f>A64&amp;"-"&amp;IF(DAY(Variables!$A$2)&lt;10,0,"")&amp;DAY(Variables!$A$2)</f>
        <v>-01</v>
      </c>
      <c r="C64" s="147"/>
      <c r="D64" s="17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4" s="30" t="e">
        <f>VLOOKUP(B64,'Train Runs'!$A$13:$A$99964,1,FALSE)</f>
        <v>#N/A</v>
      </c>
    </row>
    <row r="65" spans="1:10" x14ac:dyDescent="0.25">
      <c r="A65" s="153"/>
      <c r="B65" s="43" t="str">
        <f>A65&amp;"-"&amp;IF(DAY(Variables!$A$2)&lt;10,0,"")&amp;DAY(Variables!$A$2)</f>
        <v>-01</v>
      </c>
      <c r="C65" s="147"/>
      <c r="D65" s="17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5" s="30" t="e">
        <f>VLOOKUP(B65,'Train Runs'!$A$13:$A$99964,1,FALSE)</f>
        <v>#N/A</v>
      </c>
    </row>
    <row r="66" spans="1:10" x14ac:dyDescent="0.25">
      <c r="A66" s="153"/>
      <c r="B66" s="43" t="str">
        <f>A66&amp;"-"&amp;IF(DAY(Variables!$A$2)&lt;10,0,"")&amp;DAY(Variables!$A$2)</f>
        <v>-01</v>
      </c>
      <c r="C66" s="147"/>
      <c r="D66" s="17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6" s="30" t="e">
        <f>VLOOKUP(B66,'Train Runs'!$A$13:$A$99964,1,FALSE)</f>
        <v>#N/A</v>
      </c>
    </row>
    <row r="67" spans="1:10" x14ac:dyDescent="0.25">
      <c r="A67" s="153"/>
      <c r="B67" s="43" t="str">
        <f>A67&amp;"-"&amp;IF(DAY(Variables!$A$2)&lt;10,0,"")&amp;DAY(Variables!$A$2)</f>
        <v>-01</v>
      </c>
      <c r="C67" s="147"/>
      <c r="D67" s="17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7" s="30" t="e">
        <f>VLOOKUP(B67,'Train Runs'!$A$13:$A$99964,1,FALSE)</f>
        <v>#N/A</v>
      </c>
    </row>
    <row r="68" spans="1:10" x14ac:dyDescent="0.25">
      <c r="A68" s="153"/>
      <c r="B68" s="43" t="str">
        <f>A68&amp;"-"&amp;IF(DAY(Variables!$A$2)&lt;10,0,"")&amp;DAY(Variables!$A$2)</f>
        <v>-01</v>
      </c>
      <c r="C68" s="147"/>
      <c r="D68" s="17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8" s="30" t="e">
        <f>VLOOKUP(B68,'Train Runs'!$A$13:$A$99964,1,FALSE)</f>
        <v>#N/A</v>
      </c>
    </row>
    <row r="69" spans="1:10" x14ac:dyDescent="0.25">
      <c r="A69" s="153"/>
      <c r="B69" s="43" t="str">
        <f>A69&amp;"-"&amp;IF(DAY(Variables!$A$2)&lt;10,0,"")&amp;DAY(Variables!$A$2)</f>
        <v>-01</v>
      </c>
      <c r="C69" s="147"/>
      <c r="D69" s="17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9" s="30" t="e">
        <f>VLOOKUP(B69,'Train Runs'!$A$13:$A$99964,1,FALSE)</f>
        <v>#N/A</v>
      </c>
    </row>
    <row r="70" spans="1:10" x14ac:dyDescent="0.25">
      <c r="A70" s="153"/>
      <c r="B70" s="43" t="str">
        <f>A70&amp;"-"&amp;IF(DAY(Variables!$A$2)&lt;10,0,"")&amp;DAY(Variables!$A$2)</f>
        <v>-01</v>
      </c>
      <c r="C70" s="147"/>
      <c r="D70" s="17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0" s="30" t="e">
        <f>VLOOKUP(B70,'Train Runs'!$A$13:$A$99964,1,FALSE)</f>
        <v>#N/A</v>
      </c>
    </row>
    <row r="71" spans="1:10" x14ac:dyDescent="0.25">
      <c r="A71" s="153"/>
      <c r="B71" s="43" t="str">
        <f>A71&amp;"-"&amp;IF(DAY(Variables!$A$2)&lt;10,0,"")&amp;DAY(Variables!$A$2)</f>
        <v>-01</v>
      </c>
      <c r="C71" s="147"/>
      <c r="D71" s="17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1" s="30" t="e">
        <f>VLOOKUP(B71,'Train Runs'!$A$13:$A$99964,1,FALSE)</f>
        <v>#N/A</v>
      </c>
    </row>
    <row r="72" spans="1:10" x14ac:dyDescent="0.25">
      <c r="A72" s="153"/>
      <c r="B72" s="43" t="str">
        <f>A72&amp;"-"&amp;IF(DAY(Variables!$A$2)&lt;10,0,"")&amp;DAY(Variables!$A$2)</f>
        <v>-01</v>
      </c>
      <c r="C72" s="147"/>
      <c r="D72" s="17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2" s="30" t="e">
        <f>VLOOKUP(B72,'Train Runs'!$A$13:$A$99964,1,FALSE)</f>
        <v>#N/A</v>
      </c>
    </row>
    <row r="73" spans="1:10" x14ac:dyDescent="0.25">
      <c r="A73" s="153"/>
      <c r="B73" s="43" t="str">
        <f>A73&amp;"-"&amp;IF(DAY(Variables!$A$2)&lt;10,0,"")&amp;DAY(Variables!$A$2)</f>
        <v>-01</v>
      </c>
      <c r="C73" s="147"/>
      <c r="D73" s="17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3" s="30" t="e">
        <f>VLOOKUP(B73,'Train Runs'!$A$13:$A$99964,1,FALSE)</f>
        <v>#N/A</v>
      </c>
    </row>
    <row r="74" spans="1:10" x14ac:dyDescent="0.25">
      <c r="A74" s="153"/>
      <c r="B74" s="43" t="str">
        <f>A74&amp;"-"&amp;IF(DAY(Variables!$A$2)&lt;10,0,"")&amp;DAY(Variables!$A$2)</f>
        <v>-01</v>
      </c>
      <c r="C74" s="147"/>
      <c r="D74" s="17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4" s="30" t="e">
        <f>VLOOKUP(B74,'Train Runs'!$A$13:$A$99964,1,FALSE)</f>
        <v>#N/A</v>
      </c>
    </row>
    <row r="75" spans="1:10" x14ac:dyDescent="0.25">
      <c r="A75" s="153"/>
      <c r="B75" s="43" t="str">
        <f>A75&amp;"-"&amp;IF(DAY(Variables!$A$2)&lt;10,0,"")&amp;DAY(Variables!$A$2)</f>
        <v>-01</v>
      </c>
      <c r="C75" s="147"/>
      <c r="D75" s="17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5" s="30" t="e">
        <f>VLOOKUP(B75,'Train Runs'!$A$13:$A$99964,1,FALSE)</f>
        <v>#N/A</v>
      </c>
    </row>
    <row r="76" spans="1:10" x14ac:dyDescent="0.25">
      <c r="A76" s="153"/>
      <c r="B76" s="43" t="str">
        <f>A76&amp;"-"&amp;IF(DAY(Variables!$A$2)&lt;10,0,"")&amp;DAY(Variables!$A$2)</f>
        <v>-01</v>
      </c>
      <c r="C76" s="147"/>
      <c r="D76" s="17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6" s="30" t="e">
        <f>VLOOKUP(B76,'Train Runs'!$A$13:$A$99964,1,FALSE)</f>
        <v>#N/A</v>
      </c>
    </row>
    <row r="77" spans="1:10" x14ac:dyDescent="0.25">
      <c r="A77" s="153"/>
      <c r="B77" s="43" t="str">
        <f>A77&amp;"-"&amp;IF(DAY(Variables!$A$2)&lt;10,0,"")&amp;DAY(Variables!$A$2)</f>
        <v>-01</v>
      </c>
      <c r="C77" s="147"/>
      <c r="D77" s="17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7" s="30" t="e">
        <f>VLOOKUP(B77,'Train Runs'!$A$13:$A$99964,1,FALSE)</f>
        <v>#N/A</v>
      </c>
    </row>
    <row r="78" spans="1:10" x14ac:dyDescent="0.25">
      <c r="A78" s="153"/>
      <c r="B78" s="43" t="str">
        <f>A78&amp;"-"&amp;IF(DAY(Variables!$A$2)&lt;10,0,"")&amp;DAY(Variables!$A$2)</f>
        <v>-01</v>
      </c>
      <c r="C78" s="147"/>
      <c r="D78" s="17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8" s="30" t="e">
        <f>VLOOKUP(B78,'Train Runs'!$A$13:$A$99964,1,FALSE)</f>
        <v>#N/A</v>
      </c>
    </row>
    <row r="79" spans="1:10" x14ac:dyDescent="0.25">
      <c r="A79" s="153"/>
      <c r="B79" s="43" t="str">
        <f>A79&amp;"-"&amp;IF(DAY(Variables!$A$2)&lt;10,0,"")&amp;DAY(Variables!$A$2)</f>
        <v>-01</v>
      </c>
      <c r="C79" s="147"/>
      <c r="D79" s="17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9" s="30" t="e">
        <f>VLOOKUP(B79,'Train Runs'!$A$13:$A$99964,1,FALSE)</f>
        <v>#N/A</v>
      </c>
    </row>
    <row r="80" spans="1:10" x14ac:dyDescent="0.25">
      <c r="A80" s="153"/>
      <c r="B80" s="43" t="str">
        <f>A80&amp;"-"&amp;IF(DAY(Variables!$A$2)&lt;10,0,"")&amp;DAY(Variables!$A$2)</f>
        <v>-01</v>
      </c>
      <c r="C80" s="147"/>
      <c r="D80" s="17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0" s="30" t="e">
        <f>VLOOKUP(B80,'Train Runs'!$A$13:$A$99964,1,FALSE)</f>
        <v>#N/A</v>
      </c>
    </row>
    <row r="81" spans="1:10" x14ac:dyDescent="0.25">
      <c r="A81" s="153"/>
      <c r="B81" s="43" t="str">
        <f>A81&amp;"-"&amp;IF(DAY(Variables!$A$2)&lt;10,0,"")&amp;DAY(Variables!$A$2)</f>
        <v>-01</v>
      </c>
      <c r="C81" s="147"/>
      <c r="D81" s="17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1" s="30" t="e">
        <f>VLOOKUP(B81,'Train Runs'!$A$13:$A$99964,1,FALSE)</f>
        <v>#N/A</v>
      </c>
    </row>
    <row r="82" spans="1:10" x14ac:dyDescent="0.25">
      <c r="A82" s="153"/>
      <c r="B82" s="43" t="str">
        <f>A82&amp;"-"&amp;IF(DAY(Variables!$A$2)&lt;10,0,"")&amp;DAY(Variables!$A$2)</f>
        <v>-01</v>
      </c>
      <c r="C82" s="147"/>
      <c r="D82" s="17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2" s="30" t="e">
        <f>VLOOKUP(B82,'Train Runs'!$A$13:$A$99964,1,FALSE)</f>
        <v>#N/A</v>
      </c>
    </row>
    <row r="83" spans="1:10" x14ac:dyDescent="0.25">
      <c r="A83" s="153"/>
      <c r="B83" s="43" t="str">
        <f>A83&amp;"-"&amp;IF(DAY(Variables!$A$2)&lt;10,0,"")&amp;DAY(Variables!$A$2)</f>
        <v>-01</v>
      </c>
      <c r="C83" s="147"/>
      <c r="D83" s="17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3" s="30" t="e">
        <f>VLOOKUP(B83,'Train Runs'!$A$13:$A$99964,1,FALSE)</f>
        <v>#N/A</v>
      </c>
    </row>
    <row r="84" spans="1:10" x14ac:dyDescent="0.25">
      <c r="A84" s="153"/>
      <c r="B84" s="43" t="str">
        <f>A84&amp;"-"&amp;IF(DAY(Variables!$A$2)&lt;10,0,"")&amp;DAY(Variables!$A$2)</f>
        <v>-01</v>
      </c>
      <c r="C84" s="147"/>
      <c r="D84" s="17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4" s="30" t="e">
        <f>VLOOKUP(B84,'Train Runs'!$A$13:$A$99964,1,FALSE)</f>
        <v>#N/A</v>
      </c>
    </row>
    <row r="85" spans="1:10" x14ac:dyDescent="0.25">
      <c r="A85" s="153"/>
      <c r="B85" s="43" t="str">
        <f>A85&amp;"-"&amp;IF(DAY(Variables!$A$2)&lt;10,0,"")&amp;DAY(Variables!$A$2)</f>
        <v>-01</v>
      </c>
      <c r="C85" s="147"/>
      <c r="D85" s="17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5" s="30" t="e">
        <f>VLOOKUP(B85,'Train Runs'!$A$13:$A$99964,1,FALSE)</f>
        <v>#N/A</v>
      </c>
    </row>
    <row r="86" spans="1:10" x14ac:dyDescent="0.25">
      <c r="A86" s="153"/>
      <c r="B86" s="43" t="str">
        <f>A86&amp;"-"&amp;IF(DAY(Variables!$A$2)&lt;10,0,"")&amp;DAY(Variables!$A$2)</f>
        <v>-01</v>
      </c>
      <c r="C86" s="147"/>
      <c r="D86" s="17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6" s="30" t="e">
        <f>VLOOKUP(B86,'Train Runs'!$A$13:$A$99964,1,FALSE)</f>
        <v>#N/A</v>
      </c>
    </row>
    <row r="87" spans="1:10" x14ac:dyDescent="0.25">
      <c r="A87" s="153"/>
      <c r="B87" s="43" t="str">
        <f>A87&amp;"-"&amp;IF(DAY(Variables!$A$2)&lt;10,0,"")&amp;DAY(Variables!$A$2)</f>
        <v>-01</v>
      </c>
      <c r="C87" s="147"/>
      <c r="D87" s="17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7" s="30" t="e">
        <f>VLOOKUP(B87,'Train Runs'!$A$13:$A$99964,1,FALSE)</f>
        <v>#N/A</v>
      </c>
    </row>
    <row r="88" spans="1:10" x14ac:dyDescent="0.25">
      <c r="A88" s="153"/>
      <c r="B88" s="43" t="str">
        <f>A88&amp;"-"&amp;IF(DAY(Variables!$A$2)&lt;10,0,"")&amp;DAY(Variables!$A$2)</f>
        <v>-01</v>
      </c>
      <c r="C88" s="147"/>
      <c r="D88" s="17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8" s="30" t="e">
        <f>VLOOKUP(B88,'Train Runs'!$A$13:$A$99964,1,FALSE)</f>
        <v>#N/A</v>
      </c>
    </row>
    <row r="89" spans="1:10" x14ac:dyDescent="0.25">
      <c r="A89" s="153"/>
      <c r="B89" s="43" t="str">
        <f>A89&amp;"-"&amp;IF(DAY(Variables!$A$2)&lt;10,0,"")&amp;DAY(Variables!$A$2)</f>
        <v>-01</v>
      </c>
      <c r="C89" s="147"/>
      <c r="D89" s="171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9" s="30" t="e">
        <f>VLOOKUP(B89,'Train Runs'!$A$13:$A$99964,1,FALSE)</f>
        <v>#N/A</v>
      </c>
    </row>
    <row r="90" spans="1:10" x14ac:dyDescent="0.25">
      <c r="A90" s="153"/>
      <c r="B90" s="43" t="str">
        <f>A90&amp;"-"&amp;IF(DAY(Variables!$A$2)&lt;10,0,"")&amp;DAY(Variables!$A$2)</f>
        <v>-01</v>
      </c>
      <c r="C90" s="147"/>
      <c r="D90" s="171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0" s="30" t="e">
        <f>VLOOKUP(B90,'Train Runs'!$A$13:$A$99964,1,FALSE)</f>
        <v>#N/A</v>
      </c>
    </row>
    <row r="91" spans="1:10" x14ac:dyDescent="0.25">
      <c r="A91" s="153"/>
      <c r="B91" s="43" t="str">
        <f>A91&amp;"-"&amp;IF(DAY(Variables!$A$2)&lt;10,0,"")&amp;DAY(Variables!$A$2)</f>
        <v>-01</v>
      </c>
      <c r="C91" s="147"/>
      <c r="D91" s="171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1" s="30" t="e">
        <f>VLOOKUP(B91,'Train Runs'!$A$13:$A$99964,1,FALSE)</f>
        <v>#N/A</v>
      </c>
    </row>
    <row r="92" spans="1:10" x14ac:dyDescent="0.25">
      <c r="A92" s="153"/>
      <c r="B92" s="43" t="str">
        <f>A92&amp;"-"&amp;IF(DAY(Variables!$A$2)&lt;10,0,"")&amp;DAY(Variables!$A$2)</f>
        <v>-01</v>
      </c>
      <c r="C92" s="147"/>
      <c r="D92" s="171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2" s="30" t="e">
        <f>VLOOKUP(B92,'Train Runs'!$A$13:$A$99964,1,FALSE)</f>
        <v>#N/A</v>
      </c>
    </row>
    <row r="93" spans="1:10" x14ac:dyDescent="0.25">
      <c r="A93" s="153"/>
      <c r="B93" s="43" t="str">
        <f>A93&amp;"-"&amp;IF(DAY(Variables!$A$2)&lt;10,0,"")&amp;DAY(Variables!$A$2)</f>
        <v>-01</v>
      </c>
      <c r="C93" s="147"/>
      <c r="D93" s="171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3" s="30" t="e">
        <f>VLOOKUP(B93,'Train Runs'!$A$13:$A$99964,1,FALSE)</f>
        <v>#N/A</v>
      </c>
    </row>
    <row r="94" spans="1:10" x14ac:dyDescent="0.25">
      <c r="A94" s="153"/>
      <c r="B94" s="43" t="str">
        <f>A94&amp;"-"&amp;IF(DAY(Variables!$A$2)&lt;10,0,"")&amp;DAY(Variables!$A$2)</f>
        <v>-01</v>
      </c>
      <c r="C94" s="147"/>
      <c r="D94" s="171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4" s="30" t="e">
        <f>VLOOKUP(B94,'Train Runs'!$A$13:$A$99964,1,FALSE)</f>
        <v>#N/A</v>
      </c>
    </row>
    <row r="95" spans="1:10" x14ac:dyDescent="0.25">
      <c r="A95" s="153"/>
      <c r="B95" s="43" t="str">
        <f>A95&amp;"-"&amp;IF(DAY(Variables!$A$2)&lt;10,0,"")&amp;DAY(Variables!$A$2)</f>
        <v>-01</v>
      </c>
      <c r="C95" s="147"/>
      <c r="D95" s="171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5" s="30" t="e">
        <f>VLOOKUP(B95,'Train Runs'!$A$13:$A$99964,1,FALSE)</f>
        <v>#N/A</v>
      </c>
    </row>
    <row r="96" spans="1:10" x14ac:dyDescent="0.25">
      <c r="A96" s="153"/>
      <c r="B96" s="43" t="str">
        <f>A96&amp;"-"&amp;IF(DAY(Variables!$A$2)&lt;10,0,"")&amp;DAY(Variables!$A$2)</f>
        <v>-01</v>
      </c>
      <c r="C96" s="147"/>
      <c r="D96" s="171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6" s="30" t="e">
        <f>VLOOKUP(B96,'Train Runs'!$A$13:$A$99964,1,FALSE)</f>
        <v>#N/A</v>
      </c>
    </row>
    <row r="97" spans="1:10" x14ac:dyDescent="0.25">
      <c r="A97" s="153"/>
      <c r="B97" s="43" t="str">
        <f>A97&amp;"-"&amp;IF(DAY(Variables!$A$2)&lt;10,0,"")&amp;DAY(Variables!$A$2)</f>
        <v>-01</v>
      </c>
      <c r="C97" s="147"/>
      <c r="D97" s="171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7" s="30" t="e">
        <f>VLOOKUP(B97,'Train Runs'!$A$13:$A$99964,1,FALSE)</f>
        <v>#N/A</v>
      </c>
    </row>
    <row r="98" spans="1:10" x14ac:dyDescent="0.25">
      <c r="A98" s="153"/>
      <c r="B98" s="43" t="str">
        <f>A98&amp;"-"&amp;IF(DAY(Variables!$A$2)&lt;10,0,"")&amp;DAY(Variables!$A$2)</f>
        <v>-01</v>
      </c>
      <c r="C98" s="147"/>
      <c r="D98" s="171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8" s="30" t="e">
        <f>VLOOKUP(B98,'Train Runs'!$A$13:$A$99964,1,FALSE)</f>
        <v>#N/A</v>
      </c>
    </row>
    <row r="99" spans="1:10" x14ac:dyDescent="0.25">
      <c r="A99" s="153"/>
      <c r="B99" s="43" t="str">
        <f>A99&amp;"-"&amp;IF(DAY(Variables!$A$2)&lt;10,0,"")&amp;DAY(Variables!$A$2)</f>
        <v>-01</v>
      </c>
      <c r="C99" s="147"/>
      <c r="D99" s="171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9" s="30" t="e">
        <f>VLOOKUP(B99,'Train Runs'!$A$13:$A$99964,1,FALSE)</f>
        <v>#N/A</v>
      </c>
    </row>
    <row r="100" spans="1:10" x14ac:dyDescent="0.25">
      <c r="A100" s="153"/>
      <c r="B100" s="43" t="str">
        <f>A100&amp;"-"&amp;IF(DAY(Variables!$A$2)&lt;10,0,"")&amp;DAY(Variables!$A$2)</f>
        <v>-01</v>
      </c>
      <c r="C100" s="147"/>
      <c r="D100" s="171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0" s="30" t="e">
        <f>VLOOKUP(B100,'Train Runs'!$A$13:$A$99964,1,FALSE)</f>
        <v>#N/A</v>
      </c>
    </row>
    <row r="101" spans="1:10" x14ac:dyDescent="0.25">
      <c r="A101" s="153"/>
      <c r="B101" s="43" t="str">
        <f>A101&amp;"-"&amp;IF(DAY(Variables!$A$2)&lt;10,0,"")&amp;DAY(Variables!$A$2)</f>
        <v>-01</v>
      </c>
      <c r="C101" s="147"/>
      <c r="D101" s="171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1" s="30" t="e">
        <f>VLOOKUP(B101,'Train Runs'!$A$13:$A$99964,1,FALSE)</f>
        <v>#N/A</v>
      </c>
    </row>
    <row r="102" spans="1:10" x14ac:dyDescent="0.25">
      <c r="A102" s="153"/>
      <c r="B102" s="43" t="str">
        <f>A102&amp;"-"&amp;IF(DAY(Variables!$A$2)&lt;10,0,"")&amp;DAY(Variables!$A$2)</f>
        <v>-01</v>
      </c>
      <c r="C102" s="147"/>
      <c r="D102" s="171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2" s="30" t="e">
        <f>VLOOKUP(B102,'Train Runs'!$A$13:$A$99964,1,FALSE)</f>
        <v>#N/A</v>
      </c>
    </row>
    <row r="103" spans="1:10" x14ac:dyDescent="0.25">
      <c r="A103" s="153"/>
      <c r="B103" s="43" t="str">
        <f>A103&amp;"-"&amp;IF(DAY(Variables!$A$2)&lt;10,0,"")&amp;DAY(Variables!$A$2)</f>
        <v>-01</v>
      </c>
      <c r="C103" s="147"/>
      <c r="D103" s="171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3" s="30" t="e">
        <f>VLOOKUP(B103,'Train Runs'!$A$13:$A$99964,1,FALSE)</f>
        <v>#N/A</v>
      </c>
    </row>
    <row r="104" spans="1:10" x14ac:dyDescent="0.25">
      <c r="A104" s="153"/>
      <c r="B104" s="43" t="str">
        <f>A104&amp;"-"&amp;IF(DAY(Variables!$A$2)&lt;10,0,"")&amp;DAY(Variables!$A$2)</f>
        <v>-01</v>
      </c>
      <c r="C104" s="147"/>
      <c r="D104" s="171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4" s="30" t="e">
        <f>VLOOKUP(B104,'Train Runs'!$A$13:$A$99964,1,FALSE)</f>
        <v>#N/A</v>
      </c>
    </row>
    <row r="105" spans="1:10" x14ac:dyDescent="0.25">
      <c r="A105" s="153"/>
      <c r="B105" s="43" t="str">
        <f>A105&amp;"-"&amp;IF(DAY(Variables!$A$2)&lt;10,0,"")&amp;DAY(Variables!$A$2)</f>
        <v>-01</v>
      </c>
      <c r="C105" s="147"/>
      <c r="D105" s="171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5" s="30" t="e">
        <f>VLOOKUP(B105,'Train Runs'!$A$13:$A$99964,1,FALSE)</f>
        <v>#N/A</v>
      </c>
    </row>
    <row r="106" spans="1:10" x14ac:dyDescent="0.25">
      <c r="A106" s="153"/>
      <c r="B106" s="43" t="str">
        <f>A106&amp;"-"&amp;IF(DAY(Variables!$A$2)&lt;10,0,"")&amp;DAY(Variables!$A$2)</f>
        <v>-01</v>
      </c>
      <c r="C106" s="147"/>
      <c r="D106" s="171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6" s="30" t="e">
        <f>VLOOKUP(B106,'Train Runs'!$A$13:$A$99964,1,FALSE)</f>
        <v>#N/A</v>
      </c>
    </row>
    <row r="107" spans="1:10" x14ac:dyDescent="0.25">
      <c r="A107" s="153"/>
      <c r="B107" s="43" t="str">
        <f>A107&amp;"-"&amp;IF(DAY(Variables!$A$2)&lt;10,0,"")&amp;DAY(Variables!$A$2)</f>
        <v>-01</v>
      </c>
      <c r="C107" s="147"/>
      <c r="D107" s="171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7" s="30" t="e">
        <f>VLOOKUP(B107,'Train Runs'!$A$13:$A$99964,1,FALSE)</f>
        <v>#N/A</v>
      </c>
    </row>
    <row r="108" spans="1:10" x14ac:dyDescent="0.25">
      <c r="A108" s="153"/>
      <c r="B108" s="43" t="str">
        <f>A108&amp;"-"&amp;IF(DAY(Variables!$A$2)&lt;10,0,"")&amp;DAY(Variables!$A$2)</f>
        <v>-01</v>
      </c>
      <c r="C108" s="147"/>
      <c r="D108" s="171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8" s="30" t="e">
        <f>VLOOKUP(B108,'Train Runs'!$A$13:$A$99964,1,FALSE)</f>
        <v>#N/A</v>
      </c>
    </row>
    <row r="109" spans="1:10" x14ac:dyDescent="0.25">
      <c r="A109" s="153"/>
      <c r="B109" s="43" t="str">
        <f>A109&amp;"-"&amp;IF(DAY(Variables!$A$2)&lt;10,0,"")&amp;DAY(Variables!$A$2)</f>
        <v>-01</v>
      </c>
      <c r="C109" s="147"/>
      <c r="D109" s="171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9" s="30" t="e">
        <f>VLOOKUP(B109,'Train Runs'!$A$13:$A$99964,1,FALSE)</f>
        <v>#N/A</v>
      </c>
    </row>
    <row r="110" spans="1:10" x14ac:dyDescent="0.25">
      <c r="A110" s="153"/>
      <c r="B110" s="43" t="str">
        <f>A110&amp;"-"&amp;IF(DAY(Variables!$A$2)&lt;10,0,"")&amp;DAY(Variables!$A$2)</f>
        <v>-01</v>
      </c>
      <c r="C110" s="147"/>
      <c r="D110" s="171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0" s="30" t="e">
        <f>VLOOKUP(B110,'Train Runs'!$A$13:$A$99964,1,FALSE)</f>
        <v>#N/A</v>
      </c>
    </row>
    <row r="111" spans="1:10" x14ac:dyDescent="0.25">
      <c r="A111" s="153"/>
      <c r="B111" s="43" t="str">
        <f>A111&amp;"-"&amp;IF(DAY(Variables!$A$2)&lt;10,0,"")&amp;DAY(Variables!$A$2)</f>
        <v>-01</v>
      </c>
      <c r="C111" s="147"/>
      <c r="D111" s="171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1" s="30" t="e">
        <f>VLOOKUP(B111,'Train Runs'!$A$13:$A$99964,1,FALSE)</f>
        <v>#N/A</v>
      </c>
    </row>
    <row r="112" spans="1:10" x14ac:dyDescent="0.25">
      <c r="A112" s="153"/>
      <c r="B112" s="43" t="str">
        <f>A112&amp;"-"&amp;IF(DAY(Variables!$A$2)&lt;10,0,"")&amp;DAY(Variables!$A$2)</f>
        <v>-01</v>
      </c>
      <c r="C112" s="147"/>
      <c r="D112" s="171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2" s="30" t="e">
        <f>VLOOKUP(B112,'Train Runs'!$A$13:$A$99964,1,FALSE)</f>
        <v>#N/A</v>
      </c>
    </row>
    <row r="113" spans="1:10" x14ac:dyDescent="0.25">
      <c r="A113" s="153"/>
      <c r="B113" s="43" t="str">
        <f>A113&amp;"-"&amp;IF(DAY(Variables!$A$2)&lt;10,0,"")&amp;DAY(Variables!$A$2)</f>
        <v>-01</v>
      </c>
      <c r="C113" s="147"/>
      <c r="D113" s="171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3" s="30" t="e">
        <f>VLOOKUP(B113,'Train Runs'!$A$13:$A$99964,1,FALSE)</f>
        <v>#N/A</v>
      </c>
    </row>
    <row r="114" spans="1:10" x14ac:dyDescent="0.25">
      <c r="A114" s="153"/>
      <c r="B114" s="43" t="str">
        <f>A114&amp;"-"&amp;IF(DAY(Variables!$A$2)&lt;10,0,"")&amp;DAY(Variables!$A$2)</f>
        <v>-01</v>
      </c>
      <c r="C114" s="147"/>
      <c r="D114" s="171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4" s="30" t="e">
        <f>VLOOKUP(B114,'Train Runs'!$A$13:$A$99964,1,FALSE)</f>
        <v>#N/A</v>
      </c>
    </row>
    <row r="115" spans="1:10" x14ac:dyDescent="0.25">
      <c r="A115" s="153"/>
      <c r="B115" s="43" t="str">
        <f>A115&amp;"-"&amp;IF(DAY(Variables!$A$2)&lt;10,0,"")&amp;DAY(Variables!$A$2)</f>
        <v>-01</v>
      </c>
      <c r="C115" s="147"/>
      <c r="D115" s="171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5" s="30" t="e">
        <f>VLOOKUP(B115,'Train Runs'!$A$13:$A$99964,1,FALSE)</f>
        <v>#N/A</v>
      </c>
    </row>
    <row r="116" spans="1:10" x14ac:dyDescent="0.25">
      <c r="A116" s="153"/>
      <c r="B116" s="43" t="str">
        <f>A116&amp;"-"&amp;IF(DAY(Variables!$A$2)&lt;10,0,"")&amp;DAY(Variables!$A$2)</f>
        <v>-01</v>
      </c>
      <c r="C116" s="147"/>
      <c r="D116" s="171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6" s="30" t="e">
        <f>VLOOKUP(B116,'Train Runs'!$A$13:$A$99964,1,FALSE)</f>
        <v>#N/A</v>
      </c>
    </row>
    <row r="117" spans="1:10" x14ac:dyDescent="0.25">
      <c r="A117" s="153"/>
      <c r="B117" s="43" t="str">
        <f>A117&amp;"-"&amp;IF(DAY(Variables!$A$2)&lt;10,0,"")&amp;DAY(Variables!$A$2)</f>
        <v>-01</v>
      </c>
      <c r="C117" s="147"/>
      <c r="D117" s="171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7" s="30" t="e">
        <f>VLOOKUP(B117,'Train Runs'!$A$13:$A$99964,1,FALSE)</f>
        <v>#N/A</v>
      </c>
    </row>
    <row r="118" spans="1:10" x14ac:dyDescent="0.25">
      <c r="A118" s="153"/>
      <c r="B118" s="43" t="str">
        <f>A118&amp;"-"&amp;IF(DAY(Variables!$A$2)&lt;10,0,"")&amp;DAY(Variables!$A$2)</f>
        <v>-01</v>
      </c>
      <c r="C118" s="147"/>
      <c r="D118" s="171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8" s="30" t="e">
        <f>VLOOKUP(B118,'Train Runs'!$A$13:$A$99964,1,FALSE)</f>
        <v>#N/A</v>
      </c>
    </row>
    <row r="119" spans="1:10" x14ac:dyDescent="0.25">
      <c r="A119" s="153"/>
      <c r="B119" s="43" t="str">
        <f>A119&amp;"-"&amp;IF(DAY(Variables!$A$2)&lt;10,0,"")&amp;DAY(Variables!$A$2)</f>
        <v>-01</v>
      </c>
      <c r="C119" s="147"/>
      <c r="D119" s="171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9" s="30" t="e">
        <f>VLOOKUP(B119,'Train Runs'!$A$13:$A$99964,1,FALSE)</f>
        <v>#N/A</v>
      </c>
    </row>
    <row r="120" spans="1:10" x14ac:dyDescent="0.25">
      <c r="A120" s="153"/>
      <c r="B120" s="43" t="str">
        <f>A120&amp;"-"&amp;IF(DAY(Variables!$A$2)&lt;10,0,"")&amp;DAY(Variables!$A$2)</f>
        <v>-01</v>
      </c>
      <c r="C120" s="147"/>
      <c r="D120" s="171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0" s="30" t="e">
        <f>VLOOKUP(B120,'Train Runs'!$A$13:$A$99964,1,FALSE)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207</v>
      </c>
      <c r="G1" s="8" t="s">
        <v>206</v>
      </c>
    </row>
    <row r="2" spans="1:7" x14ac:dyDescent="0.25">
      <c r="A2" s="8">
        <v>42767.036620370367</v>
      </c>
      <c r="B2" s="20" t="s">
        <v>249</v>
      </c>
      <c r="C2" s="20" t="s">
        <v>373</v>
      </c>
      <c r="D2" s="150">
        <v>1740000</v>
      </c>
      <c r="E2" s="20" t="s">
        <v>246</v>
      </c>
      <c r="F2" s="20" t="s">
        <v>247</v>
      </c>
      <c r="G2" s="8" t="str">
        <f>E2&amp;" "&amp;F2</f>
        <v>STORY SAMANTHA</v>
      </c>
    </row>
    <row r="3" spans="1:7" x14ac:dyDescent="0.25">
      <c r="A3" s="8">
        <v>42767.048784722225</v>
      </c>
      <c r="B3" s="20" t="s">
        <v>295</v>
      </c>
      <c r="C3" s="20" t="s">
        <v>374</v>
      </c>
      <c r="D3" s="150">
        <v>1810000</v>
      </c>
      <c r="E3" s="20" t="s">
        <v>212</v>
      </c>
      <c r="F3" s="20" t="s">
        <v>205</v>
      </c>
      <c r="G3" s="8" t="str">
        <f t="shared" ref="G3:G66" si="0">E3&amp;" "&amp;F3</f>
        <v>NEWELL JAMES</v>
      </c>
    </row>
    <row r="4" spans="1:7" x14ac:dyDescent="0.25">
      <c r="A4" s="8">
        <v>42767.059282407405</v>
      </c>
      <c r="B4" s="20" t="s">
        <v>237</v>
      </c>
      <c r="C4" s="20" t="s">
        <v>375</v>
      </c>
      <c r="D4" s="150">
        <v>2000000</v>
      </c>
      <c r="E4" s="20" t="s">
        <v>272</v>
      </c>
      <c r="F4" s="20" t="s">
        <v>205</v>
      </c>
      <c r="G4" s="8" t="str">
        <f t="shared" si="0"/>
        <v>STAMBAUGH JAMES</v>
      </c>
    </row>
    <row r="5" spans="1:7" x14ac:dyDescent="0.25">
      <c r="A5" s="8">
        <v>42767.067557870374</v>
      </c>
      <c r="B5" s="20" t="s">
        <v>194</v>
      </c>
      <c r="C5" s="20" t="s">
        <v>376</v>
      </c>
      <c r="D5" s="150">
        <v>1740000</v>
      </c>
      <c r="E5" s="20" t="s">
        <v>246</v>
      </c>
      <c r="F5" s="20" t="s">
        <v>247</v>
      </c>
      <c r="G5" s="8" t="str">
        <f t="shared" si="0"/>
        <v>STORY SAMANTHA</v>
      </c>
    </row>
    <row r="6" spans="1:7" x14ac:dyDescent="0.25">
      <c r="A6" s="8">
        <v>42767.087870370371</v>
      </c>
      <c r="B6" s="20" t="s">
        <v>238</v>
      </c>
      <c r="C6" s="20" t="s">
        <v>377</v>
      </c>
      <c r="D6" s="150">
        <v>2000000</v>
      </c>
      <c r="E6" s="20" t="s">
        <v>272</v>
      </c>
      <c r="F6" s="20" t="s">
        <v>205</v>
      </c>
      <c r="G6" s="8" t="str">
        <f t="shared" si="0"/>
        <v>STAMBAUGH JAMES</v>
      </c>
    </row>
    <row r="7" spans="1:7" x14ac:dyDescent="0.25">
      <c r="A7" s="8">
        <v>42767.092199074075</v>
      </c>
      <c r="B7" s="20" t="s">
        <v>238</v>
      </c>
      <c r="C7" s="20" t="s">
        <v>377</v>
      </c>
      <c r="D7" s="150">
        <v>2000000</v>
      </c>
      <c r="E7" s="20" t="s">
        <v>272</v>
      </c>
      <c r="F7" s="20" t="s">
        <v>205</v>
      </c>
      <c r="G7" s="8" t="str">
        <f t="shared" si="0"/>
        <v>STAMBAUGH JAMES</v>
      </c>
    </row>
    <row r="8" spans="1:7" x14ac:dyDescent="0.25">
      <c r="A8" s="8">
        <v>42767.116319444445</v>
      </c>
      <c r="B8" s="20" t="s">
        <v>242</v>
      </c>
      <c r="C8" s="20" t="s">
        <v>450</v>
      </c>
      <c r="D8" s="150">
        <v>2620000</v>
      </c>
      <c r="E8" s="20" t="s">
        <v>451</v>
      </c>
      <c r="F8" s="20" t="s">
        <v>452</v>
      </c>
      <c r="G8" s="8" t="str">
        <f t="shared" si="0"/>
        <v>PERKINS DARREN</v>
      </c>
    </row>
    <row r="9" spans="1:7" ht="15.75" thickBot="1" x14ac:dyDescent="0.3">
      <c r="A9" s="24">
        <v>42767.128680555557</v>
      </c>
      <c r="B9" s="20" t="s">
        <v>243</v>
      </c>
      <c r="C9" s="20" t="s">
        <v>453</v>
      </c>
      <c r="D9" s="150">
        <v>2620000</v>
      </c>
      <c r="E9" s="20" t="s">
        <v>451</v>
      </c>
      <c r="F9" s="20" t="s">
        <v>452</v>
      </c>
      <c r="G9" s="8" t="str">
        <f t="shared" si="0"/>
        <v>PERKINS DARREN</v>
      </c>
    </row>
    <row r="10" spans="1:7" x14ac:dyDescent="0.25">
      <c r="A10" s="8">
        <v>42767.13962962963</v>
      </c>
      <c r="B10" s="20" t="s">
        <v>303</v>
      </c>
      <c r="C10" s="20" t="s">
        <v>454</v>
      </c>
      <c r="D10" s="150">
        <v>2010000</v>
      </c>
      <c r="E10" s="20" t="s">
        <v>318</v>
      </c>
      <c r="F10" s="20" t="s">
        <v>319</v>
      </c>
      <c r="G10" s="8" t="str">
        <f t="shared" si="0"/>
        <v>MAELZER KURT</v>
      </c>
    </row>
    <row r="11" spans="1:7" x14ac:dyDescent="0.25">
      <c r="A11" s="8">
        <v>42767.151122685187</v>
      </c>
      <c r="B11" s="20" t="s">
        <v>199</v>
      </c>
      <c r="C11" s="20" t="s">
        <v>455</v>
      </c>
      <c r="D11" s="150">
        <v>2010000</v>
      </c>
      <c r="E11" s="20" t="s">
        <v>318</v>
      </c>
      <c r="F11" s="20" t="s">
        <v>319</v>
      </c>
      <c r="G11" s="8" t="str">
        <f t="shared" si="0"/>
        <v>MAELZER KURT</v>
      </c>
    </row>
    <row r="12" spans="1:7" x14ac:dyDescent="0.25">
      <c r="A12" s="8">
        <v>42767.164340277777</v>
      </c>
      <c r="B12" s="20" t="s">
        <v>235</v>
      </c>
      <c r="C12" s="20" t="s">
        <v>456</v>
      </c>
      <c r="D12" s="150">
        <v>1100000</v>
      </c>
      <c r="E12" s="20" t="s">
        <v>457</v>
      </c>
      <c r="F12" s="20" t="s">
        <v>458</v>
      </c>
      <c r="G12" s="8" t="str">
        <f t="shared" si="0"/>
        <v>GEBRETEKLE DAGNEW</v>
      </c>
    </row>
    <row r="13" spans="1:7" x14ac:dyDescent="0.25">
      <c r="A13" s="8">
        <v>42767.168715277781</v>
      </c>
      <c r="B13" s="20" t="s">
        <v>242</v>
      </c>
      <c r="C13" s="20" t="s">
        <v>429</v>
      </c>
      <c r="D13" s="150">
        <v>2620000</v>
      </c>
      <c r="E13" s="20" t="s">
        <v>451</v>
      </c>
      <c r="F13" s="20" t="s">
        <v>452</v>
      </c>
      <c r="G13" s="8" t="str">
        <f t="shared" si="0"/>
        <v>PERKINS DARREN</v>
      </c>
    </row>
    <row r="14" spans="1:7" x14ac:dyDescent="0.25">
      <c r="A14" s="8">
        <v>42767.173819444448</v>
      </c>
      <c r="B14" s="20" t="s">
        <v>234</v>
      </c>
      <c r="C14" s="20" t="s">
        <v>459</v>
      </c>
      <c r="D14" s="150">
        <v>940000</v>
      </c>
      <c r="E14" s="20" t="s">
        <v>341</v>
      </c>
      <c r="F14" s="20" t="s">
        <v>342</v>
      </c>
      <c r="G14" s="8" t="str">
        <f t="shared" si="0"/>
        <v>BONDS REYNALDO</v>
      </c>
    </row>
    <row r="15" spans="1:7" x14ac:dyDescent="0.25">
      <c r="A15" s="8">
        <v>42767.175335648149</v>
      </c>
      <c r="B15" s="20" t="s">
        <v>289</v>
      </c>
      <c r="C15" s="20" t="s">
        <v>460</v>
      </c>
      <c r="D15" s="150">
        <v>1100000</v>
      </c>
      <c r="E15" s="20" t="s">
        <v>457</v>
      </c>
      <c r="F15" s="20" t="s">
        <v>458</v>
      </c>
      <c r="G15" s="8" t="str">
        <f t="shared" si="0"/>
        <v>GEBRETEKLE DAGNEW</v>
      </c>
    </row>
    <row r="16" spans="1:7" x14ac:dyDescent="0.25">
      <c r="A16" s="8">
        <v>42767.183877314812</v>
      </c>
      <c r="B16" s="20" t="s">
        <v>233</v>
      </c>
      <c r="C16" s="20" t="s">
        <v>461</v>
      </c>
      <c r="D16" s="150">
        <v>940000</v>
      </c>
      <c r="E16" s="20" t="s">
        <v>341</v>
      </c>
      <c r="F16" s="20" t="s">
        <v>342</v>
      </c>
      <c r="G16" s="8" t="str">
        <f t="shared" si="0"/>
        <v>BONDS REYNALDO</v>
      </c>
    </row>
    <row r="17" spans="1:7" x14ac:dyDescent="0.25">
      <c r="A17" s="8">
        <v>42767.187106481484</v>
      </c>
      <c r="B17" s="20" t="s">
        <v>196</v>
      </c>
      <c r="C17" s="20" t="s">
        <v>462</v>
      </c>
      <c r="D17" s="150">
        <v>2110000</v>
      </c>
      <c r="E17" s="20" t="s">
        <v>320</v>
      </c>
      <c r="F17" s="20" t="s">
        <v>321</v>
      </c>
      <c r="G17" s="8" t="str">
        <f t="shared" si="0"/>
        <v>OUN ZACK</v>
      </c>
    </row>
    <row r="18" spans="1:7" x14ac:dyDescent="0.25">
      <c r="A18" s="8">
        <v>42767.192546296297</v>
      </c>
      <c r="B18" s="20" t="s">
        <v>303</v>
      </c>
      <c r="C18" s="20" t="s">
        <v>463</v>
      </c>
      <c r="D18" s="150">
        <v>2010000</v>
      </c>
      <c r="E18" s="20" t="s">
        <v>318</v>
      </c>
      <c r="F18" s="20" t="s">
        <v>319</v>
      </c>
      <c r="G18" s="8" t="str">
        <f t="shared" si="0"/>
        <v>MAELZER KURT</v>
      </c>
    </row>
    <row r="19" spans="1:7" x14ac:dyDescent="0.25">
      <c r="A19" s="8">
        <v>42767.196331018517</v>
      </c>
      <c r="B19" s="20" t="s">
        <v>192</v>
      </c>
      <c r="C19" s="20" t="s">
        <v>464</v>
      </c>
      <c r="D19" s="150">
        <v>2110000</v>
      </c>
      <c r="E19" s="20" t="s">
        <v>320</v>
      </c>
      <c r="F19" s="20" t="s">
        <v>321</v>
      </c>
      <c r="G19" s="8" t="str">
        <f t="shared" si="0"/>
        <v>OUN ZACK</v>
      </c>
    </row>
    <row r="20" spans="1:7" x14ac:dyDescent="0.25">
      <c r="A20" s="8">
        <v>42767.204571759263</v>
      </c>
      <c r="B20" s="20" t="s">
        <v>253</v>
      </c>
      <c r="C20" s="20" t="s">
        <v>465</v>
      </c>
      <c r="D20" s="150">
        <v>1830000</v>
      </c>
      <c r="E20" s="20" t="s">
        <v>466</v>
      </c>
      <c r="F20" s="20" t="s">
        <v>467</v>
      </c>
      <c r="G20" s="8" t="str">
        <f t="shared" si="0"/>
        <v>YORK EDGAR</v>
      </c>
    </row>
    <row r="21" spans="1:7" x14ac:dyDescent="0.25">
      <c r="A21" s="8">
        <v>42767.206122685187</v>
      </c>
      <c r="B21" s="20" t="s">
        <v>243</v>
      </c>
      <c r="C21" s="20" t="s">
        <v>468</v>
      </c>
      <c r="D21" s="150">
        <v>900000</v>
      </c>
      <c r="E21" s="20" t="s">
        <v>343</v>
      </c>
      <c r="F21" s="20" t="s">
        <v>344</v>
      </c>
      <c r="G21" s="8" t="str">
        <f t="shared" si="0"/>
        <v>ROCHA YAOTL</v>
      </c>
    </row>
    <row r="22" spans="1:7" x14ac:dyDescent="0.25">
      <c r="A22" s="26">
        <v>42767.207002314812</v>
      </c>
      <c r="B22" s="20" t="s">
        <v>243</v>
      </c>
      <c r="C22" s="20" t="s">
        <v>468</v>
      </c>
      <c r="D22" s="150">
        <v>900000</v>
      </c>
      <c r="E22" s="20" t="s">
        <v>343</v>
      </c>
      <c r="F22" s="20" t="s">
        <v>344</v>
      </c>
      <c r="G22" s="8" t="str">
        <f t="shared" si="0"/>
        <v>ROCHA YAOTL</v>
      </c>
    </row>
    <row r="23" spans="1:7" x14ac:dyDescent="0.25">
      <c r="A23" s="8">
        <v>42767.207372685189</v>
      </c>
      <c r="B23" s="20" t="s">
        <v>253</v>
      </c>
      <c r="C23" s="20" t="s">
        <v>465</v>
      </c>
      <c r="D23" s="150">
        <v>1830000</v>
      </c>
      <c r="E23" s="20" t="s">
        <v>466</v>
      </c>
      <c r="F23" s="20" t="s">
        <v>467</v>
      </c>
      <c r="G23" s="8" t="str">
        <f t="shared" si="0"/>
        <v>YORK EDGAR</v>
      </c>
    </row>
    <row r="24" spans="1:7" x14ac:dyDescent="0.25">
      <c r="A24" s="8">
        <v>42767.207418981481</v>
      </c>
      <c r="B24" s="20" t="s">
        <v>338</v>
      </c>
      <c r="C24" s="20" t="s">
        <v>469</v>
      </c>
      <c r="D24" s="150">
        <v>2620000</v>
      </c>
      <c r="E24" s="20" t="s">
        <v>451</v>
      </c>
      <c r="F24" s="20" t="s">
        <v>452</v>
      </c>
      <c r="G24" s="8" t="str">
        <f t="shared" si="0"/>
        <v>PERKINS DARREN</v>
      </c>
    </row>
    <row r="25" spans="1:7" x14ac:dyDescent="0.25">
      <c r="A25" s="8">
        <v>42767.209027777775</v>
      </c>
      <c r="B25" s="20" t="s">
        <v>338</v>
      </c>
      <c r="C25" s="20" t="s">
        <v>469</v>
      </c>
      <c r="D25" s="150">
        <v>2620000</v>
      </c>
      <c r="E25" s="20" t="s">
        <v>451</v>
      </c>
      <c r="F25" s="20" t="s">
        <v>452</v>
      </c>
      <c r="G25" s="8" t="str">
        <f t="shared" si="0"/>
        <v>PERKINS DARREN</v>
      </c>
    </row>
    <row r="26" spans="1:7" x14ac:dyDescent="0.25">
      <c r="A26" s="8">
        <v>42767.210034722222</v>
      </c>
      <c r="B26" s="20" t="s">
        <v>338</v>
      </c>
      <c r="C26" s="20" t="s">
        <v>469</v>
      </c>
      <c r="D26" s="150">
        <v>2620000</v>
      </c>
      <c r="E26" s="20" t="s">
        <v>451</v>
      </c>
      <c r="F26" s="20" t="s">
        <v>452</v>
      </c>
      <c r="G26" s="8" t="str">
        <f t="shared" si="0"/>
        <v>PERKINS DARREN</v>
      </c>
    </row>
    <row r="27" spans="1:7" x14ac:dyDescent="0.25">
      <c r="A27" s="8">
        <v>42767.21366898148</v>
      </c>
      <c r="B27" s="20" t="s">
        <v>235</v>
      </c>
      <c r="C27" s="20" t="s">
        <v>470</v>
      </c>
      <c r="D27" s="150">
        <v>1100000</v>
      </c>
      <c r="E27" s="20" t="s">
        <v>457</v>
      </c>
      <c r="F27" s="20" t="s">
        <v>458</v>
      </c>
      <c r="G27" s="8" t="str">
        <f t="shared" si="0"/>
        <v>GEBRETEKLE DAGNEW</v>
      </c>
    </row>
    <row r="28" spans="1:7" x14ac:dyDescent="0.25">
      <c r="A28" s="8">
        <v>42767.214502314811</v>
      </c>
      <c r="B28" s="20" t="s">
        <v>235</v>
      </c>
      <c r="C28" s="20" t="s">
        <v>470</v>
      </c>
      <c r="D28" s="150">
        <v>1100000</v>
      </c>
      <c r="E28" s="20" t="s">
        <v>457</v>
      </c>
      <c r="F28" s="20" t="s">
        <v>458</v>
      </c>
      <c r="G28" s="8" t="str">
        <f t="shared" si="0"/>
        <v>GEBRETEKLE DAGNEW</v>
      </c>
    </row>
    <row r="29" spans="1:7" x14ac:dyDescent="0.25">
      <c r="A29" s="8">
        <v>42767.215439814812</v>
      </c>
      <c r="B29" s="20" t="s">
        <v>226</v>
      </c>
      <c r="C29" s="20" t="s">
        <v>471</v>
      </c>
      <c r="D29" s="150">
        <v>1830000</v>
      </c>
      <c r="E29" s="20" t="s">
        <v>466</v>
      </c>
      <c r="F29" s="20" t="s">
        <v>467</v>
      </c>
      <c r="G29" s="8" t="str">
        <f t="shared" si="0"/>
        <v>YORK EDGAR</v>
      </c>
    </row>
    <row r="30" spans="1:7" x14ac:dyDescent="0.25">
      <c r="A30" s="8">
        <v>42767.221724537034</v>
      </c>
      <c r="B30" s="20" t="s">
        <v>234</v>
      </c>
      <c r="C30" s="20" t="s">
        <v>472</v>
      </c>
      <c r="D30" s="150">
        <v>940000</v>
      </c>
      <c r="E30" s="20" t="s">
        <v>341</v>
      </c>
      <c r="F30" s="20" t="s">
        <v>342</v>
      </c>
      <c r="G30" s="8" t="str">
        <f t="shared" si="0"/>
        <v>BONDS REYNALDO</v>
      </c>
    </row>
    <row r="31" spans="1:7" x14ac:dyDescent="0.25">
      <c r="A31" s="8">
        <v>42767.225405092591</v>
      </c>
      <c r="B31" s="20" t="s">
        <v>302</v>
      </c>
      <c r="C31" s="20" t="s">
        <v>473</v>
      </c>
      <c r="D31" s="150">
        <v>2010000</v>
      </c>
      <c r="E31" s="20" t="s">
        <v>318</v>
      </c>
      <c r="F31" s="20" t="s">
        <v>319</v>
      </c>
      <c r="G31" s="8" t="str">
        <f t="shared" si="0"/>
        <v>MAELZER KURT</v>
      </c>
    </row>
    <row r="32" spans="1:7" x14ac:dyDescent="0.25">
      <c r="A32" s="8">
        <v>42767.227025462962</v>
      </c>
      <c r="B32" s="20" t="s">
        <v>199</v>
      </c>
      <c r="C32" s="20" t="s">
        <v>474</v>
      </c>
      <c r="D32" s="150">
        <v>1110000</v>
      </c>
      <c r="E32" s="20" t="s">
        <v>339</v>
      </c>
      <c r="F32" s="20" t="s">
        <v>340</v>
      </c>
      <c r="G32" s="8" t="str">
        <f t="shared" si="0"/>
        <v>STARKS ANGELINA</v>
      </c>
    </row>
    <row r="33" spans="1:7" x14ac:dyDescent="0.25">
      <c r="A33" s="8">
        <v>42767.227662037039</v>
      </c>
      <c r="B33" s="20" t="s">
        <v>253</v>
      </c>
      <c r="C33" s="20" t="s">
        <v>475</v>
      </c>
      <c r="D33" s="150">
        <v>1830000</v>
      </c>
      <c r="E33" s="20" t="s">
        <v>466</v>
      </c>
      <c r="F33" s="20" t="s">
        <v>467</v>
      </c>
      <c r="G33" s="8" t="str">
        <f t="shared" si="0"/>
        <v>YORK EDGAR</v>
      </c>
    </row>
    <row r="34" spans="1:7" x14ac:dyDescent="0.25">
      <c r="A34" s="8">
        <v>42767.232476851852</v>
      </c>
      <c r="B34" s="20" t="s">
        <v>196</v>
      </c>
      <c r="C34" s="20" t="s">
        <v>476</v>
      </c>
      <c r="D34" s="150">
        <v>2110000</v>
      </c>
      <c r="E34" s="20" t="s">
        <v>320</v>
      </c>
      <c r="F34" s="20" t="s">
        <v>321</v>
      </c>
      <c r="G34" s="8" t="str">
        <f t="shared" si="0"/>
        <v>OUN ZACK</v>
      </c>
    </row>
    <row r="35" spans="1:7" x14ac:dyDescent="0.25">
      <c r="A35" s="8">
        <v>42767.245949074073</v>
      </c>
      <c r="B35" s="20" t="s">
        <v>289</v>
      </c>
      <c r="C35" s="20" t="s">
        <v>477</v>
      </c>
      <c r="D35" s="150">
        <v>1100000</v>
      </c>
      <c r="E35" s="20" t="s">
        <v>457</v>
      </c>
      <c r="F35" s="20" t="s">
        <v>458</v>
      </c>
      <c r="G35" s="8" t="str">
        <f t="shared" si="0"/>
        <v>GEBRETEKLE DAGNEW</v>
      </c>
    </row>
    <row r="36" spans="1:7" x14ac:dyDescent="0.25">
      <c r="A36" s="8">
        <v>42767.246805555558</v>
      </c>
      <c r="B36" s="20" t="s">
        <v>216</v>
      </c>
      <c r="C36" s="20" t="s">
        <v>478</v>
      </c>
      <c r="D36" s="150">
        <v>900000</v>
      </c>
      <c r="E36" s="20" t="s">
        <v>343</v>
      </c>
      <c r="F36" s="20" t="s">
        <v>344</v>
      </c>
      <c r="G36" s="8" t="str">
        <f t="shared" si="0"/>
        <v>ROCHA YAOTL</v>
      </c>
    </row>
    <row r="37" spans="1:7" x14ac:dyDescent="0.25">
      <c r="A37" s="8">
        <v>42767.250601851854</v>
      </c>
      <c r="B37" s="20" t="s">
        <v>270</v>
      </c>
      <c r="C37" s="20" t="s">
        <v>479</v>
      </c>
      <c r="D37" s="150">
        <v>890000</v>
      </c>
      <c r="E37" s="20" t="s">
        <v>365</v>
      </c>
      <c r="F37" s="20" t="s">
        <v>366</v>
      </c>
      <c r="G37" s="8" t="str">
        <f t="shared" si="0"/>
        <v>LOZA FIDEL</v>
      </c>
    </row>
    <row r="38" spans="1:7" x14ac:dyDescent="0.25">
      <c r="A38" s="8">
        <v>42767.251944444448</v>
      </c>
      <c r="B38" s="20" t="s">
        <v>242</v>
      </c>
      <c r="C38" s="20" t="s">
        <v>480</v>
      </c>
      <c r="D38" s="150">
        <v>2620000</v>
      </c>
      <c r="E38" s="20" t="s">
        <v>451</v>
      </c>
      <c r="F38" s="20" t="s">
        <v>452</v>
      </c>
      <c r="G38" s="8" t="str">
        <f t="shared" si="0"/>
        <v>PERKINS DARREN</v>
      </c>
    </row>
    <row r="39" spans="1:7" x14ac:dyDescent="0.25">
      <c r="A39" s="8">
        <v>42767.255347222221</v>
      </c>
      <c r="B39" s="20" t="s">
        <v>226</v>
      </c>
      <c r="C39" s="20" t="s">
        <v>481</v>
      </c>
      <c r="D39" s="150">
        <v>1830000</v>
      </c>
      <c r="E39" s="20" t="s">
        <v>466</v>
      </c>
      <c r="F39" s="20" t="s">
        <v>467</v>
      </c>
      <c r="G39" s="8" t="str">
        <f t="shared" si="0"/>
        <v>YORK EDGAR</v>
      </c>
    </row>
    <row r="40" spans="1:7" x14ac:dyDescent="0.25">
      <c r="A40" s="8">
        <v>42767.256342592591</v>
      </c>
      <c r="B40" s="25" t="s">
        <v>233</v>
      </c>
      <c r="C40" s="20" t="s">
        <v>482</v>
      </c>
      <c r="D40" s="150">
        <v>940000</v>
      </c>
      <c r="E40" s="20" t="s">
        <v>341</v>
      </c>
      <c r="F40" s="20" t="s">
        <v>342</v>
      </c>
      <c r="G40" s="8" t="str">
        <f t="shared" si="0"/>
        <v>BONDS REYNALDO</v>
      </c>
    </row>
    <row r="41" spans="1:7" x14ac:dyDescent="0.25">
      <c r="A41" s="8">
        <v>42767.258055555554</v>
      </c>
      <c r="B41" s="20" t="s">
        <v>200</v>
      </c>
      <c r="C41" s="20" t="s">
        <v>483</v>
      </c>
      <c r="D41" s="150">
        <v>1110000</v>
      </c>
      <c r="E41" s="20" t="s">
        <v>339</v>
      </c>
      <c r="F41" s="20" t="s">
        <v>340</v>
      </c>
      <c r="G41" s="8" t="str">
        <f t="shared" si="0"/>
        <v>STARKS ANGELINA</v>
      </c>
    </row>
    <row r="42" spans="1:7" x14ac:dyDescent="0.25">
      <c r="A42" s="8">
        <v>42767.262881944444</v>
      </c>
      <c r="B42" s="20" t="s">
        <v>271</v>
      </c>
      <c r="C42" s="20" t="s">
        <v>484</v>
      </c>
      <c r="D42" s="150">
        <v>890000</v>
      </c>
      <c r="E42" s="20" t="s">
        <v>365</v>
      </c>
      <c r="F42" s="20" t="s">
        <v>366</v>
      </c>
      <c r="G42" s="8" t="str">
        <f t="shared" si="0"/>
        <v>LOZA FIDEL</v>
      </c>
    </row>
    <row r="43" spans="1:7" x14ac:dyDescent="0.25">
      <c r="A43" s="8">
        <v>42767.265324074076</v>
      </c>
      <c r="B43" s="20" t="s">
        <v>192</v>
      </c>
      <c r="C43" s="20" t="s">
        <v>485</v>
      </c>
      <c r="D43" s="150">
        <v>2110000</v>
      </c>
      <c r="E43" s="20" t="s">
        <v>320</v>
      </c>
      <c r="F43" s="20" t="s">
        <v>321</v>
      </c>
      <c r="G43" s="8" t="str">
        <f t="shared" si="0"/>
        <v>OUN ZACK</v>
      </c>
    </row>
    <row r="44" spans="1:7" x14ac:dyDescent="0.25">
      <c r="A44" s="8">
        <v>42767.268564814818</v>
      </c>
      <c r="B44" s="20" t="s">
        <v>253</v>
      </c>
      <c r="C44" s="20" t="s">
        <v>486</v>
      </c>
      <c r="D44" s="150">
        <v>1830000</v>
      </c>
      <c r="E44" s="20" t="s">
        <v>466</v>
      </c>
      <c r="F44" s="20" t="s">
        <v>467</v>
      </c>
      <c r="G44" s="8" t="str">
        <f t="shared" si="0"/>
        <v>YORK EDGAR</v>
      </c>
    </row>
    <row r="45" spans="1:7" x14ac:dyDescent="0.25">
      <c r="A45" s="8">
        <v>42767.272222222222</v>
      </c>
      <c r="B45" s="20" t="s">
        <v>303</v>
      </c>
      <c r="C45" s="20" t="s">
        <v>487</v>
      </c>
      <c r="D45" s="150">
        <v>2010000</v>
      </c>
      <c r="E45" s="20" t="s">
        <v>318</v>
      </c>
      <c r="F45" s="20" t="s">
        <v>319</v>
      </c>
      <c r="G45" s="8" t="str">
        <f t="shared" si="0"/>
        <v>MAELZER KURT</v>
      </c>
    </row>
    <row r="46" spans="1:7" x14ac:dyDescent="0.25">
      <c r="A46" s="8">
        <v>42767.277025462965</v>
      </c>
      <c r="B46" s="20" t="s">
        <v>270</v>
      </c>
      <c r="C46" s="20" t="s">
        <v>488</v>
      </c>
      <c r="D46" s="150">
        <v>890000</v>
      </c>
      <c r="E46" s="20" t="s">
        <v>365</v>
      </c>
      <c r="F46" s="20" t="s">
        <v>366</v>
      </c>
      <c r="G46" s="8" t="str">
        <f t="shared" si="0"/>
        <v>LOZA FIDEL</v>
      </c>
    </row>
    <row r="47" spans="1:7" x14ac:dyDescent="0.25">
      <c r="A47" s="8">
        <v>42767.279687499999</v>
      </c>
      <c r="B47" s="20" t="s">
        <v>243</v>
      </c>
      <c r="C47" s="20" t="s">
        <v>489</v>
      </c>
      <c r="D47" s="150">
        <v>900000</v>
      </c>
      <c r="E47" s="20" t="s">
        <v>343</v>
      </c>
      <c r="F47" s="20" t="s">
        <v>344</v>
      </c>
      <c r="G47" s="8" t="str">
        <f t="shared" si="0"/>
        <v>ROCHA YAOTL</v>
      </c>
    </row>
    <row r="48" spans="1:7" x14ac:dyDescent="0.25">
      <c r="A48" s="8">
        <v>42767.284131944441</v>
      </c>
      <c r="B48" s="20" t="s">
        <v>288</v>
      </c>
      <c r="C48" s="20" t="s">
        <v>490</v>
      </c>
      <c r="D48" s="150">
        <v>1100000</v>
      </c>
      <c r="E48" s="20" t="s">
        <v>457</v>
      </c>
      <c r="F48" s="20" t="s">
        <v>458</v>
      </c>
      <c r="G48" s="8" t="str">
        <f t="shared" si="0"/>
        <v>GEBRETEKLE DAGNEW</v>
      </c>
    </row>
    <row r="49" spans="1:7" x14ac:dyDescent="0.25">
      <c r="A49" s="8">
        <v>42767.287094907406</v>
      </c>
      <c r="B49" s="20" t="s">
        <v>338</v>
      </c>
      <c r="C49" s="20" t="s">
        <v>491</v>
      </c>
      <c r="D49" s="150">
        <v>2620000</v>
      </c>
      <c r="E49" s="20" t="s">
        <v>451</v>
      </c>
      <c r="F49" s="20" t="s">
        <v>452</v>
      </c>
      <c r="G49" s="8" t="str">
        <f t="shared" si="0"/>
        <v>PERKINS DARREN</v>
      </c>
    </row>
    <row r="50" spans="1:7" x14ac:dyDescent="0.25">
      <c r="A50" s="8">
        <v>42767.295868055553</v>
      </c>
      <c r="B50" s="20" t="s">
        <v>234</v>
      </c>
      <c r="C50" s="20" t="s">
        <v>431</v>
      </c>
      <c r="D50" s="150">
        <v>940000</v>
      </c>
      <c r="E50" s="20" t="s">
        <v>341</v>
      </c>
      <c r="F50" s="20" t="s">
        <v>342</v>
      </c>
      <c r="G50" s="8" t="str">
        <f t="shared" si="0"/>
        <v>BONDS REYNALDO</v>
      </c>
    </row>
    <row r="51" spans="1:7" x14ac:dyDescent="0.25">
      <c r="A51" s="8">
        <v>42767.296736111108</v>
      </c>
      <c r="B51" s="20" t="s">
        <v>226</v>
      </c>
      <c r="C51" s="20" t="s">
        <v>492</v>
      </c>
      <c r="D51" s="150">
        <v>1830000</v>
      </c>
      <c r="E51" s="20" t="s">
        <v>466</v>
      </c>
      <c r="F51" s="20" t="s">
        <v>467</v>
      </c>
      <c r="G51" s="8" t="str">
        <f t="shared" si="0"/>
        <v>YORK EDGAR</v>
      </c>
    </row>
    <row r="52" spans="1:7" x14ac:dyDescent="0.25">
      <c r="A52" s="8">
        <v>42767.299525462964</v>
      </c>
      <c r="B52" s="20" t="s">
        <v>199</v>
      </c>
      <c r="C52" s="20" t="s">
        <v>493</v>
      </c>
      <c r="D52" s="150">
        <v>1110000</v>
      </c>
      <c r="E52" s="20" t="s">
        <v>339</v>
      </c>
      <c r="F52" s="20" t="s">
        <v>340</v>
      </c>
      <c r="G52" s="8" t="str">
        <f t="shared" si="0"/>
        <v>STARKS ANGELINA</v>
      </c>
    </row>
    <row r="53" spans="1:7" x14ac:dyDescent="0.25">
      <c r="A53" s="8">
        <v>42767.304942129631</v>
      </c>
      <c r="B53" s="20" t="s">
        <v>271</v>
      </c>
      <c r="C53" s="20" t="s">
        <v>494</v>
      </c>
      <c r="D53" s="150">
        <v>890000</v>
      </c>
      <c r="E53" s="20" t="s">
        <v>365</v>
      </c>
      <c r="F53" s="20" t="s">
        <v>366</v>
      </c>
      <c r="G53" s="8" t="str">
        <f t="shared" si="0"/>
        <v>LOZA FIDEL</v>
      </c>
    </row>
    <row r="54" spans="1:7" x14ac:dyDescent="0.25">
      <c r="A54" s="8">
        <v>42767.305312500001</v>
      </c>
      <c r="B54" s="20" t="s">
        <v>196</v>
      </c>
      <c r="C54" s="20" t="s">
        <v>495</v>
      </c>
      <c r="D54" s="150">
        <v>2110000</v>
      </c>
      <c r="E54" s="20" t="s">
        <v>320</v>
      </c>
      <c r="F54" s="20" t="s">
        <v>321</v>
      </c>
      <c r="G54" s="8" t="str">
        <f t="shared" si="0"/>
        <v>OUN ZACK</v>
      </c>
    </row>
    <row r="55" spans="1:7" x14ac:dyDescent="0.25">
      <c r="A55" s="8">
        <v>42767.308622685188</v>
      </c>
      <c r="B55" s="20" t="s">
        <v>302</v>
      </c>
      <c r="C55" s="20" t="s">
        <v>496</v>
      </c>
      <c r="D55" s="150">
        <v>2010000</v>
      </c>
      <c r="E55" s="20" t="s">
        <v>318</v>
      </c>
      <c r="F55" s="20" t="s">
        <v>319</v>
      </c>
      <c r="G55" s="8" t="str">
        <f t="shared" si="0"/>
        <v>MAELZER KURT</v>
      </c>
    </row>
    <row r="56" spans="1:7" x14ac:dyDescent="0.25">
      <c r="A56" s="8">
        <v>42767.31150462963</v>
      </c>
      <c r="B56" s="20" t="s">
        <v>253</v>
      </c>
      <c r="C56" s="20" t="s">
        <v>433</v>
      </c>
      <c r="D56" s="150">
        <v>1830000</v>
      </c>
      <c r="E56" s="20" t="s">
        <v>466</v>
      </c>
      <c r="F56" s="20" t="s">
        <v>467</v>
      </c>
      <c r="G56" s="8" t="str">
        <f t="shared" si="0"/>
        <v>YORK EDGAR</v>
      </c>
    </row>
    <row r="57" spans="1:7" x14ac:dyDescent="0.25">
      <c r="A57" s="8">
        <v>42767.317743055559</v>
      </c>
      <c r="B57" s="20" t="s">
        <v>270</v>
      </c>
      <c r="C57" s="20" t="s">
        <v>497</v>
      </c>
      <c r="D57" s="150">
        <v>890000</v>
      </c>
      <c r="E57" s="20" t="s">
        <v>365</v>
      </c>
      <c r="F57" s="20" t="s">
        <v>366</v>
      </c>
      <c r="G57" s="8" t="str">
        <f t="shared" si="0"/>
        <v>LOZA FIDEL</v>
      </c>
    </row>
    <row r="58" spans="1:7" x14ac:dyDescent="0.25">
      <c r="A58" s="8">
        <v>42767.317754629628</v>
      </c>
      <c r="B58" s="20" t="s">
        <v>289</v>
      </c>
      <c r="C58" s="20" t="s">
        <v>498</v>
      </c>
      <c r="D58" s="150">
        <v>1100000</v>
      </c>
      <c r="E58" s="20" t="s">
        <v>457</v>
      </c>
      <c r="F58" s="20" t="s">
        <v>458</v>
      </c>
      <c r="G58" s="8" t="str">
        <f t="shared" si="0"/>
        <v>GEBRETEKLE DAGNEW</v>
      </c>
    </row>
    <row r="59" spans="1:7" x14ac:dyDescent="0.25">
      <c r="A59" s="8">
        <v>42767.319386574076</v>
      </c>
      <c r="B59" s="20" t="s">
        <v>216</v>
      </c>
      <c r="C59" s="20" t="s">
        <v>430</v>
      </c>
      <c r="D59" s="150">
        <v>900000</v>
      </c>
      <c r="E59" s="20" t="s">
        <v>343</v>
      </c>
      <c r="F59" s="20" t="s">
        <v>344</v>
      </c>
      <c r="G59" s="8" t="str">
        <f t="shared" si="0"/>
        <v>ROCHA YAOTL</v>
      </c>
    </row>
    <row r="60" spans="1:7" x14ac:dyDescent="0.25">
      <c r="A60" s="8">
        <v>42767.322314814817</v>
      </c>
      <c r="B60" s="20" t="s">
        <v>242</v>
      </c>
      <c r="C60" s="20" t="s">
        <v>432</v>
      </c>
      <c r="D60" s="150">
        <v>2620000</v>
      </c>
      <c r="E60" s="20" t="s">
        <v>451</v>
      </c>
      <c r="F60" s="20" t="s">
        <v>452</v>
      </c>
      <c r="G60" s="8" t="str">
        <f t="shared" si="0"/>
        <v>PERKINS DARREN</v>
      </c>
    </row>
    <row r="61" spans="1:7" x14ac:dyDescent="0.25">
      <c r="A61" s="8">
        <v>42767.328900462962</v>
      </c>
      <c r="B61" s="20" t="s">
        <v>233</v>
      </c>
      <c r="C61" s="20" t="s">
        <v>499</v>
      </c>
      <c r="D61" s="150">
        <v>940000</v>
      </c>
      <c r="E61" s="20" t="s">
        <v>341</v>
      </c>
      <c r="F61" s="20" t="s">
        <v>342</v>
      </c>
      <c r="G61" s="8" t="str">
        <f t="shared" si="0"/>
        <v>BONDS REYNALDO</v>
      </c>
    </row>
    <row r="62" spans="1:7" x14ac:dyDescent="0.25">
      <c r="A62" s="8">
        <v>42767.337511574071</v>
      </c>
      <c r="B62" s="20" t="s">
        <v>200</v>
      </c>
      <c r="C62" s="20" t="s">
        <v>434</v>
      </c>
      <c r="D62" s="150">
        <v>1110000</v>
      </c>
      <c r="E62" s="20" t="s">
        <v>339</v>
      </c>
      <c r="F62" s="20" t="s">
        <v>340</v>
      </c>
      <c r="G62" s="8" t="str">
        <f t="shared" si="0"/>
        <v>STARKS ANGELINA</v>
      </c>
    </row>
    <row r="63" spans="1:7" x14ac:dyDescent="0.25">
      <c r="A63" s="8">
        <v>42767.338287037041</v>
      </c>
      <c r="B63" s="20" t="s">
        <v>192</v>
      </c>
      <c r="C63" s="20" t="s">
        <v>500</v>
      </c>
      <c r="D63" s="150">
        <v>2110000</v>
      </c>
      <c r="E63" s="20" t="s">
        <v>320</v>
      </c>
      <c r="F63" s="20" t="s">
        <v>321</v>
      </c>
      <c r="G63" s="8" t="str">
        <f t="shared" si="0"/>
        <v>OUN ZACK</v>
      </c>
    </row>
    <row r="64" spans="1:7" x14ac:dyDescent="0.25">
      <c r="A64" s="26">
        <v>42767.338449074072</v>
      </c>
      <c r="B64" s="20" t="s">
        <v>226</v>
      </c>
      <c r="C64" s="20" t="s">
        <v>501</v>
      </c>
      <c r="D64" s="150">
        <v>1830000</v>
      </c>
      <c r="E64" s="20" t="s">
        <v>466</v>
      </c>
      <c r="F64" s="20" t="s">
        <v>467</v>
      </c>
      <c r="G64" s="8" t="str">
        <f t="shared" si="0"/>
        <v>YORK EDGAR</v>
      </c>
    </row>
    <row r="65" spans="1:7" x14ac:dyDescent="0.25">
      <c r="A65" s="8">
        <v>42767.345833333333</v>
      </c>
      <c r="B65" s="20" t="s">
        <v>271</v>
      </c>
      <c r="C65" s="20" t="s">
        <v>502</v>
      </c>
      <c r="D65" s="150">
        <v>890000</v>
      </c>
      <c r="E65" s="20" t="s">
        <v>365</v>
      </c>
      <c r="F65" s="20" t="s">
        <v>366</v>
      </c>
      <c r="G65" s="8" t="str">
        <f t="shared" si="0"/>
        <v>LOZA FIDEL</v>
      </c>
    </row>
    <row r="66" spans="1:7" x14ac:dyDescent="0.25">
      <c r="A66" s="8">
        <v>42767.346562500003</v>
      </c>
      <c r="B66" s="20" t="s">
        <v>303</v>
      </c>
      <c r="C66" s="20" t="s">
        <v>503</v>
      </c>
      <c r="D66" s="150">
        <v>2010000</v>
      </c>
      <c r="E66" s="20" t="s">
        <v>318</v>
      </c>
      <c r="F66" s="20" t="s">
        <v>319</v>
      </c>
      <c r="G66" s="8" t="str">
        <f t="shared" si="0"/>
        <v>MAELZER KURT</v>
      </c>
    </row>
    <row r="67" spans="1:7" x14ac:dyDescent="0.25">
      <c r="A67" s="8">
        <v>42767.349374999998</v>
      </c>
      <c r="B67" s="20" t="s">
        <v>243</v>
      </c>
      <c r="C67" s="20" t="s">
        <v>504</v>
      </c>
      <c r="D67" s="150">
        <v>900000</v>
      </c>
      <c r="E67" s="20" t="s">
        <v>343</v>
      </c>
      <c r="F67" s="20" t="s">
        <v>344</v>
      </c>
      <c r="G67" s="8" t="str">
        <f t="shared" ref="G67:G130" si="1">E67&amp;" "&amp;F67</f>
        <v>ROCHA YAOTL</v>
      </c>
    </row>
    <row r="68" spans="1:7" x14ac:dyDescent="0.25">
      <c r="A68" s="8">
        <v>42767.352199074077</v>
      </c>
      <c r="B68" s="20" t="s">
        <v>253</v>
      </c>
      <c r="C68" s="20" t="s">
        <v>505</v>
      </c>
      <c r="D68" s="150">
        <v>1830000</v>
      </c>
      <c r="E68" s="20" t="s">
        <v>466</v>
      </c>
      <c r="F68" s="20" t="s">
        <v>467</v>
      </c>
      <c r="G68" s="8" t="str">
        <f t="shared" si="1"/>
        <v>YORK EDGAR</v>
      </c>
    </row>
    <row r="69" spans="1:7" x14ac:dyDescent="0.25">
      <c r="A69" s="8">
        <v>42767.357662037037</v>
      </c>
      <c r="B69" s="20" t="s">
        <v>288</v>
      </c>
      <c r="C69" s="20" t="s">
        <v>506</v>
      </c>
      <c r="D69" s="150">
        <v>1100000</v>
      </c>
      <c r="E69" s="20" t="s">
        <v>457</v>
      </c>
      <c r="F69" s="20" t="s">
        <v>458</v>
      </c>
      <c r="G69" s="8" t="str">
        <f t="shared" si="1"/>
        <v>GEBRETEKLE DAGNEW</v>
      </c>
    </row>
    <row r="70" spans="1:7" x14ac:dyDescent="0.25">
      <c r="A70" s="8">
        <v>42767.359861111108</v>
      </c>
      <c r="B70" s="20" t="s">
        <v>270</v>
      </c>
      <c r="C70" s="20" t="s">
        <v>507</v>
      </c>
      <c r="D70" s="150">
        <v>890000</v>
      </c>
      <c r="E70" s="20" t="s">
        <v>365</v>
      </c>
      <c r="F70" s="20" t="s">
        <v>366</v>
      </c>
      <c r="G70" s="8" t="str">
        <f t="shared" si="1"/>
        <v>LOZA FIDEL</v>
      </c>
    </row>
    <row r="71" spans="1:7" x14ac:dyDescent="0.25">
      <c r="A71" s="8">
        <v>42767.362962962965</v>
      </c>
      <c r="B71" s="20" t="s">
        <v>338</v>
      </c>
      <c r="C71" s="20" t="s">
        <v>508</v>
      </c>
      <c r="D71" s="150">
        <v>310000</v>
      </c>
      <c r="E71" s="20" t="s">
        <v>367</v>
      </c>
      <c r="F71" s="20" t="s">
        <v>368</v>
      </c>
      <c r="G71" s="8" t="str">
        <f t="shared" si="1"/>
        <v>SNYDER PETER</v>
      </c>
    </row>
    <row r="72" spans="1:7" x14ac:dyDescent="0.25">
      <c r="A72" s="8">
        <v>42767.364201388889</v>
      </c>
      <c r="B72" s="20" t="s">
        <v>234</v>
      </c>
      <c r="C72" s="20" t="s">
        <v>509</v>
      </c>
      <c r="D72" s="150">
        <v>940000</v>
      </c>
      <c r="E72" s="20" t="s">
        <v>341</v>
      </c>
      <c r="F72" s="20" t="s">
        <v>342</v>
      </c>
      <c r="G72" s="8" t="str">
        <f t="shared" si="1"/>
        <v>BONDS REYNALDO</v>
      </c>
    </row>
    <row r="73" spans="1:7" x14ac:dyDescent="0.25">
      <c r="A73" s="8">
        <v>42767.376782407409</v>
      </c>
      <c r="B73" s="20" t="s">
        <v>199</v>
      </c>
      <c r="C73" s="20" t="s">
        <v>510</v>
      </c>
      <c r="D73" s="150">
        <v>2550000</v>
      </c>
      <c r="E73" s="20" t="s">
        <v>511</v>
      </c>
      <c r="F73" s="20" t="s">
        <v>512</v>
      </c>
      <c r="G73" s="8" t="str">
        <f t="shared" si="1"/>
        <v>BADERTSCHER DIANE</v>
      </c>
    </row>
    <row r="74" spans="1:7" x14ac:dyDescent="0.25">
      <c r="A74" s="8">
        <v>42767.378668981481</v>
      </c>
      <c r="B74" s="20" t="s">
        <v>196</v>
      </c>
      <c r="C74" s="20" t="s">
        <v>513</v>
      </c>
      <c r="D74" s="150">
        <v>2110000</v>
      </c>
      <c r="E74" s="20" t="s">
        <v>320</v>
      </c>
      <c r="F74" s="20" t="s">
        <v>321</v>
      </c>
      <c r="G74" s="8" t="str">
        <f t="shared" si="1"/>
        <v>OUN ZACK</v>
      </c>
    </row>
    <row r="75" spans="1:7" x14ac:dyDescent="0.25">
      <c r="A75" s="8">
        <v>42767.382002314815</v>
      </c>
      <c r="B75" s="20" t="s">
        <v>302</v>
      </c>
      <c r="C75" s="20" t="s">
        <v>514</v>
      </c>
      <c r="D75" s="150">
        <v>2010000</v>
      </c>
      <c r="E75" s="20" t="s">
        <v>318</v>
      </c>
      <c r="F75" s="20" t="s">
        <v>319</v>
      </c>
      <c r="G75" s="8" t="str">
        <f t="shared" si="1"/>
        <v>MAELZER KURT</v>
      </c>
    </row>
    <row r="76" spans="1:7" x14ac:dyDescent="0.25">
      <c r="A76" s="8">
        <v>42767.387546296297</v>
      </c>
      <c r="B76" s="20" t="s">
        <v>271</v>
      </c>
      <c r="C76" s="20" t="s">
        <v>515</v>
      </c>
      <c r="D76" s="150">
        <v>890000</v>
      </c>
      <c r="E76" s="20" t="s">
        <v>365</v>
      </c>
      <c r="F76" s="20" t="s">
        <v>366</v>
      </c>
      <c r="G76" s="8" t="str">
        <f t="shared" si="1"/>
        <v>LOZA FIDEL</v>
      </c>
    </row>
    <row r="77" spans="1:7" x14ac:dyDescent="0.25">
      <c r="A77" s="8">
        <v>42767.390081018515</v>
      </c>
      <c r="B77" s="20" t="s">
        <v>289</v>
      </c>
      <c r="C77" s="20" t="s">
        <v>516</v>
      </c>
      <c r="D77" s="150">
        <v>1100000</v>
      </c>
      <c r="E77" s="20" t="s">
        <v>457</v>
      </c>
      <c r="F77" s="20" t="s">
        <v>458</v>
      </c>
      <c r="G77" s="8" t="str">
        <f t="shared" si="1"/>
        <v>GEBRETEKLE DAGNEW</v>
      </c>
    </row>
    <row r="78" spans="1:7" x14ac:dyDescent="0.25">
      <c r="A78" s="8">
        <v>42767.391180555554</v>
      </c>
      <c r="B78" s="20" t="s">
        <v>216</v>
      </c>
      <c r="C78" s="20" t="s">
        <v>517</v>
      </c>
      <c r="D78" s="150">
        <v>900000</v>
      </c>
      <c r="E78" s="20" t="s">
        <v>343</v>
      </c>
      <c r="F78" s="20" t="s">
        <v>344</v>
      </c>
      <c r="G78" s="8" t="str">
        <f t="shared" si="1"/>
        <v>ROCHA YAOTL</v>
      </c>
    </row>
    <row r="79" spans="1:7" x14ac:dyDescent="0.25">
      <c r="A79" s="8">
        <v>42767.400891203702</v>
      </c>
      <c r="B79" s="20" t="s">
        <v>270</v>
      </c>
      <c r="C79" s="20" t="s">
        <v>518</v>
      </c>
      <c r="D79" s="150">
        <v>890000</v>
      </c>
      <c r="E79" s="20" t="s">
        <v>365</v>
      </c>
      <c r="F79" s="20" t="s">
        <v>366</v>
      </c>
      <c r="G79" s="8" t="str">
        <f t="shared" si="1"/>
        <v>LOZA FIDEL</v>
      </c>
    </row>
    <row r="80" spans="1:7" x14ac:dyDescent="0.25">
      <c r="A80" s="8">
        <v>42767.401620370372</v>
      </c>
      <c r="B80" s="20" t="s">
        <v>233</v>
      </c>
      <c r="C80" s="20" t="s">
        <v>519</v>
      </c>
      <c r="D80" s="150">
        <v>940000</v>
      </c>
      <c r="E80" s="20" t="s">
        <v>341</v>
      </c>
      <c r="F80" s="20" t="s">
        <v>342</v>
      </c>
      <c r="G80" s="8" t="str">
        <f t="shared" si="1"/>
        <v>BONDS REYNALDO</v>
      </c>
    </row>
    <row r="81" spans="1:7" x14ac:dyDescent="0.25">
      <c r="A81" s="8">
        <v>42767.401643518519</v>
      </c>
      <c r="B81" s="20" t="s">
        <v>242</v>
      </c>
      <c r="C81" s="20" t="s">
        <v>520</v>
      </c>
      <c r="D81" s="150">
        <v>310000</v>
      </c>
      <c r="E81" s="20" t="s">
        <v>367</v>
      </c>
      <c r="F81" s="20" t="s">
        <v>368</v>
      </c>
      <c r="G81" s="8" t="str">
        <f t="shared" si="1"/>
        <v>SNYDER PETER</v>
      </c>
    </row>
    <row r="82" spans="1:7" x14ac:dyDescent="0.25">
      <c r="A82" s="8">
        <v>42767.407118055555</v>
      </c>
      <c r="B82" s="20" t="s">
        <v>200</v>
      </c>
      <c r="C82" s="20" t="s">
        <v>521</v>
      </c>
      <c r="D82" s="150">
        <v>2550000</v>
      </c>
      <c r="E82" s="20" t="s">
        <v>511</v>
      </c>
      <c r="F82" s="20" t="s">
        <v>512</v>
      </c>
      <c r="G82" s="8" t="str">
        <f t="shared" si="1"/>
        <v>BADERTSCHER DIANE</v>
      </c>
    </row>
    <row r="83" spans="1:7" x14ac:dyDescent="0.25">
      <c r="A83" s="8">
        <v>42767.412916666668</v>
      </c>
      <c r="B83" s="20" t="s">
        <v>192</v>
      </c>
      <c r="C83" s="20" t="s">
        <v>522</v>
      </c>
      <c r="D83" s="150">
        <v>2110000</v>
      </c>
      <c r="E83" s="20" t="s">
        <v>320</v>
      </c>
      <c r="F83" s="20" t="s">
        <v>321</v>
      </c>
      <c r="G83" s="8" t="str">
        <f t="shared" si="1"/>
        <v>OUN ZACK</v>
      </c>
    </row>
    <row r="84" spans="1:7" x14ac:dyDescent="0.25">
      <c r="A84" s="8">
        <v>42767.416759259257</v>
      </c>
      <c r="B84" s="20" t="s">
        <v>303</v>
      </c>
      <c r="C84" s="20" t="s">
        <v>523</v>
      </c>
      <c r="D84" s="150">
        <v>2010000</v>
      </c>
      <c r="E84" s="20" t="s">
        <v>318</v>
      </c>
      <c r="F84" s="20" t="s">
        <v>319</v>
      </c>
      <c r="G84" s="8" t="str">
        <f t="shared" si="1"/>
        <v>MAELZER KURT</v>
      </c>
    </row>
    <row r="85" spans="1:7" x14ac:dyDescent="0.25">
      <c r="A85" s="8">
        <v>42767.425011574072</v>
      </c>
      <c r="B85" s="20" t="s">
        <v>243</v>
      </c>
      <c r="C85" s="20" t="s">
        <v>524</v>
      </c>
      <c r="D85" s="150">
        <v>900000</v>
      </c>
      <c r="E85" s="20" t="s">
        <v>343</v>
      </c>
      <c r="F85" s="20" t="s">
        <v>344</v>
      </c>
      <c r="G85" s="8" t="str">
        <f t="shared" si="1"/>
        <v>ROCHA YAOTL</v>
      </c>
    </row>
    <row r="86" spans="1:7" x14ac:dyDescent="0.25">
      <c r="A86" s="8">
        <v>42767.429548611108</v>
      </c>
      <c r="B86" s="20" t="s">
        <v>271</v>
      </c>
      <c r="C86" s="20" t="s">
        <v>525</v>
      </c>
      <c r="D86" s="150">
        <v>890000</v>
      </c>
      <c r="E86" s="20" t="s">
        <v>365</v>
      </c>
      <c r="F86" s="20" t="s">
        <v>366</v>
      </c>
      <c r="G86" s="8" t="str">
        <f t="shared" si="1"/>
        <v>LOZA FIDEL</v>
      </c>
    </row>
    <row r="87" spans="1:7" x14ac:dyDescent="0.25">
      <c r="A87" s="8">
        <v>42767.429930555554</v>
      </c>
      <c r="B87" s="20" t="s">
        <v>288</v>
      </c>
      <c r="C87" s="20" t="s">
        <v>526</v>
      </c>
      <c r="D87" s="150">
        <v>1100000</v>
      </c>
      <c r="E87" s="20" t="s">
        <v>457</v>
      </c>
      <c r="F87" s="20" t="s">
        <v>458</v>
      </c>
      <c r="G87" s="8" t="str">
        <f t="shared" si="1"/>
        <v>GEBRETEKLE DAGNEW</v>
      </c>
    </row>
    <row r="88" spans="1:7" x14ac:dyDescent="0.25">
      <c r="A88" s="8">
        <v>42767.435254629629</v>
      </c>
      <c r="B88" s="20" t="s">
        <v>338</v>
      </c>
      <c r="C88" s="20" t="s">
        <v>527</v>
      </c>
      <c r="D88" s="150">
        <v>1830000</v>
      </c>
      <c r="E88" s="20" t="s">
        <v>466</v>
      </c>
      <c r="F88" s="20" t="s">
        <v>467</v>
      </c>
      <c r="G88" s="8" t="str">
        <f t="shared" si="1"/>
        <v>YORK EDGAR</v>
      </c>
    </row>
    <row r="89" spans="1:7" x14ac:dyDescent="0.25">
      <c r="A89" s="8">
        <v>42767.442476851851</v>
      </c>
      <c r="B89" s="20" t="s">
        <v>270</v>
      </c>
      <c r="C89" s="20" t="s">
        <v>528</v>
      </c>
      <c r="D89" s="150">
        <v>890000</v>
      </c>
      <c r="E89" s="20" t="s">
        <v>365</v>
      </c>
      <c r="F89" s="20" t="s">
        <v>366</v>
      </c>
      <c r="G89" s="8" t="str">
        <f t="shared" si="1"/>
        <v>LOZA FIDEL</v>
      </c>
    </row>
    <row r="90" spans="1:7" x14ac:dyDescent="0.25">
      <c r="A90" s="8">
        <v>42767.443530092591</v>
      </c>
      <c r="B90" s="20" t="s">
        <v>234</v>
      </c>
      <c r="C90" s="20" t="s">
        <v>436</v>
      </c>
      <c r="D90" s="150">
        <v>940000</v>
      </c>
      <c r="E90" s="20" t="s">
        <v>341</v>
      </c>
      <c r="F90" s="20" t="s">
        <v>342</v>
      </c>
      <c r="G90" s="8" t="str">
        <f t="shared" si="1"/>
        <v>BONDS REYNALDO</v>
      </c>
    </row>
    <row r="91" spans="1:7" x14ac:dyDescent="0.25">
      <c r="A91" s="8">
        <v>42767.448449074072</v>
      </c>
      <c r="B91" s="20" t="s">
        <v>199</v>
      </c>
      <c r="C91" s="20" t="s">
        <v>435</v>
      </c>
      <c r="D91" s="150">
        <v>1110000</v>
      </c>
      <c r="E91" s="20" t="s">
        <v>339</v>
      </c>
      <c r="F91" s="20" t="s">
        <v>340</v>
      </c>
      <c r="G91" s="8" t="str">
        <f t="shared" si="1"/>
        <v>STARKS ANGELINA</v>
      </c>
    </row>
    <row r="92" spans="1:7" x14ac:dyDescent="0.25">
      <c r="A92" s="8">
        <v>42767.450960648152</v>
      </c>
      <c r="B92" s="20" t="s">
        <v>196</v>
      </c>
      <c r="C92" s="20" t="s">
        <v>529</v>
      </c>
      <c r="D92" s="150">
        <v>2110000</v>
      </c>
      <c r="E92" s="20" t="s">
        <v>320</v>
      </c>
      <c r="F92" s="20" t="s">
        <v>321</v>
      </c>
      <c r="G92" s="8" t="str">
        <f t="shared" si="1"/>
        <v>OUN ZACK</v>
      </c>
    </row>
    <row r="93" spans="1:7" x14ac:dyDescent="0.25">
      <c r="A93" s="8">
        <v>42767.458067129628</v>
      </c>
      <c r="B93" s="20" t="s">
        <v>302</v>
      </c>
      <c r="C93" s="20" t="s">
        <v>530</v>
      </c>
      <c r="D93" s="150">
        <v>1360000</v>
      </c>
      <c r="E93" s="20" t="s">
        <v>277</v>
      </c>
      <c r="F93" s="20" t="s">
        <v>278</v>
      </c>
      <c r="G93" s="8" t="str">
        <f t="shared" si="1"/>
        <v>SANTIZO D. EDY</v>
      </c>
    </row>
    <row r="94" spans="1:7" x14ac:dyDescent="0.25">
      <c r="A94" s="8">
        <v>42767.465277777781</v>
      </c>
      <c r="B94" s="20" t="s">
        <v>216</v>
      </c>
      <c r="C94" s="20" t="s">
        <v>531</v>
      </c>
      <c r="D94" s="150">
        <v>900000</v>
      </c>
      <c r="E94" s="20" t="s">
        <v>343</v>
      </c>
      <c r="F94" s="20" t="s">
        <v>344</v>
      </c>
      <c r="G94" s="8" t="str">
        <f t="shared" si="1"/>
        <v>ROCHA YAOTL</v>
      </c>
    </row>
    <row r="95" spans="1:7" x14ac:dyDescent="0.25">
      <c r="A95" s="8">
        <v>42767.466770833336</v>
      </c>
      <c r="B95" s="20" t="s">
        <v>242</v>
      </c>
      <c r="C95" s="20" t="s">
        <v>437</v>
      </c>
      <c r="D95" s="150">
        <v>1830000</v>
      </c>
      <c r="E95" s="20" t="s">
        <v>466</v>
      </c>
      <c r="F95" s="20" t="s">
        <v>467</v>
      </c>
      <c r="G95" s="8" t="str">
        <f t="shared" si="1"/>
        <v>YORK EDGAR</v>
      </c>
    </row>
    <row r="96" spans="1:7" x14ac:dyDescent="0.25">
      <c r="A96" s="8">
        <v>42767.46875</v>
      </c>
      <c r="B96" s="20" t="s">
        <v>289</v>
      </c>
      <c r="C96" s="20" t="s">
        <v>532</v>
      </c>
      <c r="D96" s="150">
        <v>920000</v>
      </c>
      <c r="E96" s="20" t="s">
        <v>322</v>
      </c>
      <c r="F96" s="20" t="s">
        <v>209</v>
      </c>
      <c r="G96" s="8" t="str">
        <f t="shared" si="1"/>
        <v>DAVIS MICHAEL</v>
      </c>
    </row>
    <row r="97" spans="1:7" x14ac:dyDescent="0.25">
      <c r="A97" s="8">
        <v>42767.470983796295</v>
      </c>
      <c r="B97" s="20" t="s">
        <v>271</v>
      </c>
      <c r="C97" s="20" t="s">
        <v>533</v>
      </c>
      <c r="D97" s="150">
        <v>890000</v>
      </c>
      <c r="E97" s="20" t="s">
        <v>365</v>
      </c>
      <c r="F97" s="20" t="s">
        <v>366</v>
      </c>
      <c r="G97" s="8" t="str">
        <f t="shared" si="1"/>
        <v>LOZA FIDEL</v>
      </c>
    </row>
    <row r="98" spans="1:7" x14ac:dyDescent="0.25">
      <c r="A98" s="8">
        <v>42767.479745370372</v>
      </c>
      <c r="B98" s="20" t="s">
        <v>233</v>
      </c>
      <c r="C98" s="20" t="s">
        <v>534</v>
      </c>
      <c r="D98" s="150">
        <v>1180000</v>
      </c>
      <c r="E98" s="20" t="s">
        <v>347</v>
      </c>
      <c r="F98" s="20" t="s">
        <v>348</v>
      </c>
      <c r="G98" s="8" t="str">
        <f t="shared" si="1"/>
        <v>LEVERE CRAIG</v>
      </c>
    </row>
    <row r="99" spans="1:7" x14ac:dyDescent="0.25">
      <c r="A99" s="8">
        <v>42767.48541666667</v>
      </c>
      <c r="B99" s="20" t="s">
        <v>270</v>
      </c>
      <c r="C99" s="20" t="s">
        <v>535</v>
      </c>
      <c r="D99" s="150">
        <v>890000</v>
      </c>
      <c r="E99" s="20" t="s">
        <v>365</v>
      </c>
      <c r="F99" s="20" t="s">
        <v>366</v>
      </c>
      <c r="G99" s="8" t="str">
        <f t="shared" si="1"/>
        <v>LOZA FIDEL</v>
      </c>
    </row>
    <row r="100" spans="1:7" x14ac:dyDescent="0.25">
      <c r="A100" s="8">
        <v>42767.48542824074</v>
      </c>
      <c r="B100" s="20" t="s">
        <v>200</v>
      </c>
      <c r="C100" s="20" t="s">
        <v>536</v>
      </c>
      <c r="D100" s="150">
        <v>1110000</v>
      </c>
      <c r="E100" s="20" t="s">
        <v>339</v>
      </c>
      <c r="F100" s="20" t="s">
        <v>340</v>
      </c>
      <c r="G100" s="8" t="str">
        <f t="shared" si="1"/>
        <v>STARKS ANGELINA</v>
      </c>
    </row>
    <row r="101" spans="1:7" x14ac:dyDescent="0.25">
      <c r="A101" s="8">
        <v>42767.49015046296</v>
      </c>
      <c r="B101" s="20" t="s">
        <v>192</v>
      </c>
      <c r="C101" s="20" t="s">
        <v>537</v>
      </c>
      <c r="D101" s="150">
        <v>1540000</v>
      </c>
      <c r="E101" s="20" t="s">
        <v>538</v>
      </c>
      <c r="F101" s="20" t="s">
        <v>539</v>
      </c>
      <c r="G101" s="8" t="str">
        <f t="shared" si="1"/>
        <v>HELVIE ADAM</v>
      </c>
    </row>
    <row r="102" spans="1:7" x14ac:dyDescent="0.25">
      <c r="A102" s="8">
        <v>42767.491249999999</v>
      </c>
      <c r="B102" s="20" t="s">
        <v>303</v>
      </c>
      <c r="C102" s="20" t="s">
        <v>540</v>
      </c>
      <c r="D102" s="150">
        <v>1360000</v>
      </c>
      <c r="E102" s="20" t="s">
        <v>277</v>
      </c>
      <c r="F102" s="20" t="s">
        <v>278</v>
      </c>
      <c r="G102" s="8" t="str">
        <f t="shared" si="1"/>
        <v>SANTIZO D. EDY</v>
      </c>
    </row>
    <row r="103" spans="1:7" x14ac:dyDescent="0.25">
      <c r="A103" s="8">
        <v>42767.499444444446</v>
      </c>
      <c r="B103" s="20" t="s">
        <v>243</v>
      </c>
      <c r="C103" s="20" t="s">
        <v>541</v>
      </c>
      <c r="D103" s="150">
        <v>2250000</v>
      </c>
      <c r="E103" s="20" t="s">
        <v>329</v>
      </c>
      <c r="F103" s="20" t="s">
        <v>330</v>
      </c>
      <c r="G103" s="8" t="str">
        <f t="shared" si="1"/>
        <v>CRAYTON QUNTRELL</v>
      </c>
    </row>
    <row r="104" spans="1:7" x14ac:dyDescent="0.25">
      <c r="A104" s="8">
        <v>42767.507048611114</v>
      </c>
      <c r="B104" s="20" t="s">
        <v>288</v>
      </c>
      <c r="C104" s="20" t="s">
        <v>542</v>
      </c>
      <c r="D104" s="150">
        <v>920000</v>
      </c>
      <c r="E104" s="20" t="s">
        <v>322</v>
      </c>
      <c r="F104" s="20" t="s">
        <v>209</v>
      </c>
      <c r="G104" s="8" t="str">
        <f t="shared" si="1"/>
        <v>DAVIS MICHAEL</v>
      </c>
    </row>
    <row r="105" spans="1:7" x14ac:dyDescent="0.25">
      <c r="A105" s="8">
        <v>42767.511967592596</v>
      </c>
      <c r="B105" s="20" t="s">
        <v>271</v>
      </c>
      <c r="C105" s="20" t="s">
        <v>543</v>
      </c>
      <c r="D105" s="150">
        <v>890000</v>
      </c>
      <c r="E105" s="20" t="s">
        <v>365</v>
      </c>
      <c r="F105" s="20" t="s">
        <v>366</v>
      </c>
      <c r="G105" s="8" t="str">
        <f t="shared" si="1"/>
        <v>LOZA FIDEL</v>
      </c>
    </row>
    <row r="106" spans="1:7" x14ac:dyDescent="0.25">
      <c r="A106" s="8">
        <v>42767.512094907404</v>
      </c>
      <c r="B106" s="20" t="s">
        <v>338</v>
      </c>
      <c r="C106" s="20" t="s">
        <v>544</v>
      </c>
      <c r="D106" s="150">
        <v>1300000</v>
      </c>
      <c r="E106" s="20" t="s">
        <v>371</v>
      </c>
      <c r="F106" s="20" t="s">
        <v>372</v>
      </c>
      <c r="G106" s="8" t="str">
        <f t="shared" si="1"/>
        <v>LEVIN SCOTT</v>
      </c>
    </row>
    <row r="107" spans="1:7" x14ac:dyDescent="0.25">
      <c r="A107" s="8">
        <v>42767.514363425929</v>
      </c>
      <c r="B107" s="20" t="s">
        <v>234</v>
      </c>
      <c r="C107" s="20" t="s">
        <v>545</v>
      </c>
      <c r="D107" s="150">
        <v>1180000</v>
      </c>
      <c r="E107" s="20" t="s">
        <v>347</v>
      </c>
      <c r="F107" s="20" t="s">
        <v>348</v>
      </c>
      <c r="G107" s="8" t="str">
        <f t="shared" si="1"/>
        <v>LEVERE CRAIG</v>
      </c>
    </row>
    <row r="108" spans="1:7" x14ac:dyDescent="0.25">
      <c r="A108" s="8">
        <v>42767.525578703702</v>
      </c>
      <c r="B108" s="20" t="s">
        <v>196</v>
      </c>
      <c r="C108" s="20" t="s">
        <v>546</v>
      </c>
      <c r="D108" s="150">
        <v>1540000</v>
      </c>
      <c r="E108" s="20" t="s">
        <v>538</v>
      </c>
      <c r="F108" s="20" t="s">
        <v>539</v>
      </c>
      <c r="G108" s="8" t="str">
        <f t="shared" si="1"/>
        <v>HELVIE ADAM</v>
      </c>
    </row>
    <row r="109" spans="1:7" x14ac:dyDescent="0.25">
      <c r="A109" s="8">
        <v>42767.525763888887</v>
      </c>
      <c r="B109" s="20" t="s">
        <v>270</v>
      </c>
      <c r="C109" s="20" t="s">
        <v>547</v>
      </c>
      <c r="D109" s="150">
        <v>890000</v>
      </c>
      <c r="E109" s="20" t="s">
        <v>365</v>
      </c>
      <c r="F109" s="20" t="s">
        <v>366</v>
      </c>
      <c r="G109" s="8" t="str">
        <f t="shared" si="1"/>
        <v>LOZA FIDEL</v>
      </c>
    </row>
    <row r="110" spans="1:7" x14ac:dyDescent="0.25">
      <c r="A110" s="8">
        <v>42767.527395833335</v>
      </c>
      <c r="B110" s="20" t="s">
        <v>199</v>
      </c>
      <c r="C110" s="20" t="s">
        <v>548</v>
      </c>
      <c r="D110" s="150">
        <v>1190000</v>
      </c>
      <c r="E110" s="20" t="s">
        <v>369</v>
      </c>
      <c r="F110" s="20" t="s">
        <v>370</v>
      </c>
      <c r="G110" s="8" t="str">
        <f t="shared" si="1"/>
        <v>BRANNON JEFFREY</v>
      </c>
    </row>
    <row r="111" spans="1:7" x14ac:dyDescent="0.25">
      <c r="A111" s="8">
        <v>42767.533414351848</v>
      </c>
      <c r="B111" s="20" t="s">
        <v>216</v>
      </c>
      <c r="C111" s="20" t="s">
        <v>549</v>
      </c>
      <c r="D111" s="150">
        <v>2250000</v>
      </c>
      <c r="E111" s="20" t="s">
        <v>329</v>
      </c>
      <c r="F111" s="20" t="s">
        <v>330</v>
      </c>
      <c r="G111" s="8" t="str">
        <f t="shared" si="1"/>
        <v>CRAYTON QUNTRELL</v>
      </c>
    </row>
    <row r="112" spans="1:7" x14ac:dyDescent="0.25">
      <c r="A112" s="8">
        <v>42767.53534722222</v>
      </c>
      <c r="B112" s="20" t="s">
        <v>302</v>
      </c>
      <c r="C112" s="20" t="s">
        <v>550</v>
      </c>
      <c r="D112" s="150">
        <v>930000</v>
      </c>
      <c r="E112" s="20" t="s">
        <v>345</v>
      </c>
      <c r="F112" s="20" t="s">
        <v>346</v>
      </c>
      <c r="G112" s="8" t="str">
        <f t="shared" si="1"/>
        <v>CLARK KATHLEEN</v>
      </c>
    </row>
    <row r="113" spans="1:7" x14ac:dyDescent="0.25">
      <c r="A113" s="8">
        <v>42767.546851851854</v>
      </c>
      <c r="B113" s="20" t="s">
        <v>289</v>
      </c>
      <c r="C113" s="20" t="s">
        <v>438</v>
      </c>
      <c r="D113" s="150">
        <v>920000</v>
      </c>
      <c r="E113" s="20" t="s">
        <v>322</v>
      </c>
      <c r="F113" s="20" t="s">
        <v>209</v>
      </c>
      <c r="G113" s="8" t="str">
        <f t="shared" si="1"/>
        <v>DAVIS MICHAEL</v>
      </c>
    </row>
    <row r="114" spans="1:7" x14ac:dyDescent="0.25">
      <c r="A114" s="8">
        <v>42767.547152777777</v>
      </c>
      <c r="B114" s="20" t="s">
        <v>271</v>
      </c>
      <c r="C114" s="20" t="s">
        <v>551</v>
      </c>
      <c r="D114" s="150">
        <v>1770000</v>
      </c>
      <c r="E114" s="20" t="s">
        <v>552</v>
      </c>
      <c r="F114" s="20" t="s">
        <v>553</v>
      </c>
      <c r="G114" s="8" t="str">
        <f t="shared" si="1"/>
        <v>BRUDER RICHARD</v>
      </c>
    </row>
    <row r="115" spans="1:7" x14ac:dyDescent="0.25">
      <c r="A115" s="8">
        <v>42767.547534722224</v>
      </c>
      <c r="B115" s="20" t="s">
        <v>242</v>
      </c>
      <c r="C115" s="20" t="s">
        <v>554</v>
      </c>
      <c r="D115" s="150">
        <v>1300000</v>
      </c>
      <c r="E115" s="20" t="s">
        <v>371</v>
      </c>
      <c r="F115" s="20" t="s">
        <v>372</v>
      </c>
      <c r="G115" s="8" t="str">
        <f t="shared" si="1"/>
        <v>LEVIN SCOTT</v>
      </c>
    </row>
    <row r="116" spans="1:7" x14ac:dyDescent="0.25">
      <c r="A116" s="8">
        <v>42767.551342592589</v>
      </c>
      <c r="B116" s="20" t="s">
        <v>233</v>
      </c>
      <c r="C116" s="20" t="s">
        <v>555</v>
      </c>
      <c r="D116" s="150">
        <v>1180000</v>
      </c>
      <c r="E116" s="20" t="s">
        <v>347</v>
      </c>
      <c r="F116" s="20" t="s">
        <v>348</v>
      </c>
      <c r="G116" s="8" t="str">
        <f t="shared" si="1"/>
        <v>LEVERE CRAIG</v>
      </c>
    </row>
    <row r="117" spans="1:7" x14ac:dyDescent="0.25">
      <c r="A117" s="8">
        <v>42767.554537037038</v>
      </c>
      <c r="B117" s="20" t="s">
        <v>200</v>
      </c>
      <c r="C117" s="20" t="s">
        <v>556</v>
      </c>
      <c r="D117" s="150">
        <v>1190000</v>
      </c>
      <c r="E117" s="20" t="s">
        <v>369</v>
      </c>
      <c r="F117" s="20" t="s">
        <v>370</v>
      </c>
      <c r="G117" s="8" t="str">
        <f t="shared" si="1"/>
        <v>BRANNON JEFFREY</v>
      </c>
    </row>
    <row r="118" spans="1:7" x14ac:dyDescent="0.25">
      <c r="A118" s="8">
        <v>42767.559560185182</v>
      </c>
      <c r="B118" s="20" t="s">
        <v>192</v>
      </c>
      <c r="C118" s="20" t="s">
        <v>557</v>
      </c>
      <c r="D118" s="150">
        <v>1540000</v>
      </c>
      <c r="E118" s="20" t="s">
        <v>538</v>
      </c>
      <c r="F118" s="20" t="s">
        <v>539</v>
      </c>
      <c r="G118" s="8" t="str">
        <f t="shared" si="1"/>
        <v>HELVIE ADAM</v>
      </c>
    </row>
    <row r="119" spans="1:7" x14ac:dyDescent="0.25">
      <c r="A119" s="8">
        <v>42767.568784722222</v>
      </c>
      <c r="B119" s="20" t="s">
        <v>270</v>
      </c>
      <c r="C119" s="20" t="s">
        <v>558</v>
      </c>
      <c r="D119" s="150">
        <v>1770000</v>
      </c>
      <c r="E119" s="20" t="s">
        <v>552</v>
      </c>
      <c r="F119" s="20" t="s">
        <v>553</v>
      </c>
      <c r="G119" s="8" t="str">
        <f t="shared" si="1"/>
        <v>BRUDER RICHARD</v>
      </c>
    </row>
    <row r="120" spans="1:7" x14ac:dyDescent="0.25">
      <c r="A120" s="8">
        <v>42767.569328703707</v>
      </c>
      <c r="B120" s="20" t="s">
        <v>303</v>
      </c>
      <c r="C120" s="20" t="s">
        <v>559</v>
      </c>
      <c r="D120" s="150">
        <v>930000</v>
      </c>
      <c r="E120" s="20" t="s">
        <v>345</v>
      </c>
      <c r="F120" s="20" t="s">
        <v>346</v>
      </c>
      <c r="G120" s="8" t="str">
        <f t="shared" si="1"/>
        <v>CLARK KATHLEEN</v>
      </c>
    </row>
    <row r="121" spans="1:7" x14ac:dyDescent="0.25">
      <c r="A121" s="8">
        <v>42767.571701388886</v>
      </c>
      <c r="B121" s="20" t="s">
        <v>243</v>
      </c>
      <c r="C121" s="20" t="s">
        <v>560</v>
      </c>
      <c r="D121" s="150">
        <v>2250000</v>
      </c>
      <c r="E121" s="20" t="s">
        <v>329</v>
      </c>
      <c r="F121" s="20" t="s">
        <v>330</v>
      </c>
      <c r="G121" s="8" t="str">
        <f t="shared" si="1"/>
        <v>CRAYTON QUNTRELL</v>
      </c>
    </row>
    <row r="122" spans="1:7" x14ac:dyDescent="0.25">
      <c r="A122" s="8">
        <v>42767.57949074074</v>
      </c>
      <c r="B122" s="25" t="s">
        <v>338</v>
      </c>
      <c r="C122" s="20" t="s">
        <v>439</v>
      </c>
      <c r="D122" s="150">
        <v>1300000</v>
      </c>
      <c r="E122" s="20" t="s">
        <v>371</v>
      </c>
      <c r="F122" s="20" t="s">
        <v>372</v>
      </c>
      <c r="G122" s="8" t="str">
        <f t="shared" si="1"/>
        <v>LEVIN SCOTT</v>
      </c>
    </row>
    <row r="123" spans="1:7" x14ac:dyDescent="0.25">
      <c r="A123" s="8">
        <v>42767.580057870371</v>
      </c>
      <c r="B123" s="20" t="s">
        <v>288</v>
      </c>
      <c r="C123" s="20" t="s">
        <v>561</v>
      </c>
      <c r="D123" s="150">
        <v>920000</v>
      </c>
      <c r="E123" s="20" t="s">
        <v>322</v>
      </c>
      <c r="F123" s="20" t="s">
        <v>209</v>
      </c>
      <c r="G123" s="8" t="str">
        <f t="shared" si="1"/>
        <v>DAVIS MICHAEL</v>
      </c>
    </row>
    <row r="124" spans="1:7" x14ac:dyDescent="0.25">
      <c r="A124" s="8">
        <v>42767.588761574072</v>
      </c>
      <c r="B124" s="20" t="s">
        <v>199</v>
      </c>
      <c r="C124" s="20" t="s">
        <v>562</v>
      </c>
      <c r="D124" s="150">
        <v>1190000</v>
      </c>
      <c r="E124" s="20" t="s">
        <v>369</v>
      </c>
      <c r="F124" s="20" t="s">
        <v>370</v>
      </c>
      <c r="G124" s="8" t="str">
        <f t="shared" si="1"/>
        <v>BRANNON JEFFREY</v>
      </c>
    </row>
    <row r="125" spans="1:7" x14ac:dyDescent="0.25">
      <c r="A125" s="8">
        <v>42767.589421296296</v>
      </c>
      <c r="B125" s="20" t="s">
        <v>234</v>
      </c>
      <c r="C125" s="20" t="s">
        <v>563</v>
      </c>
      <c r="D125" s="150">
        <v>1180000</v>
      </c>
      <c r="E125" s="20" t="s">
        <v>347</v>
      </c>
      <c r="F125" s="20" t="s">
        <v>348</v>
      </c>
      <c r="G125" s="8" t="str">
        <f t="shared" si="1"/>
        <v>LEVERE CRAIG</v>
      </c>
    </row>
    <row r="126" spans="1:7" x14ac:dyDescent="0.25">
      <c r="A126" s="8">
        <v>42767.594710648147</v>
      </c>
      <c r="B126" s="20" t="s">
        <v>271</v>
      </c>
      <c r="C126" s="20" t="s">
        <v>564</v>
      </c>
      <c r="D126" s="150">
        <v>1770000</v>
      </c>
      <c r="E126" s="20" t="s">
        <v>552</v>
      </c>
      <c r="F126" s="20" t="s">
        <v>553</v>
      </c>
      <c r="G126" s="8" t="str">
        <f t="shared" si="1"/>
        <v>BRUDER RICHARD</v>
      </c>
    </row>
    <row r="127" spans="1:7" x14ac:dyDescent="0.25">
      <c r="A127" s="8">
        <v>42767.599189814813</v>
      </c>
      <c r="B127" s="20" t="s">
        <v>196</v>
      </c>
      <c r="C127" s="20" t="s">
        <v>565</v>
      </c>
      <c r="D127" s="150">
        <v>1540000</v>
      </c>
      <c r="E127" s="20" t="s">
        <v>538</v>
      </c>
      <c r="F127" s="20" t="s">
        <v>539</v>
      </c>
      <c r="G127" s="8" t="str">
        <f t="shared" si="1"/>
        <v>HELVIE ADAM</v>
      </c>
    </row>
    <row r="128" spans="1:7" x14ac:dyDescent="0.25">
      <c r="A128" s="8">
        <v>42767.599398148152</v>
      </c>
      <c r="B128" s="20" t="s">
        <v>302</v>
      </c>
      <c r="C128" s="20" t="s">
        <v>566</v>
      </c>
      <c r="D128" s="150">
        <v>930000</v>
      </c>
      <c r="E128" s="20" t="s">
        <v>345</v>
      </c>
      <c r="F128" s="20" t="s">
        <v>346</v>
      </c>
      <c r="G128" s="8" t="str">
        <f t="shared" si="1"/>
        <v>CLARK KATHLEEN</v>
      </c>
    </row>
    <row r="129" spans="1:7" x14ac:dyDescent="0.25">
      <c r="A129" s="8">
        <v>42767.603055555555</v>
      </c>
      <c r="B129" s="20" t="s">
        <v>216</v>
      </c>
      <c r="C129" s="20" t="s">
        <v>567</v>
      </c>
      <c r="D129" s="150">
        <v>2250000</v>
      </c>
      <c r="E129" s="20" t="s">
        <v>329</v>
      </c>
      <c r="F129" s="20" t="s">
        <v>330</v>
      </c>
      <c r="G129" s="8" t="str">
        <f t="shared" si="1"/>
        <v>CRAYTON QUNTRELL</v>
      </c>
    </row>
    <row r="130" spans="1:7" x14ac:dyDescent="0.25">
      <c r="A130" s="8">
        <v>42767.609837962962</v>
      </c>
      <c r="B130" s="20" t="s">
        <v>270</v>
      </c>
      <c r="C130" s="20" t="s">
        <v>568</v>
      </c>
      <c r="D130" s="150">
        <v>1770000</v>
      </c>
      <c r="E130" s="20" t="s">
        <v>552</v>
      </c>
      <c r="F130" s="20" t="s">
        <v>553</v>
      </c>
      <c r="G130" s="8" t="str">
        <f t="shared" si="1"/>
        <v>BRUDER RICHARD</v>
      </c>
    </row>
    <row r="131" spans="1:7" x14ac:dyDescent="0.25">
      <c r="A131" s="8">
        <v>42767.613194444442</v>
      </c>
      <c r="B131" s="20" t="s">
        <v>289</v>
      </c>
      <c r="C131" s="20" t="s">
        <v>569</v>
      </c>
      <c r="D131" s="150">
        <v>920000</v>
      </c>
      <c r="E131" s="20" t="s">
        <v>322</v>
      </c>
      <c r="F131" s="20" t="s">
        <v>209</v>
      </c>
      <c r="G131" s="8" t="str">
        <f t="shared" ref="G131:G194" si="2">E131&amp;" "&amp;F131</f>
        <v>DAVIS MICHAEL</v>
      </c>
    </row>
    <row r="132" spans="1:7" x14ac:dyDescent="0.25">
      <c r="A132" s="8">
        <v>42767.620046296295</v>
      </c>
      <c r="B132" s="20" t="s">
        <v>233</v>
      </c>
      <c r="C132" s="20" t="s">
        <v>570</v>
      </c>
      <c r="D132" s="150">
        <v>1180000</v>
      </c>
      <c r="E132" s="20" t="s">
        <v>347</v>
      </c>
      <c r="F132" s="20" t="s">
        <v>348</v>
      </c>
      <c r="G132" s="8" t="str">
        <f t="shared" si="2"/>
        <v>LEVERE CRAIG</v>
      </c>
    </row>
    <row r="133" spans="1:7" x14ac:dyDescent="0.25">
      <c r="A133" s="8">
        <v>42767.620381944442</v>
      </c>
      <c r="B133" s="20" t="s">
        <v>242</v>
      </c>
      <c r="C133" s="20" t="s">
        <v>571</v>
      </c>
      <c r="D133" s="150">
        <v>1300000</v>
      </c>
      <c r="E133" s="20" t="s">
        <v>371</v>
      </c>
      <c r="F133" s="20" t="s">
        <v>372</v>
      </c>
      <c r="G133" s="8" t="str">
        <f t="shared" si="2"/>
        <v>LEVIN SCOTT</v>
      </c>
    </row>
    <row r="134" spans="1:7" x14ac:dyDescent="0.25">
      <c r="A134" s="8">
        <v>42767.628530092596</v>
      </c>
      <c r="B134" s="20" t="s">
        <v>200</v>
      </c>
      <c r="C134" s="20" t="s">
        <v>572</v>
      </c>
      <c r="D134" s="150">
        <v>1190000</v>
      </c>
      <c r="E134" s="20" t="s">
        <v>369</v>
      </c>
      <c r="F134" s="20" t="s">
        <v>370</v>
      </c>
      <c r="G134" s="8" t="str">
        <f t="shared" si="2"/>
        <v>BRANNON JEFFREY</v>
      </c>
    </row>
    <row r="135" spans="1:7" x14ac:dyDescent="0.25">
      <c r="A135" s="8">
        <v>42767.632928240739</v>
      </c>
      <c r="B135" s="20" t="s">
        <v>192</v>
      </c>
      <c r="C135" s="20" t="s">
        <v>573</v>
      </c>
      <c r="D135" s="150">
        <v>1540000</v>
      </c>
      <c r="E135" s="20" t="s">
        <v>538</v>
      </c>
      <c r="F135" s="20" t="s">
        <v>539</v>
      </c>
      <c r="G135" s="8" t="str">
        <f t="shared" si="2"/>
        <v>HELVIE ADAM</v>
      </c>
    </row>
    <row r="136" spans="1:7" x14ac:dyDescent="0.25">
      <c r="A136" s="8">
        <v>42767.637187499997</v>
      </c>
      <c r="B136" s="20" t="s">
        <v>271</v>
      </c>
      <c r="C136" s="20" t="s">
        <v>574</v>
      </c>
      <c r="D136" s="150">
        <v>1770000</v>
      </c>
      <c r="E136" s="20" t="s">
        <v>552</v>
      </c>
      <c r="F136" s="20" t="s">
        <v>553</v>
      </c>
      <c r="G136" s="8" t="str">
        <f t="shared" si="2"/>
        <v>BRUDER RICHARD</v>
      </c>
    </row>
    <row r="137" spans="1:7" x14ac:dyDescent="0.25">
      <c r="A137" s="8">
        <v>42767.639687499999</v>
      </c>
      <c r="B137" s="20" t="s">
        <v>303</v>
      </c>
      <c r="C137" s="20" t="s">
        <v>575</v>
      </c>
      <c r="D137" s="150">
        <v>930000</v>
      </c>
      <c r="E137" s="20" t="s">
        <v>345</v>
      </c>
      <c r="F137" s="20" t="s">
        <v>346</v>
      </c>
      <c r="G137" s="8" t="str">
        <f t="shared" si="2"/>
        <v>CLARK KATHLEEN</v>
      </c>
    </row>
    <row r="138" spans="1:7" x14ac:dyDescent="0.25">
      <c r="A138" s="8">
        <v>42767.641365740739</v>
      </c>
      <c r="B138" s="20" t="s">
        <v>243</v>
      </c>
      <c r="C138" s="20" t="s">
        <v>576</v>
      </c>
      <c r="D138" s="150">
        <v>2250000</v>
      </c>
      <c r="E138" s="20" t="s">
        <v>329</v>
      </c>
      <c r="F138" s="20" t="s">
        <v>330</v>
      </c>
      <c r="G138" s="8" t="str">
        <f t="shared" si="2"/>
        <v>CRAYTON QUNTRELL</v>
      </c>
    </row>
    <row r="139" spans="1:7" x14ac:dyDescent="0.25">
      <c r="A139" s="8">
        <v>42767.64261574074</v>
      </c>
      <c r="B139" s="20" t="s">
        <v>226</v>
      </c>
      <c r="C139" s="20" t="s">
        <v>440</v>
      </c>
      <c r="D139" s="150">
        <v>1760000</v>
      </c>
      <c r="E139" s="20" t="s">
        <v>363</v>
      </c>
      <c r="F139" s="20" t="s">
        <v>364</v>
      </c>
      <c r="G139" s="8" t="str">
        <f t="shared" si="2"/>
        <v>STRICKLAND EVAN</v>
      </c>
    </row>
    <row r="140" spans="1:7" x14ac:dyDescent="0.25">
      <c r="A140" s="8">
        <v>42767.646238425928</v>
      </c>
      <c r="B140" s="20" t="s">
        <v>226</v>
      </c>
      <c r="C140" s="20" t="s">
        <v>440</v>
      </c>
      <c r="D140" s="150">
        <v>1760000</v>
      </c>
      <c r="E140" s="20" t="s">
        <v>363</v>
      </c>
      <c r="F140" s="20" t="s">
        <v>364</v>
      </c>
      <c r="G140" s="8" t="str">
        <f t="shared" si="2"/>
        <v>STRICKLAND EVAN</v>
      </c>
    </row>
    <row r="141" spans="1:7" x14ac:dyDescent="0.25">
      <c r="A141" s="8">
        <v>42767.648993055554</v>
      </c>
      <c r="B141" s="20" t="s">
        <v>288</v>
      </c>
      <c r="C141" s="20" t="s">
        <v>577</v>
      </c>
      <c r="D141" s="150">
        <v>920000</v>
      </c>
      <c r="E141" s="20" t="s">
        <v>322</v>
      </c>
      <c r="F141" s="20" t="s">
        <v>209</v>
      </c>
      <c r="G141" s="8" t="str">
        <f t="shared" si="2"/>
        <v>DAVIS MICHAEL</v>
      </c>
    </row>
    <row r="142" spans="1:7" x14ac:dyDescent="0.25">
      <c r="A142" s="8">
        <v>42767.651701388888</v>
      </c>
      <c r="B142" s="20" t="s">
        <v>338</v>
      </c>
      <c r="C142" s="20" t="s">
        <v>578</v>
      </c>
      <c r="D142" s="150">
        <v>1300000</v>
      </c>
      <c r="E142" s="20" t="s">
        <v>371</v>
      </c>
      <c r="F142" s="20" t="s">
        <v>372</v>
      </c>
      <c r="G142" s="8" t="str">
        <f t="shared" si="2"/>
        <v>LEVIN SCOTT</v>
      </c>
    </row>
    <row r="143" spans="1:7" x14ac:dyDescent="0.25">
      <c r="A143" s="8">
        <v>42767.652060185188</v>
      </c>
      <c r="B143" s="20" t="s">
        <v>270</v>
      </c>
      <c r="C143" s="20" t="s">
        <v>579</v>
      </c>
      <c r="D143" s="150">
        <v>1770000</v>
      </c>
      <c r="E143" s="20" t="s">
        <v>552</v>
      </c>
      <c r="F143" s="20" t="s">
        <v>553</v>
      </c>
      <c r="G143" s="8" t="str">
        <f t="shared" si="2"/>
        <v>BRUDER RICHARD</v>
      </c>
    </row>
    <row r="144" spans="1:7" x14ac:dyDescent="0.25">
      <c r="A144" s="8">
        <v>42767.655127314814</v>
      </c>
      <c r="B144" s="20" t="s">
        <v>253</v>
      </c>
      <c r="C144" s="20" t="s">
        <v>441</v>
      </c>
      <c r="D144" s="150">
        <v>1760000</v>
      </c>
      <c r="E144" s="20" t="s">
        <v>363</v>
      </c>
      <c r="F144" s="20" t="s">
        <v>364</v>
      </c>
      <c r="G144" s="8" t="str">
        <f t="shared" si="2"/>
        <v>STRICKLAND EVAN</v>
      </c>
    </row>
    <row r="145" spans="1:7" x14ac:dyDescent="0.25">
      <c r="A145" s="8">
        <v>42767.659050925926</v>
      </c>
      <c r="B145" s="20" t="s">
        <v>234</v>
      </c>
      <c r="C145" s="20" t="s">
        <v>580</v>
      </c>
      <c r="D145" s="150">
        <v>1180000</v>
      </c>
      <c r="E145" s="20" t="s">
        <v>347</v>
      </c>
      <c r="F145" s="20" t="s">
        <v>348</v>
      </c>
      <c r="G145" s="8" t="str">
        <f t="shared" si="2"/>
        <v>LEVERE CRAIG</v>
      </c>
    </row>
    <row r="146" spans="1:7" x14ac:dyDescent="0.25">
      <c r="A146" s="8">
        <v>42767.662708333337</v>
      </c>
      <c r="B146" s="20" t="s">
        <v>199</v>
      </c>
      <c r="C146" s="20" t="s">
        <v>581</v>
      </c>
      <c r="D146" s="150">
        <v>1190000</v>
      </c>
      <c r="E146" s="20" t="s">
        <v>369</v>
      </c>
      <c r="F146" s="20" t="s">
        <v>370</v>
      </c>
      <c r="G146" s="8" t="str">
        <f t="shared" si="2"/>
        <v>BRANNON JEFFREY</v>
      </c>
    </row>
    <row r="147" spans="1:7" x14ac:dyDescent="0.25">
      <c r="A147" s="8">
        <v>42767.672372685185</v>
      </c>
      <c r="B147" s="20" t="s">
        <v>196</v>
      </c>
      <c r="C147" s="20" t="s">
        <v>582</v>
      </c>
      <c r="D147" s="150">
        <v>1540000</v>
      </c>
      <c r="E147" s="20" t="s">
        <v>538</v>
      </c>
      <c r="F147" s="20" t="s">
        <v>539</v>
      </c>
      <c r="G147" s="8" t="str">
        <f t="shared" si="2"/>
        <v>HELVIE ADAM</v>
      </c>
    </row>
    <row r="148" spans="1:7" x14ac:dyDescent="0.25">
      <c r="A148" s="8">
        <v>42767.672395833331</v>
      </c>
      <c r="B148" s="20" t="s">
        <v>302</v>
      </c>
      <c r="C148" s="20" t="s">
        <v>583</v>
      </c>
      <c r="D148" s="150">
        <v>930000</v>
      </c>
      <c r="E148" s="20" t="s">
        <v>345</v>
      </c>
      <c r="F148" s="20" t="s">
        <v>346</v>
      </c>
      <c r="G148" s="8" t="str">
        <f t="shared" si="2"/>
        <v>CLARK KATHLEEN</v>
      </c>
    </row>
    <row r="149" spans="1:7" x14ac:dyDescent="0.25">
      <c r="A149" s="8">
        <v>42767.672835648147</v>
      </c>
      <c r="B149" s="20" t="s">
        <v>226</v>
      </c>
      <c r="C149" s="20" t="s">
        <v>584</v>
      </c>
      <c r="D149" s="150">
        <v>1760000</v>
      </c>
      <c r="E149" s="20" t="s">
        <v>363</v>
      </c>
      <c r="F149" s="20" t="s">
        <v>364</v>
      </c>
      <c r="G149" s="8" t="str">
        <f t="shared" si="2"/>
        <v>STRICKLAND EVAN</v>
      </c>
    </row>
    <row r="150" spans="1:7" x14ac:dyDescent="0.25">
      <c r="A150" s="8">
        <v>42767.676377314812</v>
      </c>
      <c r="B150" s="20" t="s">
        <v>271</v>
      </c>
      <c r="C150" s="20" t="s">
        <v>585</v>
      </c>
      <c r="D150" s="150">
        <v>1770000</v>
      </c>
      <c r="E150" s="20" t="s">
        <v>552</v>
      </c>
      <c r="F150" s="20" t="s">
        <v>553</v>
      </c>
      <c r="G150" s="8" t="str">
        <f t="shared" si="2"/>
        <v>BRUDER RICHARD</v>
      </c>
    </row>
    <row r="151" spans="1:7" x14ac:dyDescent="0.25">
      <c r="A151" s="8">
        <v>42767.679375</v>
      </c>
      <c r="B151" s="20" t="s">
        <v>216</v>
      </c>
      <c r="C151" s="20" t="s">
        <v>586</v>
      </c>
      <c r="D151" s="150">
        <v>2250000</v>
      </c>
      <c r="E151" s="20" t="s">
        <v>329</v>
      </c>
      <c r="F151" s="20" t="s">
        <v>330</v>
      </c>
      <c r="G151" s="8" t="str">
        <f t="shared" si="2"/>
        <v>CRAYTON QUNTRELL</v>
      </c>
    </row>
    <row r="152" spans="1:7" x14ac:dyDescent="0.25">
      <c r="A152" s="8">
        <v>42767.684930555559</v>
      </c>
      <c r="B152" s="20" t="s">
        <v>289</v>
      </c>
      <c r="C152" s="20" t="s">
        <v>587</v>
      </c>
      <c r="D152" s="150">
        <v>920000</v>
      </c>
      <c r="E152" s="20" t="s">
        <v>322</v>
      </c>
      <c r="F152" s="20" t="s">
        <v>209</v>
      </c>
      <c r="G152" s="8" t="str">
        <f t="shared" si="2"/>
        <v>DAVIS MICHAEL</v>
      </c>
    </row>
    <row r="153" spans="1:7" x14ac:dyDescent="0.25">
      <c r="A153" s="8">
        <v>42767.686759259261</v>
      </c>
      <c r="B153" s="20" t="s">
        <v>253</v>
      </c>
      <c r="C153" s="20" t="s">
        <v>588</v>
      </c>
      <c r="D153" s="150">
        <v>1760000</v>
      </c>
      <c r="E153" s="20" t="s">
        <v>363</v>
      </c>
      <c r="F153" s="20" t="s">
        <v>364</v>
      </c>
      <c r="G153" s="8" t="str">
        <f t="shared" si="2"/>
        <v>STRICKLAND EVAN</v>
      </c>
    </row>
    <row r="154" spans="1:7" x14ac:dyDescent="0.25">
      <c r="A154" s="8">
        <v>42767.691157407404</v>
      </c>
      <c r="B154" s="20" t="s">
        <v>242</v>
      </c>
      <c r="C154" s="20" t="s">
        <v>589</v>
      </c>
      <c r="D154" s="150">
        <v>1300000</v>
      </c>
      <c r="E154" s="20" t="s">
        <v>371</v>
      </c>
      <c r="F154" s="20" t="s">
        <v>372</v>
      </c>
      <c r="G154" s="8" t="str">
        <f t="shared" si="2"/>
        <v>LEVIN SCOTT</v>
      </c>
    </row>
    <row r="155" spans="1:7" x14ac:dyDescent="0.25">
      <c r="A155" s="8">
        <v>42767.692997685182</v>
      </c>
      <c r="B155" s="20" t="s">
        <v>270</v>
      </c>
      <c r="C155" s="20" t="s">
        <v>590</v>
      </c>
      <c r="D155" s="150">
        <v>1770000</v>
      </c>
      <c r="E155" s="20" t="s">
        <v>552</v>
      </c>
      <c r="F155" s="20" t="s">
        <v>553</v>
      </c>
      <c r="G155" s="8" t="str">
        <f t="shared" si="2"/>
        <v>BRUDER RICHARD</v>
      </c>
    </row>
    <row r="156" spans="1:7" x14ac:dyDescent="0.25">
      <c r="A156" s="8">
        <v>42767.693981481483</v>
      </c>
      <c r="B156" s="20" t="s">
        <v>200</v>
      </c>
      <c r="C156" s="20" t="s">
        <v>591</v>
      </c>
      <c r="D156" s="150">
        <v>1190000</v>
      </c>
      <c r="E156" s="20" t="s">
        <v>369</v>
      </c>
      <c r="F156" s="20" t="s">
        <v>370</v>
      </c>
      <c r="G156" s="8" t="str">
        <f t="shared" si="2"/>
        <v>BRANNON JEFFREY</v>
      </c>
    </row>
    <row r="157" spans="1:7" x14ac:dyDescent="0.25">
      <c r="A157" s="8">
        <v>42767.695115740738</v>
      </c>
      <c r="B157" s="20" t="s">
        <v>233</v>
      </c>
      <c r="C157" s="20" t="s">
        <v>592</v>
      </c>
      <c r="D157" s="150">
        <v>1180000</v>
      </c>
      <c r="E157" s="20" t="s">
        <v>347</v>
      </c>
      <c r="F157" s="20" t="s">
        <v>348</v>
      </c>
      <c r="G157" s="8" t="str">
        <f t="shared" si="2"/>
        <v>LEVERE CRAIG</v>
      </c>
    </row>
    <row r="158" spans="1:7" x14ac:dyDescent="0.25">
      <c r="A158" s="8">
        <v>42767.705810185187</v>
      </c>
      <c r="B158" s="20" t="s">
        <v>192</v>
      </c>
      <c r="C158" s="20" t="s">
        <v>593</v>
      </c>
      <c r="D158" s="150">
        <v>1540000</v>
      </c>
      <c r="E158" s="20" t="s">
        <v>538</v>
      </c>
      <c r="F158" s="20" t="s">
        <v>539</v>
      </c>
      <c r="G158" s="8" t="str">
        <f t="shared" si="2"/>
        <v>HELVIE ADAM</v>
      </c>
    </row>
    <row r="159" spans="1:7" x14ac:dyDescent="0.25">
      <c r="A159" s="8">
        <v>42767.710185185184</v>
      </c>
      <c r="B159" s="20" t="s">
        <v>303</v>
      </c>
      <c r="C159" s="20" t="s">
        <v>594</v>
      </c>
      <c r="D159" s="150">
        <v>930000</v>
      </c>
      <c r="E159" s="20" t="s">
        <v>345</v>
      </c>
      <c r="F159" s="20" t="s">
        <v>346</v>
      </c>
      <c r="G159" s="8" t="str">
        <f t="shared" si="2"/>
        <v>CLARK KATHLEEN</v>
      </c>
    </row>
    <row r="160" spans="1:7" x14ac:dyDescent="0.25">
      <c r="A160" s="8">
        <v>42767.714224537034</v>
      </c>
      <c r="B160" s="20" t="s">
        <v>226</v>
      </c>
      <c r="C160" s="20" t="s">
        <v>595</v>
      </c>
      <c r="D160" s="150">
        <v>1760000</v>
      </c>
      <c r="E160" s="20" t="s">
        <v>363</v>
      </c>
      <c r="F160" s="20" t="s">
        <v>364</v>
      </c>
      <c r="G160" s="8" t="str">
        <f t="shared" si="2"/>
        <v>STRICKLAND EVAN</v>
      </c>
    </row>
    <row r="161" spans="1:7" x14ac:dyDescent="0.25">
      <c r="A161" s="8">
        <v>42767.714548611111</v>
      </c>
      <c r="B161" s="20" t="s">
        <v>243</v>
      </c>
      <c r="C161" s="20" t="s">
        <v>596</v>
      </c>
      <c r="D161" s="150">
        <v>2370000</v>
      </c>
      <c r="E161" s="20" t="s">
        <v>597</v>
      </c>
      <c r="F161" s="20" t="s">
        <v>598</v>
      </c>
      <c r="G161" s="8" t="str">
        <f t="shared" si="2"/>
        <v>DELGADO DIANAH</v>
      </c>
    </row>
    <row r="162" spans="1:7" x14ac:dyDescent="0.25">
      <c r="A162" s="8">
        <v>42767.720277777778</v>
      </c>
      <c r="B162" s="20" t="s">
        <v>271</v>
      </c>
      <c r="C162" s="20" t="s">
        <v>599</v>
      </c>
      <c r="D162" s="150">
        <v>1770000</v>
      </c>
      <c r="E162" s="20" t="s">
        <v>552</v>
      </c>
      <c r="F162" s="20" t="s">
        <v>553</v>
      </c>
      <c r="G162" s="8" t="str">
        <f t="shared" si="2"/>
        <v>BRUDER RICHARD</v>
      </c>
    </row>
    <row r="163" spans="1:7" x14ac:dyDescent="0.25">
      <c r="A163" s="8">
        <v>42767.724305555559</v>
      </c>
      <c r="B163" s="20" t="s">
        <v>288</v>
      </c>
      <c r="C163" s="20" t="s">
        <v>600</v>
      </c>
      <c r="D163" s="150">
        <v>920000</v>
      </c>
      <c r="E163" s="20" t="s">
        <v>322</v>
      </c>
      <c r="F163" s="20" t="s">
        <v>209</v>
      </c>
      <c r="G163" s="8" t="str">
        <f t="shared" si="2"/>
        <v>DAVIS MICHAEL</v>
      </c>
    </row>
    <row r="164" spans="1:7" x14ac:dyDescent="0.25">
      <c r="A164" s="8">
        <v>42767.724641203706</v>
      </c>
      <c r="B164" s="20" t="s">
        <v>338</v>
      </c>
      <c r="C164" s="20" t="s">
        <v>601</v>
      </c>
      <c r="D164" s="150">
        <v>2250000</v>
      </c>
      <c r="E164" s="20" t="s">
        <v>329</v>
      </c>
      <c r="F164" s="20" t="s">
        <v>330</v>
      </c>
      <c r="G164" s="8" t="str">
        <f t="shared" si="2"/>
        <v>CRAYTON QUNTRELL</v>
      </c>
    </row>
    <row r="165" spans="1:7" x14ac:dyDescent="0.25">
      <c r="A165" s="8">
        <v>42767.730532407404</v>
      </c>
      <c r="B165" s="20" t="s">
        <v>234</v>
      </c>
      <c r="C165" s="20" t="s">
        <v>602</v>
      </c>
      <c r="D165" s="150">
        <v>1180000</v>
      </c>
      <c r="E165" s="20" t="s">
        <v>347</v>
      </c>
      <c r="F165" s="20" t="s">
        <v>348</v>
      </c>
      <c r="G165" s="8" t="str">
        <f t="shared" si="2"/>
        <v>LEVERE CRAIG</v>
      </c>
    </row>
    <row r="166" spans="1:7" x14ac:dyDescent="0.25">
      <c r="A166" s="8">
        <v>42767.731574074074</v>
      </c>
      <c r="B166" s="20" t="s">
        <v>198</v>
      </c>
      <c r="C166" s="20" t="s">
        <v>603</v>
      </c>
      <c r="D166" s="150">
        <v>1360000</v>
      </c>
      <c r="E166" s="20" t="s">
        <v>277</v>
      </c>
      <c r="F166" s="20" t="s">
        <v>278</v>
      </c>
      <c r="G166" s="8" t="str">
        <f t="shared" si="2"/>
        <v>SANTIZO D. EDY</v>
      </c>
    </row>
    <row r="167" spans="1:7" x14ac:dyDescent="0.25">
      <c r="A167" s="8">
        <v>42767.734513888892</v>
      </c>
      <c r="B167" s="20" t="s">
        <v>253</v>
      </c>
      <c r="C167" s="20" t="s">
        <v>604</v>
      </c>
      <c r="D167" s="150">
        <v>2440000</v>
      </c>
      <c r="E167" s="20" t="s">
        <v>605</v>
      </c>
      <c r="F167" s="20" t="s">
        <v>606</v>
      </c>
      <c r="G167" s="8" t="str">
        <f t="shared" si="2"/>
        <v>LOPES KIMBERLY</v>
      </c>
    </row>
    <row r="168" spans="1:7" x14ac:dyDescent="0.25">
      <c r="A168" s="8">
        <v>42767.734837962962</v>
      </c>
      <c r="B168" s="20" t="s">
        <v>270</v>
      </c>
      <c r="C168" s="20" t="s">
        <v>607</v>
      </c>
      <c r="D168" s="150">
        <v>1770000</v>
      </c>
      <c r="E168" s="20" t="s">
        <v>552</v>
      </c>
      <c r="F168" s="20" t="s">
        <v>553</v>
      </c>
      <c r="G168" s="8" t="str">
        <f t="shared" si="2"/>
        <v>BRUDER RICHARD</v>
      </c>
    </row>
    <row r="169" spans="1:7" x14ac:dyDescent="0.25">
      <c r="A169" s="8">
        <v>42767.736689814818</v>
      </c>
      <c r="B169" s="20" t="s">
        <v>361</v>
      </c>
      <c r="C169" s="20" t="s">
        <v>608</v>
      </c>
      <c r="D169" s="150">
        <v>2270000</v>
      </c>
      <c r="E169" s="20" t="s">
        <v>251</v>
      </c>
      <c r="F169" s="20" t="s">
        <v>252</v>
      </c>
      <c r="G169" s="8" t="str">
        <f t="shared" si="2"/>
        <v>BROWN JACOB</v>
      </c>
    </row>
    <row r="170" spans="1:7" x14ac:dyDescent="0.25">
      <c r="A170" s="8">
        <v>42767.738842592589</v>
      </c>
      <c r="B170" s="20" t="s">
        <v>199</v>
      </c>
      <c r="C170" s="20" t="s">
        <v>609</v>
      </c>
      <c r="D170" s="150">
        <v>1740000</v>
      </c>
      <c r="E170" s="20" t="s">
        <v>246</v>
      </c>
      <c r="F170" s="20" t="s">
        <v>247</v>
      </c>
      <c r="G170" s="8" t="str">
        <f t="shared" si="2"/>
        <v>STORY SAMANTHA</v>
      </c>
    </row>
    <row r="171" spans="1:7" x14ac:dyDescent="0.25">
      <c r="A171" s="8">
        <v>42767.744942129626</v>
      </c>
      <c r="B171" s="20" t="s">
        <v>196</v>
      </c>
      <c r="C171" s="20" t="s">
        <v>610</v>
      </c>
      <c r="D171" s="150">
        <v>1540000</v>
      </c>
      <c r="E171" s="20" t="s">
        <v>538</v>
      </c>
      <c r="F171" s="20" t="s">
        <v>539</v>
      </c>
      <c r="G171" s="8" t="str">
        <f t="shared" si="2"/>
        <v>HELVIE ADAM</v>
      </c>
    </row>
    <row r="172" spans="1:7" x14ac:dyDescent="0.25">
      <c r="A172" s="8">
        <v>42767.746203703704</v>
      </c>
      <c r="B172" s="20" t="s">
        <v>302</v>
      </c>
      <c r="C172" s="20" t="s">
        <v>611</v>
      </c>
      <c r="D172" s="150">
        <v>1190000</v>
      </c>
      <c r="E172" s="20" t="s">
        <v>369</v>
      </c>
      <c r="F172" s="20" t="s">
        <v>370</v>
      </c>
      <c r="G172" s="8" t="str">
        <f t="shared" si="2"/>
        <v>BRANNON JEFFREY</v>
      </c>
    </row>
    <row r="173" spans="1:7" x14ac:dyDescent="0.25">
      <c r="A173" s="8">
        <v>42767.749131944445</v>
      </c>
      <c r="B173" s="20" t="s">
        <v>360</v>
      </c>
      <c r="C173" s="20" t="s">
        <v>612</v>
      </c>
      <c r="D173" s="150">
        <v>2540000</v>
      </c>
      <c r="E173" s="20" t="s">
        <v>239</v>
      </c>
      <c r="F173" s="20" t="s">
        <v>240</v>
      </c>
      <c r="G173" s="8" t="str">
        <f t="shared" si="2"/>
        <v>MCREYNOLDS KYLE</v>
      </c>
    </row>
    <row r="174" spans="1:7" x14ac:dyDescent="0.25">
      <c r="A174" s="8">
        <v>42767.751921296294</v>
      </c>
      <c r="B174" s="20" t="s">
        <v>216</v>
      </c>
      <c r="C174" s="20" t="s">
        <v>613</v>
      </c>
      <c r="D174" s="150">
        <v>2370000</v>
      </c>
      <c r="E174" s="20" t="s">
        <v>597</v>
      </c>
      <c r="F174" s="20" t="s">
        <v>598</v>
      </c>
      <c r="G174" s="8" t="str">
        <f t="shared" si="2"/>
        <v>DELGADO DIANAH</v>
      </c>
    </row>
    <row r="175" spans="1:7" x14ac:dyDescent="0.25">
      <c r="A175" s="8">
        <v>42767.754814814813</v>
      </c>
      <c r="B175" s="20" t="s">
        <v>249</v>
      </c>
      <c r="C175" s="20" t="s">
        <v>442</v>
      </c>
      <c r="D175" s="150">
        <v>2450000</v>
      </c>
      <c r="E175" s="20" t="s">
        <v>255</v>
      </c>
      <c r="F175" s="20" t="s">
        <v>256</v>
      </c>
      <c r="G175" s="8" t="str">
        <f t="shared" si="2"/>
        <v>NELSON ARIANE</v>
      </c>
    </row>
    <row r="176" spans="1:7" x14ac:dyDescent="0.25">
      <c r="A176" s="8">
        <v>42767.755219907405</v>
      </c>
      <c r="B176" s="20" t="s">
        <v>226</v>
      </c>
      <c r="C176" s="20" t="s">
        <v>614</v>
      </c>
      <c r="D176" s="150">
        <v>2440000</v>
      </c>
      <c r="E176" s="20" t="s">
        <v>605</v>
      </c>
      <c r="F176" s="20" t="s">
        <v>606</v>
      </c>
      <c r="G176" s="8" t="str">
        <f t="shared" si="2"/>
        <v>LOPES KIMBERLY</v>
      </c>
    </row>
    <row r="177" spans="1:7" x14ac:dyDescent="0.25">
      <c r="A177" s="8">
        <v>42767.758773148147</v>
      </c>
      <c r="B177" s="20" t="s">
        <v>289</v>
      </c>
      <c r="C177" s="20" t="s">
        <v>615</v>
      </c>
      <c r="D177" s="150">
        <v>2270000</v>
      </c>
      <c r="E177" s="20" t="s">
        <v>251</v>
      </c>
      <c r="F177" s="20" t="s">
        <v>252</v>
      </c>
      <c r="G177" s="8" t="str">
        <f t="shared" si="2"/>
        <v>BROWN JACOB</v>
      </c>
    </row>
    <row r="178" spans="1:7" x14ac:dyDescent="0.25">
      <c r="A178" s="8">
        <v>42767.75922453704</v>
      </c>
      <c r="B178" s="20" t="s">
        <v>249</v>
      </c>
      <c r="C178" s="20" t="s">
        <v>442</v>
      </c>
      <c r="D178" s="150">
        <v>2450000</v>
      </c>
      <c r="E178" s="20" t="s">
        <v>255</v>
      </c>
      <c r="F178" s="20" t="s">
        <v>256</v>
      </c>
      <c r="G178" s="8" t="str">
        <f t="shared" si="2"/>
        <v>NELSON ARIANE</v>
      </c>
    </row>
    <row r="179" spans="1:7" x14ac:dyDescent="0.25">
      <c r="A179" s="8">
        <v>42767.760185185187</v>
      </c>
      <c r="B179" s="20" t="s">
        <v>271</v>
      </c>
      <c r="C179" s="20" t="s">
        <v>616</v>
      </c>
      <c r="D179" s="150">
        <v>1770000</v>
      </c>
      <c r="E179" s="20" t="s">
        <v>552</v>
      </c>
      <c r="F179" s="20" t="s">
        <v>553</v>
      </c>
      <c r="G179" s="8" t="str">
        <f t="shared" si="2"/>
        <v>BRUDER RICHARD</v>
      </c>
    </row>
    <row r="180" spans="1:7" x14ac:dyDescent="0.25">
      <c r="A180" s="8">
        <v>42767.764872685184</v>
      </c>
      <c r="B180" s="20" t="s">
        <v>362</v>
      </c>
      <c r="C180" s="20" t="s">
        <v>617</v>
      </c>
      <c r="D180" s="150">
        <v>920000</v>
      </c>
      <c r="E180" s="20" t="s">
        <v>322</v>
      </c>
      <c r="F180" s="20" t="s">
        <v>209</v>
      </c>
      <c r="G180" s="8" t="str">
        <f t="shared" si="2"/>
        <v>DAVIS MICHAEL</v>
      </c>
    </row>
    <row r="181" spans="1:7" x14ac:dyDescent="0.25">
      <c r="A181" s="8">
        <v>42767.765405092592</v>
      </c>
      <c r="B181" s="20" t="s">
        <v>242</v>
      </c>
      <c r="C181" s="20" t="s">
        <v>618</v>
      </c>
      <c r="D181" s="150">
        <v>2250000</v>
      </c>
      <c r="E181" s="20" t="s">
        <v>329</v>
      </c>
      <c r="F181" s="20" t="s">
        <v>330</v>
      </c>
      <c r="G181" s="8" t="str">
        <f t="shared" si="2"/>
        <v>CRAYTON QUNTRELL</v>
      </c>
    </row>
    <row r="182" spans="1:7" x14ac:dyDescent="0.25">
      <c r="A182" s="8">
        <v>42767.76966435185</v>
      </c>
      <c r="B182" s="20" t="s">
        <v>233</v>
      </c>
      <c r="C182" s="20" t="s">
        <v>619</v>
      </c>
      <c r="D182" s="150">
        <v>2540000</v>
      </c>
      <c r="E182" s="20" t="s">
        <v>239</v>
      </c>
      <c r="F182" s="20" t="s">
        <v>240</v>
      </c>
      <c r="G182" s="8" t="str">
        <f t="shared" si="2"/>
        <v>MCREYNOLDS KYLE</v>
      </c>
    </row>
    <row r="183" spans="1:7" x14ac:dyDescent="0.25">
      <c r="A183" s="8">
        <v>42767.770856481482</v>
      </c>
      <c r="B183" s="20" t="s">
        <v>200</v>
      </c>
      <c r="C183" s="20" t="s">
        <v>443</v>
      </c>
      <c r="D183" s="150">
        <v>1740000</v>
      </c>
      <c r="E183" s="20" t="s">
        <v>246</v>
      </c>
      <c r="F183" s="20" t="s">
        <v>247</v>
      </c>
      <c r="G183" s="8" t="str">
        <f t="shared" si="2"/>
        <v>STORY SAMANTHA</v>
      </c>
    </row>
    <row r="184" spans="1:7" x14ac:dyDescent="0.25">
      <c r="A184" s="8">
        <v>42767.77207175926</v>
      </c>
      <c r="B184" s="20" t="s">
        <v>253</v>
      </c>
      <c r="C184" s="20" t="s">
        <v>620</v>
      </c>
      <c r="D184" s="150">
        <v>2440000</v>
      </c>
      <c r="E184" s="20" t="s">
        <v>605</v>
      </c>
      <c r="F184" s="20" t="s">
        <v>606</v>
      </c>
      <c r="G184" s="8" t="str">
        <f t="shared" si="2"/>
        <v>LOPES KIMBERLY</v>
      </c>
    </row>
    <row r="185" spans="1:7" x14ac:dyDescent="0.25">
      <c r="A185" s="8">
        <v>42767.775208333333</v>
      </c>
      <c r="B185" s="20" t="s">
        <v>250</v>
      </c>
      <c r="C185" s="20" t="s">
        <v>621</v>
      </c>
      <c r="D185" s="150">
        <v>1180000</v>
      </c>
      <c r="E185" s="20" t="s">
        <v>347</v>
      </c>
      <c r="F185" s="20" t="s">
        <v>348</v>
      </c>
      <c r="G185" s="8" t="str">
        <f t="shared" si="2"/>
        <v>LEVERE CRAIG</v>
      </c>
    </row>
    <row r="186" spans="1:7" x14ac:dyDescent="0.25">
      <c r="A186" s="8">
        <v>42767.776331018518</v>
      </c>
      <c r="B186" s="20" t="s">
        <v>192</v>
      </c>
      <c r="C186" s="20" t="s">
        <v>622</v>
      </c>
      <c r="D186" s="150">
        <v>1540000</v>
      </c>
      <c r="E186" s="20" t="s">
        <v>538</v>
      </c>
      <c r="F186" s="20" t="s">
        <v>539</v>
      </c>
      <c r="G186" s="8" t="str">
        <f t="shared" si="2"/>
        <v>HELVIE ADAM</v>
      </c>
    </row>
    <row r="187" spans="1:7" x14ac:dyDescent="0.25">
      <c r="A187" s="8">
        <v>42767.776655092595</v>
      </c>
      <c r="B187" s="20" t="s">
        <v>270</v>
      </c>
      <c r="C187" s="20" t="s">
        <v>623</v>
      </c>
      <c r="D187" s="150">
        <v>1770000</v>
      </c>
      <c r="E187" s="20" t="s">
        <v>552</v>
      </c>
      <c r="F187" s="20" t="s">
        <v>553</v>
      </c>
      <c r="G187" s="8" t="str">
        <f t="shared" si="2"/>
        <v>BRUDER RICHARD</v>
      </c>
    </row>
    <row r="188" spans="1:7" x14ac:dyDescent="0.25">
      <c r="A188" s="8">
        <v>42767.787268518521</v>
      </c>
      <c r="B188" s="20" t="s">
        <v>303</v>
      </c>
      <c r="C188" s="20" t="s">
        <v>624</v>
      </c>
      <c r="D188" s="150">
        <v>1190000</v>
      </c>
      <c r="E188" s="20" t="s">
        <v>369</v>
      </c>
      <c r="F188" s="20" t="s">
        <v>370</v>
      </c>
      <c r="G188" s="8" t="str">
        <f t="shared" si="2"/>
        <v>BRANNON JEFFREY</v>
      </c>
    </row>
    <row r="189" spans="1:7" x14ac:dyDescent="0.25">
      <c r="A189" s="8">
        <v>42767.787731481483</v>
      </c>
      <c r="B189" s="20" t="s">
        <v>243</v>
      </c>
      <c r="C189" s="20" t="s">
        <v>625</v>
      </c>
      <c r="D189" s="150">
        <v>2370000</v>
      </c>
      <c r="E189" s="20" t="s">
        <v>597</v>
      </c>
      <c r="F189" s="20" t="s">
        <v>598</v>
      </c>
      <c r="G189" s="8" t="str">
        <f t="shared" si="2"/>
        <v>DELGADO DIANAH</v>
      </c>
    </row>
    <row r="190" spans="1:7" x14ac:dyDescent="0.25">
      <c r="A190" s="8">
        <v>42767.796331018515</v>
      </c>
      <c r="B190" s="20" t="s">
        <v>288</v>
      </c>
      <c r="C190" s="20" t="s">
        <v>626</v>
      </c>
      <c r="D190" s="150">
        <v>2270000</v>
      </c>
      <c r="E190" s="20" t="s">
        <v>251</v>
      </c>
      <c r="F190" s="20" t="s">
        <v>252</v>
      </c>
      <c r="G190" s="8" t="str">
        <f t="shared" si="2"/>
        <v>BROWN JACOB</v>
      </c>
    </row>
    <row r="191" spans="1:7" x14ac:dyDescent="0.25">
      <c r="A191" s="8">
        <v>42767.7969212963</v>
      </c>
      <c r="B191" s="20" t="s">
        <v>226</v>
      </c>
      <c r="C191" s="20" t="s">
        <v>627</v>
      </c>
      <c r="D191" s="150">
        <v>2440000</v>
      </c>
      <c r="E191" s="20" t="s">
        <v>605</v>
      </c>
      <c r="F191" s="20" t="s">
        <v>606</v>
      </c>
      <c r="G191" s="8" t="str">
        <f t="shared" si="2"/>
        <v>LOPES KIMBERLY</v>
      </c>
    </row>
    <row r="192" spans="1:7" x14ac:dyDescent="0.25">
      <c r="A192" s="8">
        <v>42767.798252314817</v>
      </c>
      <c r="B192" s="20" t="s">
        <v>338</v>
      </c>
      <c r="C192" s="20" t="s">
        <v>628</v>
      </c>
      <c r="D192" s="150">
        <v>2250000</v>
      </c>
      <c r="E192" s="20" t="s">
        <v>329</v>
      </c>
      <c r="F192" s="20" t="s">
        <v>330</v>
      </c>
      <c r="G192" s="8" t="str">
        <f t="shared" si="2"/>
        <v>CRAYTON QUNTRELL</v>
      </c>
    </row>
    <row r="193" spans="1:7" x14ac:dyDescent="0.25">
      <c r="A193" s="8">
        <v>42767.800891203704</v>
      </c>
      <c r="B193" s="20" t="s">
        <v>271</v>
      </c>
      <c r="C193" s="20" t="s">
        <v>629</v>
      </c>
      <c r="D193" s="150">
        <v>1770000</v>
      </c>
      <c r="E193" s="20" t="s">
        <v>552</v>
      </c>
      <c r="F193" s="20" t="s">
        <v>553</v>
      </c>
      <c r="G193" s="8" t="str">
        <f t="shared" si="2"/>
        <v>BRUDER RICHARD</v>
      </c>
    </row>
    <row r="194" spans="1:7" x14ac:dyDescent="0.25">
      <c r="A194" s="8">
        <v>42767.803194444445</v>
      </c>
      <c r="B194" s="20" t="s">
        <v>234</v>
      </c>
      <c r="C194" s="20" t="s">
        <v>630</v>
      </c>
      <c r="D194" s="150">
        <v>2480000</v>
      </c>
      <c r="E194" s="20" t="s">
        <v>631</v>
      </c>
      <c r="F194" s="20" t="s">
        <v>232</v>
      </c>
      <c r="G194" s="8" t="str">
        <f t="shared" si="2"/>
        <v>WHITED DUSTIN</v>
      </c>
    </row>
    <row r="195" spans="1:7" x14ac:dyDescent="0.25">
      <c r="A195" s="8">
        <v>42767.807997685188</v>
      </c>
      <c r="B195" s="20" t="s">
        <v>199</v>
      </c>
      <c r="C195" s="20" t="s">
        <v>444</v>
      </c>
      <c r="D195" s="150">
        <v>1740000</v>
      </c>
      <c r="E195" s="20" t="s">
        <v>246</v>
      </c>
      <c r="F195" s="20" t="s">
        <v>247</v>
      </c>
      <c r="G195" s="8" t="str">
        <f t="shared" ref="G195:G258" si="3">E195&amp;" "&amp;F195</f>
        <v>STORY SAMANTHA</v>
      </c>
    </row>
    <row r="196" spans="1:7" x14ac:dyDescent="0.25">
      <c r="A196" s="8">
        <v>42767.816550925927</v>
      </c>
      <c r="B196" s="20" t="s">
        <v>302</v>
      </c>
      <c r="C196" s="20" t="s">
        <v>632</v>
      </c>
      <c r="D196" s="150">
        <v>1190000</v>
      </c>
      <c r="E196" s="20" t="s">
        <v>369</v>
      </c>
      <c r="F196" s="20" t="s">
        <v>370</v>
      </c>
      <c r="G196" s="8" t="str">
        <f t="shared" si="3"/>
        <v>BRANNON JEFFREY</v>
      </c>
    </row>
    <row r="197" spans="1:7" x14ac:dyDescent="0.25">
      <c r="A197" s="8">
        <v>42767.817546296297</v>
      </c>
      <c r="B197" s="20" t="s">
        <v>270</v>
      </c>
      <c r="C197" s="20" t="s">
        <v>633</v>
      </c>
      <c r="D197" s="150">
        <v>1770000</v>
      </c>
      <c r="E197" s="20" t="s">
        <v>552</v>
      </c>
      <c r="F197" s="20" t="s">
        <v>553</v>
      </c>
      <c r="G197" s="8" t="str">
        <f t="shared" si="3"/>
        <v>BRUDER RICHARD</v>
      </c>
    </row>
    <row r="198" spans="1:7" x14ac:dyDescent="0.25">
      <c r="A198" s="8">
        <v>42767.825555555559</v>
      </c>
      <c r="B198" s="20" t="s">
        <v>216</v>
      </c>
      <c r="C198" s="20" t="s">
        <v>634</v>
      </c>
      <c r="D198" s="150">
        <v>2370000</v>
      </c>
      <c r="E198" s="20" t="s">
        <v>597</v>
      </c>
      <c r="F198" s="20" t="s">
        <v>598</v>
      </c>
      <c r="G198" s="8" t="str">
        <f t="shared" si="3"/>
        <v>DELGADO DIANAH</v>
      </c>
    </row>
    <row r="199" spans="1:7" x14ac:dyDescent="0.25">
      <c r="A199" s="8">
        <v>42767.831053240741</v>
      </c>
      <c r="B199" s="20" t="s">
        <v>289</v>
      </c>
      <c r="C199" s="20" t="s">
        <v>635</v>
      </c>
      <c r="D199" s="150">
        <v>2270000</v>
      </c>
      <c r="E199" s="20" t="s">
        <v>251</v>
      </c>
      <c r="F199" s="20" t="s">
        <v>252</v>
      </c>
      <c r="G199" s="8" t="str">
        <f t="shared" si="3"/>
        <v>BROWN JACOB</v>
      </c>
    </row>
    <row r="200" spans="1:7" x14ac:dyDescent="0.25">
      <c r="A200" s="8">
        <v>42767.837256944447</v>
      </c>
      <c r="B200" s="20" t="s">
        <v>271</v>
      </c>
      <c r="C200" s="20" t="s">
        <v>636</v>
      </c>
      <c r="D200" s="150">
        <v>1770000</v>
      </c>
      <c r="E200" s="20" t="s">
        <v>552</v>
      </c>
      <c r="F200" s="20" t="s">
        <v>553</v>
      </c>
      <c r="G200" s="8" t="str">
        <f t="shared" si="3"/>
        <v>BRUDER RICHARD</v>
      </c>
    </row>
    <row r="201" spans="1:7" x14ac:dyDescent="0.25">
      <c r="A201" s="8">
        <v>42767.841562499998</v>
      </c>
      <c r="B201" s="20" t="s">
        <v>233</v>
      </c>
      <c r="C201" s="20" t="s">
        <v>637</v>
      </c>
      <c r="D201" s="150">
        <v>2540000</v>
      </c>
      <c r="E201" s="20" t="s">
        <v>239</v>
      </c>
      <c r="F201" s="20" t="s">
        <v>240</v>
      </c>
      <c r="G201" s="8" t="str">
        <f t="shared" si="3"/>
        <v>MCREYNOLDS KYLE</v>
      </c>
    </row>
    <row r="202" spans="1:7" x14ac:dyDescent="0.25">
      <c r="A202" s="26">
        <v>42767.842291666668</v>
      </c>
      <c r="B202" s="20" t="s">
        <v>200</v>
      </c>
      <c r="C202" s="20" t="s">
        <v>638</v>
      </c>
      <c r="D202" s="150">
        <v>1740000</v>
      </c>
      <c r="E202" s="20" t="s">
        <v>246</v>
      </c>
      <c r="F202" s="20" t="s">
        <v>247</v>
      </c>
      <c r="G202" s="8" t="str">
        <f t="shared" si="3"/>
        <v>STORY SAMANTHA</v>
      </c>
    </row>
    <row r="203" spans="1:7" x14ac:dyDescent="0.25">
      <c r="A203" s="8">
        <v>42767.859432870369</v>
      </c>
      <c r="B203" s="20" t="s">
        <v>270</v>
      </c>
      <c r="C203" s="20" t="s">
        <v>639</v>
      </c>
      <c r="D203" s="150">
        <v>1770000</v>
      </c>
      <c r="E203" s="20" t="s">
        <v>552</v>
      </c>
      <c r="F203" s="20" t="s">
        <v>553</v>
      </c>
      <c r="G203" s="8" t="str">
        <f t="shared" si="3"/>
        <v>BRUDER RICHARD</v>
      </c>
    </row>
    <row r="204" spans="1:7" x14ac:dyDescent="0.25">
      <c r="A204" s="8">
        <v>42767.860185185185</v>
      </c>
      <c r="B204" s="20" t="s">
        <v>243</v>
      </c>
      <c r="C204" s="20" t="s">
        <v>640</v>
      </c>
      <c r="D204" s="150">
        <v>2370000</v>
      </c>
      <c r="E204" s="20" t="s">
        <v>597</v>
      </c>
      <c r="F204" s="20" t="s">
        <v>598</v>
      </c>
      <c r="G204" s="8" t="str">
        <f t="shared" si="3"/>
        <v>DELGADO DIANAH</v>
      </c>
    </row>
    <row r="205" spans="1:7" x14ac:dyDescent="0.25">
      <c r="A205" s="8">
        <v>42767.866307870368</v>
      </c>
      <c r="B205" s="20" t="s">
        <v>288</v>
      </c>
      <c r="C205" s="20" t="s">
        <v>641</v>
      </c>
      <c r="D205" s="150">
        <v>2270000</v>
      </c>
      <c r="E205" s="20" t="s">
        <v>251</v>
      </c>
      <c r="F205" s="20" t="s">
        <v>252</v>
      </c>
      <c r="G205" s="8" t="str">
        <f t="shared" si="3"/>
        <v>BROWN JACOB</v>
      </c>
    </row>
    <row r="206" spans="1:7" x14ac:dyDescent="0.25">
      <c r="A206" s="8">
        <v>42767.869444444441</v>
      </c>
      <c r="B206" s="20" t="s">
        <v>642</v>
      </c>
      <c r="C206" s="20" t="s">
        <v>447</v>
      </c>
      <c r="D206" s="150">
        <v>2670000</v>
      </c>
      <c r="E206" s="20" t="s">
        <v>262</v>
      </c>
      <c r="F206" s="20" t="s">
        <v>263</v>
      </c>
      <c r="G206" s="8" t="str">
        <f t="shared" si="3"/>
        <v>COMELLA JUSTIN</v>
      </c>
    </row>
    <row r="207" spans="1:7" x14ac:dyDescent="0.25">
      <c r="A207" s="8">
        <v>42767.872673611113</v>
      </c>
      <c r="B207" s="20" t="s">
        <v>642</v>
      </c>
      <c r="C207" s="20" t="s">
        <v>447</v>
      </c>
      <c r="D207" s="150">
        <v>2670000</v>
      </c>
      <c r="E207" s="20" t="s">
        <v>262</v>
      </c>
      <c r="F207" s="20" t="s">
        <v>263</v>
      </c>
      <c r="G207" s="8" t="str">
        <f t="shared" si="3"/>
        <v>COMELLA JUSTIN</v>
      </c>
    </row>
    <row r="208" spans="1:7" x14ac:dyDescent="0.25">
      <c r="A208" s="8">
        <v>42767.876377314817</v>
      </c>
      <c r="B208" s="20" t="s">
        <v>271</v>
      </c>
      <c r="C208" s="20" t="s">
        <v>643</v>
      </c>
      <c r="D208" s="150">
        <v>2440000</v>
      </c>
      <c r="E208" s="20" t="s">
        <v>605</v>
      </c>
      <c r="F208" s="20" t="s">
        <v>606</v>
      </c>
      <c r="G208" s="8" t="str">
        <f t="shared" si="3"/>
        <v>LOPES KIMBERLY</v>
      </c>
    </row>
    <row r="209" spans="1:7" x14ac:dyDescent="0.25">
      <c r="A209" s="8">
        <v>42767.882581018515</v>
      </c>
      <c r="B209" s="20" t="s">
        <v>199</v>
      </c>
      <c r="C209" s="20" t="s">
        <v>638</v>
      </c>
      <c r="D209" s="150">
        <v>1740000</v>
      </c>
      <c r="E209" s="20" t="s">
        <v>246</v>
      </c>
      <c r="F209" s="20" t="s">
        <v>247</v>
      </c>
      <c r="G209" s="8" t="str">
        <f t="shared" si="3"/>
        <v>STORY SAMANTHA</v>
      </c>
    </row>
    <row r="210" spans="1:7" x14ac:dyDescent="0.25">
      <c r="A210" s="8">
        <v>42767.884467592594</v>
      </c>
      <c r="B210" s="20" t="s">
        <v>446</v>
      </c>
      <c r="C210" s="20" t="s">
        <v>447</v>
      </c>
      <c r="D210" s="150">
        <v>2670000</v>
      </c>
      <c r="E210" s="20" t="s">
        <v>262</v>
      </c>
      <c r="F210" s="20" t="s">
        <v>263</v>
      </c>
      <c r="G210" s="8" t="str">
        <f t="shared" si="3"/>
        <v>COMELLA JUSTIN</v>
      </c>
    </row>
    <row r="211" spans="1:7" x14ac:dyDescent="0.25">
      <c r="A211" s="8">
        <v>42767.884988425925</v>
      </c>
      <c r="B211" s="20" t="s">
        <v>446</v>
      </c>
      <c r="C211" s="20" t="s">
        <v>447</v>
      </c>
      <c r="D211" s="150">
        <v>2670000</v>
      </c>
      <c r="E211" s="20" t="s">
        <v>262</v>
      </c>
      <c r="F211" s="20" t="s">
        <v>263</v>
      </c>
      <c r="G211" s="8" t="str">
        <f t="shared" si="3"/>
        <v>COMELLA JUSTIN</v>
      </c>
    </row>
    <row r="212" spans="1:7" x14ac:dyDescent="0.25">
      <c r="A212" s="8">
        <v>42767.885648148149</v>
      </c>
      <c r="B212" s="20" t="s">
        <v>446</v>
      </c>
      <c r="C212" s="20" t="s">
        <v>447</v>
      </c>
      <c r="D212" s="150">
        <v>2670000</v>
      </c>
      <c r="E212" s="20" t="s">
        <v>262</v>
      </c>
      <c r="F212" s="20" t="s">
        <v>263</v>
      </c>
      <c r="G212" s="8" t="str">
        <f t="shared" si="3"/>
        <v>COMELLA JUSTIN</v>
      </c>
    </row>
    <row r="213" spans="1:7" x14ac:dyDescent="0.25">
      <c r="A213" s="8">
        <v>42767.886979166666</v>
      </c>
      <c r="B213" s="20" t="s">
        <v>234</v>
      </c>
      <c r="C213" s="20" t="s">
        <v>644</v>
      </c>
      <c r="D213" s="150">
        <v>2480000</v>
      </c>
      <c r="E213" s="20" t="s">
        <v>631</v>
      </c>
      <c r="F213" s="20" t="s">
        <v>232</v>
      </c>
      <c r="G213" s="8" t="str">
        <f t="shared" si="3"/>
        <v>WHITED DUSTIN</v>
      </c>
    </row>
    <row r="214" spans="1:7" x14ac:dyDescent="0.25">
      <c r="A214" s="8">
        <v>42767.889699074076</v>
      </c>
      <c r="B214" s="20" t="s">
        <v>199</v>
      </c>
      <c r="C214" s="20" t="s">
        <v>645</v>
      </c>
      <c r="D214" s="150">
        <v>2530000</v>
      </c>
      <c r="E214" s="20" t="s">
        <v>349</v>
      </c>
      <c r="F214" s="20" t="s">
        <v>350</v>
      </c>
      <c r="G214" s="8" t="str">
        <f t="shared" si="3"/>
        <v>LALONDE GREGORY</v>
      </c>
    </row>
    <row r="215" spans="1:7" x14ac:dyDescent="0.25">
      <c r="A215" s="8">
        <v>42767.900289351855</v>
      </c>
      <c r="B215" s="20" t="s">
        <v>270</v>
      </c>
      <c r="C215" s="20" t="s">
        <v>646</v>
      </c>
      <c r="D215" s="150">
        <v>2440000</v>
      </c>
      <c r="E215" s="20" t="s">
        <v>605</v>
      </c>
      <c r="F215" s="20" t="s">
        <v>606</v>
      </c>
      <c r="G215" s="8" t="str">
        <f t="shared" si="3"/>
        <v>LOPES KIMBERLY</v>
      </c>
    </row>
    <row r="216" spans="1:7" x14ac:dyDescent="0.25">
      <c r="A216" s="8">
        <v>42767.909710648149</v>
      </c>
      <c r="B216" s="20" t="s">
        <v>216</v>
      </c>
      <c r="C216" s="20" t="s">
        <v>647</v>
      </c>
      <c r="D216" s="150">
        <v>2370000</v>
      </c>
      <c r="E216" s="20" t="s">
        <v>597</v>
      </c>
      <c r="F216" s="20" t="s">
        <v>598</v>
      </c>
      <c r="G216" s="8" t="str">
        <f t="shared" si="3"/>
        <v>DELGADO DIANAH</v>
      </c>
    </row>
    <row r="217" spans="1:7" x14ac:dyDescent="0.25">
      <c r="A217" s="8">
        <v>42767.911203703705</v>
      </c>
      <c r="B217" s="20" t="s">
        <v>642</v>
      </c>
      <c r="C217" s="20" t="s">
        <v>447</v>
      </c>
      <c r="D217" s="150">
        <v>2670000</v>
      </c>
      <c r="E217" s="20" t="s">
        <v>262</v>
      </c>
      <c r="F217" s="20" t="s">
        <v>263</v>
      </c>
      <c r="G217" s="8" t="str">
        <f t="shared" si="3"/>
        <v>COMELLA JUSTIN</v>
      </c>
    </row>
    <row r="218" spans="1:7" x14ac:dyDescent="0.25">
      <c r="A218" s="8">
        <v>42767.911782407406</v>
      </c>
      <c r="B218" s="20" t="s">
        <v>642</v>
      </c>
      <c r="C218" s="20" t="s">
        <v>648</v>
      </c>
      <c r="D218" s="150">
        <v>2670000</v>
      </c>
      <c r="E218" s="20" t="s">
        <v>262</v>
      </c>
      <c r="F218" s="20" t="s">
        <v>263</v>
      </c>
      <c r="G218" s="8" t="str">
        <f t="shared" si="3"/>
        <v>COMELLA JUSTIN</v>
      </c>
    </row>
    <row r="219" spans="1:7" x14ac:dyDescent="0.25">
      <c r="A219" s="8">
        <v>42767.912951388891</v>
      </c>
      <c r="B219" s="20" t="s">
        <v>289</v>
      </c>
      <c r="C219" s="20" t="s">
        <v>649</v>
      </c>
      <c r="D219" s="150">
        <v>2270000</v>
      </c>
      <c r="E219" s="20" t="s">
        <v>251</v>
      </c>
      <c r="F219" s="20" t="s">
        <v>252</v>
      </c>
      <c r="G219" s="8" t="str">
        <f t="shared" si="3"/>
        <v>BROWN JACOB</v>
      </c>
    </row>
    <row r="220" spans="1:7" x14ac:dyDescent="0.25">
      <c r="A220" s="8">
        <v>42767.916574074072</v>
      </c>
      <c r="B220" s="20" t="s">
        <v>271</v>
      </c>
      <c r="C220" s="20" t="s">
        <v>445</v>
      </c>
      <c r="D220" s="150">
        <v>2440000</v>
      </c>
      <c r="E220" s="20" t="s">
        <v>605</v>
      </c>
      <c r="F220" s="20" t="s">
        <v>606</v>
      </c>
      <c r="G220" s="8" t="str">
        <f t="shared" si="3"/>
        <v>LOPES KIMBERLY</v>
      </c>
    </row>
    <row r="221" spans="1:7" x14ac:dyDescent="0.25">
      <c r="A221" s="8">
        <v>42767.925659722219</v>
      </c>
      <c r="B221" s="20" t="s">
        <v>200</v>
      </c>
      <c r="C221" s="20" t="s">
        <v>650</v>
      </c>
      <c r="D221" s="150">
        <v>2530000</v>
      </c>
      <c r="E221" s="20" t="s">
        <v>349</v>
      </c>
      <c r="F221" s="20" t="s">
        <v>350</v>
      </c>
      <c r="G221" s="8" t="str">
        <f t="shared" si="3"/>
        <v>LALONDE GREGORY</v>
      </c>
    </row>
    <row r="222" spans="1:7" x14ac:dyDescent="0.25">
      <c r="A222" s="8">
        <v>42767.926527777781</v>
      </c>
      <c r="B222" s="20" t="s">
        <v>216</v>
      </c>
      <c r="C222" s="20" t="s">
        <v>647</v>
      </c>
      <c r="D222" s="150">
        <v>2370000</v>
      </c>
      <c r="E222" s="20" t="s">
        <v>597</v>
      </c>
      <c r="F222" s="20" t="s">
        <v>598</v>
      </c>
      <c r="G222" s="8" t="str">
        <f t="shared" si="3"/>
        <v>DELGADO DIANAH</v>
      </c>
    </row>
    <row r="223" spans="1:7" x14ac:dyDescent="0.25">
      <c r="A223" s="8">
        <v>42767.928888888891</v>
      </c>
      <c r="B223" s="20" t="s">
        <v>194</v>
      </c>
      <c r="C223" s="20" t="s">
        <v>651</v>
      </c>
      <c r="D223" s="150">
        <v>2540000</v>
      </c>
      <c r="E223" s="20" t="s">
        <v>239</v>
      </c>
      <c r="F223" s="20" t="s">
        <v>240</v>
      </c>
      <c r="G223" s="8" t="str">
        <f t="shared" si="3"/>
        <v>MCREYNOLDS KYLE</v>
      </c>
    </row>
    <row r="224" spans="1:7" x14ac:dyDescent="0.25">
      <c r="A224" s="8">
        <v>42767.943090277775</v>
      </c>
      <c r="B224" t="s">
        <v>270</v>
      </c>
      <c r="C224" t="s">
        <v>652</v>
      </c>
      <c r="D224" s="150">
        <v>2440000</v>
      </c>
      <c r="E224" t="s">
        <v>605</v>
      </c>
      <c r="F224" s="20" t="s">
        <v>606</v>
      </c>
      <c r="G224" s="8" t="str">
        <f t="shared" si="3"/>
        <v>LOPES KIMBERLY</v>
      </c>
    </row>
    <row r="225" spans="1:7" x14ac:dyDescent="0.25">
      <c r="A225" s="8">
        <v>42767.948333333334</v>
      </c>
      <c r="B225" t="s">
        <v>243</v>
      </c>
      <c r="C225" t="s">
        <v>653</v>
      </c>
      <c r="D225" s="150">
        <v>2370000</v>
      </c>
      <c r="E225" t="s">
        <v>597</v>
      </c>
      <c r="F225" s="20" t="s">
        <v>598</v>
      </c>
      <c r="G225" s="8" t="str">
        <f t="shared" si="3"/>
        <v>DELGADO DIANAH</v>
      </c>
    </row>
    <row r="226" spans="1:7" x14ac:dyDescent="0.25">
      <c r="A226" s="8">
        <v>42767.952013888891</v>
      </c>
      <c r="B226" t="s">
        <v>288</v>
      </c>
      <c r="C226" t="s">
        <v>448</v>
      </c>
      <c r="D226" s="150">
        <v>2270000</v>
      </c>
      <c r="E226" t="s">
        <v>251</v>
      </c>
      <c r="F226" s="20" t="s">
        <v>252</v>
      </c>
      <c r="G226" s="8" t="str">
        <f t="shared" si="3"/>
        <v>BROWN JACOB</v>
      </c>
    </row>
    <row r="227" spans="1:7" x14ac:dyDescent="0.25">
      <c r="A227" s="8">
        <v>42767.952523148146</v>
      </c>
      <c r="B227" t="s">
        <v>446</v>
      </c>
      <c r="C227" t="s">
        <v>447</v>
      </c>
      <c r="D227" s="150">
        <v>2670000</v>
      </c>
      <c r="E227" t="s">
        <v>262</v>
      </c>
      <c r="F227" s="20" t="s">
        <v>263</v>
      </c>
      <c r="G227" s="8" t="str">
        <f t="shared" si="3"/>
        <v>COMELLA JUSTIN</v>
      </c>
    </row>
    <row r="228" spans="1:7" x14ac:dyDescent="0.25">
      <c r="A228" s="8">
        <v>42767.968599537038</v>
      </c>
      <c r="B228" t="s">
        <v>249</v>
      </c>
      <c r="C228" t="s">
        <v>654</v>
      </c>
      <c r="D228" s="150">
        <v>2450000</v>
      </c>
      <c r="E228" t="s">
        <v>255</v>
      </c>
      <c r="F228" s="20" t="s">
        <v>256</v>
      </c>
      <c r="G228" s="8" t="str">
        <f t="shared" si="3"/>
        <v>NELSON ARIANE</v>
      </c>
    </row>
    <row r="229" spans="1:7" x14ac:dyDescent="0.25">
      <c r="A229" s="8">
        <v>42767.971064814818</v>
      </c>
      <c r="B229" t="s">
        <v>199</v>
      </c>
      <c r="C229" t="s">
        <v>655</v>
      </c>
      <c r="D229" s="150">
        <v>1740000</v>
      </c>
      <c r="E229" t="s">
        <v>246</v>
      </c>
      <c r="F229" s="20" t="s">
        <v>247</v>
      </c>
      <c r="G229" s="8" t="str">
        <f t="shared" si="3"/>
        <v>STORY SAMANTHA</v>
      </c>
    </row>
    <row r="230" spans="1:7" x14ac:dyDescent="0.25">
      <c r="A230" s="8">
        <v>42767.995266203703</v>
      </c>
      <c r="B230" t="s">
        <v>289</v>
      </c>
      <c r="C230" t="s">
        <v>656</v>
      </c>
      <c r="D230" s="150">
        <v>2270000</v>
      </c>
      <c r="E230" t="s">
        <v>251</v>
      </c>
      <c r="F230" s="20" t="s">
        <v>252</v>
      </c>
      <c r="G230" s="8" t="str">
        <f t="shared" si="3"/>
        <v>BROWN JACOB</v>
      </c>
    </row>
    <row r="231" spans="1:7" x14ac:dyDescent="0.25">
      <c r="A231" s="8">
        <v>42767.996053240742</v>
      </c>
      <c r="B231" t="s">
        <v>642</v>
      </c>
      <c r="C231" t="s">
        <v>657</v>
      </c>
      <c r="D231" s="150">
        <v>2670000</v>
      </c>
      <c r="E231" t="s">
        <v>262</v>
      </c>
      <c r="F231" s="20" t="s">
        <v>263</v>
      </c>
      <c r="G231" s="8" t="str">
        <f t="shared" si="3"/>
        <v>COMELLA JUSTIN</v>
      </c>
    </row>
    <row r="232" spans="1:7" x14ac:dyDescent="0.25">
      <c r="A232" s="8">
        <v>42767.996678240743</v>
      </c>
      <c r="B232" t="s">
        <v>216</v>
      </c>
      <c r="C232" t="s">
        <v>658</v>
      </c>
      <c r="D232" s="150">
        <v>2370000</v>
      </c>
      <c r="E232" t="s">
        <v>597</v>
      </c>
      <c r="F232" s="20" t="s">
        <v>598</v>
      </c>
      <c r="G232" s="8" t="str">
        <f t="shared" si="3"/>
        <v>DELGADO DIANAH</v>
      </c>
    </row>
    <row r="233" spans="1:7" x14ac:dyDescent="0.25">
      <c r="A233" s="8">
        <v>42768.005150462966</v>
      </c>
      <c r="B233" t="s">
        <v>249</v>
      </c>
      <c r="C233" t="s">
        <v>654</v>
      </c>
      <c r="D233" s="150">
        <v>2450000</v>
      </c>
      <c r="E233" t="s">
        <v>255</v>
      </c>
      <c r="F233" s="20" t="s">
        <v>256</v>
      </c>
      <c r="G233" s="8" t="str">
        <f t="shared" si="3"/>
        <v>NELSON ARIANE</v>
      </c>
    </row>
    <row r="234" spans="1:7" x14ac:dyDescent="0.25">
      <c r="A234" s="8">
        <v>42768.005543981482</v>
      </c>
      <c r="B234" t="s">
        <v>233</v>
      </c>
      <c r="C234" t="s">
        <v>659</v>
      </c>
      <c r="D234" s="150">
        <v>2450000</v>
      </c>
      <c r="E234" t="s">
        <v>255</v>
      </c>
      <c r="F234" s="20" t="s">
        <v>256</v>
      </c>
      <c r="G234" s="8" t="str">
        <f t="shared" si="3"/>
        <v>NELSON ARIANE</v>
      </c>
    </row>
    <row r="235" spans="1:7" x14ac:dyDescent="0.25">
      <c r="A235" s="8">
        <v>42768.021145833336</v>
      </c>
      <c r="B235" t="s">
        <v>200</v>
      </c>
      <c r="C235" t="s">
        <v>449</v>
      </c>
      <c r="D235" s="150">
        <v>1740000</v>
      </c>
      <c r="E235" t="s">
        <v>246</v>
      </c>
      <c r="F235" s="20" t="s">
        <v>247</v>
      </c>
      <c r="G235" s="8" t="str">
        <f t="shared" si="3"/>
        <v>STORY SAMANTHA</v>
      </c>
    </row>
    <row r="236" spans="1:7" x14ac:dyDescent="0.25">
      <c r="A236" s="8">
        <v>42768.02621527778</v>
      </c>
      <c r="B236" t="s">
        <v>216</v>
      </c>
      <c r="C236" t="s">
        <v>658</v>
      </c>
      <c r="D236" s="150">
        <v>2370000</v>
      </c>
      <c r="E236" t="s">
        <v>597</v>
      </c>
      <c r="F236" s="20" t="s">
        <v>598</v>
      </c>
      <c r="G236" s="8" t="str">
        <f t="shared" si="3"/>
        <v>DELGADO DIANAH</v>
      </c>
    </row>
    <row r="237" spans="1:7" x14ac:dyDescent="0.25">
      <c r="A237" s="8">
        <v>42768.040983796294</v>
      </c>
      <c r="B237" t="s">
        <v>288</v>
      </c>
      <c r="C237" t="s">
        <v>660</v>
      </c>
      <c r="D237" s="150">
        <v>2270000</v>
      </c>
      <c r="E237" t="s">
        <v>251</v>
      </c>
      <c r="F237" s="20" t="s">
        <v>252</v>
      </c>
      <c r="G237" s="8" t="str">
        <f t="shared" si="3"/>
        <v>BROWN JACOB</v>
      </c>
    </row>
    <row r="238" spans="1:7" x14ac:dyDescent="0.25">
      <c r="A238" s="8">
        <v>42768.048298611109</v>
      </c>
      <c r="B238" t="s">
        <v>243</v>
      </c>
      <c r="C238" t="s">
        <v>661</v>
      </c>
      <c r="D238" s="150">
        <v>2370000</v>
      </c>
      <c r="E238" t="s">
        <v>597</v>
      </c>
      <c r="F238" s="20" t="s">
        <v>598</v>
      </c>
      <c r="G238" s="8" t="str">
        <f t="shared" si="3"/>
        <v>DELGADO DIANAH</v>
      </c>
    </row>
    <row r="239" spans="1:7" x14ac:dyDescent="0.25">
      <c r="A239" s="8">
        <v>42768.055</v>
      </c>
      <c r="B239" t="s">
        <v>234</v>
      </c>
      <c r="C239" t="s">
        <v>662</v>
      </c>
      <c r="D239" s="150">
        <v>2450000</v>
      </c>
      <c r="E239" t="s">
        <v>255</v>
      </c>
      <c r="F239" s="20" t="s">
        <v>256</v>
      </c>
      <c r="G239" s="8" t="str">
        <f t="shared" si="3"/>
        <v>NELSON ARIANE</v>
      </c>
    </row>
    <row r="240" spans="1:7" x14ac:dyDescent="0.25">
      <c r="A240" s="8">
        <v>42768.059120370373</v>
      </c>
      <c r="B240" t="s">
        <v>446</v>
      </c>
      <c r="C240" t="s">
        <v>663</v>
      </c>
      <c r="D240" s="150">
        <v>2670000</v>
      </c>
      <c r="E240" t="s">
        <v>262</v>
      </c>
      <c r="F240" s="20" t="s">
        <v>263</v>
      </c>
      <c r="G240" s="8" t="str">
        <f t="shared" si="3"/>
        <v>COMELLA JUSTIN</v>
      </c>
    </row>
    <row r="241" spans="1:7" x14ac:dyDescent="0.25">
      <c r="A241" s="8">
        <v>42768.067361111112</v>
      </c>
      <c r="B241" t="s">
        <v>199</v>
      </c>
      <c r="C241" t="s">
        <v>664</v>
      </c>
      <c r="D241" s="150">
        <v>1740000</v>
      </c>
      <c r="E241" t="s">
        <v>246</v>
      </c>
      <c r="F241" s="20" t="s">
        <v>247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289</v>
      </c>
      <c r="C242" t="s">
        <v>665</v>
      </c>
      <c r="D242" s="150">
        <v>2270000</v>
      </c>
      <c r="E242" t="s">
        <v>251</v>
      </c>
      <c r="F242" s="20" t="s">
        <v>252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233</v>
      </c>
      <c r="C243" t="s">
        <v>666</v>
      </c>
      <c r="D243" s="150">
        <v>2540000</v>
      </c>
      <c r="E243" t="s">
        <v>239</v>
      </c>
      <c r="F243" s="20" t="s">
        <v>240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302</v>
      </c>
      <c r="C244" t="s">
        <v>306</v>
      </c>
      <c r="D244" s="150">
        <v>1810000</v>
      </c>
      <c r="E244" t="s">
        <v>212</v>
      </c>
      <c r="F244" s="20" t="s">
        <v>205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284</v>
      </c>
      <c r="C245" t="s">
        <v>304</v>
      </c>
      <c r="D245" s="150">
        <v>2270000</v>
      </c>
      <c r="E245" t="s">
        <v>251</v>
      </c>
      <c r="F245" s="20" t="s">
        <v>252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234</v>
      </c>
      <c r="C246" t="s">
        <v>307</v>
      </c>
      <c r="D246" s="150">
        <v>1800000</v>
      </c>
      <c r="E246" t="s">
        <v>286</v>
      </c>
      <c r="F246" s="20" t="s">
        <v>287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289</v>
      </c>
      <c r="C247" t="s">
        <v>308</v>
      </c>
      <c r="D247" s="150">
        <v>2220000</v>
      </c>
      <c r="E247" t="s">
        <v>231</v>
      </c>
      <c r="F247" s="20" t="s">
        <v>232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303</v>
      </c>
      <c r="C248" t="s">
        <v>309</v>
      </c>
      <c r="D248" s="150">
        <v>1810000</v>
      </c>
      <c r="E248" t="s">
        <v>212</v>
      </c>
      <c r="F248" s="20" t="s">
        <v>205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233</v>
      </c>
      <c r="C249" t="s">
        <v>310</v>
      </c>
      <c r="D249" s="150">
        <v>1800000</v>
      </c>
      <c r="E249" t="s">
        <v>286</v>
      </c>
      <c r="F249" s="20" t="s">
        <v>287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285</v>
      </c>
      <c r="C250" t="s">
        <v>305</v>
      </c>
      <c r="D250" s="150">
        <v>2270000</v>
      </c>
      <c r="E250" t="s">
        <v>251</v>
      </c>
      <c r="F250" s="20" t="s">
        <v>252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302</v>
      </c>
      <c r="C251" t="s">
        <v>311</v>
      </c>
      <c r="D251" s="150">
        <v>1810000</v>
      </c>
      <c r="E251" t="s">
        <v>212</v>
      </c>
      <c r="F251" s="20" t="s">
        <v>205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288</v>
      </c>
      <c r="C252" t="s">
        <v>312</v>
      </c>
      <c r="D252" s="150">
        <v>2220000</v>
      </c>
      <c r="E252" t="s">
        <v>231</v>
      </c>
      <c r="F252" s="20" t="s">
        <v>232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288</v>
      </c>
      <c r="C253" t="s">
        <v>312</v>
      </c>
      <c r="D253" s="150">
        <v>2220000</v>
      </c>
      <c r="E253" t="s">
        <v>231</v>
      </c>
      <c r="F253" s="20" t="s">
        <v>232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284</v>
      </c>
      <c r="C254" t="s">
        <v>313</v>
      </c>
      <c r="D254" s="150">
        <v>2270000</v>
      </c>
      <c r="E254" t="s">
        <v>251</v>
      </c>
      <c r="F254" s="20" t="s">
        <v>252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289</v>
      </c>
      <c r="C255" t="s">
        <v>314</v>
      </c>
      <c r="D255" s="150">
        <v>2220000</v>
      </c>
      <c r="E255" t="s">
        <v>231</v>
      </c>
      <c r="F255" s="20" t="s">
        <v>232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216</v>
      </c>
      <c r="C256" t="s">
        <v>273</v>
      </c>
      <c r="D256" s="150">
        <v>2220000</v>
      </c>
      <c r="E256" t="s">
        <v>231</v>
      </c>
      <c r="F256" s="20" t="s">
        <v>232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199</v>
      </c>
      <c r="C257" t="s">
        <v>274</v>
      </c>
      <c r="D257" s="150">
        <v>2000000</v>
      </c>
      <c r="E257" t="s">
        <v>272</v>
      </c>
      <c r="F257" s="20" t="s">
        <v>205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243</v>
      </c>
      <c r="C258" t="s">
        <v>275</v>
      </c>
      <c r="D258" s="150">
        <v>2220000</v>
      </c>
      <c r="E258" t="s">
        <v>231</v>
      </c>
      <c r="F258" s="20" t="s">
        <v>232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270</v>
      </c>
      <c r="C259" t="s">
        <v>276</v>
      </c>
      <c r="D259" s="150">
        <v>1360000</v>
      </c>
      <c r="E259" t="s">
        <v>277</v>
      </c>
      <c r="F259" s="20" t="s">
        <v>278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253</v>
      </c>
      <c r="C260" t="s">
        <v>259</v>
      </c>
      <c r="D260" s="150">
        <v>2450000</v>
      </c>
      <c r="E260" t="s">
        <v>255</v>
      </c>
      <c r="F260" s="20" t="s">
        <v>256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237</v>
      </c>
      <c r="C261" t="s">
        <v>266</v>
      </c>
      <c r="D261" s="150">
        <v>1810000</v>
      </c>
      <c r="E261" t="s">
        <v>212</v>
      </c>
      <c r="F261" s="20" t="s">
        <v>205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260</v>
      </c>
      <c r="C262" t="s">
        <v>264</v>
      </c>
      <c r="D262" s="150">
        <v>2670000</v>
      </c>
      <c r="E262" t="s">
        <v>262</v>
      </c>
      <c r="F262" s="20" t="s">
        <v>263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233</v>
      </c>
      <c r="C263" t="s">
        <v>258</v>
      </c>
      <c r="D263" s="150">
        <v>2540000</v>
      </c>
      <c r="E263" t="s">
        <v>239</v>
      </c>
      <c r="F263" s="20" t="s">
        <v>240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226</v>
      </c>
      <c r="C264" t="s">
        <v>254</v>
      </c>
      <c r="D264" s="150">
        <v>2450000</v>
      </c>
      <c r="E264" t="s">
        <v>255</v>
      </c>
      <c r="F264" s="20" t="s">
        <v>256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250</v>
      </c>
      <c r="C265" t="s">
        <v>267</v>
      </c>
      <c r="D265" s="150">
        <v>2270000</v>
      </c>
      <c r="E265" t="s">
        <v>251</v>
      </c>
      <c r="F265" s="20" t="s">
        <v>252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234</v>
      </c>
      <c r="C266" t="s">
        <v>257</v>
      </c>
      <c r="D266" s="150">
        <v>2540000</v>
      </c>
      <c r="E266" t="s">
        <v>239</v>
      </c>
      <c r="F266" s="20" t="s">
        <v>240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253</v>
      </c>
      <c r="C267" t="s">
        <v>259</v>
      </c>
      <c r="D267" s="150">
        <v>2450000</v>
      </c>
      <c r="E267" t="s">
        <v>255</v>
      </c>
      <c r="F267" s="20" t="s">
        <v>256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250</v>
      </c>
      <c r="C268" t="s">
        <v>267</v>
      </c>
      <c r="D268" s="150">
        <v>2270000</v>
      </c>
      <c r="E268" t="s">
        <v>251</v>
      </c>
      <c r="F268" s="20" t="s">
        <v>252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233</v>
      </c>
      <c r="C269" t="s">
        <v>258</v>
      </c>
      <c r="D269" s="150">
        <v>2540000</v>
      </c>
      <c r="E269" t="s">
        <v>239</v>
      </c>
      <c r="F269" s="20" t="s">
        <v>240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238</v>
      </c>
      <c r="C270" t="s">
        <v>268</v>
      </c>
      <c r="D270" s="150">
        <v>1810000</v>
      </c>
      <c r="E270" t="s">
        <v>212</v>
      </c>
      <c r="F270" s="20" t="s">
        <v>205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265</v>
      </c>
      <c r="C271" t="s">
        <v>261</v>
      </c>
      <c r="D271" s="150">
        <v>2670000</v>
      </c>
      <c r="E271" t="s">
        <v>262</v>
      </c>
      <c r="F271" s="20" t="s">
        <v>263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226</v>
      </c>
      <c r="C272" t="s">
        <v>254</v>
      </c>
      <c r="D272" s="150">
        <v>2450000</v>
      </c>
      <c r="E272" t="s">
        <v>255</v>
      </c>
      <c r="F272" s="20" t="s">
        <v>256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234</v>
      </c>
      <c r="C273" t="s">
        <v>257</v>
      </c>
      <c r="D273" s="150">
        <v>2540000</v>
      </c>
      <c r="E273" t="s">
        <v>239</v>
      </c>
      <c r="F273" s="20" t="s">
        <v>240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4" customWidth="1"/>
    <col min="2" max="2" width="8.42578125" style="154" bestFit="1" customWidth="1"/>
    <col min="3" max="3" width="12.5703125" style="154" bestFit="1" customWidth="1"/>
    <col min="4" max="4" width="18.5703125" style="142" bestFit="1" customWidth="1"/>
    <col min="5" max="5" width="9.85546875" style="154" bestFit="1" customWidth="1"/>
    <col min="6" max="6" width="9" style="154" bestFit="1" customWidth="1"/>
    <col min="7" max="7" width="8.85546875" style="154" bestFit="1" customWidth="1"/>
    <col min="8" max="8" width="14" style="154" bestFit="1" customWidth="1"/>
    <col min="9" max="9" width="21.140625" style="154" bestFit="1" customWidth="1"/>
    <col min="10" max="10" width="8.7109375" style="154" bestFit="1" customWidth="1"/>
    <col min="11" max="11" width="11.28515625" style="154" bestFit="1" customWidth="1"/>
    <col min="12" max="12" width="11" style="154" bestFit="1" customWidth="1"/>
    <col min="13" max="13" width="11.28515625" style="154" bestFit="1" customWidth="1"/>
    <col min="14" max="14" width="13.7109375" style="154" bestFit="1" customWidth="1"/>
    <col min="15" max="15" width="14.85546875" style="154" bestFit="1" customWidth="1"/>
    <col min="16" max="16" width="16.7109375" style="154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7" t="s">
        <v>162</v>
      </c>
      <c r="B1" s="197" t="s">
        <v>165</v>
      </c>
      <c r="C1" s="197" t="s">
        <v>158</v>
      </c>
      <c r="D1" s="148" t="s">
        <v>170</v>
      </c>
      <c r="E1" s="197" t="s">
        <v>159</v>
      </c>
      <c r="F1" s="197" t="s">
        <v>157</v>
      </c>
      <c r="G1" s="197" t="s">
        <v>155</v>
      </c>
      <c r="H1" s="197" t="s">
        <v>667</v>
      </c>
      <c r="I1" s="197" t="s">
        <v>168</v>
      </c>
      <c r="J1" s="197" t="s">
        <v>169</v>
      </c>
      <c r="K1" s="197" t="s">
        <v>668</v>
      </c>
      <c r="L1" s="197" t="s">
        <v>163</v>
      </c>
      <c r="M1" s="197" t="s">
        <v>161</v>
      </c>
      <c r="N1" s="197" t="s">
        <v>156</v>
      </c>
      <c r="O1" s="197" t="s">
        <v>166</v>
      </c>
      <c r="P1" s="197" t="s">
        <v>160</v>
      </c>
      <c r="Q1" s="197" t="s">
        <v>167</v>
      </c>
      <c r="R1" s="197" t="s">
        <v>164</v>
      </c>
    </row>
    <row r="2" spans="1:18" x14ac:dyDescent="0.25">
      <c r="A2" s="174">
        <v>39.729999999999997</v>
      </c>
      <c r="B2" s="174">
        <v>0.64</v>
      </c>
      <c r="C2" s="174">
        <v>15.05</v>
      </c>
      <c r="D2" s="8">
        <v>42767</v>
      </c>
      <c r="E2" s="174">
        <v>0.36</v>
      </c>
      <c r="F2" s="174" t="s">
        <v>279</v>
      </c>
      <c r="G2" s="174">
        <v>283.24</v>
      </c>
      <c r="H2" s="174"/>
      <c r="I2" s="174">
        <v>0</v>
      </c>
      <c r="J2" s="174">
        <v>0</v>
      </c>
      <c r="K2" s="174"/>
      <c r="L2" s="174">
        <v>1016.96</v>
      </c>
      <c r="M2" s="174" t="s">
        <v>351</v>
      </c>
      <c r="N2" s="174">
        <v>39.729999999999997</v>
      </c>
      <c r="O2" s="174">
        <v>1485932400</v>
      </c>
      <c r="P2" s="174">
        <v>4.1399999999999997</v>
      </c>
      <c r="Q2" s="174">
        <v>17</v>
      </c>
      <c r="R2" s="174">
        <v>1.55</v>
      </c>
    </row>
    <row r="3" spans="1:18" x14ac:dyDescent="0.25">
      <c r="A3" s="174">
        <v>32.32</v>
      </c>
      <c r="B3" s="174">
        <v>0.5</v>
      </c>
      <c r="C3" s="174">
        <v>19.350000000000001</v>
      </c>
      <c r="D3" s="8">
        <v>42767.041666666664</v>
      </c>
      <c r="E3" s="174">
        <v>0.51</v>
      </c>
      <c r="F3" s="174" t="s">
        <v>279</v>
      </c>
      <c r="G3" s="174">
        <v>282.76</v>
      </c>
      <c r="H3" s="174"/>
      <c r="I3" s="174">
        <v>0</v>
      </c>
      <c r="J3" s="174">
        <v>0</v>
      </c>
      <c r="K3" s="174"/>
      <c r="L3" s="174">
        <v>1017.81</v>
      </c>
      <c r="M3" s="174" t="s">
        <v>281</v>
      </c>
      <c r="N3" s="174">
        <v>35.54</v>
      </c>
      <c r="O3" s="174">
        <v>1485936000</v>
      </c>
      <c r="P3" s="174">
        <v>3.98</v>
      </c>
      <c r="Q3" s="174">
        <v>357</v>
      </c>
      <c r="R3" s="174">
        <v>3.85</v>
      </c>
    </row>
    <row r="4" spans="1:18" x14ac:dyDescent="0.25">
      <c r="A4" s="174">
        <v>27.37</v>
      </c>
      <c r="B4" s="174">
        <v>0.38</v>
      </c>
      <c r="C4" s="174">
        <v>21.82</v>
      </c>
      <c r="D4" s="8">
        <v>42767.083333333336</v>
      </c>
      <c r="E4" s="174">
        <v>0.67</v>
      </c>
      <c r="F4" s="174" t="s">
        <v>279</v>
      </c>
      <c r="G4" s="174">
        <v>282.27999999999997</v>
      </c>
      <c r="H4" s="174"/>
      <c r="I4" s="174">
        <v>0</v>
      </c>
      <c r="J4" s="174">
        <v>0</v>
      </c>
      <c r="K4" s="174"/>
      <c r="L4" s="174">
        <v>1018.78</v>
      </c>
      <c r="M4" s="174" t="s">
        <v>281</v>
      </c>
      <c r="N4" s="174">
        <v>31.67</v>
      </c>
      <c r="O4" s="174">
        <v>1485939600</v>
      </c>
      <c r="P4" s="174">
        <v>3.54</v>
      </c>
      <c r="Q4" s="174">
        <v>357</v>
      </c>
      <c r="R4" s="174">
        <v>4.3</v>
      </c>
    </row>
    <row r="5" spans="1:18" x14ac:dyDescent="0.25">
      <c r="A5" s="174">
        <v>30.04</v>
      </c>
      <c r="B5" s="174">
        <v>0.4</v>
      </c>
      <c r="C5" s="174">
        <v>22.14</v>
      </c>
      <c r="D5" s="8">
        <v>42767.125</v>
      </c>
      <c r="E5" s="174">
        <v>0.72</v>
      </c>
      <c r="F5" s="174" t="s">
        <v>279</v>
      </c>
      <c r="G5" s="174">
        <v>282.25</v>
      </c>
      <c r="H5" s="174"/>
      <c r="I5" s="174">
        <v>0</v>
      </c>
      <c r="J5" s="174">
        <v>0</v>
      </c>
      <c r="K5" s="174"/>
      <c r="L5" s="174">
        <v>1019.31</v>
      </c>
      <c r="M5" s="174" t="s">
        <v>281</v>
      </c>
      <c r="N5" s="174">
        <v>30.04</v>
      </c>
      <c r="O5" s="174">
        <v>1485943200</v>
      </c>
      <c r="P5" s="174">
        <v>3.24</v>
      </c>
      <c r="Q5" s="174">
        <v>3</v>
      </c>
      <c r="R5" s="174">
        <v>2.9</v>
      </c>
    </row>
    <row r="6" spans="1:18" x14ac:dyDescent="0.25">
      <c r="A6" s="174">
        <v>28.21</v>
      </c>
      <c r="B6" s="174">
        <v>0.48</v>
      </c>
      <c r="C6" s="174">
        <v>22.88</v>
      </c>
      <c r="D6" s="8">
        <v>42767.166666666664</v>
      </c>
      <c r="E6" s="174">
        <v>0.8</v>
      </c>
      <c r="F6" s="174" t="s">
        <v>279</v>
      </c>
      <c r="G6" s="174">
        <v>282.43</v>
      </c>
      <c r="H6" s="174"/>
      <c r="I6" s="174">
        <v>0</v>
      </c>
      <c r="J6" s="174">
        <v>0</v>
      </c>
      <c r="K6" s="174"/>
      <c r="L6" s="174">
        <v>1019.64</v>
      </c>
      <c r="M6" s="174" t="s">
        <v>281</v>
      </c>
      <c r="N6" s="174">
        <v>28.21</v>
      </c>
      <c r="O6" s="174">
        <v>1485946800</v>
      </c>
      <c r="P6" s="174">
        <v>3.34</v>
      </c>
      <c r="Q6" s="174">
        <v>358</v>
      </c>
      <c r="R6" s="174">
        <v>1.63</v>
      </c>
    </row>
    <row r="7" spans="1:18" x14ac:dyDescent="0.25">
      <c r="A7" s="174">
        <v>28.22</v>
      </c>
      <c r="B7" s="174">
        <v>0.54</v>
      </c>
      <c r="C7" s="174">
        <v>23.25</v>
      </c>
      <c r="D7" s="8">
        <v>42767.208333333336</v>
      </c>
      <c r="E7" s="174">
        <v>0.81</v>
      </c>
      <c r="F7" s="174" t="s">
        <v>279</v>
      </c>
      <c r="G7" s="174">
        <v>282.64</v>
      </c>
      <c r="H7" s="174"/>
      <c r="I7" s="174">
        <v>0</v>
      </c>
      <c r="J7" s="174">
        <v>0</v>
      </c>
      <c r="K7" s="174"/>
      <c r="L7" s="174">
        <v>1019.91</v>
      </c>
      <c r="M7" s="174" t="s">
        <v>281</v>
      </c>
      <c r="N7" s="174">
        <v>28.22</v>
      </c>
      <c r="O7" s="174">
        <v>1485950400</v>
      </c>
      <c r="P7" s="174">
        <v>4.32</v>
      </c>
      <c r="Q7" s="174">
        <v>182</v>
      </c>
      <c r="R7" s="174">
        <v>1.52</v>
      </c>
    </row>
    <row r="8" spans="1:18" x14ac:dyDescent="0.25">
      <c r="A8" s="174">
        <v>28.26</v>
      </c>
      <c r="B8" s="174">
        <v>0.5</v>
      </c>
      <c r="C8" s="174">
        <v>23.06</v>
      </c>
      <c r="D8" s="8">
        <v>42767.25</v>
      </c>
      <c r="E8" s="174">
        <v>0.81</v>
      </c>
      <c r="F8" s="174" t="s">
        <v>279</v>
      </c>
      <c r="G8" s="174">
        <v>283.08</v>
      </c>
      <c r="H8" s="174"/>
      <c r="I8" s="174">
        <v>0</v>
      </c>
      <c r="J8" s="174">
        <v>0</v>
      </c>
      <c r="K8" s="174"/>
      <c r="L8" s="174">
        <v>1019.95</v>
      </c>
      <c r="M8" s="174" t="s">
        <v>281</v>
      </c>
      <c r="N8" s="174">
        <v>28.26</v>
      </c>
      <c r="O8" s="174">
        <v>1485954000</v>
      </c>
      <c r="P8" s="174">
        <v>4.7699999999999996</v>
      </c>
      <c r="Q8" s="174">
        <v>225</v>
      </c>
      <c r="R8" s="174">
        <v>0.87</v>
      </c>
    </row>
    <row r="9" spans="1:18" x14ac:dyDescent="0.25">
      <c r="A9" s="174">
        <v>27.83</v>
      </c>
      <c r="B9" s="174">
        <v>0.43</v>
      </c>
      <c r="C9" s="174">
        <v>22.88</v>
      </c>
      <c r="D9" s="8">
        <v>42767.291666666664</v>
      </c>
      <c r="E9" s="174">
        <v>0.81</v>
      </c>
      <c r="F9" s="174" t="s">
        <v>279</v>
      </c>
      <c r="G9" s="174">
        <v>283.56</v>
      </c>
      <c r="H9" s="174"/>
      <c r="I9" s="174">
        <v>0</v>
      </c>
      <c r="J9" s="174">
        <v>0</v>
      </c>
      <c r="K9" s="174"/>
      <c r="L9" s="174">
        <v>1019.81</v>
      </c>
      <c r="M9" s="174" t="s">
        <v>281</v>
      </c>
      <c r="N9" s="174">
        <v>27.83</v>
      </c>
      <c r="O9" s="174">
        <v>1485957600</v>
      </c>
      <c r="P9" s="174">
        <v>3.73</v>
      </c>
      <c r="Q9" s="174">
        <v>22</v>
      </c>
      <c r="R9" s="174">
        <v>1.25</v>
      </c>
    </row>
    <row r="10" spans="1:18" x14ac:dyDescent="0.25">
      <c r="A10" s="174">
        <v>28.06</v>
      </c>
      <c r="B10" s="174">
        <v>0.4</v>
      </c>
      <c r="C10" s="174">
        <v>23.3</v>
      </c>
      <c r="D10" s="8">
        <v>42767.333333333336</v>
      </c>
      <c r="E10" s="174">
        <v>0.82</v>
      </c>
      <c r="F10" s="174" t="s">
        <v>280</v>
      </c>
      <c r="G10" s="174">
        <v>283.29000000000002</v>
      </c>
      <c r="H10" s="174"/>
      <c r="I10" s="174">
        <v>0</v>
      </c>
      <c r="J10" s="174">
        <v>0</v>
      </c>
      <c r="K10" s="174"/>
      <c r="L10" s="174">
        <v>1019.57</v>
      </c>
      <c r="M10" s="174" t="s">
        <v>281</v>
      </c>
      <c r="N10" s="174">
        <v>28.06</v>
      </c>
      <c r="O10" s="174">
        <v>1485961200</v>
      </c>
      <c r="P10" s="174">
        <v>3.24</v>
      </c>
      <c r="Q10" s="174">
        <v>9</v>
      </c>
      <c r="R10" s="174">
        <v>2.31</v>
      </c>
    </row>
    <row r="11" spans="1:18" x14ac:dyDescent="0.25">
      <c r="A11" s="174">
        <v>29.37</v>
      </c>
      <c r="B11" s="174">
        <v>0.43</v>
      </c>
      <c r="C11" s="174">
        <v>24.43</v>
      </c>
      <c r="D11" s="8">
        <v>42767.375</v>
      </c>
      <c r="E11" s="174">
        <v>0.82</v>
      </c>
      <c r="F11" s="174" t="s">
        <v>280</v>
      </c>
      <c r="G11" s="174">
        <v>281.58</v>
      </c>
      <c r="H11" s="174"/>
      <c r="I11" s="174">
        <v>0</v>
      </c>
      <c r="J11" s="174">
        <v>0</v>
      </c>
      <c r="K11" s="174"/>
      <c r="L11" s="174">
        <v>1019.29</v>
      </c>
      <c r="M11" s="174" t="s">
        <v>281</v>
      </c>
      <c r="N11" s="174">
        <v>29.37</v>
      </c>
      <c r="O11" s="174">
        <v>1485964800</v>
      </c>
      <c r="P11" s="174">
        <v>3.08</v>
      </c>
      <c r="Q11" s="174">
        <v>27</v>
      </c>
      <c r="R11" s="174">
        <v>2.5299999999999998</v>
      </c>
    </row>
    <row r="12" spans="1:18" x14ac:dyDescent="0.25">
      <c r="A12" s="174">
        <v>30.01</v>
      </c>
      <c r="B12" s="174">
        <v>0.49</v>
      </c>
      <c r="C12" s="174">
        <v>24.25</v>
      </c>
      <c r="D12" s="8">
        <v>42767.416666666664</v>
      </c>
      <c r="E12" s="174">
        <v>0.79</v>
      </c>
      <c r="F12" s="174" t="s">
        <v>280</v>
      </c>
      <c r="G12" s="174">
        <v>279.12</v>
      </c>
      <c r="H12" s="174"/>
      <c r="I12" s="174">
        <v>0</v>
      </c>
      <c r="J12" s="174">
        <v>0</v>
      </c>
      <c r="K12" s="174"/>
      <c r="L12" s="174">
        <v>1018.93</v>
      </c>
      <c r="M12" s="174" t="s">
        <v>281</v>
      </c>
      <c r="N12" s="174">
        <v>30.01</v>
      </c>
      <c r="O12" s="174">
        <v>1485968400</v>
      </c>
      <c r="P12" s="174">
        <v>3.03</v>
      </c>
      <c r="Q12" s="174">
        <v>19</v>
      </c>
      <c r="R12" s="174">
        <v>2.27</v>
      </c>
    </row>
    <row r="13" spans="1:18" x14ac:dyDescent="0.25">
      <c r="A13" s="174">
        <v>31.12</v>
      </c>
      <c r="B13" s="174">
        <v>0.54</v>
      </c>
      <c r="C13" s="174">
        <v>24.77</v>
      </c>
      <c r="D13" s="8">
        <v>42767.458333333336</v>
      </c>
      <c r="E13" s="174">
        <v>0.77</v>
      </c>
      <c r="F13" s="174" t="s">
        <v>280</v>
      </c>
      <c r="G13" s="174">
        <v>277.24</v>
      </c>
      <c r="H13" s="174"/>
      <c r="I13" s="174">
        <v>0</v>
      </c>
      <c r="J13" s="174">
        <v>0</v>
      </c>
      <c r="K13" s="174"/>
      <c r="L13" s="174">
        <v>1018.43</v>
      </c>
      <c r="M13" s="174" t="s">
        <v>281</v>
      </c>
      <c r="N13" s="174">
        <v>31.12</v>
      </c>
      <c r="O13" s="174">
        <v>1485972000</v>
      </c>
      <c r="P13" s="174">
        <v>3.08</v>
      </c>
      <c r="Q13" s="174">
        <v>18</v>
      </c>
      <c r="R13" s="174">
        <v>2.65</v>
      </c>
    </row>
    <row r="14" spans="1:18" x14ac:dyDescent="0.25">
      <c r="A14" s="174">
        <v>29.27</v>
      </c>
      <c r="B14" s="174">
        <v>0.5</v>
      </c>
      <c r="C14" s="174">
        <v>24.87</v>
      </c>
      <c r="D14" s="8">
        <v>42767.5</v>
      </c>
      <c r="E14" s="174">
        <v>0.74</v>
      </c>
      <c r="F14" s="174" t="s">
        <v>280</v>
      </c>
      <c r="G14" s="174">
        <v>276.57</v>
      </c>
      <c r="H14" s="174"/>
      <c r="I14" s="174">
        <v>0</v>
      </c>
      <c r="J14" s="174">
        <v>0</v>
      </c>
      <c r="K14" s="174"/>
      <c r="L14" s="174">
        <v>1017.51</v>
      </c>
      <c r="M14" s="174" t="s">
        <v>281</v>
      </c>
      <c r="N14" s="174">
        <v>32.35</v>
      </c>
      <c r="O14" s="174">
        <v>1485975600</v>
      </c>
      <c r="P14" s="174">
        <v>3.02</v>
      </c>
      <c r="Q14" s="174">
        <v>30</v>
      </c>
      <c r="R14" s="174">
        <v>3.33</v>
      </c>
    </row>
    <row r="15" spans="1:18" x14ac:dyDescent="0.25">
      <c r="A15" s="174">
        <v>28.67</v>
      </c>
      <c r="B15" s="174">
        <v>0.43</v>
      </c>
      <c r="C15" s="174">
        <v>24.63</v>
      </c>
      <c r="D15" s="8">
        <v>42767.541666666664</v>
      </c>
      <c r="E15" s="174">
        <v>0.7</v>
      </c>
      <c r="F15" s="174" t="s">
        <v>280</v>
      </c>
      <c r="G15" s="174">
        <v>276.49</v>
      </c>
      <c r="H15" s="174"/>
      <c r="I15" s="174">
        <v>0</v>
      </c>
      <c r="J15" s="174">
        <v>0</v>
      </c>
      <c r="K15" s="174"/>
      <c r="L15" s="174">
        <v>1016.53</v>
      </c>
      <c r="M15" s="174" t="s">
        <v>281</v>
      </c>
      <c r="N15" s="174">
        <v>33.36</v>
      </c>
      <c r="O15" s="174">
        <v>1485979200</v>
      </c>
      <c r="P15" s="174">
        <v>3.01</v>
      </c>
      <c r="Q15" s="174">
        <v>10</v>
      </c>
      <c r="R15" s="174">
        <v>5</v>
      </c>
    </row>
    <row r="16" spans="1:18" x14ac:dyDescent="0.25">
      <c r="A16" s="174">
        <v>28.81</v>
      </c>
      <c r="B16" s="174">
        <v>0.4</v>
      </c>
      <c r="C16" s="174">
        <v>25.17</v>
      </c>
      <c r="D16" s="8">
        <v>42767.583333333336</v>
      </c>
      <c r="E16" s="174">
        <v>0.7</v>
      </c>
      <c r="F16" s="174" t="s">
        <v>280</v>
      </c>
      <c r="G16" s="174">
        <v>276.39</v>
      </c>
      <c r="H16" s="174"/>
      <c r="I16" s="174">
        <v>0</v>
      </c>
      <c r="J16" s="174">
        <v>0</v>
      </c>
      <c r="K16" s="174"/>
      <c r="L16" s="174">
        <v>1016.61</v>
      </c>
      <c r="M16" s="174" t="s">
        <v>281</v>
      </c>
      <c r="N16" s="174">
        <v>33.979999999999997</v>
      </c>
      <c r="O16" s="174">
        <v>1485982800</v>
      </c>
      <c r="P16" s="174">
        <v>3.03</v>
      </c>
      <c r="Q16" s="174">
        <v>15</v>
      </c>
      <c r="R16" s="174">
        <v>5.72</v>
      </c>
    </row>
    <row r="17" spans="1:18" x14ac:dyDescent="0.25">
      <c r="A17" s="174">
        <v>26.51</v>
      </c>
      <c r="B17" s="174">
        <v>0.4</v>
      </c>
      <c r="C17" s="174">
        <v>23.95</v>
      </c>
      <c r="D17" s="8">
        <v>42767.625</v>
      </c>
      <c r="E17" s="174">
        <v>0.71</v>
      </c>
      <c r="F17" s="174" t="s">
        <v>280</v>
      </c>
      <c r="G17" s="174">
        <v>275.91000000000003</v>
      </c>
      <c r="H17" s="174"/>
      <c r="I17" s="174">
        <v>0</v>
      </c>
      <c r="J17" s="174">
        <v>0</v>
      </c>
      <c r="K17" s="174"/>
      <c r="L17" s="174">
        <v>1018.59</v>
      </c>
      <c r="M17" s="174" t="s">
        <v>281</v>
      </c>
      <c r="N17" s="174">
        <v>32.25</v>
      </c>
      <c r="O17" s="174">
        <v>1485986400</v>
      </c>
      <c r="P17" s="174">
        <v>3.26</v>
      </c>
      <c r="Q17" s="174">
        <v>17</v>
      </c>
      <c r="R17" s="174">
        <v>6.03</v>
      </c>
    </row>
    <row r="18" spans="1:18" x14ac:dyDescent="0.25">
      <c r="A18" s="174">
        <v>24.4</v>
      </c>
      <c r="B18" s="174">
        <v>0.43</v>
      </c>
      <c r="C18" s="174">
        <v>24.91</v>
      </c>
      <c r="D18" s="8">
        <v>42767.666666666664</v>
      </c>
      <c r="E18" s="174">
        <v>0.8</v>
      </c>
      <c r="F18" s="174" t="s">
        <v>280</v>
      </c>
      <c r="G18" s="174">
        <v>275.43</v>
      </c>
      <c r="H18" s="174"/>
      <c r="I18" s="174">
        <v>0</v>
      </c>
      <c r="J18" s="174">
        <v>0</v>
      </c>
      <c r="K18" s="174"/>
      <c r="L18" s="174">
        <v>1021.81</v>
      </c>
      <c r="M18" s="174" t="s">
        <v>281</v>
      </c>
      <c r="N18" s="174">
        <v>30.36</v>
      </c>
      <c r="O18" s="174">
        <v>1485990000</v>
      </c>
      <c r="P18" s="174">
        <v>4.72</v>
      </c>
      <c r="Q18" s="174">
        <v>29</v>
      </c>
      <c r="R18" s="174">
        <v>5.85</v>
      </c>
    </row>
    <row r="19" spans="1:18" x14ac:dyDescent="0.25">
      <c r="A19" s="174">
        <v>22.4</v>
      </c>
      <c r="B19" s="174">
        <v>0.35</v>
      </c>
      <c r="C19" s="174">
        <v>24.59</v>
      </c>
      <c r="D19" s="8">
        <v>42767.708333333336</v>
      </c>
      <c r="E19" s="174">
        <v>0.87</v>
      </c>
      <c r="F19" s="174" t="s">
        <v>280</v>
      </c>
      <c r="G19" s="174">
        <v>275.45</v>
      </c>
      <c r="H19" s="174"/>
      <c r="I19" s="174">
        <v>0</v>
      </c>
      <c r="J19" s="174">
        <v>0</v>
      </c>
      <c r="K19" s="174"/>
      <c r="L19" s="174">
        <v>1024.27</v>
      </c>
      <c r="M19" s="174" t="s">
        <v>281</v>
      </c>
      <c r="N19" s="174">
        <v>28.01</v>
      </c>
      <c r="O19" s="174">
        <v>1485993600</v>
      </c>
      <c r="P19" s="174">
        <v>5.33</v>
      </c>
      <c r="Q19" s="174">
        <v>38</v>
      </c>
      <c r="R19" s="174">
        <v>4.99</v>
      </c>
    </row>
    <row r="20" spans="1:18" x14ac:dyDescent="0.25">
      <c r="A20" s="174">
        <v>20.18</v>
      </c>
      <c r="B20" s="174">
        <v>0.46</v>
      </c>
      <c r="C20" s="174">
        <v>22.71</v>
      </c>
      <c r="D20" s="8">
        <v>42767.75</v>
      </c>
      <c r="E20" s="174">
        <v>0.89</v>
      </c>
      <c r="F20" s="174" t="s">
        <v>279</v>
      </c>
      <c r="G20" s="174">
        <v>276.41000000000003</v>
      </c>
      <c r="H20" s="174"/>
      <c r="I20" s="174">
        <v>0</v>
      </c>
      <c r="J20" s="174">
        <v>0</v>
      </c>
      <c r="K20" s="174"/>
      <c r="L20" s="174">
        <v>1026.4100000000001</v>
      </c>
      <c r="M20" s="174" t="s">
        <v>281</v>
      </c>
      <c r="N20" s="174">
        <v>25.37</v>
      </c>
      <c r="O20" s="174">
        <v>1485997200</v>
      </c>
      <c r="P20" s="174">
        <v>4.12</v>
      </c>
      <c r="Q20" s="174">
        <v>80</v>
      </c>
      <c r="R20" s="174">
        <v>4.1900000000000004</v>
      </c>
    </row>
    <row r="21" spans="1:18" x14ac:dyDescent="0.25">
      <c r="A21" s="174">
        <v>20.7</v>
      </c>
      <c r="B21" s="174">
        <v>0.57999999999999996</v>
      </c>
      <c r="C21" s="174">
        <v>22.71</v>
      </c>
      <c r="D21" s="8">
        <v>42767.791666666664</v>
      </c>
      <c r="E21" s="174">
        <v>0.91</v>
      </c>
      <c r="F21" s="174" t="s">
        <v>279</v>
      </c>
      <c r="G21" s="174">
        <v>277.88</v>
      </c>
      <c r="H21" s="174"/>
      <c r="I21" s="174">
        <v>0</v>
      </c>
      <c r="J21" s="174">
        <v>0</v>
      </c>
      <c r="K21" s="174"/>
      <c r="L21" s="174">
        <v>1028.08</v>
      </c>
      <c r="M21" s="174" t="s">
        <v>281</v>
      </c>
      <c r="N21" s="174">
        <v>25.06</v>
      </c>
      <c r="O21" s="174">
        <v>1486000800</v>
      </c>
      <c r="P21" s="174">
        <v>2.57</v>
      </c>
      <c r="Q21" s="174">
        <v>83</v>
      </c>
      <c r="R21" s="174">
        <v>3.52</v>
      </c>
    </row>
    <row r="22" spans="1:18" x14ac:dyDescent="0.25">
      <c r="A22" s="174">
        <v>19.059999999999999</v>
      </c>
      <c r="B22" s="174">
        <v>0.67</v>
      </c>
      <c r="C22" s="174">
        <v>21.71</v>
      </c>
      <c r="D22" s="8">
        <v>42767.833333333336</v>
      </c>
      <c r="E22" s="174">
        <v>0.91</v>
      </c>
      <c r="F22" s="174" t="s">
        <v>279</v>
      </c>
      <c r="G22" s="174">
        <v>279.10000000000002</v>
      </c>
      <c r="H22" s="174"/>
      <c r="I22" s="174">
        <v>0</v>
      </c>
      <c r="J22" s="174">
        <v>0</v>
      </c>
      <c r="K22" s="174"/>
      <c r="L22" s="174">
        <v>1029.27</v>
      </c>
      <c r="M22" s="174" t="s">
        <v>351</v>
      </c>
      <c r="N22" s="174">
        <v>23.97</v>
      </c>
      <c r="O22" s="174">
        <v>1486004400</v>
      </c>
      <c r="P22" s="174">
        <v>2.5</v>
      </c>
      <c r="Q22" s="174">
        <v>76</v>
      </c>
      <c r="R22" s="174">
        <v>3.8</v>
      </c>
    </row>
    <row r="23" spans="1:18" x14ac:dyDescent="0.25">
      <c r="A23" s="174">
        <v>18.28</v>
      </c>
      <c r="B23" s="174">
        <v>0.85</v>
      </c>
      <c r="C23" s="174">
        <v>22.1</v>
      </c>
      <c r="D23" s="8">
        <v>42767.875</v>
      </c>
      <c r="E23" s="174">
        <v>0.92</v>
      </c>
      <c r="F23" s="174" t="s">
        <v>279</v>
      </c>
      <c r="G23" s="174">
        <v>279.75</v>
      </c>
      <c r="H23" s="174">
        <v>0.01</v>
      </c>
      <c r="I23" s="174">
        <v>8.0000000000000004E-4</v>
      </c>
      <c r="J23" s="174">
        <v>0.01</v>
      </c>
      <c r="K23" s="174" t="s">
        <v>669</v>
      </c>
      <c r="L23" s="174">
        <v>1029.81</v>
      </c>
      <c r="M23" s="174" t="s">
        <v>351</v>
      </c>
      <c r="N23" s="174">
        <v>24.19</v>
      </c>
      <c r="O23" s="174">
        <v>1486008000</v>
      </c>
      <c r="P23" s="174">
        <v>2.25</v>
      </c>
      <c r="Q23" s="174">
        <v>69</v>
      </c>
      <c r="R23" s="174">
        <v>4.66</v>
      </c>
    </row>
    <row r="24" spans="1:18" x14ac:dyDescent="0.25">
      <c r="A24" s="174">
        <v>18.84</v>
      </c>
      <c r="B24" s="174">
        <v>0.93</v>
      </c>
      <c r="C24" s="174">
        <v>21.08</v>
      </c>
      <c r="D24" s="8">
        <v>42767.916666666664</v>
      </c>
      <c r="E24" s="174">
        <v>0.91</v>
      </c>
      <c r="F24" s="174" t="s">
        <v>279</v>
      </c>
      <c r="G24" s="174">
        <v>280.14999999999998</v>
      </c>
      <c r="H24" s="174">
        <v>1.2999999999999999E-2</v>
      </c>
      <c r="I24" s="174">
        <v>1E-3</v>
      </c>
      <c r="J24" s="174">
        <v>0.01</v>
      </c>
      <c r="K24" s="174" t="s">
        <v>669</v>
      </c>
      <c r="L24" s="174">
        <v>1029.73</v>
      </c>
      <c r="M24" s="174" t="s">
        <v>351</v>
      </c>
      <c r="N24" s="174">
        <v>23.18</v>
      </c>
      <c r="O24" s="174">
        <v>1486011600</v>
      </c>
      <c r="P24" s="174">
        <v>2.77</v>
      </c>
      <c r="Q24" s="174">
        <v>62</v>
      </c>
      <c r="R24" s="174">
        <v>3.32</v>
      </c>
    </row>
    <row r="25" spans="1:18" x14ac:dyDescent="0.25">
      <c r="A25" s="174">
        <v>17.829999999999998</v>
      </c>
      <c r="B25" s="174">
        <v>0.96</v>
      </c>
      <c r="C25" s="174">
        <v>20.85</v>
      </c>
      <c r="D25" s="8">
        <v>42767.958333333336</v>
      </c>
      <c r="E25" s="174">
        <v>0.91</v>
      </c>
      <c r="F25" s="174" t="s">
        <v>670</v>
      </c>
      <c r="G25" s="174">
        <v>280.60000000000002</v>
      </c>
      <c r="H25" s="174">
        <v>1.2999999999999999E-2</v>
      </c>
      <c r="I25" s="174">
        <v>1E-3</v>
      </c>
      <c r="J25" s="174">
        <v>0.01</v>
      </c>
      <c r="K25" s="174" t="s">
        <v>669</v>
      </c>
      <c r="L25" s="174">
        <v>1029.47</v>
      </c>
      <c r="M25" s="174" t="s">
        <v>671</v>
      </c>
      <c r="N25" s="174">
        <v>22.96</v>
      </c>
      <c r="O25" s="174">
        <v>1486015200</v>
      </c>
      <c r="P25" s="174">
        <v>2.65</v>
      </c>
      <c r="Q25" s="174">
        <v>62</v>
      </c>
      <c r="R25" s="174">
        <v>3.84</v>
      </c>
    </row>
    <row r="26" spans="1:18" x14ac:dyDescent="0.25">
      <c r="A26" s="174">
        <v>18.010000000000002</v>
      </c>
      <c r="B26" s="174">
        <v>0.96</v>
      </c>
      <c r="C26" s="174">
        <v>20.78</v>
      </c>
      <c r="D26" s="8">
        <v>42768</v>
      </c>
      <c r="E26" s="174">
        <v>0.91</v>
      </c>
      <c r="F26" s="174" t="s">
        <v>669</v>
      </c>
      <c r="G26" s="174">
        <v>281.23</v>
      </c>
      <c r="H26" s="174">
        <v>1.4999999999999999E-2</v>
      </c>
      <c r="I26" s="174">
        <v>1.1000000000000001E-3</v>
      </c>
      <c r="J26" s="174">
        <v>0.02</v>
      </c>
      <c r="K26" s="174" t="s">
        <v>669</v>
      </c>
      <c r="L26" s="174">
        <v>1029.0899999999999</v>
      </c>
      <c r="M26" s="174" t="s">
        <v>672</v>
      </c>
      <c r="N26" s="174">
        <v>23.07</v>
      </c>
      <c r="O26" s="174">
        <v>1486018800</v>
      </c>
      <c r="P26" s="174">
        <v>2.59</v>
      </c>
      <c r="Q26" s="174">
        <v>58</v>
      </c>
      <c r="R26" s="174">
        <v>3.81</v>
      </c>
    </row>
    <row r="27" spans="1:18" x14ac:dyDescent="0.25">
      <c r="A27" s="174">
        <v>17.04</v>
      </c>
      <c r="B27" s="174">
        <v>0.96</v>
      </c>
      <c r="C27" s="174">
        <v>19.760000000000002</v>
      </c>
      <c r="D27" s="8">
        <v>42768.041666666664</v>
      </c>
      <c r="E27" s="174">
        <v>0.91</v>
      </c>
      <c r="F27" s="174" t="s">
        <v>670</v>
      </c>
      <c r="G27" s="174">
        <v>281.87</v>
      </c>
      <c r="H27" s="174"/>
      <c r="I27" s="174">
        <v>0</v>
      </c>
      <c r="J27" s="174">
        <v>0</v>
      </c>
      <c r="K27" s="174"/>
      <c r="L27" s="174">
        <v>1028.78</v>
      </c>
      <c r="M27" s="174" t="s">
        <v>671</v>
      </c>
      <c r="N27" s="174">
        <v>21.92</v>
      </c>
      <c r="O27" s="174">
        <v>1486022400</v>
      </c>
      <c r="P27" s="174">
        <v>2.6</v>
      </c>
      <c r="Q27" s="174">
        <v>57</v>
      </c>
      <c r="R27" s="174">
        <v>3.56</v>
      </c>
    </row>
    <row r="28" spans="1:18" x14ac:dyDescent="0.25">
      <c r="A28" s="174">
        <v>16.71</v>
      </c>
      <c r="B28" s="174">
        <v>0.96</v>
      </c>
      <c r="C28" s="174">
        <v>19.72</v>
      </c>
      <c r="D28" s="8">
        <v>42768.083333333336</v>
      </c>
      <c r="E28" s="174">
        <v>0.91</v>
      </c>
      <c r="F28" s="174" t="s">
        <v>669</v>
      </c>
      <c r="G28" s="174">
        <v>282.51</v>
      </c>
      <c r="H28" s="174">
        <v>1.9E-2</v>
      </c>
      <c r="I28" s="174">
        <v>1.2999999999999999E-3</v>
      </c>
      <c r="J28" s="174">
        <v>0.02</v>
      </c>
      <c r="K28" s="174" t="s">
        <v>669</v>
      </c>
      <c r="L28" s="174">
        <v>1028.5</v>
      </c>
      <c r="M28" s="174" t="s">
        <v>672</v>
      </c>
      <c r="N28" s="174">
        <v>21.9</v>
      </c>
      <c r="O28" s="174">
        <v>1486026000</v>
      </c>
      <c r="P28" s="174">
        <v>3.13</v>
      </c>
      <c r="Q28" s="174">
        <v>39</v>
      </c>
      <c r="R28" s="174">
        <v>3.78</v>
      </c>
    </row>
    <row r="29" spans="1:18" x14ac:dyDescent="0.25">
      <c r="A29" s="174">
        <v>14.71</v>
      </c>
      <c r="B29" s="174">
        <v>0.96</v>
      </c>
      <c r="C29" s="174">
        <v>17.559999999999999</v>
      </c>
      <c r="D29" s="8">
        <v>42768.125</v>
      </c>
      <c r="E29" s="174">
        <v>0.9</v>
      </c>
      <c r="F29" s="174" t="s">
        <v>669</v>
      </c>
      <c r="G29" s="174">
        <v>282.7</v>
      </c>
      <c r="H29" s="174">
        <v>2.1000000000000001E-2</v>
      </c>
      <c r="I29" s="174">
        <v>1.2999999999999999E-3</v>
      </c>
      <c r="J29" s="174">
        <v>0.02</v>
      </c>
      <c r="K29" s="174" t="s">
        <v>669</v>
      </c>
      <c r="L29" s="174">
        <v>1028.58</v>
      </c>
      <c r="M29" s="174" t="s">
        <v>672</v>
      </c>
      <c r="N29" s="174">
        <v>20.14</v>
      </c>
      <c r="O29" s="174">
        <v>1486029600</v>
      </c>
      <c r="P29" s="174">
        <v>4.32</v>
      </c>
      <c r="Q29" s="174">
        <v>44</v>
      </c>
      <c r="R29" s="174">
        <v>3.76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4" t="s">
        <v>190</v>
      </c>
    </row>
    <row r="33" spans="1:1" x14ac:dyDescent="0.25">
      <c r="A33" s="15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I16" sqref="I1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4" t="s">
        <v>101</v>
      </c>
      <c r="K1" s="164" t="s">
        <v>66</v>
      </c>
      <c r="L1" s="164" t="s">
        <v>67</v>
      </c>
      <c r="O1" s="165" t="s">
        <v>102</v>
      </c>
    </row>
    <row r="2" spans="1:16" ht="15.75" thickBot="1" x14ac:dyDescent="0.3">
      <c r="A2" s="12">
        <v>42767</v>
      </c>
      <c r="B2" s="4"/>
      <c r="C2" s="133">
        <v>50</v>
      </c>
      <c r="D2" s="134">
        <v>25</v>
      </c>
      <c r="F2" t="s">
        <v>113</v>
      </c>
      <c r="J2" s="164"/>
      <c r="K2" s="164" t="s">
        <v>66</v>
      </c>
      <c r="L2" s="164" t="s">
        <v>67</v>
      </c>
    </row>
    <row r="3" spans="1:16" x14ac:dyDescent="0.25">
      <c r="C3" s="64"/>
      <c r="F3" t="s">
        <v>52</v>
      </c>
      <c r="J3" s="166" t="s">
        <v>68</v>
      </c>
      <c r="K3" s="167">
        <v>2.7052</v>
      </c>
      <c r="L3" s="167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6" t="s">
        <v>69</v>
      </c>
      <c r="K4" s="167">
        <v>3.0830000000000002</v>
      </c>
      <c r="L4" s="167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6" t="s">
        <v>70</v>
      </c>
      <c r="K5" s="167">
        <v>3.3136000000000001</v>
      </c>
      <c r="L5" s="167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6" t="s">
        <v>71</v>
      </c>
      <c r="K6" s="167">
        <v>4.2778999999999998</v>
      </c>
      <c r="L6" s="167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6" t="s">
        <v>72</v>
      </c>
      <c r="K7" s="167">
        <v>4.7865000000000002</v>
      </c>
      <c r="L7" s="167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6" t="s">
        <v>73</v>
      </c>
      <c r="K8" s="167">
        <v>5.3155000000000001</v>
      </c>
      <c r="L8" s="167">
        <v>5.3277000000000001</v>
      </c>
      <c r="M8" s="152">
        <f t="shared" si="0"/>
        <v>5.3216000000000001</v>
      </c>
    </row>
    <row r="9" spans="1:16" x14ac:dyDescent="0.25">
      <c r="C9" s="64"/>
      <c r="J9" s="166" t="s">
        <v>74</v>
      </c>
      <c r="K9" s="167">
        <v>5.8117000000000001</v>
      </c>
      <c r="L9" s="167">
        <v>5.8300999999999998</v>
      </c>
      <c r="M9" s="152">
        <f t="shared" si="0"/>
        <v>5.8209</v>
      </c>
    </row>
    <row r="10" spans="1:16" x14ac:dyDescent="0.25">
      <c r="C10" s="64"/>
      <c r="J10" s="166" t="s">
        <v>75</v>
      </c>
      <c r="K10" s="167">
        <v>5.8783000000000003</v>
      </c>
      <c r="L10" s="167">
        <v>5.8903999999999996</v>
      </c>
      <c r="M10" s="152">
        <f t="shared" si="0"/>
        <v>5.8843499999999995</v>
      </c>
    </row>
    <row r="11" spans="1:16" x14ac:dyDescent="0.25">
      <c r="C11" s="64"/>
      <c r="J11" s="166" t="s">
        <v>76</v>
      </c>
      <c r="K11" s="167">
        <v>6.3068</v>
      </c>
      <c r="L11" s="167">
        <v>6.3308999999999997</v>
      </c>
      <c r="M11" s="152">
        <f t="shared" si="0"/>
        <v>6.3188499999999994</v>
      </c>
    </row>
    <row r="12" spans="1:16" x14ac:dyDescent="0.25">
      <c r="C12" s="64"/>
      <c r="J12" s="166" t="s">
        <v>77</v>
      </c>
      <c r="K12" s="167">
        <v>7.8349000000000002</v>
      </c>
      <c r="L12" s="167">
        <v>7.8468999999999998</v>
      </c>
      <c r="M12" s="152">
        <f t="shared" si="0"/>
        <v>7.8408999999999995</v>
      </c>
    </row>
    <row r="13" spans="1:16" x14ac:dyDescent="0.25">
      <c r="C13" s="64"/>
      <c r="J13" s="166" t="s">
        <v>78</v>
      </c>
      <c r="K13" s="167">
        <v>10.373799999999999</v>
      </c>
      <c r="L13" s="167">
        <v>10.38</v>
      </c>
      <c r="M13" s="152">
        <f t="shared" si="0"/>
        <v>10.376899999999999</v>
      </c>
    </row>
    <row r="14" spans="1:16" x14ac:dyDescent="0.25">
      <c r="C14" s="64"/>
      <c r="J14" s="166" t="s">
        <v>79</v>
      </c>
      <c r="K14" s="167">
        <v>10.8954</v>
      </c>
      <c r="L14" s="167">
        <v>10.913500000000001</v>
      </c>
      <c r="M14" s="152">
        <f t="shared" si="0"/>
        <v>10.904450000000001</v>
      </c>
    </row>
    <row r="15" spans="1:16" x14ac:dyDescent="0.25">
      <c r="C15" s="64"/>
      <c r="J15" s="166"/>
      <c r="K15" s="167"/>
      <c r="L15" s="167"/>
    </row>
    <row r="16" spans="1:16" x14ac:dyDescent="0.25">
      <c r="C16" s="64"/>
      <c r="J16" s="166"/>
      <c r="K16" s="167"/>
      <c r="L16" s="167"/>
    </row>
    <row r="17" spans="3:13" x14ac:dyDescent="0.25">
      <c r="C17" s="149" t="s">
        <v>191</v>
      </c>
      <c r="J17" s="166"/>
      <c r="K17" s="167"/>
      <c r="L17" s="167"/>
    </row>
    <row r="18" spans="3:13" x14ac:dyDescent="0.25">
      <c r="C18" t="s">
        <v>845</v>
      </c>
      <c r="J18" s="166" t="s">
        <v>85</v>
      </c>
      <c r="K18" s="167"/>
      <c r="L18" s="167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846</v>
      </c>
      <c r="J19" s="166" t="s">
        <v>86</v>
      </c>
      <c r="K19" s="167"/>
      <c r="L19" s="167"/>
      <c r="M19" s="152" t="s">
        <v>112</v>
      </c>
    </row>
    <row r="20" spans="3:13" x14ac:dyDescent="0.25">
      <c r="C20" t="s">
        <v>847</v>
      </c>
      <c r="J20" s="152" t="s">
        <v>87</v>
      </c>
      <c r="M20" s="152" t="s">
        <v>220</v>
      </c>
    </row>
    <row r="21" spans="3:13" x14ac:dyDescent="0.25">
      <c r="C21" t="s">
        <v>848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849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850</v>
      </c>
      <c r="J23" s="168" t="s">
        <v>95</v>
      </c>
      <c r="M23" s="152" t="str">
        <f>"-07"</f>
        <v>-07</v>
      </c>
    </row>
    <row r="24" spans="3:13" x14ac:dyDescent="0.25">
      <c r="C24" t="s">
        <v>851</v>
      </c>
      <c r="J24" s="152" t="s">
        <v>108</v>
      </c>
      <c r="M24" s="152" t="s">
        <v>110</v>
      </c>
    </row>
    <row r="25" spans="3:13" x14ac:dyDescent="0.25">
      <c r="C25" t="s">
        <v>852</v>
      </c>
      <c r="J25" s="152" t="s">
        <v>150</v>
      </c>
      <c r="M25" s="152" t="b">
        <v>1</v>
      </c>
    </row>
    <row r="26" spans="3:13" x14ac:dyDescent="0.25">
      <c r="C26" t="s">
        <v>853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C:\Users\stu\Documents\GitHub\eaglep3-reporting\EC\2017-02-01-refined-times.txt</v>
      </c>
    </row>
    <row r="27" spans="3:13" x14ac:dyDescent="0.25">
      <c r="C27" t="s">
        <v>854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C:\Users\stu\Documents\GitHub\eaglep3-reporting\EC\2017-02-01-Enforcements.txt</v>
      </c>
    </row>
    <row r="28" spans="3:13" x14ac:dyDescent="0.25">
      <c r="C28" t="s">
        <v>855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C:\Users\stu\Documents\GitHub\eaglep3-reporting\EC\2017-02-01-Runs-refined.txt</v>
      </c>
    </row>
    <row r="29" spans="3:13" x14ac:dyDescent="0.25">
      <c r="C29" t="s">
        <v>856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C:\Users\stu\Documents\GitHub\eaglep3-reporting\EC\2017-02-01-Trips.txt</v>
      </c>
    </row>
    <row r="30" spans="3:13" x14ac:dyDescent="0.25">
      <c r="C30" t="s">
        <v>857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C:\Users\stu\Documents\GitHub\eaglep3-reporting\EC\2017-02-01-Weather.txt</v>
      </c>
    </row>
    <row r="31" spans="3:13" x14ac:dyDescent="0.25">
      <c r="C31" t="s">
        <v>858</v>
      </c>
      <c r="J31" s="152" t="s">
        <v>218</v>
      </c>
      <c r="M31" s="152" t="s">
        <v>219</v>
      </c>
    </row>
    <row r="32" spans="3:13" x14ac:dyDescent="0.25">
      <c r="C32" t="s">
        <v>859</v>
      </c>
    </row>
    <row r="33" spans="3:3" x14ac:dyDescent="0.25">
      <c r="C33" t="s">
        <v>860</v>
      </c>
    </row>
    <row r="34" spans="3:3" x14ac:dyDescent="0.25">
      <c r="C34" t="s">
        <v>861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872</v>
      </c>
      <c r="B1" t="str">
        <f t="shared" ref="B1:B30" si="0">MID(A1,6,23)</f>
        <v>2017/02/01 11:21:53.719</v>
      </c>
      <c r="C1" t="e">
        <f>ABS(B1-#REF!)</f>
        <v>#REF!</v>
      </c>
    </row>
    <row r="2" spans="1:3" x14ac:dyDescent="0.25">
      <c r="A2" t="s">
        <v>873</v>
      </c>
      <c r="B2" s="20" t="str">
        <f t="shared" si="0"/>
        <v>2017/02/01 11:21:53.918</v>
      </c>
      <c r="C2">
        <f>ABS(B2-B1)</f>
        <v>2.3032407625578344E-6</v>
      </c>
    </row>
    <row r="3" spans="1:3" x14ac:dyDescent="0.25">
      <c r="A3" t="s">
        <v>874</v>
      </c>
      <c r="B3" s="20" t="str">
        <f t="shared" si="0"/>
        <v>2017/02/01 11:28:40.722</v>
      </c>
      <c r="C3" s="20">
        <f t="shared" ref="C3:C30" si="1">ABS(B3-B2)</f>
        <v>4.7083796307560988E-3</v>
      </c>
    </row>
    <row r="4" spans="1:3" x14ac:dyDescent="0.25">
      <c r="A4" t="s">
        <v>875</v>
      </c>
      <c r="B4" s="20" t="str">
        <f t="shared" si="0"/>
        <v>2017/02/01 11:28:41.737</v>
      </c>
      <c r="C4" s="20">
        <f t="shared" si="1"/>
        <v>1.1747688404284418E-5</v>
      </c>
    </row>
    <row r="5" spans="1:3" x14ac:dyDescent="0.25">
      <c r="A5" t="s">
        <v>876</v>
      </c>
      <c r="B5" s="20" t="str">
        <f t="shared" si="0"/>
        <v>2017/02/01 11:28:41.835</v>
      </c>
      <c r="C5" s="20">
        <f t="shared" si="1"/>
        <v>1.1342563084326684E-6</v>
      </c>
    </row>
    <row r="6" spans="1:3" x14ac:dyDescent="0.25">
      <c r="A6" t="s">
        <v>877</v>
      </c>
      <c r="B6" s="20" t="str">
        <f t="shared" si="0"/>
        <v>2017/02/01 14:43:14.868</v>
      </c>
      <c r="C6" s="20">
        <f t="shared" si="1"/>
        <v>0.13510454861534527</v>
      </c>
    </row>
    <row r="7" spans="1:3" x14ac:dyDescent="0.25">
      <c r="A7" t="s">
        <v>878</v>
      </c>
      <c r="B7" s="20" t="str">
        <f t="shared" si="0"/>
        <v>2017/02/01 14:43:15.148</v>
      </c>
      <c r="C7" s="20">
        <f t="shared" si="1"/>
        <v>3.2407406251877546E-6</v>
      </c>
    </row>
    <row r="8" spans="1:3" x14ac:dyDescent="0.25">
      <c r="A8" t="s">
        <v>879</v>
      </c>
      <c r="B8" s="20" t="str">
        <f t="shared" si="0"/>
        <v>2017/02/01 14:43:15.489</v>
      </c>
      <c r="C8" s="20">
        <f t="shared" si="1"/>
        <v>3.9467558963224292E-6</v>
      </c>
    </row>
    <row r="9" spans="1:3" x14ac:dyDescent="0.25">
      <c r="A9" t="s">
        <v>880</v>
      </c>
      <c r="B9" s="20" t="str">
        <f t="shared" si="0"/>
        <v>2017/02/01 14:50:29.500</v>
      </c>
      <c r="C9" s="20">
        <f t="shared" si="1"/>
        <v>5.023275465646293E-3</v>
      </c>
    </row>
    <row r="10" spans="1:3" x14ac:dyDescent="0.25">
      <c r="A10" t="s">
        <v>881</v>
      </c>
      <c r="B10" s="20" t="str">
        <f t="shared" si="0"/>
        <v>2017/02/01 14:50:29.860</v>
      </c>
      <c r="C10" s="20">
        <f t="shared" si="1"/>
        <v>4.166664439253509E-6</v>
      </c>
    </row>
    <row r="11" spans="1:3" x14ac:dyDescent="0.25">
      <c r="A11" t="s">
        <v>882</v>
      </c>
      <c r="B11" s="20" t="str">
        <f t="shared" si="0"/>
        <v>2017/02/01 14:50:29.989</v>
      </c>
      <c r="C11" s="20">
        <f t="shared" si="1"/>
        <v>1.4930556062608957E-6</v>
      </c>
    </row>
    <row r="12" spans="1:3" x14ac:dyDescent="0.25">
      <c r="A12" t="s">
        <v>883</v>
      </c>
      <c r="B12" s="20" t="str">
        <f t="shared" si="0"/>
        <v>2017/02/01 14:59:01.709</v>
      </c>
      <c r="C12" s="20">
        <f t="shared" si="1"/>
        <v>5.9226851881248876E-3</v>
      </c>
    </row>
    <row r="13" spans="1:3" x14ac:dyDescent="0.25">
      <c r="A13" t="s">
        <v>884</v>
      </c>
      <c r="B13" s="20" t="str">
        <f t="shared" si="0"/>
        <v>2017/02/01 15:04:56.012</v>
      </c>
      <c r="C13" s="20">
        <f t="shared" si="1"/>
        <v>4.1007291656569578E-3</v>
      </c>
    </row>
    <row r="14" spans="1:3" x14ac:dyDescent="0.25">
      <c r="A14" t="s">
        <v>885</v>
      </c>
      <c r="B14" s="20" t="str">
        <f t="shared" si="0"/>
        <v>2017/02/01 15:04:56.224</v>
      </c>
      <c r="C14" s="20">
        <f t="shared" si="1"/>
        <v>2.4537002900615335E-6</v>
      </c>
    </row>
    <row r="15" spans="1:3" x14ac:dyDescent="0.25">
      <c r="A15" t="s">
        <v>886</v>
      </c>
      <c r="B15" s="20" t="str">
        <f t="shared" si="0"/>
        <v>2017/02/01 15:04:57.019</v>
      </c>
      <c r="C15" s="20">
        <f t="shared" si="1"/>
        <v>9.2013870016671717E-6</v>
      </c>
    </row>
    <row r="16" spans="1:3" x14ac:dyDescent="0.25">
      <c r="A16" t="s">
        <v>887</v>
      </c>
      <c r="B16" s="20" t="str">
        <f t="shared" si="0"/>
        <v>2017/02/01 15:13:25.210</v>
      </c>
      <c r="C16" s="20">
        <f t="shared" si="1"/>
        <v>5.8818402831093408E-3</v>
      </c>
    </row>
    <row r="17" spans="1:3" x14ac:dyDescent="0.25">
      <c r="A17" t="s">
        <v>888</v>
      </c>
      <c r="B17" s="20" t="str">
        <f t="shared" si="0"/>
        <v>2017/02/01 15:13:25.416</v>
      </c>
      <c r="C17" s="20">
        <f t="shared" si="1"/>
        <v>2.3842585505917668E-6</v>
      </c>
    </row>
    <row r="18" spans="1:3" x14ac:dyDescent="0.25">
      <c r="A18" t="s">
        <v>889</v>
      </c>
      <c r="B18" s="20" t="str">
        <f t="shared" si="0"/>
        <v>2017/02/01 15:13:25.751</v>
      </c>
      <c r="C18" s="20">
        <f t="shared" si="1"/>
        <v>3.8773141568526626E-6</v>
      </c>
    </row>
    <row r="19" spans="1:3" x14ac:dyDescent="0.25">
      <c r="A19" t="s">
        <v>890</v>
      </c>
      <c r="B19" s="20" t="str">
        <f t="shared" si="0"/>
        <v>2017/02/01 17:53:32.749</v>
      </c>
      <c r="C19" s="20">
        <f t="shared" si="1"/>
        <v>0.11119210648030275</v>
      </c>
    </row>
    <row r="20" spans="1:3" x14ac:dyDescent="0.25">
      <c r="A20" t="s">
        <v>891</v>
      </c>
      <c r="B20" s="20" t="str">
        <f t="shared" si="0"/>
        <v>2017/02/01 17:53:32.933</v>
      </c>
      <c r="C20" s="20">
        <f t="shared" si="1"/>
        <v>2.1296291379258037E-6</v>
      </c>
    </row>
    <row r="21" spans="1:3" x14ac:dyDescent="0.25">
      <c r="A21" t="s">
        <v>892</v>
      </c>
      <c r="B21" s="20" t="str">
        <f t="shared" si="0"/>
        <v>2017/02/01 17:53:33.398</v>
      </c>
      <c r="C21" s="20">
        <f t="shared" si="1"/>
        <v>5.3819458116777241E-6</v>
      </c>
    </row>
    <row r="22" spans="1:3" x14ac:dyDescent="0.25">
      <c r="A22" t="s">
        <v>893</v>
      </c>
      <c r="B22" s="20" t="str">
        <f t="shared" si="0"/>
        <v>2017/02/01 18:03:01.498</v>
      </c>
      <c r="C22" s="20">
        <f t="shared" si="1"/>
        <v>6.5752314840210602E-3</v>
      </c>
    </row>
    <row r="23" spans="1:3" x14ac:dyDescent="0.25">
      <c r="A23" t="s">
        <v>894</v>
      </c>
      <c r="B23" s="20" t="str">
        <f t="shared" si="0"/>
        <v>2017/02/01 18:03:01.986</v>
      </c>
      <c r="C23" s="20">
        <f t="shared" si="1"/>
        <v>5.6481439969502389E-6</v>
      </c>
    </row>
    <row r="24" spans="1:3" x14ac:dyDescent="0.25">
      <c r="A24" t="s">
        <v>895</v>
      </c>
      <c r="B24" s="20" t="str">
        <f t="shared" si="0"/>
        <v>2017/02/01 18:03:02.854</v>
      </c>
      <c r="C24" s="20">
        <f t="shared" si="1"/>
        <v>1.0046300303656608E-5</v>
      </c>
    </row>
    <row r="25" spans="1:3" x14ac:dyDescent="0.25">
      <c r="A25" t="s">
        <v>896</v>
      </c>
      <c r="B25" s="20" t="str">
        <f t="shared" si="0"/>
        <v>2017/02/01 18:26:16.989</v>
      </c>
      <c r="C25" s="20">
        <f t="shared" si="1"/>
        <v>1.6135821759235114E-2</v>
      </c>
    </row>
    <row r="26" spans="1:3" x14ac:dyDescent="0.25">
      <c r="A26" t="s">
        <v>897</v>
      </c>
      <c r="B26" s="20" t="str">
        <f t="shared" si="0"/>
        <v>2017/02/01 18:26:17.502</v>
      </c>
      <c r="C26" s="20">
        <f t="shared" si="1"/>
        <v>5.9374942793510854E-6</v>
      </c>
    </row>
    <row r="27" spans="1:3" x14ac:dyDescent="0.25">
      <c r="A27" t="s">
        <v>898</v>
      </c>
      <c r="B27" s="20" t="str">
        <f t="shared" si="0"/>
        <v>2017/02/01 18:26:17.856</v>
      </c>
      <c r="C27" s="20">
        <f t="shared" si="1"/>
        <v>4.0972226997837424E-6</v>
      </c>
    </row>
    <row r="28" spans="1:3" x14ac:dyDescent="0.25">
      <c r="A28" t="s">
        <v>899</v>
      </c>
      <c r="B28" s="20" t="str">
        <f t="shared" si="0"/>
        <v>2017/02/01 18:46:14.823</v>
      </c>
      <c r="C28" s="20">
        <f t="shared" si="1"/>
        <v>1.385378472332377E-2</v>
      </c>
    </row>
    <row r="29" spans="1:3" x14ac:dyDescent="0.25">
      <c r="A29" t="s">
        <v>900</v>
      </c>
      <c r="B29" s="20" t="str">
        <f t="shared" si="0"/>
        <v>2017/02/01 18:46:15.694</v>
      </c>
      <c r="C29" s="20">
        <f t="shared" si="1"/>
        <v>1.0081021173391491E-5</v>
      </c>
    </row>
    <row r="30" spans="1:3" x14ac:dyDescent="0.25">
      <c r="A30" t="s">
        <v>901</v>
      </c>
      <c r="B30" s="20" t="str">
        <f t="shared" si="0"/>
        <v>2017/02/01 18:46:16.687</v>
      </c>
      <c r="C30" s="20">
        <f t="shared" si="1"/>
        <v>1.149305171566084E-5</v>
      </c>
    </row>
    <row r="31" spans="1:3" x14ac:dyDescent="0.25">
      <c r="A31" t="s">
        <v>902</v>
      </c>
      <c r="B31" s="20" t="str">
        <f t="shared" ref="B31:B32" si="2">MID(A31,6,23)</f>
        <v>2017/02/01 20:49:02.639</v>
      </c>
      <c r="C31" s="20">
        <f t="shared" ref="C31:C32" si="3">ABS(B31-B30)</f>
        <v>8.5254074074327946E-2</v>
      </c>
    </row>
    <row r="32" spans="1:3" x14ac:dyDescent="0.25">
      <c r="A32" t="s">
        <v>903</v>
      </c>
      <c r="B32" s="20" t="str">
        <f t="shared" si="2"/>
        <v>2017/02/01 20:49:02.859</v>
      </c>
      <c r="C32" s="20">
        <f t="shared" si="3"/>
        <v>2.5463014026172459E-6</v>
      </c>
    </row>
    <row r="33" spans="1:3" x14ac:dyDescent="0.25">
      <c r="A33" t="s">
        <v>904</v>
      </c>
      <c r="B33" s="20" t="str">
        <f t="shared" ref="B33:B49" si="4">MID(A33,6,23)</f>
        <v>2017/02/01 20:49:03.433</v>
      </c>
      <c r="C33" s="20">
        <f t="shared" ref="C33:C49" si="5">ABS(B33-B32)</f>
        <v>6.6435168264433742E-6</v>
      </c>
    </row>
    <row r="34" spans="1:3" x14ac:dyDescent="0.25">
      <c r="A34" t="s">
        <v>905</v>
      </c>
      <c r="B34" s="20" t="str">
        <f t="shared" si="4"/>
        <v>2017/02/01 21:06:28.504</v>
      </c>
      <c r="C34" s="20">
        <f t="shared" si="5"/>
        <v>1.2095729165594094E-2</v>
      </c>
    </row>
    <row r="35" spans="1:3" x14ac:dyDescent="0.25">
      <c r="A35" t="s">
        <v>906</v>
      </c>
      <c r="B35" s="20" t="str">
        <f t="shared" si="4"/>
        <v>2017/02/01 21:06:28.562</v>
      </c>
      <c r="C35" s="20">
        <f t="shared" si="5"/>
        <v>6.7129440139979124E-7</v>
      </c>
    </row>
    <row r="36" spans="1:3" x14ac:dyDescent="0.25">
      <c r="A36" t="s">
        <v>907</v>
      </c>
      <c r="B36" s="20" t="str">
        <f t="shared" si="4"/>
        <v>2017/02/01 21:06:28.762</v>
      </c>
      <c r="C36" s="20">
        <f t="shared" si="5"/>
        <v>2.3148168111220002E-6</v>
      </c>
    </row>
    <row r="37" spans="1:3" x14ac:dyDescent="0.25">
      <c r="A37" t="s">
        <v>908</v>
      </c>
      <c r="B37" s="20" t="str">
        <f t="shared" si="4"/>
        <v>2017/02/01 22:56:28.036</v>
      </c>
      <c r="C37" s="20">
        <f t="shared" si="5"/>
        <v>7.6380486112611834E-2</v>
      </c>
    </row>
    <row r="38" spans="1:3" x14ac:dyDescent="0.25">
      <c r="A38" t="s">
        <v>909</v>
      </c>
      <c r="B38" s="20" t="str">
        <f t="shared" si="4"/>
        <v>2017/02/01 22:56:28.038</v>
      </c>
      <c r="C38" s="20">
        <f t="shared" si="5"/>
        <v>2.3144821170717478E-8</v>
      </c>
    </row>
    <row r="39" spans="1:3" x14ac:dyDescent="0.25">
      <c r="A39" t="s">
        <v>910</v>
      </c>
      <c r="B39" s="20" t="str">
        <f t="shared" si="4"/>
        <v>2017/02/01 22:56:28.245</v>
      </c>
      <c r="C39" s="20">
        <f t="shared" si="5"/>
        <v>2.3958345991559327E-6</v>
      </c>
    </row>
    <row r="40" spans="1:3" x14ac:dyDescent="0.25">
      <c r="A40" t="s">
        <v>911</v>
      </c>
      <c r="B40" s="20" t="str">
        <f t="shared" si="4"/>
        <v>2017/02/02 02:09:20.198</v>
      </c>
      <c r="C40" s="20">
        <f t="shared" si="5"/>
        <v>0.13393464120599674</v>
      </c>
    </row>
    <row r="41" spans="1:3" x14ac:dyDescent="0.25">
      <c r="A41" t="s">
        <v>912</v>
      </c>
      <c r="B41" s="20" t="str">
        <f t="shared" si="4"/>
        <v>2017/02/02 02:09:21.416</v>
      </c>
      <c r="C41" s="20">
        <f t="shared" si="5"/>
        <v>1.4097218809183687E-5</v>
      </c>
    </row>
    <row r="42" spans="1:3" x14ac:dyDescent="0.25">
      <c r="A42" t="s">
        <v>913</v>
      </c>
      <c r="B42" s="20" t="str">
        <f t="shared" si="4"/>
        <v>2017/02/02 02:09:21.751</v>
      </c>
      <c r="C42" s="20">
        <f t="shared" si="5"/>
        <v>3.8773141568526626E-6</v>
      </c>
    </row>
    <row r="43" spans="1:3" x14ac:dyDescent="0.25">
      <c r="A43" t="s">
        <v>914</v>
      </c>
      <c r="B43" s="20" t="str">
        <f t="shared" si="4"/>
        <v>2017/02/02 03:06:19.392</v>
      </c>
      <c r="C43" s="20">
        <f t="shared" si="5"/>
        <v>3.9556030096719041E-2</v>
      </c>
    </row>
    <row r="44" spans="1:3" x14ac:dyDescent="0.25">
      <c r="A44" t="s">
        <v>915</v>
      </c>
      <c r="B44" s="20" t="str">
        <f t="shared" si="4"/>
        <v>2017/02/02 03:06:19.695</v>
      </c>
      <c r="C44" s="20">
        <f t="shared" si="5"/>
        <v>3.5069388104602695E-6</v>
      </c>
    </row>
    <row r="45" spans="1:3" x14ac:dyDescent="0.25">
      <c r="A45" t="s">
        <v>916</v>
      </c>
      <c r="B45" s="20" t="str">
        <f t="shared" si="4"/>
        <v>2017/02/02 03:06:20.047</v>
      </c>
      <c r="C45" s="20">
        <f t="shared" si="5"/>
        <v>4.074077878613025E-6</v>
      </c>
    </row>
    <row r="46" spans="1:3" x14ac:dyDescent="0.25">
      <c r="A46" t="s">
        <v>917</v>
      </c>
      <c r="B46" s="20" t="str">
        <f t="shared" si="4"/>
        <v>2017/02/02 05:33:51.712</v>
      </c>
      <c r="C46" s="20">
        <f t="shared" si="5"/>
        <v>0.10244982638687361</v>
      </c>
    </row>
    <row r="47" spans="1:3" x14ac:dyDescent="0.25">
      <c r="A47" t="s">
        <v>918</v>
      </c>
      <c r="B47" s="20" t="str">
        <f t="shared" si="4"/>
        <v>2017/02/02 05:33:52.881</v>
      </c>
      <c r="C47" s="20">
        <f t="shared" si="5"/>
        <v>1.353009429294616E-5</v>
      </c>
    </row>
    <row r="48" spans="1:3" x14ac:dyDescent="0.25">
      <c r="A48" t="s">
        <v>919</v>
      </c>
      <c r="B48" s="20" t="str">
        <f t="shared" si="4"/>
        <v>2017/02/02 05:33:53.340</v>
      </c>
      <c r="C48" s="20">
        <f t="shared" si="5"/>
        <v>5.3124967962503433E-6</v>
      </c>
    </row>
    <row r="49" spans="1:3" x14ac:dyDescent="0.25">
      <c r="A49" t="s">
        <v>920</v>
      </c>
      <c r="B49" s="20" t="str">
        <f t="shared" si="4"/>
        <v>2017/02/02 05:34:31.708</v>
      </c>
      <c r="C49" s="20">
        <f t="shared" si="5"/>
        <v>4.4407407403923571E-4</v>
      </c>
    </row>
    <row r="50" spans="1:3" x14ac:dyDescent="0.25">
      <c r="A50" t="s">
        <v>921</v>
      </c>
      <c r="B50" s="20" t="str">
        <f t="shared" ref="B50:B54" si="6">MID(A50,6,23)</f>
        <v>2017/02/02 05:34:32.874</v>
      </c>
      <c r="C50" s="20">
        <f t="shared" ref="C50:C54" si="7">ABS(B50-B49)</f>
        <v>1.3495373423211277E-5</v>
      </c>
    </row>
    <row r="51" spans="1:3" x14ac:dyDescent="0.25">
      <c r="A51" t="s">
        <v>922</v>
      </c>
      <c r="B51" s="20" t="str">
        <f t="shared" si="6"/>
        <v>2017/02/02 05:34:33.351</v>
      </c>
      <c r="C51" s="20">
        <f t="shared" si="7"/>
        <v>5.5208365665748715E-6</v>
      </c>
    </row>
    <row r="52" spans="1:3" x14ac:dyDescent="0.25">
      <c r="A52" t="s">
        <v>923</v>
      </c>
      <c r="B52" s="20" t="str">
        <f t="shared" si="6"/>
        <v>2017/02/02 06:28:00.953</v>
      </c>
      <c r="C52" s="20">
        <f t="shared" si="7"/>
        <v>3.7125023147382308E-2</v>
      </c>
    </row>
    <row r="53" spans="1:3" x14ac:dyDescent="0.25">
      <c r="A53" t="s">
        <v>924</v>
      </c>
      <c r="B53" s="20" t="str">
        <f t="shared" si="6"/>
        <v>2017/02/02 06:28:01.294</v>
      </c>
      <c r="C53" s="20">
        <f t="shared" si="7"/>
        <v>3.9467558963224292E-6</v>
      </c>
    </row>
    <row r="54" spans="1:3" x14ac:dyDescent="0.25">
      <c r="A54" t="s">
        <v>925</v>
      </c>
      <c r="B54" s="20" t="str">
        <f t="shared" si="6"/>
        <v>2017/02/02 06:28:01.314</v>
      </c>
      <c r="C54" s="20">
        <f t="shared" si="7"/>
        <v>2.314845914952457E-7</v>
      </c>
    </row>
    <row r="55" spans="1:3" x14ac:dyDescent="0.25">
      <c r="B55" s="20"/>
      <c r="C55" s="20"/>
    </row>
    <row r="56" spans="1:3" x14ac:dyDescent="0.25">
      <c r="B56" s="20"/>
      <c r="C56" s="20"/>
    </row>
    <row r="57" spans="1:3" x14ac:dyDescent="0.25">
      <c r="B57" s="20"/>
      <c r="C57" s="20"/>
    </row>
    <row r="58" spans="1:3" x14ac:dyDescent="0.25">
      <c r="B58" s="20"/>
      <c r="C58" s="20"/>
    </row>
    <row r="59" spans="1:3" x14ac:dyDescent="0.25">
      <c r="B59" s="20"/>
      <c r="C59" s="20"/>
    </row>
    <row r="60" spans="1:3" x14ac:dyDescent="0.25">
      <c r="B60" s="20"/>
      <c r="C60" s="20"/>
    </row>
    <row r="61" spans="1:3" x14ac:dyDescent="0.25">
      <c r="B61" s="20"/>
      <c r="C61" s="20"/>
    </row>
    <row r="62" spans="1:3" x14ac:dyDescent="0.25">
      <c r="B62" s="20"/>
      <c r="C62" s="20"/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2017-02-02T16:38:52Z</dcterms:modified>
</cp:coreProperties>
</file>