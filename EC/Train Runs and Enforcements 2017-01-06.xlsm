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Enforcements!$A$6:$AC$42</definedName>
    <definedName name="_xlnm._FilterDatabase" localSheetId="2" hidden="1">'Missing Trips'!$B$2:$I$2</definedName>
    <definedName name="_xlnm._FilterDatabase" localSheetId="0" hidden="1">'Train Runs'!$A$12:$AG$218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8" i="9" l="1"/>
  <c r="C58" i="9"/>
  <c r="B59" i="9"/>
  <c r="C60" i="9" s="1"/>
  <c r="C59" i="9"/>
  <c r="B60" i="9"/>
  <c r="B61" i="9"/>
  <c r="C62" i="9" s="1"/>
  <c r="C61" i="9"/>
  <c r="B62" i="9"/>
  <c r="B63" i="9"/>
  <c r="C64" i="9" s="1"/>
  <c r="C63" i="9"/>
  <c r="B64" i="9"/>
  <c r="B65" i="9"/>
  <c r="C66" i="9" s="1"/>
  <c r="C65" i="9"/>
  <c r="B66" i="9"/>
  <c r="B67" i="9"/>
  <c r="C68" i="9" s="1"/>
  <c r="C67" i="9"/>
  <c r="B68" i="9"/>
  <c r="B69" i="9"/>
  <c r="C69" i="9"/>
  <c r="B4" i="6" l="1"/>
  <c r="G4" i="6" s="1"/>
  <c r="F4" i="6"/>
  <c r="I4" i="6"/>
  <c r="J4" i="6"/>
  <c r="K146" i="1"/>
  <c r="L146" i="1"/>
  <c r="M146" i="1"/>
  <c r="V146" i="1"/>
  <c r="Y146" i="1"/>
  <c r="Z146" i="1"/>
  <c r="AD146" i="1"/>
  <c r="T146" i="1" s="1"/>
  <c r="AE146" i="1"/>
  <c r="AF146" i="1"/>
  <c r="AH146" i="1"/>
  <c r="AM146" i="1"/>
  <c r="K14" i="1"/>
  <c r="L14" i="1"/>
  <c r="M14" i="1"/>
  <c r="N14" i="1" s="1"/>
  <c r="V14" i="1"/>
  <c r="Y14" i="1"/>
  <c r="Z14" i="1"/>
  <c r="AD14" i="1"/>
  <c r="T14" i="1" s="1"/>
  <c r="AE14" i="1"/>
  <c r="AF14" i="1"/>
  <c r="AH14" i="1"/>
  <c r="AM14" i="1"/>
  <c r="K15" i="1"/>
  <c r="L15" i="1"/>
  <c r="M15" i="1"/>
  <c r="N15" i="1" s="1"/>
  <c r="V15" i="1"/>
  <c r="Y15" i="1"/>
  <c r="Z15" i="1"/>
  <c r="AD15" i="1"/>
  <c r="AG15" i="1" s="1"/>
  <c r="AE15" i="1"/>
  <c r="AF15" i="1"/>
  <c r="AH15" i="1"/>
  <c r="AM15" i="1"/>
  <c r="K16" i="1"/>
  <c r="L16" i="1"/>
  <c r="M16" i="1"/>
  <c r="N16" i="1" s="1"/>
  <c r="V16" i="1"/>
  <c r="Y16" i="1"/>
  <c r="Z16" i="1"/>
  <c r="AD16" i="1"/>
  <c r="T16" i="1" s="1"/>
  <c r="AE16" i="1"/>
  <c r="AF16" i="1"/>
  <c r="AH16" i="1"/>
  <c r="AM16" i="1"/>
  <c r="K17" i="1"/>
  <c r="L17" i="1"/>
  <c r="M17" i="1"/>
  <c r="N17" i="1" s="1"/>
  <c r="V17" i="1"/>
  <c r="Y17" i="1"/>
  <c r="Z17" i="1"/>
  <c r="AD17" i="1"/>
  <c r="AG17" i="1" s="1"/>
  <c r="AE17" i="1"/>
  <c r="AF17" i="1"/>
  <c r="AH17" i="1"/>
  <c r="AM17" i="1"/>
  <c r="K18" i="1"/>
  <c r="L18" i="1"/>
  <c r="M18" i="1"/>
  <c r="N18" i="1" s="1"/>
  <c r="V18" i="1"/>
  <c r="S14" i="3" s="1"/>
  <c r="Y18" i="1"/>
  <c r="Z18" i="1"/>
  <c r="AD18" i="1"/>
  <c r="T18" i="1" s="1"/>
  <c r="AE18" i="1"/>
  <c r="R14" i="3" s="1"/>
  <c r="AF18" i="1"/>
  <c r="AH18" i="1"/>
  <c r="AM18" i="1"/>
  <c r="K19" i="1"/>
  <c r="L19" i="1"/>
  <c r="M19" i="1"/>
  <c r="N19" i="1" s="1"/>
  <c r="V19" i="1"/>
  <c r="Y19" i="1"/>
  <c r="AA19" i="1" s="1"/>
  <c r="Z19" i="1"/>
  <c r="AD19" i="1"/>
  <c r="AG19" i="1" s="1"/>
  <c r="AE19" i="1"/>
  <c r="AF19" i="1"/>
  <c r="AH19" i="1"/>
  <c r="AI19" i="1"/>
  <c r="AM19" i="1"/>
  <c r="K20" i="1"/>
  <c r="L20" i="1"/>
  <c r="M20" i="1"/>
  <c r="N20" i="1" s="1"/>
  <c r="V20" i="1"/>
  <c r="Y20" i="1"/>
  <c r="Z20" i="1"/>
  <c r="AD20" i="1"/>
  <c r="T20" i="1" s="1"/>
  <c r="AE20" i="1"/>
  <c r="AF20" i="1"/>
  <c r="AH20" i="1"/>
  <c r="AM20" i="1"/>
  <c r="K21" i="1"/>
  <c r="L21" i="1"/>
  <c r="M21" i="1"/>
  <c r="N21" i="1" s="1"/>
  <c r="V21" i="1"/>
  <c r="Y21" i="1"/>
  <c r="Z21" i="1"/>
  <c r="AD21" i="1"/>
  <c r="AG21" i="1" s="1"/>
  <c r="AE21" i="1"/>
  <c r="AF21" i="1"/>
  <c r="AH21" i="1"/>
  <c r="AM21" i="1"/>
  <c r="K22" i="1"/>
  <c r="L22" i="1"/>
  <c r="M22" i="1"/>
  <c r="N22" i="1" s="1"/>
  <c r="V22" i="1"/>
  <c r="S15" i="3" s="1"/>
  <c r="Y22" i="1"/>
  <c r="Z22" i="1"/>
  <c r="AD22" i="1"/>
  <c r="T22" i="1" s="1"/>
  <c r="AE22" i="1"/>
  <c r="AF22" i="1"/>
  <c r="AH22" i="1"/>
  <c r="AM22" i="1"/>
  <c r="K23" i="1"/>
  <c r="L23" i="1"/>
  <c r="M23" i="1"/>
  <c r="N23" i="1" s="1"/>
  <c r="V23" i="1"/>
  <c r="Y23" i="1"/>
  <c r="Z23" i="1"/>
  <c r="AD23" i="1"/>
  <c r="AG23" i="1" s="1"/>
  <c r="AE23" i="1"/>
  <c r="AF23" i="1"/>
  <c r="AH23" i="1"/>
  <c r="AM23" i="1"/>
  <c r="K24" i="1"/>
  <c r="L24" i="1"/>
  <c r="M24" i="1"/>
  <c r="V24" i="1"/>
  <c r="Y24" i="1"/>
  <c r="Z24" i="1"/>
  <c r="AD24" i="1"/>
  <c r="T24" i="1" s="1"/>
  <c r="AE24" i="1"/>
  <c r="AF24" i="1"/>
  <c r="AH24" i="1"/>
  <c r="AM24" i="1"/>
  <c r="K25" i="1"/>
  <c r="L25" i="1"/>
  <c r="M25" i="1"/>
  <c r="V25" i="1"/>
  <c r="Y25" i="1"/>
  <c r="Z25" i="1"/>
  <c r="AD25" i="1"/>
  <c r="AG25" i="1" s="1"/>
  <c r="AE25" i="1"/>
  <c r="AF25" i="1"/>
  <c r="AH25" i="1"/>
  <c r="AM25" i="1"/>
  <c r="K26" i="1"/>
  <c r="L26" i="1"/>
  <c r="M26" i="1"/>
  <c r="N26" i="1" s="1"/>
  <c r="V26" i="1"/>
  <c r="Y26" i="1"/>
  <c r="Z26" i="1"/>
  <c r="AD26" i="1"/>
  <c r="T26" i="1" s="1"/>
  <c r="AE26" i="1"/>
  <c r="AF26" i="1"/>
  <c r="AH26" i="1"/>
  <c r="AM26" i="1"/>
  <c r="K27" i="1"/>
  <c r="L27" i="1"/>
  <c r="M27" i="1"/>
  <c r="V27" i="1"/>
  <c r="Y27" i="1"/>
  <c r="Z27" i="1"/>
  <c r="AI27" i="1" s="1"/>
  <c r="AD27" i="1"/>
  <c r="AG27" i="1" s="1"/>
  <c r="AE27" i="1"/>
  <c r="AF27" i="1"/>
  <c r="AH27" i="1"/>
  <c r="AM27" i="1"/>
  <c r="K28" i="1"/>
  <c r="L28" i="1"/>
  <c r="M28" i="1"/>
  <c r="V28" i="1"/>
  <c r="Y28" i="1"/>
  <c r="Z28" i="1"/>
  <c r="AD28" i="1"/>
  <c r="T28" i="1" s="1"/>
  <c r="AE28" i="1"/>
  <c r="AF28" i="1"/>
  <c r="AH28" i="1"/>
  <c r="AM28" i="1"/>
  <c r="K29" i="1"/>
  <c r="L29" i="1"/>
  <c r="M29" i="1"/>
  <c r="N29" i="1" s="1"/>
  <c r="V29" i="1"/>
  <c r="Y29" i="1"/>
  <c r="Z29" i="1"/>
  <c r="AD29" i="1"/>
  <c r="AG29" i="1" s="1"/>
  <c r="AE29" i="1"/>
  <c r="AF29" i="1"/>
  <c r="AH29" i="1"/>
  <c r="AM29" i="1"/>
  <c r="K30" i="1"/>
  <c r="L30" i="1"/>
  <c r="M30" i="1"/>
  <c r="N30" i="1" s="1"/>
  <c r="V30" i="1"/>
  <c r="Y30" i="1"/>
  <c r="Z30" i="1"/>
  <c r="AD30" i="1"/>
  <c r="T30" i="1" s="1"/>
  <c r="AE30" i="1"/>
  <c r="AF30" i="1"/>
  <c r="AH30" i="1"/>
  <c r="AM30" i="1"/>
  <c r="K31" i="1"/>
  <c r="L31" i="1"/>
  <c r="M31" i="1"/>
  <c r="N31" i="1" s="1"/>
  <c r="V31" i="1"/>
  <c r="Y31" i="1"/>
  <c r="Z31" i="1"/>
  <c r="AD31" i="1"/>
  <c r="AG31" i="1" s="1"/>
  <c r="AE31" i="1"/>
  <c r="AF31" i="1"/>
  <c r="AH31" i="1"/>
  <c r="AM31" i="1"/>
  <c r="K32" i="1"/>
  <c r="L32" i="1"/>
  <c r="M32" i="1"/>
  <c r="N32" i="1" s="1"/>
  <c r="V32" i="1"/>
  <c r="Y32" i="1"/>
  <c r="Z32" i="1"/>
  <c r="AD32" i="1"/>
  <c r="T32" i="1" s="1"/>
  <c r="AE32" i="1"/>
  <c r="AF32" i="1"/>
  <c r="AH32" i="1"/>
  <c r="AM32" i="1"/>
  <c r="K33" i="1"/>
  <c r="L33" i="1"/>
  <c r="M33" i="1"/>
  <c r="N33" i="1" s="1"/>
  <c r="V33" i="1"/>
  <c r="Y33" i="1"/>
  <c r="Z33" i="1"/>
  <c r="AD33" i="1"/>
  <c r="AG33" i="1" s="1"/>
  <c r="AE33" i="1"/>
  <c r="AF33" i="1"/>
  <c r="AH33" i="1"/>
  <c r="AM33" i="1"/>
  <c r="K34" i="1"/>
  <c r="L34" i="1"/>
  <c r="M34" i="1"/>
  <c r="N34" i="1" s="1"/>
  <c r="V34" i="1"/>
  <c r="Y34" i="1"/>
  <c r="Z34" i="1"/>
  <c r="AD34" i="1"/>
  <c r="AE34" i="1"/>
  <c r="AF34" i="1"/>
  <c r="AH34" i="1"/>
  <c r="AM34" i="1"/>
  <c r="K35" i="1"/>
  <c r="L35" i="1"/>
  <c r="M35" i="1"/>
  <c r="N35" i="1" s="1"/>
  <c r="V35" i="1"/>
  <c r="Y35" i="1"/>
  <c r="Z35" i="1"/>
  <c r="AD35" i="1"/>
  <c r="AG35" i="1" s="1"/>
  <c r="AE35" i="1"/>
  <c r="AF35" i="1"/>
  <c r="AH35" i="1"/>
  <c r="AM35" i="1"/>
  <c r="K36" i="1"/>
  <c r="L36" i="1"/>
  <c r="M36" i="1"/>
  <c r="N36" i="1" s="1"/>
  <c r="V36" i="1"/>
  <c r="Y36" i="1"/>
  <c r="Z36" i="1"/>
  <c r="AD36" i="1"/>
  <c r="T36" i="1" s="1"/>
  <c r="AE36" i="1"/>
  <c r="AF36" i="1"/>
  <c r="AH36" i="1"/>
  <c r="AM36" i="1"/>
  <c r="K37" i="1"/>
  <c r="L37" i="1"/>
  <c r="M37" i="1"/>
  <c r="N37" i="1" s="1"/>
  <c r="V37" i="1"/>
  <c r="Y37" i="1"/>
  <c r="Z37" i="1"/>
  <c r="AD37" i="1"/>
  <c r="AG37" i="1" s="1"/>
  <c r="AE37" i="1"/>
  <c r="AF37" i="1"/>
  <c r="AH37" i="1"/>
  <c r="AM37" i="1"/>
  <c r="K38" i="1"/>
  <c r="L38" i="1"/>
  <c r="M38" i="1"/>
  <c r="N38" i="1" s="1"/>
  <c r="V38" i="1"/>
  <c r="Y38" i="1"/>
  <c r="Z38" i="1"/>
  <c r="AD38" i="1"/>
  <c r="AE38" i="1"/>
  <c r="AF38" i="1"/>
  <c r="AH38" i="1"/>
  <c r="AM38" i="1"/>
  <c r="K39" i="1"/>
  <c r="L39" i="1"/>
  <c r="M39" i="1"/>
  <c r="N39" i="1" s="1"/>
  <c r="V39" i="1"/>
  <c r="Y39" i="1"/>
  <c r="Z39" i="1"/>
  <c r="AD39" i="1"/>
  <c r="AG39" i="1" s="1"/>
  <c r="AE39" i="1"/>
  <c r="AF39" i="1"/>
  <c r="AH39" i="1"/>
  <c r="AM39" i="1"/>
  <c r="K40" i="1"/>
  <c r="L40" i="1"/>
  <c r="M40" i="1"/>
  <c r="N40" i="1" s="1"/>
  <c r="V40" i="1"/>
  <c r="Y40" i="1"/>
  <c r="Z40" i="1"/>
  <c r="AD40" i="1"/>
  <c r="T40" i="1" s="1"/>
  <c r="AE40" i="1"/>
  <c r="AF40" i="1"/>
  <c r="AH40" i="1"/>
  <c r="AM40" i="1"/>
  <c r="K41" i="1"/>
  <c r="L41" i="1"/>
  <c r="M41" i="1"/>
  <c r="N41" i="1" s="1"/>
  <c r="V41" i="1"/>
  <c r="Y41" i="1"/>
  <c r="Z41" i="1"/>
  <c r="AD41" i="1"/>
  <c r="AG41" i="1" s="1"/>
  <c r="AE41" i="1"/>
  <c r="AF41" i="1"/>
  <c r="AH41" i="1"/>
  <c r="AM41" i="1"/>
  <c r="K42" i="1"/>
  <c r="L42" i="1"/>
  <c r="M42" i="1"/>
  <c r="N42" i="1" s="1"/>
  <c r="V42" i="1"/>
  <c r="Y42" i="1"/>
  <c r="Z42" i="1"/>
  <c r="AD42" i="1"/>
  <c r="AE42" i="1"/>
  <c r="AF42" i="1"/>
  <c r="AH42" i="1"/>
  <c r="AM42" i="1"/>
  <c r="K43" i="1"/>
  <c r="L43" i="1"/>
  <c r="M43" i="1"/>
  <c r="N43" i="1" s="1"/>
  <c r="V43" i="1"/>
  <c r="Y43" i="1"/>
  <c r="Z43" i="1"/>
  <c r="AD43" i="1"/>
  <c r="AG43" i="1" s="1"/>
  <c r="AE43" i="1"/>
  <c r="AF43" i="1"/>
  <c r="AH43" i="1"/>
  <c r="AM43" i="1"/>
  <c r="K44" i="1"/>
  <c r="L44" i="1"/>
  <c r="M44" i="1"/>
  <c r="N44" i="1" s="1"/>
  <c r="V44" i="1"/>
  <c r="Y44" i="1"/>
  <c r="Z44" i="1"/>
  <c r="AD44" i="1"/>
  <c r="AE44" i="1"/>
  <c r="AF44" i="1"/>
  <c r="AH44" i="1"/>
  <c r="AM44" i="1"/>
  <c r="K45" i="1"/>
  <c r="L45" i="1"/>
  <c r="M45" i="1"/>
  <c r="N45" i="1" s="1"/>
  <c r="V45" i="1"/>
  <c r="Y45" i="1"/>
  <c r="Z45" i="1"/>
  <c r="AD45" i="1"/>
  <c r="T45" i="1" s="1"/>
  <c r="AE45" i="1"/>
  <c r="AF45" i="1"/>
  <c r="AH45" i="1"/>
  <c r="AM45" i="1"/>
  <c r="K46" i="1"/>
  <c r="L46" i="1"/>
  <c r="M46" i="1"/>
  <c r="N46" i="1" s="1"/>
  <c r="V46" i="1"/>
  <c r="Y46" i="1"/>
  <c r="Z46" i="1"/>
  <c r="AD46" i="1"/>
  <c r="AE46" i="1"/>
  <c r="AF46" i="1"/>
  <c r="AH46" i="1"/>
  <c r="AM46" i="1"/>
  <c r="K47" i="1"/>
  <c r="L47" i="1"/>
  <c r="M47" i="1"/>
  <c r="N47" i="1" s="1"/>
  <c r="V47" i="1"/>
  <c r="Y47" i="1"/>
  <c r="Z47" i="1"/>
  <c r="AD47" i="1"/>
  <c r="T47" i="1" s="1"/>
  <c r="AE47" i="1"/>
  <c r="AF47" i="1"/>
  <c r="AH47" i="1"/>
  <c r="AM47" i="1"/>
  <c r="K48" i="1"/>
  <c r="L48" i="1"/>
  <c r="M48" i="1"/>
  <c r="N48" i="1" s="1"/>
  <c r="V48" i="1"/>
  <c r="Y48" i="1"/>
  <c r="Z48" i="1"/>
  <c r="AA48" i="1" s="1"/>
  <c r="AD48" i="1"/>
  <c r="AE48" i="1"/>
  <c r="AF48" i="1"/>
  <c r="AH48" i="1"/>
  <c r="AM48" i="1"/>
  <c r="K49" i="1"/>
  <c r="L49" i="1"/>
  <c r="M49" i="1"/>
  <c r="N49" i="1" s="1"/>
  <c r="V49" i="1"/>
  <c r="Y49" i="1"/>
  <c r="Z49" i="1"/>
  <c r="AD49" i="1"/>
  <c r="T49" i="1" s="1"/>
  <c r="AE49" i="1"/>
  <c r="AF49" i="1"/>
  <c r="AH49" i="1"/>
  <c r="AM49" i="1"/>
  <c r="K50" i="1"/>
  <c r="L50" i="1"/>
  <c r="M50" i="1"/>
  <c r="N50" i="1" s="1"/>
  <c r="V50" i="1"/>
  <c r="Y50" i="1"/>
  <c r="Z50" i="1"/>
  <c r="AD50" i="1"/>
  <c r="AE50" i="1"/>
  <c r="AF50" i="1"/>
  <c r="AH50" i="1"/>
  <c r="AM50" i="1"/>
  <c r="K51" i="1"/>
  <c r="L51" i="1"/>
  <c r="M51" i="1"/>
  <c r="N51" i="1" s="1"/>
  <c r="V51" i="1"/>
  <c r="Y51" i="1"/>
  <c r="Z51" i="1"/>
  <c r="AD51" i="1"/>
  <c r="AG51" i="1" s="1"/>
  <c r="AE51" i="1"/>
  <c r="AF51" i="1"/>
  <c r="AH51" i="1"/>
  <c r="AM51" i="1"/>
  <c r="K52" i="1"/>
  <c r="L52" i="1"/>
  <c r="M52" i="1"/>
  <c r="N52" i="1" s="1"/>
  <c r="V52" i="1"/>
  <c r="Y52" i="1"/>
  <c r="Z52" i="1"/>
  <c r="AD52" i="1"/>
  <c r="AE52" i="1"/>
  <c r="AF52" i="1"/>
  <c r="AH52" i="1"/>
  <c r="AM52" i="1"/>
  <c r="K53" i="1"/>
  <c r="L53" i="1"/>
  <c r="M53" i="1"/>
  <c r="N53" i="1" s="1"/>
  <c r="V53" i="1"/>
  <c r="Y53" i="1"/>
  <c r="Z53" i="1"/>
  <c r="AD53" i="1"/>
  <c r="AG53" i="1" s="1"/>
  <c r="AE53" i="1"/>
  <c r="AF53" i="1"/>
  <c r="AH53" i="1"/>
  <c r="AM53" i="1"/>
  <c r="K54" i="1"/>
  <c r="L54" i="1"/>
  <c r="M54" i="1"/>
  <c r="N54" i="1" s="1"/>
  <c r="V54" i="1"/>
  <c r="S10" i="3" s="1"/>
  <c r="Y54" i="1"/>
  <c r="Z54" i="1"/>
  <c r="AD54" i="1"/>
  <c r="AE54" i="1"/>
  <c r="R10" i="3" s="1"/>
  <c r="AF54" i="1"/>
  <c r="AH54" i="1"/>
  <c r="AM54" i="1"/>
  <c r="K55" i="1"/>
  <c r="L55" i="1"/>
  <c r="M55" i="1"/>
  <c r="N55" i="1" s="1"/>
  <c r="V55" i="1"/>
  <c r="Y55" i="1"/>
  <c r="Z55" i="1"/>
  <c r="AD55" i="1"/>
  <c r="AE55" i="1"/>
  <c r="AF55" i="1"/>
  <c r="AH55" i="1"/>
  <c r="AM55" i="1"/>
  <c r="K56" i="1"/>
  <c r="L56" i="1"/>
  <c r="M56" i="1"/>
  <c r="N56" i="1" s="1"/>
  <c r="V56" i="1"/>
  <c r="Y56" i="1"/>
  <c r="Z56" i="1"/>
  <c r="AD56" i="1"/>
  <c r="AE56" i="1"/>
  <c r="AF56" i="1"/>
  <c r="AH56" i="1"/>
  <c r="AM56" i="1"/>
  <c r="K57" i="1"/>
  <c r="L57" i="1"/>
  <c r="M57" i="1"/>
  <c r="N57" i="1" s="1"/>
  <c r="V57" i="1"/>
  <c r="Y57" i="1"/>
  <c r="Z57" i="1"/>
  <c r="AD57" i="1"/>
  <c r="T57" i="1" s="1"/>
  <c r="AE57" i="1"/>
  <c r="AF57" i="1"/>
  <c r="AH57" i="1"/>
  <c r="AM57" i="1"/>
  <c r="K58" i="1"/>
  <c r="L58" i="1"/>
  <c r="M58" i="1"/>
  <c r="N58" i="1" s="1"/>
  <c r="V58" i="1"/>
  <c r="S8" i="3" s="1"/>
  <c r="Y58" i="1"/>
  <c r="Z58" i="1"/>
  <c r="AD58" i="1"/>
  <c r="AE58" i="1"/>
  <c r="R8" i="3" s="1"/>
  <c r="AF58" i="1"/>
  <c r="AH58" i="1"/>
  <c r="AM58" i="1"/>
  <c r="K59" i="1"/>
  <c r="L59" i="1"/>
  <c r="M59" i="1"/>
  <c r="N59" i="1" s="1"/>
  <c r="V59" i="1"/>
  <c r="Y59" i="1"/>
  <c r="Z59" i="1"/>
  <c r="AD59" i="1"/>
  <c r="AE59" i="1"/>
  <c r="AF59" i="1"/>
  <c r="AH59" i="1"/>
  <c r="AM59" i="1"/>
  <c r="K60" i="1"/>
  <c r="L60" i="1"/>
  <c r="M60" i="1"/>
  <c r="N60" i="1" s="1"/>
  <c r="V60" i="1"/>
  <c r="Y60" i="1"/>
  <c r="Z60" i="1"/>
  <c r="AI60" i="1" s="1"/>
  <c r="AD60" i="1"/>
  <c r="AG60" i="1" s="1"/>
  <c r="AE60" i="1"/>
  <c r="AF60" i="1"/>
  <c r="AH60" i="1"/>
  <c r="AM60" i="1"/>
  <c r="K61" i="1"/>
  <c r="L61" i="1"/>
  <c r="M61" i="1"/>
  <c r="N61" i="1" s="1"/>
  <c r="V61" i="1"/>
  <c r="S20" i="3" s="1"/>
  <c r="Y61" i="1"/>
  <c r="Z61" i="1"/>
  <c r="AD61" i="1"/>
  <c r="T61" i="1" s="1"/>
  <c r="AE61" i="1"/>
  <c r="AF61" i="1"/>
  <c r="AH61" i="1"/>
  <c r="AM61" i="1"/>
  <c r="K62" i="1"/>
  <c r="L62" i="1"/>
  <c r="M62" i="1"/>
  <c r="N62" i="1" s="1"/>
  <c r="V62" i="1"/>
  <c r="Y62" i="1"/>
  <c r="Z62" i="1"/>
  <c r="AD62" i="1"/>
  <c r="AG62" i="1" s="1"/>
  <c r="AE62" i="1"/>
  <c r="AF62" i="1"/>
  <c r="AH62" i="1"/>
  <c r="AM62" i="1"/>
  <c r="K63" i="1"/>
  <c r="L63" i="1"/>
  <c r="M63" i="1"/>
  <c r="N63" i="1" s="1"/>
  <c r="V63" i="1"/>
  <c r="Y63" i="1"/>
  <c r="Z63" i="1"/>
  <c r="AD63" i="1"/>
  <c r="T63" i="1" s="1"/>
  <c r="AE63" i="1"/>
  <c r="AF63" i="1"/>
  <c r="AH63" i="1"/>
  <c r="AM63" i="1"/>
  <c r="K64" i="1"/>
  <c r="L64" i="1"/>
  <c r="M64" i="1"/>
  <c r="N64" i="1" s="1"/>
  <c r="V64" i="1"/>
  <c r="Y64" i="1"/>
  <c r="Z64" i="1"/>
  <c r="AD64" i="1"/>
  <c r="AG64" i="1" s="1"/>
  <c r="AE64" i="1"/>
  <c r="AF64" i="1"/>
  <c r="AH64" i="1"/>
  <c r="AM64" i="1"/>
  <c r="K65" i="1"/>
  <c r="L65" i="1"/>
  <c r="M65" i="1"/>
  <c r="N65" i="1" s="1"/>
  <c r="V65" i="1"/>
  <c r="Y65" i="1"/>
  <c r="Z65" i="1"/>
  <c r="AD65" i="1"/>
  <c r="T65" i="1" s="1"/>
  <c r="AE65" i="1"/>
  <c r="AF65" i="1"/>
  <c r="AH65" i="1"/>
  <c r="AM65" i="1"/>
  <c r="K66" i="1"/>
  <c r="L66" i="1"/>
  <c r="M66" i="1"/>
  <c r="N66" i="1" s="1"/>
  <c r="V66" i="1"/>
  <c r="Y66" i="1"/>
  <c r="Z66" i="1"/>
  <c r="AD66" i="1"/>
  <c r="AE66" i="1"/>
  <c r="AF66" i="1"/>
  <c r="AH66" i="1"/>
  <c r="AM66" i="1"/>
  <c r="K67" i="1"/>
  <c r="L67" i="1"/>
  <c r="M67" i="1"/>
  <c r="N67" i="1" s="1"/>
  <c r="V67" i="1"/>
  <c r="Y67" i="1"/>
  <c r="Z67" i="1"/>
  <c r="AD67" i="1"/>
  <c r="T67" i="1" s="1"/>
  <c r="AE67" i="1"/>
  <c r="AF67" i="1"/>
  <c r="AH67" i="1"/>
  <c r="AM67" i="1"/>
  <c r="K68" i="1"/>
  <c r="L68" i="1"/>
  <c r="M68" i="1"/>
  <c r="N68" i="1" s="1"/>
  <c r="V68" i="1"/>
  <c r="Y68" i="1"/>
  <c r="Z68" i="1"/>
  <c r="AD68" i="1"/>
  <c r="AE68" i="1"/>
  <c r="AF68" i="1"/>
  <c r="AH68" i="1"/>
  <c r="AM68" i="1"/>
  <c r="K69" i="1"/>
  <c r="L69" i="1"/>
  <c r="M69" i="1"/>
  <c r="N69" i="1" s="1"/>
  <c r="V69" i="1"/>
  <c r="Y69" i="1"/>
  <c r="Z69" i="1"/>
  <c r="AD69" i="1"/>
  <c r="T69" i="1" s="1"/>
  <c r="AE69" i="1"/>
  <c r="AF69" i="1"/>
  <c r="AH69" i="1"/>
  <c r="AM69" i="1"/>
  <c r="K70" i="1"/>
  <c r="L70" i="1"/>
  <c r="M70" i="1"/>
  <c r="N70" i="1" s="1"/>
  <c r="V70" i="1"/>
  <c r="Y70" i="1"/>
  <c r="Z70" i="1"/>
  <c r="AD70" i="1"/>
  <c r="AE70" i="1"/>
  <c r="AF70" i="1"/>
  <c r="AH70" i="1"/>
  <c r="AM70" i="1"/>
  <c r="K71" i="1"/>
  <c r="L71" i="1"/>
  <c r="M71" i="1"/>
  <c r="N71" i="1" s="1"/>
  <c r="V71" i="1"/>
  <c r="Y71" i="1"/>
  <c r="Z71" i="1"/>
  <c r="AD71" i="1"/>
  <c r="T71" i="1" s="1"/>
  <c r="AE71" i="1"/>
  <c r="AF71" i="1"/>
  <c r="AH71" i="1"/>
  <c r="AM71" i="1"/>
  <c r="K72" i="1"/>
  <c r="L72" i="1"/>
  <c r="M72" i="1"/>
  <c r="N72" i="1" s="1"/>
  <c r="V72" i="1"/>
  <c r="Y72" i="1"/>
  <c r="Z72" i="1"/>
  <c r="AD72" i="1"/>
  <c r="T72" i="1" s="1"/>
  <c r="AE72" i="1"/>
  <c r="AF72" i="1"/>
  <c r="AH72" i="1"/>
  <c r="AM72" i="1"/>
  <c r="K73" i="1"/>
  <c r="L73" i="1"/>
  <c r="M73" i="1"/>
  <c r="N73" i="1" s="1"/>
  <c r="V73" i="1"/>
  <c r="S22" i="3" s="1"/>
  <c r="Y73" i="1"/>
  <c r="Z73" i="1"/>
  <c r="AD73" i="1"/>
  <c r="T73" i="1" s="1"/>
  <c r="AE73" i="1"/>
  <c r="AF73" i="1"/>
  <c r="AH73" i="1"/>
  <c r="AM73" i="1"/>
  <c r="K74" i="1"/>
  <c r="L74" i="1"/>
  <c r="M74" i="1"/>
  <c r="N74" i="1" s="1"/>
  <c r="V74" i="1"/>
  <c r="Y74" i="1"/>
  <c r="Z74" i="1"/>
  <c r="AD74" i="1"/>
  <c r="T74" i="1" s="1"/>
  <c r="AE74" i="1"/>
  <c r="AF74" i="1"/>
  <c r="AH74" i="1"/>
  <c r="AM74" i="1"/>
  <c r="K75" i="1"/>
  <c r="L75" i="1"/>
  <c r="M75" i="1"/>
  <c r="N75" i="1" s="1"/>
  <c r="V75" i="1"/>
  <c r="Y75" i="1"/>
  <c r="Z75" i="1"/>
  <c r="AD75" i="1"/>
  <c r="T75" i="1" s="1"/>
  <c r="AE75" i="1"/>
  <c r="AF75" i="1"/>
  <c r="AH75" i="1"/>
  <c r="AM75" i="1"/>
  <c r="K76" i="1"/>
  <c r="L76" i="1"/>
  <c r="M76" i="1"/>
  <c r="N76" i="1" s="1"/>
  <c r="V76" i="1"/>
  <c r="Y76" i="1"/>
  <c r="Z76" i="1"/>
  <c r="AD76" i="1"/>
  <c r="AG76" i="1" s="1"/>
  <c r="AE76" i="1"/>
  <c r="AF76" i="1"/>
  <c r="AH76" i="1"/>
  <c r="AM76" i="1"/>
  <c r="K77" i="1"/>
  <c r="L77" i="1"/>
  <c r="M77" i="1"/>
  <c r="N77" i="1" s="1"/>
  <c r="V77" i="1"/>
  <c r="S11" i="3" s="1"/>
  <c r="Y77" i="1"/>
  <c r="Z77" i="1"/>
  <c r="AD77" i="1"/>
  <c r="T77" i="1" s="1"/>
  <c r="AE77" i="1"/>
  <c r="AF77" i="1"/>
  <c r="AH77" i="1"/>
  <c r="AM77" i="1"/>
  <c r="K78" i="1"/>
  <c r="L78" i="1"/>
  <c r="M78" i="1"/>
  <c r="N78" i="1" s="1"/>
  <c r="V78" i="1"/>
  <c r="Y78" i="1"/>
  <c r="Z78" i="1"/>
  <c r="AD78" i="1"/>
  <c r="AG78" i="1" s="1"/>
  <c r="AE78" i="1"/>
  <c r="AF78" i="1"/>
  <c r="AH78" i="1"/>
  <c r="AM78" i="1"/>
  <c r="K79" i="1"/>
  <c r="L79" i="1"/>
  <c r="M79" i="1"/>
  <c r="N79" i="1" s="1"/>
  <c r="V79" i="1"/>
  <c r="Y79" i="1"/>
  <c r="Z79" i="1"/>
  <c r="AD79" i="1"/>
  <c r="T79" i="1" s="1"/>
  <c r="AE79" i="1"/>
  <c r="AF79" i="1"/>
  <c r="AH79" i="1"/>
  <c r="AM79" i="1"/>
  <c r="K80" i="1"/>
  <c r="L80" i="1"/>
  <c r="M80" i="1"/>
  <c r="N80" i="1" s="1"/>
  <c r="V80" i="1"/>
  <c r="Y80" i="1"/>
  <c r="Z80" i="1"/>
  <c r="AD80" i="1"/>
  <c r="AG80" i="1" s="1"/>
  <c r="AE80" i="1"/>
  <c r="AF80" i="1"/>
  <c r="AH80" i="1"/>
  <c r="AM80" i="1"/>
  <c r="K81" i="1"/>
  <c r="L81" i="1"/>
  <c r="M81" i="1"/>
  <c r="N81" i="1" s="1"/>
  <c r="V81" i="1"/>
  <c r="Y81" i="1"/>
  <c r="Z81" i="1"/>
  <c r="AD81" i="1"/>
  <c r="T81" i="1" s="1"/>
  <c r="AE81" i="1"/>
  <c r="AF81" i="1"/>
  <c r="AH81" i="1"/>
  <c r="AM81" i="1"/>
  <c r="K82" i="1"/>
  <c r="L82" i="1"/>
  <c r="M82" i="1"/>
  <c r="N82" i="1" s="1"/>
  <c r="V82" i="1"/>
  <c r="Y82" i="1"/>
  <c r="Z82" i="1"/>
  <c r="AD82" i="1"/>
  <c r="AG82" i="1" s="1"/>
  <c r="AE82" i="1"/>
  <c r="AF82" i="1"/>
  <c r="AH82" i="1"/>
  <c r="AM82" i="1"/>
  <c r="K83" i="1"/>
  <c r="L83" i="1"/>
  <c r="M83" i="1"/>
  <c r="N83" i="1" s="1"/>
  <c r="V83" i="1"/>
  <c r="Y83" i="1"/>
  <c r="Z83" i="1"/>
  <c r="AD83" i="1"/>
  <c r="AE83" i="1"/>
  <c r="AF83" i="1"/>
  <c r="AH83" i="1"/>
  <c r="AM83" i="1"/>
  <c r="K84" i="1"/>
  <c r="L84" i="1"/>
  <c r="M84" i="1"/>
  <c r="N84" i="1" s="1"/>
  <c r="V84" i="1"/>
  <c r="Y84" i="1"/>
  <c r="Z84" i="1"/>
  <c r="AD84" i="1"/>
  <c r="AG84" i="1" s="1"/>
  <c r="AE84" i="1"/>
  <c r="AF84" i="1"/>
  <c r="AH84" i="1"/>
  <c r="AM84" i="1"/>
  <c r="K85" i="1"/>
  <c r="L85" i="1"/>
  <c r="M85" i="1"/>
  <c r="N85" i="1" s="1"/>
  <c r="V85" i="1"/>
  <c r="S13" i="3" s="1"/>
  <c r="Y85" i="1"/>
  <c r="Z85" i="1"/>
  <c r="AD85" i="1"/>
  <c r="AG85" i="1" s="1"/>
  <c r="AE85" i="1"/>
  <c r="R13" i="3" s="1"/>
  <c r="AF85" i="1"/>
  <c r="AH85" i="1"/>
  <c r="AM85" i="1"/>
  <c r="K86" i="1"/>
  <c r="L86" i="1"/>
  <c r="M86" i="1"/>
  <c r="N86" i="1" s="1"/>
  <c r="V86" i="1"/>
  <c r="S16" i="3" s="1"/>
  <c r="Y86" i="1"/>
  <c r="Z86" i="1"/>
  <c r="AD86" i="1"/>
  <c r="AG86" i="1" s="1"/>
  <c r="AE86" i="1"/>
  <c r="R16" i="3" s="1"/>
  <c r="AF86" i="1"/>
  <c r="AH86" i="1"/>
  <c r="AM86" i="1"/>
  <c r="K87" i="1"/>
  <c r="L87" i="1"/>
  <c r="M87" i="1"/>
  <c r="N87" i="1" s="1"/>
  <c r="V87" i="1"/>
  <c r="Y87" i="1"/>
  <c r="Z87" i="1"/>
  <c r="AD87" i="1"/>
  <c r="AG87" i="1" s="1"/>
  <c r="AE87" i="1"/>
  <c r="AF87" i="1"/>
  <c r="AH87" i="1"/>
  <c r="AM87" i="1"/>
  <c r="K88" i="1"/>
  <c r="L88" i="1"/>
  <c r="M88" i="1"/>
  <c r="N88" i="1" s="1"/>
  <c r="V88" i="1"/>
  <c r="Y88" i="1"/>
  <c r="Z88" i="1"/>
  <c r="AD88" i="1"/>
  <c r="AG88" i="1" s="1"/>
  <c r="AE88" i="1"/>
  <c r="AF88" i="1"/>
  <c r="AH88" i="1"/>
  <c r="AM88" i="1"/>
  <c r="K89" i="1"/>
  <c r="L89" i="1"/>
  <c r="M89" i="1"/>
  <c r="N89" i="1" s="1"/>
  <c r="V89" i="1"/>
  <c r="Y89" i="1"/>
  <c r="Z89" i="1"/>
  <c r="AD89" i="1"/>
  <c r="AG89" i="1" s="1"/>
  <c r="AE89" i="1"/>
  <c r="AF89" i="1"/>
  <c r="AH89" i="1"/>
  <c r="AM89" i="1"/>
  <c r="K90" i="1"/>
  <c r="L90" i="1"/>
  <c r="M90" i="1"/>
  <c r="N90" i="1" s="1"/>
  <c r="V90" i="1"/>
  <c r="Y90" i="1"/>
  <c r="Z90" i="1"/>
  <c r="AD90" i="1"/>
  <c r="AG90" i="1" s="1"/>
  <c r="AE90" i="1"/>
  <c r="AF90" i="1"/>
  <c r="AH90" i="1"/>
  <c r="AM90" i="1"/>
  <c r="K91" i="1"/>
  <c r="L91" i="1"/>
  <c r="M91" i="1"/>
  <c r="N91" i="1" s="1"/>
  <c r="V91" i="1"/>
  <c r="Y91" i="1"/>
  <c r="Z91" i="1"/>
  <c r="AD91" i="1"/>
  <c r="AG91" i="1" s="1"/>
  <c r="AE91" i="1"/>
  <c r="AF91" i="1"/>
  <c r="AH91" i="1"/>
  <c r="AM91" i="1"/>
  <c r="K92" i="1"/>
  <c r="L92" i="1"/>
  <c r="M92" i="1"/>
  <c r="N92" i="1" s="1"/>
  <c r="V92" i="1"/>
  <c r="Y92" i="1"/>
  <c r="Z92" i="1"/>
  <c r="AA92" i="1" s="1"/>
  <c r="AD92" i="1"/>
  <c r="T92" i="1" s="1"/>
  <c r="AE92" i="1"/>
  <c r="AF92" i="1"/>
  <c r="AH92" i="1"/>
  <c r="AM92" i="1"/>
  <c r="K93" i="1"/>
  <c r="L93" i="1"/>
  <c r="M93" i="1"/>
  <c r="N93" i="1" s="1"/>
  <c r="V93" i="1"/>
  <c r="Y93" i="1"/>
  <c r="Z93" i="1"/>
  <c r="AD93" i="1"/>
  <c r="T93" i="1" s="1"/>
  <c r="AE93" i="1"/>
  <c r="AF93" i="1"/>
  <c r="AH93" i="1"/>
  <c r="AM93" i="1"/>
  <c r="K94" i="1"/>
  <c r="L94" i="1"/>
  <c r="M94" i="1"/>
  <c r="N94" i="1" s="1"/>
  <c r="V94" i="1"/>
  <c r="Y94" i="1"/>
  <c r="Z94" i="1"/>
  <c r="AD94" i="1"/>
  <c r="T94" i="1" s="1"/>
  <c r="AE94" i="1"/>
  <c r="AF94" i="1"/>
  <c r="AH94" i="1"/>
  <c r="AM94" i="1"/>
  <c r="K95" i="1"/>
  <c r="L95" i="1"/>
  <c r="M95" i="1"/>
  <c r="N95" i="1" s="1"/>
  <c r="V95" i="1"/>
  <c r="S23" i="3" s="1"/>
  <c r="Y95" i="1"/>
  <c r="Z95" i="1"/>
  <c r="AD95" i="1"/>
  <c r="T95" i="1" s="1"/>
  <c r="AE95" i="1"/>
  <c r="R23" i="3" s="1"/>
  <c r="AF95" i="1"/>
  <c r="AH95" i="1"/>
  <c r="AM95" i="1"/>
  <c r="K96" i="1"/>
  <c r="L96" i="1"/>
  <c r="M96" i="1"/>
  <c r="N96" i="1" s="1"/>
  <c r="V96" i="1"/>
  <c r="Y96" i="1"/>
  <c r="Z96" i="1"/>
  <c r="AA96" i="1" s="1"/>
  <c r="W96" i="1" s="1"/>
  <c r="AD96" i="1"/>
  <c r="AG96" i="1" s="1"/>
  <c r="AE96" i="1"/>
  <c r="AF96" i="1"/>
  <c r="AH96" i="1"/>
  <c r="AM96" i="1"/>
  <c r="K97" i="1"/>
  <c r="L97" i="1"/>
  <c r="M97" i="1"/>
  <c r="N97" i="1" s="1"/>
  <c r="V97" i="1"/>
  <c r="Y97" i="1"/>
  <c r="Z97" i="1"/>
  <c r="AD97" i="1"/>
  <c r="T97" i="1" s="1"/>
  <c r="AE97" i="1"/>
  <c r="AF97" i="1"/>
  <c r="AH97" i="1"/>
  <c r="AM97" i="1"/>
  <c r="K98" i="1"/>
  <c r="L98" i="1"/>
  <c r="M98" i="1"/>
  <c r="N98" i="1" s="1"/>
  <c r="V98" i="1"/>
  <c r="Y98" i="1"/>
  <c r="Z98" i="1"/>
  <c r="AD98" i="1"/>
  <c r="AG98" i="1" s="1"/>
  <c r="AE98" i="1"/>
  <c r="AF98" i="1"/>
  <c r="AH98" i="1"/>
  <c r="AM98" i="1"/>
  <c r="K99" i="1"/>
  <c r="L99" i="1"/>
  <c r="M99" i="1"/>
  <c r="N99" i="1" s="1"/>
  <c r="V99" i="1"/>
  <c r="Y99" i="1"/>
  <c r="Z99" i="1"/>
  <c r="AD99" i="1"/>
  <c r="T99" i="1" s="1"/>
  <c r="AE99" i="1"/>
  <c r="AF99" i="1"/>
  <c r="AH99" i="1"/>
  <c r="AM99" i="1"/>
  <c r="K100" i="1"/>
  <c r="L100" i="1"/>
  <c r="M100" i="1"/>
  <c r="N100" i="1" s="1"/>
  <c r="V100" i="1"/>
  <c r="Y100" i="1"/>
  <c r="Z100" i="1"/>
  <c r="AD100" i="1"/>
  <c r="AG100" i="1" s="1"/>
  <c r="AE100" i="1"/>
  <c r="AF100" i="1"/>
  <c r="AH100" i="1"/>
  <c r="AM100" i="1"/>
  <c r="K101" i="1"/>
  <c r="L101" i="1"/>
  <c r="M101" i="1"/>
  <c r="N101" i="1" s="1"/>
  <c r="V101" i="1"/>
  <c r="Y101" i="1"/>
  <c r="Z101" i="1"/>
  <c r="AD101" i="1"/>
  <c r="T101" i="1" s="1"/>
  <c r="AE101" i="1"/>
  <c r="AF101" i="1"/>
  <c r="AH101" i="1"/>
  <c r="AM101" i="1"/>
  <c r="K102" i="1"/>
  <c r="L102" i="1"/>
  <c r="M102" i="1"/>
  <c r="N102" i="1" s="1"/>
  <c r="V102" i="1"/>
  <c r="Y102" i="1"/>
  <c r="Z102" i="1"/>
  <c r="AD102" i="1"/>
  <c r="AG102" i="1" s="1"/>
  <c r="AE102" i="1"/>
  <c r="AF102" i="1"/>
  <c r="AH102" i="1"/>
  <c r="AM102" i="1"/>
  <c r="K103" i="1"/>
  <c r="L103" i="1"/>
  <c r="M103" i="1"/>
  <c r="N103" i="1" s="1"/>
  <c r="V103" i="1"/>
  <c r="Y103" i="1"/>
  <c r="Z103" i="1"/>
  <c r="AD103" i="1"/>
  <c r="T103" i="1" s="1"/>
  <c r="AE103" i="1"/>
  <c r="AF103" i="1"/>
  <c r="AH103" i="1"/>
  <c r="AM103" i="1"/>
  <c r="K104" i="1"/>
  <c r="L104" i="1"/>
  <c r="M104" i="1"/>
  <c r="N104" i="1" s="1"/>
  <c r="V104" i="1"/>
  <c r="Y104" i="1"/>
  <c r="Z104" i="1"/>
  <c r="AD104" i="1"/>
  <c r="AG104" i="1" s="1"/>
  <c r="AE104" i="1"/>
  <c r="AF104" i="1"/>
  <c r="AH104" i="1"/>
  <c r="AM104" i="1"/>
  <c r="K105" i="1"/>
  <c r="L105" i="1"/>
  <c r="M105" i="1"/>
  <c r="N105" i="1" s="1"/>
  <c r="V105" i="1"/>
  <c r="Y105" i="1"/>
  <c r="Z105" i="1"/>
  <c r="AD105" i="1"/>
  <c r="T105" i="1" s="1"/>
  <c r="AE105" i="1"/>
  <c r="AF105" i="1"/>
  <c r="AH105" i="1"/>
  <c r="AM105" i="1"/>
  <c r="K106" i="1"/>
  <c r="L106" i="1"/>
  <c r="M106" i="1"/>
  <c r="N106" i="1" s="1"/>
  <c r="V106" i="1"/>
  <c r="Y106" i="1"/>
  <c r="Z106" i="1"/>
  <c r="AD106" i="1"/>
  <c r="AG106" i="1" s="1"/>
  <c r="AE106" i="1"/>
  <c r="AF106" i="1"/>
  <c r="AH106" i="1"/>
  <c r="AM106" i="1"/>
  <c r="K107" i="1"/>
  <c r="L107" i="1"/>
  <c r="M107" i="1"/>
  <c r="N107" i="1" s="1"/>
  <c r="V107" i="1"/>
  <c r="Y107" i="1"/>
  <c r="Z107" i="1"/>
  <c r="AD107" i="1"/>
  <c r="T107" i="1" s="1"/>
  <c r="AE107" i="1"/>
  <c r="AF107" i="1"/>
  <c r="AH107" i="1"/>
  <c r="AM107" i="1"/>
  <c r="K108" i="1"/>
  <c r="L108" i="1"/>
  <c r="M108" i="1"/>
  <c r="N108" i="1" s="1"/>
  <c r="V108" i="1"/>
  <c r="Y108" i="1"/>
  <c r="Z108" i="1"/>
  <c r="AD108" i="1"/>
  <c r="AG108" i="1" s="1"/>
  <c r="AE108" i="1"/>
  <c r="AF108" i="1"/>
  <c r="AH108" i="1"/>
  <c r="AM108" i="1"/>
  <c r="K109" i="1"/>
  <c r="L109" i="1"/>
  <c r="M109" i="1"/>
  <c r="N109" i="1" s="1"/>
  <c r="V109" i="1"/>
  <c r="Y109" i="1"/>
  <c r="Z109" i="1"/>
  <c r="AD109" i="1"/>
  <c r="T109" i="1" s="1"/>
  <c r="AE109" i="1"/>
  <c r="AF109" i="1"/>
  <c r="AH109" i="1"/>
  <c r="AM109" i="1"/>
  <c r="K110" i="1"/>
  <c r="L110" i="1"/>
  <c r="M110" i="1"/>
  <c r="N110" i="1" s="1"/>
  <c r="V110" i="1"/>
  <c r="S17" i="3" s="1"/>
  <c r="Y110" i="1"/>
  <c r="Z110" i="1"/>
  <c r="AD110" i="1"/>
  <c r="AG110" i="1" s="1"/>
  <c r="AE110" i="1"/>
  <c r="R17" i="3" s="1"/>
  <c r="AF110" i="1"/>
  <c r="AH110" i="1"/>
  <c r="AM110" i="1"/>
  <c r="K111" i="1"/>
  <c r="L111" i="1"/>
  <c r="M111" i="1"/>
  <c r="P111" i="1" s="1"/>
  <c r="V111" i="1"/>
  <c r="Y111" i="1"/>
  <c r="Z111" i="1"/>
  <c r="AD111" i="1"/>
  <c r="T111" i="1" s="1"/>
  <c r="AE111" i="1"/>
  <c r="AF111" i="1"/>
  <c r="AH111" i="1"/>
  <c r="AM111" i="1"/>
  <c r="K112" i="1"/>
  <c r="L112" i="1"/>
  <c r="M112" i="1"/>
  <c r="N112" i="1" s="1"/>
  <c r="V112" i="1"/>
  <c r="Y112" i="1"/>
  <c r="Z112" i="1"/>
  <c r="AD112" i="1"/>
  <c r="AG112" i="1" s="1"/>
  <c r="AE112" i="1"/>
  <c r="AF112" i="1"/>
  <c r="AH112" i="1"/>
  <c r="AM112" i="1"/>
  <c r="K113" i="1"/>
  <c r="L113" i="1"/>
  <c r="M113" i="1"/>
  <c r="N113" i="1" s="1"/>
  <c r="V113" i="1"/>
  <c r="Y113" i="1"/>
  <c r="Z113" i="1"/>
  <c r="AD113" i="1"/>
  <c r="T113" i="1" s="1"/>
  <c r="AE113" i="1"/>
  <c r="AF113" i="1"/>
  <c r="AH113" i="1"/>
  <c r="AM113" i="1"/>
  <c r="K114" i="1"/>
  <c r="L114" i="1"/>
  <c r="M114" i="1"/>
  <c r="N114" i="1" s="1"/>
  <c r="V114" i="1"/>
  <c r="Y114" i="1"/>
  <c r="Z114" i="1"/>
  <c r="AD114" i="1"/>
  <c r="AG114" i="1" s="1"/>
  <c r="AE114" i="1"/>
  <c r="AF114" i="1"/>
  <c r="AH114" i="1"/>
  <c r="AM114" i="1"/>
  <c r="K115" i="1"/>
  <c r="L115" i="1"/>
  <c r="M115" i="1"/>
  <c r="N115" i="1" s="1"/>
  <c r="V115" i="1"/>
  <c r="Y115" i="1"/>
  <c r="Z115" i="1"/>
  <c r="AD115" i="1"/>
  <c r="T115" i="1" s="1"/>
  <c r="AE115" i="1"/>
  <c r="AF115" i="1"/>
  <c r="AH115" i="1"/>
  <c r="AM115" i="1"/>
  <c r="K116" i="1"/>
  <c r="L116" i="1"/>
  <c r="M116" i="1"/>
  <c r="N116" i="1" s="1"/>
  <c r="V116" i="1"/>
  <c r="Y116" i="1"/>
  <c r="Z116" i="1"/>
  <c r="AD116" i="1"/>
  <c r="AG116" i="1" s="1"/>
  <c r="AE116" i="1"/>
  <c r="AF116" i="1"/>
  <c r="AH116" i="1"/>
  <c r="AM116" i="1"/>
  <c r="K117" i="1"/>
  <c r="L117" i="1"/>
  <c r="M117" i="1"/>
  <c r="N117" i="1" s="1"/>
  <c r="V117" i="1"/>
  <c r="Y117" i="1"/>
  <c r="Z117" i="1"/>
  <c r="AD117" i="1"/>
  <c r="T117" i="1" s="1"/>
  <c r="AE117" i="1"/>
  <c r="AF117" i="1"/>
  <c r="AH117" i="1"/>
  <c r="AM117" i="1"/>
  <c r="K118" i="1"/>
  <c r="L118" i="1"/>
  <c r="M118" i="1"/>
  <c r="N118" i="1" s="1"/>
  <c r="V118" i="1"/>
  <c r="Y118" i="1"/>
  <c r="Z118" i="1"/>
  <c r="AD118" i="1"/>
  <c r="AE118" i="1"/>
  <c r="AF118" i="1"/>
  <c r="AH118" i="1"/>
  <c r="AM118" i="1"/>
  <c r="K119" i="1"/>
  <c r="L119" i="1"/>
  <c r="M119" i="1"/>
  <c r="N119" i="1" s="1"/>
  <c r="V119" i="1"/>
  <c r="Y119" i="1"/>
  <c r="Z119" i="1"/>
  <c r="AD119" i="1"/>
  <c r="AE119" i="1"/>
  <c r="AF119" i="1"/>
  <c r="AH119" i="1"/>
  <c r="AM119" i="1"/>
  <c r="K120" i="1"/>
  <c r="L120" i="1"/>
  <c r="M120" i="1"/>
  <c r="N120" i="1" s="1"/>
  <c r="V120" i="1"/>
  <c r="Y120" i="1"/>
  <c r="Z120" i="1"/>
  <c r="AD120" i="1"/>
  <c r="AG120" i="1" s="1"/>
  <c r="AE120" i="1"/>
  <c r="AF120" i="1"/>
  <c r="AH120" i="1"/>
  <c r="AM120" i="1"/>
  <c r="K121" i="1"/>
  <c r="L121" i="1"/>
  <c r="M121" i="1"/>
  <c r="N121" i="1" s="1"/>
  <c r="V121" i="1"/>
  <c r="Y121" i="1"/>
  <c r="Z121" i="1"/>
  <c r="AD121" i="1"/>
  <c r="AE121" i="1"/>
  <c r="AF121" i="1"/>
  <c r="AH121" i="1"/>
  <c r="AM121" i="1"/>
  <c r="K122" i="1"/>
  <c r="L122" i="1"/>
  <c r="M122" i="1"/>
  <c r="N122" i="1" s="1"/>
  <c r="V122" i="1"/>
  <c r="Y122" i="1"/>
  <c r="Z122" i="1"/>
  <c r="AD122" i="1"/>
  <c r="AE122" i="1"/>
  <c r="AF122" i="1"/>
  <c r="AH122" i="1"/>
  <c r="AM122" i="1"/>
  <c r="K123" i="1"/>
  <c r="L123" i="1"/>
  <c r="M123" i="1"/>
  <c r="N123" i="1" s="1"/>
  <c r="V123" i="1"/>
  <c r="S12" i="3" s="1"/>
  <c r="Y123" i="1"/>
  <c r="Z123" i="1"/>
  <c r="AD123" i="1"/>
  <c r="AE123" i="1"/>
  <c r="AF123" i="1"/>
  <c r="AH123" i="1"/>
  <c r="AM123" i="1"/>
  <c r="K124" i="1"/>
  <c r="L124" i="1"/>
  <c r="M124" i="1"/>
  <c r="N124" i="1" s="1"/>
  <c r="V124" i="1"/>
  <c r="Y124" i="1"/>
  <c r="Z124" i="1"/>
  <c r="AD124" i="1"/>
  <c r="AG124" i="1" s="1"/>
  <c r="AE124" i="1"/>
  <c r="AF124" i="1"/>
  <c r="AH124" i="1"/>
  <c r="AM124" i="1"/>
  <c r="K125" i="1"/>
  <c r="L125" i="1"/>
  <c r="M125" i="1"/>
  <c r="N125" i="1" s="1"/>
  <c r="V125" i="1"/>
  <c r="Y125" i="1"/>
  <c r="Z125" i="1"/>
  <c r="AD125" i="1"/>
  <c r="AG125" i="1" s="1"/>
  <c r="AE125" i="1"/>
  <c r="AF125" i="1"/>
  <c r="AH125" i="1"/>
  <c r="AM125" i="1"/>
  <c r="K126" i="1"/>
  <c r="L126" i="1"/>
  <c r="M126" i="1"/>
  <c r="N126" i="1" s="1"/>
  <c r="V126" i="1"/>
  <c r="Y126" i="1"/>
  <c r="Z126" i="1"/>
  <c r="AD126" i="1"/>
  <c r="AG126" i="1" s="1"/>
  <c r="AE126" i="1"/>
  <c r="AF126" i="1"/>
  <c r="AH126" i="1"/>
  <c r="AM126" i="1"/>
  <c r="K127" i="1"/>
  <c r="L127" i="1"/>
  <c r="M127" i="1"/>
  <c r="N127" i="1" s="1"/>
  <c r="V127" i="1"/>
  <c r="Y127" i="1"/>
  <c r="Z127" i="1"/>
  <c r="AD127" i="1"/>
  <c r="AG127" i="1" s="1"/>
  <c r="AE127" i="1"/>
  <c r="AF127" i="1"/>
  <c r="AH127" i="1"/>
  <c r="AM127" i="1"/>
  <c r="K128" i="1"/>
  <c r="L128" i="1"/>
  <c r="M128" i="1"/>
  <c r="N128" i="1" s="1"/>
  <c r="V128" i="1"/>
  <c r="Y128" i="1"/>
  <c r="Z128" i="1"/>
  <c r="AD128" i="1"/>
  <c r="AG128" i="1" s="1"/>
  <c r="AE128" i="1"/>
  <c r="R18" i="3" s="1"/>
  <c r="AF128" i="1"/>
  <c r="AH128" i="1"/>
  <c r="AM128" i="1"/>
  <c r="K129" i="1"/>
  <c r="L129" i="1"/>
  <c r="M129" i="1"/>
  <c r="N129" i="1" s="1"/>
  <c r="V129" i="1"/>
  <c r="Y129" i="1"/>
  <c r="Z129" i="1"/>
  <c r="AD129" i="1"/>
  <c r="AE129" i="1"/>
  <c r="AF129" i="1"/>
  <c r="AH129" i="1"/>
  <c r="AM129" i="1"/>
  <c r="K130" i="1"/>
  <c r="L130" i="1"/>
  <c r="M130" i="1"/>
  <c r="N130" i="1" s="1"/>
  <c r="V130" i="1"/>
  <c r="S19" i="3" s="1"/>
  <c r="Y130" i="1"/>
  <c r="Z130" i="1"/>
  <c r="AD130" i="1"/>
  <c r="AG130" i="1" s="1"/>
  <c r="AE130" i="1"/>
  <c r="R19" i="3" s="1"/>
  <c r="AF130" i="1"/>
  <c r="AH130" i="1"/>
  <c r="AM130" i="1"/>
  <c r="K131" i="1"/>
  <c r="L131" i="1"/>
  <c r="M131" i="1"/>
  <c r="N131" i="1" s="1"/>
  <c r="V131" i="1"/>
  <c r="Y131" i="1"/>
  <c r="Z131" i="1"/>
  <c r="AD131" i="1"/>
  <c r="AG131" i="1" s="1"/>
  <c r="AE131" i="1"/>
  <c r="AF131" i="1"/>
  <c r="AH131" i="1"/>
  <c r="AM131" i="1"/>
  <c r="K132" i="1"/>
  <c r="L132" i="1"/>
  <c r="M132" i="1"/>
  <c r="N132" i="1" s="1"/>
  <c r="V132" i="1"/>
  <c r="Y132" i="1"/>
  <c r="Z132" i="1"/>
  <c r="AD132" i="1"/>
  <c r="AG132" i="1" s="1"/>
  <c r="AE132" i="1"/>
  <c r="AF132" i="1"/>
  <c r="AH132" i="1"/>
  <c r="AM132" i="1"/>
  <c r="K133" i="1"/>
  <c r="L133" i="1"/>
  <c r="M133" i="1"/>
  <c r="N133" i="1" s="1"/>
  <c r="V133" i="1"/>
  <c r="Y133" i="1"/>
  <c r="Z133" i="1"/>
  <c r="AD133" i="1"/>
  <c r="AG133" i="1" s="1"/>
  <c r="AE133" i="1"/>
  <c r="AF133" i="1"/>
  <c r="AH133" i="1"/>
  <c r="AM133" i="1"/>
  <c r="K134" i="1"/>
  <c r="L134" i="1"/>
  <c r="M134" i="1"/>
  <c r="N134" i="1" s="1"/>
  <c r="V134" i="1"/>
  <c r="Y134" i="1"/>
  <c r="Z134" i="1"/>
  <c r="AD134" i="1"/>
  <c r="AG134" i="1" s="1"/>
  <c r="AE134" i="1"/>
  <c r="AF134" i="1"/>
  <c r="AH134" i="1"/>
  <c r="AM134" i="1"/>
  <c r="K135" i="1"/>
  <c r="L135" i="1"/>
  <c r="M135" i="1"/>
  <c r="P135" i="1" s="1"/>
  <c r="V135" i="1"/>
  <c r="Y135" i="1"/>
  <c r="Z135" i="1"/>
  <c r="AD135" i="1"/>
  <c r="AG135" i="1" s="1"/>
  <c r="AE135" i="1"/>
  <c r="AF135" i="1"/>
  <c r="AH135" i="1"/>
  <c r="AM135" i="1"/>
  <c r="K136" i="1"/>
  <c r="L136" i="1"/>
  <c r="M136" i="1"/>
  <c r="V136" i="1"/>
  <c r="Y136" i="1"/>
  <c r="Z136" i="1"/>
  <c r="AD136" i="1"/>
  <c r="AG136" i="1" s="1"/>
  <c r="AE136" i="1"/>
  <c r="AF136" i="1"/>
  <c r="AH136" i="1"/>
  <c r="AM136" i="1"/>
  <c r="K137" i="1"/>
  <c r="L137" i="1"/>
  <c r="M137" i="1"/>
  <c r="N137" i="1" s="1"/>
  <c r="V137" i="1"/>
  <c r="Y137" i="1"/>
  <c r="Z137" i="1"/>
  <c r="AD137" i="1"/>
  <c r="AG137" i="1" s="1"/>
  <c r="AE137" i="1"/>
  <c r="AF137" i="1"/>
  <c r="AH137" i="1"/>
  <c r="AM137" i="1"/>
  <c r="K138" i="1"/>
  <c r="L138" i="1"/>
  <c r="M138" i="1"/>
  <c r="N138" i="1" s="1"/>
  <c r="V138" i="1"/>
  <c r="S9" i="3" s="1"/>
  <c r="Y138" i="1"/>
  <c r="Z138" i="1"/>
  <c r="AD138" i="1"/>
  <c r="AG138" i="1" s="1"/>
  <c r="AE138" i="1"/>
  <c r="R9" i="3" s="1"/>
  <c r="AF138" i="1"/>
  <c r="AH138" i="1"/>
  <c r="AM138" i="1"/>
  <c r="K139" i="1"/>
  <c r="L139" i="1"/>
  <c r="M139" i="1"/>
  <c r="N139" i="1" s="1"/>
  <c r="V139" i="1"/>
  <c r="Y139" i="1"/>
  <c r="Z139" i="1"/>
  <c r="AD139" i="1"/>
  <c r="AG139" i="1" s="1"/>
  <c r="AE139" i="1"/>
  <c r="AF139" i="1"/>
  <c r="AH139" i="1"/>
  <c r="AM139" i="1"/>
  <c r="K140" i="1"/>
  <c r="L140" i="1"/>
  <c r="M140" i="1"/>
  <c r="N140" i="1" s="1"/>
  <c r="V140" i="1"/>
  <c r="Y140" i="1"/>
  <c r="Z140" i="1"/>
  <c r="AD140" i="1"/>
  <c r="AE140" i="1"/>
  <c r="AF140" i="1"/>
  <c r="AH140" i="1"/>
  <c r="AM140" i="1"/>
  <c r="K141" i="1"/>
  <c r="L141" i="1"/>
  <c r="M141" i="1"/>
  <c r="N141" i="1" s="1"/>
  <c r="V141" i="1"/>
  <c r="Y141" i="1"/>
  <c r="Z141" i="1"/>
  <c r="AD141" i="1"/>
  <c r="T141" i="1" s="1"/>
  <c r="AE141" i="1"/>
  <c r="AF141" i="1"/>
  <c r="AH141" i="1"/>
  <c r="AM141" i="1"/>
  <c r="K142" i="1"/>
  <c r="L142" i="1"/>
  <c r="M142" i="1"/>
  <c r="N142" i="1" s="1"/>
  <c r="V142" i="1"/>
  <c r="Y142" i="1"/>
  <c r="Z142" i="1"/>
  <c r="AD142" i="1"/>
  <c r="AG142" i="1" s="1"/>
  <c r="AE142" i="1"/>
  <c r="AF142" i="1"/>
  <c r="AH142" i="1"/>
  <c r="AM142" i="1"/>
  <c r="K143" i="1"/>
  <c r="L143" i="1"/>
  <c r="M143" i="1"/>
  <c r="N143" i="1" s="1"/>
  <c r="V143" i="1"/>
  <c r="Y143" i="1"/>
  <c r="Z143" i="1"/>
  <c r="AD143" i="1"/>
  <c r="AE143" i="1"/>
  <c r="AF143" i="1"/>
  <c r="AH143" i="1"/>
  <c r="AM143" i="1"/>
  <c r="K144" i="1"/>
  <c r="L144" i="1"/>
  <c r="M144" i="1"/>
  <c r="N144" i="1" s="1"/>
  <c r="V144" i="1"/>
  <c r="Y144" i="1"/>
  <c r="Z144" i="1"/>
  <c r="AI144" i="1" s="1"/>
  <c r="AD144" i="1"/>
  <c r="AG144" i="1" s="1"/>
  <c r="AE144" i="1"/>
  <c r="R25" i="3" s="1"/>
  <c r="AF144" i="1"/>
  <c r="AH144" i="1"/>
  <c r="AM144" i="1"/>
  <c r="K145" i="1"/>
  <c r="L145" i="1"/>
  <c r="M145" i="1"/>
  <c r="N145" i="1" s="1"/>
  <c r="V145" i="1"/>
  <c r="Y145" i="1"/>
  <c r="Z145" i="1"/>
  <c r="AD145" i="1"/>
  <c r="T145" i="1" s="1"/>
  <c r="AE145" i="1"/>
  <c r="AF145" i="1"/>
  <c r="AH145" i="1"/>
  <c r="AM145" i="1"/>
  <c r="K147" i="1"/>
  <c r="L147" i="1"/>
  <c r="M147" i="1"/>
  <c r="N147" i="1" s="1"/>
  <c r="V147" i="1"/>
  <c r="Y147" i="1"/>
  <c r="AA147" i="1"/>
  <c r="AD147" i="1"/>
  <c r="AE147" i="1"/>
  <c r="AF147" i="1"/>
  <c r="AH147" i="1"/>
  <c r="AM147" i="1"/>
  <c r="K148" i="1"/>
  <c r="L148" i="1"/>
  <c r="M148" i="1"/>
  <c r="N148" i="1" s="1"/>
  <c r="V148" i="1"/>
  <c r="Y148" i="1"/>
  <c r="Z148" i="1"/>
  <c r="AD148" i="1"/>
  <c r="T148" i="1" s="1"/>
  <c r="AE148" i="1"/>
  <c r="AF148" i="1"/>
  <c r="AH148" i="1"/>
  <c r="AM148" i="1"/>
  <c r="K149" i="1"/>
  <c r="L149" i="1"/>
  <c r="M149" i="1"/>
  <c r="N149" i="1" s="1"/>
  <c r="V149" i="1"/>
  <c r="Y149" i="1"/>
  <c r="Z149" i="1"/>
  <c r="AD149" i="1"/>
  <c r="AG149" i="1" s="1"/>
  <c r="AE149" i="1"/>
  <c r="AF149" i="1"/>
  <c r="AH149" i="1"/>
  <c r="AM149" i="1"/>
  <c r="K150" i="1"/>
  <c r="L150" i="1"/>
  <c r="M150" i="1"/>
  <c r="N150" i="1" s="1"/>
  <c r="V150" i="1"/>
  <c r="Y150" i="1"/>
  <c r="Z150" i="1"/>
  <c r="AD150" i="1"/>
  <c r="T150" i="1" s="1"/>
  <c r="AE150" i="1"/>
  <c r="AF150" i="1"/>
  <c r="AH150" i="1"/>
  <c r="AM150" i="1"/>
  <c r="K151" i="1"/>
  <c r="L151" i="1"/>
  <c r="M151" i="1"/>
  <c r="N151" i="1" s="1"/>
  <c r="V151" i="1"/>
  <c r="Y151" i="1"/>
  <c r="Z151" i="1"/>
  <c r="AD151" i="1"/>
  <c r="AE151" i="1"/>
  <c r="AF151" i="1"/>
  <c r="AH151" i="1"/>
  <c r="AM151" i="1"/>
  <c r="K152" i="1"/>
  <c r="L152" i="1"/>
  <c r="M152" i="1"/>
  <c r="N152" i="1" s="1"/>
  <c r="V152" i="1"/>
  <c r="Y152" i="1"/>
  <c r="Z152" i="1"/>
  <c r="AD152" i="1"/>
  <c r="T152" i="1" s="1"/>
  <c r="AE152" i="1"/>
  <c r="AF152" i="1"/>
  <c r="AH152" i="1"/>
  <c r="AM152" i="1"/>
  <c r="K153" i="1"/>
  <c r="L153" i="1"/>
  <c r="M153" i="1"/>
  <c r="N153" i="1" s="1"/>
  <c r="V153" i="1"/>
  <c r="Y153" i="1"/>
  <c r="Z153" i="1"/>
  <c r="AD153" i="1"/>
  <c r="AE153" i="1"/>
  <c r="AF153" i="1"/>
  <c r="AH153" i="1"/>
  <c r="AM153" i="1"/>
  <c r="K154" i="1"/>
  <c r="L154" i="1"/>
  <c r="M154" i="1"/>
  <c r="N154" i="1" s="1"/>
  <c r="V154" i="1"/>
  <c r="S26" i="3" s="1"/>
  <c r="Y154" i="1"/>
  <c r="Z154" i="1"/>
  <c r="AD154" i="1"/>
  <c r="T154" i="1" s="1"/>
  <c r="AE154" i="1"/>
  <c r="R26" i="3" s="1"/>
  <c r="AF154" i="1"/>
  <c r="AH154" i="1"/>
  <c r="AM154" i="1"/>
  <c r="K155" i="1"/>
  <c r="L155" i="1"/>
  <c r="M155" i="1"/>
  <c r="N155" i="1" s="1"/>
  <c r="V155" i="1"/>
  <c r="Y155" i="1"/>
  <c r="Z155" i="1"/>
  <c r="AD155" i="1"/>
  <c r="AG155" i="1" s="1"/>
  <c r="AE155" i="1"/>
  <c r="AF155" i="1"/>
  <c r="AH155" i="1"/>
  <c r="AM155" i="1"/>
  <c r="K156" i="1"/>
  <c r="L156" i="1"/>
  <c r="M156" i="1"/>
  <c r="N156" i="1" s="1"/>
  <c r="V156" i="1"/>
  <c r="Y156" i="1"/>
  <c r="Z156" i="1"/>
  <c r="AD156" i="1"/>
  <c r="T156" i="1" s="1"/>
  <c r="AE156" i="1"/>
  <c r="AF156" i="1"/>
  <c r="AH156" i="1"/>
  <c r="AM156" i="1"/>
  <c r="K157" i="1"/>
  <c r="L157" i="1"/>
  <c r="M157" i="1"/>
  <c r="N157" i="1" s="1"/>
  <c r="V157" i="1"/>
  <c r="Y157" i="1"/>
  <c r="Z157" i="1"/>
  <c r="AD157" i="1"/>
  <c r="AG157" i="1" s="1"/>
  <c r="AE157" i="1"/>
  <c r="AF157" i="1"/>
  <c r="AH157" i="1"/>
  <c r="AM157" i="1"/>
  <c r="K195" i="1"/>
  <c r="L195" i="1"/>
  <c r="M195" i="1"/>
  <c r="N195" i="1" s="1"/>
  <c r="V195" i="1"/>
  <c r="Y195" i="1"/>
  <c r="Z195" i="1"/>
  <c r="AD195" i="1"/>
  <c r="AE195" i="1"/>
  <c r="AF195" i="1"/>
  <c r="AH158" i="1"/>
  <c r="AM158" i="1"/>
  <c r="K196" i="1"/>
  <c r="L196" i="1"/>
  <c r="M196" i="1"/>
  <c r="N196" i="1" s="1"/>
  <c r="V196" i="1"/>
  <c r="Y196" i="1"/>
  <c r="Z196" i="1"/>
  <c r="AD196" i="1"/>
  <c r="AG196" i="1" s="1"/>
  <c r="AE196" i="1"/>
  <c r="AF196" i="1"/>
  <c r="AH159" i="1"/>
  <c r="AM159" i="1"/>
  <c r="K197" i="1"/>
  <c r="L197" i="1"/>
  <c r="M197" i="1"/>
  <c r="N197" i="1" s="1"/>
  <c r="V197" i="1"/>
  <c r="Y197" i="1"/>
  <c r="Z197" i="1"/>
  <c r="AD197" i="1"/>
  <c r="AE197" i="1"/>
  <c r="AF197" i="1"/>
  <c r="AH160" i="1"/>
  <c r="AM160" i="1"/>
  <c r="K198" i="1"/>
  <c r="L198" i="1"/>
  <c r="M198" i="1"/>
  <c r="N198" i="1" s="1"/>
  <c r="V198" i="1"/>
  <c r="Y198" i="1"/>
  <c r="Z198" i="1"/>
  <c r="AA198" i="1" s="1"/>
  <c r="AD198" i="1"/>
  <c r="AG198" i="1" s="1"/>
  <c r="AE198" i="1"/>
  <c r="AF198" i="1"/>
  <c r="AH161" i="1"/>
  <c r="AM161" i="1"/>
  <c r="K199" i="1"/>
  <c r="L199" i="1"/>
  <c r="M199" i="1"/>
  <c r="N199" i="1" s="1"/>
  <c r="V199" i="1"/>
  <c r="Y199" i="1"/>
  <c r="Z199" i="1"/>
  <c r="AD199" i="1"/>
  <c r="AE199" i="1"/>
  <c r="AF199" i="1"/>
  <c r="AH162" i="1"/>
  <c r="AM162" i="1"/>
  <c r="K200" i="1"/>
  <c r="L200" i="1"/>
  <c r="M200" i="1"/>
  <c r="N200" i="1" s="1"/>
  <c r="V200" i="1"/>
  <c r="Y200" i="1"/>
  <c r="Z200" i="1"/>
  <c r="AD200" i="1"/>
  <c r="AG200" i="1" s="1"/>
  <c r="AE200" i="1"/>
  <c r="AF200" i="1"/>
  <c r="AH163" i="1"/>
  <c r="AM163" i="1"/>
  <c r="K201" i="1"/>
  <c r="L201" i="1"/>
  <c r="M201" i="1"/>
  <c r="N201" i="1" s="1"/>
  <c r="V201" i="1"/>
  <c r="Y201" i="1"/>
  <c r="Z201" i="1"/>
  <c r="AD201" i="1"/>
  <c r="AE201" i="1"/>
  <c r="AF201" i="1"/>
  <c r="AH164" i="1"/>
  <c r="AM164" i="1"/>
  <c r="K202" i="1"/>
  <c r="L202" i="1"/>
  <c r="M202" i="1"/>
  <c r="N202" i="1" s="1"/>
  <c r="V202" i="1"/>
  <c r="Y202" i="1"/>
  <c r="Z202" i="1"/>
  <c r="AD202" i="1"/>
  <c r="AG202" i="1" s="1"/>
  <c r="AE202" i="1"/>
  <c r="AF202" i="1"/>
  <c r="AH165" i="1"/>
  <c r="AM165" i="1"/>
  <c r="K203" i="1"/>
  <c r="L203" i="1"/>
  <c r="M203" i="1"/>
  <c r="N203" i="1" s="1"/>
  <c r="V203" i="1"/>
  <c r="Y203" i="1"/>
  <c r="Z203" i="1"/>
  <c r="AD203" i="1"/>
  <c r="AE203" i="1"/>
  <c r="AF203" i="1"/>
  <c r="AH166" i="1"/>
  <c r="AM166" i="1"/>
  <c r="K204" i="1"/>
  <c r="L204" i="1"/>
  <c r="M204" i="1"/>
  <c r="N204" i="1" s="1"/>
  <c r="V204" i="1"/>
  <c r="Y204" i="1"/>
  <c r="Z204" i="1"/>
  <c r="AD204" i="1"/>
  <c r="AG204" i="1" s="1"/>
  <c r="AE204" i="1"/>
  <c r="AF204" i="1"/>
  <c r="AH167" i="1"/>
  <c r="AM167" i="1"/>
  <c r="K205" i="1"/>
  <c r="L205" i="1"/>
  <c r="M205" i="1"/>
  <c r="N205" i="1" s="1"/>
  <c r="V205" i="1"/>
  <c r="Y205" i="1"/>
  <c r="Z205" i="1"/>
  <c r="AD205" i="1"/>
  <c r="AE205" i="1"/>
  <c r="AF205" i="1"/>
  <c r="AH168" i="1"/>
  <c r="AM168" i="1"/>
  <c r="K206" i="1"/>
  <c r="L206" i="1"/>
  <c r="M206" i="1"/>
  <c r="N206" i="1" s="1"/>
  <c r="V206" i="1"/>
  <c r="Y206" i="1"/>
  <c r="Z206" i="1"/>
  <c r="AD206" i="1"/>
  <c r="AG206" i="1" s="1"/>
  <c r="AE206" i="1"/>
  <c r="AF206" i="1"/>
  <c r="AH169" i="1"/>
  <c r="AM169" i="1"/>
  <c r="K207" i="1"/>
  <c r="L207" i="1"/>
  <c r="M207" i="1"/>
  <c r="N207" i="1" s="1"/>
  <c r="V207" i="1"/>
  <c r="Y207" i="1"/>
  <c r="Z207" i="1"/>
  <c r="AD207" i="1"/>
  <c r="AE207" i="1"/>
  <c r="AF207" i="1"/>
  <c r="AH170" i="1"/>
  <c r="AM170" i="1"/>
  <c r="K213" i="1"/>
  <c r="L213" i="1"/>
  <c r="M213" i="1"/>
  <c r="N213" i="1" s="1"/>
  <c r="V213" i="1"/>
  <c r="Y213" i="1"/>
  <c r="Z213" i="1"/>
  <c r="AD213" i="1"/>
  <c r="AG213" i="1" s="1"/>
  <c r="AE213" i="1"/>
  <c r="AF213" i="1"/>
  <c r="AH171" i="1"/>
  <c r="AM171" i="1"/>
  <c r="K214" i="1"/>
  <c r="L214" i="1"/>
  <c r="M214" i="1"/>
  <c r="N214" i="1" s="1"/>
  <c r="V214" i="1"/>
  <c r="Y214" i="1"/>
  <c r="Z214" i="1"/>
  <c r="AD214" i="1"/>
  <c r="AE214" i="1"/>
  <c r="AF214" i="1"/>
  <c r="AH172" i="1"/>
  <c r="AM172" i="1"/>
  <c r="K215" i="1"/>
  <c r="L215" i="1"/>
  <c r="M215" i="1"/>
  <c r="N215" i="1" s="1"/>
  <c r="V215" i="1"/>
  <c r="Y215" i="1"/>
  <c r="Z215" i="1"/>
  <c r="AD215" i="1"/>
  <c r="AG215" i="1" s="1"/>
  <c r="AE215" i="1"/>
  <c r="AF215" i="1"/>
  <c r="AH173" i="1"/>
  <c r="AM173" i="1"/>
  <c r="K216" i="1"/>
  <c r="L216" i="1"/>
  <c r="M216" i="1"/>
  <c r="N216" i="1" s="1"/>
  <c r="V216" i="1"/>
  <c r="Y216" i="1"/>
  <c r="Z216" i="1"/>
  <c r="AD216" i="1"/>
  <c r="AE216" i="1"/>
  <c r="AF216" i="1"/>
  <c r="AH174" i="1"/>
  <c r="AM174" i="1"/>
  <c r="K217" i="1"/>
  <c r="L217" i="1"/>
  <c r="M217" i="1"/>
  <c r="N217" i="1" s="1"/>
  <c r="V217" i="1"/>
  <c r="Y217" i="1"/>
  <c r="Z217" i="1"/>
  <c r="AD217" i="1"/>
  <c r="AG217" i="1" s="1"/>
  <c r="AE217" i="1"/>
  <c r="AF217" i="1"/>
  <c r="AH175" i="1"/>
  <c r="AM175" i="1"/>
  <c r="K218" i="1"/>
  <c r="L218" i="1"/>
  <c r="M218" i="1"/>
  <c r="N218" i="1" s="1"/>
  <c r="V218" i="1"/>
  <c r="Y218" i="1"/>
  <c r="Z218" i="1"/>
  <c r="AD218" i="1"/>
  <c r="AE218" i="1"/>
  <c r="AF218" i="1"/>
  <c r="AH176" i="1"/>
  <c r="AM176" i="1"/>
  <c r="K219" i="1"/>
  <c r="L219" i="1"/>
  <c r="M219" i="1"/>
  <c r="N219" i="1" s="1"/>
  <c r="V219" i="1"/>
  <c r="Y219" i="1"/>
  <c r="Z219" i="1"/>
  <c r="AA219" i="1" s="1"/>
  <c r="W219" i="1" s="1"/>
  <c r="AD219" i="1"/>
  <c r="AG219" i="1" s="1"/>
  <c r="AE219" i="1"/>
  <c r="AF219" i="1"/>
  <c r="AH177" i="1"/>
  <c r="AM177" i="1"/>
  <c r="K158" i="1"/>
  <c r="L158" i="1"/>
  <c r="M158" i="1"/>
  <c r="N158" i="1" s="1"/>
  <c r="V158" i="1"/>
  <c r="Y158" i="1"/>
  <c r="Z158" i="1"/>
  <c r="AD158" i="1"/>
  <c r="AG158" i="1" s="1"/>
  <c r="AE158" i="1"/>
  <c r="AF158" i="1"/>
  <c r="AH178" i="1"/>
  <c r="AM178" i="1"/>
  <c r="K159" i="1"/>
  <c r="L159" i="1"/>
  <c r="M159" i="1"/>
  <c r="N159" i="1" s="1"/>
  <c r="V159" i="1"/>
  <c r="Y159" i="1"/>
  <c r="Z159" i="1"/>
  <c r="AD159" i="1"/>
  <c r="AG159" i="1" s="1"/>
  <c r="AE159" i="1"/>
  <c r="AF159" i="1"/>
  <c r="AH179" i="1"/>
  <c r="AM179" i="1"/>
  <c r="K160" i="1"/>
  <c r="L160" i="1"/>
  <c r="M160" i="1"/>
  <c r="N160" i="1" s="1"/>
  <c r="V160" i="1"/>
  <c r="Y160" i="1"/>
  <c r="Z160" i="1"/>
  <c r="AD160" i="1"/>
  <c r="AE160" i="1"/>
  <c r="AF160" i="1"/>
  <c r="AH180" i="1"/>
  <c r="AM180" i="1"/>
  <c r="K161" i="1"/>
  <c r="L161" i="1"/>
  <c r="M161" i="1"/>
  <c r="N161" i="1" s="1"/>
  <c r="V161" i="1"/>
  <c r="Y161" i="1"/>
  <c r="Z161" i="1"/>
  <c r="AD161" i="1"/>
  <c r="AG161" i="1" s="1"/>
  <c r="AE161" i="1"/>
  <c r="AF161" i="1"/>
  <c r="AH181" i="1"/>
  <c r="AM181" i="1"/>
  <c r="K162" i="1"/>
  <c r="L162" i="1"/>
  <c r="M162" i="1"/>
  <c r="N162" i="1" s="1"/>
  <c r="V162" i="1"/>
  <c r="Y162" i="1"/>
  <c r="Z162" i="1"/>
  <c r="AD162" i="1"/>
  <c r="T162" i="1" s="1"/>
  <c r="AE162" i="1"/>
  <c r="AF162" i="1"/>
  <c r="AH182" i="1"/>
  <c r="AM182" i="1"/>
  <c r="K163" i="1"/>
  <c r="L163" i="1"/>
  <c r="M163" i="1"/>
  <c r="N163" i="1" s="1"/>
  <c r="V163" i="1"/>
  <c r="Y163" i="1"/>
  <c r="Z163" i="1"/>
  <c r="AD163" i="1"/>
  <c r="AG163" i="1" s="1"/>
  <c r="AE163" i="1"/>
  <c r="AF163" i="1"/>
  <c r="AH183" i="1"/>
  <c r="AM183" i="1"/>
  <c r="K164" i="1"/>
  <c r="L164" i="1"/>
  <c r="M164" i="1"/>
  <c r="N164" i="1" s="1"/>
  <c r="V164" i="1"/>
  <c r="Y164" i="1"/>
  <c r="Z164" i="1"/>
  <c r="AD164" i="1"/>
  <c r="AE164" i="1"/>
  <c r="AF164" i="1"/>
  <c r="AH184" i="1"/>
  <c r="AM184" i="1"/>
  <c r="K165" i="1"/>
  <c r="L165" i="1"/>
  <c r="M165" i="1"/>
  <c r="N165" i="1" s="1"/>
  <c r="V165" i="1"/>
  <c r="Y165" i="1"/>
  <c r="Z165" i="1"/>
  <c r="AD165" i="1"/>
  <c r="AG165" i="1" s="1"/>
  <c r="AE165" i="1"/>
  <c r="AF165" i="1"/>
  <c r="AH185" i="1"/>
  <c r="AM185" i="1"/>
  <c r="K166" i="1"/>
  <c r="L166" i="1"/>
  <c r="M166" i="1"/>
  <c r="N166" i="1" s="1"/>
  <c r="V166" i="1"/>
  <c r="Y166" i="1"/>
  <c r="Z166" i="1"/>
  <c r="AD166" i="1"/>
  <c r="T166" i="1" s="1"/>
  <c r="AE166" i="1"/>
  <c r="AF166" i="1"/>
  <c r="AH186" i="1"/>
  <c r="AM186" i="1"/>
  <c r="K167" i="1"/>
  <c r="L167" i="1"/>
  <c r="M167" i="1"/>
  <c r="P167" i="1" s="1"/>
  <c r="V167" i="1"/>
  <c r="Y167" i="1"/>
  <c r="Z167" i="1"/>
  <c r="AD167" i="1"/>
  <c r="AG167" i="1" s="1"/>
  <c r="AE167" i="1"/>
  <c r="AF167" i="1"/>
  <c r="AH187" i="1"/>
  <c r="AM187" i="1"/>
  <c r="K168" i="1"/>
  <c r="L168" i="1"/>
  <c r="M168" i="1"/>
  <c r="P168" i="1" s="1"/>
  <c r="V168" i="1"/>
  <c r="Y168" i="1"/>
  <c r="Z168" i="1"/>
  <c r="AD168" i="1"/>
  <c r="AE168" i="1"/>
  <c r="AF168" i="1"/>
  <c r="AH188" i="1"/>
  <c r="AM188" i="1"/>
  <c r="K169" i="1"/>
  <c r="L169" i="1"/>
  <c r="M169" i="1"/>
  <c r="P169" i="1" s="1"/>
  <c r="V169" i="1"/>
  <c r="Y169" i="1"/>
  <c r="Z169" i="1"/>
  <c r="AD169" i="1"/>
  <c r="AG169" i="1" s="1"/>
  <c r="AE169" i="1"/>
  <c r="R28" i="3" s="1"/>
  <c r="AF169" i="1"/>
  <c r="AH189" i="1"/>
  <c r="AM189" i="1"/>
  <c r="K170" i="1"/>
  <c r="L170" i="1"/>
  <c r="M170" i="1"/>
  <c r="P170" i="1" s="1"/>
  <c r="V170" i="1"/>
  <c r="Y170" i="1"/>
  <c r="Z170" i="1"/>
  <c r="AD170" i="1"/>
  <c r="T170" i="1" s="1"/>
  <c r="AE170" i="1"/>
  <c r="AF170" i="1"/>
  <c r="AH190" i="1"/>
  <c r="AM190" i="1"/>
  <c r="K171" i="1"/>
  <c r="L171" i="1"/>
  <c r="M171" i="1"/>
  <c r="P171" i="1" s="1"/>
  <c r="V171" i="1"/>
  <c r="Y171" i="1"/>
  <c r="Z171" i="1"/>
  <c r="AD171" i="1"/>
  <c r="AG171" i="1" s="1"/>
  <c r="AE171" i="1"/>
  <c r="AF171" i="1"/>
  <c r="AH191" i="1"/>
  <c r="AM191" i="1"/>
  <c r="K172" i="1"/>
  <c r="L172" i="1"/>
  <c r="M172" i="1"/>
  <c r="P172" i="1" s="1"/>
  <c r="V172" i="1"/>
  <c r="Y172" i="1"/>
  <c r="Z172" i="1"/>
  <c r="AD172" i="1"/>
  <c r="AE172" i="1"/>
  <c r="AF172" i="1"/>
  <c r="AH192" i="1"/>
  <c r="AM192" i="1"/>
  <c r="K173" i="1"/>
  <c r="L173" i="1"/>
  <c r="M173" i="1"/>
  <c r="N173" i="1" s="1"/>
  <c r="V173" i="1"/>
  <c r="Y173" i="1"/>
  <c r="Z173" i="1"/>
  <c r="AD173" i="1"/>
  <c r="AG173" i="1" s="1"/>
  <c r="AE173" i="1"/>
  <c r="AF173" i="1"/>
  <c r="AH193" i="1"/>
  <c r="AM193" i="1"/>
  <c r="K174" i="1"/>
  <c r="L174" i="1"/>
  <c r="M174" i="1"/>
  <c r="N174" i="1" s="1"/>
  <c r="V174" i="1"/>
  <c r="S29" i="3" s="1"/>
  <c r="Y174" i="1"/>
  <c r="Z174" i="1"/>
  <c r="AD174" i="1"/>
  <c r="AE174" i="1"/>
  <c r="R29" i="3" s="1"/>
  <c r="AF174" i="1"/>
  <c r="AH194" i="1"/>
  <c r="AM194" i="1"/>
  <c r="K175" i="1"/>
  <c r="L175" i="1"/>
  <c r="M175" i="1"/>
  <c r="N175" i="1" s="1"/>
  <c r="V175" i="1"/>
  <c r="Y175" i="1"/>
  <c r="Z175" i="1"/>
  <c r="AD175" i="1"/>
  <c r="AE175" i="1"/>
  <c r="AF175" i="1"/>
  <c r="AH195" i="1"/>
  <c r="AM195" i="1"/>
  <c r="K176" i="1"/>
  <c r="L176" i="1"/>
  <c r="M176" i="1"/>
  <c r="N176" i="1" s="1"/>
  <c r="V176" i="1"/>
  <c r="Y176" i="1"/>
  <c r="Z176" i="1"/>
  <c r="AD176" i="1"/>
  <c r="AE176" i="1"/>
  <c r="AF176" i="1"/>
  <c r="AH196" i="1"/>
  <c r="AM196" i="1"/>
  <c r="K177" i="1"/>
  <c r="L177" i="1"/>
  <c r="M177" i="1"/>
  <c r="N177" i="1" s="1"/>
  <c r="V177" i="1"/>
  <c r="Y177" i="1"/>
  <c r="Z177" i="1"/>
  <c r="AD177" i="1"/>
  <c r="AG177" i="1" s="1"/>
  <c r="AE177" i="1"/>
  <c r="AF177" i="1"/>
  <c r="AH197" i="1"/>
  <c r="AM197" i="1"/>
  <c r="K178" i="1"/>
  <c r="L178" i="1"/>
  <c r="M178" i="1"/>
  <c r="N178" i="1" s="1"/>
  <c r="V178" i="1"/>
  <c r="Y178" i="1"/>
  <c r="Z178" i="1"/>
  <c r="AD178" i="1"/>
  <c r="T178" i="1" s="1"/>
  <c r="AE178" i="1"/>
  <c r="AF178" i="1"/>
  <c r="AH198" i="1"/>
  <c r="AM198" i="1"/>
  <c r="K179" i="1"/>
  <c r="L179" i="1"/>
  <c r="M179" i="1"/>
  <c r="N179" i="1" s="1"/>
  <c r="V179" i="1"/>
  <c r="S30" i="3" s="1"/>
  <c r="Y179" i="1"/>
  <c r="Z179" i="1"/>
  <c r="AD179" i="1"/>
  <c r="AG179" i="1" s="1"/>
  <c r="AI179" i="1" s="1"/>
  <c r="AE179" i="1"/>
  <c r="AF179" i="1"/>
  <c r="AH199" i="1"/>
  <c r="AM199" i="1"/>
  <c r="K180" i="1"/>
  <c r="L180" i="1"/>
  <c r="M180" i="1"/>
  <c r="N180" i="1" s="1"/>
  <c r="V180" i="1"/>
  <c r="Y180" i="1"/>
  <c r="Z180" i="1"/>
  <c r="AD180" i="1"/>
  <c r="T180" i="1" s="1"/>
  <c r="AE180" i="1"/>
  <c r="AF180" i="1"/>
  <c r="AH200" i="1"/>
  <c r="AM200" i="1"/>
  <c r="K181" i="1"/>
  <c r="L181" i="1"/>
  <c r="M181" i="1"/>
  <c r="N181" i="1" s="1"/>
  <c r="V181" i="1"/>
  <c r="Y181" i="1"/>
  <c r="Z181" i="1"/>
  <c r="AD181" i="1"/>
  <c r="T181" i="1" s="1"/>
  <c r="AE181" i="1"/>
  <c r="AF181" i="1"/>
  <c r="AH201" i="1"/>
  <c r="AM201" i="1"/>
  <c r="K182" i="1"/>
  <c r="L182" i="1"/>
  <c r="M182" i="1"/>
  <c r="N182" i="1" s="1"/>
  <c r="V182" i="1"/>
  <c r="Y182" i="1"/>
  <c r="Z182" i="1"/>
  <c r="AD182" i="1"/>
  <c r="T182" i="1" s="1"/>
  <c r="AE182" i="1"/>
  <c r="AF182" i="1"/>
  <c r="AH202" i="1"/>
  <c r="AM202" i="1"/>
  <c r="K183" i="1"/>
  <c r="L183" i="1"/>
  <c r="M183" i="1"/>
  <c r="N183" i="1" s="1"/>
  <c r="V183" i="1"/>
  <c r="Y183" i="1"/>
  <c r="Z183" i="1"/>
  <c r="AD183" i="1"/>
  <c r="AE183" i="1"/>
  <c r="R31" i="3" s="1"/>
  <c r="AF183" i="1"/>
  <c r="AH203" i="1"/>
  <c r="AM203" i="1"/>
  <c r="K184" i="1"/>
  <c r="L184" i="1"/>
  <c r="M184" i="1"/>
  <c r="N184" i="1" s="1"/>
  <c r="V184" i="1"/>
  <c r="Y184" i="1"/>
  <c r="Z184" i="1"/>
  <c r="AD184" i="1"/>
  <c r="T184" i="1" s="1"/>
  <c r="AE184" i="1"/>
  <c r="AF184" i="1"/>
  <c r="AH204" i="1"/>
  <c r="AM204" i="1"/>
  <c r="K185" i="1"/>
  <c r="L185" i="1"/>
  <c r="M185" i="1"/>
  <c r="N185" i="1" s="1"/>
  <c r="V185" i="1"/>
  <c r="Y185" i="1"/>
  <c r="Z185" i="1"/>
  <c r="AD185" i="1"/>
  <c r="AE185" i="1"/>
  <c r="AF185" i="1"/>
  <c r="AH205" i="1"/>
  <c r="AM205" i="1"/>
  <c r="K186" i="1"/>
  <c r="L186" i="1"/>
  <c r="M186" i="1"/>
  <c r="N186" i="1" s="1"/>
  <c r="V186" i="1"/>
  <c r="Y186" i="1"/>
  <c r="Z186" i="1"/>
  <c r="AD186" i="1"/>
  <c r="T186" i="1" s="1"/>
  <c r="AE186" i="1"/>
  <c r="AF186" i="1"/>
  <c r="AH206" i="1"/>
  <c r="AM206" i="1"/>
  <c r="K187" i="1"/>
  <c r="L187" i="1"/>
  <c r="M187" i="1"/>
  <c r="N187" i="1" s="1"/>
  <c r="V187" i="1"/>
  <c r="Y187" i="1"/>
  <c r="Z187" i="1"/>
  <c r="AD187" i="1"/>
  <c r="AE187" i="1"/>
  <c r="AF187" i="1"/>
  <c r="AH207" i="1"/>
  <c r="AM207" i="1"/>
  <c r="K188" i="1"/>
  <c r="L188" i="1"/>
  <c r="M188" i="1"/>
  <c r="N188" i="1" s="1"/>
  <c r="V188" i="1"/>
  <c r="Y188" i="1"/>
  <c r="Z188" i="1"/>
  <c r="AD188" i="1"/>
  <c r="T188" i="1" s="1"/>
  <c r="AE188" i="1"/>
  <c r="AF188" i="1"/>
  <c r="AH208" i="1"/>
  <c r="AM208" i="1"/>
  <c r="K189" i="1"/>
  <c r="L189" i="1"/>
  <c r="M189" i="1"/>
  <c r="N189" i="1" s="1"/>
  <c r="V189" i="1"/>
  <c r="Y189" i="1"/>
  <c r="Z189" i="1"/>
  <c r="AD189" i="1"/>
  <c r="AG189" i="1" s="1"/>
  <c r="AE189" i="1"/>
  <c r="AF189" i="1"/>
  <c r="AH209" i="1"/>
  <c r="AM209" i="1"/>
  <c r="K190" i="1"/>
  <c r="L190" i="1"/>
  <c r="M190" i="1"/>
  <c r="N190" i="1" s="1"/>
  <c r="V190" i="1"/>
  <c r="Y190" i="1"/>
  <c r="Z190" i="1"/>
  <c r="AD190" i="1"/>
  <c r="T190" i="1" s="1"/>
  <c r="AE190" i="1"/>
  <c r="AF190" i="1"/>
  <c r="AH210" i="1"/>
  <c r="AM210" i="1"/>
  <c r="K191" i="1"/>
  <c r="L191" i="1"/>
  <c r="M191" i="1"/>
  <c r="N191" i="1" s="1"/>
  <c r="V191" i="1"/>
  <c r="Y191" i="1"/>
  <c r="Z191" i="1"/>
  <c r="AD191" i="1"/>
  <c r="AG191" i="1" s="1"/>
  <c r="AE191" i="1"/>
  <c r="AF191" i="1"/>
  <c r="AH211" i="1"/>
  <c r="AM211" i="1"/>
  <c r="K192" i="1"/>
  <c r="L192" i="1"/>
  <c r="M192" i="1"/>
  <c r="N192" i="1" s="1"/>
  <c r="V192" i="1"/>
  <c r="Y192" i="1"/>
  <c r="Z192" i="1"/>
  <c r="AD192" i="1"/>
  <c r="T192" i="1" s="1"/>
  <c r="AE192" i="1"/>
  <c r="AF192" i="1"/>
  <c r="AH212" i="1"/>
  <c r="AM212" i="1"/>
  <c r="K193" i="1"/>
  <c r="L193" i="1"/>
  <c r="M193" i="1"/>
  <c r="N193" i="1" s="1"/>
  <c r="V193" i="1"/>
  <c r="Y193" i="1"/>
  <c r="Z193" i="1"/>
  <c r="AD193" i="1"/>
  <c r="T193" i="1" s="1"/>
  <c r="AE193" i="1"/>
  <c r="AF193" i="1"/>
  <c r="AH213" i="1"/>
  <c r="AM213" i="1"/>
  <c r="K194" i="1"/>
  <c r="L194" i="1"/>
  <c r="M194" i="1"/>
  <c r="N194" i="1" s="1"/>
  <c r="V194" i="1"/>
  <c r="Y194" i="1"/>
  <c r="Z194" i="1"/>
  <c r="AD194" i="1"/>
  <c r="T194" i="1" s="1"/>
  <c r="AE194" i="1"/>
  <c r="AF194" i="1"/>
  <c r="AH214" i="1"/>
  <c r="AM214" i="1"/>
  <c r="K208" i="1"/>
  <c r="L208" i="1"/>
  <c r="M208" i="1"/>
  <c r="N208" i="1" s="1"/>
  <c r="V208" i="1"/>
  <c r="Y208" i="1"/>
  <c r="Z208" i="1"/>
  <c r="AD208" i="1"/>
  <c r="T208" i="1" s="1"/>
  <c r="AE208" i="1"/>
  <c r="AF208" i="1"/>
  <c r="AH215" i="1"/>
  <c r="AM215" i="1"/>
  <c r="K209" i="1"/>
  <c r="L209" i="1"/>
  <c r="M209" i="1"/>
  <c r="N209" i="1" s="1"/>
  <c r="V209" i="1"/>
  <c r="Y209" i="1"/>
  <c r="Z209" i="1"/>
  <c r="AD209" i="1"/>
  <c r="T209" i="1" s="1"/>
  <c r="AE209" i="1"/>
  <c r="AF209" i="1"/>
  <c r="AH216" i="1"/>
  <c r="AM216" i="1"/>
  <c r="K210" i="1"/>
  <c r="L210" i="1"/>
  <c r="M210" i="1"/>
  <c r="N210" i="1" s="1"/>
  <c r="V210" i="1"/>
  <c r="Y210" i="1"/>
  <c r="Z210" i="1"/>
  <c r="AD210" i="1"/>
  <c r="T210" i="1" s="1"/>
  <c r="AE210" i="1"/>
  <c r="AF210" i="1"/>
  <c r="AH217" i="1"/>
  <c r="AM217" i="1"/>
  <c r="K211" i="1"/>
  <c r="L211" i="1"/>
  <c r="M211" i="1"/>
  <c r="N211" i="1" s="1"/>
  <c r="V211" i="1"/>
  <c r="S33" i="3" s="1"/>
  <c r="Y211" i="1"/>
  <c r="Z211" i="1"/>
  <c r="AA211" i="1" s="1"/>
  <c r="AD211" i="1"/>
  <c r="T211" i="1" s="1"/>
  <c r="AE211" i="1"/>
  <c r="R33" i="3" s="1"/>
  <c r="AF211" i="1"/>
  <c r="AH218" i="1"/>
  <c r="AM218" i="1"/>
  <c r="K212" i="1"/>
  <c r="L212" i="1"/>
  <c r="M212" i="1"/>
  <c r="N212" i="1" s="1"/>
  <c r="V212" i="1"/>
  <c r="Y212" i="1"/>
  <c r="Z212" i="1"/>
  <c r="AD212" i="1"/>
  <c r="AG212" i="1" s="1"/>
  <c r="AE212" i="1"/>
  <c r="AF212" i="1"/>
  <c r="AH219" i="1"/>
  <c r="AM219" i="1"/>
  <c r="M14" i="3"/>
  <c r="U14" i="3"/>
  <c r="T14" i="3" s="1"/>
  <c r="V14" i="3"/>
  <c r="W14" i="3"/>
  <c r="X14" i="3"/>
  <c r="M15" i="3"/>
  <c r="R15" i="3"/>
  <c r="U15" i="3"/>
  <c r="V15" i="3"/>
  <c r="W15" i="3"/>
  <c r="X15" i="3"/>
  <c r="M28" i="3"/>
  <c r="S28" i="3"/>
  <c r="U28" i="3"/>
  <c r="AC28" i="3" s="1"/>
  <c r="V28" i="3"/>
  <c r="W28" i="3"/>
  <c r="Y28" i="3" s="1"/>
  <c r="X28" i="3"/>
  <c r="M10" i="3"/>
  <c r="U10" i="3"/>
  <c r="T10" i="3" s="1"/>
  <c r="V10" i="3"/>
  <c r="W10" i="3"/>
  <c r="X10" i="3"/>
  <c r="AC10" i="3"/>
  <c r="M20" i="3"/>
  <c r="R20" i="3"/>
  <c r="U20" i="3"/>
  <c r="T20" i="3" s="1"/>
  <c r="V20" i="3"/>
  <c r="W20" i="3"/>
  <c r="X20" i="3"/>
  <c r="M8" i="3"/>
  <c r="U8" i="3"/>
  <c r="V8" i="3"/>
  <c r="W8" i="3"/>
  <c r="X8" i="3"/>
  <c r="M21" i="3"/>
  <c r="R21" i="3"/>
  <c r="S21" i="3"/>
  <c r="U21" i="3"/>
  <c r="AC21" i="3" s="1"/>
  <c r="V21" i="3"/>
  <c r="W21" i="3"/>
  <c r="X21" i="3"/>
  <c r="M22" i="3"/>
  <c r="R22" i="3"/>
  <c r="U22" i="3"/>
  <c r="AC22" i="3" s="1"/>
  <c r="V22" i="3"/>
  <c r="W22" i="3"/>
  <c r="X22" i="3"/>
  <c r="M11" i="3"/>
  <c r="R11" i="3"/>
  <c r="U11" i="3"/>
  <c r="T11" i="3" s="1"/>
  <c r="V11" i="3"/>
  <c r="W11" i="3"/>
  <c r="X11" i="3"/>
  <c r="M13" i="3"/>
  <c r="U13" i="3"/>
  <c r="V13" i="3"/>
  <c r="W13" i="3"/>
  <c r="X13" i="3"/>
  <c r="M16" i="3"/>
  <c r="U16" i="3"/>
  <c r="AC16" i="3" s="1"/>
  <c r="V16" i="3"/>
  <c r="W16" i="3"/>
  <c r="X16" i="3"/>
  <c r="M23" i="3"/>
  <c r="U23" i="3"/>
  <c r="T23" i="3" s="1"/>
  <c r="V23" i="3"/>
  <c r="W23" i="3"/>
  <c r="X23" i="3"/>
  <c r="AC23" i="3"/>
  <c r="M29" i="3"/>
  <c r="U29" i="3"/>
  <c r="T29" i="3" s="1"/>
  <c r="V29" i="3"/>
  <c r="W29" i="3"/>
  <c r="X29" i="3"/>
  <c r="M30" i="3"/>
  <c r="R30" i="3"/>
  <c r="U30" i="3"/>
  <c r="V30" i="3"/>
  <c r="W30" i="3"/>
  <c r="X30" i="3"/>
  <c r="M17" i="3"/>
  <c r="U17" i="3"/>
  <c r="AC17" i="3" s="1"/>
  <c r="V17" i="3"/>
  <c r="W17" i="3"/>
  <c r="X17" i="3"/>
  <c r="M31" i="3"/>
  <c r="S31" i="3"/>
  <c r="U31" i="3"/>
  <c r="AD17" i="3" s="1"/>
  <c r="V31" i="3"/>
  <c r="W31" i="3"/>
  <c r="X31" i="3"/>
  <c r="AC31" i="3"/>
  <c r="M12" i="3"/>
  <c r="R12" i="3"/>
  <c r="U12" i="3"/>
  <c r="T12" i="3" s="1"/>
  <c r="V12" i="3"/>
  <c r="W12" i="3"/>
  <c r="X12" i="3"/>
  <c r="M7" i="3"/>
  <c r="R7" i="3"/>
  <c r="S7" i="3"/>
  <c r="U7" i="3"/>
  <c r="AC7" i="3" s="1"/>
  <c r="V7" i="3"/>
  <c r="W7" i="3"/>
  <c r="X7" i="3"/>
  <c r="M18" i="3"/>
  <c r="S18" i="3"/>
  <c r="U18" i="3"/>
  <c r="T18" i="3" s="1"/>
  <c r="V18" i="3"/>
  <c r="W18" i="3"/>
  <c r="X18" i="3"/>
  <c r="AC18" i="3"/>
  <c r="M19" i="3"/>
  <c r="U19" i="3"/>
  <c r="T19" i="3" s="1"/>
  <c r="V19" i="3"/>
  <c r="W19" i="3"/>
  <c r="Y19" i="3" s="1"/>
  <c r="X19" i="3"/>
  <c r="M24" i="3"/>
  <c r="R24" i="3"/>
  <c r="S24" i="3"/>
  <c r="U24" i="3"/>
  <c r="AD24" i="3" s="1"/>
  <c r="V24" i="3"/>
  <c r="W24" i="3"/>
  <c r="X24" i="3"/>
  <c r="M9" i="3"/>
  <c r="U9" i="3"/>
  <c r="AC9" i="3" s="1"/>
  <c r="V9" i="3"/>
  <c r="W9" i="3"/>
  <c r="X9" i="3"/>
  <c r="AD9" i="3"/>
  <c r="M25" i="3"/>
  <c r="S25" i="3"/>
  <c r="U25" i="3"/>
  <c r="V25" i="3"/>
  <c r="W25" i="3"/>
  <c r="X25" i="3"/>
  <c r="AC25" i="3"/>
  <c r="M32" i="3"/>
  <c r="U32" i="3"/>
  <c r="T32" i="3" s="1"/>
  <c r="V32" i="3"/>
  <c r="W32" i="3"/>
  <c r="X32" i="3"/>
  <c r="M33" i="3"/>
  <c r="U33" i="3"/>
  <c r="V33" i="3"/>
  <c r="W33" i="3"/>
  <c r="X33" i="3"/>
  <c r="M26" i="3"/>
  <c r="U26" i="3"/>
  <c r="AC26" i="3" s="1"/>
  <c r="V26" i="3"/>
  <c r="W26" i="3"/>
  <c r="X26" i="3"/>
  <c r="M27" i="3"/>
  <c r="R27" i="3"/>
  <c r="S27" i="3"/>
  <c r="U27" i="3"/>
  <c r="T27" i="3" s="1"/>
  <c r="V27" i="3"/>
  <c r="W27" i="3"/>
  <c r="X27" i="3"/>
  <c r="AC27" i="3"/>
  <c r="R32" i="3" l="1"/>
  <c r="AI39" i="1"/>
  <c r="AI31" i="1"/>
  <c r="AA22" i="1"/>
  <c r="U217" i="1"/>
  <c r="U213" i="1"/>
  <c r="X147" i="1"/>
  <c r="AA133" i="1"/>
  <c r="W133" i="1" s="1"/>
  <c r="AA97" i="1"/>
  <c r="AA53" i="1"/>
  <c r="Y12" i="3"/>
  <c r="Y8" i="3"/>
  <c r="Y15" i="3"/>
  <c r="AD26" i="3"/>
  <c r="AE24" i="3"/>
  <c r="H4" i="6"/>
  <c r="X66" i="1"/>
  <c r="AI23" i="1"/>
  <c r="AG22" i="1"/>
  <c r="U22" i="1" s="1"/>
  <c r="S22" i="1" s="1"/>
  <c r="AI17" i="1"/>
  <c r="AG146" i="1"/>
  <c r="Y33" i="3"/>
  <c r="U219" i="1"/>
  <c r="S219" i="1" s="1"/>
  <c r="U215" i="1"/>
  <c r="S215" i="1" s="1"/>
  <c r="X153" i="1"/>
  <c r="AA152" i="1"/>
  <c r="X140" i="1"/>
  <c r="AA38" i="1"/>
  <c r="AI25" i="1"/>
  <c r="AA146" i="1"/>
  <c r="W146" i="1" s="1"/>
  <c r="X143" i="1"/>
  <c r="AI62" i="1"/>
  <c r="X59" i="1"/>
  <c r="X55" i="1"/>
  <c r="AA31" i="1"/>
  <c r="W31" i="1" s="1"/>
  <c r="P27" i="1"/>
  <c r="AA14" i="1"/>
  <c r="X142" i="1"/>
  <c r="X146" i="1"/>
  <c r="T200" i="1"/>
  <c r="U200" i="1" s="1"/>
  <c r="S200" i="1" s="1"/>
  <c r="W198" i="1"/>
  <c r="AA209" i="1"/>
  <c r="AA192" i="1"/>
  <c r="AA188" i="1"/>
  <c r="AA184" i="1"/>
  <c r="AA180" i="1"/>
  <c r="AA159" i="1"/>
  <c r="W159" i="1" s="1"/>
  <c r="AA143" i="1"/>
  <c r="AA90" i="1"/>
  <c r="AG67" i="1"/>
  <c r="AI67" i="1" s="1"/>
  <c r="AA66" i="1"/>
  <c r="T51" i="1"/>
  <c r="U51" i="1" s="1"/>
  <c r="S51" i="1" s="1"/>
  <c r="X51" i="1"/>
  <c r="AI41" i="1"/>
  <c r="T37" i="1"/>
  <c r="U37" i="1" s="1"/>
  <c r="S37" i="1" s="1"/>
  <c r="P24" i="1"/>
  <c r="AA15" i="1"/>
  <c r="W15" i="1" s="1"/>
  <c r="X141" i="1"/>
  <c r="AA218" i="1"/>
  <c r="AA201" i="1"/>
  <c r="AA155" i="1"/>
  <c r="AA86" i="1"/>
  <c r="W86" i="1" s="1"/>
  <c r="AA74" i="1"/>
  <c r="AA56" i="1"/>
  <c r="AA51" i="1"/>
  <c r="X133" i="1"/>
  <c r="X148" i="1"/>
  <c r="U146" i="1"/>
  <c r="S146" i="1" s="1"/>
  <c r="AI146" i="1"/>
  <c r="AD21" i="3"/>
  <c r="AI189" i="1"/>
  <c r="AD30" i="3"/>
  <c r="Y30" i="3"/>
  <c r="AA153" i="1"/>
  <c r="T125" i="1"/>
  <c r="U125" i="1" s="1"/>
  <c r="S125" i="1" s="1"/>
  <c r="AG14" i="1"/>
  <c r="U14" i="1" s="1"/>
  <c r="S14" i="1" s="1"/>
  <c r="AA194" i="1"/>
  <c r="AA190" i="1"/>
  <c r="AA186" i="1"/>
  <c r="AA182" i="1"/>
  <c r="AA202" i="1"/>
  <c r="W202" i="1" s="1"/>
  <c r="AG153" i="1"/>
  <c r="AI153" i="1" s="1"/>
  <c r="AA125" i="1"/>
  <c r="W125" i="1" s="1"/>
  <c r="AA102" i="1"/>
  <c r="W102" i="1" s="1"/>
  <c r="AA98" i="1"/>
  <c r="AA95" i="1"/>
  <c r="AA70" i="1"/>
  <c r="AA21" i="1"/>
  <c r="W21" i="1" s="1"/>
  <c r="X134" i="1"/>
  <c r="Y27" i="3"/>
  <c r="Y14" i="3"/>
  <c r="AI177" i="1"/>
  <c r="X98" i="1"/>
  <c r="AA45" i="1"/>
  <c r="T9" i="3"/>
  <c r="AA173" i="1"/>
  <c r="W173" i="1" s="1"/>
  <c r="X167" i="1"/>
  <c r="AG166" i="1"/>
  <c r="AA217" i="1"/>
  <c r="W217" i="1" s="1"/>
  <c r="AA213" i="1"/>
  <c r="W213" i="1" s="1"/>
  <c r="AA204" i="1"/>
  <c r="W204" i="1" s="1"/>
  <c r="T198" i="1"/>
  <c r="U198" i="1" s="1"/>
  <c r="S198" i="1" s="1"/>
  <c r="X157" i="1"/>
  <c r="AA156" i="1"/>
  <c r="AA151" i="1"/>
  <c r="X149" i="1"/>
  <c r="AA149" i="1"/>
  <c r="W149" i="1" s="1"/>
  <c r="AA148" i="1"/>
  <c r="AA132" i="1"/>
  <c r="AA130" i="1"/>
  <c r="W130" i="1" s="1"/>
  <c r="AG92" i="1"/>
  <c r="AI92" i="1" s="1"/>
  <c r="AI91" i="1"/>
  <c r="AA88" i="1"/>
  <c r="X74" i="1"/>
  <c r="AG69" i="1"/>
  <c r="AI69" i="1" s="1"/>
  <c r="X68" i="1"/>
  <c r="AA68" i="1"/>
  <c r="AA62" i="1"/>
  <c r="W62" i="1" s="1"/>
  <c r="AA60" i="1"/>
  <c r="W60" i="1" s="1"/>
  <c r="X38" i="1"/>
  <c r="AA37" i="1"/>
  <c r="W37" i="1" s="1"/>
  <c r="AA32" i="1"/>
  <c r="AA27" i="1"/>
  <c r="W27" i="1" s="1"/>
  <c r="AI21" i="1"/>
  <c r="Y17" i="3"/>
  <c r="AD29" i="3"/>
  <c r="AD11" i="3"/>
  <c r="T22" i="3"/>
  <c r="Y20" i="3"/>
  <c r="AI191" i="1"/>
  <c r="X176" i="1"/>
  <c r="AI149" i="1"/>
  <c r="X96" i="1"/>
  <c r="X70" i="1"/>
  <c r="AA64" i="1"/>
  <c r="W64" i="1" s="1"/>
  <c r="AA58" i="1"/>
  <c r="AI35" i="1"/>
  <c r="T17" i="3"/>
  <c r="AE29" i="3"/>
  <c r="Y31" i="3"/>
  <c r="AD33" i="3"/>
  <c r="AD25" i="3"/>
  <c r="AE9" i="3"/>
  <c r="Y24" i="3"/>
  <c r="Y18" i="3"/>
  <c r="AE30" i="3"/>
  <c r="T16" i="3"/>
  <c r="Y11" i="3"/>
  <c r="Y22" i="3"/>
  <c r="Y21" i="3"/>
  <c r="AA167" i="1"/>
  <c r="W167" i="1" s="1"/>
  <c r="AA166" i="1"/>
  <c r="AA215" i="1"/>
  <c r="W215" i="1" s="1"/>
  <c r="AA206" i="1"/>
  <c r="W206" i="1" s="1"/>
  <c r="X204" i="1"/>
  <c r="AA203" i="1"/>
  <c r="AA200" i="1"/>
  <c r="W200" i="1" s="1"/>
  <c r="AA157" i="1"/>
  <c r="W157" i="1" s="1"/>
  <c r="AA139" i="1"/>
  <c r="W139" i="1" s="1"/>
  <c r="X132" i="1"/>
  <c r="X130" i="1"/>
  <c r="AA123" i="1"/>
  <c r="AA94" i="1"/>
  <c r="AG65" i="1"/>
  <c r="AI65" i="1" s="1"/>
  <c r="AA30" i="1"/>
  <c r="AA28" i="1"/>
  <c r="X160" i="1"/>
  <c r="AA212" i="1"/>
  <c r="W212" i="1" s="1"/>
  <c r="AA208" i="1"/>
  <c r="AA191" i="1"/>
  <c r="W191" i="1" s="1"/>
  <c r="T191" i="1"/>
  <c r="U191" i="1" s="1"/>
  <c r="S191" i="1" s="1"/>
  <c r="AA189" i="1"/>
  <c r="W189" i="1" s="1"/>
  <c r="T189" i="1"/>
  <c r="U189" i="1" s="1"/>
  <c r="S189" i="1" s="1"/>
  <c r="AA187" i="1"/>
  <c r="AG185" i="1"/>
  <c r="AI185" i="1" s="1"/>
  <c r="X185" i="1"/>
  <c r="T185" i="1"/>
  <c r="AG175" i="1"/>
  <c r="AI175" i="1" s="1"/>
  <c r="X175" i="1"/>
  <c r="AG187" i="1"/>
  <c r="AI187" i="1" s="1"/>
  <c r="T187" i="1"/>
  <c r="T174" i="1"/>
  <c r="AG174" i="1"/>
  <c r="AA210" i="1"/>
  <c r="AA193" i="1"/>
  <c r="X191" i="1"/>
  <c r="X189" i="1"/>
  <c r="X187" i="1"/>
  <c r="AG183" i="1"/>
  <c r="AI183" i="1" s="1"/>
  <c r="X183" i="1"/>
  <c r="T183" i="1"/>
  <c r="X151" i="1"/>
  <c r="X125" i="1"/>
  <c r="X94" i="1"/>
  <c r="AA93" i="1"/>
  <c r="X88" i="1"/>
  <c r="AA83" i="1"/>
  <c r="AA81" i="1"/>
  <c r="AA79" i="1"/>
  <c r="AA77" i="1"/>
  <c r="AA75" i="1"/>
  <c r="AG74" i="1"/>
  <c r="U74" i="1" s="1"/>
  <c r="S74" i="1" s="1"/>
  <c r="AA72" i="1"/>
  <c r="AA71" i="1"/>
  <c r="AA69" i="1"/>
  <c r="T60" i="1"/>
  <c r="U60" i="1" s="1"/>
  <c r="S60" i="1" s="1"/>
  <c r="AA54" i="1"/>
  <c r="AA46" i="1"/>
  <c r="T43" i="1"/>
  <c r="U43" i="1" s="1"/>
  <c r="S43" i="1" s="1"/>
  <c r="X43" i="1"/>
  <c r="T41" i="1"/>
  <c r="AA35" i="1"/>
  <c r="W35" i="1" s="1"/>
  <c r="AA34" i="1"/>
  <c r="AG30" i="1"/>
  <c r="U30" i="1" s="1"/>
  <c r="S30" i="1" s="1"/>
  <c r="X30" i="1"/>
  <c r="AG26" i="1"/>
  <c r="U26" i="1" s="1"/>
  <c r="S26" i="1" s="1"/>
  <c r="AA25" i="1"/>
  <c r="W25" i="1" s="1"/>
  <c r="AG24" i="1"/>
  <c r="U24" i="1" s="1"/>
  <c r="AA23" i="1"/>
  <c r="W23" i="1" s="1"/>
  <c r="AA185" i="1"/>
  <c r="AA183" i="1"/>
  <c r="AA175" i="1"/>
  <c r="AA174" i="1"/>
  <c r="X168" i="1"/>
  <c r="AA199" i="1"/>
  <c r="AA197" i="1"/>
  <c r="X196" i="1"/>
  <c r="AG151" i="1"/>
  <c r="AI151" i="1" s="1"/>
  <c r="AA150" i="1"/>
  <c r="AA144" i="1"/>
  <c r="W144" i="1" s="1"/>
  <c r="AA140" i="1"/>
  <c r="AA137" i="1"/>
  <c r="W137" i="1" s="1"/>
  <c r="AA135" i="1"/>
  <c r="W135" i="1" s="1"/>
  <c r="X126" i="1"/>
  <c r="AA124" i="1"/>
  <c r="W124" i="1" s="1"/>
  <c r="T124" i="1"/>
  <c r="U124" i="1" s="1"/>
  <c r="S124" i="1" s="1"/>
  <c r="AA120" i="1"/>
  <c r="W120" i="1" s="1"/>
  <c r="T120" i="1"/>
  <c r="U120" i="1" s="1"/>
  <c r="S120" i="1" s="1"/>
  <c r="AA100" i="1"/>
  <c r="W100" i="1" s="1"/>
  <c r="AA84" i="1"/>
  <c r="W84" i="1" s="1"/>
  <c r="T84" i="1"/>
  <c r="U84" i="1" s="1"/>
  <c r="S84" i="1" s="1"/>
  <c r="AA82" i="1"/>
  <c r="W82" i="1" s="1"/>
  <c r="T82" i="1"/>
  <c r="U82" i="1" s="1"/>
  <c r="S82" i="1" s="1"/>
  <c r="AA80" i="1"/>
  <c r="T80" i="1"/>
  <c r="U80" i="1" s="1"/>
  <c r="S80" i="1" s="1"/>
  <c r="AA78" i="1"/>
  <c r="W78" i="1" s="1"/>
  <c r="T78" i="1"/>
  <c r="AA76" i="1"/>
  <c r="W76" i="1" s="1"/>
  <c r="T76" i="1"/>
  <c r="U76" i="1" s="1"/>
  <c r="S76" i="1" s="1"/>
  <c r="AA63" i="1"/>
  <c r="AA61" i="1"/>
  <c r="T53" i="1"/>
  <c r="U53" i="1" s="1"/>
  <c r="S53" i="1" s="1"/>
  <c r="X53" i="1"/>
  <c r="AA49" i="1"/>
  <c r="AA39" i="1"/>
  <c r="W39" i="1" s="1"/>
  <c r="AG36" i="1"/>
  <c r="AI36" i="1" s="1"/>
  <c r="X36" i="1"/>
  <c r="AA33" i="1"/>
  <c r="W33" i="1" s="1"/>
  <c r="AA29" i="1"/>
  <c r="W29" i="1" s="1"/>
  <c r="X27" i="1"/>
  <c r="AA18" i="1"/>
  <c r="X17" i="1"/>
  <c r="AG16" i="1"/>
  <c r="W19" i="1"/>
  <c r="AA165" i="1"/>
  <c r="W165" i="1" s="1"/>
  <c r="AA158" i="1"/>
  <c r="W158" i="1" s="1"/>
  <c r="T202" i="1"/>
  <c r="U202" i="1" s="1"/>
  <c r="S202" i="1" s="1"/>
  <c r="AA196" i="1"/>
  <c r="W196" i="1" s="1"/>
  <c r="AA154" i="1"/>
  <c r="AG147" i="1"/>
  <c r="AI147" i="1" s="1"/>
  <c r="AA142" i="1"/>
  <c r="W142" i="1" s="1"/>
  <c r="T142" i="1"/>
  <c r="U142" i="1" s="1"/>
  <c r="S142" i="1" s="1"/>
  <c r="X137" i="1"/>
  <c r="AA129" i="1"/>
  <c r="X127" i="1"/>
  <c r="AA126" i="1"/>
  <c r="W126" i="1" s="1"/>
  <c r="T126" i="1"/>
  <c r="U126" i="1" s="1"/>
  <c r="S126" i="1" s="1"/>
  <c r="X124" i="1"/>
  <c r="X120" i="1"/>
  <c r="AA101" i="1"/>
  <c r="AG94" i="1"/>
  <c r="AI94" i="1" s="1"/>
  <c r="X84" i="1"/>
  <c r="X82" i="1"/>
  <c r="X80" i="1"/>
  <c r="X78" i="1"/>
  <c r="X76" i="1"/>
  <c r="AI64" i="1"/>
  <c r="AG63" i="1"/>
  <c r="AI63" i="1" s="1"/>
  <c r="X63" i="1"/>
  <c r="AG61" i="1"/>
  <c r="U61" i="1" s="1"/>
  <c r="S61" i="1" s="1"/>
  <c r="X61" i="1"/>
  <c r="AG49" i="1"/>
  <c r="AI49" i="1" s="1"/>
  <c r="X19" i="1"/>
  <c r="AG18" i="1"/>
  <c r="U18" i="1" s="1"/>
  <c r="S18" i="1" s="1"/>
  <c r="AA17" i="1"/>
  <c r="AA16" i="1"/>
  <c r="AG181" i="1"/>
  <c r="X181" i="1"/>
  <c r="AA179" i="1"/>
  <c r="W179" i="1" s="1"/>
  <c r="AA178" i="1"/>
  <c r="X172" i="1"/>
  <c r="X171" i="1"/>
  <c r="AG170" i="1"/>
  <c r="U170" i="1" s="1"/>
  <c r="S170" i="1" s="1"/>
  <c r="AA169" i="1"/>
  <c r="W169" i="1" s="1"/>
  <c r="AA163" i="1"/>
  <c r="W163" i="1" s="1"/>
  <c r="AA162" i="1"/>
  <c r="T159" i="1"/>
  <c r="U159" i="1" s="1"/>
  <c r="S159" i="1" s="1"/>
  <c r="S217" i="1"/>
  <c r="AA216" i="1"/>
  <c r="S213" i="1"/>
  <c r="AA207" i="1"/>
  <c r="X202" i="1"/>
  <c r="T155" i="1"/>
  <c r="U155" i="1" s="1"/>
  <c r="S155" i="1" s="1"/>
  <c r="T153" i="1"/>
  <c r="T151" i="1"/>
  <c r="T149" i="1"/>
  <c r="U149" i="1" s="1"/>
  <c r="S149" i="1" s="1"/>
  <c r="T147" i="1"/>
  <c r="AG141" i="1"/>
  <c r="AI141" i="1" s="1"/>
  <c r="AI139" i="1"/>
  <c r="X138" i="1"/>
  <c r="AA136" i="1"/>
  <c r="W136" i="1" s="1"/>
  <c r="T204" i="1"/>
  <c r="U204" i="1" s="1"/>
  <c r="S204" i="1" s="1"/>
  <c r="T157" i="1"/>
  <c r="U157" i="1" s="1"/>
  <c r="S157" i="1" s="1"/>
  <c r="U151" i="1"/>
  <c r="S151" i="1" s="1"/>
  <c r="X139" i="1"/>
  <c r="X135" i="1"/>
  <c r="X128" i="1"/>
  <c r="AI15" i="1"/>
  <c r="S32" i="3"/>
  <c r="AA181" i="1"/>
  <c r="X179" i="1"/>
  <c r="AG178" i="1"/>
  <c r="AI178" i="1" s="1"/>
  <c r="AA177" i="1"/>
  <c r="W177" i="1" s="1"/>
  <c r="AA171" i="1"/>
  <c r="W171" i="1" s="1"/>
  <c r="AA170" i="1"/>
  <c r="X164" i="1"/>
  <c r="X163" i="1"/>
  <c r="AG162" i="1"/>
  <c r="U162" i="1" s="1"/>
  <c r="S162" i="1" s="1"/>
  <c r="AA161" i="1"/>
  <c r="W161" i="1" s="1"/>
  <c r="X159" i="1"/>
  <c r="AA214" i="1"/>
  <c r="T206" i="1"/>
  <c r="U206" i="1" s="1"/>
  <c r="S206" i="1" s="1"/>
  <c r="AA205" i="1"/>
  <c r="T196" i="1"/>
  <c r="U196" i="1" s="1"/>
  <c r="S196" i="1" s="1"/>
  <c r="AA195" i="1"/>
  <c r="X155" i="1"/>
  <c r="AG145" i="1"/>
  <c r="AI145" i="1" s="1"/>
  <c r="X145" i="1"/>
  <c r="AI142" i="1"/>
  <c r="AA138" i="1"/>
  <c r="W138" i="1" s="1"/>
  <c r="X136" i="1"/>
  <c r="X131" i="1"/>
  <c r="AG129" i="1"/>
  <c r="AI129" i="1" s="1"/>
  <c r="X129" i="1"/>
  <c r="AG122" i="1"/>
  <c r="AI122" i="1" s="1"/>
  <c r="X122" i="1"/>
  <c r="T122" i="1"/>
  <c r="AG118" i="1"/>
  <c r="X118" i="1"/>
  <c r="T118" i="1"/>
  <c r="AA128" i="1"/>
  <c r="W128" i="1" s="1"/>
  <c r="AA122" i="1"/>
  <c r="AA121" i="1"/>
  <c r="AA118" i="1"/>
  <c r="AA117" i="1"/>
  <c r="X116" i="1"/>
  <c r="AA114" i="1"/>
  <c r="W114" i="1" s="1"/>
  <c r="T114" i="1"/>
  <c r="AA113" i="1"/>
  <c r="X112" i="1"/>
  <c r="AA110" i="1"/>
  <c r="W110" i="1" s="1"/>
  <c r="T110" i="1"/>
  <c r="U110" i="1" s="1"/>
  <c r="S110" i="1" s="1"/>
  <c r="AA109" i="1"/>
  <c r="X108" i="1"/>
  <c r="AA106" i="1"/>
  <c r="W106" i="1" s="1"/>
  <c r="T106" i="1"/>
  <c r="AA105" i="1"/>
  <c r="X104" i="1"/>
  <c r="T100" i="1"/>
  <c r="U100" i="1" s="1"/>
  <c r="S100" i="1" s="1"/>
  <c r="AA99" i="1"/>
  <c r="X92" i="1"/>
  <c r="X91" i="1"/>
  <c r="AA89" i="1"/>
  <c r="W89" i="1" s="1"/>
  <c r="X87" i="1"/>
  <c r="AA85" i="1"/>
  <c r="W85" i="1" s="1"/>
  <c r="AG72" i="1"/>
  <c r="X72" i="1"/>
  <c r="T70" i="1"/>
  <c r="T68" i="1"/>
  <c r="T66" i="1"/>
  <c r="T64" i="1"/>
  <c r="U64" i="1" s="1"/>
  <c r="S64" i="1" s="1"/>
  <c r="X62" i="1"/>
  <c r="AA59" i="1"/>
  <c r="T59" i="1"/>
  <c r="AG57" i="1"/>
  <c r="U57" i="1" s="1"/>
  <c r="S57" i="1" s="1"/>
  <c r="X57" i="1"/>
  <c r="AA55" i="1"/>
  <c r="T55" i="1"/>
  <c r="AA52" i="1"/>
  <c r="X49" i="1"/>
  <c r="AG47" i="1"/>
  <c r="U47" i="1" s="1"/>
  <c r="S47" i="1" s="1"/>
  <c r="X47" i="1"/>
  <c r="AA42" i="1"/>
  <c r="AG40" i="1"/>
  <c r="AI40" i="1" s="1"/>
  <c r="X40" i="1"/>
  <c r="AI37" i="1"/>
  <c r="X34" i="1"/>
  <c r="T33" i="1"/>
  <c r="U33" i="1" s="1"/>
  <c r="S33" i="1" s="1"/>
  <c r="T29" i="1"/>
  <c r="U29" i="1" s="1"/>
  <c r="S29" i="1" s="1"/>
  <c r="X25" i="1"/>
  <c r="X23" i="1"/>
  <c r="X15" i="1"/>
  <c r="T102" i="1"/>
  <c r="U102" i="1" s="1"/>
  <c r="S102" i="1" s="1"/>
  <c r="X21" i="1"/>
  <c r="AA20" i="1"/>
  <c r="T19" i="1"/>
  <c r="U19" i="1" s="1"/>
  <c r="S19" i="1" s="1"/>
  <c r="T17" i="1"/>
  <c r="U17" i="1" s="1"/>
  <c r="S17" i="1" s="1"/>
  <c r="AA119" i="1"/>
  <c r="AA116" i="1"/>
  <c r="W116" i="1" s="1"/>
  <c r="T116" i="1"/>
  <c r="U116" i="1" s="1"/>
  <c r="S116" i="1" s="1"/>
  <c r="AA115" i="1"/>
  <c r="X114" i="1"/>
  <c r="AA112" i="1"/>
  <c r="W112" i="1" s="1"/>
  <c r="T112" i="1"/>
  <c r="U112" i="1" s="1"/>
  <c r="S112" i="1" s="1"/>
  <c r="AA111" i="1"/>
  <c r="X110" i="1"/>
  <c r="AA108" i="1"/>
  <c r="W108" i="1" s="1"/>
  <c r="T108" i="1"/>
  <c r="U108" i="1" s="1"/>
  <c r="S108" i="1" s="1"/>
  <c r="AA107" i="1"/>
  <c r="X106" i="1"/>
  <c r="AA104" i="1"/>
  <c r="W104" i="1" s="1"/>
  <c r="T104" i="1"/>
  <c r="U104" i="1" s="1"/>
  <c r="S104" i="1" s="1"/>
  <c r="AA103" i="1"/>
  <c r="X100" i="1"/>
  <c r="T96" i="1"/>
  <c r="U96" i="1" s="1"/>
  <c r="S96" i="1" s="1"/>
  <c r="AA91" i="1"/>
  <c r="X89" i="1"/>
  <c r="AA87" i="1"/>
  <c r="W87" i="1" s="1"/>
  <c r="X85" i="1"/>
  <c r="AA73" i="1"/>
  <c r="AG70" i="1"/>
  <c r="AG68" i="1"/>
  <c r="AA67" i="1"/>
  <c r="AG66" i="1"/>
  <c r="AA65" i="1"/>
  <c r="T62" i="1"/>
  <c r="U62" i="1" s="1"/>
  <c r="S62" i="1" s="1"/>
  <c r="AG59" i="1"/>
  <c r="AG55" i="1"/>
  <c r="AI55" i="1" s="1"/>
  <c r="W53" i="1"/>
  <c r="AA50" i="1"/>
  <c r="AA47" i="1"/>
  <c r="AG45" i="1"/>
  <c r="AI45" i="1" s="1"/>
  <c r="AA44" i="1"/>
  <c r="AA43" i="1"/>
  <c r="W43" i="1" s="1"/>
  <c r="AA41" i="1"/>
  <c r="W41" i="1" s="1"/>
  <c r="AI33" i="1"/>
  <c r="AI29" i="1"/>
  <c r="T27" i="1"/>
  <c r="U27" i="1" s="1"/>
  <c r="T25" i="1"/>
  <c r="U25" i="1" s="1"/>
  <c r="T23" i="1"/>
  <c r="U23" i="1" s="1"/>
  <c r="S23" i="1" s="1"/>
  <c r="T15" i="1"/>
  <c r="U15" i="1" s="1"/>
  <c r="S15" i="1" s="1"/>
  <c r="AA134" i="1"/>
  <c r="W134" i="1" s="1"/>
  <c r="AA131" i="1"/>
  <c r="W131" i="1" s="1"/>
  <c r="AA127" i="1"/>
  <c r="W127" i="1" s="1"/>
  <c r="X102" i="1"/>
  <c r="T98" i="1"/>
  <c r="U92" i="1"/>
  <c r="S92" i="1" s="1"/>
  <c r="X90" i="1"/>
  <c r="X86" i="1"/>
  <c r="W74" i="1"/>
  <c r="W51" i="1"/>
  <c r="X45" i="1"/>
  <c r="AG32" i="1"/>
  <c r="U32" i="1" s="1"/>
  <c r="S32" i="1" s="1"/>
  <c r="X32" i="1"/>
  <c r="AG28" i="1"/>
  <c r="U28" i="1" s="1"/>
  <c r="X28" i="1"/>
  <c r="AA26" i="1"/>
  <c r="T21" i="1"/>
  <c r="U21" i="1" s="1"/>
  <c r="S21" i="1" s="1"/>
  <c r="AG20" i="1"/>
  <c r="U20" i="1" s="1"/>
  <c r="S20" i="1" s="1"/>
  <c r="AI219" i="1"/>
  <c r="X212" i="1"/>
  <c r="T212" i="1"/>
  <c r="U212" i="1" s="1"/>
  <c r="S212" i="1" s="1"/>
  <c r="AG211" i="1"/>
  <c r="AI211" i="1" s="1"/>
  <c r="AG209" i="1"/>
  <c r="AI209" i="1" s="1"/>
  <c r="AG194" i="1"/>
  <c r="AG192" i="1"/>
  <c r="AG190" i="1"/>
  <c r="AI190" i="1" s="1"/>
  <c r="AG188" i="1"/>
  <c r="AG186" i="1"/>
  <c r="AI186" i="1" s="1"/>
  <c r="AG184" i="1"/>
  <c r="AG182" i="1"/>
  <c r="AI182" i="1" s="1"/>
  <c r="AG180" i="1"/>
  <c r="X177" i="1"/>
  <c r="X173" i="1"/>
  <c r="X169" i="1"/>
  <c r="X165" i="1"/>
  <c r="X161" i="1"/>
  <c r="T158" i="1"/>
  <c r="U158" i="1" s="1"/>
  <c r="S158" i="1" s="1"/>
  <c r="X158" i="1"/>
  <c r="AG216" i="1"/>
  <c r="U216" i="1" s="1"/>
  <c r="AI169" i="1"/>
  <c r="T203" i="1"/>
  <c r="X203" i="1"/>
  <c r="AG203" i="1"/>
  <c r="AI203" i="1" s="1"/>
  <c r="AI161" i="1"/>
  <c r="T195" i="1"/>
  <c r="X195" i="1"/>
  <c r="AG195" i="1"/>
  <c r="AI195" i="1" s="1"/>
  <c r="W155" i="1"/>
  <c r="X211" i="1"/>
  <c r="X194" i="1"/>
  <c r="X192" i="1"/>
  <c r="X190" i="1"/>
  <c r="X188" i="1"/>
  <c r="X186" i="1"/>
  <c r="X184" i="1"/>
  <c r="X182" i="1"/>
  <c r="X180" i="1"/>
  <c r="T179" i="1"/>
  <c r="U179" i="1" s="1"/>
  <c r="S179" i="1" s="1"/>
  <c r="AI198" i="1"/>
  <c r="X178" i="1"/>
  <c r="AA176" i="1"/>
  <c r="T175" i="1"/>
  <c r="AI194" i="1"/>
  <c r="X174" i="1"/>
  <c r="AA172" i="1"/>
  <c r="T171" i="1"/>
  <c r="U171" i="1" s="1"/>
  <c r="S171" i="1" s="1"/>
  <c r="X170" i="1"/>
  <c r="AA168" i="1"/>
  <c r="T167" i="1"/>
  <c r="U167" i="1" s="1"/>
  <c r="S167" i="1" s="1"/>
  <c r="X166" i="1"/>
  <c r="AA164" i="1"/>
  <c r="T163" i="1"/>
  <c r="U163" i="1" s="1"/>
  <c r="S163" i="1" s="1"/>
  <c r="X162" i="1"/>
  <c r="AA160" i="1"/>
  <c r="AG218" i="1"/>
  <c r="AI171" i="1"/>
  <c r="T205" i="1"/>
  <c r="X205" i="1"/>
  <c r="AG205" i="1"/>
  <c r="AI163" i="1"/>
  <c r="T197" i="1"/>
  <c r="X197" i="1"/>
  <c r="AG197" i="1"/>
  <c r="AI155" i="1"/>
  <c r="X209" i="1"/>
  <c r="AG210" i="1"/>
  <c r="AG208" i="1"/>
  <c r="AG193" i="1"/>
  <c r="T176" i="1"/>
  <c r="T172" i="1"/>
  <c r="T168" i="1"/>
  <c r="T164" i="1"/>
  <c r="T160" i="1"/>
  <c r="AI173" i="1"/>
  <c r="T207" i="1"/>
  <c r="X207" i="1"/>
  <c r="AG207" i="1"/>
  <c r="W207" i="1" s="1"/>
  <c r="X206" i="1"/>
  <c r="AI165" i="1"/>
  <c r="T199" i="1"/>
  <c r="X199" i="1"/>
  <c r="AG199" i="1"/>
  <c r="AI199" i="1" s="1"/>
  <c r="X198" i="1"/>
  <c r="AI157" i="1"/>
  <c r="X210" i="1"/>
  <c r="X208" i="1"/>
  <c r="X193" i="1"/>
  <c r="T177" i="1"/>
  <c r="U177" i="1" s="1"/>
  <c r="S177" i="1" s="1"/>
  <c r="AG176" i="1"/>
  <c r="W174" i="1"/>
  <c r="T173" i="1"/>
  <c r="U173" i="1" s="1"/>
  <c r="S173" i="1" s="1"/>
  <c r="AG172" i="1"/>
  <c r="W170" i="1"/>
  <c r="T169" i="1"/>
  <c r="U169" i="1" s="1"/>
  <c r="S169" i="1" s="1"/>
  <c r="AG168" i="1"/>
  <c r="T165" i="1"/>
  <c r="U165" i="1" s="1"/>
  <c r="S165" i="1" s="1"/>
  <c r="AG164" i="1"/>
  <c r="T161" i="1"/>
  <c r="U161" i="1" s="1"/>
  <c r="S161" i="1" s="1"/>
  <c r="AG160" i="1"/>
  <c r="AG214" i="1"/>
  <c r="AI167" i="1"/>
  <c r="T201" i="1"/>
  <c r="X201" i="1"/>
  <c r="AG201" i="1"/>
  <c r="X200" i="1"/>
  <c r="AI159" i="1"/>
  <c r="AI100" i="1"/>
  <c r="AG156" i="1"/>
  <c r="AG154" i="1"/>
  <c r="AG152" i="1"/>
  <c r="AG150" i="1"/>
  <c r="AG148" i="1"/>
  <c r="T143" i="1"/>
  <c r="T140" i="1"/>
  <c r="T121" i="1"/>
  <c r="X121" i="1"/>
  <c r="AG121" i="1"/>
  <c r="AI114" i="1"/>
  <c r="U114" i="1"/>
  <c r="S114" i="1" s="1"/>
  <c r="AI110" i="1"/>
  <c r="AI106" i="1"/>
  <c r="U106" i="1"/>
  <c r="S106" i="1" s="1"/>
  <c r="AI102" i="1"/>
  <c r="X156" i="1"/>
  <c r="X154" i="1"/>
  <c r="X152" i="1"/>
  <c r="X150" i="1"/>
  <c r="AA145" i="1"/>
  <c r="T144" i="1"/>
  <c r="U144" i="1" s="1"/>
  <c r="S144" i="1" s="1"/>
  <c r="AG143" i="1"/>
  <c r="AA141" i="1"/>
  <c r="W141" i="1" s="1"/>
  <c r="AG140" i="1"/>
  <c r="T139" i="1"/>
  <c r="U139" i="1" s="1"/>
  <c r="S139" i="1" s="1"/>
  <c r="T138" i="1"/>
  <c r="U138" i="1" s="1"/>
  <c r="S138" i="1" s="1"/>
  <c r="T137" i="1"/>
  <c r="U137" i="1" s="1"/>
  <c r="S137" i="1" s="1"/>
  <c r="T136" i="1"/>
  <c r="U136" i="1" s="1"/>
  <c r="S136" i="1" s="1"/>
  <c r="T135" i="1"/>
  <c r="U135" i="1" s="1"/>
  <c r="S135" i="1" s="1"/>
  <c r="T134" i="1"/>
  <c r="U134" i="1" s="1"/>
  <c r="S134" i="1" s="1"/>
  <c r="T133" i="1"/>
  <c r="U133" i="1" s="1"/>
  <c r="S133" i="1" s="1"/>
  <c r="W132" i="1"/>
  <c r="T132" i="1"/>
  <c r="U132" i="1" s="1"/>
  <c r="S132" i="1" s="1"/>
  <c r="T131" i="1"/>
  <c r="U131" i="1" s="1"/>
  <c r="S131" i="1" s="1"/>
  <c r="T130" i="1"/>
  <c r="U130" i="1" s="1"/>
  <c r="S130" i="1" s="1"/>
  <c r="T129" i="1"/>
  <c r="T128" i="1"/>
  <c r="U128" i="1" s="1"/>
  <c r="S128" i="1" s="1"/>
  <c r="T127" i="1"/>
  <c r="U127" i="1" s="1"/>
  <c r="S127" i="1" s="1"/>
  <c r="W98" i="1"/>
  <c r="AI96" i="1"/>
  <c r="X144" i="1"/>
  <c r="AI138" i="1"/>
  <c r="AI137" i="1"/>
  <c r="AI136" i="1"/>
  <c r="AI135" i="1"/>
  <c r="AI134" i="1"/>
  <c r="AI133" i="1"/>
  <c r="AI132" i="1"/>
  <c r="AI131" i="1"/>
  <c r="AI130" i="1"/>
  <c r="AI128" i="1"/>
  <c r="AI127" i="1"/>
  <c r="AI126" i="1"/>
  <c r="AI125" i="1"/>
  <c r="AI124" i="1"/>
  <c r="T123" i="1"/>
  <c r="X123" i="1"/>
  <c r="AG123" i="1"/>
  <c r="AI120" i="1"/>
  <c r="T119" i="1"/>
  <c r="X119" i="1"/>
  <c r="AG119" i="1"/>
  <c r="AI116" i="1"/>
  <c r="AI112" i="1"/>
  <c r="AI108" i="1"/>
  <c r="AI104" i="1"/>
  <c r="AI98" i="1"/>
  <c r="U98" i="1"/>
  <c r="S98" i="1" s="1"/>
  <c r="AI90" i="1"/>
  <c r="AI89" i="1"/>
  <c r="AI88" i="1"/>
  <c r="AI87" i="1"/>
  <c r="AI86" i="1"/>
  <c r="AI85" i="1"/>
  <c r="AI84" i="1"/>
  <c r="T83" i="1"/>
  <c r="X83" i="1"/>
  <c r="AG83" i="1"/>
  <c r="AI80" i="1"/>
  <c r="AI76" i="1"/>
  <c r="AG117" i="1"/>
  <c r="AG115" i="1"/>
  <c r="AG113" i="1"/>
  <c r="AG111" i="1"/>
  <c r="AG109" i="1"/>
  <c r="AG107" i="1"/>
  <c r="AG105" i="1"/>
  <c r="AG103" i="1"/>
  <c r="AG101" i="1"/>
  <c r="AG99" i="1"/>
  <c r="W99" i="1" s="1"/>
  <c r="AG97" i="1"/>
  <c r="W97" i="1" s="1"/>
  <c r="AG95" i="1"/>
  <c r="AG93" i="1"/>
  <c r="AI82" i="1"/>
  <c r="U78" i="1"/>
  <c r="S78" i="1" s="1"/>
  <c r="AI78" i="1"/>
  <c r="X117" i="1"/>
  <c r="X115" i="1"/>
  <c r="X113" i="1"/>
  <c r="X111" i="1"/>
  <c r="X109" i="1"/>
  <c r="X107" i="1"/>
  <c r="X105" i="1"/>
  <c r="X103" i="1"/>
  <c r="X101" i="1"/>
  <c r="X99" i="1"/>
  <c r="X97" i="1"/>
  <c r="X95" i="1"/>
  <c r="X93" i="1"/>
  <c r="W91" i="1"/>
  <c r="T91" i="1"/>
  <c r="U91" i="1" s="1"/>
  <c r="S91" i="1" s="1"/>
  <c r="W90" i="1"/>
  <c r="T90" i="1"/>
  <c r="U90" i="1" s="1"/>
  <c r="S90" i="1" s="1"/>
  <c r="T89" i="1"/>
  <c r="U89" i="1" s="1"/>
  <c r="S89" i="1" s="1"/>
  <c r="W88" i="1"/>
  <c r="T88" i="1"/>
  <c r="U88" i="1" s="1"/>
  <c r="S88" i="1" s="1"/>
  <c r="T87" i="1"/>
  <c r="U87" i="1" s="1"/>
  <c r="S87" i="1" s="1"/>
  <c r="T86" i="1"/>
  <c r="U86" i="1" s="1"/>
  <c r="S86" i="1" s="1"/>
  <c r="T85" i="1"/>
  <c r="U85" i="1" s="1"/>
  <c r="S85" i="1" s="1"/>
  <c r="W80" i="1"/>
  <c r="AG81" i="1"/>
  <c r="AG79" i="1"/>
  <c r="W79" i="1" s="1"/>
  <c r="AG77" i="1"/>
  <c r="AG75" i="1"/>
  <c r="AG73" i="1"/>
  <c r="AG71" i="1"/>
  <c r="U69" i="1"/>
  <c r="S69" i="1" s="1"/>
  <c r="U65" i="1"/>
  <c r="S65" i="1" s="1"/>
  <c r="T58" i="1"/>
  <c r="X58" i="1"/>
  <c r="AG58" i="1"/>
  <c r="U36" i="1"/>
  <c r="S36" i="1" s="1"/>
  <c r="X81" i="1"/>
  <c r="X79" i="1"/>
  <c r="X77" i="1"/>
  <c r="X75" i="1"/>
  <c r="X73" i="1"/>
  <c r="X71" i="1"/>
  <c r="X69" i="1"/>
  <c r="X67" i="1"/>
  <c r="X65" i="1"/>
  <c r="X64" i="1"/>
  <c r="X60" i="1"/>
  <c r="AA57" i="1"/>
  <c r="T54" i="1"/>
  <c r="X54" i="1"/>
  <c r="AG54" i="1"/>
  <c r="T50" i="1"/>
  <c r="X50" i="1"/>
  <c r="AG50" i="1"/>
  <c r="T46" i="1"/>
  <c r="X46" i="1"/>
  <c r="AG46" i="1"/>
  <c r="X42" i="1"/>
  <c r="T42" i="1"/>
  <c r="AG42" i="1"/>
  <c r="T56" i="1"/>
  <c r="X56" i="1"/>
  <c r="AG56" i="1"/>
  <c r="T52" i="1"/>
  <c r="X52" i="1"/>
  <c r="AG52" i="1"/>
  <c r="T48" i="1"/>
  <c r="X48" i="1"/>
  <c r="AG48" i="1"/>
  <c r="W48" i="1" s="1"/>
  <c r="T44" i="1"/>
  <c r="X44" i="1"/>
  <c r="AG44" i="1"/>
  <c r="AI32" i="1"/>
  <c r="U49" i="1"/>
  <c r="S49" i="1" s="1"/>
  <c r="U45" i="1"/>
  <c r="S45" i="1" s="1"/>
  <c r="U41" i="1"/>
  <c r="S41" i="1" s="1"/>
  <c r="X39" i="1"/>
  <c r="X35" i="1"/>
  <c r="X31" i="1"/>
  <c r="AA24" i="1"/>
  <c r="W24" i="1" s="1"/>
  <c r="W17" i="1"/>
  <c r="AI53" i="1"/>
  <c r="AI51" i="1"/>
  <c r="AI43" i="1"/>
  <c r="X41" i="1"/>
  <c r="T38" i="1"/>
  <c r="X37" i="1"/>
  <c r="T34" i="1"/>
  <c r="X33" i="1"/>
  <c r="X29" i="1"/>
  <c r="AA40" i="1"/>
  <c r="W40" i="1" s="1"/>
  <c r="T39" i="1"/>
  <c r="U39" i="1" s="1"/>
  <c r="S39" i="1" s="1"/>
  <c r="AG38" i="1"/>
  <c r="W38" i="1" s="1"/>
  <c r="AA36" i="1"/>
  <c r="T35" i="1"/>
  <c r="U35" i="1" s="1"/>
  <c r="S35" i="1" s="1"/>
  <c r="AG34" i="1"/>
  <c r="T31" i="1"/>
  <c r="U31" i="1" s="1"/>
  <c r="S31" i="1" s="1"/>
  <c r="U16" i="1"/>
  <c r="S16" i="1" s="1"/>
  <c r="X26" i="1"/>
  <c r="X24" i="1"/>
  <c r="X22" i="1"/>
  <c r="X20" i="1"/>
  <c r="X18" i="1"/>
  <c r="X16" i="1"/>
  <c r="AI16" i="1"/>
  <c r="AD18" i="3"/>
  <c r="AE18" i="3"/>
  <c r="AD16" i="3"/>
  <c r="AE16" i="3"/>
  <c r="T13" i="3"/>
  <c r="AE8" i="3"/>
  <c r="AE28" i="3"/>
  <c r="Y29" i="3"/>
  <c r="Y13" i="3"/>
  <c r="AD8" i="3"/>
  <c r="Y10" i="3"/>
  <c r="AD28" i="3"/>
  <c r="AE26" i="3"/>
  <c r="Y32" i="3"/>
  <c r="T25" i="3"/>
  <c r="Y9" i="3"/>
  <c r="AD7" i="3"/>
  <c r="AD12" i="3"/>
  <c r="T31" i="3"/>
  <c r="AD13" i="3"/>
  <c r="T21" i="3"/>
  <c r="AD10" i="3"/>
  <c r="AE10" i="3"/>
  <c r="T28" i="3"/>
  <c r="AD15" i="3"/>
  <c r="Y25" i="3"/>
  <c r="AE15" i="3"/>
  <c r="T33" i="3"/>
  <c r="T26" i="3"/>
  <c r="T7" i="3"/>
  <c r="Y26" i="3"/>
  <c r="AE33" i="3"/>
  <c r="AE25" i="3"/>
  <c r="T24" i="3"/>
  <c r="Y7" i="3"/>
  <c r="AE12" i="3"/>
  <c r="AE17" i="3"/>
  <c r="T30" i="3"/>
  <c r="Y16" i="3"/>
  <c r="AE11" i="3"/>
  <c r="AE21" i="3"/>
  <c r="T8" i="3"/>
  <c r="AE7" i="3"/>
  <c r="Y23" i="3"/>
  <c r="AE13" i="3"/>
  <c r="T15" i="3"/>
  <c r="AC33" i="3"/>
  <c r="AD32" i="3"/>
  <c r="AC24" i="3"/>
  <c r="AD19" i="3"/>
  <c r="AD31" i="3"/>
  <c r="AC30" i="3"/>
  <c r="AD23" i="3"/>
  <c r="AC13" i="3"/>
  <c r="AD22" i="3"/>
  <c r="AC8" i="3"/>
  <c r="AD20" i="3"/>
  <c r="AC15" i="3"/>
  <c r="AD14" i="3"/>
  <c r="AC32" i="3"/>
  <c r="AC19" i="3"/>
  <c r="AC12" i="3"/>
  <c r="AC29" i="3"/>
  <c r="AC11" i="3"/>
  <c r="AC20" i="3"/>
  <c r="AC14" i="3"/>
  <c r="AE32" i="3"/>
  <c r="AE19" i="3"/>
  <c r="AE31" i="3"/>
  <c r="AE23" i="3"/>
  <c r="AE22" i="3"/>
  <c r="AE20" i="3"/>
  <c r="AE14" i="3"/>
  <c r="B5" i="6"/>
  <c r="F5" i="6" s="1"/>
  <c r="B6" i="6"/>
  <c r="F6" i="6" s="1"/>
  <c r="B7" i="6"/>
  <c r="F7" i="6" s="1"/>
  <c r="B8" i="6"/>
  <c r="F8" i="6" s="1"/>
  <c r="B9" i="6"/>
  <c r="F9" i="6" s="1"/>
  <c r="B10" i="6"/>
  <c r="F10" i="6" s="1"/>
  <c r="M34" i="3"/>
  <c r="U34" i="3"/>
  <c r="AD27" i="3" s="1"/>
  <c r="V34" i="3"/>
  <c r="W34" i="3"/>
  <c r="X34" i="3"/>
  <c r="AI14" i="1" l="1"/>
  <c r="W201" i="1"/>
  <c r="W65" i="1"/>
  <c r="W59" i="1"/>
  <c r="W129" i="1"/>
  <c r="W166" i="1"/>
  <c r="AI26" i="1"/>
  <c r="W63" i="1"/>
  <c r="W143" i="1"/>
  <c r="AI30" i="1"/>
  <c r="W22" i="1"/>
  <c r="AI61" i="1"/>
  <c r="U141" i="1"/>
  <c r="S141" i="1" s="1"/>
  <c r="W118" i="1"/>
  <c r="AI24" i="1"/>
  <c r="AI22" i="1"/>
  <c r="AI74" i="1"/>
  <c r="W47" i="1"/>
  <c r="W183" i="1"/>
  <c r="W69" i="1"/>
  <c r="W32" i="1"/>
  <c r="AI18" i="1"/>
  <c r="AI47" i="1"/>
  <c r="U40" i="1"/>
  <c r="S40" i="1" s="1"/>
  <c r="W73" i="1"/>
  <c r="U129" i="1"/>
  <c r="S129" i="1" s="1"/>
  <c r="U185" i="1"/>
  <c r="S185" i="1" s="1"/>
  <c r="W14" i="1"/>
  <c r="W145" i="1"/>
  <c r="AI28" i="1"/>
  <c r="W50" i="1"/>
  <c r="AI118" i="1"/>
  <c r="U166" i="1"/>
  <c r="S166" i="1" s="1"/>
  <c r="W36" i="1"/>
  <c r="W162" i="1"/>
  <c r="W52" i="1"/>
  <c r="U67" i="1"/>
  <c r="S67" i="1" s="1"/>
  <c r="U175" i="1"/>
  <c r="S175" i="1" s="1"/>
  <c r="W45" i="1"/>
  <c r="U55" i="1"/>
  <c r="S55" i="1" s="1"/>
  <c r="W185" i="1"/>
  <c r="W30" i="1"/>
  <c r="W57" i="1"/>
  <c r="W214" i="1"/>
  <c r="U214" i="1"/>
  <c r="W178" i="1"/>
  <c r="U59" i="1"/>
  <c r="S59" i="1" s="1"/>
  <c r="W67" i="1"/>
  <c r="W181" i="1"/>
  <c r="W72" i="1"/>
  <c r="U174" i="1"/>
  <c r="S174" i="1" s="1"/>
  <c r="AI57" i="1"/>
  <c r="W103" i="1"/>
  <c r="W111" i="1"/>
  <c r="U145" i="1"/>
  <c r="S145" i="1" s="1"/>
  <c r="W218" i="1"/>
  <c r="U218" i="1"/>
  <c r="U153" i="1"/>
  <c r="S153" i="1" s="1"/>
  <c r="U118" i="1"/>
  <c r="S118" i="1" s="1"/>
  <c r="U147" i="1"/>
  <c r="S147" i="1" s="1"/>
  <c r="W216" i="1"/>
  <c r="U122" i="1"/>
  <c r="S122" i="1" s="1"/>
  <c r="W195" i="1"/>
  <c r="U187" i="1"/>
  <c r="S187" i="1" s="1"/>
  <c r="W187" i="1"/>
  <c r="W203" i="1"/>
  <c r="W61" i="1"/>
  <c r="W153" i="1"/>
  <c r="S27" i="1"/>
  <c r="W28" i="1"/>
  <c r="U94" i="1"/>
  <c r="S94" i="1" s="1"/>
  <c r="W16" i="1"/>
  <c r="W49" i="1"/>
  <c r="AI59" i="1"/>
  <c r="W75" i="1"/>
  <c r="U183" i="1"/>
  <c r="S183" i="1" s="1"/>
  <c r="W34" i="1"/>
  <c r="AI20" i="1"/>
  <c r="U63" i="1"/>
  <c r="S63" i="1" s="1"/>
  <c r="W46" i="1"/>
  <c r="W58" i="1"/>
  <c r="W71" i="1"/>
  <c r="W107" i="1"/>
  <c r="W115" i="1"/>
  <c r="W83" i="1"/>
  <c r="U178" i="1"/>
  <c r="S178" i="1" s="1"/>
  <c r="W205" i="1"/>
  <c r="W26" i="1"/>
  <c r="S24" i="1"/>
  <c r="W175" i="1"/>
  <c r="W92" i="1"/>
  <c r="W151" i="1"/>
  <c r="W94" i="1"/>
  <c r="W18" i="1"/>
  <c r="W147" i="1"/>
  <c r="U68" i="1"/>
  <c r="S68" i="1" s="1"/>
  <c r="AI68" i="1"/>
  <c r="W20" i="1"/>
  <c r="W68" i="1"/>
  <c r="W55" i="1"/>
  <c r="U72" i="1"/>
  <c r="S72" i="1" s="1"/>
  <c r="AI72" i="1"/>
  <c r="W122" i="1"/>
  <c r="W193" i="1"/>
  <c r="AI193" i="1"/>
  <c r="W197" i="1"/>
  <c r="AI197" i="1"/>
  <c r="U70" i="1"/>
  <c r="S70" i="1" s="1"/>
  <c r="AI70" i="1"/>
  <c r="W70" i="1"/>
  <c r="U66" i="1"/>
  <c r="S66" i="1" s="1"/>
  <c r="AI66" i="1"/>
  <c r="AI201" i="1"/>
  <c r="AI205" i="1"/>
  <c r="AI207" i="1"/>
  <c r="W66" i="1"/>
  <c r="U181" i="1"/>
  <c r="S181" i="1" s="1"/>
  <c r="AI181" i="1"/>
  <c r="AI81" i="1"/>
  <c r="U81" i="1"/>
  <c r="S81" i="1" s="1"/>
  <c r="U93" i="1"/>
  <c r="S93" i="1" s="1"/>
  <c r="AI93" i="1"/>
  <c r="U101" i="1"/>
  <c r="S101" i="1" s="1"/>
  <c r="AI101" i="1"/>
  <c r="U109" i="1"/>
  <c r="S109" i="1" s="1"/>
  <c r="AI109" i="1"/>
  <c r="U117" i="1"/>
  <c r="S117" i="1" s="1"/>
  <c r="AI117" i="1"/>
  <c r="U119" i="1"/>
  <c r="S119" i="1" s="1"/>
  <c r="AI119" i="1"/>
  <c r="W119" i="1"/>
  <c r="W93" i="1"/>
  <c r="AI148" i="1"/>
  <c r="U148" i="1"/>
  <c r="S148" i="1" s="1"/>
  <c r="AI156" i="1"/>
  <c r="U156" i="1"/>
  <c r="S156" i="1" s="1"/>
  <c r="W109" i="1"/>
  <c r="W117" i="1"/>
  <c r="U208" i="1"/>
  <c r="S208" i="1" s="1"/>
  <c r="AI215" i="1"/>
  <c r="W168" i="1"/>
  <c r="W148" i="1"/>
  <c r="AI200" i="1"/>
  <c r="U180" i="1"/>
  <c r="S180" i="1" s="1"/>
  <c r="AI204" i="1"/>
  <c r="U184" i="1"/>
  <c r="S184" i="1" s="1"/>
  <c r="AI212" i="1"/>
  <c r="U192" i="1"/>
  <c r="S192" i="1" s="1"/>
  <c r="W184" i="1"/>
  <c r="W192" i="1"/>
  <c r="AI38" i="1"/>
  <c r="U38" i="1"/>
  <c r="S38" i="1" s="1"/>
  <c r="AI71" i="1"/>
  <c r="U71" i="1"/>
  <c r="S71" i="1" s="1"/>
  <c r="AI75" i="1"/>
  <c r="U75" i="1"/>
  <c r="S75" i="1" s="1"/>
  <c r="U95" i="1"/>
  <c r="S95" i="1" s="1"/>
  <c r="AI95" i="1"/>
  <c r="U103" i="1"/>
  <c r="S103" i="1" s="1"/>
  <c r="AI103" i="1"/>
  <c r="U111" i="1"/>
  <c r="S111" i="1" s="1"/>
  <c r="AI111" i="1"/>
  <c r="W81" i="1"/>
  <c r="W95" i="1"/>
  <c r="AI150" i="1"/>
  <c r="U150" i="1"/>
  <c r="S150" i="1" s="1"/>
  <c r="W156" i="1"/>
  <c r="U210" i="1"/>
  <c r="S210" i="1" s="1"/>
  <c r="AI217" i="1"/>
  <c r="AI176" i="1"/>
  <c r="S218" i="1"/>
  <c r="W172" i="1"/>
  <c r="W150" i="1"/>
  <c r="AI158" i="1"/>
  <c r="U195" i="1"/>
  <c r="S195" i="1" s="1"/>
  <c r="AI166" i="1"/>
  <c r="U203" i="1"/>
  <c r="S203" i="1" s="1"/>
  <c r="AI174" i="1"/>
  <c r="S216" i="1"/>
  <c r="AI206" i="1"/>
  <c r="U186" i="1"/>
  <c r="S186" i="1" s="1"/>
  <c r="AI214" i="1"/>
  <c r="U194" i="1"/>
  <c r="S194" i="1" s="1"/>
  <c r="W194" i="1"/>
  <c r="W186" i="1"/>
  <c r="U48" i="1"/>
  <c r="S48" i="1" s="1"/>
  <c r="AI48" i="1"/>
  <c r="U56" i="1"/>
  <c r="S56" i="1" s="1"/>
  <c r="AI56" i="1"/>
  <c r="AI42" i="1"/>
  <c r="U42" i="1"/>
  <c r="S42" i="1" s="1"/>
  <c r="U46" i="1"/>
  <c r="S46" i="1" s="1"/>
  <c r="AI46" i="1"/>
  <c r="U50" i="1"/>
  <c r="S50" i="1" s="1"/>
  <c r="AI50" i="1"/>
  <c r="U54" i="1"/>
  <c r="S54" i="1" s="1"/>
  <c r="AI54" i="1"/>
  <c r="W54" i="1"/>
  <c r="U97" i="1"/>
  <c r="S97" i="1" s="1"/>
  <c r="AI97" i="1"/>
  <c r="U105" i="1"/>
  <c r="S105" i="1" s="1"/>
  <c r="AI105" i="1"/>
  <c r="U113" i="1"/>
  <c r="S113" i="1" s="1"/>
  <c r="AI113" i="1"/>
  <c r="AI83" i="1"/>
  <c r="U83" i="1"/>
  <c r="S83" i="1" s="1"/>
  <c r="U123" i="1"/>
  <c r="S123" i="1" s="1"/>
  <c r="AI123" i="1"/>
  <c r="W123" i="1"/>
  <c r="W101" i="1"/>
  <c r="U121" i="1"/>
  <c r="S121" i="1" s="1"/>
  <c r="AI121" i="1"/>
  <c r="AI152" i="1"/>
  <c r="U152" i="1"/>
  <c r="S152" i="1" s="1"/>
  <c r="W105" i="1"/>
  <c r="W113" i="1"/>
  <c r="W121" i="1"/>
  <c r="AI164" i="1"/>
  <c r="U201" i="1"/>
  <c r="S201" i="1" s="1"/>
  <c r="AI172" i="1"/>
  <c r="S214" i="1"/>
  <c r="AI180" i="1"/>
  <c r="U160" i="1"/>
  <c r="S160" i="1" s="1"/>
  <c r="AI184" i="1"/>
  <c r="U164" i="1"/>
  <c r="S164" i="1" s="1"/>
  <c r="AI188" i="1"/>
  <c r="U168" i="1"/>
  <c r="S168" i="1" s="1"/>
  <c r="AI192" i="1"/>
  <c r="U172" i="1"/>
  <c r="S172" i="1" s="1"/>
  <c r="AI196" i="1"/>
  <c r="U176" i="1"/>
  <c r="S176" i="1" s="1"/>
  <c r="AI162" i="1"/>
  <c r="U199" i="1"/>
  <c r="S199" i="1" s="1"/>
  <c r="AI170" i="1"/>
  <c r="U207" i="1"/>
  <c r="S207" i="1" s="1"/>
  <c r="W199" i="1"/>
  <c r="AI168" i="1"/>
  <c r="U205" i="1"/>
  <c r="S205" i="1" s="1"/>
  <c r="W160" i="1"/>
  <c r="W176" i="1"/>
  <c r="W152" i="1"/>
  <c r="AI208" i="1"/>
  <c r="U188" i="1"/>
  <c r="S188" i="1" s="1"/>
  <c r="AI216" i="1"/>
  <c r="U209" i="1"/>
  <c r="S209" i="1" s="1"/>
  <c r="W188" i="1"/>
  <c r="W209" i="1"/>
  <c r="W208" i="1"/>
  <c r="AI34" i="1"/>
  <c r="U34" i="1"/>
  <c r="S34" i="1" s="1"/>
  <c r="U44" i="1"/>
  <c r="S44" i="1" s="1"/>
  <c r="AI44" i="1"/>
  <c r="U52" i="1"/>
  <c r="S52" i="1" s="1"/>
  <c r="AI52" i="1"/>
  <c r="W56" i="1"/>
  <c r="AI77" i="1"/>
  <c r="U77" i="1"/>
  <c r="S77" i="1" s="1"/>
  <c r="W44" i="1"/>
  <c r="W42" i="1"/>
  <c r="U58" i="1"/>
  <c r="S58" i="1" s="1"/>
  <c r="AI58" i="1"/>
  <c r="AI73" i="1"/>
  <c r="U73" i="1"/>
  <c r="S73" i="1" s="1"/>
  <c r="AI79" i="1"/>
  <c r="U79" i="1"/>
  <c r="S79" i="1" s="1"/>
  <c r="U99" i="1"/>
  <c r="S99" i="1" s="1"/>
  <c r="AI99" i="1"/>
  <c r="U107" i="1"/>
  <c r="S107" i="1" s="1"/>
  <c r="AI107" i="1"/>
  <c r="U115" i="1"/>
  <c r="S115" i="1" s="1"/>
  <c r="AI115" i="1"/>
  <c r="W77" i="1"/>
  <c r="AI140" i="1"/>
  <c r="U140" i="1"/>
  <c r="S140" i="1" s="1"/>
  <c r="AI143" i="1"/>
  <c r="U143" i="1"/>
  <c r="S143" i="1" s="1"/>
  <c r="AI154" i="1"/>
  <c r="U154" i="1"/>
  <c r="S154" i="1" s="1"/>
  <c r="W140" i="1"/>
  <c r="U193" i="1"/>
  <c r="S193" i="1" s="1"/>
  <c r="AI213" i="1"/>
  <c r="AI160" i="1"/>
  <c r="U197" i="1"/>
  <c r="S197" i="1" s="1"/>
  <c r="W164" i="1"/>
  <c r="W154" i="1"/>
  <c r="AI202" i="1"/>
  <c r="U182" i="1"/>
  <c r="S182" i="1" s="1"/>
  <c r="AI210" i="1"/>
  <c r="U190" i="1"/>
  <c r="S190" i="1" s="1"/>
  <c r="AI218" i="1"/>
  <c r="U211" i="1"/>
  <c r="S211" i="1" s="1"/>
  <c r="W180" i="1"/>
  <c r="W211" i="1"/>
  <c r="W182" i="1"/>
  <c r="W190" i="1"/>
  <c r="W210" i="1"/>
  <c r="AE27" i="3"/>
  <c r="I9" i="6"/>
  <c r="I5" i="6"/>
  <c r="I6" i="6"/>
  <c r="I8" i="6"/>
  <c r="I10" i="6"/>
  <c r="I7" i="6"/>
  <c r="G10" i="6"/>
  <c r="G9" i="6"/>
  <c r="G8" i="6"/>
  <c r="G7" i="6"/>
  <c r="G6" i="6"/>
  <c r="G5" i="6"/>
  <c r="J10" i="6"/>
  <c r="J9" i="6"/>
  <c r="J8" i="6"/>
  <c r="J7" i="6"/>
  <c r="J6" i="6"/>
  <c r="J5" i="6"/>
  <c r="R34" i="3"/>
  <c r="S34" i="3"/>
  <c r="AD34" i="3"/>
  <c r="Y34" i="3"/>
  <c r="AC34" i="3"/>
  <c r="AE34" i="3"/>
  <c r="T34" i="3"/>
  <c r="B56" i="9"/>
  <c r="B57" i="9"/>
  <c r="Z13" i="1"/>
  <c r="Y13" i="1"/>
  <c r="C57" i="9" l="1"/>
  <c r="AM13" i="1" l="1"/>
  <c r="M28" i="5" l="1"/>
  <c r="B3" i="6" l="1"/>
  <c r="J3" i="6" l="1"/>
  <c r="F3" i="6"/>
  <c r="I3" i="6"/>
  <c r="G3" i="6"/>
  <c r="B53" i="9" l="1"/>
  <c r="B54" i="9"/>
  <c r="B55" i="9"/>
  <c r="C56" i="9" s="1"/>
  <c r="C55" i="9" l="1"/>
  <c r="C54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N14" i="3" s="1"/>
  <c r="G29" i="4"/>
  <c r="G30" i="4"/>
  <c r="G31" i="4"/>
  <c r="G32" i="4"/>
  <c r="G33" i="4"/>
  <c r="G34" i="4"/>
  <c r="N15" i="3" s="1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N28" i="3" s="1"/>
  <c r="G75" i="4"/>
  <c r="G76" i="4"/>
  <c r="G77" i="4"/>
  <c r="G78" i="4"/>
  <c r="G79" i="4"/>
  <c r="G80" i="4"/>
  <c r="G81" i="4"/>
  <c r="G82" i="4"/>
  <c r="G83" i="4"/>
  <c r="G84" i="4"/>
  <c r="G85" i="4"/>
  <c r="N10" i="3" s="1"/>
  <c r="G86" i="4"/>
  <c r="N20" i="3" s="1"/>
  <c r="G87" i="4"/>
  <c r="G88" i="4"/>
  <c r="G89" i="4"/>
  <c r="N8" i="3" s="1"/>
  <c r="G90" i="4"/>
  <c r="N21" i="3" s="1"/>
  <c r="G91" i="4"/>
  <c r="G92" i="4"/>
  <c r="G93" i="4"/>
  <c r="G94" i="4"/>
  <c r="G95" i="4"/>
  <c r="G96" i="4"/>
  <c r="G97" i="4"/>
  <c r="G98" i="4"/>
  <c r="H5" i="6" s="1"/>
  <c r="G99" i="4"/>
  <c r="N22" i="3" s="1"/>
  <c r="G100" i="4"/>
  <c r="G101" i="4"/>
  <c r="G102" i="4"/>
  <c r="G103" i="4"/>
  <c r="G104" i="4"/>
  <c r="G105" i="4"/>
  <c r="H6" i="6" s="1"/>
  <c r="G106" i="4"/>
  <c r="G107" i="4"/>
  <c r="G108" i="4"/>
  <c r="H9" i="6" s="1"/>
  <c r="G109" i="4"/>
  <c r="H7" i="6" s="1"/>
  <c r="G110" i="4"/>
  <c r="H10" i="6" s="1"/>
  <c r="G111" i="4"/>
  <c r="G112" i="4"/>
  <c r="N13" i="3" s="1"/>
  <c r="G113" i="4"/>
  <c r="G114" i="4"/>
  <c r="G115" i="4"/>
  <c r="G116" i="4"/>
  <c r="G117" i="4"/>
  <c r="G118" i="4"/>
  <c r="G119" i="4"/>
  <c r="N16" i="3" s="1"/>
  <c r="G120" i="4"/>
  <c r="G121" i="4"/>
  <c r="G122" i="4"/>
  <c r="N23" i="3" s="1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N29" i="3" s="1"/>
  <c r="G139" i="4"/>
  <c r="G140" i="4"/>
  <c r="G141" i="4"/>
  <c r="G142" i="4"/>
  <c r="G143" i="4"/>
  <c r="G144" i="4"/>
  <c r="G145" i="4"/>
  <c r="G146" i="4"/>
  <c r="G147" i="4"/>
  <c r="G148" i="4"/>
  <c r="N30" i="3" s="1"/>
  <c r="G149" i="4"/>
  <c r="G150" i="4"/>
  <c r="G151" i="4"/>
  <c r="N17" i="3" s="1"/>
  <c r="G152" i="4"/>
  <c r="G153" i="4"/>
  <c r="G154" i="4"/>
  <c r="G155" i="4"/>
  <c r="G156" i="4"/>
  <c r="G157" i="4"/>
  <c r="G158" i="4"/>
  <c r="G159" i="4"/>
  <c r="N31" i="3" s="1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N18" i="3" s="1"/>
  <c r="G184" i="4"/>
  <c r="G185" i="4"/>
  <c r="G186" i="4"/>
  <c r="G187" i="4"/>
  <c r="N19" i="3" s="1"/>
  <c r="G188" i="4"/>
  <c r="N7" i="3" s="1"/>
  <c r="G189" i="4"/>
  <c r="G190" i="4"/>
  <c r="G191" i="4"/>
  <c r="G192" i="4"/>
  <c r="N24" i="3" s="1"/>
  <c r="G193" i="4"/>
  <c r="G194" i="4"/>
  <c r="G195" i="4"/>
  <c r="N9" i="3" s="1"/>
  <c r="G196" i="4"/>
  <c r="G197" i="4"/>
  <c r="G198" i="4"/>
  <c r="G199" i="4"/>
  <c r="G200" i="4"/>
  <c r="G201" i="4"/>
  <c r="G202" i="4"/>
  <c r="G203" i="4"/>
  <c r="G204" i="4"/>
  <c r="N25" i="3" s="1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N26" i="3" s="1"/>
  <c r="G222" i="4"/>
  <c r="G223" i="4"/>
  <c r="G224" i="4"/>
  <c r="G225" i="4"/>
  <c r="G226" i="4"/>
  <c r="N27" i="3" s="1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3" i="3" l="1"/>
  <c r="N32" i="3"/>
  <c r="N12" i="3"/>
  <c r="N11" i="3"/>
  <c r="H8" i="6"/>
  <c r="N34" i="3"/>
  <c r="H3" i="6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N13" i="1" s="1"/>
  <c r="V13" i="1"/>
  <c r="AD13" i="1"/>
  <c r="X14" i="1" s="1"/>
  <c r="AE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<sst xmlns="http://schemas.openxmlformats.org/spreadsheetml/2006/main" count="2494" uniqueCount="922">
  <si>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</si>
  <si>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</si>
  <si>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</si>
  <si>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</si>
  <si>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</si>
  <si>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</si>
  <si>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</si>
  <si>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</si>
  <si>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</si>
  <si>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</si>
  <si>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</si>
  <si>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</si>
  <si>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</si>
  <si>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</si>
  <si>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</si>
  <si>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</si>
  <si>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</si>
  <si>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</si>
  <si>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</si>
  <si>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</si>
  <si>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</si>
  <si>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</si>
  <si>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</si>
  <si>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</si>
  <si>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</si>
  <si>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</si>
  <si>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</si>
  <si>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</si>
  <si>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</si>
  <si>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</si>
  <si>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</si>
  <si>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</si>
  <si>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</si>
  <si>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</si>
  <si>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</si>
  <si>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</si>
  <si>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</si>
  <si>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</si>
  <si>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</si>
  <si>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</si>
  <si>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</si>
  <si>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</si>
  <si>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</si>
  <si>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</si>
  <si>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</si>
  <si>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</si>
  <si>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</si>
  <si>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</si>
  <si>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</si>
  <si>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</si>
  <si>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</si>
  <si>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</si>
  <si>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</si>
  <si>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</si>
  <si>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</si>
  <si>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</si>
  <si>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</si>
  <si>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</si>
  <si>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</si>
  <si>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</si>
  <si>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</si>
  <si>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</si>
  <si>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</si>
  <si>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</si>
  <si>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</si>
  <si>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</si>
  <si>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</si>
  <si>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</si>
  <si>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</si>
  <si>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</si>
  <si>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</si>
  <si>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</si>
  <si>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</si>
  <si>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</si>
  <si>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</si>
  <si>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</si>
  <si>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</si>
  <si>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</si>
  <si>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</si>
  <si>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</si>
  <si>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</si>
  <si>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</si>
  <si>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</si>
  <si>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</si>
  <si>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</si>
  <si>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</si>
  <si>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</si>
  <si>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</si>
  <si>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</si>
  <si>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</si>
  <si>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</si>
  <si>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</si>
  <si>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</si>
  <si>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</si>
  <si>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</si>
  <si>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</si>
  <si>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</si>
  <si>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</si>
  <si>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</si>
  <si>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</si>
  <si>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</si>
  <si>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</si>
  <si>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</si>
  <si>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</si>
  <si>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</si>
  <si>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</si>
  <si>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</si>
  <si>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</si>
  <si>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</si>
  <si>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</si>
  <si>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</si>
  <si>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</si>
  <si>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</si>
  <si>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</si>
  <si>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</si>
  <si>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</si>
  <si>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</si>
  <si>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</si>
  <si>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</si>
  <si>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</si>
  <si>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</si>
  <si>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</si>
  <si>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</si>
  <si>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</si>
  <si>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</si>
  <si>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</si>
  <si>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</si>
  <si>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</si>
  <si>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</si>
  <si>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</si>
  <si>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</si>
  <si>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</si>
  <si>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</si>
  <si>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</si>
  <si>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</si>
  <si>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</si>
  <si>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</si>
  <si>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</si>
  <si>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</si>
  <si>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</si>
  <si>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</si>
  <si>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</si>
  <si>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</si>
  <si>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</si>
  <si>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</si>
  <si>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</si>
  <si>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</si>
  <si>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</si>
  <si>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</si>
  <si>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</si>
  <si>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</si>
  <si>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</si>
  <si>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</si>
  <si>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</si>
  <si>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</si>
  <si>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</si>
  <si>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</si>
  <si>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</si>
  <si>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</si>
  <si>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</si>
  <si>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</si>
  <si>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</si>
  <si>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</si>
  <si>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</si>
  <si>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</si>
  <si>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</si>
  <si>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</si>
  <si>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</si>
  <si>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</si>
  <si>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</si>
  <si>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</si>
  <si>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</si>
  <si>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</si>
  <si>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</si>
  <si>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</si>
  <si>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</si>
  <si>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</si>
  <si>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</si>
  <si>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</si>
  <si>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</si>
  <si>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</si>
  <si>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</si>
  <si>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</si>
  <si>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</si>
  <si>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</si>
  <si>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</si>
  <si>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</si>
  <si>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</si>
  <si>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</si>
  <si>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</si>
  <si>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</si>
  <si>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</si>
  <si>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</si>
  <si>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</si>
  <si>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</si>
  <si>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</si>
  <si>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</si>
  <si>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</si>
  <si>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</si>
  <si>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</si>
  <si>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</si>
  <si>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</si>
  <si>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</si>
  <si>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</si>
  <si>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</si>
  <si>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</si>
  <si>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</si>
  <si>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</si>
  <si>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</si>
  <si>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</si>
  <si>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</si>
  <si>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</si>
  <si>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</si>
  <si>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</si>
  <si>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</si>
  <si>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</si>
  <si>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</si>
  <si>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</si>
  <si>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</si>
  <si>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</si>
  <si>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</si>
  <si>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</si>
  <si>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rtdc.l.rtdc.4014:itc</t>
  </si>
  <si>
    <t>CLI Grep2 (for slice disagreement)</t>
  </si>
  <si>
    <t>204:455</t>
  </si>
  <si>
    <t>rtdc.l.rtdc.4046:itc</t>
  </si>
  <si>
    <t>204:460</t>
  </si>
  <si>
    <t>rtdc.l.rtdc.4042:itc</t>
  </si>
  <si>
    <t>DAVIDSON</t>
  </si>
  <si>
    <t>204:145</t>
  </si>
  <si>
    <t>CHANDLER</t>
  </si>
  <si>
    <t>LALONDE</t>
  </si>
  <si>
    <t>81-25</t>
  </si>
  <si>
    <t>313-25</t>
  </si>
  <si>
    <t>315-25</t>
  </si>
  <si>
    <t>partly-cloudy-night</t>
  </si>
  <si>
    <t>rtdc.l.rtdc.4016:itc</t>
  </si>
  <si>
    <t>GRADE CROSSING</t>
  </si>
  <si>
    <t>Bulletin (2)</t>
  </si>
  <si>
    <t>JAMES</t>
  </si>
  <si>
    <t>Last + First</t>
  </si>
  <si>
    <t>Employee First Name</t>
  </si>
  <si>
    <t>KELVIN</t>
  </si>
  <si>
    <t>204:453</t>
  </si>
  <si>
    <t>204:464</t>
  </si>
  <si>
    <t>rtdc.l.rtdc.4045:itc</t>
  </si>
  <si>
    <t>204:147</t>
  </si>
  <si>
    <t>204:139</t>
  </si>
  <si>
    <t>MICHAEL</t>
  </si>
  <si>
    <t>204:232977</t>
  </si>
  <si>
    <t>204:160</t>
  </si>
  <si>
    <t>204:462</t>
  </si>
  <si>
    <t>rtdc.l.rtdc.4013:itc</t>
  </si>
  <si>
    <t>rtdc.l.rtdc.4004:itc</t>
  </si>
  <si>
    <t>rtdc.l.rtdc.4003:itc</t>
  </si>
  <si>
    <t>204:233289</t>
  </si>
  <si>
    <t>204:232986</t>
  </si>
  <si>
    <t>SMITH</t>
  </si>
  <si>
    <t>NEWELL</t>
  </si>
  <si>
    <t>204:449</t>
  </si>
  <si>
    <t>204:232973</t>
  </si>
  <si>
    <t>rtdc.l.rtdc.4044:itc</t>
  </si>
  <si>
    <t>rtdc.l.rtdc.4043:itc</t>
  </si>
  <si>
    <t>OUN</t>
  </si>
  <si>
    <t>ZACK</t>
  </si>
  <si>
    <t>236-18</t>
  </si>
  <si>
    <t>239-18</t>
  </si>
  <si>
    <t>241-18</t>
  </si>
  <si>
    <t>238-18</t>
  </si>
  <si>
    <t>240-18</t>
  </si>
  <si>
    <t>243-18</t>
  </si>
  <si>
    <t>309-18</t>
  </si>
  <si>
    <t>242-18</t>
  </si>
  <si>
    <t>311-18</t>
  </si>
  <si>
    <t>244-18</t>
  </si>
  <si>
    <t>313-18</t>
  </si>
  <si>
    <t>315-18</t>
  </si>
  <si>
    <t>302-19</t>
  </si>
  <si>
    <t>204:233312</t>
  </si>
  <si>
    <t>204:152</t>
  </si>
  <si>
    <t>204:232982</t>
  </si>
  <si>
    <t>HILLS</t>
  </si>
  <si>
    <t>DUSTIN</t>
  </si>
  <si>
    <t>BROWN</t>
  </si>
  <si>
    <t>JACOB</t>
  </si>
  <si>
    <t>204:158</t>
  </si>
  <si>
    <t>204:232998</t>
  </si>
  <si>
    <t>204:141</t>
  </si>
  <si>
    <t>rtdc.l.rtdc.4025:itc</t>
  </si>
  <si>
    <t>315-23</t>
  </si>
  <si>
    <t>204:232971</t>
  </si>
  <si>
    <t>204:457</t>
  </si>
  <si>
    <t>204:156</t>
  </si>
  <si>
    <t>300:58931</t>
  </si>
  <si>
    <t>rtdc.l.rtdc.4018:itc</t>
  </si>
  <si>
    <t>204:232989</t>
  </si>
  <si>
    <t>rtdc.l.rtdc.4041:itc</t>
  </si>
  <si>
    <t>204:437</t>
  </si>
  <si>
    <t>204:478</t>
  </si>
  <si>
    <t>rtdc.l.rtdc.4030:itc</t>
  </si>
  <si>
    <t>rtdc.l.rtdc.4029:itc</t>
  </si>
  <si>
    <t>204:467</t>
  </si>
  <si>
    <t>204:233000</t>
  </si>
  <si>
    <t>204:232967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</si>
  <si>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</si>
  <si>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</si>
  <si>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</si>
  <si>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</si>
  <si>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rtdc.l.rtdc.4021:itc</t>
  </si>
  <si>
    <t>rtdc.l.rtdc.4031:itc</t>
  </si>
  <si>
    <t>204:232990</t>
  </si>
  <si>
    <t>204:475</t>
  </si>
  <si>
    <t>204:232983</t>
  </si>
  <si>
    <t>204:233298</t>
  </si>
  <si>
    <t>204:446</t>
  </si>
  <si>
    <t>204:232981</t>
  </si>
  <si>
    <t>rtdc.l.rtdc.4032:itc</t>
  </si>
  <si>
    <t>COMELLA</t>
  </si>
  <si>
    <t>JUSTIN</t>
  </si>
  <si>
    <t>CLARK</t>
  </si>
  <si>
    <t>KATHLEEN</t>
  </si>
  <si>
    <t>LEVERE</t>
  </si>
  <si>
    <t>CRAIG</t>
  </si>
  <si>
    <t>204:232992</t>
  </si>
  <si>
    <t>204:233320</t>
  </si>
  <si>
    <t>204:458</t>
  </si>
  <si>
    <t>204:972</t>
  </si>
  <si>
    <t>300:58604</t>
  </si>
  <si>
    <t>Early arrival</t>
  </si>
  <si>
    <t>rtdc.l.rtdc.4010:itc</t>
  </si>
  <si>
    <t>PERMANENT SPEED RESTRICTION</t>
  </si>
  <si>
    <t>Speed (6)</t>
  </si>
  <si>
    <t>Y</t>
  </si>
  <si>
    <t>LOZA</t>
  </si>
  <si>
    <t>FIDEL</t>
  </si>
  <si>
    <t>BRANNON</t>
  </si>
  <si>
    <t>JEFFREY</t>
  </si>
  <si>
    <t>DUNCAN</t>
  </si>
  <si>
    <t>SHEILA</t>
  </si>
  <si>
    <t>204:134</t>
  </si>
  <si>
    <t>204:233311</t>
  </si>
  <si>
    <t>204:233314</t>
  </si>
  <si>
    <t>204:165</t>
  </si>
  <si>
    <t>204:466</t>
  </si>
  <si>
    <t>300:23314</t>
  </si>
  <si>
    <t>300:58619</t>
  </si>
  <si>
    <t>300:58617</t>
  </si>
  <si>
    <t>204:986</t>
  </si>
  <si>
    <t>Wi-MAX data drop</t>
  </si>
  <si>
    <t>rtdc.l.rtdc.4001:itc</t>
  </si>
  <si>
    <t>ISHMAEL</t>
  </si>
  <si>
    <t>JOSEPH</t>
  </si>
  <si>
    <t>YANG</t>
  </si>
  <si>
    <t>JAN</t>
  </si>
  <si>
    <t>DE LA ROSA</t>
  </si>
  <si>
    <t>ALEX</t>
  </si>
  <si>
    <t>HELVIE</t>
  </si>
  <si>
    <t>ADAM</t>
  </si>
  <si>
    <t>BRUDER</t>
  </si>
  <si>
    <t>RICHARD</t>
  </si>
  <si>
    <t>315-04</t>
  </si>
  <si>
    <t>204:232666</t>
  </si>
  <si>
    <t>204:232987</t>
  </si>
  <si>
    <t>204:136</t>
  </si>
  <si>
    <t>204:233291</t>
  </si>
  <si>
    <t>204:233301</t>
  </si>
  <si>
    <t>204:429</t>
  </si>
  <si>
    <t>204:232993</t>
  </si>
  <si>
    <t>204:233299</t>
  </si>
  <si>
    <t>204:484</t>
  </si>
  <si>
    <t>204:431</t>
  </si>
  <si>
    <t>204:752</t>
  </si>
  <si>
    <t>204:976</t>
  </si>
  <si>
    <t>300:58688</t>
  </si>
  <si>
    <t>300:58926</t>
  </si>
  <si>
    <t>300:58933</t>
  </si>
  <si>
    <t>Track device (7)</t>
  </si>
  <si>
    <t>JOHN</t>
  </si>
  <si>
    <t>ROBINSON</t>
  </si>
  <si>
    <t>KADDIBA</t>
  </si>
  <si>
    <t>SHOOK</t>
  </si>
  <si>
    <t>rtdc.l.rtdc.4028:itc</t>
  </si>
  <si>
    <t>SIMMONS</t>
  </si>
  <si>
    <t>SHYHESHA</t>
  </si>
  <si>
    <t>YANAI</t>
  </si>
  <si>
    <t>IAN</t>
  </si>
  <si>
    <t>DAVID</t>
  </si>
  <si>
    <t>BRANDNER</t>
  </si>
  <si>
    <t>MELINDA</t>
  </si>
  <si>
    <t>DELGADO</t>
  </si>
  <si>
    <t>DIANAH</t>
  </si>
  <si>
    <t>rtdc.l.rtdc.4027:itc</t>
  </si>
  <si>
    <t>243-05</t>
  </si>
  <si>
    <t>240-05</t>
  </si>
  <si>
    <t>309-05</t>
  </si>
  <si>
    <t>83-05</t>
  </si>
  <si>
    <t>MACDONALD</t>
  </si>
  <si>
    <t>THOMAS</t>
  </si>
  <si>
    <t>242-05</t>
  </si>
  <si>
    <t>311-05</t>
  </si>
  <si>
    <t>244-05</t>
  </si>
  <si>
    <t>313-05</t>
  </si>
  <si>
    <t>60-06</t>
  </si>
  <si>
    <t>315-05</t>
  </si>
  <si>
    <t>204:233293</t>
  </si>
  <si>
    <t>204:233309</t>
  </si>
  <si>
    <t>204:232969</t>
  </si>
  <si>
    <t>204:233276</t>
  </si>
  <si>
    <t>204:232994</t>
  </si>
  <si>
    <t>204:232979</t>
  </si>
  <si>
    <t>204:19134</t>
  </si>
  <si>
    <t>204:233322</t>
  </si>
  <si>
    <t>204:440</t>
  </si>
  <si>
    <t>204:433</t>
  </si>
  <si>
    <t>204:233316</t>
  </si>
  <si>
    <t>204:232975</t>
  </si>
  <si>
    <t>204:232984</t>
  </si>
  <si>
    <t>204:233324</t>
  </si>
  <si>
    <t>204:232974</t>
  </si>
  <si>
    <t>204:233008</t>
  </si>
  <si>
    <t>204:233331</t>
  </si>
  <si>
    <t>204:233376</t>
  </si>
  <si>
    <t>204:114</t>
  </si>
  <si>
    <t>204:380</t>
  </si>
  <si>
    <t>300:23297</t>
  </si>
  <si>
    <t>204:384</t>
  </si>
  <si>
    <t>204:128001</t>
  </si>
  <si>
    <t>204:1607</t>
  </si>
  <si>
    <t>204:233280</t>
  </si>
  <si>
    <t>300:58677</t>
  </si>
  <si>
    <t>204:710</t>
  </si>
  <si>
    <t>300:58649</t>
  </si>
  <si>
    <t>300:23346</t>
  </si>
  <si>
    <t>300:58935</t>
  </si>
  <si>
    <t>204:675</t>
  </si>
  <si>
    <t>204:717</t>
  </si>
  <si>
    <t>300:58973</t>
  </si>
  <si>
    <t>300:58653</t>
  </si>
  <si>
    <t>300:58967</t>
  </si>
  <si>
    <t>204:699</t>
  </si>
  <si>
    <t>204:1181</t>
  </si>
  <si>
    <t>300:58978</t>
  </si>
  <si>
    <t>300:58658</t>
  </si>
  <si>
    <t>300:58655</t>
  </si>
  <si>
    <t>204:685</t>
  </si>
  <si>
    <t>start /low /b %USERPROFILE%\Documents\GitHub\eaglep3\Utilities\DownloadLogsFromS3.py --loco 4044 --day 2017-01-06</t>
  </si>
  <si>
    <t>901-06</t>
  </si>
  <si>
    <t>106-06</t>
  </si>
  <si>
    <t>110-06</t>
  </si>
  <si>
    <t>812-06</t>
  </si>
  <si>
    <t>142-06</t>
  </si>
  <si>
    <t>149-06</t>
  </si>
  <si>
    <t>146-06</t>
  </si>
  <si>
    <t>153-06</t>
  </si>
  <si>
    <t>161-06</t>
  </si>
  <si>
    <t>165-06</t>
  </si>
  <si>
    <t>173-06</t>
  </si>
  <si>
    <t>174-06</t>
  </si>
  <si>
    <t>183-06</t>
  </si>
  <si>
    <t>826-06</t>
  </si>
  <si>
    <t>831-06</t>
  </si>
  <si>
    <t>200-06</t>
  </si>
  <si>
    <t>835-06</t>
  </si>
  <si>
    <t>213-06</t>
  </si>
  <si>
    <t>223-06</t>
  </si>
  <si>
    <t>218-06</t>
  </si>
  <si>
    <t>rtdc.l.rtdc.4017:itc</t>
  </si>
  <si>
    <t>220-06</t>
  </si>
  <si>
    <t>225-06</t>
  </si>
  <si>
    <t>227-06</t>
  </si>
  <si>
    <t>233-06</t>
  </si>
  <si>
    <t>908-06</t>
  </si>
  <si>
    <t>SWITCH ALIGNMENT</t>
  </si>
  <si>
    <t>243-06</t>
  </si>
  <si>
    <t>245-06</t>
  </si>
  <si>
    <t>302-06</t>
  </si>
  <si>
    <t>101-06</t>
  </si>
  <si>
    <t>304-06</t>
  </si>
  <si>
    <t>ACKERMAN</t>
  </si>
  <si>
    <t>JARED</t>
  </si>
  <si>
    <t>103-06</t>
  </si>
  <si>
    <t>306-06</t>
  </si>
  <si>
    <t>102-06</t>
  </si>
  <si>
    <t>105-06</t>
  </si>
  <si>
    <t>308-06</t>
  </si>
  <si>
    <t>STARKS</t>
  </si>
  <si>
    <t>ANGELINA</t>
  </si>
  <si>
    <t>310-06</t>
  </si>
  <si>
    <t>107-06</t>
  </si>
  <si>
    <t>104-06</t>
  </si>
  <si>
    <t>109-06</t>
  </si>
  <si>
    <t>800-06</t>
  </si>
  <si>
    <t>111-06</t>
  </si>
  <si>
    <t>108-06</t>
  </si>
  <si>
    <t>115-06</t>
  </si>
  <si>
    <t>117-06</t>
  </si>
  <si>
    <t>801-06</t>
  </si>
  <si>
    <t>112-06</t>
  </si>
  <si>
    <t>902-06</t>
  </si>
  <si>
    <t>119-06</t>
  </si>
  <si>
    <t>802-06</t>
  </si>
  <si>
    <t>116-06</t>
  </si>
  <si>
    <t>121-06</t>
  </si>
  <si>
    <t>803-06</t>
  </si>
  <si>
    <t>123-06</t>
  </si>
  <si>
    <t>127-06</t>
  </si>
  <si>
    <t>118-06</t>
  </si>
  <si>
    <t>125-06</t>
  </si>
  <si>
    <t>BONDS</t>
  </si>
  <si>
    <t>REYNALDO</t>
  </si>
  <si>
    <t>804-06</t>
  </si>
  <si>
    <t>805-06</t>
  </si>
  <si>
    <t>120-06</t>
  </si>
  <si>
    <t>807-06</t>
  </si>
  <si>
    <t>806-06</t>
  </si>
  <si>
    <t>122-06</t>
  </si>
  <si>
    <t>129-06</t>
  </si>
  <si>
    <t>124-06</t>
  </si>
  <si>
    <t>131-06</t>
  </si>
  <si>
    <t>809-06</t>
  </si>
  <si>
    <t>126-06</t>
  </si>
  <si>
    <t>808-06</t>
  </si>
  <si>
    <t>133-06</t>
  </si>
  <si>
    <t>128-06</t>
  </si>
  <si>
    <t>135-06</t>
  </si>
  <si>
    <t>130-06</t>
  </si>
  <si>
    <t>811-06</t>
  </si>
  <si>
    <t>137-06</t>
  </si>
  <si>
    <t>810-06</t>
  </si>
  <si>
    <t>132-06</t>
  </si>
  <si>
    <t>139-06</t>
  </si>
  <si>
    <t>134-06</t>
  </si>
  <si>
    <t>141-06</t>
  </si>
  <si>
    <t>136-06</t>
  </si>
  <si>
    <t>813-06</t>
  </si>
  <si>
    <t>143-06</t>
  </si>
  <si>
    <t>138-06</t>
  </si>
  <si>
    <t>140-06</t>
  </si>
  <si>
    <t>145-06</t>
  </si>
  <si>
    <t>814-06</t>
  </si>
  <si>
    <t>147-06</t>
  </si>
  <si>
    <t>144-06</t>
  </si>
  <si>
    <t>151-06</t>
  </si>
  <si>
    <t>148-06</t>
  </si>
  <si>
    <t>155-06</t>
  </si>
  <si>
    <t>150-06</t>
  </si>
  <si>
    <t>157-06</t>
  </si>
  <si>
    <t>152-06</t>
  </si>
  <si>
    <t>159-06</t>
  </si>
  <si>
    <t>STEWART</t>
  </si>
  <si>
    <t>154-06</t>
  </si>
  <si>
    <t>156-06</t>
  </si>
  <si>
    <t>52-06</t>
  </si>
  <si>
    <t>163-06</t>
  </si>
  <si>
    <t>158-06</t>
  </si>
  <si>
    <t>53-06</t>
  </si>
  <si>
    <t>160-06</t>
  </si>
  <si>
    <t>167-06</t>
  </si>
  <si>
    <t>162-06</t>
  </si>
  <si>
    <t>169-06</t>
  </si>
  <si>
    <t>164-06</t>
  </si>
  <si>
    <t>171-06</t>
  </si>
  <si>
    <t>166-06</t>
  </si>
  <si>
    <t>168-06</t>
  </si>
  <si>
    <t>175-06</t>
  </si>
  <si>
    <t>170-06</t>
  </si>
  <si>
    <t>172-06</t>
  </si>
  <si>
    <t>177-06</t>
  </si>
  <si>
    <t>179-06</t>
  </si>
  <si>
    <t>181-06</t>
  </si>
  <si>
    <t>176-06</t>
  </si>
  <si>
    <t>178-06</t>
  </si>
  <si>
    <t>185-06</t>
  </si>
  <si>
    <t>180-06</t>
  </si>
  <si>
    <t>187-06</t>
  </si>
  <si>
    <t>182-06</t>
  </si>
  <si>
    <t>189-06</t>
  </si>
  <si>
    <t>184-06</t>
  </si>
  <si>
    <t>WHITED</t>
  </si>
  <si>
    <t>191-06</t>
  </si>
  <si>
    <t>62-06</t>
  </si>
  <si>
    <t>186-06</t>
  </si>
  <si>
    <t>193-06</t>
  </si>
  <si>
    <t>825-06</t>
  </si>
  <si>
    <t>188-06</t>
  </si>
  <si>
    <t>195-06</t>
  </si>
  <si>
    <t>190-06</t>
  </si>
  <si>
    <t>827-06</t>
  </si>
  <si>
    <t>192-06</t>
  </si>
  <si>
    <t>199-06</t>
  </si>
  <si>
    <t>829-06</t>
  </si>
  <si>
    <t>201-06</t>
  </si>
  <si>
    <t>828-06</t>
  </si>
  <si>
    <t>194-06</t>
  </si>
  <si>
    <t>203-06</t>
  </si>
  <si>
    <t>196-06</t>
  </si>
  <si>
    <t>205-06</t>
  </si>
  <si>
    <t>830-06</t>
  </si>
  <si>
    <t>207-06</t>
  </si>
  <si>
    <t>833-06</t>
  </si>
  <si>
    <t>209-06</t>
  </si>
  <si>
    <t>832-06</t>
  </si>
  <si>
    <t>202-06</t>
  </si>
  <si>
    <t>204-06</t>
  </si>
  <si>
    <t>211-06</t>
  </si>
  <si>
    <t>206-06</t>
  </si>
  <si>
    <t>834-06</t>
  </si>
  <si>
    <t>68-06</t>
  </si>
  <si>
    <t>208-06</t>
  </si>
  <si>
    <t>210-06</t>
  </si>
  <si>
    <t>837-06</t>
  </si>
  <si>
    <t>836-06</t>
  </si>
  <si>
    <t>215-06</t>
  </si>
  <si>
    <t>72-06</t>
  </si>
  <si>
    <t>MAGEE</t>
  </si>
  <si>
    <t>KENYA</t>
  </si>
  <si>
    <t>217-06</t>
  </si>
  <si>
    <t>212-06</t>
  </si>
  <si>
    <t>219-06</t>
  </si>
  <si>
    <t>839-06</t>
  </si>
  <si>
    <t>838-06</t>
  </si>
  <si>
    <t>214-06</t>
  </si>
  <si>
    <t>303-06</t>
  </si>
  <si>
    <t>216-06</t>
  </si>
  <si>
    <t>221-06</t>
  </si>
  <si>
    <t>906-06</t>
  </si>
  <si>
    <t>305-06</t>
  </si>
  <si>
    <t>841-06</t>
  </si>
  <si>
    <t>840-06</t>
  </si>
  <si>
    <t>307-06</t>
  </si>
  <si>
    <t>222-06</t>
  </si>
  <si>
    <t>843-06</t>
  </si>
  <si>
    <t>224-06</t>
  </si>
  <si>
    <t>73-06</t>
  </si>
  <si>
    <t>842-06</t>
  </si>
  <si>
    <t>226-06</t>
  </si>
  <si>
    <t>229-06</t>
  </si>
  <si>
    <t>845-06</t>
  </si>
  <si>
    <t>228-06</t>
  </si>
  <si>
    <t>231-06</t>
  </si>
  <si>
    <t>844-06</t>
  </si>
  <si>
    <t>230-06</t>
  </si>
  <si>
    <t>847-06</t>
  </si>
  <si>
    <t>235-06</t>
  </si>
  <si>
    <t>232-06</t>
  </si>
  <si>
    <t>234-06</t>
  </si>
  <si>
    <t>237-06</t>
  </si>
  <si>
    <t>236-06</t>
  </si>
  <si>
    <t>239-06</t>
  </si>
  <si>
    <t>238-06</t>
  </si>
  <si>
    <t>241-06</t>
  </si>
  <si>
    <t>240-06</t>
  </si>
  <si>
    <t>242-06</t>
  </si>
  <si>
    <t>309-06</t>
  </si>
  <si>
    <t>244-06</t>
  </si>
  <si>
    <t>311-06</t>
  </si>
  <si>
    <t>246-06</t>
  </si>
  <si>
    <t>313-06</t>
  </si>
  <si>
    <t>Partly Cloudy</t>
  </si>
  <si>
    <t>clear-night</t>
  </si>
  <si>
    <t>Clear</t>
  </si>
  <si>
    <t>clear-day</t>
  </si>
  <si>
    <t>partly-cloudy-day</t>
  </si>
  <si>
    <t>204:743</t>
  </si>
  <si>
    <t>204:233304</t>
  </si>
  <si>
    <t>204:812</t>
  </si>
  <si>
    <t>204:233378</t>
  </si>
  <si>
    <t>204:232714</t>
  </si>
  <si>
    <t>204:233340</t>
  </si>
  <si>
    <t>204:232679</t>
  </si>
  <si>
    <t>204:233282</t>
  </si>
  <si>
    <t>204:345</t>
  </si>
  <si>
    <t>204:442</t>
  </si>
  <si>
    <t>204:233308</t>
  </si>
  <si>
    <t>204:181</t>
  </si>
  <si>
    <t>204:1164</t>
  </si>
  <si>
    <t>204:70339</t>
  </si>
  <si>
    <t>204:64145</t>
  </si>
  <si>
    <t>204:72142</t>
  </si>
  <si>
    <t>204:64171</t>
  </si>
  <si>
    <t>204:630</t>
  </si>
  <si>
    <t>204:233306</t>
  </si>
  <si>
    <t>204:497</t>
  </si>
  <si>
    <t>204:233317</t>
  </si>
  <si>
    <t>204:233010</t>
  </si>
  <si>
    <t>204:167</t>
  </si>
  <si>
    <t>204:329</t>
  </si>
  <si>
    <t>204:233297</t>
  </si>
  <si>
    <t>204:129</t>
  </si>
  <si>
    <t>204:161</t>
  </si>
  <si>
    <t>204:233315</t>
  </si>
  <si>
    <t>204:233002</t>
  </si>
  <si>
    <t>204:473</t>
  </si>
  <si>
    <t>204:233325</t>
  </si>
  <si>
    <t>204:232996</t>
  </si>
  <si>
    <t>204:130</t>
  </si>
  <si>
    <t>204:233305</t>
  </si>
  <si>
    <t>204:232980</t>
  </si>
  <si>
    <t>204:233253</t>
  </si>
  <si>
    <t>204:232926</t>
  </si>
  <si>
    <t>204:211</t>
  </si>
  <si>
    <t>204:233319</t>
  </si>
  <si>
    <t>204:233004</t>
  </si>
  <si>
    <t>204:154</t>
  </si>
  <si>
    <t>204:172</t>
  </si>
  <si>
    <t>204:426</t>
  </si>
  <si>
    <t>204:233321</t>
  </si>
  <si>
    <t>204:504</t>
  </si>
  <si>
    <t>204:482</t>
  </si>
  <si>
    <t>204:163</t>
  </si>
  <si>
    <t>204:233283</t>
  </si>
  <si>
    <t>204:232985</t>
  </si>
  <si>
    <t>204:233355</t>
  </si>
  <si>
    <t>204:233026</t>
  </si>
  <si>
    <t>204:233318</t>
  </si>
  <si>
    <t>204:176</t>
  </si>
  <si>
    <t>204:242</t>
  </si>
  <si>
    <t>204:216</t>
  </si>
  <si>
    <t>204:29762</t>
  </si>
  <si>
    <t>204:477</t>
  </si>
  <si>
    <t>204:232978</t>
  </si>
  <si>
    <t>204:471</t>
  </si>
  <si>
    <t>204:233323</t>
  </si>
  <si>
    <t>204:233266</t>
  </si>
  <si>
    <t>204:232961</t>
  </si>
  <si>
    <t>204:493</t>
  </si>
  <si>
    <t>204:626</t>
  </si>
  <si>
    <t>204:232953</t>
  </si>
  <si>
    <t>204:500</t>
  </si>
  <si>
    <t>204:233347</t>
  </si>
  <si>
    <t>204:233034</t>
  </si>
  <si>
    <t>204:233028</t>
  </si>
  <si>
    <t>204:233385</t>
  </si>
  <si>
    <t>204:233090</t>
  </si>
  <si>
    <t>204:92</t>
  </si>
  <si>
    <t>204:1244</t>
  </si>
  <si>
    <t>204:398</t>
  </si>
  <si>
    <t>204:233382</t>
  </si>
  <si>
    <t>204:233080</t>
  </si>
  <si>
    <t>204:116</t>
  </si>
  <si>
    <t>204:233341</t>
  </si>
  <si>
    <t>204:233017</t>
  </si>
  <si>
    <t>204:232991</t>
  </si>
  <si>
    <t>204:180</t>
  </si>
  <si>
    <t>204:233302</t>
  </si>
  <si>
    <t>204:360</t>
  </si>
  <si>
    <t>204:233444</t>
  </si>
  <si>
    <t>204:233098</t>
  </si>
  <si>
    <t>204:233249</t>
  </si>
  <si>
    <t>204:232949</t>
  </si>
  <si>
    <t>204:138</t>
  </si>
  <si>
    <t>300:23063</t>
  </si>
  <si>
    <t>300:22342</t>
  </si>
  <si>
    <t>300:23284</t>
  </si>
  <si>
    <t>300:22030</t>
  </si>
  <si>
    <t>204:132</t>
  </si>
  <si>
    <t>300:25777</t>
  </si>
  <si>
    <t>300:24220</t>
  </si>
  <si>
    <t>300:23362</t>
  </si>
  <si>
    <t>204:480</t>
  </si>
  <si>
    <t>300:24260</t>
  </si>
  <si>
    <t>300:24214</t>
  </si>
  <si>
    <t>300:22047</t>
  </si>
  <si>
    <t>204:110</t>
  </si>
  <si>
    <t>204:385</t>
  </si>
  <si>
    <t>300:24262</t>
  </si>
  <si>
    <t>300:58690</t>
  </si>
  <si>
    <t>204:696</t>
  </si>
  <si>
    <t>300:23184</t>
  </si>
  <si>
    <t>204:122</t>
  </si>
  <si>
    <t>300:21966</t>
  </si>
  <si>
    <t>204:900</t>
  </si>
  <si>
    <t>204:423</t>
  </si>
  <si>
    <t>300:23301</t>
  </si>
  <si>
    <t>204:694</t>
  </si>
  <si>
    <t>204:990</t>
  </si>
  <si>
    <t>204:680</t>
  </si>
  <si>
    <t>204:1030</t>
  </si>
  <si>
    <t>300:58993</t>
  </si>
  <si>
    <t>204:750</t>
  </si>
  <si>
    <t>204:981</t>
  </si>
  <si>
    <t>300:58948</t>
  </si>
  <si>
    <t>300:58634</t>
  </si>
  <si>
    <t>204:689</t>
  </si>
  <si>
    <t>204:1039</t>
  </si>
  <si>
    <t>300:58999</t>
  </si>
  <si>
    <t>204:736</t>
  </si>
  <si>
    <t>300:39060</t>
  </si>
  <si>
    <t>300:27726</t>
  </si>
  <si>
    <t>300:27402</t>
  </si>
  <si>
    <t>204:1027</t>
  </si>
  <si>
    <t>300:37949</t>
  </si>
  <si>
    <t>300:30491</t>
  </si>
  <si>
    <t>204:734</t>
  </si>
  <si>
    <t>300:37624</t>
  </si>
  <si>
    <t>300:35102</t>
  </si>
  <si>
    <t>204:1006</t>
  </si>
  <si>
    <t>204:692</t>
  </si>
  <si>
    <t>300:58912</t>
  </si>
  <si>
    <t>204:703</t>
  </si>
  <si>
    <t>300:58971</t>
  </si>
  <si>
    <t>300:58660</t>
  </si>
  <si>
    <t>204:668</t>
  </si>
  <si>
    <t>204:985</t>
  </si>
  <si>
    <t>204:964</t>
  </si>
  <si>
    <t>300:58608</t>
  </si>
  <si>
    <t>204:682</t>
  </si>
  <si>
    <t>300:58641</t>
  </si>
  <si>
    <t>300:58922</t>
  </si>
  <si>
    <t>300:58950</t>
  </si>
  <si>
    <t>300:58609</t>
  </si>
  <si>
    <t>300:58929</t>
  </si>
  <si>
    <t>300:29993</t>
  </si>
  <si>
    <t>300:58982</t>
  </si>
  <si>
    <t>300:22783</t>
  </si>
  <si>
    <t>300:29009</t>
  </si>
  <si>
    <t>300:58397</t>
  </si>
  <si>
    <t>300:58119</t>
  </si>
  <si>
    <t>300:58624</t>
  </si>
  <si>
    <t>300:58373</t>
  </si>
  <si>
    <t>start /low /b %USERPROFILE%\Documents\GitHub\eaglep3\Utilities\DownloadLogsFromS3.py --loco 4030 --day 2017-01-06</t>
  </si>
  <si>
    <t>start /low /b %USERPROFILE%\Documents\GitHub\eaglep3\Utilities\DownloadLogsFromS3.py --loco 4004 --day 2017-01-06</t>
  </si>
  <si>
    <t>start /low /b %USERPROFILE%\Documents\GitHub\eaglep3\Utilities\DownloadLogsFromS3.py --loco 4003 --day 1969-12-31</t>
  </si>
  <si>
    <t>start /low /b %USERPROFILE%\Documents\GitHub\eaglep3\Utilities\DownloadLogsFromS3.py --loco 4027 --day 2017-01-06</t>
  </si>
  <si>
    <t>start /low /b %USERPROFILE%\Documents\GitHub\eaglep3\Utilities\DownloadLogsFromS3.py --loco 4042 --day 1969-12-31</t>
  </si>
  <si>
    <t>start /low /b %USERPROFILE%\Documents\GitHub\eaglep3\Utilities\DownloadLogsFromS3.py --loco 4014 --day 2017-01-06</t>
  </si>
  <si>
    <t>start /low /b %USERPROFILE%\Documents\GitHub\eaglep3\Utilities\DownloadLogsFromS3.py --loco 4013 --day 2017-01-06</t>
  </si>
  <si>
    <t>start /low /b %USERPROFILE%\Documents\GitHub\eaglep3\Utilities\DownloadLogsFromS3.py --loco 4009 --day 2017-01-07</t>
  </si>
  <si>
    <t>start /low /b %USERPROFILE%\Documents\GitHub\eaglep3\Utilities\DownloadLogsFromS3.py --loco 4028 --day 2017-01-06</t>
  </si>
  <si>
    <t>start /low /b %USERPROFILE%\Documents\GitHub\eaglep3\Utilities\DownloadLogsFromS3.py --loco 4018 --day 2017-01-07</t>
  </si>
  <si>
    <t>start /low /b %USERPROFILE%\Documents\GitHub\eaglep3\Utilities\DownloadLogsFromS3.py --loco 4010 --day 2017-01-06</t>
  </si>
  <si>
    <t>start /low /b %USERPROFILE%\Documents\GitHub\eaglep3\Utilities\DownloadLogsFromS3.py --loco 4002 --day 2017-01-06</t>
  </si>
  <si>
    <t>start /low /b %USERPROFILE%\Documents\GitHub\eaglep3\Utilities\DownloadLogsFromS3.py --loco 4032 --day 2017-01-06</t>
  </si>
  <si>
    <t>start /low /b %USERPROFILE%\Documents\GitHub\eaglep3\Utilities\DownloadLogsFromS3.py --loco 4001 --day 2017-01-06</t>
  </si>
  <si>
    <t>start /low /b %USERPROFILE%\Documents\GitHub\eaglep3\Utilities\DownloadLogsFromS3.py --loco 4010 --day 2017-01-07</t>
  </si>
  <si>
    <t>start /low /b %USERPROFILE%\Documents\GitHub\eaglep3\Utilities\DownloadLogsFromS3.py --loco 4028 --day 2017-01-07</t>
  </si>
  <si>
    <t>start /low /b %USERPROFILE%\Documents\GitHub\eaglep3\Utilities\DownloadLogsFromS3.py --loco 4017 --day 2017-01-07</t>
  </si>
  <si>
    <t>start /low /b %USERPROFILE%\Documents\GitHub\eaglep3\Utilities\DownloadLogsFromS3.py --loco 4029 --day 2017-01-06</t>
  </si>
  <si>
    <t>start /low /b %USERPROFILE%\Documents\GitHub\eaglep3\Utilities\DownloadLogsFromS3.py --loco 4018 --day 2017-01-06</t>
  </si>
  <si>
    <t>start /low /b %USERPROFILE%\Documents\GitHub\eaglep3\Utilities\DownloadLogsFromS3.py --loco 4009 --day 2017-01-06</t>
  </si>
  <si>
    <t>start /low /b %USERPROFILE%\Documents\GitHub\eaglep3\Utilities\DownloadLogsFromS3.py --loco 4027 --day 2017-01-07</t>
  </si>
  <si>
    <t>start /low /b %USERPROFILE%\Documents\GitHub\eaglep3\Utilities\DownloadLogsFromS3.py --loco 4002 --day 2017-01-07</t>
  </si>
  <si>
    <t>start /low /b %USERPROFILE%\Documents\GitHub\eaglep3\Utilities\DownloadLogsFromS3.py --loco 4042 --day 2017-01-07</t>
  </si>
  <si>
    <t>False occupancy at 6.4-6.83</t>
  </si>
  <si>
    <t>Cancelled - uncoupling issues</t>
  </si>
  <si>
    <t>Onboard in-route failure</t>
  </si>
  <si>
    <t>Cancelled - UP Gate issues</t>
  </si>
  <si>
    <t>DUS 4N/22N STOP</t>
  </si>
  <si>
    <t>Broken rail</t>
  </si>
  <si>
    <t>CRMF POCKET 30-2T 2S STOP, cleared afterward</t>
  </si>
  <si>
    <t>SYS :2017/01/06 12:55:05.971:ENFORCEMENT:Predictive Enforcement Action:  Target Number: 00001006  Target Speed:   0.0  Current Speed:   2.7</t>
  </si>
  <si>
    <t>SYS :2017/01/06 12:55:06.339:ENFORCEMENT:Predictive Enforcement Action:  Target Number: 00001006  Target Speed:   0.0  Current Speed:   2.7</t>
  </si>
  <si>
    <t>SYS :2017/01/06 12:55:06.530:ENFORCEMENT:Predictive Enforcement Action:  Target Number: 00001006  Target Speed:   0.0  Current Speed:   2.7</t>
  </si>
  <si>
    <t>SYS :2017/01/06 13:20:25.179:ENFORCEMENT:Predictive Enforcement Action:  Target Number: 00001008  Target Speed:   0.0  Current Speed:   6.7</t>
  </si>
  <si>
    <t>SYS :2017/01/06 13:20:25.384:ENFORCEMENT:Predictive Enforcement Action:  Target Number: 00001008  Target Speed:   0.0  Current Speed:   6.7</t>
  </si>
  <si>
    <t>SYS :2017/01/06 13:20:25.751:ENFORCEMENT:Predictive Enforcement Action:  Target Number: 00001008  Target Speed:   0.0  Current Speed:   6.7</t>
  </si>
  <si>
    <t>SYS :2017/01/06 13:45:58.816:ENFORCEMENT:Predictive Enforcement Action:  Target Number: 00010062  Target Speed:  60.0  Current Speed:  69.5</t>
  </si>
  <si>
    <t>SYS :2017/01/06 13:46:00.533:ENFORCEMENT:Predictive Enforcement Action:  Target Number: 00010061  Target Speed:  60.0  Current Speed:  69.0</t>
  </si>
  <si>
    <t>SYS :2017/01/06 15:37:03.138:ENFORCEMENT:Predictive Enforcement Action:  Target Number: 00006057  Target Speed:   0.0  Current Speed:   7.3</t>
  </si>
  <si>
    <t>SYS :2017/01/06 15:37:03.648:ENFORCEMENT:Predictive Enforcement Action:  Target Number: 00006057  Target Speed:   0.0  Current Speed:   7.3</t>
  </si>
  <si>
    <t>SYS :2017/01/06 16:56:48.134:ENFORCEMENT:Predictive Enforcement Action:  Target Number: 00010060  Target Speed:  40.0  Current Speed:  57.3</t>
  </si>
  <si>
    <t>SYS :2017/01/06 16:56:48.729:ENFORCEMENT:Predictive Enforcement Action:  Target Number: 00010060  Target Speed:  40.0  Current Speed:  57.2</t>
  </si>
  <si>
    <t>SYS :2017/01/06 16:56:48.847:ENFORCEMENT:Predictive Enforcement Action:  Target Number: 00010060  Target Speed:  40.0  Current Speed:  57.2</t>
  </si>
  <si>
    <t>SYS :2017/01/06 17:23:23.028:ENFORCEMENT:Predictive Enforcement Action:  Target Number: 00001003  Target Speed:   0.0  Current Speed:   5.4</t>
  </si>
  <si>
    <t>SYS :2017/01/06 17:23:28.500:ENFORCEMENT:Predictive Enforcement Action:  Target Number: 00001008  Target Speed:   0.0  Current Speed:   5.7</t>
  </si>
  <si>
    <t>SYS :2017/01/06 17:23:29.180:ENFORCEMENT:Predictive Enforcement Action:  Target Number: 00001008  Target Speed:   0.0  Current Speed:   5.7</t>
  </si>
  <si>
    <t>SYS :2017/01/06 17:42:44.271:ENFORCEMENT:Predictive Enforcement Action:  Target Number: 000100A8  Target Speed:  30.0  Current Speed:  41.4</t>
  </si>
  <si>
    <t>SYS :2017/01/06 17:42:44.331:ENFORCEMENT:Predictive Enforcement Action:  Target Number: 000100A8  Target Speed:  30.0  Current Speed:  41.4</t>
  </si>
  <si>
    <t>SYS :2017/01/06 17:42:44.492:ENFORCEMENT:Predictive Enforcement Action:  Target Number: 000100A8  Target Speed:  30.0  Current Speed:  41.3</t>
  </si>
  <si>
    <t>SYS :2017/01/06 17:52:58.582:ENFORCEMENT:Predictive Enforcement Action:  Target Number: 00001006  Target Speed:   0.0  Current Speed:  17.1</t>
  </si>
  <si>
    <t>SYS :2017/01/06 17:52:58.657:ENFORCEMENT:Predictive Enforcement Action:  Target Number: 00001009  Target Speed:   0.0  Current Speed:  17.1</t>
  </si>
  <si>
    <t>SYS :2017/01/06 17:52:58.911:ENFORCEMENT:Predictive Enforcement Action:  Target Number: 00001009  Target Speed:   0.0  Current Speed:  17.1</t>
  </si>
  <si>
    <t>SYS :2017/01/06 17:53:59.910:ENFORCEMENT:Predictive Enforcement Action:  Target Number: 00001009  Target Speed:   0.0  Current Speed:   5.1</t>
  </si>
  <si>
    <t>SYS :2017/01/06 18:35:07.746:ENFORCEMENT:Predictive Enforcement Action:  Target Number: 0000100F  Target Speed:   0.0  Current Speed:   6.8</t>
  </si>
  <si>
    <t>SYS :2017/01/06 18:35:08.170:ENFORCEMENT:Predictive Enforcement Action:  Target Number: 0000100F  Target Speed:   0.0  Current Speed:   6.8</t>
  </si>
  <si>
    <t>SYS :2017/01/06 19:00:44.828:ENFORCEMENT:Predictive Enforcement Action:  Target Number: 00006161  Target Speed:   0.0  Current Speed:  64.5</t>
  </si>
  <si>
    <t>SYS :2017/01/06 19:00:44.858:ENFORCEMENT:Predictive Enforcement Action:  Target Number: 00006161  Target Speed:   0.0  Current Speed:  64.5</t>
  </si>
  <si>
    <t>SYS :2017/01/06 19:00:45.100:ENFORCEMENT:Predictive Enforcement Action:  Target Number: 00006156  Target Speed:   0.0  Current Speed:  64.5</t>
  </si>
  <si>
    <t>SYS :2017/01/06 20:00:46.611:ENFORCEMENT:Predictive Enforcement Action:  Target Number: 0000616B  Target Speed:   0.0  Current Speed:  77.1</t>
  </si>
  <si>
    <t>SYS :2017/01/06 20:00:46.747:ENFORCEMENT:Predictive Enforcement Action:  Target Number: 0000614C  Target Speed:   0.0  Current Speed:  77.1</t>
  </si>
  <si>
    <t>SYS :2017/01/06 20:00:46.944:ENFORCEMENT:Predictive Enforcement Action:  Target Number: 00006179  Target Speed:   0.0  Current Speed:  77.1</t>
  </si>
  <si>
    <t>SYS :2017/01/06 21:20:04.262:ENFORCEMENT:Predictive Enforcement Action:  Target Number: 00001011  Target Speed:   0.0  Current Speed:   5.7</t>
  </si>
  <si>
    <t>SYS :2017/01/06 21:20:04.321:ENFORCEMENT:Predictive Enforcement Action:  Target Number: 00001011  Target Speed:   0.0  Current Speed:   5.6</t>
  </si>
  <si>
    <t>SYS :2017/01/06 21:20:04.473:ENFORCEMENT:Predictive Enforcement Action:  Target Number: 00001011  Target Speed:   0.0  Current Speed:   5.6</t>
  </si>
  <si>
    <t>SYS :2017/01/06 21:36:42.966:ENFORCEMENT:Predictive Enforcement Action:  Target Number: 0000100B  Target Speed:   0.0  Current Speed:   4.6</t>
  </si>
  <si>
    <t>SYS :2017/01/06 21:36:43.408:ENFORCEMENT:Predictive Enforcement Action:  Target Number: 0000100B  Target Speed:   0.0  Current Speed:   4.6</t>
  </si>
  <si>
    <t>SYS :2017/01/06 21:36:43.448:ENFORCEMENT:Predictive Enforcement Action:  Target Number: 0000100B  Target Speed:   0.0  Current Speed:   4.6</t>
  </si>
  <si>
    <t>SYS :2017/01/06 22:57:06.658:ENFORCEMENT:Predictive Enforcement Action:  Target Number: 00001010  Target Speed:   0.0  Current Speed:   2.9</t>
  </si>
  <si>
    <t>SYS :2017/01/06 22:57:06.816:ENFORCEMENT:Predictive Enforcement Action:  Target Number: 00001008  Target Speed:   0.0  Current Speed:   2.9</t>
  </si>
  <si>
    <t>SYS :2017/01/06 22:57:07.132:ENFORCEMENT:Predictive Enforcement Action:  Target Number: 00001010  Target Speed:   0.0  Current Speed:   2.8</t>
  </si>
  <si>
    <t>SYS :2017/01/07 00:06:24.041:ENFORCEMENT:Predictive Enforcement Action:  Target Number: 0000100E  Target Speed:   0.0  Current Speed:  14.8</t>
  </si>
  <si>
    <t>SYS :2017/01/07 00:06:24.061:ENFORCEMENT:Predictive Enforcement Action:  Target Number: 0000100E  Target Speed:   0.0  Current Speed:  14.8</t>
  </si>
  <si>
    <t>SYS :2017/01/07 00:44:44.111:ENFORCEMENT:Predictive Enforcement Action:  Target Number: 0000100F  Target Speed:   0.0  Current Speed:   6.1</t>
  </si>
  <si>
    <t>SYS :2017/01/07 00:44:44.699:ENFORCEMENT:Predictive Enforcement Action:  Target Number: 0000100F  Target Speed:   0.0  Current Speed:   6.1</t>
  </si>
  <si>
    <t>SYS :2017/01/07 00:44:44.831:ENFORCEMENT:Predictive Enforcement Action:  Target Number: 0000100F  Target Speed:   0.0  Current Speed:   6.1</t>
  </si>
  <si>
    <t>SYS :2017/01/07 01:06:16.534:ENFORCEMENT:Predictive Enforcement Action:  Target Number: 00001010  Target Speed:   0.0  Current Speed:   9.8</t>
  </si>
  <si>
    <t>SYS :2017/01/07 01:06:17.032:ENFORCEMENT:Predictive Enforcement Action:  Target Number: 00001010  Target Speed:   0.0  Current Speed:   9.6</t>
  </si>
  <si>
    <t>SYS :2017/01/07 01:06:17.061:ENFORCEMENT:Predictive Enforcement Action:  Target Number: 00001010  Target Speed:   0.0  Current Speed:   9.6</t>
  </si>
  <si>
    <t>SYS :2017/01/07 01:14:04.032:ENFORCEMENT:Predictive Enforcement Action:  Target Number: 0000621D  Target Speed:   0.0  Current Speed:  67.9</t>
  </si>
  <si>
    <t>SYS :2017/01/07 01:14:04.048:ENFORCEMENT:Predictive Enforcement Action:  Target Number: 00006209  Target Speed:   0.0  Current Speed:  67.9</t>
  </si>
  <si>
    <t>SYS :2017/01/07 01:14:04.624:ENFORCEMENT:Predictive Enforcement Action:  Target Number: 00006204  Target Speed:   0.0  Current Speed:  67.9</t>
  </si>
  <si>
    <t>SYS :2017/01/07 01:15:19.469:ENFORCEMENT:Predictive Enforcement Action:  Target Number: 0000620E  Target Speed:   0.0  Current Speed:  36.3</t>
  </si>
  <si>
    <t>SYS :2017/01/07 01:15:19.866:ENFORCEMENT:Predictive Enforcement Action:  Target Number: 0000622B  Target Speed:   0.0  Current Speed:  35.0</t>
  </si>
  <si>
    <t>SYS :2017/01/07 01:15:20.421:ENFORCEMENT:Predictive Enforcement Action:  Target Number: 0000620A  Target Speed:   0.0  Current Speed:  36.3</t>
  </si>
  <si>
    <t>SYS :2017/01/07 02:01:30.746:ENFORCEMENT:Predictive Enforcement Action:  Target Number: 0001014D  Target Speed:  55.0  Current Speed:  78.8</t>
  </si>
  <si>
    <t>SYS :2017/01/07 02:41:42.426:ENFORCEMENT:Predictive Enforcement Action:  Target Number: 000170C5  Target Speed:  47.0  Current Speed:  54.6</t>
  </si>
  <si>
    <t>SYS :2017/01/07 02:41:42.466:ENFORCEMENT:Predictive Enforcement Action:  Target Number: 000170C5  Target Speed:  47.0  Current Speed:  54.4</t>
  </si>
  <si>
    <t>SYS :2017/01/07 02:41:43.021:ENFORCEMENT:Predictive Enforcement Action:  Target Number: 000170C5  Target Speed:  47.0  Current Speed:  54.4</t>
  </si>
  <si>
    <t>SYS :2017/01/07 02:48:59.246:ENFORCEMENT:Predictive Enforcement Action:  Target Number: 00001019  Target Speed:   0.0  Current Speed:   4.1</t>
  </si>
  <si>
    <t>SYS :2017/01/07 02:48:59.321:ENFORCEMENT:Predictive Enforcement Action:  Target Number: 0000101A  Target Speed:   0.0  Current Speed:   4.1</t>
  </si>
  <si>
    <t>SYS :2017/01/07 02:48:59.476:ENFORCEMENT:Predictive Enforcement Action:  Target Number: 0000101A  Target Speed:   0.0  Current Speed:   4.1</t>
  </si>
  <si>
    <t>SYS :2017/01/07 03:37:08.935:ENFORCEMENT:Predictive Enforcement Action:  Target Number: 00001016  Target Speed:   0.0  Current Speed:  14.0</t>
  </si>
  <si>
    <t>SYS :2017/01/07 03:37:09.108:ENFORCEMENT:Predictive Enforcement Action:  Target Number: 00001004  Target Speed:   0.0  Current Speed:  14.0</t>
  </si>
  <si>
    <t>SYS :2017/01/07 03:37:09.592:ENFORCEMENT:Predictive Enforcement Action:  Target Number: 00001016  Target Speed:   0.0  Current Speed:  14.0</t>
  </si>
  <si>
    <t>SYS :2017/01/07 03:38:55.137:ENFORCEMENT:Reactive Enforcement Action:  Target Number: 000101A5  Target Speed:  20.0  Current Speed:  25.1</t>
  </si>
  <si>
    <t>SYS :2017/01/07 03:38:55.322:ENFORCEMENT:Reactive Enforcement Action:  Target Number: 000101A3  Target Speed:  20.0  Current Speed:  25.1</t>
  </si>
  <si>
    <t>SYS :2017/01/07 04:03:34.098:ENFORCEMENT:Predictive Enforcement Action:  Target Number: 0001015E  Target Speed:  40.0  Current Speed:  49.3</t>
  </si>
  <si>
    <t>SYS :2017/01/07 08:06:34.053:ENFORCEMENT:Predictive Enforcement Action:  Target Number: 00001002  Target Speed:   0.0  Current Speed:   2.8</t>
  </si>
  <si>
    <t>SYS :2017/01/07 08:06:34.299:ENFORCEMENT:Predictive Enforcement Action:  Target Number: 00001002  Target Speed:   0.0  Current Speed:   2.8</t>
  </si>
  <si>
    <t>Banner without braking</t>
  </si>
  <si>
    <t>Wi-MAX data drop, did not cause enforcement</t>
  </si>
  <si>
    <t>Braking without banner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</si>
</sst>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4"/>
  <sheetViews>
    <sheetView tabSelected="1" workbookViewId="0">
      <selection activeCell="R101" sqref="R101"/>
    </sheetView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4.4257812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2" customWidth="1"/>
    <col min="23" max="23" width="3.85546875" style="20" customWidth="1"/>
    <col min="24" max="24" width="6.5703125" style="171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80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61"/>
      <c r="V1" s="37"/>
      <c r="W1" s="38"/>
      <c r="X1" s="165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80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42741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42741</v>
      </c>
      <c r="S2" s="68"/>
      <c r="T2" s="69"/>
      <c r="U2" s="162"/>
      <c r="V2" s="90" t="s">
        <v>8</v>
      </c>
      <c r="W2" s="71"/>
      <c r="X2" s="168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80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3"/>
      <c r="V3" s="39" t="s">
        <v>11</v>
      </c>
      <c r="W3" s="40" t="s">
        <v>12</v>
      </c>
      <c r="X3" s="169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80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142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37</v>
      </c>
      <c r="T4" s="41"/>
      <c r="U4" s="164"/>
      <c r="V4" s="42" t="s">
        <v>15</v>
      </c>
      <c r="W4" s="40" t="s">
        <v>15</v>
      </c>
      <c r="X4" s="169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80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COUNTIFS($N$13:$N$9351,"&gt;0",$AG$13:$AG$9351,I1)</f>
        <v>137</v>
      </c>
      <c r="K5" s="41"/>
      <c r="L5" s="41"/>
      <c r="M5" s="42">
        <f>AVERAGEIFS($N$13:$N$9351,$AG$13:$AG$9351,I1)</f>
        <v>40.372384428157112</v>
      </c>
      <c r="N5" s="40">
        <f t="array" ref="N5">MIN(IF($AG$13:$AG$9351=I1,IF(ISNUMBER($N$13:$N$9351),IF($N$13:$N$9351&gt;0,$N$13:$N$9351))))</f>
        <v>34.849999995203689</v>
      </c>
      <c r="O5" s="3">
        <f t="array" ref="O5">MAX(IF($AG$13:$AG$9351=I1,IF(ISNUMBER($N$13:$N$9351),IF($N$13:$N$9351&gt;0,$N$13:$N$9351))))</f>
        <v>60.216666661435738</v>
      </c>
      <c r="P5" s="2"/>
      <c r="R5" s="76" t="s">
        <v>17</v>
      </c>
      <c r="S5" s="52">
        <f>COUNTIFS($N$13:$N$9351,"&gt;0",$AG$13:$AG$9351,R1)</f>
        <v>31</v>
      </c>
      <c r="T5" s="41"/>
      <c r="U5" s="164"/>
      <c r="V5" s="42">
        <f>AVERAGEIFS($N$13:$N$9351,$AG$13:$AG$9351,R1)</f>
        <v>16.413978495514922</v>
      </c>
      <c r="W5" s="40">
        <f t="array" ref="W5">MIN(IF($AG$13:$AG$9351=R1,IF(ISNUMBER($N$13:$N$9351),IF($N$13:$N$9351&gt;0,$N$13:$N$9351))))</f>
        <v>14.683333339635283</v>
      </c>
      <c r="X5" s="169">
        <f t="array" ref="X5">MAX(IF($AG$13:$AG$9351=R1,IF(ISNUMBER($N$13:$N$9351),IF($N$13:$N$9351&gt;0,$N$13:$N$9351))))</f>
        <v>20.700000008800998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80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COUNT($O$13:$O$130)</f>
        <v>0</v>
      </c>
      <c r="K6" s="41"/>
      <c r="L6" s="41"/>
      <c r="M6" s="42">
        <f>IFERROR(AVERAGE($O$13:$O$130),0)</f>
        <v>0</v>
      </c>
      <c r="N6" s="40">
        <f>MIN($O$13:$O$130)</f>
        <v>0</v>
      </c>
      <c r="O6" s="3">
        <f>MAX($O$13:$O$130)</f>
        <v>0</v>
      </c>
      <c r="P6" s="2"/>
      <c r="R6" s="77" t="s">
        <v>43</v>
      </c>
      <c r="S6" s="52">
        <f>COUNT($O$13:$O$130)</f>
        <v>0</v>
      </c>
      <c r="T6" s="41"/>
      <c r="U6" s="164"/>
      <c r="V6" s="42">
        <f>IFERROR(AVERAGE($O$13:$O$130),0)</f>
        <v>0</v>
      </c>
      <c r="W6" s="40">
        <f>MIN($O$13:$O$130)</f>
        <v>0</v>
      </c>
      <c r="X6" s="169">
        <f>MAX($O$13:$O$130)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80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COUNTIFS($P$13:$P$9351,"&gt;0",$AG$13:$AG$9351,I1)</f>
        <v>5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COUNTIFS($P$13:$P$9351,"&gt;0",$AG$13:$AG$9351,R1)</f>
        <v>6</v>
      </c>
      <c r="T7" s="41"/>
      <c r="U7" s="164"/>
      <c r="V7" s="42" t="s">
        <v>15</v>
      </c>
      <c r="W7" s="40" t="s">
        <v>15</v>
      </c>
      <c r="X7" s="169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80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137</v>
      </c>
      <c r="K8" s="41"/>
      <c r="L8" s="41"/>
      <c r="M8" s="42">
        <f>M5</f>
        <v>40.372384428157112</v>
      </c>
      <c r="N8" s="40">
        <f>N5</f>
        <v>34.849999995203689</v>
      </c>
      <c r="O8" s="3">
        <f>O5</f>
        <v>60.216666661435738</v>
      </c>
      <c r="P8" s="2"/>
      <c r="R8" s="76" t="s">
        <v>16</v>
      </c>
      <c r="S8" s="52">
        <f>S5</f>
        <v>31</v>
      </c>
      <c r="T8" s="41"/>
      <c r="U8" s="164"/>
      <c r="V8" s="42">
        <f>V5</f>
        <v>16.413978495514922</v>
      </c>
      <c r="W8" s="40">
        <f>W5</f>
        <v>14.683333339635283</v>
      </c>
      <c r="X8" s="169">
        <f>X5</f>
        <v>20.700000008800998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80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0.96478873239436624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0.83783783783783783</v>
      </c>
      <c r="T9" s="43"/>
      <c r="U9" s="161"/>
      <c r="V9" s="79"/>
      <c r="W9" s="38"/>
      <c r="X9" s="170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80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5"/>
      <c r="V10" s="91"/>
      <c r="W10" s="20"/>
      <c r="X10" s="171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80"/>
    </row>
    <row r="11" spans="1:91" ht="16.5" thickBot="1" x14ac:dyDescent="0.3">
      <c r="A11" s="189" t="str">
        <f>"Eagle P3 System Performance - "&amp;TEXT(Variables!A2,"yyyy-mm-dd")</f>
        <v>Eagle P3 System Performance - 2017-01-06</v>
      </c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S11" s="66">
        <f>AVERAGE(S13:S94)</f>
        <v>1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6" t="s">
        <v>65</v>
      </c>
      <c r="V12" s="93" t="s">
        <v>45</v>
      </c>
      <c r="W12" s="48" t="s">
        <v>23</v>
      </c>
      <c r="X12" s="172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148</v>
      </c>
      <c r="AJ12" s="48" t="s">
        <v>149</v>
      </c>
      <c r="AK12" s="48" t="s">
        <v>122</v>
      </c>
      <c r="AL12" s="48" t="s">
        <v>150</v>
      </c>
      <c r="AM12" s="181" t="s">
        <v>304</v>
      </c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476</v>
      </c>
      <c r="B13" s="7">
        <v>4016</v>
      </c>
      <c r="C13" s="22" t="s">
        <v>203</v>
      </c>
      <c r="D13" s="22" t="s">
        <v>663</v>
      </c>
      <c r="E13" s="13">
        <v>42741.124849537038</v>
      </c>
      <c r="F13" s="13">
        <v>42741.135613425926</v>
      </c>
      <c r="G13" s="7">
        <v>2</v>
      </c>
      <c r="H13" s="22" t="s">
        <v>664</v>
      </c>
      <c r="I13" s="13">
        <v>42741.160925925928</v>
      </c>
      <c r="J13" s="7">
        <v>0</v>
      </c>
      <c r="K13" s="105" t="str">
        <f t="shared" ref="K13:K76" si="0">IF(ISEVEN(B13),(B13-1)&amp;"/"&amp;B13,B13&amp;"/"&amp;(B13+1))</f>
        <v>4015/4016</v>
      </c>
      <c r="L13" s="22" t="str">
        <f>VLOOKUP(A13,'Trips&amp;Operators'!$C$1:$G$99999,5,FALSE)</f>
        <v>ISHMAEL JOSEPH</v>
      </c>
      <c r="M13" s="6">
        <f t="shared" ref="M13:M76" si="1">I13-F13</f>
        <v>2.531250000174623E-2</v>
      </c>
      <c r="N13" s="7">
        <f t="shared" ref="N13:N23" si="2">24*60*SUM($M13:$M13)</f>
        <v>36.450000002514571</v>
      </c>
      <c r="O13" s="7"/>
      <c r="P13" s="7"/>
      <c r="Q13" s="23"/>
      <c r="R13" s="23"/>
      <c r="S13" s="32">
        <f t="shared" ref="S13:S23" si="3">SUM(U13:U13)/IF(AG13="EC",12,1)</f>
        <v>1</v>
      </c>
      <c r="T13" s="47" t="str">
        <f t="shared" ref="T13:T44" si="4">IF(ISEVEN(LEFT(AD13,4)),"Southbound","NorthBound")</f>
        <v>NorthBound</v>
      </c>
      <c r="U13" s="16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https://search-rtdc-monitor-bjffxe2xuh6vdkpspy63sjmuny.us-east-1.es.amazonaws.com/_plugin/kibana/#/discover/Steve-Slow-Train-Analysis-(2080s-and-2083s)?_g=(refreshInterval:(display:Off,section:0,value:0),time:(from:'2017-01-06 01:59:47-700',mode:absolute,to:'2017-01-06 04:51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" s="49" t="str">
        <f t="shared" ref="W13:W76" si="6">IF(AA13&lt;IF(AG13="EC",23,5.65),"Y","N")</f>
        <v>N</v>
      </c>
      <c r="X13" s="173" t="e">
        <f t="shared" ref="X13:X44" si="7">VALUE(LEFT(AD13,4))-VALUE(LEFT(AD12,4))</f>
        <v>#VALUE!</v>
      </c>
      <c r="Y13" s="64">
        <f t="shared" ref="Y13:Y76" si="8">RIGHT(D13,LEN(D13)-4)/10000</f>
        <v>7.4300000000000005E-2</v>
      </c>
      <c r="Z13" s="64">
        <f t="shared" ref="Z13:Z44" si="9">RIGHT(H13,LEN(H13)-4)/10000</f>
        <v>23.330400000000001</v>
      </c>
      <c r="AA13" s="64">
        <f t="shared" ref="AA13:AA76" si="10">ABS(Z13-Y13)</f>
        <v>23.2561</v>
      </c>
      <c r="AB13" s="61"/>
      <c r="AC13" s="57"/>
      <c r="AD13" s="58" t="str">
        <f t="shared" ref="AD13:AD76" si="11">IF(LEN(A13)=6,"0"&amp;A13,A13)</f>
        <v>0101-06</v>
      </c>
      <c r="AE13" s="87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s3://rtdc.mdm.uploadarchive.raw/RTDC4016/ "%USERPROFILE%\AppData\Local\Temp\OnboardLogs"\RTDC4016\2017-01-06 --exclude "*" --recursive --include "*20170106*" &amp; "%USERPROFILE%\Documents\GitHub\mrs-test-scripts\Headless Mode &amp; Sideloading\WalkAndUnGZ.bat" "%USERPROFILE%\AppData\Local\Temp\OnboardLogs"\RTDC4016\2017-01-06 &amp; aws s3 cp s3://rtdc.mdm.uploadarchive.raw/RTDC4016/ "%USERPROFILE%\AppData\Local\Temp\OnboardLogs"\RTDC4016\2017-01-07 --exclude "*" --recursive --include "*20170107*" &amp; "%USERPROFILE%\Documents\GitHub\mrs-test-scripts\Headless Mode &amp; Sideloading\WalkAndUnGZ.bat" "%USERPROFILE%\AppData\Local\Temp\OnboardLogs"\RTDC4016\2017-01-07</v>
      </c>
      <c r="AF13" s="84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/stypes="app*4016*20170106*"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88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101-06 --locoid 4016 --swversion DE.1.0.8.0 --startMP 204:743 --initTime 2017-01-06T02:59:47 --startdatetime 2017-01-06T03:15:17 --delay 2 --endMP 204:233304 --enddatetime 2017-01-06T03:51:44 --enforcementcount 0 &gt;&gt;C:\Users\stu\Documents\GitHub\eaglep3-reporting\EC\2017-01-06-refined-times.txt</v>
      </c>
      <c r="AI13" s="115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{"issue":{"subject":"","project_id":79,"tracker_id":40,"status_id":1,"priority_id":2,"assigned_to_id":23,"start_date":"2017-01-06","description":"","custom_fields":[{"id":1,"name":"Subdivision","value":"EC"},{"id":4,"name":"Milepost","value":"23.3304"},{"id":17,"name":"Train ID","value":"101-06"},{"id":16,"name":"Locomotive ID","value":"4016"},{"id":130,"name":"Impact","value":""},{"id":150,"name":"Time of Event (Mountain Time)","value":"03:51:44"},{"id":151,"name":"Denver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80" t="str">
        <f t="shared" ref="AM13" si="17">"start /low /b "&amp;dls3logs&amp;" --loco "&amp;B13&amp;" --day "&amp;TEXT(F13,"YYYY-MM-DD")</f>
        <v>start /low /b %USERPROFILE%\Documents\GitHub\eaglep3\Utilities\DownloadLogsFromS3.py --loco 4016 --day 2017-01-06</v>
      </c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482</v>
      </c>
      <c r="B14" s="7">
        <v>4010</v>
      </c>
      <c r="C14" s="22" t="s">
        <v>203</v>
      </c>
      <c r="D14" s="22" t="s">
        <v>361</v>
      </c>
      <c r="E14" s="13">
        <v>42741.164675925924</v>
      </c>
      <c r="F14" s="13">
        <v>42741.174490740741</v>
      </c>
      <c r="G14" s="7">
        <v>1</v>
      </c>
      <c r="H14" s="22" t="s">
        <v>279</v>
      </c>
      <c r="I14" s="13">
        <v>42741.204918981479</v>
      </c>
      <c r="J14" s="7">
        <v>0</v>
      </c>
      <c r="K14" s="105" t="str">
        <f t="shared" si="0"/>
        <v>4009/4010</v>
      </c>
      <c r="L14" s="22" t="str">
        <f>VLOOKUP(A14,'Trips&amp;Operators'!$C$1:$G$99999,5,FALSE)</f>
        <v>ISHMAEL JOSEPH</v>
      </c>
      <c r="M14" s="6">
        <f t="shared" si="1"/>
        <v>3.0428240737819578E-2</v>
      </c>
      <c r="N14" s="7">
        <f t="shared" si="2"/>
        <v>43.816666662460193</v>
      </c>
      <c r="O14" s="7"/>
      <c r="P14" s="7"/>
      <c r="Q14" s="23"/>
      <c r="R14" s="23"/>
      <c r="S14" s="32">
        <f t="shared" si="3"/>
        <v>1</v>
      </c>
      <c r="T14" s="47" t="str">
        <f t="shared" si="4"/>
        <v>Southbound</v>
      </c>
      <c r="U14" s="16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02:57:08-700',mode:absolute,to:'2017-01-06 05:55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" s="49" t="str">
        <f t="shared" si="6"/>
        <v>N</v>
      </c>
      <c r="X14" s="173">
        <f t="shared" si="7"/>
        <v>1</v>
      </c>
      <c r="Y14" s="64">
        <f t="shared" si="8"/>
        <v>23.2666</v>
      </c>
      <c r="Z14" s="64">
        <f t="shared" si="9"/>
        <v>1.52E-2</v>
      </c>
      <c r="AA14" s="64">
        <f t="shared" si="10"/>
        <v>23.2514</v>
      </c>
      <c r="AB14" s="61"/>
      <c r="AC14" s="57"/>
      <c r="AD14" s="58" t="str">
        <f t="shared" si="11"/>
        <v>0102-06</v>
      </c>
      <c r="AE14" s="87" t="str">
        <f t="shared" si="12"/>
        <v>aws s3 cp s3://rtdc.mdm.uploadarchive.raw/RTDC4010/ "%USERPROFILE%\AppData\Local\Temp\OnboardLogs"\RTDC4010\2017-01-06 --exclude "*" --recursive --include "*20170106*" &amp; "%USERPROFILE%\Documents\GitHub\mrs-test-scripts\Headless Mode &amp; Sideloading\WalkAndUnGZ.bat" "%USERPROFILE%\AppData\Local\Temp\OnboardLogs"\RTDC4010\2017-01-06 &amp; aws s3 cp s3://rtdc.mdm.uploadarchive.raw/RTDC4010/ "%USERPROFILE%\AppData\Local\Temp\OnboardLogs"\RTDC4010\2017-01-07 --exclude "*" --recursive --include "*20170107*" &amp; "%USERPROFILE%\Documents\GitHub\mrs-test-scripts\Headless Mode &amp; Sideloading\WalkAndUnGZ.bat" "%USERPROFILE%\AppData\Local\Temp\OnboardLogs"\RTDC4010\2017-01-07</v>
      </c>
      <c r="AF14" s="84" t="str">
        <f t="shared" si="13"/>
        <v>"C:\Program Files (x86)\AstroGrep\AstroGrep.exe" /spath="%USERPROFILE%\AppData\Local\Temp\OnboardLogs" /stypes="app*4010*20170106*"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102-06 --locoid 4010 --swversion DE.1.0.8.0 --startMP 204:232666 --initTime 2017-01-06T03:57:08 --startdatetime 2017-01-06T04:11:16 --delay 1 --endMP 204:152 --enddatetime 2017-01-06T04:55:05 --enforcementcount 0 &gt;&gt;C:\Users\stu\Documents\GitHub\eaglep3-reporting\EC\2017-01-06-refined-times.txt</v>
      </c>
      <c r="AI14" s="115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{"issue":{"subject":"","project_id":79,"tracker_id":40,"status_id":1,"priority_id":2,"assigned_to_id":23,"start_date":"2017-01-06","description":"","custom_fields":[{"id":1,"name":"Subdivision","value":"EC"},{"id":4,"name":"Milepost","value":"0.0152"},{"id":17,"name":"Train ID","value":"102-06"},{"id":16,"name":"Locomotive ID","value":"4010"},{"id":130,"name":"Impact","value":""},{"id":150,"name":"Time of Event (Mountain Time)","value":"04:55:05"},{"id":151,"name":"Denver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80" t="str">
        <f t="shared" ref="AM14:AM77" si="20">"start /low /b "&amp;dls3logs&amp;" --loco "&amp;B14&amp;" --day "&amp;TEXT(F14,"YYYY-MM-DD")</f>
        <v>start /low /b %USERPROFILE%\Documents\GitHub\eaglep3\Utilities\DownloadLogsFromS3.py --loco 4010 --day 2017-01-06</v>
      </c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480</v>
      </c>
      <c r="B15" s="7">
        <v>4003</v>
      </c>
      <c r="C15" s="22" t="s">
        <v>203</v>
      </c>
      <c r="D15" s="22" t="s">
        <v>665</v>
      </c>
      <c r="E15" s="13">
        <v>42741.151307870372</v>
      </c>
      <c r="F15" s="13">
        <v>42741.158194444448</v>
      </c>
      <c r="G15" s="7">
        <v>2</v>
      </c>
      <c r="H15" s="22" t="s">
        <v>666</v>
      </c>
      <c r="I15" s="13">
        <v>42741.184386574074</v>
      </c>
      <c r="J15" s="7">
        <v>0</v>
      </c>
      <c r="K15" s="105" t="str">
        <f t="shared" si="0"/>
        <v>4003/4004</v>
      </c>
      <c r="L15" s="22" t="str">
        <f>VLOOKUP(A15,'Trips&amp;Operators'!$C$1:$G$99999,5,FALSE)</f>
        <v>ACKERMAN JARED</v>
      </c>
      <c r="M15" s="6">
        <f t="shared" si="1"/>
        <v>2.619212962599704E-2</v>
      </c>
      <c r="N15" s="7">
        <f t="shared" si="2"/>
        <v>37.716666661435738</v>
      </c>
      <c r="O15" s="7"/>
      <c r="P15" s="7"/>
      <c r="Q15" s="23"/>
      <c r="R15" s="23"/>
      <c r="S15" s="32">
        <f t="shared" si="3"/>
        <v>1</v>
      </c>
      <c r="T15" s="47" t="str">
        <f t="shared" si="4"/>
        <v>NorthBound</v>
      </c>
      <c r="U15" s="16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02:37:53-700',mode:absolute,to:'2017-01-06 05:25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" s="49" t="str">
        <f t="shared" si="6"/>
        <v>N</v>
      </c>
      <c r="X15" s="173">
        <f t="shared" si="7"/>
        <v>1</v>
      </c>
      <c r="Y15" s="64">
        <f t="shared" si="8"/>
        <v>8.1199999999999994E-2</v>
      </c>
      <c r="Z15" s="64">
        <f t="shared" si="9"/>
        <v>23.337800000000001</v>
      </c>
      <c r="AA15" s="64">
        <f t="shared" si="10"/>
        <v>23.256600000000002</v>
      </c>
      <c r="AB15" s="61"/>
      <c r="AC15" s="57"/>
      <c r="AD15" s="58" t="str">
        <f t="shared" si="11"/>
        <v>0103-06</v>
      </c>
      <c r="AE15" s="87" t="str">
        <f t="shared" si="12"/>
        <v>aws s3 cp s3://rtdc.mdm.uploadarchive.raw/RTDC4003/ "%USERPROFILE%\AppData\Local\Temp\OnboardLogs"\RTDC4003\2017-01-06 --exclude "*" --recursive --include "*20170106*" &amp; "%USERPROFILE%\Documents\GitHub\mrs-test-scripts\Headless Mode &amp; Sideloading\WalkAndUnGZ.bat" "%USERPROFILE%\AppData\Local\Temp\OnboardLogs"\RTDC4003\2017-01-06 &amp; 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</v>
      </c>
      <c r="AF15" s="84" t="str">
        <f t="shared" si="13"/>
        <v>"C:\Program Files (x86)\AstroGrep\AstroGrep.exe" /spath="%USERPROFILE%\AppData\Local\Temp\OnboardLogs" /stypes="app*4003*20170106*"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8" t="str">
        <f t="shared" si="18"/>
        <v>"%USERPROFILE%\Documents\GitHub\eaglep3\Utilities\RefineRTDCRunTimes.py" --tripid 103-06 --locoid 4003 --swversion DE.1.0.8.0 --startMP 204:812 --initTime 2017-01-06T03:37:53 --startdatetime 2017-01-06T03:47:48 --delay 2 --endMP 204:233378 --enddatetime 2017-01-06T04:25:31 --enforcementcount 0 &gt;&gt;C:\Users\stu\Documents\GitHub\eaglep3-reporting\EC\2017-01-06-refined-times.txt</v>
      </c>
      <c r="AI15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{"issue":{"subject":"","project_id":79,"tracker_id":40,"status_id":1,"priority_id":2,"assigned_to_id":23,"start_date":"2017-01-06","description":"","custom_fields":[{"id":1,"name":"Subdivision","value":"EC"},{"id":4,"name":"Milepost","value":"23.3378"},{"id":17,"name":"Train ID","value":"103-06"},{"id":16,"name":"Locomotive ID","value":"4003"},{"id":130,"name":"Impact","value":""},{"id":150,"name":"Time of Event (Mountain Time)","value":"04:25:31"},{"id":151,"name":"Denver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80" t="str">
        <f t="shared" si="20"/>
        <v>start /low /b %USERPROFILE%\Documents\GitHub\eaglep3\Utilities\DownloadLogsFromS3.py --loco 4003 --day 2017-01-06</v>
      </c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489</v>
      </c>
      <c r="B16" s="7">
        <v>4028</v>
      </c>
      <c r="C16" s="22" t="s">
        <v>203</v>
      </c>
      <c r="D16" s="22" t="s">
        <v>667</v>
      </c>
      <c r="E16" s="13">
        <v>42741.18922453704</v>
      </c>
      <c r="F16" s="13">
        <v>42741.195347222223</v>
      </c>
      <c r="G16" s="7">
        <v>2</v>
      </c>
      <c r="H16" s="22" t="s">
        <v>339</v>
      </c>
      <c r="I16" s="13">
        <v>42741.223819444444</v>
      </c>
      <c r="J16" s="7">
        <v>0</v>
      </c>
      <c r="K16" s="105" t="str">
        <f t="shared" si="0"/>
        <v>4027/4028</v>
      </c>
      <c r="L16" s="22" t="str">
        <f>VLOOKUP(A16,'Trips&amp;Operators'!$C$1:$G$99999,5,FALSE)</f>
        <v>ACKERMAN JARED</v>
      </c>
      <c r="M16" s="6">
        <f t="shared" si="1"/>
        <v>2.8472222220443655E-2</v>
      </c>
      <c r="N16" s="7">
        <f t="shared" si="2"/>
        <v>40.999999997438863</v>
      </c>
      <c r="O16" s="7"/>
      <c r="P16" s="7"/>
      <c r="Q16" s="23"/>
      <c r="R16" s="23"/>
      <c r="S16" s="32">
        <f t="shared" si="3"/>
        <v>1</v>
      </c>
      <c r="T16" s="47" t="str">
        <f t="shared" si="4"/>
        <v>Southbound</v>
      </c>
      <c r="U16" s="16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03:32:29-700',mode:absolute,to:'2017-01-06 06:22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6" s="49" t="str">
        <f t="shared" si="6"/>
        <v>N</v>
      </c>
      <c r="X16" s="173">
        <f t="shared" si="7"/>
        <v>1</v>
      </c>
      <c r="Y16" s="64">
        <f t="shared" si="8"/>
        <v>23.2714</v>
      </c>
      <c r="Z16" s="64">
        <f t="shared" si="9"/>
        <v>1.34E-2</v>
      </c>
      <c r="AA16" s="64">
        <f t="shared" si="10"/>
        <v>23.257999999999999</v>
      </c>
      <c r="AB16" s="61"/>
      <c r="AC16" s="57"/>
      <c r="AD16" s="58" t="str">
        <f t="shared" si="11"/>
        <v>0104-06</v>
      </c>
      <c r="AE16" s="87" t="str">
        <f t="shared" si="12"/>
        <v>aws s3 cp s3://rtdc.mdm.uploadarchive.raw/RTDC4028/ "%USERPROFILE%\AppData\Local\Temp\OnboardLogs"\RTDC4028\2017-01-06 --exclude "*" --recursive --include "*20170106*" &amp; "%USERPROFILE%\Documents\GitHub\mrs-test-scripts\Headless Mode &amp; Sideloading\WalkAndUnGZ.bat" "%USERPROFILE%\AppData\Local\Temp\OnboardLogs"\RTDC4028\2017-01-06 &amp; aws s3 cp s3://rtdc.mdm.uploadarchive.raw/RTDC4028/ "%USERPROFILE%\AppData\Local\Temp\OnboardLogs"\RTDC4028\2017-01-07 --exclude "*" --recursive --include "*20170107*" &amp; "%USERPROFILE%\Documents\GitHub\mrs-test-scripts\Headless Mode &amp; Sideloading\WalkAndUnGZ.bat" "%USERPROFILE%\AppData\Local\Temp\OnboardLogs"\RTDC4028\2017-01-07</v>
      </c>
      <c r="AF16" s="84" t="str">
        <f t="shared" si="13"/>
        <v>"C:\Program Files (x86)\AstroGrep\AstroGrep.exe" /spath="%USERPROFILE%\AppData\Local\Temp\OnboardLogs" /stypes="app*4028*20170106*"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8" t="str">
        <f t="shared" si="18"/>
        <v>"%USERPROFILE%\Documents\GitHub\eaglep3\Utilities\RefineRTDCRunTimes.py" --tripid 104-06 --locoid 4028 --swversion DE.1.0.8.0 --startMP 204:232714 --initTime 2017-01-06T04:32:29 --startdatetime 2017-01-06T04:41:18 --delay 2 --endMP 204:134 --enddatetime 2017-01-06T05:22:18 --enforcementcount 0 &gt;&gt;C:\Users\stu\Documents\GitHub\eaglep3-reporting\EC\2017-01-06-refined-times.txt</v>
      </c>
      <c r="AI16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{"issue":{"subject":"","project_id":79,"tracker_id":40,"status_id":1,"priority_id":2,"assigned_to_id":23,"start_date":"2017-01-06","description":"","custom_fields":[{"id":1,"name":"Subdivision","value":"EC"},{"id":4,"name":"Milepost","value":"0.0134"},{"id":17,"name":"Train ID","value":"104-06"},{"id":16,"name":"Locomotive ID","value":"4028"},{"id":130,"name":"Impact","value":""},{"id":150,"name":"Time of Event (Mountain Time)","value":"05:22:18"},{"id":151,"name":"Denver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80" t="str">
        <f t="shared" si="20"/>
        <v>start /low /b %USERPROFILE%\Documents\GitHub\eaglep3\Utilities\DownloadLogsFromS3.py --loco 4028 --day 2017-01-06</v>
      </c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483</v>
      </c>
      <c r="B17" s="7">
        <v>4018</v>
      </c>
      <c r="C17" s="22" t="s">
        <v>203</v>
      </c>
      <c r="D17" s="22" t="s">
        <v>371</v>
      </c>
      <c r="E17" s="13">
        <v>42741.168680555558</v>
      </c>
      <c r="F17" s="13">
        <v>42741.177291666667</v>
      </c>
      <c r="G17" s="7">
        <v>1</v>
      </c>
      <c r="H17" s="22" t="s">
        <v>668</v>
      </c>
      <c r="I17" s="13">
        <v>42741.203252314815</v>
      </c>
      <c r="J17" s="7">
        <v>0</v>
      </c>
      <c r="K17" s="105" t="str">
        <f t="shared" si="0"/>
        <v>4017/4018</v>
      </c>
      <c r="L17" s="22" t="str">
        <f>VLOOKUP(A17,'Trips&amp;Operators'!$C$1:$G$99999,5,FALSE)</f>
        <v>ROBINSON KADDIBA</v>
      </c>
      <c r="M17" s="6">
        <f t="shared" si="1"/>
        <v>2.5960648148611654E-2</v>
      </c>
      <c r="N17" s="7">
        <f t="shared" si="2"/>
        <v>37.383333334000781</v>
      </c>
      <c r="O17" s="7"/>
      <c r="P17" s="7"/>
      <c r="Q17" s="23"/>
      <c r="R17" s="23"/>
      <c r="S17" s="32">
        <f t="shared" si="3"/>
        <v>1</v>
      </c>
      <c r="T17" s="47" t="str">
        <f t="shared" si="4"/>
        <v>NorthBound</v>
      </c>
      <c r="U17" s="16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03:02:54-700',mode:absolute,to:'2017-01-06 05:52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" s="49" t="str">
        <f t="shared" si="6"/>
        <v>N</v>
      </c>
      <c r="X17" s="173">
        <f t="shared" si="7"/>
        <v>1</v>
      </c>
      <c r="Y17" s="64">
        <f t="shared" si="8"/>
        <v>7.5200000000000003E-2</v>
      </c>
      <c r="Z17" s="64">
        <f t="shared" si="9"/>
        <v>23.334</v>
      </c>
      <c r="AA17" s="64">
        <f t="shared" si="10"/>
        <v>23.258800000000001</v>
      </c>
      <c r="AB17" s="61"/>
      <c r="AC17" s="57"/>
      <c r="AD17" s="58" t="str">
        <f t="shared" si="11"/>
        <v>0105-06</v>
      </c>
      <c r="AE17" s="87" t="str">
        <f t="shared" si="12"/>
        <v>aws s3 cp s3://rtdc.mdm.uploadarchive.raw/RTDC4018/ "%USERPROFILE%\AppData\Local\Temp\OnboardLogs"\RTDC4018\2017-01-06 --exclude "*" --recursive --include "*20170106*" &amp; "%USERPROFILE%\Documents\GitHub\mrs-test-scripts\Headless Mode &amp; Sideloading\WalkAndUnGZ.bat" "%USERPROFILE%\AppData\Local\Temp\OnboardLogs"\RTDC4018\2017-01-06 &amp; aws s3 cp s3://rtdc.mdm.uploadarchive.raw/RTDC4018/ "%USERPROFILE%\AppData\Local\Temp\OnboardLogs"\RTDC4018\2017-01-07 --exclude "*" --recursive --include "*20170107*" &amp; "%USERPROFILE%\Documents\GitHub\mrs-test-scripts\Headless Mode &amp; Sideloading\WalkAndUnGZ.bat" "%USERPROFILE%\AppData\Local\Temp\OnboardLogs"\RTDC4018\2017-01-07</v>
      </c>
      <c r="AF17" s="84" t="str">
        <f t="shared" si="13"/>
        <v>"C:\Program Files (x86)\AstroGrep\AstroGrep.exe" /spath="%USERPROFILE%\AppData\Local\Temp\OnboardLogs" /stypes="app*4018*20170106*"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8" t="str">
        <f t="shared" si="18"/>
        <v>"%USERPROFILE%\Documents\GitHub\eaglep3\Utilities\RefineRTDCRunTimes.py" --tripid 105-06 --locoid 4018 --swversion DE.1.0.8.0 --startMP 204:752 --initTime 2017-01-06T04:02:54 --startdatetime 2017-01-06T04:15:18 --delay 1 --endMP 204:233340 --enddatetime 2017-01-06T04:52:41 --enforcementcount 0 &gt;&gt;C:\Users\stu\Documents\GitHub\eaglep3-reporting\EC\2017-01-06-refined-times.txt</v>
      </c>
      <c r="AI17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{"issue":{"subject":"","project_id":79,"tracker_id":40,"status_id":1,"priority_id":2,"assigned_to_id":23,"start_date":"2017-01-06","description":"","custom_fields":[{"id":1,"name":"Subdivision","value":"EC"},{"id":4,"name":"Milepost","value":"23.334"},{"id":17,"name":"Train ID","value":"105-06"},{"id":16,"name":"Locomotive ID","value":"4018"},{"id":130,"name":"Impact","value":""},{"id":150,"name":"Time of Event (Mountain Time)","value":"04:52:41"},{"id":151,"name":"Denver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80" t="str">
        <f t="shared" si="20"/>
        <v>start /low /b %USERPROFILE%\Documents\GitHub\eaglep3\Utilities\DownloadLogsFromS3.py --loco 4018 --day 2017-01-06</v>
      </c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447</v>
      </c>
      <c r="B18" s="7">
        <v>4032</v>
      </c>
      <c r="C18" s="22" t="s">
        <v>203</v>
      </c>
      <c r="D18" s="22" t="s">
        <v>669</v>
      </c>
      <c r="E18" s="13">
        <v>42741.211724537039</v>
      </c>
      <c r="F18" s="13">
        <v>42741.216203703705</v>
      </c>
      <c r="G18" s="7">
        <v>0</v>
      </c>
      <c r="H18" s="22" t="s">
        <v>229</v>
      </c>
      <c r="I18" s="13">
        <v>42741.246655092589</v>
      </c>
      <c r="J18" s="7">
        <v>0</v>
      </c>
      <c r="K18" s="105" t="str">
        <f t="shared" si="0"/>
        <v>4031/4032</v>
      </c>
      <c r="L18" s="22" t="str">
        <f>VLOOKUP(A18,'Trips&amp;Operators'!$C$1:$G$99999,5,FALSE)</f>
        <v>ROBINSON KADDIBA</v>
      </c>
      <c r="M18" s="6">
        <f t="shared" si="1"/>
        <v>3.0451388884102926E-2</v>
      </c>
      <c r="N18" s="7">
        <f t="shared" si="2"/>
        <v>43.849999993108213</v>
      </c>
      <c r="O18" s="7"/>
      <c r="P18" s="7"/>
      <c r="Q18" s="23"/>
      <c r="R18" s="23"/>
      <c r="S18" s="32">
        <f t="shared" si="3"/>
        <v>1</v>
      </c>
      <c r="T18" s="47" t="str">
        <f t="shared" si="4"/>
        <v>Southbound</v>
      </c>
      <c r="U18" s="16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04:04:53-700',mode:absolute,to:'2017-01-06 06:55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" s="49" t="str">
        <f t="shared" si="6"/>
        <v>N</v>
      </c>
      <c r="X18" s="173">
        <f t="shared" si="7"/>
        <v>1</v>
      </c>
      <c r="Y18" s="64">
        <f t="shared" si="8"/>
        <v>23.267900000000001</v>
      </c>
      <c r="Z18" s="64">
        <f t="shared" si="9"/>
        <v>1.4500000000000001E-2</v>
      </c>
      <c r="AA18" s="64">
        <f t="shared" si="10"/>
        <v>23.253399999999999</v>
      </c>
      <c r="AB18" s="61"/>
      <c r="AC18" s="57"/>
      <c r="AD18" s="58" t="str">
        <f t="shared" si="11"/>
        <v>0106-06</v>
      </c>
      <c r="AE18" s="87" t="str">
        <f t="shared" si="12"/>
        <v>aws s3 cp s3://rtdc.mdm.uploadarchive.raw/RTDC4032/ "%USERPROFILE%\AppData\Local\Temp\OnboardLogs"\RTDC4032\2017-01-06 --exclude "*" --recursive --include "*20170106*" &amp; "%USERPROFILE%\Documents\GitHub\mrs-test-scripts\Headless Mode &amp; Sideloading\WalkAndUnGZ.bat" "%USERPROFILE%\AppData\Local\Temp\OnboardLogs"\RTDC4032\2017-01-06 &amp; aws s3 cp s3://rtdc.mdm.uploadarchive.raw/RTDC4032/ "%USERPROFILE%\AppData\Local\Temp\OnboardLogs"\RTDC4032\2017-01-07 --exclude "*" --recursive --include "*20170107*" &amp; "%USERPROFILE%\Documents\GitHub\mrs-test-scripts\Headless Mode &amp; Sideloading\WalkAndUnGZ.bat" "%USERPROFILE%\AppData\Local\Temp\OnboardLogs"\RTDC4032\2017-01-07</v>
      </c>
      <c r="AF18" s="84" t="str">
        <f t="shared" si="13"/>
        <v>"C:\Program Files (x86)\AstroGrep\AstroGrep.exe" /spath="%USERPROFILE%\AppData\Local\Temp\OnboardLogs" /stypes="app*4032*20170106*"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8" t="str">
        <f t="shared" si="18"/>
        <v>"%USERPROFILE%\Documents\GitHub\eaglep3\Utilities\RefineRTDCRunTimes.py" --tripid 106-06 --locoid 4032 --swversion DE.1.0.8.0 --startMP 204:232679 --initTime 2017-01-06T05:04:53 --startdatetime 2017-01-06T05:11:20 --delay 0 --endMP 204:145 --enddatetime 2017-01-06T05:55:11 --enforcementcount 0 &gt;&gt;C:\Users\stu\Documents\GitHub\eaglep3-reporting\EC\2017-01-06-refined-times.txt</v>
      </c>
      <c r="AI18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{"issue":{"subject":"","project_id":79,"tracker_id":40,"status_id":1,"priority_id":2,"assigned_to_id":23,"start_date":"2017-01-06","description":"","custom_fields":[{"id":1,"name":"Subdivision","value":"EC"},{"id":4,"name":"Milepost","value":"0.0145"},{"id":17,"name":"Train ID","value":"106-06"},{"id":16,"name":"Locomotive ID","value":"4032"},{"id":130,"name":"Impact","value":""},{"id":150,"name":"Time of Event (Mountain Time)","value":"05:55:11"},{"id":151,"name":"Denver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80" t="str">
        <f t="shared" si="20"/>
        <v>start /low /b %USERPROFILE%\Documents\GitHub\eaglep3\Utilities\DownloadLogsFromS3.py --loco 4032 --day 2017-01-06</v>
      </c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488</v>
      </c>
      <c r="B19" s="7">
        <v>4044</v>
      </c>
      <c r="C19" s="22" t="s">
        <v>203</v>
      </c>
      <c r="D19" s="22" t="s">
        <v>251</v>
      </c>
      <c r="E19" s="13">
        <v>42741.183854166666</v>
      </c>
      <c r="F19" s="13">
        <v>42741.189120370371</v>
      </c>
      <c r="G19" s="7">
        <v>3</v>
      </c>
      <c r="H19" s="22" t="s">
        <v>670</v>
      </c>
      <c r="I19" s="13">
        <v>42741.214363425926</v>
      </c>
      <c r="J19" s="7">
        <v>0</v>
      </c>
      <c r="K19" s="105" t="str">
        <f t="shared" si="0"/>
        <v>4043/4044</v>
      </c>
      <c r="L19" s="22" t="str">
        <f>VLOOKUP(A19,'Trips&amp;Operators'!$C$1:$G$99999,5,FALSE)</f>
        <v>STARKS ANGELINA</v>
      </c>
      <c r="M19" s="6">
        <f t="shared" si="1"/>
        <v>2.5243055555620231E-2</v>
      </c>
      <c r="N19" s="7">
        <f t="shared" si="2"/>
        <v>36.350000000093132</v>
      </c>
      <c r="O19" s="7"/>
      <c r="P19" s="7"/>
      <c r="Q19" s="23"/>
      <c r="R19" s="23"/>
      <c r="S19" s="32">
        <f t="shared" si="3"/>
        <v>1</v>
      </c>
      <c r="T19" s="47" t="str">
        <f t="shared" si="4"/>
        <v>NorthBound</v>
      </c>
      <c r="U19" s="16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03:24:45-700',mode:absolute,to:'2017-01-06 06:08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" s="49" t="str">
        <f t="shared" si="6"/>
        <v>N</v>
      </c>
      <c r="X19" s="173">
        <f t="shared" si="7"/>
        <v>1</v>
      </c>
      <c r="Y19" s="64">
        <f t="shared" si="8"/>
        <v>4.6199999999999998E-2</v>
      </c>
      <c r="Z19" s="64">
        <f t="shared" si="9"/>
        <v>23.328199999999999</v>
      </c>
      <c r="AA19" s="64">
        <f t="shared" si="10"/>
        <v>23.282</v>
      </c>
      <c r="AB19" s="61"/>
      <c r="AC19" s="57"/>
      <c r="AD19" s="58" t="str">
        <f t="shared" si="11"/>
        <v>0107-06</v>
      </c>
      <c r="AE19" s="87" t="str">
        <f t="shared" si="12"/>
        <v>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 &amp; aws s3 cp s3://rtdc.mdm.uploadarchive.raw/RTDC4044/ "%USERPROFILE%\AppData\Local\Temp\OnboardLogs"\RTDC4044\2017-01-07 --exclude "*" --recursive --include "*20170107*" &amp; "%USERPROFILE%\Documents\GitHub\mrs-test-scripts\Headless Mode &amp; Sideloading\WalkAndUnGZ.bat" "%USERPROFILE%\AppData\Local\Temp\OnboardLogs"\RTDC4044\2017-01-07</v>
      </c>
      <c r="AF19" s="84" t="str">
        <f t="shared" si="13"/>
        <v>"C:\Program Files (x86)\AstroGrep\AstroGrep.exe" /spath="%USERPROFILE%\AppData\Local\Temp\OnboardLogs" /stypes="app*4044*20170106*"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8" t="str">
        <f t="shared" si="18"/>
        <v>"%USERPROFILE%\Documents\GitHub\eaglep3\Utilities\RefineRTDCRunTimes.py" --tripid 107-06 --locoid 4044 --swversion DE.1.0.8.0 --startMP 204:462 --initTime 2017-01-06T04:24:45 --startdatetime 2017-01-06T04:32:20 --delay 3 --endMP 204:233282 --enddatetime 2017-01-06T05:08:41 --enforcementcount 0 &gt;&gt;C:\Users\stu\Documents\GitHub\eaglep3-reporting\EC\2017-01-06-refined-times.txt</v>
      </c>
      <c r="AI19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{"issue":{"subject":"","project_id":79,"tracker_id":40,"status_id":1,"priority_id":2,"assigned_to_id":23,"start_date":"2017-01-06","description":"","custom_fields":[{"id":1,"name":"Subdivision","value":"EC"},{"id":4,"name":"Milepost","value":"23.3282"},{"id":17,"name":"Train ID","value":"107-06"},{"id":16,"name":"Locomotive ID","value":"4044"},{"id":130,"name":"Impact","value":""},{"id":150,"name":"Time of Event (Mountain Time)","value":"05:08:41"},{"id":151,"name":"Denver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80" t="str">
        <f t="shared" si="20"/>
        <v>start /low /b %USERPROFILE%\Documents\GitHub\eaglep3\Utilities\DownloadLogsFromS3.py --loco 4044 --day 2017-01-06</v>
      </c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493</v>
      </c>
      <c r="B20" s="7">
        <v>4043</v>
      </c>
      <c r="C20" s="22" t="s">
        <v>203</v>
      </c>
      <c r="D20" s="22" t="s">
        <v>406</v>
      </c>
      <c r="E20" s="13">
        <v>42741.223344907405</v>
      </c>
      <c r="F20" s="13">
        <v>42741.2265625</v>
      </c>
      <c r="G20" s="7">
        <v>1</v>
      </c>
      <c r="H20" s="22" t="s">
        <v>671</v>
      </c>
      <c r="I20" s="13">
        <v>42741.255115740743</v>
      </c>
      <c r="J20" s="7">
        <v>0</v>
      </c>
      <c r="K20" s="105" t="str">
        <f t="shared" si="0"/>
        <v>4043/4044</v>
      </c>
      <c r="L20" s="22" t="str">
        <f>VLOOKUP(A20,'Trips&amp;Operators'!$C$1:$G$99999,5,FALSE)</f>
        <v>STARKS ANGELINA</v>
      </c>
      <c r="M20" s="6">
        <f t="shared" si="1"/>
        <v>2.8553240743349306E-2</v>
      </c>
      <c r="N20" s="7">
        <f t="shared" si="2"/>
        <v>41.116666670423001</v>
      </c>
      <c r="O20" s="7"/>
      <c r="P20" s="7"/>
      <c r="Q20" s="23"/>
      <c r="R20" s="23"/>
      <c r="S20" s="32">
        <f t="shared" si="3"/>
        <v>1</v>
      </c>
      <c r="T20" s="47" t="str">
        <f t="shared" si="4"/>
        <v>Southbound</v>
      </c>
      <c r="U20" s="16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04:21:37-700',mode:absolute,to:'2017-01-06 07:07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" s="49" t="str">
        <f t="shared" si="6"/>
        <v>N</v>
      </c>
      <c r="X20" s="173">
        <f t="shared" si="7"/>
        <v>1</v>
      </c>
      <c r="Y20" s="64">
        <f t="shared" si="8"/>
        <v>23.296900000000001</v>
      </c>
      <c r="Z20" s="64">
        <f t="shared" si="9"/>
        <v>3.4500000000000003E-2</v>
      </c>
      <c r="AA20" s="64">
        <f t="shared" si="10"/>
        <v>23.2624</v>
      </c>
      <c r="AB20" s="61"/>
      <c r="AC20" s="57"/>
      <c r="AD20" s="58" t="str">
        <f t="shared" si="11"/>
        <v>0108-06</v>
      </c>
      <c r="AE20" s="87" t="str">
        <f t="shared" si="12"/>
        <v>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 &amp; aws s3 cp s3://rtdc.mdm.uploadarchive.raw/RTDC4043/ "%USERPROFILE%\AppData\Local\Temp\OnboardLogs"\RTDC4043\2017-01-07 --exclude "*" --recursive --include "*20170107*" &amp; "%USERPROFILE%\Documents\GitHub\mrs-test-scripts\Headless Mode &amp; Sideloading\WalkAndUnGZ.bat" "%USERPROFILE%\AppData\Local\Temp\OnboardLogs"\RTDC4043\2017-01-07</v>
      </c>
      <c r="AF20" s="84" t="str">
        <f t="shared" si="13"/>
        <v>"C:\Program Files (x86)\AstroGrep\AstroGrep.exe" /spath="%USERPROFILE%\AppData\Local\Temp\OnboardLogs" /stypes="app*4043*20170106*"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8" t="str">
        <f t="shared" si="18"/>
        <v>"%USERPROFILE%\Documents\GitHub\eaglep3\Utilities\RefineRTDCRunTimes.py" --tripid 108-06 --locoid 4043 --swversion DE.1.0.8.0 --startMP 204:232969 --initTime 2017-01-06T05:21:37 --startdatetime 2017-01-06T05:26:15 --delay 1 --endMP 204:345 --enddatetime 2017-01-06T06:07:22 --enforcementcount 0 &gt;&gt;C:\Users\stu\Documents\GitHub\eaglep3-reporting\EC\2017-01-06-refined-times.txt</v>
      </c>
      <c r="AI20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{"issue":{"subject":"","project_id":79,"tracker_id":40,"status_id":1,"priority_id":2,"assigned_to_id":23,"start_date":"2017-01-06","description":"","custom_fields":[{"id":1,"name":"Subdivision","value":"EC"},{"id":4,"name":"Milepost","value":"0.0345"},{"id":17,"name":"Train ID","value":"108-06"},{"id":16,"name":"Locomotive ID","value":"4043"},{"id":130,"name":"Impact","value":""},{"id":150,"name":"Time of Event (Mountain Time)","value":"06:07:22"},{"id":151,"name":"Denver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80" t="str">
        <f t="shared" si="20"/>
        <v>start /low /b %USERPROFILE%\Documents\GitHub\eaglep3\Utilities\DownloadLogsFromS3.py --loco 4043 --day 2017-01-06</v>
      </c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490</v>
      </c>
      <c r="B21" s="7">
        <v>4002</v>
      </c>
      <c r="C21" s="22" t="s">
        <v>203</v>
      </c>
      <c r="D21" s="22" t="s">
        <v>672</v>
      </c>
      <c r="E21" s="13">
        <v>42741.197696759256</v>
      </c>
      <c r="F21" s="13">
        <v>42741.199004629627</v>
      </c>
      <c r="G21" s="7">
        <v>1</v>
      </c>
      <c r="H21" s="22" t="s">
        <v>673</v>
      </c>
      <c r="I21" s="13">
        <v>42741.224270833336</v>
      </c>
      <c r="J21" s="7">
        <v>0</v>
      </c>
      <c r="K21" s="105" t="str">
        <f t="shared" si="0"/>
        <v>4001/4002</v>
      </c>
      <c r="L21" s="22" t="str">
        <f>VLOOKUP(A21,'Trips&amp;Operators'!$C$1:$G$99999,5,FALSE)</f>
        <v>SIMMONS SHYHESHA</v>
      </c>
      <c r="M21" s="6">
        <f t="shared" si="1"/>
        <v>2.5266203709179536E-2</v>
      </c>
      <c r="N21" s="7">
        <f t="shared" si="2"/>
        <v>36.383333341218531</v>
      </c>
      <c r="O21" s="7"/>
      <c r="P21" s="7"/>
      <c r="Q21" s="23"/>
      <c r="R21" s="23"/>
      <c r="S21" s="32">
        <f t="shared" si="3"/>
        <v>1</v>
      </c>
      <c r="T21" s="47" t="str">
        <f t="shared" si="4"/>
        <v>NorthBound</v>
      </c>
      <c r="U21" s="16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03:44:41-700',mode:absolute,to:'2017-01-06 06:22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1" s="49" t="str">
        <f t="shared" si="6"/>
        <v>N</v>
      </c>
      <c r="X21" s="173">
        <f t="shared" si="7"/>
        <v>1</v>
      </c>
      <c r="Y21" s="64">
        <f t="shared" si="8"/>
        <v>4.4200000000000003E-2</v>
      </c>
      <c r="Z21" s="64">
        <f t="shared" si="9"/>
        <v>23.3308</v>
      </c>
      <c r="AA21" s="64">
        <f t="shared" si="10"/>
        <v>23.2866</v>
      </c>
      <c r="AB21" s="61"/>
      <c r="AC21" s="57"/>
      <c r="AD21" s="58" t="str">
        <f t="shared" si="11"/>
        <v>0109-06</v>
      </c>
      <c r="AE21" s="87" t="str">
        <f t="shared" si="12"/>
        <v>aws s3 cp s3://rtdc.mdm.uploadarchive.raw/RTDC4002/ "%USERPROFILE%\AppData\Local\Temp\OnboardLogs"\RTDC4002\2017-01-06 --exclude "*" --recursive --include "*20170106*" &amp; "%USERPROFILE%\Documents\GitHub\mrs-test-scripts\Headless Mode &amp; Sideloading\WalkAndUnGZ.bat" "%USERPROFILE%\AppData\Local\Temp\OnboardLogs"\RTDC4002\2017-01-06 &amp; aws s3 cp s3://rtdc.mdm.uploadarchive.raw/RTDC4002/ "%USERPROFILE%\AppData\Local\Temp\OnboardLogs"\RTDC4002\2017-01-07 --exclude "*" --recursive --include "*20170107*" &amp; "%USERPROFILE%\Documents\GitHub\mrs-test-scripts\Headless Mode &amp; Sideloading\WalkAndUnGZ.bat" "%USERPROFILE%\AppData\Local\Temp\OnboardLogs"\RTDC4002\2017-01-07</v>
      </c>
      <c r="AF21" s="84" t="str">
        <f t="shared" si="13"/>
        <v>"C:\Program Files (x86)\AstroGrep\AstroGrep.exe" /spath="%USERPROFILE%\AppData\Local\Temp\OnboardLogs" /stypes="app*4002*20170106*"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8" t="str">
        <f t="shared" si="18"/>
        <v>"%USERPROFILE%\Documents\GitHub\eaglep3\Utilities\RefineRTDCRunTimes.py" --tripid 109-06 --locoid 4002 --swversion DE.1.0.8.0 --startMP 204:442 --initTime 2017-01-06T04:44:41 --startdatetime 2017-01-06T04:46:34 --delay 1 --endMP 204:233308 --enddatetime 2017-01-06T05:22:57 --enforcementcount 0 &gt;&gt;C:\Users\stu\Documents\GitHub\eaglep3-reporting\EC\2017-01-06-refined-times.txt</v>
      </c>
      <c r="AI21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{"issue":{"subject":"","project_id":79,"tracker_id":40,"status_id":1,"priority_id":2,"assigned_to_id":23,"start_date":"2017-01-06","description":"","custom_fields":[{"id":1,"name":"Subdivision","value":"EC"},{"id":4,"name":"Milepost","value":"23.3308"},{"id":17,"name":"Train ID","value":"109-06"},{"id":16,"name":"Locomotive ID","value":"4002"},{"id":130,"name":"Impact","value":""},{"id":150,"name":"Time of Event (Mountain Time)","value":"05:22:57"},{"id":151,"name":"Denver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80" t="str">
        <f t="shared" si="20"/>
        <v>start /low /b %USERPROFILE%\Documents\GitHub\eaglep3\Utilities\DownloadLogsFromS3.py --loco 4002 --day 2017-01-06</v>
      </c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448</v>
      </c>
      <c r="B22" s="7">
        <v>4001</v>
      </c>
      <c r="C22" s="22" t="s">
        <v>203</v>
      </c>
      <c r="D22" s="22" t="s">
        <v>312</v>
      </c>
      <c r="E22" s="13">
        <v>42741.233969907407</v>
      </c>
      <c r="F22" s="13">
        <v>42741.237372685187</v>
      </c>
      <c r="G22" s="7">
        <v>1</v>
      </c>
      <c r="H22" s="22" t="s">
        <v>674</v>
      </c>
      <c r="I22" s="13">
        <v>42741.264270833337</v>
      </c>
      <c r="J22" s="7">
        <v>0</v>
      </c>
      <c r="K22" s="105" t="str">
        <f t="shared" si="0"/>
        <v>4001/4002</v>
      </c>
      <c r="L22" s="22" t="str">
        <f>VLOOKUP(A22,'Trips&amp;Operators'!$C$1:$G$99999,5,FALSE)</f>
        <v>SIMMONS SHYHESHA</v>
      </c>
      <c r="M22" s="6">
        <f t="shared" si="1"/>
        <v>2.6898148149484769E-2</v>
      </c>
      <c r="N22" s="7">
        <f t="shared" si="2"/>
        <v>38.733333335258067</v>
      </c>
      <c r="O22" s="7"/>
      <c r="P22" s="7"/>
      <c r="Q22" s="23"/>
      <c r="R22" s="23"/>
      <c r="S22" s="32">
        <f t="shared" si="3"/>
        <v>1</v>
      </c>
      <c r="T22" s="47" t="str">
        <f t="shared" si="4"/>
        <v>Southbound</v>
      </c>
      <c r="U22" s="16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04:36:55-700',mode:absolute,to:'2017-01-06 07:20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2" s="49" t="str">
        <f t="shared" si="6"/>
        <v>N</v>
      </c>
      <c r="X22" s="173">
        <f t="shared" si="7"/>
        <v>1</v>
      </c>
      <c r="Y22" s="64">
        <f t="shared" si="8"/>
        <v>23.298300000000001</v>
      </c>
      <c r="Z22" s="64">
        <f t="shared" si="9"/>
        <v>1.8100000000000002E-2</v>
      </c>
      <c r="AA22" s="64">
        <f t="shared" si="10"/>
        <v>23.280200000000001</v>
      </c>
      <c r="AB22" s="61"/>
      <c r="AC22" s="57"/>
      <c r="AD22" s="58" t="str">
        <f t="shared" si="11"/>
        <v>0110-06</v>
      </c>
      <c r="AE22" s="87" t="str">
        <f t="shared" si="12"/>
        <v>aws s3 cp s3://rtdc.mdm.uploadarchive.raw/RTDC4001/ "%USERPROFILE%\AppData\Local\Temp\OnboardLogs"\RTDC4001\2017-01-06 --exclude "*" --recursive --include "*20170106*" &amp; "%USERPROFILE%\Documents\GitHub\mrs-test-scripts\Headless Mode &amp; Sideloading\WalkAndUnGZ.bat" "%USERPROFILE%\AppData\Local\Temp\OnboardLogs"\RTDC4001\2017-01-06 &amp; aws s3 cp s3://rtdc.mdm.uploadarchive.raw/RTDC4001/ "%USERPROFILE%\AppData\Local\Temp\OnboardLogs"\RTDC4001\2017-01-07 --exclude "*" --recursive --include "*20170107*" &amp; "%USERPROFILE%\Documents\GitHub\mrs-test-scripts\Headless Mode &amp; Sideloading\WalkAndUnGZ.bat" "%USERPROFILE%\AppData\Local\Temp\OnboardLogs"\RTDC4001\2017-01-07</v>
      </c>
      <c r="AF22" s="84" t="str">
        <f t="shared" si="13"/>
        <v>"C:\Program Files (x86)\AstroGrep\AstroGrep.exe" /spath="%USERPROFILE%\AppData\Local\Temp\OnboardLogs" /stypes="app*4001*20170106*"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8" t="str">
        <f t="shared" si="18"/>
        <v>"%USERPROFILE%\Documents\GitHub\eaglep3\Utilities\RefineRTDCRunTimes.py" --tripid 110-06 --locoid 4001 --swversion DE.1.0.8.0 --startMP 204:232983 --initTime 2017-01-06T05:36:55 --startdatetime 2017-01-06T05:41:49 --delay 1 --endMP 204:181 --enddatetime 2017-01-06T06:20:33 --enforcementcount 0 &gt;&gt;C:\Users\stu\Documents\GitHub\eaglep3-reporting\EC\2017-01-06-refined-times.txt</v>
      </c>
      <c r="AI22" s="115" t="str">
        <f>"echo {""issue"":{""subject"":"""&amp;R22&amp;""",""project_id"":79,""tracker_id"":40,""status_id"":"&amp;redmine_status&amp;",""priority_id"":"&amp;redmine_priority&amp;",""assigned_to_id"":"&amp;redmine_assignee&amp;",""start_date"":"""&amp;TEXT(I22,"YYYY-mm-dd")&amp;""",""description"":"""&amp;AJ22&amp;""",""custom_fields"":[{""id"":1,""name"":""Subdivision"",""value"":"""&amp;AG22&amp;"""},{""id"":4,""name"":""Milepost"",""value"":"""&amp;Z22&amp;"""},{""id"":17,""name"":""Train ID"",""value"":"""&amp;A22&amp;"""},{""id"":16,""name"":""Locomotive ID"",""value"":"""&amp;B22&amp;"""},{""id"":130,""name"":""Impact"",""value"":"""&amp;AK22&amp;"""},{""id"":150,""name"":""Time of Event (Mountain Time)"",""value"":"""&amp;TEXT(I22,"hh:mm:ss")&amp;"""},{""id"":151,""name"":""Denver Issue ID"",""value"":"""&amp;"""},{""id"":178,""name"":""Operational Impact"",""value"":"""&amp;redmine_op_impact&amp;"""},{""id"":179,""name"":""Denver Segment Assigned"",""value"":"""&amp;AL22&amp;"""}]}}"&amp;"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{"issue":{"subject":"","project_id":79,"tracker_id":40,"status_id":1,"priority_id":2,"assigned_to_id":23,"start_date":"2017-01-06","description":"","custom_fields":[{"id":1,"name":"Subdivision","value":"EC"},{"id":4,"name":"Milepost","value":"0.0181"},{"id":17,"name":"Train ID","value":"110-06"},{"id":16,"name":"Locomotive ID","value":"4001"},{"id":130,"name":"Impact","value":""},{"id":150,"name":"Time of Event (Mountain Time)","value":"06:20:33"},{"id":151,"name":"Denver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80" t="str">
        <f t="shared" si="20"/>
        <v>start /low /b %USERPROFILE%\Documents\GitHub\eaglep3\Utilities\DownloadLogsFromS3.py --loco 4001 --day 2017-01-06</v>
      </c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492</v>
      </c>
      <c r="B23" s="7">
        <v>4029</v>
      </c>
      <c r="C23" s="22" t="s">
        <v>203</v>
      </c>
      <c r="D23" s="22" t="s">
        <v>675</v>
      </c>
      <c r="E23" s="13">
        <v>42741.214490740742</v>
      </c>
      <c r="F23" s="13">
        <v>42741.215983796297</v>
      </c>
      <c r="G23" s="7">
        <v>1</v>
      </c>
      <c r="H23" s="22" t="s">
        <v>407</v>
      </c>
      <c r="I23" s="13">
        <v>42741.242222222223</v>
      </c>
      <c r="J23" s="7">
        <v>0</v>
      </c>
      <c r="K23" s="105" t="str">
        <f t="shared" si="0"/>
        <v>4029/4030</v>
      </c>
      <c r="L23" s="22" t="str">
        <f>VLOOKUP(A23,'Trips&amp;Operators'!$C$1:$G$99999,5,FALSE)</f>
        <v>YANAI IAN</v>
      </c>
      <c r="M23" s="6">
        <f t="shared" si="1"/>
        <v>2.6238425925839692E-2</v>
      </c>
      <c r="N23" s="7">
        <f t="shared" si="2"/>
        <v>37.783333333209157</v>
      </c>
      <c r="O23" s="7"/>
      <c r="P23" s="7"/>
      <c r="Q23" s="23"/>
      <c r="R23" s="23"/>
      <c r="S23" s="32">
        <f t="shared" si="3"/>
        <v>1</v>
      </c>
      <c r="T23" s="47" t="str">
        <f t="shared" si="4"/>
        <v>NorthBound</v>
      </c>
      <c r="U23" s="16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04:08:52-700',mode:absolute,to:'2017-01-06 06:48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3" s="49" t="str">
        <f t="shared" si="6"/>
        <v>N</v>
      </c>
      <c r="X23" s="173">
        <f t="shared" si="7"/>
        <v>1</v>
      </c>
      <c r="Y23" s="64">
        <f t="shared" si="8"/>
        <v>0.1164</v>
      </c>
      <c r="Z23" s="64">
        <f t="shared" si="9"/>
        <v>23.3276</v>
      </c>
      <c r="AA23" s="64">
        <f t="shared" si="10"/>
        <v>23.211200000000002</v>
      </c>
      <c r="AB23" s="61"/>
      <c r="AC23" s="57"/>
      <c r="AD23" s="58" t="str">
        <f t="shared" si="11"/>
        <v>0111-06</v>
      </c>
      <c r="AE23" s="87" t="str">
        <f t="shared" si="12"/>
        <v>aws s3 cp s3://rtdc.mdm.uploadarchive.raw/RTDC4029/ "%USERPROFILE%\AppData\Local\Temp\OnboardLogs"\RTDC4029\2017-01-06 --exclude "*" --recursive --include "*20170106*" &amp; "%USERPROFILE%\Documents\GitHub\mrs-test-scripts\Headless Mode &amp; Sideloading\WalkAndUnGZ.bat" "%USERPROFILE%\AppData\Local\Temp\OnboardLogs"\RTDC4029\2017-01-06 &amp; aws s3 cp s3://rtdc.mdm.uploadarchive.raw/RTDC4029/ "%USERPROFILE%\AppData\Local\Temp\OnboardLogs"\RTDC4029\2017-01-07 --exclude "*" --recursive --include "*20170107*" &amp; "%USERPROFILE%\Documents\GitHub\mrs-test-scripts\Headless Mode &amp; Sideloading\WalkAndUnGZ.bat" "%USERPROFILE%\AppData\Local\Temp\OnboardLogs"\RTDC4029\2017-01-07</v>
      </c>
      <c r="AF23" s="84" t="str">
        <f t="shared" si="13"/>
        <v>"C:\Program Files (x86)\AstroGrep\AstroGrep.exe" /spath="%USERPROFILE%\AppData\Local\Temp\OnboardLogs" /stypes="app*4029*20170106*"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8" t="str">
        <f t="shared" si="18"/>
        <v>"%USERPROFILE%\Documents\GitHub\eaglep3\Utilities\RefineRTDCRunTimes.py" --tripid 111-06 --locoid 4029 --swversion DE.1.0.8.0 --startMP 204:1164 --initTime 2017-01-06T05:08:52 --startdatetime 2017-01-06T05:11:01 --delay 1 --endMP 204:233276 --enddatetime 2017-01-06T05:48:48 --enforcementcount 0 &gt;&gt;C:\Users\stu\Documents\GitHub\eaglep3-reporting\EC\2017-01-06-refined-times.txt</v>
      </c>
      <c r="AI23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{"issue":{"subject":"","project_id":79,"tracker_id":40,"status_id":1,"priority_id":2,"assigned_to_id":23,"start_date":"2017-01-06","description":"","custom_fields":[{"id":1,"name":"Subdivision","value":"EC"},{"id":4,"name":"Milepost","value":"23.3276"},{"id":17,"name":"Train ID","value":"111-06"},{"id":16,"name":"Locomotive ID","value":"4029"},{"id":130,"name":"Impact","value":""},{"id":150,"name":"Time of Event (Mountain Time)","value":"05:48:48"},{"id":151,"name":"Denver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80" t="str">
        <f t="shared" si="20"/>
        <v>start /low /b %USERPROFILE%\Documents\GitHub\eaglep3\Utilities\DownloadLogsFromS3.py --loco 4029 --day 2017-01-06</v>
      </c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497</v>
      </c>
      <c r="B24" s="7">
        <v>4030</v>
      </c>
      <c r="C24" s="22" t="s">
        <v>203</v>
      </c>
      <c r="D24" s="22" t="s">
        <v>303</v>
      </c>
      <c r="E24" s="13">
        <v>42741.244212962964</v>
      </c>
      <c r="F24" s="13">
        <v>42741.245636574073</v>
      </c>
      <c r="G24" s="7">
        <v>2</v>
      </c>
      <c r="H24" s="22" t="s">
        <v>676</v>
      </c>
      <c r="I24" s="13">
        <v>42741.263831018521</v>
      </c>
      <c r="J24" s="7">
        <v>0</v>
      </c>
      <c r="K24" s="105" t="str">
        <f t="shared" si="0"/>
        <v>4029/4030</v>
      </c>
      <c r="L24" s="22" t="str">
        <f>VLOOKUP(A24,'Trips&amp;Operators'!$C$1:$G$99999,5,FALSE)</f>
        <v>YANAI IAN</v>
      </c>
      <c r="M24" s="6">
        <f t="shared" si="1"/>
        <v>1.8194444448454306E-2</v>
      </c>
      <c r="N24" s="7"/>
      <c r="O24" s="7"/>
      <c r="P24" s="7">
        <f>24*60*SUM($M24:$M25)</f>
        <v>40.866666674846783</v>
      </c>
      <c r="Q24" s="23"/>
      <c r="R24" s="23" t="s">
        <v>843</v>
      </c>
      <c r="S24" s="32">
        <f>SUM(U24:U25)/IF(AG24="EC",12,1)</f>
        <v>1</v>
      </c>
      <c r="T24" s="47" t="str">
        <f t="shared" si="4"/>
        <v>Southbound</v>
      </c>
      <c r="U24" s="16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3</v>
      </c>
      <c r="V2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04:51:40-700',mode:absolute,to:'2017-01-06 07:19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4" s="49" t="str">
        <f t="shared" si="6"/>
        <v>Y</v>
      </c>
      <c r="X24" s="173">
        <f t="shared" si="7"/>
        <v>1</v>
      </c>
      <c r="Y24" s="64">
        <f t="shared" si="8"/>
        <v>23.296700000000001</v>
      </c>
      <c r="Z24" s="64">
        <f t="shared" si="9"/>
        <v>7.0339</v>
      </c>
      <c r="AA24" s="64">
        <f t="shared" si="10"/>
        <v>16.262800000000002</v>
      </c>
      <c r="AB24" s="61"/>
      <c r="AC24" s="57"/>
      <c r="AD24" s="58" t="str">
        <f t="shared" si="11"/>
        <v>0112-06</v>
      </c>
      <c r="AE24" s="87" t="str">
        <f t="shared" si="12"/>
        <v>aws s3 cp s3://rtdc.mdm.uploadarchive.raw/RTDC4030/ "%USERPROFILE%\AppData\Local\Temp\OnboardLogs"\RTDC4030\2017-01-06 --exclude "*" --recursive --include "*20170106*" &amp; "%USERPROFILE%\Documents\GitHub\mrs-test-scripts\Headless Mode &amp; Sideloading\WalkAndUnGZ.bat" "%USERPROFILE%\AppData\Local\Temp\OnboardLogs"\RTDC4030\2017-01-06 &amp; aws s3 cp s3://rtdc.mdm.uploadarchive.raw/RTDC4030/ "%USERPROFILE%\AppData\Local\Temp\OnboardLogs"\RTDC4030\2017-01-07 --exclude "*" --recursive --include "*20170107*" &amp; "%USERPROFILE%\Documents\GitHub\mrs-test-scripts\Headless Mode &amp; Sideloading\WalkAndUnGZ.bat" "%USERPROFILE%\AppData\Local\Temp\OnboardLogs"\RTDC4030\2017-01-07</v>
      </c>
      <c r="AF24" s="84" t="str">
        <f t="shared" si="13"/>
        <v>"C:\Program Files (x86)\AstroGrep\AstroGrep.exe" /spath="%USERPROFILE%\AppData\Local\Temp\OnboardLogs" /stypes="app*4030*20170106*"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8" t="str">
        <f t="shared" si="18"/>
        <v>"%USERPROFILE%\Documents\GitHub\eaglep3\Utilities\RefineRTDCRunTimes.py" --tripid 112-06 --locoid 4030 --swversion DE.1.0.8.0 --startMP 204:232967 --initTime 2017-01-06T05:51:40 --startdatetime 2017-01-06T05:53:43 --delay 2 --endMP 204:70339 --enddatetime 2017-01-06T06:19:55 --enforcementcount 0 &gt;&gt;C:\Users\stu\Documents\GitHub\eaglep3-reporting\EC\2017-01-06-refined-times.txt</v>
      </c>
      <c r="AI24" s="115" t="str">
        <f t="shared" si="19"/>
        <v>echo {"issue":{"subject":"False occupancy at 6.4-6.83","project_id":79,"tracker_id":40,"status_id":1,"priority_id":2,"assigned_to_id":23,"start_date":"2017-01-06","description":"","custom_fields":[{"id":1,"name":"Subdivision","value":"EC"},{"id":4,"name":"Milepost","value":"7.0339"},{"id":17,"name":"Train ID","value":"112-06"},{"id":16,"name":"Locomotive ID","value":"4030"},{"id":130,"name":"Impact","value":""},{"id":150,"name":"Time of Event (Mountain Time)","value":"06:19:55"},{"id":151,"name":"Denver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80" t="str">
        <f t="shared" si="20"/>
        <v>start /low /b %USERPROFILE%\Documents\GitHub\eaglep3\Utilities\DownloadLogsFromS3.py --loco 4030 --day 2017-01-06</v>
      </c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497</v>
      </c>
      <c r="B25" s="7">
        <v>4030</v>
      </c>
      <c r="C25" s="22" t="s">
        <v>203</v>
      </c>
      <c r="D25" s="22" t="s">
        <v>677</v>
      </c>
      <c r="E25" s="13">
        <v>42741.265439814815</v>
      </c>
      <c r="F25" s="13">
        <v>42741.26599537037</v>
      </c>
      <c r="G25" s="7">
        <v>0</v>
      </c>
      <c r="H25" s="22" t="s">
        <v>191</v>
      </c>
      <c r="I25" s="13">
        <v>42741.276180555556</v>
      </c>
      <c r="J25" s="7">
        <v>0</v>
      </c>
      <c r="K25" s="105" t="str">
        <f t="shared" si="0"/>
        <v>4029/4030</v>
      </c>
      <c r="L25" s="22" t="str">
        <f>VLOOKUP(A25,'Trips&amp;Operators'!$C$1:$G$99999,5,FALSE)</f>
        <v>YANAI IAN</v>
      </c>
      <c r="M25" s="6">
        <f t="shared" si="1"/>
        <v>1.0185185186855961E-2</v>
      </c>
      <c r="N25" s="7"/>
      <c r="O25" s="7"/>
      <c r="P25" s="7"/>
      <c r="Q25" s="23"/>
      <c r="R25" s="23"/>
      <c r="S25" s="32"/>
      <c r="T25" s="47" t="str">
        <f t="shared" si="4"/>
        <v>Southbound</v>
      </c>
      <c r="U25" s="16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9</v>
      </c>
      <c r="V2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05:22:14-700',mode:absolute,to:'2017-01-06 07:37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5" s="49" t="str">
        <f t="shared" si="6"/>
        <v>Y</v>
      </c>
      <c r="X25" s="173">
        <f t="shared" si="7"/>
        <v>0</v>
      </c>
      <c r="Y25" s="64">
        <f t="shared" si="8"/>
        <v>6.4145000000000003</v>
      </c>
      <c r="Z25" s="64">
        <f t="shared" si="9"/>
        <v>1.49E-2</v>
      </c>
      <c r="AA25" s="64">
        <f t="shared" si="10"/>
        <v>6.3996000000000004</v>
      </c>
      <c r="AB25" s="61"/>
      <c r="AC25" s="57"/>
      <c r="AD25" s="58" t="str">
        <f t="shared" si="11"/>
        <v>0112-06</v>
      </c>
      <c r="AE25" s="87" t="str">
        <f t="shared" si="12"/>
        <v>aws s3 cp s3://rtdc.mdm.uploadarchive.raw/RTDC4030/ "%USERPROFILE%\AppData\Local\Temp\OnboardLogs"\RTDC4030\2017-01-06 --exclude "*" --recursive --include "*20170106*" &amp; "%USERPROFILE%\Documents\GitHub\mrs-test-scripts\Headless Mode &amp; Sideloading\WalkAndUnGZ.bat" "%USERPROFILE%\AppData\Local\Temp\OnboardLogs"\RTDC4030\2017-01-06 &amp; aws s3 cp s3://rtdc.mdm.uploadarchive.raw/RTDC4030/ "%USERPROFILE%\AppData\Local\Temp\OnboardLogs"\RTDC4030\2017-01-07 --exclude "*" --recursive --include "*20170107*" &amp; "%USERPROFILE%\Documents\GitHub\mrs-test-scripts\Headless Mode &amp; Sideloading\WalkAndUnGZ.bat" "%USERPROFILE%\AppData\Local\Temp\OnboardLogs"\RTDC4030\2017-01-07</v>
      </c>
      <c r="AF25" s="84" t="str">
        <f t="shared" si="13"/>
        <v>"C:\Program Files (x86)\AstroGrep\AstroGrep.exe" /spath="%USERPROFILE%\AppData\Local\Temp\OnboardLogs" /stypes="app*4030*20170106*" /stext=" 13:.+((SYSTEM_STATE.+slice.+state.+changed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8" t="str">
        <f t="shared" si="18"/>
        <v>"%USERPROFILE%\Documents\GitHub\eaglep3\Utilities\RefineRTDCRunTimes.py" --tripid 112-06 --locoid 4030 --swversion DE.1.0.8.0 --startMP 204:64145 --initTime 2017-01-06T06:22:14 --startdatetime 2017-01-06T06:23:02 --delay 0 --endMP 204:149 --enddatetime 2017-01-06T06:37:42 --enforcementcount 0 &gt;&gt;C:\Users\stu\Documents\GitHub\eaglep3-reporting\EC\2017-01-06-refined-times.txt</v>
      </c>
      <c r="AI25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{"issue":{"subject":"","project_id":79,"tracker_id":40,"status_id":1,"priority_id":2,"assigned_to_id":23,"start_date":"2017-01-06","description":"","custom_fields":[{"id":1,"name":"Subdivision","value":"EC"},{"id":4,"name":"Milepost","value":"0.0149"},{"id":17,"name":"Train ID","value":"112-06"},{"id":16,"name":"Locomotive ID","value":"4030"},{"id":130,"name":"Impact","value":""},{"id":150,"name":"Time of Event (Mountain Time)","value":"06:37:42"},{"id":151,"name":"Denver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80" t="str">
        <f t="shared" si="20"/>
        <v>start /low /b %USERPROFILE%\Documents\GitHub\eaglep3\Utilities\DownloadLogsFromS3.py --loco 4030 --day 2017-01-06</v>
      </c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494</v>
      </c>
      <c r="B26" s="7">
        <v>4003</v>
      </c>
      <c r="C26" s="22" t="s">
        <v>203</v>
      </c>
      <c r="D26" s="22" t="s">
        <v>371</v>
      </c>
      <c r="E26" s="13">
        <v>42741.225706018522</v>
      </c>
      <c r="F26" s="13">
        <v>42741.229398148149</v>
      </c>
      <c r="G26" s="7">
        <v>1</v>
      </c>
      <c r="H26" s="22" t="s">
        <v>368</v>
      </c>
      <c r="I26" s="13">
        <v>42741.254305555558</v>
      </c>
      <c r="J26" s="7">
        <v>0</v>
      </c>
      <c r="K26" s="105" t="str">
        <f t="shared" si="0"/>
        <v>4003/4004</v>
      </c>
      <c r="L26" s="22" t="str">
        <f>VLOOKUP(A26,'Trips&amp;Operators'!$C$1:$G$99999,5,FALSE)</f>
        <v>YANG JAN</v>
      </c>
      <c r="M26" s="6">
        <f t="shared" si="1"/>
        <v>2.4907407409045845E-2</v>
      </c>
      <c r="N26" s="7">
        <f>24*60*SUM($M26:$M26)</f>
        <v>35.866666669026017</v>
      </c>
      <c r="O26" s="7"/>
      <c r="P26" s="7"/>
      <c r="Q26" s="23"/>
      <c r="R26" s="23"/>
      <c r="S26" s="32">
        <f>SUM(U26:U26)/IF(AG26="EC",12,1)</f>
        <v>1</v>
      </c>
      <c r="T26" s="47" t="str">
        <f t="shared" si="4"/>
        <v>NorthBound</v>
      </c>
      <c r="U26" s="16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04:25:01-700',mode:absolute,to:'2017-01-06 07:06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6" s="49" t="str">
        <f t="shared" si="6"/>
        <v>N</v>
      </c>
      <c r="X26" s="173">
        <f t="shared" si="7"/>
        <v>3</v>
      </c>
      <c r="Y26" s="64">
        <f t="shared" si="8"/>
        <v>7.5200000000000003E-2</v>
      </c>
      <c r="Z26" s="64">
        <f t="shared" si="9"/>
        <v>23.329899999999999</v>
      </c>
      <c r="AA26" s="64">
        <f t="shared" si="10"/>
        <v>23.2547</v>
      </c>
      <c r="AB26" s="61"/>
      <c r="AC26" s="57"/>
      <c r="AD26" s="58" t="str">
        <f t="shared" si="11"/>
        <v>0115-06</v>
      </c>
      <c r="AE26" s="87" t="str">
        <f t="shared" si="12"/>
        <v>aws s3 cp s3://rtdc.mdm.uploadarchive.raw/RTDC4003/ "%USERPROFILE%\AppData\Local\Temp\OnboardLogs"\RTDC4003\2017-01-06 --exclude "*" --recursive --include "*20170106*" &amp; "%USERPROFILE%\Documents\GitHub\mrs-test-scripts\Headless Mode &amp; Sideloading\WalkAndUnGZ.bat" "%USERPROFILE%\AppData\Local\Temp\OnboardLogs"\RTDC4003\2017-01-06 &amp; 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</v>
      </c>
      <c r="AF26" s="84" t="str">
        <f t="shared" si="13"/>
        <v>"C:\Program Files (x86)\AstroGrep\AstroGrep.exe" /spath="%USERPROFILE%\AppData\Local\Temp\OnboardLogs" /stypes="app*4003*20170106*"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8" t="str">
        <f t="shared" si="18"/>
        <v>"%USERPROFILE%\Documents\GitHub\eaglep3\Utilities\RefineRTDCRunTimes.py" --tripid 115-06 --locoid 4003 --swversion DE.1.0.8.0 --startMP 204:752 --initTime 2017-01-06T05:25:01 --startdatetime 2017-01-06T05:30:20 --delay 1 --endMP 204:233299 --enddatetime 2017-01-06T06:06:12 --enforcementcount 0 &gt;&gt;C:\Users\stu\Documents\GitHub\eaglep3-reporting\EC\2017-01-06-refined-times.txt</v>
      </c>
      <c r="AI26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{"issue":{"subject":"","project_id":79,"tracker_id":40,"status_id":1,"priority_id":2,"assigned_to_id":23,"start_date":"2017-01-06","description":"","custom_fields":[{"id":1,"name":"Subdivision","value":"EC"},{"id":4,"name":"Milepost","value":"23.3299"},{"id":17,"name":"Train ID","value":"115-06"},{"id":16,"name":"Locomotive ID","value":"4003"},{"id":130,"name":"Impact","value":""},{"id":150,"name":"Time of Event (Mountain Time)","value":"06:06:12"},{"id":151,"name":"Denver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80" t="str">
        <f t="shared" si="20"/>
        <v>start /low /b %USERPROFILE%\Documents\GitHub\eaglep3\Utilities\DownloadLogsFromS3.py --loco 4003 --day 2017-01-06</v>
      </c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501</v>
      </c>
      <c r="B27" s="7">
        <v>4004</v>
      </c>
      <c r="C27" s="22" t="s">
        <v>203</v>
      </c>
      <c r="D27" s="22" t="s">
        <v>310</v>
      </c>
      <c r="E27" s="13">
        <v>42741.256168981483</v>
      </c>
      <c r="F27" s="13">
        <v>42741.257465277777</v>
      </c>
      <c r="G27" s="7">
        <v>1</v>
      </c>
      <c r="H27" s="22" t="s">
        <v>678</v>
      </c>
      <c r="I27" s="13">
        <v>42741.285787037035</v>
      </c>
      <c r="J27" s="7">
        <v>0</v>
      </c>
      <c r="K27" s="105" t="str">
        <f t="shared" si="0"/>
        <v>4003/4004</v>
      </c>
      <c r="L27" s="22" t="str">
        <f>VLOOKUP(A27,'Trips&amp;Operators'!$C$1:$G$99999,5,FALSE)</f>
        <v>YANG JAN</v>
      </c>
      <c r="M27" s="6">
        <f t="shared" si="1"/>
        <v>2.8321759258687962E-2</v>
      </c>
      <c r="N27" s="7"/>
      <c r="O27" s="7"/>
      <c r="P27" s="7">
        <f>24*60*SUM($M27:$M28)</f>
        <v>56.900000005261973</v>
      </c>
      <c r="Q27" s="23"/>
      <c r="R27" s="23" t="s">
        <v>843</v>
      </c>
      <c r="S27" s="32">
        <f>SUM(U27:U28)/IF(AG27="EC",12,1)</f>
        <v>1</v>
      </c>
      <c r="T27" s="47" t="str">
        <f t="shared" si="4"/>
        <v>Southbound</v>
      </c>
      <c r="U27" s="16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3</v>
      </c>
      <c r="V2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05:08:53-700',mode:absolute,to:'2017-01-06 07:51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7" s="49" t="str">
        <f t="shared" si="6"/>
        <v>Y</v>
      </c>
      <c r="X27" s="173">
        <f t="shared" si="7"/>
        <v>1</v>
      </c>
      <c r="Y27" s="64">
        <f t="shared" si="8"/>
        <v>23.298999999999999</v>
      </c>
      <c r="Z27" s="64">
        <f t="shared" si="9"/>
        <v>7.2141999999999999</v>
      </c>
      <c r="AA27" s="64">
        <f t="shared" si="10"/>
        <v>16.084800000000001</v>
      </c>
      <c r="AB27" s="61"/>
      <c r="AC27" s="57"/>
      <c r="AD27" s="58" t="str">
        <f t="shared" si="11"/>
        <v>0116-06</v>
      </c>
      <c r="AE27" s="87" t="str">
        <f t="shared" si="12"/>
        <v>aws s3 cp s3://rtdc.mdm.uploadarchive.raw/RTDC4004/ "%USERPROFILE%\AppData\Local\Temp\OnboardLogs"\RTDC4004\2017-01-06 --exclude "*" --recursive --include "*20170106*" &amp; "%USERPROFILE%\Documents\GitHub\mrs-test-scripts\Headless Mode &amp; Sideloading\WalkAndUnGZ.bat" "%USERPROFILE%\AppData\Local\Temp\OnboardLogs"\RTDC4004\2017-01-06 &amp; aws s3 cp s3://rtdc.mdm.uploadarchive.raw/RTDC4004/ "%USERPROFILE%\AppData\Local\Temp\OnboardLogs"\RTDC4004\2017-01-07 --exclude "*" --recursive --include "*20170107*" &amp; "%USERPROFILE%\Documents\GitHub\mrs-test-scripts\Headless Mode &amp; Sideloading\WalkAndUnGZ.bat" "%USERPROFILE%\AppData\Local\Temp\OnboardLogs"\RTDC4004\2017-01-07</v>
      </c>
      <c r="AF27" s="84" t="str">
        <f t="shared" si="13"/>
        <v>"C:\Program Files (x86)\AstroGrep\AstroGrep.exe" /spath="%USERPROFILE%\AppData\Local\Temp\OnboardLogs" /stypes="app*4004*20170106*"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8" t="str">
        <f t="shared" si="18"/>
        <v>"%USERPROFILE%\Documents\GitHub\eaglep3\Utilities\RefineRTDCRunTimes.py" --tripid 116-06 --locoid 4004 --swversion DE.1.0.8.0 --startMP 204:232990 --initTime 2017-01-06T06:08:53 --startdatetime 2017-01-06T06:10:45 --delay 1 --endMP 204:72142 --enddatetime 2017-01-06T06:51:32 --enforcementcount 0 &gt;&gt;C:\Users\stu\Documents\GitHub\eaglep3-reporting\EC\2017-01-06-refined-times.txt</v>
      </c>
      <c r="AI27" s="115" t="str">
        <f t="shared" si="19"/>
        <v>echo {"issue":{"subject":"False occupancy at 6.4-6.83","project_id":79,"tracker_id":40,"status_id":1,"priority_id":2,"assigned_to_id":23,"start_date":"2017-01-06","description":"","custom_fields":[{"id":1,"name":"Subdivision","value":"EC"},{"id":4,"name":"Milepost","value":"7.2142"},{"id":17,"name":"Train ID","value":"116-06"},{"id":16,"name":"Locomotive ID","value":"4004"},{"id":130,"name":"Impact","value":""},{"id":150,"name":"Time of Event (Mountain Time)","value":"06:51:32"},{"id":151,"name":"Denver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80" t="str">
        <f t="shared" si="20"/>
        <v>start /low /b %USERPROFILE%\Documents\GitHub\eaglep3\Utilities\DownloadLogsFromS3.py --loco 4004 --day 2017-01-06</v>
      </c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501</v>
      </c>
      <c r="B28" s="7">
        <v>4004</v>
      </c>
      <c r="C28" s="22" t="s">
        <v>203</v>
      </c>
      <c r="D28" s="22" t="s">
        <v>679</v>
      </c>
      <c r="E28" s="13">
        <v>42741.288414351853</v>
      </c>
      <c r="F28" s="13">
        <v>42741.289120370369</v>
      </c>
      <c r="G28" s="7">
        <v>1</v>
      </c>
      <c r="H28" s="22" t="s">
        <v>285</v>
      </c>
      <c r="I28" s="13">
        <v>42741.300312500003</v>
      </c>
      <c r="J28" s="7">
        <v>0</v>
      </c>
      <c r="K28" s="105" t="str">
        <f t="shared" si="0"/>
        <v>4003/4004</v>
      </c>
      <c r="L28" s="22" t="str">
        <f>VLOOKUP(A28,'Trips&amp;Operators'!$C$1:$G$99999,5,FALSE)</f>
        <v>YANG JAN</v>
      </c>
      <c r="M28" s="6">
        <f t="shared" si="1"/>
        <v>1.1192129633855075E-2</v>
      </c>
      <c r="N28" s="7"/>
      <c r="O28" s="7"/>
      <c r="P28" s="7"/>
      <c r="Q28" s="23"/>
      <c r="R28" s="23"/>
      <c r="S28" s="32"/>
      <c r="T28" s="47" t="str">
        <f t="shared" si="4"/>
        <v>Southbound</v>
      </c>
      <c r="U28" s="16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9</v>
      </c>
      <c r="V2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05:55:19-700',mode:absolute,to:'2017-01-06 08:12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8" s="49" t="str">
        <f t="shared" si="6"/>
        <v>Y</v>
      </c>
      <c r="X28" s="173">
        <f t="shared" si="7"/>
        <v>0</v>
      </c>
      <c r="Y28" s="64">
        <f t="shared" si="8"/>
        <v>6.4170999999999996</v>
      </c>
      <c r="Z28" s="64">
        <f t="shared" si="9"/>
        <v>1.5800000000000002E-2</v>
      </c>
      <c r="AA28" s="64">
        <f t="shared" si="10"/>
        <v>6.4013</v>
      </c>
      <c r="AB28" s="61"/>
      <c r="AC28" s="57"/>
      <c r="AD28" s="58" t="str">
        <f t="shared" si="11"/>
        <v>0116-06</v>
      </c>
      <c r="AE28" s="87" t="str">
        <f t="shared" si="12"/>
        <v>aws s3 cp s3://rtdc.mdm.uploadarchive.raw/RTDC4004/ "%USERPROFILE%\AppData\Local\Temp\OnboardLogs"\RTDC4004\2017-01-06 --exclude "*" --recursive --include "*20170106*" &amp; "%USERPROFILE%\Documents\GitHub\mrs-test-scripts\Headless Mode &amp; Sideloading\WalkAndUnGZ.bat" "%USERPROFILE%\AppData\Local\Temp\OnboardLogs"\RTDC4004\2017-01-06 &amp; aws s3 cp s3://rtdc.mdm.uploadarchive.raw/RTDC4004/ "%USERPROFILE%\AppData\Local\Temp\OnboardLogs"\RTDC4004\2017-01-07 --exclude "*" --recursive --include "*20170107*" &amp; "%USERPROFILE%\Documents\GitHub\mrs-test-scripts\Headless Mode &amp; Sideloading\WalkAndUnGZ.bat" "%USERPROFILE%\AppData\Local\Temp\OnboardLogs"\RTDC4004\2017-01-07</v>
      </c>
      <c r="AF28" s="84" t="str">
        <f t="shared" si="13"/>
        <v>"C:\Program Files (x86)\AstroGrep\AstroGrep.exe" /spath="%USERPROFILE%\AppData\Local\Temp\OnboardLogs" /stypes="app*4004*20170106*"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8" t="str">
        <f t="shared" si="18"/>
        <v>"%USERPROFILE%\Documents\GitHub\eaglep3\Utilities\RefineRTDCRunTimes.py" --tripid 116-06 --locoid 4004 --swversion DE.1.0.8.0 --startMP 204:64171 --initTime 2017-01-06T06:55:19 --startdatetime 2017-01-06T06:56:20 --delay 1 --endMP 204:158 --enddatetime 2017-01-06T07:12:27 --enforcementcount 0 &gt;&gt;C:\Users\stu\Documents\GitHub\eaglep3-reporting\EC\2017-01-06-refined-times.txt</v>
      </c>
      <c r="AI28" s="115" t="str">
        <f>"echo {""issue"":{""subject"":"""&amp;R28&amp;""",""project_id"":79,""tracker_id"":40,""status_id"":"&amp;redmine_status&amp;",""priority_id"":"&amp;redmine_priority&amp;",""assigned_to_id"":"&amp;redmine_assignee&amp;",""start_date"":"""&amp;TEXT(I28,"YYYY-mm-dd")&amp;""",""description"":"""&amp;AJ28&amp;""",""custom_fields"":[{""id"":1,""name"":""Subdivision"",""value"":"""&amp;AG28&amp;"""},{""id"":4,""name"":""Milepost"",""value"":"""&amp;Z28&amp;"""},{""id"":17,""name"":""Train ID"",""value"":"""&amp;A28&amp;"""},{""id"":16,""name"":""Locomotive ID"",""value"":"""&amp;B28&amp;"""},{""id"":130,""name"":""Impact"",""value"":"""&amp;AK28&amp;"""},{""id"":150,""name"":""Time of Event (Mountain Time)"",""value"":"""&amp;TEXT(I28,"hh:mm:ss")&amp;"""},{""id"":151,""name"":""Denver Issue ID"",""value"":"""&amp;"""},{""id"":178,""name"":""Operational Impact"",""value"":"""&amp;redmine_op_impact&amp;"""},{""id"":179,""name"":""Denver Segment Assigned"",""value"":"""&amp;AL28&amp;"""}]}}"&amp;"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{"issue":{"subject":"","project_id":79,"tracker_id":40,"status_id":1,"priority_id":2,"assigned_to_id":23,"start_date":"2017-01-06","description":"","custom_fields":[{"id":1,"name":"Subdivision","value":"EC"},{"id":4,"name":"Milepost","value":"0.0158"},{"id":17,"name":"Train ID","value":"116-06"},{"id":16,"name":"Locomotive ID","value":"4004"},{"id":130,"name":"Impact","value":""},{"id":150,"name":"Time of Event (Mountain Time)","value":"07:12:27"},{"id":151,"name":"Denver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80" t="str">
        <f t="shared" si="20"/>
        <v>start /low /b %USERPROFILE%\Documents\GitHub\eaglep3\Utilities\DownloadLogsFromS3.py --loco 4004 --day 2017-01-06</v>
      </c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495</v>
      </c>
      <c r="B29" s="7">
        <v>4027</v>
      </c>
      <c r="C29" s="22" t="s">
        <v>203</v>
      </c>
      <c r="D29" s="22" t="s">
        <v>194</v>
      </c>
      <c r="E29" s="13">
        <v>42741.230787037035</v>
      </c>
      <c r="F29" s="13">
        <v>42741.239768518521</v>
      </c>
      <c r="G29" s="7">
        <v>2</v>
      </c>
      <c r="H29" s="22" t="s">
        <v>364</v>
      </c>
      <c r="I29" s="13">
        <v>42741.265150462961</v>
      </c>
      <c r="J29" s="7">
        <v>0</v>
      </c>
      <c r="K29" s="105" t="str">
        <f t="shared" si="0"/>
        <v>4027/4028</v>
      </c>
      <c r="L29" s="22" t="str">
        <f>VLOOKUP(A29,'Trips&amp;Operators'!$C$1:$G$99999,5,FALSE)</f>
        <v>ACKERMAN JARED</v>
      </c>
      <c r="M29" s="6">
        <f t="shared" si="1"/>
        <v>2.5381944440596271E-2</v>
      </c>
      <c r="N29" s="7">
        <f t="shared" ref="N29:N60" si="21">24*60*SUM($M29:$M29)</f>
        <v>36.549999994458631</v>
      </c>
      <c r="O29" s="7"/>
      <c r="P29" s="7"/>
      <c r="Q29" s="23"/>
      <c r="R29" s="23"/>
      <c r="S29" s="32">
        <f t="shared" ref="S29:S60" si="22">SUM(U29:U29)/IF(AG29="EC",12,1)</f>
        <v>1</v>
      </c>
      <c r="T29" s="47" t="str">
        <f t="shared" si="4"/>
        <v>NorthBound</v>
      </c>
      <c r="U29" s="16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04:32:20-700',mode:absolute,to:'2017-01-06 07:21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9" s="49" t="str">
        <f t="shared" si="6"/>
        <v>N</v>
      </c>
      <c r="X29" s="173">
        <f t="shared" si="7"/>
        <v>1</v>
      </c>
      <c r="Y29" s="64">
        <f t="shared" si="8"/>
        <v>4.5100000000000001E-2</v>
      </c>
      <c r="Z29" s="64">
        <f t="shared" si="9"/>
        <v>23.3291</v>
      </c>
      <c r="AA29" s="64">
        <f t="shared" si="10"/>
        <v>23.283999999999999</v>
      </c>
      <c r="AB29" s="61"/>
      <c r="AC29" s="57"/>
      <c r="AD29" s="58" t="str">
        <f t="shared" si="11"/>
        <v>0117-06</v>
      </c>
      <c r="AE29" s="87" t="str">
        <f t="shared" si="12"/>
        <v>aws s3 cp s3://rtdc.mdm.uploadarchive.raw/RTDC4027/ "%USERPROFILE%\AppData\Local\Temp\OnboardLogs"\RTDC4027\2017-01-06 --exclude "*" --recursive --include "*20170106*" &amp; "%USERPROFILE%\Documents\GitHub\mrs-test-scripts\Headless Mode &amp; Sideloading\WalkAndUnGZ.bat" "%USERPROFILE%\AppData\Local\Temp\OnboardLogs"\RTDC4027\2017-01-06 &amp; aws s3 cp s3://rtdc.mdm.uploadarchive.raw/RTDC4027/ "%USERPROFILE%\AppData\Local\Temp\OnboardLogs"\RTDC4027\2017-01-07 --exclude "*" --recursive --include "*20170107*" &amp; "%USERPROFILE%\Documents\GitHub\mrs-test-scripts\Headless Mode &amp; Sideloading\WalkAndUnGZ.bat" "%USERPROFILE%\AppData\Local\Temp\OnboardLogs"\RTDC4027\2017-01-07</v>
      </c>
      <c r="AF29" s="84" t="str">
        <f t="shared" si="13"/>
        <v>"C:\Program Files (x86)\AstroGrep\AstroGrep.exe" /spath="%USERPROFILE%\AppData\Local\Temp\OnboardLogs" /stypes="app*4027*20170106*"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8" t="str">
        <f t="shared" si="18"/>
        <v>"%USERPROFILE%\Documents\GitHub\eaglep3\Utilities\RefineRTDCRunTimes.py" --tripid 117-06 --locoid 4027 --swversion DE.1.0.8.0 --startMP 204:451 --initTime 2017-01-06T05:32:20 --startdatetime 2017-01-06T05:45:16 --delay 2 --endMP 204:233291 --enddatetime 2017-01-06T06:21:49 --enforcementcount 0 &gt;&gt;C:\Users\stu\Documents\GitHub\eaglep3-reporting\EC\2017-01-06-refined-times.txt</v>
      </c>
      <c r="AI29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{"issue":{"subject":"","project_id":79,"tracker_id":40,"status_id":1,"priority_id":2,"assigned_to_id":23,"start_date":"2017-01-06","description":"","custom_fields":[{"id":1,"name":"Subdivision","value":"EC"},{"id":4,"name":"Milepost","value":"23.3291"},{"id":17,"name":"Train ID","value":"117-06"},{"id":16,"name":"Locomotive ID","value":"4027"},{"id":130,"name":"Impact","value":""},{"id":150,"name":"Time of Event (Mountain Time)","value":"06:21:49"},{"id":151,"name":"Denver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80" t="str">
        <f t="shared" si="20"/>
        <v>start /low /b %USERPROFILE%\Documents\GitHub\eaglep3\Utilities\DownloadLogsFromS3.py --loco 4027 --day 2017-01-06</v>
      </c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506</v>
      </c>
      <c r="B30" s="7">
        <v>4028</v>
      </c>
      <c r="C30" s="22" t="s">
        <v>203</v>
      </c>
      <c r="D30" s="22" t="s">
        <v>362</v>
      </c>
      <c r="E30" s="13">
        <v>42741.272766203707</v>
      </c>
      <c r="F30" s="13">
        <v>42741.27888888889</v>
      </c>
      <c r="G30" s="7">
        <v>2</v>
      </c>
      <c r="H30" s="22" t="s">
        <v>246</v>
      </c>
      <c r="I30" s="13">
        <v>42741.307071759256</v>
      </c>
      <c r="J30" s="7">
        <v>0</v>
      </c>
      <c r="K30" s="105" t="str">
        <f t="shared" si="0"/>
        <v>4027/4028</v>
      </c>
      <c r="L30" s="22" t="str">
        <f>VLOOKUP(A30,'Trips&amp;Operators'!$C$1:$G$99999,5,FALSE)</f>
        <v>ACKERMAN JARED</v>
      </c>
      <c r="M30" s="6">
        <f t="shared" si="1"/>
        <v>2.8182870366435964E-2</v>
      </c>
      <c r="N30" s="7">
        <f t="shared" si="21"/>
        <v>40.583333327667788</v>
      </c>
      <c r="O30" s="7"/>
      <c r="P30" s="7"/>
      <c r="Q30" s="23"/>
      <c r="R30" s="23"/>
      <c r="S30" s="32">
        <f t="shared" si="22"/>
        <v>1</v>
      </c>
      <c r="T30" s="47" t="str">
        <f t="shared" si="4"/>
        <v>Southbound</v>
      </c>
      <c r="U30" s="16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05:32:47-700',mode:absolute,to:'2017-01-06 08:22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30" s="49" t="str">
        <f t="shared" si="6"/>
        <v>N</v>
      </c>
      <c r="X30" s="173">
        <f t="shared" si="7"/>
        <v>1</v>
      </c>
      <c r="Y30" s="64">
        <f t="shared" si="8"/>
        <v>23.2987</v>
      </c>
      <c r="Z30" s="64">
        <f t="shared" si="9"/>
        <v>1.47E-2</v>
      </c>
      <c r="AA30" s="64">
        <f t="shared" si="10"/>
        <v>23.283999999999999</v>
      </c>
      <c r="AB30" s="61"/>
      <c r="AC30" s="57"/>
      <c r="AD30" s="58" t="str">
        <f t="shared" si="11"/>
        <v>0118-06</v>
      </c>
      <c r="AE30" s="87" t="str">
        <f t="shared" si="12"/>
        <v>aws s3 cp s3://rtdc.mdm.uploadarchive.raw/RTDC4028/ "%USERPROFILE%\AppData\Local\Temp\OnboardLogs"\RTDC4028\2017-01-06 --exclude "*" --recursive --include "*20170106*" &amp; "%USERPROFILE%\Documents\GitHub\mrs-test-scripts\Headless Mode &amp; Sideloading\WalkAndUnGZ.bat" "%USERPROFILE%\AppData\Local\Temp\OnboardLogs"\RTDC4028\2017-01-06 &amp; aws s3 cp s3://rtdc.mdm.uploadarchive.raw/RTDC4028/ "%USERPROFILE%\AppData\Local\Temp\OnboardLogs"\RTDC4028\2017-01-07 --exclude "*" --recursive --include "*20170107*" &amp; "%USERPROFILE%\Documents\GitHub\mrs-test-scripts\Headless Mode &amp; Sideloading\WalkAndUnGZ.bat" "%USERPROFILE%\AppData\Local\Temp\OnboardLogs"\RTDC4028\2017-01-07</v>
      </c>
      <c r="AF30" s="84" t="str">
        <f t="shared" si="13"/>
        <v>"C:\Program Files (x86)\AstroGrep\AstroGrep.exe" /spath="%USERPROFILE%\AppData\Local\Temp\OnboardLogs" /stypes="app*4028*20170106*"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8" t="str">
        <f t="shared" si="18"/>
        <v>"%USERPROFILE%\Documents\GitHub\eaglep3\Utilities\RefineRTDCRunTimes.py" --tripid 118-06 --locoid 4028 --swversion DE.1.0.8.0 --startMP 204:232987 --initTime 2017-01-06T06:32:47 --startdatetime 2017-01-06T06:41:36 --delay 2 --endMP 204:147 --enddatetime 2017-01-06T07:22:11 --enforcementcount 0 &gt;&gt;C:\Users\stu\Documents\GitHub\eaglep3-reporting\EC\2017-01-06-refined-times.txt</v>
      </c>
      <c r="AI30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{"issue":{"subject":"","project_id":79,"tracker_id":40,"status_id":1,"priority_id":2,"assigned_to_id":23,"start_date":"2017-01-06","description":"","custom_fields":[{"id":1,"name":"Subdivision","value":"EC"},{"id":4,"name":"Milepost","value":"0.0147"},{"id":17,"name":"Train ID","value":"118-06"},{"id":16,"name":"Locomotive ID","value":"4028"},{"id":130,"name":"Impact","value":""},{"id":150,"name":"Time of Event (Mountain Time)","value":"07:22:11"},{"id":151,"name":"Denver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80" t="str">
        <f t="shared" si="20"/>
        <v>start /low /b %USERPROFILE%\Documents\GitHub\eaglep3\Utilities\DownloadLogsFromS3.py --loco 4028 --day 2017-01-06</v>
      </c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499</v>
      </c>
      <c r="B31" s="7">
        <v>4018</v>
      </c>
      <c r="C31" s="22" t="s">
        <v>203</v>
      </c>
      <c r="D31" s="22" t="s">
        <v>435</v>
      </c>
      <c r="E31" s="13">
        <v>42741.250543981485</v>
      </c>
      <c r="F31" s="13">
        <v>42741.251701388886</v>
      </c>
      <c r="G31" s="7">
        <v>1</v>
      </c>
      <c r="H31" s="22" t="s">
        <v>404</v>
      </c>
      <c r="I31" s="13">
        <v>42741.277569444443</v>
      </c>
      <c r="J31" s="7">
        <v>0</v>
      </c>
      <c r="K31" s="105" t="str">
        <f t="shared" si="0"/>
        <v>4017/4018</v>
      </c>
      <c r="L31" s="22" t="str">
        <f>VLOOKUP(A31,'Trips&amp;Operators'!$C$1:$G$99999,5,FALSE)</f>
        <v>ROBINSON KADDIBA</v>
      </c>
      <c r="M31" s="6">
        <f t="shared" si="1"/>
        <v>2.5868055556202307E-2</v>
      </c>
      <c r="N31" s="7">
        <f t="shared" si="21"/>
        <v>37.250000000931323</v>
      </c>
      <c r="O31" s="7"/>
      <c r="P31" s="7"/>
      <c r="Q31" s="23"/>
      <c r="R31" s="23"/>
      <c r="S31" s="32">
        <f t="shared" si="22"/>
        <v>1</v>
      </c>
      <c r="T31" s="47" t="str">
        <f t="shared" si="4"/>
        <v>NorthBound</v>
      </c>
      <c r="U31" s="16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05:00:47-700',mode:absolute,to:'2017-01-06 07:39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1" s="49" t="str">
        <f t="shared" si="6"/>
        <v>N</v>
      </c>
      <c r="X31" s="173">
        <f t="shared" si="7"/>
        <v>1</v>
      </c>
      <c r="Y31" s="64">
        <f t="shared" si="8"/>
        <v>7.17E-2</v>
      </c>
      <c r="Z31" s="64">
        <f t="shared" si="9"/>
        <v>23.3293</v>
      </c>
      <c r="AA31" s="64">
        <f t="shared" si="10"/>
        <v>23.2576</v>
      </c>
      <c r="AB31" s="61"/>
      <c r="AC31" s="57"/>
      <c r="AD31" s="58" t="str">
        <f t="shared" si="11"/>
        <v>0119-06</v>
      </c>
      <c r="AE31" s="87" t="str">
        <f t="shared" si="12"/>
        <v>aws s3 cp s3://rtdc.mdm.uploadarchive.raw/RTDC4018/ "%USERPROFILE%\AppData\Local\Temp\OnboardLogs"\RTDC4018\2017-01-06 --exclude "*" --recursive --include "*20170106*" &amp; "%USERPROFILE%\Documents\GitHub\mrs-test-scripts\Headless Mode &amp; Sideloading\WalkAndUnGZ.bat" "%USERPROFILE%\AppData\Local\Temp\OnboardLogs"\RTDC4018\2017-01-06 &amp; aws s3 cp s3://rtdc.mdm.uploadarchive.raw/RTDC4018/ "%USERPROFILE%\AppData\Local\Temp\OnboardLogs"\RTDC4018\2017-01-07 --exclude "*" --recursive --include "*20170107*" &amp; "%USERPROFILE%\Documents\GitHub\mrs-test-scripts\Headless Mode &amp; Sideloading\WalkAndUnGZ.bat" "%USERPROFILE%\AppData\Local\Temp\OnboardLogs"\RTDC4018\2017-01-07</v>
      </c>
      <c r="AF31" s="84" t="str">
        <f t="shared" si="13"/>
        <v>"C:\Program Files (x86)\AstroGrep\AstroGrep.exe" /spath="%USERPROFILE%\AppData\Local\Temp\OnboardLogs" /stypes="app*4018*20170106*"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8" t="str">
        <f t="shared" si="18"/>
        <v>"%USERPROFILE%\Documents\GitHub\eaglep3\Utilities\RefineRTDCRunTimes.py" --tripid 119-06 --locoid 4018 --swversion DE.1.0.8.0 --startMP 204:717 --initTime 2017-01-06T06:00:47 --startdatetime 2017-01-06T06:02:27 --delay 1 --endMP 204:233293 --enddatetime 2017-01-06T06:39:42 --enforcementcount 0 &gt;&gt;C:\Users\stu\Documents\GitHub\eaglep3-reporting\EC\2017-01-06-refined-times.txt</v>
      </c>
      <c r="AI31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{"issue":{"subject":"","project_id":79,"tracker_id":40,"status_id":1,"priority_id":2,"assigned_to_id":23,"start_date":"2017-01-06","description":"","custom_fields":[{"id":1,"name":"Subdivision","value":"EC"},{"id":4,"name":"Milepost","value":"23.3293"},{"id":17,"name":"Train ID","value":"119-06"},{"id":16,"name":"Locomotive ID","value":"4018"},{"id":130,"name":"Impact","value":""},{"id":150,"name":"Time of Event (Mountain Time)","value":"06:39:42"},{"id":151,"name":"Denver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80" t="str">
        <f t="shared" si="20"/>
        <v>start /low /b %USERPROFILE%\Documents\GitHub\eaglep3\Utilities\DownloadLogsFromS3.py --loco 4018 --day 2017-01-06</v>
      </c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512</v>
      </c>
      <c r="B32" s="7">
        <v>4017</v>
      </c>
      <c r="C32" s="22" t="s">
        <v>203</v>
      </c>
      <c r="D32" s="22" t="s">
        <v>416</v>
      </c>
      <c r="E32" s="13">
        <v>42741.283333333333</v>
      </c>
      <c r="F32" s="13">
        <v>42741.289155092592</v>
      </c>
      <c r="G32" s="7">
        <v>1</v>
      </c>
      <c r="H32" s="22" t="s">
        <v>279</v>
      </c>
      <c r="I32" s="13">
        <v>42741.319687499999</v>
      </c>
      <c r="J32" s="7">
        <v>0</v>
      </c>
      <c r="K32" s="105" t="str">
        <f t="shared" si="0"/>
        <v>4017/4018</v>
      </c>
      <c r="L32" s="22" t="str">
        <f>VLOOKUP(A32,'Trips&amp;Operators'!$C$1:$G$99999,5,FALSE)</f>
        <v>ROBINSON KADDIBA</v>
      </c>
      <c r="M32" s="6">
        <f t="shared" si="1"/>
        <v>3.0532407407008577E-2</v>
      </c>
      <c r="N32" s="7">
        <f t="shared" si="21"/>
        <v>43.966666666092351</v>
      </c>
      <c r="O32" s="7"/>
      <c r="P32" s="7"/>
      <c r="Q32" s="23"/>
      <c r="R32" s="23"/>
      <c r="S32" s="32">
        <f t="shared" si="22"/>
        <v>1</v>
      </c>
      <c r="T32" s="47" t="str">
        <f t="shared" si="4"/>
        <v>Southbound</v>
      </c>
      <c r="U32" s="16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05:48:00-700',mode:absolute,to:'2017-01-06 08:40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2" s="49" t="str">
        <f t="shared" si="6"/>
        <v>N</v>
      </c>
      <c r="X32" s="173">
        <f t="shared" si="7"/>
        <v>1</v>
      </c>
      <c r="Y32" s="64">
        <f t="shared" si="8"/>
        <v>23.298400000000001</v>
      </c>
      <c r="Z32" s="64">
        <f t="shared" si="9"/>
        <v>1.52E-2</v>
      </c>
      <c r="AA32" s="64">
        <f t="shared" si="10"/>
        <v>23.283200000000001</v>
      </c>
      <c r="AB32" s="61"/>
      <c r="AC32" s="57"/>
      <c r="AD32" s="58" t="str">
        <f t="shared" si="11"/>
        <v>0120-06</v>
      </c>
      <c r="AE32" s="87" t="str">
        <f t="shared" si="12"/>
        <v>aws s3 cp s3://rtdc.mdm.uploadarchive.raw/RTDC4017/ "%USERPROFILE%\AppData\Local\Temp\OnboardLogs"\RTDC4017\2017-01-06 --exclude "*" --recursive --include "*20170106*" &amp; "%USERPROFILE%\Documents\GitHub\mrs-test-scripts\Headless Mode &amp; Sideloading\WalkAndUnGZ.bat" "%USERPROFILE%\AppData\Local\Temp\OnboardLogs"\RTDC4017\2017-01-06 &amp; aws s3 cp s3://rtdc.mdm.uploadarchive.raw/RTDC4017/ "%USERPROFILE%\AppData\Local\Temp\OnboardLogs"\RTDC4017\2017-01-07 --exclude "*" --recursive --include "*20170107*" &amp; "%USERPROFILE%\Documents\GitHub\mrs-test-scripts\Headless Mode &amp; Sideloading\WalkAndUnGZ.bat" "%USERPROFILE%\AppData\Local\Temp\OnboardLogs"\RTDC4017\2017-01-07</v>
      </c>
      <c r="AF32" s="84" t="str">
        <f t="shared" si="13"/>
        <v>"C:\Program Files (x86)\AstroGrep\AstroGrep.exe" /spath="%USERPROFILE%\AppData\Local\Temp\OnboardLogs" /stypes="app*4017*20170106*"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8" t="str">
        <f t="shared" si="18"/>
        <v>"%USERPROFILE%\Documents\GitHub\eaglep3\Utilities\RefineRTDCRunTimes.py" --tripid 120-06 --locoid 4017 --swversion DE.1.0.8.0 --startMP 204:232984 --initTime 2017-01-06T06:48:00 --startdatetime 2017-01-06T06:56:23 --delay 1 --endMP 204:152 --enddatetime 2017-01-06T07:40:21 --enforcementcount 0 &gt;&gt;C:\Users\stu\Documents\GitHub\eaglep3-reporting\EC\2017-01-06-refined-times.txt</v>
      </c>
      <c r="AI32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{"issue":{"subject":"","project_id":79,"tracker_id":40,"status_id":1,"priority_id":2,"assigned_to_id":23,"start_date":"2017-01-06","description":"","custom_fields":[{"id":1,"name":"Subdivision","value":"EC"},{"id":4,"name":"Milepost","value":"0.0152"},{"id":17,"name":"Train ID","value":"120-06"},{"id":16,"name":"Locomotive ID","value":"4017"},{"id":130,"name":"Impact","value":""},{"id":150,"name":"Time of Event (Mountain Time)","value":"07:40:21"},{"id":151,"name":"Denver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80" t="str">
        <f t="shared" si="20"/>
        <v>start /low /b %USERPROFILE%\Documents\GitHub\eaglep3\Utilities\DownloadLogsFromS3.py --loco 4017 --day 2017-01-06</v>
      </c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502</v>
      </c>
      <c r="B33" s="7">
        <v>4044</v>
      </c>
      <c r="C33" s="22" t="s">
        <v>203</v>
      </c>
      <c r="D33" s="22" t="s">
        <v>680</v>
      </c>
      <c r="E33" s="13">
        <v>42741.257453703707</v>
      </c>
      <c r="F33" s="13">
        <v>42741.260613425926</v>
      </c>
      <c r="G33" s="7">
        <v>2</v>
      </c>
      <c r="H33" s="22" t="s">
        <v>681</v>
      </c>
      <c r="I33" s="13">
        <v>42741.289305555554</v>
      </c>
      <c r="J33" s="7">
        <v>0</v>
      </c>
      <c r="K33" s="105" t="str">
        <f t="shared" si="0"/>
        <v>4043/4044</v>
      </c>
      <c r="L33" s="22" t="str">
        <f>VLOOKUP(A33,'Trips&amp;Operators'!$C$1:$G$99999,5,FALSE)</f>
        <v>STARKS ANGELINA</v>
      </c>
      <c r="M33" s="6">
        <f t="shared" si="1"/>
        <v>2.8692129628325347E-2</v>
      </c>
      <c r="N33" s="7">
        <f t="shared" si="21"/>
        <v>41.316666664788499</v>
      </c>
      <c r="O33" s="7"/>
      <c r="P33" s="7"/>
      <c r="Q33" s="23"/>
      <c r="R33" s="23"/>
      <c r="S33" s="32">
        <f t="shared" si="22"/>
        <v>1</v>
      </c>
      <c r="T33" s="47" t="str">
        <f t="shared" si="4"/>
        <v>NorthBound</v>
      </c>
      <c r="U33" s="16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05:10:44-700',mode:absolute,to:'2017-01-06 07:56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3" s="49" t="str">
        <f t="shared" si="6"/>
        <v>N</v>
      </c>
      <c r="X33" s="173">
        <f t="shared" si="7"/>
        <v>1</v>
      </c>
      <c r="Y33" s="64">
        <f t="shared" si="8"/>
        <v>6.3E-2</v>
      </c>
      <c r="Z33" s="64">
        <f t="shared" si="9"/>
        <v>23.3306</v>
      </c>
      <c r="AA33" s="64">
        <f t="shared" si="10"/>
        <v>23.267600000000002</v>
      </c>
      <c r="AB33" s="61"/>
      <c r="AC33" s="57"/>
      <c r="AD33" s="58" t="str">
        <f t="shared" si="11"/>
        <v>0121-06</v>
      </c>
      <c r="AE33" s="87" t="str">
        <f t="shared" si="12"/>
        <v>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 &amp; aws s3 cp s3://rtdc.mdm.uploadarchive.raw/RTDC4044/ "%USERPROFILE%\AppData\Local\Temp\OnboardLogs"\RTDC4044\2017-01-07 --exclude "*" --recursive --include "*20170107*" &amp; "%USERPROFILE%\Documents\GitHub\mrs-test-scripts\Headless Mode &amp; Sideloading\WalkAndUnGZ.bat" "%USERPROFILE%\AppData\Local\Temp\OnboardLogs"\RTDC4044\2017-01-07</v>
      </c>
      <c r="AF33" s="84" t="str">
        <f t="shared" si="13"/>
        <v>"C:\Program Files (x86)\AstroGrep\AstroGrep.exe" /spath="%USERPROFILE%\AppData\Local\Temp\OnboardLogs" /stypes="app*4044*20170106*"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8" t="str">
        <f t="shared" si="18"/>
        <v>"%USERPROFILE%\Documents\GitHub\eaglep3\Utilities\RefineRTDCRunTimes.py" --tripid 121-06 --locoid 4044 --swversion DE.1.0.8.0 --startMP 204:630 --initTime 2017-01-06T06:10:44 --startdatetime 2017-01-06T06:15:17 --delay 2 --endMP 204:233306 --enddatetime 2017-01-06T06:56:36 --enforcementcount 0 &gt;&gt;C:\Users\stu\Documents\GitHub\eaglep3-reporting\EC\2017-01-06-refined-times.txt</v>
      </c>
      <c r="AI33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{"issue":{"subject":"","project_id":79,"tracker_id":40,"status_id":1,"priority_id":2,"assigned_to_id":23,"start_date":"2017-01-06","description":"","custom_fields":[{"id":1,"name":"Subdivision","value":"EC"},{"id":4,"name":"Milepost","value":"23.3306"},{"id":17,"name":"Train ID","value":"121-06"},{"id":16,"name":"Locomotive ID","value":"4044"},{"id":130,"name":"Impact","value":""},{"id":150,"name":"Time of Event (Mountain Time)","value":"06:56:36"},{"id":151,"name":"Denver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80" t="str">
        <f t="shared" si="20"/>
        <v>start /low /b %USERPROFILE%\Documents\GitHub\eaglep3\Utilities\DownloadLogsFromS3.py --loco 4044 --day 2017-01-06</v>
      </c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515</v>
      </c>
      <c r="B34" s="7">
        <v>4043</v>
      </c>
      <c r="C34" s="22" t="s">
        <v>203</v>
      </c>
      <c r="D34" s="22" t="s">
        <v>362</v>
      </c>
      <c r="E34" s="13">
        <v>42741.297523148147</v>
      </c>
      <c r="F34" s="13">
        <v>42741.299583333333</v>
      </c>
      <c r="G34" s="7">
        <v>1</v>
      </c>
      <c r="H34" s="22" t="s">
        <v>209</v>
      </c>
      <c r="I34" s="13">
        <v>42741.327372685184</v>
      </c>
      <c r="J34" s="7">
        <v>0</v>
      </c>
      <c r="K34" s="105" t="str">
        <f t="shared" si="0"/>
        <v>4043/4044</v>
      </c>
      <c r="L34" s="22" t="str">
        <f>VLOOKUP(A34,'Trips&amp;Operators'!$C$1:$G$99999,5,FALSE)</f>
        <v>STARKS ANGELINA</v>
      </c>
      <c r="M34" s="6">
        <f t="shared" si="1"/>
        <v>2.7789351850515231E-2</v>
      </c>
      <c r="N34" s="7">
        <f t="shared" si="21"/>
        <v>40.016666664741933</v>
      </c>
      <c r="O34" s="7"/>
      <c r="P34" s="7"/>
      <c r="Q34" s="23"/>
      <c r="R34" s="23"/>
      <c r="S34" s="32">
        <f t="shared" si="22"/>
        <v>1</v>
      </c>
      <c r="T34" s="47" t="str">
        <f t="shared" si="4"/>
        <v>Southbound</v>
      </c>
      <c r="U34" s="16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06:08:26-700',mode:absolute,to:'2017-01-06 08:51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34" s="49" t="str">
        <f t="shared" si="6"/>
        <v>N</v>
      </c>
      <c r="X34" s="173">
        <f t="shared" si="7"/>
        <v>1</v>
      </c>
      <c r="Y34" s="64">
        <f t="shared" si="8"/>
        <v>23.2987</v>
      </c>
      <c r="Z34" s="64">
        <f t="shared" si="9"/>
        <v>1.4999999999999999E-2</v>
      </c>
      <c r="AA34" s="64">
        <f t="shared" si="10"/>
        <v>23.2837</v>
      </c>
      <c r="AB34" s="61"/>
      <c r="AC34" s="57"/>
      <c r="AD34" s="58" t="str">
        <f t="shared" si="11"/>
        <v>0122-06</v>
      </c>
      <c r="AE34" s="87" t="str">
        <f t="shared" si="12"/>
        <v>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 &amp; aws s3 cp s3://rtdc.mdm.uploadarchive.raw/RTDC4043/ "%USERPROFILE%\AppData\Local\Temp\OnboardLogs"\RTDC4043\2017-01-07 --exclude "*" --recursive --include "*20170107*" &amp; "%USERPROFILE%\Documents\GitHub\mrs-test-scripts\Headless Mode &amp; Sideloading\WalkAndUnGZ.bat" "%USERPROFILE%\AppData\Local\Temp\OnboardLogs"\RTDC4043\2017-01-07</v>
      </c>
      <c r="AF34" s="84" t="str">
        <f t="shared" si="13"/>
        <v>"C:\Program Files (x86)\AstroGrep\AstroGrep.exe" /spath="%USERPROFILE%\AppData\Local\Temp\OnboardLogs" /stypes="app*4043*20170106*"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8" t="str">
        <f t="shared" si="18"/>
        <v>"%USERPROFILE%\Documents\GitHub\eaglep3\Utilities\RefineRTDCRunTimes.py" --tripid 122-06 --locoid 4043 --swversion DE.1.0.8.0 --startMP 204:232987 --initTime 2017-01-06T07:08:26 --startdatetime 2017-01-06T07:11:24 --delay 1 --endMP 204:150 --enddatetime 2017-01-06T07:51:25 --enforcementcount 0 &gt;&gt;C:\Users\stu\Documents\GitHub\eaglep3-reporting\EC\2017-01-06-refined-times.txt</v>
      </c>
      <c r="AI34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{"issue":{"subject":"","project_id":79,"tracker_id":40,"status_id":1,"priority_id":2,"assigned_to_id":23,"start_date":"2017-01-06","description":"","custom_fields":[{"id":1,"name":"Subdivision","value":"EC"},{"id":4,"name":"Milepost","value":"0.015"},{"id":17,"name":"Train ID","value":"122-06"},{"id":16,"name":"Locomotive ID","value":"4043"},{"id":130,"name":"Impact","value":""},{"id":150,"name":"Time of Event (Mountain Time)","value":"07:51:25"},{"id":151,"name":"Denver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80" t="str">
        <f t="shared" si="20"/>
        <v>start /low /b %USERPROFILE%\Documents\GitHub\eaglep3\Utilities\DownloadLogsFromS3.py --loco 4043 --day 2017-01-06</v>
      </c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504</v>
      </c>
      <c r="B35" s="7">
        <v>4002</v>
      </c>
      <c r="C35" s="22" t="s">
        <v>203</v>
      </c>
      <c r="D35" s="22" t="s">
        <v>682</v>
      </c>
      <c r="E35" s="13">
        <v>42741.268263888887</v>
      </c>
      <c r="F35" s="13">
        <v>42741.271180555559</v>
      </c>
      <c r="G35" s="7">
        <v>2</v>
      </c>
      <c r="H35" s="22" t="s">
        <v>324</v>
      </c>
      <c r="I35" s="13">
        <v>42741.296053240738</v>
      </c>
      <c r="J35" s="7">
        <v>0</v>
      </c>
      <c r="K35" s="105" t="str">
        <f t="shared" si="0"/>
        <v>4001/4002</v>
      </c>
      <c r="L35" s="22" t="str">
        <f>VLOOKUP(A35,'Trips&amp;Operators'!$C$1:$G$99999,5,FALSE)</f>
        <v>SIMMONS SHYHESHA</v>
      </c>
      <c r="M35" s="6">
        <f t="shared" si="1"/>
        <v>2.4872685178706888E-2</v>
      </c>
      <c r="N35" s="7">
        <f t="shared" si="21"/>
        <v>35.816666657337919</v>
      </c>
      <c r="O35" s="7"/>
      <c r="P35" s="7"/>
      <c r="Q35" s="23"/>
      <c r="R35" s="23"/>
      <c r="S35" s="32">
        <f t="shared" si="22"/>
        <v>1</v>
      </c>
      <c r="T35" s="47" t="str">
        <f t="shared" si="4"/>
        <v>NorthBound</v>
      </c>
      <c r="U35" s="16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05:26:18-700',mode:absolute,to:'2017-01-06 08:06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35" s="49" t="str">
        <f t="shared" si="6"/>
        <v>N</v>
      </c>
      <c r="X35" s="173">
        <f t="shared" si="7"/>
        <v>1</v>
      </c>
      <c r="Y35" s="64">
        <f t="shared" si="8"/>
        <v>4.9700000000000001E-2</v>
      </c>
      <c r="Z35" s="64">
        <f t="shared" si="9"/>
        <v>23.332000000000001</v>
      </c>
      <c r="AA35" s="64">
        <f t="shared" si="10"/>
        <v>23.282299999999999</v>
      </c>
      <c r="AB35" s="61"/>
      <c r="AC35" s="57"/>
      <c r="AD35" s="58" t="str">
        <f t="shared" si="11"/>
        <v>0123-06</v>
      </c>
      <c r="AE35" s="87" t="str">
        <f t="shared" si="12"/>
        <v>aws s3 cp s3://rtdc.mdm.uploadarchive.raw/RTDC4002/ "%USERPROFILE%\AppData\Local\Temp\OnboardLogs"\RTDC4002\2017-01-06 --exclude "*" --recursive --include "*20170106*" &amp; "%USERPROFILE%\Documents\GitHub\mrs-test-scripts\Headless Mode &amp; Sideloading\WalkAndUnGZ.bat" "%USERPROFILE%\AppData\Local\Temp\OnboardLogs"\RTDC4002\2017-01-06 &amp; aws s3 cp s3://rtdc.mdm.uploadarchive.raw/RTDC4002/ "%USERPROFILE%\AppData\Local\Temp\OnboardLogs"\RTDC4002\2017-01-07 --exclude "*" --recursive --include "*20170107*" &amp; "%USERPROFILE%\Documents\GitHub\mrs-test-scripts\Headless Mode &amp; Sideloading\WalkAndUnGZ.bat" "%USERPROFILE%\AppData\Local\Temp\OnboardLogs"\RTDC4002\2017-01-07</v>
      </c>
      <c r="AF35" s="84" t="str">
        <f t="shared" si="13"/>
        <v>"C:\Program Files (x86)\AstroGrep\AstroGrep.exe" /spath="%USERPROFILE%\AppData\Local\Temp\OnboardLogs" /stypes="app*4002*20170106*"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8" t="str">
        <f t="shared" si="18"/>
        <v>"%USERPROFILE%\Documents\GitHub\eaglep3\Utilities\RefineRTDCRunTimes.py" --tripid 123-06 --locoid 4002 --swversion DE.1.0.8.0 --startMP 204:497 --initTime 2017-01-06T06:26:18 --startdatetime 2017-01-06T06:30:30 --delay 2 --endMP 204:233320 --enddatetime 2017-01-06T07:06:19 --enforcementcount 0 &gt;&gt;C:\Users\stu\Documents\GitHub\eaglep3-reporting\EC\2017-01-06-refined-times.txt</v>
      </c>
      <c r="AI35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{"issue":{"subject":"","project_id":79,"tracker_id":40,"status_id":1,"priority_id":2,"assigned_to_id":23,"start_date":"2017-01-06","description":"","custom_fields":[{"id":1,"name":"Subdivision","value":"EC"},{"id":4,"name":"Milepost","value":"23.332"},{"id":17,"name":"Train ID","value":"123-06"},{"id":16,"name":"Locomotive ID","value":"4002"},{"id":130,"name":"Impact","value":""},{"id":150,"name":"Time of Event (Mountain Time)","value":"07:06:19"},{"id":151,"name":"Denver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80" t="str">
        <f t="shared" si="20"/>
        <v>start /low /b %USERPROFILE%\Documents\GitHub\eaglep3\Utilities\DownloadLogsFromS3.py --loco 4002 --day 2017-01-06</v>
      </c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517</v>
      </c>
      <c r="B36" s="7">
        <v>4001</v>
      </c>
      <c r="C36" s="22" t="s">
        <v>203</v>
      </c>
      <c r="D36" s="22" t="s">
        <v>260</v>
      </c>
      <c r="E36" s="13">
        <v>42741.302418981482</v>
      </c>
      <c r="F36" s="13">
        <v>42741.309976851851</v>
      </c>
      <c r="G36" s="7">
        <v>2</v>
      </c>
      <c r="H36" s="22" t="s">
        <v>209</v>
      </c>
      <c r="I36" s="13">
        <v>42741.337800925925</v>
      </c>
      <c r="J36" s="7">
        <v>0</v>
      </c>
      <c r="K36" s="105" t="str">
        <f t="shared" si="0"/>
        <v>4001/4002</v>
      </c>
      <c r="L36" s="22" t="str">
        <f>VLOOKUP(A36,'Trips&amp;Operators'!$C$1:$G$99999,5,FALSE)</f>
        <v>SIMMONS SHYHESHA</v>
      </c>
      <c r="M36" s="6">
        <f t="shared" si="1"/>
        <v>2.7824074073578231E-2</v>
      </c>
      <c r="N36" s="7">
        <f t="shared" si="21"/>
        <v>40.066666665952653</v>
      </c>
      <c r="O36" s="7"/>
      <c r="P36" s="7"/>
      <c r="Q36" s="23"/>
      <c r="R36" s="23"/>
      <c r="S36" s="32">
        <f t="shared" si="22"/>
        <v>1</v>
      </c>
      <c r="T36" s="47" t="str">
        <f t="shared" si="4"/>
        <v>Southbound</v>
      </c>
      <c r="U36" s="16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06:15:29-700',mode:absolute,to:'2017-01-06 09:06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36" s="49" t="str">
        <f t="shared" si="6"/>
        <v>N</v>
      </c>
      <c r="X36" s="173">
        <f t="shared" si="7"/>
        <v>1</v>
      </c>
      <c r="Y36" s="64">
        <f t="shared" si="8"/>
        <v>23.2973</v>
      </c>
      <c r="Z36" s="64">
        <f t="shared" si="9"/>
        <v>1.4999999999999999E-2</v>
      </c>
      <c r="AA36" s="64">
        <f t="shared" si="10"/>
        <v>23.282299999999999</v>
      </c>
      <c r="AB36" s="61"/>
      <c r="AC36" s="57"/>
      <c r="AD36" s="58" t="str">
        <f t="shared" si="11"/>
        <v>0124-06</v>
      </c>
      <c r="AE36" s="87" t="str">
        <f t="shared" si="12"/>
        <v>aws s3 cp s3://rtdc.mdm.uploadarchive.raw/RTDC4001/ "%USERPROFILE%\AppData\Local\Temp\OnboardLogs"\RTDC4001\2017-01-06 --exclude "*" --recursive --include "*20170106*" &amp; "%USERPROFILE%\Documents\GitHub\mrs-test-scripts\Headless Mode &amp; Sideloading\WalkAndUnGZ.bat" "%USERPROFILE%\AppData\Local\Temp\OnboardLogs"\RTDC4001\2017-01-06 &amp; aws s3 cp s3://rtdc.mdm.uploadarchive.raw/RTDC4001/ "%USERPROFILE%\AppData\Local\Temp\OnboardLogs"\RTDC4001\2017-01-07 --exclude "*" --recursive --include "*20170107*" &amp; "%USERPROFILE%\Documents\GitHub\mrs-test-scripts\Headless Mode &amp; Sideloading\WalkAndUnGZ.bat" "%USERPROFILE%\AppData\Local\Temp\OnboardLogs"\RTDC4001\2017-01-07</v>
      </c>
      <c r="AF36" s="84" t="str">
        <f t="shared" si="13"/>
        <v>"C:\Program Files (x86)\AstroGrep\AstroGrep.exe" /spath="%USERPROFILE%\AppData\Local\Temp\OnboardLogs" /stypes="app*4001*20170106*"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8" t="str">
        <f t="shared" si="18"/>
        <v>"%USERPROFILE%\Documents\GitHub\eaglep3\Utilities\RefineRTDCRunTimes.py" --tripid 124-06 --locoid 4001 --swversion DE.1.0.8.0 --startMP 204:232973 --initTime 2017-01-06T07:15:29 --startdatetime 2017-01-06T07:26:22 --delay 2 --endMP 204:150 --enddatetime 2017-01-06T08:06:26 --enforcementcount 0 &gt;&gt;C:\Users\stu\Documents\GitHub\eaglep3-reporting\EC\2017-01-06-refined-times.txt</v>
      </c>
      <c r="AI36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{"issue":{"subject":"","project_id":79,"tracker_id":40,"status_id":1,"priority_id":2,"assigned_to_id":23,"start_date":"2017-01-06","description":"","custom_fields":[{"id":1,"name":"Subdivision","value":"EC"},{"id":4,"name":"Milepost","value":"0.015"},{"id":17,"name":"Train ID","value":"124-06"},{"id":16,"name":"Locomotive ID","value":"4001"},{"id":130,"name":"Impact","value":""},{"id":150,"name":"Time of Event (Mountain Time)","value":"08:06:26"},{"id":151,"name":"Denver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80" t="str">
        <f t="shared" si="20"/>
        <v>start /low /b %USERPROFILE%\Documents\GitHub\eaglep3\Utilities\DownloadLogsFromS3.py --loco 4001 --day 2017-01-06</v>
      </c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507</v>
      </c>
      <c r="B37" s="7">
        <v>4029</v>
      </c>
      <c r="C37" s="22" t="s">
        <v>203</v>
      </c>
      <c r="D37" s="22" t="s">
        <v>243</v>
      </c>
      <c r="E37" s="13">
        <v>42741.277581018519</v>
      </c>
      <c r="F37" s="13">
        <v>42741.281504629631</v>
      </c>
      <c r="G37" s="7">
        <v>1</v>
      </c>
      <c r="H37" s="22" t="s">
        <v>683</v>
      </c>
      <c r="I37" s="13">
        <v>42741.307673611111</v>
      </c>
      <c r="J37" s="7">
        <v>0</v>
      </c>
      <c r="K37" s="105" t="str">
        <f t="shared" si="0"/>
        <v>4029/4030</v>
      </c>
      <c r="L37" s="22" t="str">
        <f>VLOOKUP(A37,'Trips&amp;Operators'!$C$1:$G$99999,5,FALSE)</f>
        <v>BONDS REYNALDO</v>
      </c>
      <c r="M37" s="6">
        <f t="shared" si="1"/>
        <v>2.6168981479713693E-2</v>
      </c>
      <c r="N37" s="7">
        <f t="shared" si="21"/>
        <v>37.683333330787718</v>
      </c>
      <c r="O37" s="7"/>
      <c r="P37" s="7"/>
      <c r="Q37" s="23"/>
      <c r="R37" s="23"/>
      <c r="S37" s="32">
        <f t="shared" si="22"/>
        <v>1</v>
      </c>
      <c r="T37" s="47" t="str">
        <f t="shared" si="4"/>
        <v>NorthBound</v>
      </c>
      <c r="U37" s="16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05:39:43-700',mode:absolute,to:'2017-01-06 08:23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37" s="49" t="str">
        <f t="shared" si="6"/>
        <v>N</v>
      </c>
      <c r="X37" s="173">
        <f t="shared" si="7"/>
        <v>1</v>
      </c>
      <c r="Y37" s="64">
        <f t="shared" si="8"/>
        <v>4.53E-2</v>
      </c>
      <c r="Z37" s="64">
        <f t="shared" si="9"/>
        <v>23.331700000000001</v>
      </c>
      <c r="AA37" s="64">
        <f t="shared" si="10"/>
        <v>23.2864</v>
      </c>
      <c r="AB37" s="61"/>
      <c r="AC37" s="57"/>
      <c r="AD37" s="58" t="str">
        <f t="shared" si="11"/>
        <v>0125-06</v>
      </c>
      <c r="AE37" s="87" t="str">
        <f t="shared" si="12"/>
        <v>aws s3 cp s3://rtdc.mdm.uploadarchive.raw/RTDC4029/ "%USERPROFILE%\AppData\Local\Temp\OnboardLogs"\RTDC4029\2017-01-06 --exclude "*" --recursive --include "*20170106*" &amp; "%USERPROFILE%\Documents\GitHub\mrs-test-scripts\Headless Mode &amp; Sideloading\WalkAndUnGZ.bat" "%USERPROFILE%\AppData\Local\Temp\OnboardLogs"\RTDC4029\2017-01-06 &amp; aws s3 cp s3://rtdc.mdm.uploadarchive.raw/RTDC4029/ "%USERPROFILE%\AppData\Local\Temp\OnboardLogs"\RTDC4029\2017-01-07 --exclude "*" --recursive --include "*20170107*" &amp; "%USERPROFILE%\Documents\GitHub\mrs-test-scripts\Headless Mode &amp; Sideloading\WalkAndUnGZ.bat" "%USERPROFILE%\AppData\Local\Temp\OnboardLogs"\RTDC4029\2017-01-07</v>
      </c>
      <c r="AF37" s="84" t="str">
        <f t="shared" si="13"/>
        <v>"C:\Program Files (x86)\AstroGrep\AstroGrep.exe" /spath="%USERPROFILE%\AppData\Local\Temp\OnboardLogs" /stypes="app*4029*20170106*"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8" t="str">
        <f t="shared" si="18"/>
        <v>"%USERPROFILE%\Documents\GitHub\eaglep3\Utilities\RefineRTDCRunTimes.py" --tripid 125-06 --locoid 4029 --swversion DE.1.0.8.0 --startMP 204:453 --initTime 2017-01-06T06:39:43 --startdatetime 2017-01-06T06:45:22 --delay 1 --endMP 204:233317 --enddatetime 2017-01-06T07:23:03 --enforcementcount 0 &gt;&gt;C:\Users\stu\Documents\GitHub\eaglep3-reporting\EC\2017-01-06-refined-times.txt</v>
      </c>
      <c r="AI37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{"issue":{"subject":"","project_id":79,"tracker_id":40,"status_id":1,"priority_id":2,"assigned_to_id":23,"start_date":"2017-01-06","description":"","custom_fields":[{"id":1,"name":"Subdivision","value":"EC"},{"id":4,"name":"Milepost","value":"23.3317"},{"id":17,"name":"Train ID","value":"125-06"},{"id":16,"name":"Locomotive ID","value":"4029"},{"id":130,"name":"Impact","value":""},{"id":150,"name":"Time of Event (Mountain Time)","value":"07:23:03"},{"id":151,"name":"Denver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80" t="str">
        <f t="shared" si="20"/>
        <v>start /low /b %USERPROFILE%\Documents\GitHub\eaglep3\Utilities\DownloadLogsFromS3.py --loco 4029 --day 2017-01-06</v>
      </c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520</v>
      </c>
      <c r="B38" s="7">
        <v>4030</v>
      </c>
      <c r="C38" s="22" t="s">
        <v>203</v>
      </c>
      <c r="D38" s="22" t="s">
        <v>684</v>
      </c>
      <c r="E38" s="13">
        <v>42741.313148148147</v>
      </c>
      <c r="F38" s="13">
        <v>42741.320335648146</v>
      </c>
      <c r="G38" s="7">
        <v>1</v>
      </c>
      <c r="H38" s="22" t="s">
        <v>685</v>
      </c>
      <c r="I38" s="13">
        <v>42741.349710648145</v>
      </c>
      <c r="J38" s="7">
        <v>0</v>
      </c>
      <c r="K38" s="105" t="str">
        <f t="shared" si="0"/>
        <v>4029/4030</v>
      </c>
      <c r="L38" s="22" t="str">
        <f>VLOOKUP(A38,'Trips&amp;Operators'!$C$1:$G$99999,5,FALSE)</f>
        <v>BONDS REYNALDO</v>
      </c>
      <c r="M38" s="6">
        <f t="shared" si="1"/>
        <v>2.937499999825377E-2</v>
      </c>
      <c r="N38" s="7">
        <f t="shared" si="21"/>
        <v>42.299999997485429</v>
      </c>
      <c r="O38" s="7"/>
      <c r="P38" s="7"/>
      <c r="Q38" s="23"/>
      <c r="R38" s="23"/>
      <c r="S38" s="32">
        <f t="shared" si="22"/>
        <v>1</v>
      </c>
      <c r="T38" s="47" t="str">
        <f t="shared" si="4"/>
        <v>Southbound</v>
      </c>
      <c r="U38" s="16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06:30:56-700',mode:absolute,to:'2017-01-06 09:23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38" s="49" t="str">
        <f t="shared" si="6"/>
        <v>N</v>
      </c>
      <c r="X38" s="173">
        <f t="shared" si="7"/>
        <v>1</v>
      </c>
      <c r="Y38" s="64">
        <f t="shared" si="8"/>
        <v>23.300999999999998</v>
      </c>
      <c r="Z38" s="64">
        <f t="shared" si="9"/>
        <v>1.67E-2</v>
      </c>
      <c r="AA38" s="64">
        <f t="shared" si="10"/>
        <v>23.284299999999998</v>
      </c>
      <c r="AB38" s="61"/>
      <c r="AC38" s="57"/>
      <c r="AD38" s="58" t="str">
        <f t="shared" si="11"/>
        <v>0126-06</v>
      </c>
      <c r="AE38" s="87" t="str">
        <f t="shared" si="12"/>
        <v>aws s3 cp s3://rtdc.mdm.uploadarchive.raw/RTDC4030/ "%USERPROFILE%\AppData\Local\Temp\OnboardLogs"\RTDC4030\2017-01-06 --exclude "*" --recursive --include "*20170106*" &amp; "%USERPROFILE%\Documents\GitHub\mrs-test-scripts\Headless Mode &amp; Sideloading\WalkAndUnGZ.bat" "%USERPROFILE%\AppData\Local\Temp\OnboardLogs"\RTDC4030\2017-01-06 &amp; aws s3 cp s3://rtdc.mdm.uploadarchive.raw/RTDC4030/ "%USERPROFILE%\AppData\Local\Temp\OnboardLogs"\RTDC4030\2017-01-07 --exclude "*" --recursive --include "*20170107*" &amp; "%USERPROFILE%\Documents\GitHub\mrs-test-scripts\Headless Mode &amp; Sideloading\WalkAndUnGZ.bat" "%USERPROFILE%\AppData\Local\Temp\OnboardLogs"\RTDC4030\2017-01-07</v>
      </c>
      <c r="AF38" s="84" t="str">
        <f t="shared" si="13"/>
        <v>"C:\Program Files (x86)\AstroGrep\AstroGrep.exe" /spath="%USERPROFILE%\AppData\Local\Temp\OnboardLogs" /stypes="app*4030*20170106*"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8" t="str">
        <f t="shared" si="18"/>
        <v>"%USERPROFILE%\Documents\GitHub\eaglep3\Utilities\RefineRTDCRunTimes.py" --tripid 126-06 --locoid 4030 --swversion DE.1.0.8.0 --startMP 204:233010 --initTime 2017-01-06T07:30:56 --startdatetime 2017-01-06T07:41:17 --delay 1 --endMP 204:167 --enddatetime 2017-01-06T08:23:35 --enforcementcount 0 &gt;&gt;C:\Users\stu\Documents\GitHub\eaglep3-reporting\EC\2017-01-06-refined-times.txt</v>
      </c>
      <c r="AI38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{"issue":{"subject":"","project_id":79,"tracker_id":40,"status_id":1,"priority_id":2,"assigned_to_id":23,"start_date":"2017-01-06","description":"","custom_fields":[{"id":1,"name":"Subdivision","value":"EC"},{"id":4,"name":"Milepost","value":"0.0167"},{"id":17,"name":"Train ID","value":"126-06"},{"id":16,"name":"Locomotive ID","value":"4030"},{"id":130,"name":"Impact","value":""},{"id":150,"name":"Time of Event (Mountain Time)","value":"08:23:35"},{"id":151,"name":"Denver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80" t="str">
        <f t="shared" si="20"/>
        <v>start /low /b %USERPROFILE%\Documents\GitHub\eaglep3\Utilities\DownloadLogsFromS3.py --loco 4030 --day 2017-01-06</v>
      </c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505</v>
      </c>
      <c r="B39" s="7">
        <v>4009</v>
      </c>
      <c r="C39" s="22" t="s">
        <v>203</v>
      </c>
      <c r="D39" s="22" t="s">
        <v>686</v>
      </c>
      <c r="E39" s="13">
        <v>42741.270775462966</v>
      </c>
      <c r="F39" s="13">
        <v>42741.291990740741</v>
      </c>
      <c r="G39" s="7">
        <v>1</v>
      </c>
      <c r="H39" s="22" t="s">
        <v>687</v>
      </c>
      <c r="I39" s="13">
        <v>42741.317696759259</v>
      </c>
      <c r="J39" s="7">
        <v>0</v>
      </c>
      <c r="K39" s="105" t="str">
        <f t="shared" si="0"/>
        <v>4009/4010</v>
      </c>
      <c r="L39" s="22" t="str">
        <f>VLOOKUP(A39,'Trips&amp;Operators'!$C$1:$G$99999,5,FALSE)</f>
        <v>ISHMAEL JOSEPH</v>
      </c>
      <c r="M39" s="6">
        <f t="shared" si="1"/>
        <v>2.5706018517666962E-2</v>
      </c>
      <c r="N39" s="7">
        <f t="shared" si="21"/>
        <v>37.016666665440425</v>
      </c>
      <c r="O39" s="7"/>
      <c r="P39" s="7"/>
      <c r="Q39" s="23"/>
      <c r="R39" s="23" t="s">
        <v>920</v>
      </c>
      <c r="S39" s="32">
        <f t="shared" si="22"/>
        <v>1</v>
      </c>
      <c r="T39" s="47" t="str">
        <f t="shared" si="4"/>
        <v>NorthBound</v>
      </c>
      <c r="U39" s="16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05:29:55-700',mode:absolute,to:'2017-01-06 08:37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39" s="49" t="str">
        <f t="shared" si="6"/>
        <v>N</v>
      </c>
      <c r="X39" s="173">
        <f t="shared" si="7"/>
        <v>1</v>
      </c>
      <c r="Y39" s="64">
        <f t="shared" si="8"/>
        <v>3.2899999999999999E-2</v>
      </c>
      <c r="Z39" s="64">
        <f t="shared" si="9"/>
        <v>23.329699999999999</v>
      </c>
      <c r="AA39" s="64">
        <f t="shared" si="10"/>
        <v>23.296799999999998</v>
      </c>
      <c r="AB39" s="61"/>
      <c r="AC39" s="57"/>
      <c r="AD39" s="58" t="str">
        <f t="shared" si="11"/>
        <v>0127-06</v>
      </c>
      <c r="AE39" s="87" t="str">
        <f t="shared" si="12"/>
        <v>aws s3 cp s3://rtdc.mdm.uploadarchive.raw/RTDC4009/ "%USERPROFILE%\AppData\Local\Temp\OnboardLogs"\RTDC4009\2017-01-06 --exclude "*" --recursive --include "*20170106*" &amp; "%USERPROFILE%\Documents\GitHub\mrs-test-scripts\Headless Mode &amp; Sideloading\WalkAndUnGZ.bat" "%USERPROFILE%\AppData\Local\Temp\OnboardLogs"\RTDC4009\2017-01-06 &amp; aws s3 cp s3://rtdc.mdm.uploadarchive.raw/RTDC4009/ "%USERPROFILE%\AppData\Local\Temp\OnboardLogs"\RTDC4009\2017-01-07 --exclude "*" --recursive --include "*20170107*" &amp; "%USERPROFILE%\Documents\GitHub\mrs-test-scripts\Headless Mode &amp; Sideloading\WalkAndUnGZ.bat" "%USERPROFILE%\AppData\Local\Temp\OnboardLogs"\RTDC4009\2017-01-07</v>
      </c>
      <c r="AF39" s="84" t="str">
        <f t="shared" si="13"/>
        <v>"C:\Program Files (x86)\AstroGrep\AstroGrep.exe" /spath="%USERPROFILE%\AppData\Local\Temp\OnboardLogs" /stypes="app*4009*20170106*"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8" t="str">
        <f t="shared" si="18"/>
        <v>"%USERPROFILE%\Documents\GitHub\eaglep3\Utilities\RefineRTDCRunTimes.py" --tripid 127-06 --locoid 4009 --swversion DE.1.0.8.0 --startMP 204:329 --initTime 2017-01-06T06:29:55 --startdatetime 2017-01-06T07:00:28 --delay 1 --endMP 204:233297 --enddatetime 2017-01-06T07:37:29 --enforcementcount 0 &gt;&gt;C:\Users\stu\Documents\GitHub\eaglep3-reporting\EC\2017-01-06-refined-times.txt</v>
      </c>
      <c r="AI39" s="115" t="str">
        <f t="shared" si="19"/>
        <v>echo {"issue":{"subject":"Wi-MAX data drop, did not cause enforcement","project_id":79,"tracker_id":40,"status_id":1,"priority_id":2,"assigned_to_id":23,"start_date":"2017-01-06","description":"","custom_fields":[{"id":1,"name":"Subdivision","value":"EC"},{"id":4,"name":"Milepost","value":"23.3297"},{"id":17,"name":"Train ID","value":"127-06"},{"id":16,"name":"Locomotive ID","value":"4009"},{"id":130,"name":"Impact","value":""},{"id":150,"name":"Time of Event (Mountain Time)","value":"07:37:29"},{"id":151,"name":"Denver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80" t="str">
        <f t="shared" si="20"/>
        <v>start /low /b %USERPROFILE%\Documents\GitHub\eaglep3\Utilities\DownloadLogsFromS3.py --loco 4009 --day 2017-01-06</v>
      </c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523</v>
      </c>
      <c r="B40" s="7">
        <v>4010</v>
      </c>
      <c r="C40" s="22" t="s">
        <v>203</v>
      </c>
      <c r="D40" s="22" t="s">
        <v>323</v>
      </c>
      <c r="E40" s="13">
        <v>42741.321111111109</v>
      </c>
      <c r="F40" s="13">
        <v>42741.330775462964</v>
      </c>
      <c r="G40" s="7">
        <v>5</v>
      </c>
      <c r="H40" s="22" t="s">
        <v>247</v>
      </c>
      <c r="I40" s="13">
        <v>42741.358206018522</v>
      </c>
      <c r="J40" s="7">
        <v>0</v>
      </c>
      <c r="K40" s="105" t="str">
        <f t="shared" si="0"/>
        <v>4009/4010</v>
      </c>
      <c r="L40" s="22" t="str">
        <f>VLOOKUP(A40,'Trips&amp;Operators'!$C$1:$G$99999,5,FALSE)</f>
        <v>ISHMAEL JOSEPH</v>
      </c>
      <c r="M40" s="6">
        <f t="shared" si="1"/>
        <v>2.7430555557657499E-2</v>
      </c>
      <c r="N40" s="7">
        <f t="shared" si="21"/>
        <v>39.500000003026798</v>
      </c>
      <c r="O40" s="7"/>
      <c r="P40" s="7"/>
      <c r="Q40" s="23"/>
      <c r="R40" s="23"/>
      <c r="S40" s="32">
        <f t="shared" si="22"/>
        <v>1</v>
      </c>
      <c r="T40" s="47" t="str">
        <f t="shared" si="4"/>
        <v>Southbound</v>
      </c>
      <c r="U40" s="16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06:42:24-700',mode:absolute,to:'2017-01-06 09:35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0" s="49" t="str">
        <f t="shared" si="6"/>
        <v>N</v>
      </c>
      <c r="X40" s="173">
        <f t="shared" si="7"/>
        <v>1</v>
      </c>
      <c r="Y40" s="64">
        <f t="shared" si="8"/>
        <v>23.299199999999999</v>
      </c>
      <c r="Z40" s="64">
        <f t="shared" si="9"/>
        <v>1.3899999999999999E-2</v>
      </c>
      <c r="AA40" s="64">
        <f t="shared" si="10"/>
        <v>23.285299999999999</v>
      </c>
      <c r="AB40" s="61"/>
      <c r="AC40" s="57"/>
      <c r="AD40" s="58" t="str">
        <f t="shared" si="11"/>
        <v>0128-06</v>
      </c>
      <c r="AE40" s="87" t="str">
        <f t="shared" si="12"/>
        <v>aws s3 cp s3://rtdc.mdm.uploadarchive.raw/RTDC4010/ "%USERPROFILE%\AppData\Local\Temp\OnboardLogs"\RTDC4010\2017-01-06 --exclude "*" --recursive --include "*20170106*" &amp; "%USERPROFILE%\Documents\GitHub\mrs-test-scripts\Headless Mode &amp; Sideloading\WalkAndUnGZ.bat" "%USERPROFILE%\AppData\Local\Temp\OnboardLogs"\RTDC4010\2017-01-06 &amp; aws s3 cp s3://rtdc.mdm.uploadarchive.raw/RTDC4010/ "%USERPROFILE%\AppData\Local\Temp\OnboardLogs"\RTDC4010\2017-01-07 --exclude "*" --recursive --include "*20170107*" &amp; "%USERPROFILE%\Documents\GitHub\mrs-test-scripts\Headless Mode &amp; Sideloading\WalkAndUnGZ.bat" "%USERPROFILE%\AppData\Local\Temp\OnboardLogs"\RTDC4010\2017-01-07</v>
      </c>
      <c r="AF40" s="84" t="str">
        <f t="shared" si="13"/>
        <v>"C:\Program Files (x86)\AstroGrep\AstroGrep.exe" /spath="%USERPROFILE%\AppData\Local\Temp\OnboardLogs" /stypes="app*4010*20170106*"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8" t="str">
        <f t="shared" si="18"/>
        <v>"%USERPROFILE%\Documents\GitHub\eaglep3\Utilities\RefineRTDCRunTimes.py" --tripid 128-06 --locoid 4010 --swversion DE.1.0.8.0 --startMP 204:232992 --initTime 2017-01-06T07:42:24 --startdatetime 2017-01-06T07:56:19 --delay 5 --endMP 204:139 --enddatetime 2017-01-06T08:35:49 --enforcementcount 0 &gt;&gt;C:\Users\stu\Documents\GitHub\eaglep3-reporting\EC\2017-01-06-refined-times.txt</v>
      </c>
      <c r="AI40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{"issue":{"subject":"","project_id":79,"tracker_id":40,"status_id":1,"priority_id":2,"assigned_to_id":23,"start_date":"2017-01-06","description":"","custom_fields":[{"id":1,"name":"Subdivision","value":"EC"},{"id":4,"name":"Milepost","value":"0.0139"},{"id":17,"name":"Train ID","value":"128-06"},{"id":16,"name":"Locomotive ID","value":"4010"},{"id":130,"name":"Impact","value":""},{"id":150,"name":"Time of Event (Mountain Time)","value":"08:35:49"},{"id":151,"name":"Denver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80" t="str">
        <f t="shared" si="20"/>
        <v>start /low /b %USERPROFILE%\Documents\GitHub\eaglep3\Utilities\DownloadLogsFromS3.py --loco 4010 --day 2017-01-06</v>
      </c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516</v>
      </c>
      <c r="B41" s="7">
        <v>4003</v>
      </c>
      <c r="C41" s="22" t="s">
        <v>203</v>
      </c>
      <c r="D41" s="22" t="s">
        <v>343</v>
      </c>
      <c r="E41" s="13">
        <v>42741.301481481481</v>
      </c>
      <c r="F41" s="13">
        <v>42741.303761574076</v>
      </c>
      <c r="G41" s="7">
        <v>1</v>
      </c>
      <c r="H41" s="22" t="s">
        <v>687</v>
      </c>
      <c r="I41" s="13">
        <v>42741.329444444447</v>
      </c>
      <c r="J41" s="7">
        <v>0</v>
      </c>
      <c r="K41" s="105" t="str">
        <f t="shared" si="0"/>
        <v>4003/4004</v>
      </c>
      <c r="L41" s="22" t="str">
        <f>VLOOKUP(A41,'Trips&amp;Operators'!$C$1:$G$99999,5,FALSE)</f>
        <v>YANG JAN</v>
      </c>
      <c r="M41" s="6">
        <f t="shared" si="1"/>
        <v>2.5682870371383615E-2</v>
      </c>
      <c r="N41" s="7">
        <f t="shared" si="21"/>
        <v>36.983333334792405</v>
      </c>
      <c r="O41" s="7"/>
      <c r="P41" s="7"/>
      <c r="Q41" s="23"/>
      <c r="R41" s="23"/>
      <c r="S41" s="32">
        <f t="shared" si="22"/>
        <v>1</v>
      </c>
      <c r="T41" s="47" t="str">
        <f t="shared" si="4"/>
        <v>NorthBound</v>
      </c>
      <c r="U41" s="16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06:14:08-700',mode:absolute,to:'2017-01-06 08:54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41" s="49" t="str">
        <f t="shared" si="6"/>
        <v>N</v>
      </c>
      <c r="X41" s="173">
        <f t="shared" si="7"/>
        <v>1</v>
      </c>
      <c r="Y41" s="64">
        <f t="shared" si="8"/>
        <v>4.6600000000000003E-2</v>
      </c>
      <c r="Z41" s="64">
        <f t="shared" si="9"/>
        <v>23.329699999999999</v>
      </c>
      <c r="AA41" s="64">
        <f t="shared" si="10"/>
        <v>23.283099999999997</v>
      </c>
      <c r="AB41" s="61"/>
      <c r="AC41" s="57"/>
      <c r="AD41" s="58" t="str">
        <f t="shared" si="11"/>
        <v>0129-06</v>
      </c>
      <c r="AE41" s="87" t="str">
        <f t="shared" si="12"/>
        <v>aws s3 cp s3://rtdc.mdm.uploadarchive.raw/RTDC4003/ "%USERPROFILE%\AppData\Local\Temp\OnboardLogs"\RTDC4003\2017-01-06 --exclude "*" --recursive --include "*20170106*" &amp; "%USERPROFILE%\Documents\GitHub\mrs-test-scripts\Headless Mode &amp; Sideloading\WalkAndUnGZ.bat" "%USERPROFILE%\AppData\Local\Temp\OnboardLogs"\RTDC4003\2017-01-06 &amp; 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</v>
      </c>
      <c r="AF41" s="84" t="str">
        <f t="shared" si="13"/>
        <v>"C:\Program Files (x86)\AstroGrep\AstroGrep.exe" /spath="%USERPROFILE%\AppData\Local\Temp\OnboardLogs" /stypes="app*4003*20170106*"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8" t="str">
        <f t="shared" si="18"/>
        <v>"%USERPROFILE%\Documents\GitHub\eaglep3\Utilities\RefineRTDCRunTimes.py" --tripid 129-06 --locoid 4003 --swversion DE.1.0.8.0 --startMP 204:466 --initTime 2017-01-06T07:14:08 --startdatetime 2017-01-06T07:17:25 --delay 1 --endMP 204:233297 --enddatetime 2017-01-06T07:54:24 --enforcementcount 0 &gt;&gt;C:\Users\stu\Documents\GitHub\eaglep3-reporting\EC\2017-01-06-refined-times.txt</v>
      </c>
      <c r="AI41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{"issue":{"subject":"","project_id":79,"tracker_id":40,"status_id":1,"priority_id":2,"assigned_to_id":23,"start_date":"2017-01-06","description":"","custom_fields":[{"id":1,"name":"Subdivision","value":"EC"},{"id":4,"name":"Milepost","value":"23.3297"},{"id":17,"name":"Train ID","value":"129-06"},{"id":16,"name":"Locomotive ID","value":"4003"},{"id":130,"name":"Impact","value":""},{"id":150,"name":"Time of Event (Mountain Time)","value":"07:54:24"},{"id":151,"name":"Denver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80" t="str">
        <f t="shared" si="20"/>
        <v>start /low /b %USERPROFILE%\Documents\GitHub\eaglep3\Utilities\DownloadLogsFromS3.py --loco 4003 --day 2017-01-06</v>
      </c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525</v>
      </c>
      <c r="B42" s="7">
        <v>4004</v>
      </c>
      <c r="C42" s="22" t="s">
        <v>203</v>
      </c>
      <c r="D42" s="22" t="s">
        <v>367</v>
      </c>
      <c r="E42" s="13">
        <v>42741.332326388889</v>
      </c>
      <c r="F42" s="13">
        <v>42741.341319444444</v>
      </c>
      <c r="G42" s="7">
        <v>1</v>
      </c>
      <c r="H42" s="22" t="s">
        <v>191</v>
      </c>
      <c r="I42" s="13">
        <v>42741.371967592589</v>
      </c>
      <c r="J42" s="7">
        <v>0</v>
      </c>
      <c r="K42" s="105" t="str">
        <f t="shared" si="0"/>
        <v>4003/4004</v>
      </c>
      <c r="L42" s="22" t="str">
        <f>VLOOKUP(A42,'Trips&amp;Operators'!$C$1:$G$99999,5,FALSE)</f>
        <v>YANG JAN</v>
      </c>
      <c r="M42" s="6">
        <f t="shared" si="1"/>
        <v>3.0648148145701271E-2</v>
      </c>
      <c r="N42" s="7">
        <f t="shared" si="21"/>
        <v>44.13333332980983</v>
      </c>
      <c r="O42" s="7"/>
      <c r="P42" s="7"/>
      <c r="Q42" s="23"/>
      <c r="R42" s="23"/>
      <c r="S42" s="32">
        <f t="shared" si="22"/>
        <v>1</v>
      </c>
      <c r="T42" s="47" t="str">
        <f t="shared" si="4"/>
        <v>Southbound</v>
      </c>
      <c r="U42" s="16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06:58:33-700',mode:absolute,to:'2017-01-06 09:55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42" s="49" t="str">
        <f t="shared" si="6"/>
        <v>N</v>
      </c>
      <c r="X42" s="173">
        <f t="shared" si="7"/>
        <v>1</v>
      </c>
      <c r="Y42" s="64">
        <f t="shared" si="8"/>
        <v>23.299299999999999</v>
      </c>
      <c r="Z42" s="64">
        <f t="shared" si="9"/>
        <v>1.49E-2</v>
      </c>
      <c r="AA42" s="64">
        <f t="shared" si="10"/>
        <v>23.284399999999998</v>
      </c>
      <c r="AB42" s="61"/>
      <c r="AC42" s="57"/>
      <c r="AD42" s="58" t="str">
        <f t="shared" si="11"/>
        <v>0130-06</v>
      </c>
      <c r="AE42" s="87" t="str">
        <f t="shared" si="12"/>
        <v>aws s3 cp s3://rtdc.mdm.uploadarchive.raw/RTDC4004/ "%USERPROFILE%\AppData\Local\Temp\OnboardLogs"\RTDC4004\2017-01-06 --exclude "*" --recursive --include "*20170106*" &amp; "%USERPROFILE%\Documents\GitHub\mrs-test-scripts\Headless Mode &amp; Sideloading\WalkAndUnGZ.bat" "%USERPROFILE%\AppData\Local\Temp\OnboardLogs"\RTDC4004\2017-01-06 &amp; aws s3 cp s3://rtdc.mdm.uploadarchive.raw/RTDC4004/ "%USERPROFILE%\AppData\Local\Temp\OnboardLogs"\RTDC4004\2017-01-07 --exclude "*" --recursive --include "*20170107*" &amp; "%USERPROFILE%\Documents\GitHub\mrs-test-scripts\Headless Mode &amp; Sideloading\WalkAndUnGZ.bat" "%USERPROFILE%\AppData\Local\Temp\OnboardLogs"\RTDC4004\2017-01-07</v>
      </c>
      <c r="AF42" s="84" t="str">
        <f t="shared" si="13"/>
        <v>"C:\Program Files (x86)\AstroGrep\AstroGrep.exe" /spath="%USERPROFILE%\AppData\Local\Temp\OnboardLogs" /stypes="app*4004*20170106*"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8" t="str">
        <f t="shared" si="18"/>
        <v>"%USERPROFILE%\Documents\GitHub\eaglep3\Utilities\RefineRTDCRunTimes.py" --tripid 130-06 --locoid 4004 --swversion DE.1.0.8.0 --startMP 204:232993 --initTime 2017-01-06T07:58:33 --startdatetime 2017-01-06T08:11:30 --delay 1 --endMP 204:149 --enddatetime 2017-01-06T08:55:38 --enforcementcount 0 &gt;&gt;C:\Users\stu\Documents\GitHub\eaglep3-reporting\EC\2017-01-06-refined-times.txt</v>
      </c>
      <c r="AI42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{"issue":{"subject":"","project_id":79,"tracker_id":40,"status_id":1,"priority_id":2,"assigned_to_id":23,"start_date":"2017-01-06","description":"","custom_fields":[{"id":1,"name":"Subdivision","value":"EC"},{"id":4,"name":"Milepost","value":"0.0149"},{"id":17,"name":"Train ID","value":"130-06"},{"id":16,"name":"Locomotive ID","value":"4004"},{"id":130,"name":"Impact","value":""},{"id":150,"name":"Time of Event (Mountain Time)","value":"08:55:38"},{"id":151,"name":"Denver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80" t="str">
        <f t="shared" si="20"/>
        <v>start /low /b %USERPROFILE%\Documents\GitHub\eaglep3\Utilities\DownloadLogsFromS3.py --loco 4004 --day 2017-01-06</v>
      </c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518</v>
      </c>
      <c r="B43" s="7">
        <v>4027</v>
      </c>
      <c r="C43" s="22" t="s">
        <v>203</v>
      </c>
      <c r="D43" s="22" t="s">
        <v>366</v>
      </c>
      <c r="E43" s="13">
        <v>42741.308657407404</v>
      </c>
      <c r="F43" s="13">
        <v>42741.3128125</v>
      </c>
      <c r="G43" s="7">
        <v>1</v>
      </c>
      <c r="H43" s="22" t="s">
        <v>368</v>
      </c>
      <c r="I43" s="13">
        <v>42741.337997685187</v>
      </c>
      <c r="J43" s="7">
        <v>0</v>
      </c>
      <c r="K43" s="105" t="str">
        <f t="shared" si="0"/>
        <v>4027/4028</v>
      </c>
      <c r="L43" s="22" t="str">
        <f>VLOOKUP(A43,'Trips&amp;Operators'!$C$1:$G$99999,5,FALSE)</f>
        <v>ACKERMAN JARED</v>
      </c>
      <c r="M43" s="6">
        <f t="shared" si="1"/>
        <v>2.5185185186273884E-2</v>
      </c>
      <c r="N43" s="7">
        <f t="shared" si="21"/>
        <v>36.266666668234393</v>
      </c>
      <c r="O43" s="7"/>
      <c r="P43" s="7"/>
      <c r="Q43" s="23"/>
      <c r="R43" s="23"/>
      <c r="S43" s="32">
        <f t="shared" si="22"/>
        <v>1</v>
      </c>
      <c r="T43" s="47" t="str">
        <f t="shared" si="4"/>
        <v>NorthBound</v>
      </c>
      <c r="U43" s="16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06:24:28-700',mode:absolute,to:'2017-01-06 09:06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43" s="49" t="str">
        <f t="shared" si="6"/>
        <v>N</v>
      </c>
      <c r="X43" s="173">
        <f t="shared" si="7"/>
        <v>1</v>
      </c>
      <c r="Y43" s="64">
        <f t="shared" si="8"/>
        <v>4.2900000000000001E-2</v>
      </c>
      <c r="Z43" s="64">
        <f t="shared" si="9"/>
        <v>23.329899999999999</v>
      </c>
      <c r="AA43" s="64">
        <f t="shared" si="10"/>
        <v>23.286999999999999</v>
      </c>
      <c r="AB43" s="61"/>
      <c r="AC43" s="57"/>
      <c r="AD43" s="58" t="str">
        <f t="shared" si="11"/>
        <v>0131-06</v>
      </c>
      <c r="AE43" s="87" t="str">
        <f t="shared" si="12"/>
        <v>aws s3 cp s3://rtdc.mdm.uploadarchive.raw/RTDC4027/ "%USERPROFILE%\AppData\Local\Temp\OnboardLogs"\RTDC4027\2017-01-06 --exclude "*" --recursive --include "*20170106*" &amp; "%USERPROFILE%\Documents\GitHub\mrs-test-scripts\Headless Mode &amp; Sideloading\WalkAndUnGZ.bat" "%USERPROFILE%\AppData\Local\Temp\OnboardLogs"\RTDC4027\2017-01-06 &amp; aws s3 cp s3://rtdc.mdm.uploadarchive.raw/RTDC4027/ "%USERPROFILE%\AppData\Local\Temp\OnboardLogs"\RTDC4027\2017-01-07 --exclude "*" --recursive --include "*20170107*" &amp; "%USERPROFILE%\Documents\GitHub\mrs-test-scripts\Headless Mode &amp; Sideloading\WalkAndUnGZ.bat" "%USERPROFILE%\AppData\Local\Temp\OnboardLogs"\RTDC4027\2017-01-07</v>
      </c>
      <c r="AF43" s="84" t="str">
        <f t="shared" si="13"/>
        <v>"C:\Program Files (x86)\AstroGrep\AstroGrep.exe" /spath="%USERPROFILE%\AppData\Local\Temp\OnboardLogs" /stypes="app*4027*20170106*"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8" t="str">
        <f t="shared" si="18"/>
        <v>"%USERPROFILE%\Documents\GitHub\eaglep3\Utilities\RefineRTDCRunTimes.py" --tripid 131-06 --locoid 4027 --swversion DE.1.0.8.0 --startMP 204:429 --initTime 2017-01-06T07:24:28 --startdatetime 2017-01-06T07:30:27 --delay 1 --endMP 204:233299 --enddatetime 2017-01-06T08:06:43 --enforcementcount 0 &gt;&gt;C:\Users\stu\Documents\GitHub\eaglep3-reporting\EC\2017-01-06-refined-times.txt</v>
      </c>
      <c r="AI43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{"issue":{"subject":"","project_id":79,"tracker_id":40,"status_id":1,"priority_id":2,"assigned_to_id":23,"start_date":"2017-01-06","description":"","custom_fields":[{"id":1,"name":"Subdivision","value":"EC"},{"id":4,"name":"Milepost","value":"23.3299"},{"id":17,"name":"Train ID","value":"131-06"},{"id":16,"name":"Locomotive ID","value":"4027"},{"id":130,"name":"Impact","value":""},{"id":150,"name":"Time of Event (Mountain Time)","value":"08:06:43"},{"id":151,"name":"Denver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80" t="str">
        <f t="shared" si="20"/>
        <v>start /low /b %USERPROFILE%\Documents\GitHub\eaglep3\Utilities\DownloadLogsFromS3.py --loco 4027 --day 2017-01-06</v>
      </c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529</v>
      </c>
      <c r="B44" s="7">
        <v>4028</v>
      </c>
      <c r="C44" s="22" t="s">
        <v>203</v>
      </c>
      <c r="D44" s="22" t="s">
        <v>416</v>
      </c>
      <c r="E44" s="13">
        <v>42741.344583333332</v>
      </c>
      <c r="F44" s="13">
        <v>42741.351585648146</v>
      </c>
      <c r="G44" s="7">
        <v>1</v>
      </c>
      <c r="H44" s="22" t="s">
        <v>688</v>
      </c>
      <c r="I44" s="13">
        <v>42741.382245370369</v>
      </c>
      <c r="J44" s="7">
        <v>0</v>
      </c>
      <c r="K44" s="105" t="str">
        <f t="shared" si="0"/>
        <v>4027/4028</v>
      </c>
      <c r="L44" s="22" t="str">
        <f>VLOOKUP(A44,'Trips&amp;Operators'!$C$1:$G$99999,5,FALSE)</f>
        <v>ACKERMAN JARED</v>
      </c>
      <c r="M44" s="6">
        <f t="shared" si="1"/>
        <v>3.0659722222480923E-2</v>
      </c>
      <c r="N44" s="7">
        <f t="shared" si="21"/>
        <v>44.150000000372529</v>
      </c>
      <c r="O44" s="7"/>
      <c r="P44" s="7"/>
      <c r="Q44" s="23"/>
      <c r="R44" s="23"/>
      <c r="S44" s="32">
        <f t="shared" si="22"/>
        <v>1</v>
      </c>
      <c r="T44" s="47" t="str">
        <f t="shared" si="4"/>
        <v>Southbound</v>
      </c>
      <c r="U44" s="16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07:16:12-700',mode:absolute,to:'2017-01-06 10:10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44" s="49" t="str">
        <f t="shared" si="6"/>
        <v>N</v>
      </c>
      <c r="X44" s="173">
        <f t="shared" si="7"/>
        <v>1</v>
      </c>
      <c r="Y44" s="64">
        <f t="shared" si="8"/>
        <v>23.298400000000001</v>
      </c>
      <c r="Z44" s="64">
        <f t="shared" si="9"/>
        <v>1.29E-2</v>
      </c>
      <c r="AA44" s="64">
        <f t="shared" si="10"/>
        <v>23.285500000000003</v>
      </c>
      <c r="AB44" s="61"/>
      <c r="AC44" s="57"/>
      <c r="AD44" s="58" t="str">
        <f t="shared" si="11"/>
        <v>0132-06</v>
      </c>
      <c r="AE44" s="87" t="str">
        <f t="shared" si="12"/>
        <v>aws s3 cp s3://rtdc.mdm.uploadarchive.raw/RTDC4028/ "%USERPROFILE%\AppData\Local\Temp\OnboardLogs"\RTDC4028\2017-01-06 --exclude "*" --recursive --include "*20170106*" &amp; "%USERPROFILE%\Documents\GitHub\mrs-test-scripts\Headless Mode &amp; Sideloading\WalkAndUnGZ.bat" "%USERPROFILE%\AppData\Local\Temp\OnboardLogs"\RTDC4028\2017-01-06 &amp; aws s3 cp s3://rtdc.mdm.uploadarchive.raw/RTDC4028/ "%USERPROFILE%\AppData\Local\Temp\OnboardLogs"\RTDC4028\2017-01-07 --exclude "*" --recursive --include "*20170107*" &amp; "%USERPROFILE%\Documents\GitHub\mrs-test-scripts\Headless Mode &amp; Sideloading\WalkAndUnGZ.bat" "%USERPROFILE%\AppData\Local\Temp\OnboardLogs"\RTDC4028\2017-01-07</v>
      </c>
      <c r="AF44" s="84" t="str">
        <f t="shared" si="13"/>
        <v>"C:\Program Files (x86)\AstroGrep\AstroGrep.exe" /spath="%USERPROFILE%\AppData\Local\Temp\OnboardLogs" /stypes="app*4028*20170106*"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8" t="str">
        <f t="shared" si="18"/>
        <v>"%USERPROFILE%\Documents\GitHub\eaglep3\Utilities\RefineRTDCRunTimes.py" --tripid 132-06 --locoid 4028 --swversion DE.1.0.8.0 --startMP 204:232984 --initTime 2017-01-06T08:16:12 --startdatetime 2017-01-06T08:26:17 --delay 1 --endMP 204:129 --enddatetime 2017-01-06T09:10:26 --enforcementcount 0 &gt;&gt;C:\Users\stu\Documents\GitHub\eaglep3-reporting\EC\2017-01-06-refined-times.txt</v>
      </c>
      <c r="AI44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{"issue":{"subject":"","project_id":79,"tracker_id":40,"status_id":1,"priority_id":2,"assigned_to_id":23,"start_date":"2017-01-06","description":"","custom_fields":[{"id":1,"name":"Subdivision","value":"EC"},{"id":4,"name":"Milepost","value":"0.0129"},{"id":17,"name":"Train ID","value":"132-06"},{"id":16,"name":"Locomotive ID","value":"4028"},{"id":130,"name":"Impact","value":""},{"id":150,"name":"Time of Event (Mountain Time)","value":"09:10:26"},{"id":151,"name":"Denver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80" t="str">
        <f t="shared" si="20"/>
        <v>start /low /b %USERPROFILE%\Documents\GitHub\eaglep3\Utilities\DownloadLogsFromS3.py --loco 4028 --day 2017-01-06</v>
      </c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522</v>
      </c>
      <c r="B45" s="7">
        <v>4018</v>
      </c>
      <c r="C45" s="22" t="s">
        <v>203</v>
      </c>
      <c r="D45" s="22" t="s">
        <v>291</v>
      </c>
      <c r="E45" s="13">
        <v>42741.32104166667</v>
      </c>
      <c r="F45" s="13">
        <v>42741.323136574072</v>
      </c>
      <c r="G45" s="7">
        <v>1</v>
      </c>
      <c r="H45" s="22" t="s">
        <v>664</v>
      </c>
      <c r="I45" s="13">
        <v>42741.348576388889</v>
      </c>
      <c r="J45" s="7">
        <v>0</v>
      </c>
      <c r="K45" s="105" t="str">
        <f t="shared" si="0"/>
        <v>4017/4018</v>
      </c>
      <c r="L45" s="22" t="str">
        <f>VLOOKUP(A45,'Trips&amp;Operators'!$C$1:$G$99999,5,FALSE)</f>
        <v>ROBINSON KADDIBA</v>
      </c>
      <c r="M45" s="6">
        <f t="shared" si="1"/>
        <v>2.5439814817218576E-2</v>
      </c>
      <c r="N45" s="7">
        <f t="shared" si="21"/>
        <v>36.633333336794749</v>
      </c>
      <c r="O45" s="7"/>
      <c r="P45" s="7"/>
      <c r="Q45" s="23"/>
      <c r="R45" s="23"/>
      <c r="S45" s="32">
        <f t="shared" si="22"/>
        <v>1</v>
      </c>
      <c r="T45" s="47" t="str">
        <f t="shared" ref="T45:T76" si="23">IF(ISEVEN(LEFT(AD45,4)),"Southbound","NorthBound")</f>
        <v>NorthBound</v>
      </c>
      <c r="U45" s="16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06:42:18-700',mode:absolute,to:'2017-01-06 09:21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5" s="49" t="str">
        <f t="shared" si="6"/>
        <v>N</v>
      </c>
      <c r="X45" s="173">
        <f t="shared" ref="X45:X76" si="24">VALUE(LEFT(AD45,4))-VALUE(LEFT(AD44,4))</f>
        <v>1</v>
      </c>
      <c r="Y45" s="64">
        <f t="shared" si="8"/>
        <v>4.5699999999999998E-2</v>
      </c>
      <c r="Z45" s="64">
        <f t="shared" ref="Z45:Z76" si="25">RIGHT(H45,LEN(H45)-4)/10000</f>
        <v>23.330400000000001</v>
      </c>
      <c r="AA45" s="64">
        <f t="shared" si="10"/>
        <v>23.284700000000001</v>
      </c>
      <c r="AB45" s="61"/>
      <c r="AC45" s="57"/>
      <c r="AD45" s="58" t="str">
        <f t="shared" si="11"/>
        <v>0133-06</v>
      </c>
      <c r="AE45" s="87" t="str">
        <f t="shared" si="12"/>
        <v>aws s3 cp s3://rtdc.mdm.uploadarchive.raw/RTDC4018/ "%USERPROFILE%\AppData\Local\Temp\OnboardLogs"\RTDC4018\2017-01-06 --exclude "*" --recursive --include "*20170106*" &amp; "%USERPROFILE%\Documents\GitHub\mrs-test-scripts\Headless Mode &amp; Sideloading\WalkAndUnGZ.bat" "%USERPROFILE%\AppData\Local\Temp\OnboardLogs"\RTDC4018\2017-01-06 &amp; aws s3 cp s3://rtdc.mdm.uploadarchive.raw/RTDC4018/ "%USERPROFILE%\AppData\Local\Temp\OnboardLogs"\RTDC4018\2017-01-07 --exclude "*" --recursive --include "*20170107*" &amp; "%USERPROFILE%\Documents\GitHub\mrs-test-scripts\Headless Mode &amp; Sideloading\WalkAndUnGZ.bat" "%USERPROFILE%\AppData\Local\Temp\OnboardLogs"\RTDC4018\2017-01-07</v>
      </c>
      <c r="AF45" s="84" t="str">
        <f t="shared" si="13"/>
        <v>"C:\Program Files (x86)\AstroGrep\AstroGrep.exe" /spath="%USERPROFILE%\AppData\Local\Temp\OnboardLogs" /stypes="app*4018*20170106*"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8" t="str">
        <f t="shared" si="18"/>
        <v>"%USERPROFILE%\Documents\GitHub\eaglep3\Utilities\RefineRTDCRunTimes.py" --tripid 133-06 --locoid 4018 --swversion DE.1.0.8.0 --startMP 204:457 --initTime 2017-01-06T07:42:18 --startdatetime 2017-01-06T07:45:19 --delay 1 --endMP 204:233304 --enddatetime 2017-01-06T08:21:57 --enforcementcount 0 &gt;&gt;C:\Users\stu\Documents\GitHub\eaglep3-reporting\EC\2017-01-06-refined-times.txt</v>
      </c>
      <c r="AI45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{"issue":{"subject":"","project_id":79,"tracker_id":40,"status_id":1,"priority_id":2,"assigned_to_id":23,"start_date":"2017-01-06","description":"","custom_fields":[{"id":1,"name":"Subdivision","value":"EC"},{"id":4,"name":"Milepost","value":"23.3304"},{"id":17,"name":"Train ID","value":"133-06"},{"id":16,"name":"Locomotive ID","value":"4018"},{"id":130,"name":"Impact","value":""},{"id":150,"name":"Time of Event (Mountain Time)","value":"08:21:57"},{"id":151,"name":"Denver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80" t="str">
        <f t="shared" si="20"/>
        <v>start /low /b %USERPROFILE%\Documents\GitHub\eaglep3\Utilities\DownloadLogsFromS3.py --loco 4018 --day 2017-01-06</v>
      </c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531</v>
      </c>
      <c r="B46" s="7">
        <v>4017</v>
      </c>
      <c r="C46" s="22" t="s">
        <v>203</v>
      </c>
      <c r="D46" s="22" t="s">
        <v>286</v>
      </c>
      <c r="E46" s="13">
        <v>42741.356030092589</v>
      </c>
      <c r="F46" s="13">
        <v>42741.361967592595</v>
      </c>
      <c r="G46" s="7">
        <v>1</v>
      </c>
      <c r="H46" s="22" t="s">
        <v>246</v>
      </c>
      <c r="I46" s="13">
        <v>42741.392511574071</v>
      </c>
      <c r="J46" s="7">
        <v>0</v>
      </c>
      <c r="K46" s="105" t="str">
        <f t="shared" si="0"/>
        <v>4017/4018</v>
      </c>
      <c r="L46" s="22" t="str">
        <f>VLOOKUP(A46,'Trips&amp;Operators'!$C$1:$G$99999,5,FALSE)</f>
        <v>ROBINSON KADDIBA</v>
      </c>
      <c r="M46" s="6">
        <f t="shared" si="1"/>
        <v>3.0543981476512272E-2</v>
      </c>
      <c r="N46" s="7">
        <f t="shared" si="21"/>
        <v>43.983333326177672</v>
      </c>
      <c r="O46" s="7"/>
      <c r="P46" s="7"/>
      <c r="Q46" s="23"/>
      <c r="R46" s="23"/>
      <c r="S46" s="32">
        <f t="shared" si="22"/>
        <v>1</v>
      </c>
      <c r="T46" s="47" t="str">
        <f t="shared" si="23"/>
        <v>Southbound</v>
      </c>
      <c r="U46" s="16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07:32:41-700',mode:absolute,to:'2017-01-06 10:25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6" s="49" t="str">
        <f t="shared" si="6"/>
        <v>N</v>
      </c>
      <c r="X46" s="173">
        <f t="shared" si="24"/>
        <v>1</v>
      </c>
      <c r="Y46" s="64">
        <f t="shared" si="8"/>
        <v>23.299800000000001</v>
      </c>
      <c r="Z46" s="64">
        <f t="shared" si="25"/>
        <v>1.47E-2</v>
      </c>
      <c r="AA46" s="64">
        <f t="shared" si="10"/>
        <v>23.2851</v>
      </c>
      <c r="AB46" s="61"/>
      <c r="AC46" s="57"/>
      <c r="AD46" s="58" t="str">
        <f t="shared" si="11"/>
        <v>0134-06</v>
      </c>
      <c r="AE46" s="87" t="str">
        <f t="shared" si="12"/>
        <v>aws s3 cp s3://rtdc.mdm.uploadarchive.raw/RTDC4017/ "%USERPROFILE%\AppData\Local\Temp\OnboardLogs"\RTDC4017\2017-01-06 --exclude "*" --recursive --include "*20170106*" &amp; "%USERPROFILE%\Documents\GitHub\mrs-test-scripts\Headless Mode &amp; Sideloading\WalkAndUnGZ.bat" "%USERPROFILE%\AppData\Local\Temp\OnboardLogs"\RTDC4017\2017-01-06 &amp; aws s3 cp s3://rtdc.mdm.uploadarchive.raw/RTDC4017/ "%USERPROFILE%\AppData\Local\Temp\OnboardLogs"\RTDC4017\2017-01-07 --exclude "*" --recursive --include "*20170107*" &amp; "%USERPROFILE%\Documents\GitHub\mrs-test-scripts\Headless Mode &amp; Sideloading\WalkAndUnGZ.bat" "%USERPROFILE%\AppData\Local\Temp\OnboardLogs"\RTDC4017\2017-01-07</v>
      </c>
      <c r="AF46" s="84" t="str">
        <f t="shared" si="13"/>
        <v>"C:\Program Files (x86)\AstroGrep\AstroGrep.exe" /spath="%USERPROFILE%\AppData\Local\Temp\OnboardLogs" /stypes="app*4017*20170106*"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8" t="str">
        <f t="shared" si="18"/>
        <v>"%USERPROFILE%\Documents\GitHub\eaglep3\Utilities\RefineRTDCRunTimes.py" --tripid 134-06 --locoid 4017 --swversion DE.1.0.8.0 --startMP 204:232998 --initTime 2017-01-06T08:32:41 --startdatetime 2017-01-06T08:41:14 --delay 1 --endMP 204:147 --enddatetime 2017-01-06T09:25:13 --enforcementcount 0 &gt;&gt;C:\Users\stu\Documents\GitHub\eaglep3-reporting\EC\2017-01-06-refined-times.txt</v>
      </c>
      <c r="AI46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{"issue":{"subject":"","project_id":79,"tracker_id":40,"status_id":1,"priority_id":2,"assigned_to_id":23,"start_date":"2017-01-06","description":"","custom_fields":[{"id":1,"name":"Subdivision","value":"EC"},{"id":4,"name":"Milepost","value":"0.0147"},{"id":17,"name":"Train ID","value":"134-06"},{"id":16,"name":"Locomotive ID","value":"4017"},{"id":130,"name":"Impact","value":""},{"id":150,"name":"Time of Event (Mountain Time)","value":"09:25:13"},{"id":151,"name":"Denver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80" t="str">
        <f t="shared" si="20"/>
        <v>start /low /b %USERPROFILE%\Documents\GitHub\eaglep3\Utilities\DownloadLogsFromS3.py --loco 4017 --day 2017-01-06</v>
      </c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524</v>
      </c>
      <c r="B47" s="7">
        <v>4044</v>
      </c>
      <c r="C47" s="22" t="s">
        <v>203</v>
      </c>
      <c r="D47" s="22" t="s">
        <v>343</v>
      </c>
      <c r="E47" s="13">
        <v>42741.329884259256</v>
      </c>
      <c r="F47" s="13">
        <v>42741.333969907406</v>
      </c>
      <c r="G47" s="7">
        <v>1</v>
      </c>
      <c r="H47" s="22" t="s">
        <v>278</v>
      </c>
      <c r="I47" s="13">
        <v>42741.359166666669</v>
      </c>
      <c r="J47" s="7">
        <v>0</v>
      </c>
      <c r="K47" s="105" t="str">
        <f t="shared" si="0"/>
        <v>4043/4044</v>
      </c>
      <c r="L47" s="22" t="str">
        <f>VLOOKUP(A47,'Trips&amp;Operators'!$C$1:$G$99999,5,FALSE)</f>
        <v>STARKS ANGELINA</v>
      </c>
      <c r="M47" s="6">
        <f t="shared" si="1"/>
        <v>2.5196759263053536E-2</v>
      </c>
      <c r="N47" s="7">
        <f t="shared" si="21"/>
        <v>36.283333338797092</v>
      </c>
      <c r="O47" s="7"/>
      <c r="P47" s="7"/>
      <c r="Q47" s="23"/>
      <c r="R47" s="23"/>
      <c r="S47" s="32">
        <f t="shared" si="22"/>
        <v>1</v>
      </c>
      <c r="T47" s="47" t="str">
        <f t="shared" si="23"/>
        <v>NorthBound</v>
      </c>
      <c r="U47" s="16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06:55:02-700',mode:absolute,to:'2017-01-06 09:37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7" s="49" t="str">
        <f t="shared" si="6"/>
        <v>N</v>
      </c>
      <c r="X47" s="173">
        <f t="shared" si="24"/>
        <v>1</v>
      </c>
      <c r="Y47" s="64">
        <f t="shared" si="8"/>
        <v>4.6600000000000003E-2</v>
      </c>
      <c r="Z47" s="64">
        <f t="shared" si="25"/>
        <v>23.331199999999999</v>
      </c>
      <c r="AA47" s="64">
        <f t="shared" si="10"/>
        <v>23.284599999999998</v>
      </c>
      <c r="AB47" s="61"/>
      <c r="AC47" s="57"/>
      <c r="AD47" s="58" t="str">
        <f t="shared" si="11"/>
        <v>0135-06</v>
      </c>
      <c r="AE47" s="87" t="str">
        <f t="shared" si="12"/>
        <v>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 &amp; aws s3 cp s3://rtdc.mdm.uploadarchive.raw/RTDC4044/ "%USERPROFILE%\AppData\Local\Temp\OnboardLogs"\RTDC4044\2017-01-07 --exclude "*" --recursive --include "*20170107*" &amp; "%USERPROFILE%\Documents\GitHub\mrs-test-scripts\Headless Mode &amp; Sideloading\WalkAndUnGZ.bat" "%USERPROFILE%\AppData\Local\Temp\OnboardLogs"\RTDC4044\2017-01-07</v>
      </c>
      <c r="AF47" s="84" t="str">
        <f t="shared" si="13"/>
        <v>"C:\Program Files (x86)\AstroGrep\AstroGrep.exe" /spath="%USERPROFILE%\AppData\Local\Temp\OnboardLogs" /stypes="app*4044*20170106*"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8" t="str">
        <f t="shared" si="18"/>
        <v>"%USERPROFILE%\Documents\GitHub\eaglep3\Utilities\RefineRTDCRunTimes.py" --tripid 135-06 --locoid 4044 --swversion DE.1.0.8.0 --startMP 204:466 --initTime 2017-01-06T07:55:02 --startdatetime 2017-01-06T08:00:55 --delay 1 --endMP 204:233312 --enddatetime 2017-01-06T08:37:12 --enforcementcount 0 &gt;&gt;C:\Users\stu\Documents\GitHub\eaglep3-reporting\EC\2017-01-06-refined-times.txt</v>
      </c>
      <c r="AI47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{"issue":{"subject":"","project_id":79,"tracker_id":40,"status_id":1,"priority_id":2,"assigned_to_id":23,"start_date":"2017-01-06","description":"","custom_fields":[{"id":1,"name":"Subdivision","value":"EC"},{"id":4,"name":"Milepost","value":"23.3312"},{"id":17,"name":"Train ID","value":"135-06"},{"id":16,"name":"Locomotive ID","value":"4044"},{"id":130,"name":"Impact","value":""},{"id":150,"name":"Time of Event (Mountain Time)","value":"08:37:12"},{"id":151,"name":"Denver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80" t="str">
        <f t="shared" si="20"/>
        <v>start /low /b %USERPROFILE%\Documents\GitHub\eaglep3\Utilities\DownloadLogsFromS3.py --loco 4044 --day 2017-01-06</v>
      </c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533</v>
      </c>
      <c r="B48" s="7">
        <v>4043</v>
      </c>
      <c r="C48" s="22" t="s">
        <v>203</v>
      </c>
      <c r="D48" s="22" t="s">
        <v>256</v>
      </c>
      <c r="E48" s="13">
        <v>42741.368854166663</v>
      </c>
      <c r="F48" s="13">
        <v>42741.372395833336</v>
      </c>
      <c r="G48" s="7">
        <v>1</v>
      </c>
      <c r="H48" s="22" t="s">
        <v>209</v>
      </c>
      <c r="I48" s="13">
        <v>42741.401504629626</v>
      </c>
      <c r="J48" s="7">
        <v>0</v>
      </c>
      <c r="K48" s="105" t="str">
        <f t="shared" si="0"/>
        <v>4043/4044</v>
      </c>
      <c r="L48" s="22" t="str">
        <f>VLOOKUP(A48,'Trips&amp;Operators'!$C$1:$G$99999,5,FALSE)</f>
        <v>STARKS ANGELINA</v>
      </c>
      <c r="M48" s="6">
        <f t="shared" si="1"/>
        <v>2.9108796290529426E-2</v>
      </c>
      <c r="N48" s="7">
        <f t="shared" si="21"/>
        <v>41.916666658362374</v>
      </c>
      <c r="O48" s="7"/>
      <c r="P48" s="7"/>
      <c r="Q48" s="23"/>
      <c r="R48" s="23"/>
      <c r="S48" s="32">
        <f t="shared" si="22"/>
        <v>1</v>
      </c>
      <c r="T48" s="47" t="str">
        <f t="shared" si="23"/>
        <v>Southbound</v>
      </c>
      <c r="U48" s="16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07:51:09-700',mode:absolute,to:'2017-01-06 10:38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8" s="49" t="str">
        <f t="shared" si="6"/>
        <v>N</v>
      </c>
      <c r="X48" s="173">
        <f t="shared" si="24"/>
        <v>1</v>
      </c>
      <c r="Y48" s="64">
        <f t="shared" si="8"/>
        <v>23.2986</v>
      </c>
      <c r="Z48" s="64">
        <f t="shared" si="25"/>
        <v>1.4999999999999999E-2</v>
      </c>
      <c r="AA48" s="64">
        <f t="shared" si="10"/>
        <v>23.2836</v>
      </c>
      <c r="AB48" s="61"/>
      <c r="AC48" s="57"/>
      <c r="AD48" s="58" t="str">
        <f t="shared" si="11"/>
        <v>0136-06</v>
      </c>
      <c r="AE48" s="87" t="str">
        <f t="shared" si="12"/>
        <v>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 &amp; aws s3 cp s3://rtdc.mdm.uploadarchive.raw/RTDC4043/ "%USERPROFILE%\AppData\Local\Temp\OnboardLogs"\RTDC4043\2017-01-07 --exclude "*" --recursive --include "*20170107*" &amp; "%USERPROFILE%\Documents\GitHub\mrs-test-scripts\Headless Mode &amp; Sideloading\WalkAndUnGZ.bat" "%USERPROFILE%\AppData\Local\Temp\OnboardLogs"\RTDC4043\2017-01-07</v>
      </c>
      <c r="AF48" s="84" t="str">
        <f t="shared" si="13"/>
        <v>"C:\Program Files (x86)\AstroGrep\AstroGrep.exe" /spath="%USERPROFILE%\AppData\Local\Temp\OnboardLogs" /stypes="app*4043*20170106*"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8" t="str">
        <f t="shared" si="18"/>
        <v>"%USERPROFILE%\Documents\GitHub\eaglep3\Utilities\RefineRTDCRunTimes.py" --tripid 136-06 --locoid 4043 --swversion DE.1.0.8.0 --startMP 204:232986 --initTime 2017-01-06T08:51:09 --startdatetime 2017-01-06T08:56:15 --delay 1 --endMP 204:150 --enddatetime 2017-01-06T09:38:10 --enforcementcount 0 &gt;&gt;C:\Users\stu\Documents\GitHub\eaglep3-reporting\EC\2017-01-06-refined-times.txt</v>
      </c>
      <c r="AI48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{"issue":{"subject":"","project_id":79,"tracker_id":40,"status_id":1,"priority_id":2,"assigned_to_id":23,"start_date":"2017-01-06","description":"","custom_fields":[{"id":1,"name":"Subdivision","value":"EC"},{"id":4,"name":"Milepost","value":"0.015"},{"id":17,"name":"Train ID","value":"136-06"},{"id":16,"name":"Locomotive ID","value":"4043"},{"id":130,"name":"Impact","value":""},{"id":150,"name":"Time of Event (Mountain Time)","value":"09:38:10"},{"id":151,"name":"Denver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80" t="str">
        <f t="shared" si="20"/>
        <v>start /low /b %USERPROFILE%\Documents\GitHub\eaglep3\Utilities\DownloadLogsFromS3.py --loco 4043 --day 2017-01-06</v>
      </c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527</v>
      </c>
      <c r="B49" s="7">
        <v>4002</v>
      </c>
      <c r="C49" s="22" t="s">
        <v>203</v>
      </c>
      <c r="D49" s="22" t="s">
        <v>291</v>
      </c>
      <c r="E49" s="13">
        <v>42741.340543981481</v>
      </c>
      <c r="F49" s="13">
        <v>42741.344224537039</v>
      </c>
      <c r="G49" s="7">
        <v>1</v>
      </c>
      <c r="H49" s="22" t="s">
        <v>683</v>
      </c>
      <c r="I49" s="13">
        <v>42741.376817129632</v>
      </c>
      <c r="J49" s="7">
        <v>0</v>
      </c>
      <c r="K49" s="105" t="str">
        <f t="shared" si="0"/>
        <v>4001/4002</v>
      </c>
      <c r="L49" s="22" t="str">
        <f>VLOOKUP(A49,'Trips&amp;Operators'!$C$1:$G$99999,5,FALSE)</f>
        <v>SIMMONS SHYHESHA</v>
      </c>
      <c r="M49" s="6">
        <f t="shared" si="1"/>
        <v>3.2592592593573499E-2</v>
      </c>
      <c r="N49" s="7">
        <f t="shared" si="21"/>
        <v>46.933333334745839</v>
      </c>
      <c r="O49" s="7"/>
      <c r="P49" s="7"/>
      <c r="Q49" s="23"/>
      <c r="R49" s="23"/>
      <c r="S49" s="32">
        <f t="shared" si="22"/>
        <v>1</v>
      </c>
      <c r="T49" s="47" t="str">
        <f t="shared" si="23"/>
        <v>NorthBound</v>
      </c>
      <c r="U49" s="16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07:10:23-700',mode:absolute,to:'2017-01-06 10:02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49" s="49" t="str">
        <f t="shared" si="6"/>
        <v>N</v>
      </c>
      <c r="X49" s="173">
        <f t="shared" si="24"/>
        <v>1</v>
      </c>
      <c r="Y49" s="64">
        <f t="shared" si="8"/>
        <v>4.5699999999999998E-2</v>
      </c>
      <c r="Z49" s="64">
        <f t="shared" si="25"/>
        <v>23.331700000000001</v>
      </c>
      <c r="AA49" s="64">
        <f t="shared" si="10"/>
        <v>23.286000000000001</v>
      </c>
      <c r="AB49" s="61"/>
      <c r="AC49" s="57"/>
      <c r="AD49" s="58" t="str">
        <f t="shared" si="11"/>
        <v>0137-06</v>
      </c>
      <c r="AE49" s="87" t="str">
        <f t="shared" si="12"/>
        <v>aws s3 cp s3://rtdc.mdm.uploadarchive.raw/RTDC4002/ "%USERPROFILE%\AppData\Local\Temp\OnboardLogs"\RTDC4002\2017-01-06 --exclude "*" --recursive --include "*20170106*" &amp; "%USERPROFILE%\Documents\GitHub\mrs-test-scripts\Headless Mode &amp; Sideloading\WalkAndUnGZ.bat" "%USERPROFILE%\AppData\Local\Temp\OnboardLogs"\RTDC4002\2017-01-06 &amp; aws s3 cp s3://rtdc.mdm.uploadarchive.raw/RTDC4002/ "%USERPROFILE%\AppData\Local\Temp\OnboardLogs"\RTDC4002\2017-01-07 --exclude "*" --recursive --include "*20170107*" &amp; "%USERPROFILE%\Documents\GitHub\mrs-test-scripts\Headless Mode &amp; Sideloading\WalkAndUnGZ.bat" "%USERPROFILE%\AppData\Local\Temp\OnboardLogs"\RTDC4002\2017-01-07</v>
      </c>
      <c r="AF49" s="84" t="str">
        <f t="shared" si="13"/>
        <v>"C:\Program Files (x86)\AstroGrep\AstroGrep.exe" /spath="%USERPROFILE%\AppData\Local\Temp\OnboardLogs" /stypes="app*4002*20170106*" /stext=" 16:.+((SYSTEM_STATE.+slice.+state.+changed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8" t="str">
        <f t="shared" si="18"/>
        <v>"%USERPROFILE%\Documents\GitHub\eaglep3\Utilities\RefineRTDCRunTimes.py" --tripid 137-06 --locoid 4002 --swversion DE.1.0.8.0 --startMP 204:457 --initTime 2017-01-06T08:10:23 --startdatetime 2017-01-06T08:15:41 --delay 1 --endMP 204:233317 --enddatetime 2017-01-06T09:02:37 --enforcementcount 0 &gt;&gt;C:\Users\stu\Documents\GitHub\eaglep3-reporting\EC\2017-01-06-refined-times.txt</v>
      </c>
      <c r="AI49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{"issue":{"subject":"","project_id":79,"tracker_id":40,"status_id":1,"priority_id":2,"assigned_to_id":23,"start_date":"2017-01-06","description":"","custom_fields":[{"id":1,"name":"Subdivision","value":"EC"},{"id":4,"name":"Milepost","value":"23.3317"},{"id":17,"name":"Train ID","value":"137-06"},{"id":16,"name":"Locomotive ID","value":"4002"},{"id":130,"name":"Impact","value":""},{"id":150,"name":"Time of Event (Mountain Time)","value":"09:02:37"},{"id":151,"name":"Denver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80" t="str">
        <f t="shared" si="20"/>
        <v>start /low /b %USERPROFILE%\Documents\GitHub\eaglep3\Utilities\DownloadLogsFromS3.py --loco 4002 --day 2017-01-06</v>
      </c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536</v>
      </c>
      <c r="B50" s="7">
        <v>4001</v>
      </c>
      <c r="C50" s="22" t="s">
        <v>203</v>
      </c>
      <c r="D50" s="22" t="s">
        <v>295</v>
      </c>
      <c r="E50" s="13">
        <v>42741.380196759259</v>
      </c>
      <c r="F50" s="13">
        <v>42741.383055555554</v>
      </c>
      <c r="G50" s="7">
        <v>1</v>
      </c>
      <c r="H50" s="22" t="s">
        <v>192</v>
      </c>
      <c r="I50" s="13">
        <v>42741.409629629627</v>
      </c>
      <c r="J50" s="7">
        <v>0</v>
      </c>
      <c r="K50" s="105" t="str">
        <f t="shared" si="0"/>
        <v>4001/4002</v>
      </c>
      <c r="L50" s="22" t="str">
        <f>VLOOKUP(A50,'Trips&amp;Operators'!$C$1:$G$99999,5,FALSE)</f>
        <v>SIMMONS SHYHESHA</v>
      </c>
      <c r="M50" s="6">
        <f t="shared" si="1"/>
        <v>2.6574074072414078E-2</v>
      </c>
      <c r="N50" s="7">
        <f t="shared" si="21"/>
        <v>38.266666664276272</v>
      </c>
      <c r="O50" s="7"/>
      <c r="P50" s="7"/>
      <c r="Q50" s="23"/>
      <c r="R50" s="23"/>
      <c r="S50" s="32">
        <f t="shared" si="22"/>
        <v>1</v>
      </c>
      <c r="T50" s="47" t="str">
        <f t="shared" si="23"/>
        <v>Southbound</v>
      </c>
      <c r="U50" s="16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08:07:29-700',mode:absolute,to:'2017-01-06 10:49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50" s="49" t="str">
        <f t="shared" si="6"/>
        <v>N</v>
      </c>
      <c r="X50" s="173">
        <f t="shared" si="24"/>
        <v>1</v>
      </c>
      <c r="Y50" s="64">
        <f t="shared" si="8"/>
        <v>23.2989</v>
      </c>
      <c r="Z50" s="64">
        <f t="shared" si="25"/>
        <v>1.43E-2</v>
      </c>
      <c r="AA50" s="64">
        <f t="shared" si="10"/>
        <v>23.284600000000001</v>
      </c>
      <c r="AB50" s="61"/>
      <c r="AC50" s="57"/>
      <c r="AD50" s="58" t="str">
        <f t="shared" si="11"/>
        <v>0138-06</v>
      </c>
      <c r="AE50" s="87" t="str">
        <f t="shared" si="12"/>
        <v>aws s3 cp s3://rtdc.mdm.uploadarchive.raw/RTDC4001/ "%USERPROFILE%\AppData\Local\Temp\OnboardLogs"\RTDC4001\2017-01-06 --exclude "*" --recursive --include "*20170106*" &amp; "%USERPROFILE%\Documents\GitHub\mrs-test-scripts\Headless Mode &amp; Sideloading\WalkAndUnGZ.bat" "%USERPROFILE%\AppData\Local\Temp\OnboardLogs"\RTDC4001\2017-01-06 &amp; aws s3 cp s3://rtdc.mdm.uploadarchive.raw/RTDC4001/ "%USERPROFILE%\AppData\Local\Temp\OnboardLogs"\RTDC4001\2017-01-07 --exclude "*" --recursive --include "*20170107*" &amp; "%USERPROFILE%\Documents\GitHub\mrs-test-scripts\Headless Mode &amp; Sideloading\WalkAndUnGZ.bat" "%USERPROFILE%\AppData\Local\Temp\OnboardLogs"\RTDC4001\2017-01-07</v>
      </c>
      <c r="AF50" s="84" t="str">
        <f t="shared" si="13"/>
        <v>"C:\Program Files (x86)\AstroGrep\AstroGrep.exe" /spath="%USERPROFILE%\AppData\Local\Temp\OnboardLogs" /stypes="app*4001*20170106*"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8" t="str">
        <f t="shared" si="18"/>
        <v>"%USERPROFILE%\Documents\GitHub\eaglep3\Utilities\RefineRTDCRunTimes.py" --tripid 138-06 --locoid 4001 --swversion DE.1.0.8.0 --startMP 204:232989 --initTime 2017-01-06T09:07:29 --startdatetime 2017-01-06T09:11:36 --delay 1 --endMP 204:143 --enddatetime 2017-01-06T09:49:52 --enforcementcount 0 &gt;&gt;C:\Users\stu\Documents\GitHub\eaglep3-reporting\EC\2017-01-06-refined-times.txt</v>
      </c>
      <c r="AI50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{"issue":{"subject":"","project_id":79,"tracker_id":40,"status_id":1,"priority_id":2,"assigned_to_id":23,"start_date":"2017-01-06","description":"","custom_fields":[{"id":1,"name":"Subdivision","value":"EC"},{"id":4,"name":"Milepost","value":"0.0143"},{"id":17,"name":"Train ID","value":"138-06"},{"id":16,"name":"Locomotive ID","value":"4001"},{"id":130,"name":"Impact","value":""},{"id":150,"name":"Time of Event (Mountain Time)","value":"09:49:52"},{"id":151,"name":"Denver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80" t="str">
        <f t="shared" si="20"/>
        <v>start /low /b %USERPROFILE%\Documents\GitHub\eaglep3\Utilities\DownloadLogsFromS3.py --loco 4001 --day 2017-01-06</v>
      </c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530</v>
      </c>
      <c r="B51" s="7">
        <v>4029</v>
      </c>
      <c r="C51" s="22" t="s">
        <v>203</v>
      </c>
      <c r="D51" s="22" t="s">
        <v>311</v>
      </c>
      <c r="E51" s="13">
        <v>42741.351087962961</v>
      </c>
      <c r="F51" s="13">
        <v>42741.35491898148</v>
      </c>
      <c r="G51" s="7">
        <v>1</v>
      </c>
      <c r="H51" s="22" t="s">
        <v>670</v>
      </c>
      <c r="I51" s="13">
        <v>42741.382025462961</v>
      </c>
      <c r="J51" s="7">
        <v>0</v>
      </c>
      <c r="K51" s="105" t="str">
        <f t="shared" si="0"/>
        <v>4029/4030</v>
      </c>
      <c r="L51" s="22" t="str">
        <f>VLOOKUP(A51,'Trips&amp;Operators'!$C$1:$G$99999,5,FALSE)</f>
        <v>BONDS REYNALDO</v>
      </c>
      <c r="M51" s="6">
        <f t="shared" si="1"/>
        <v>2.7106481480586808E-2</v>
      </c>
      <c r="N51" s="7">
        <f t="shared" si="21"/>
        <v>39.033333332045004</v>
      </c>
      <c r="O51" s="7"/>
      <c r="P51" s="7"/>
      <c r="Q51" s="23"/>
      <c r="R51" s="23"/>
      <c r="S51" s="32">
        <f t="shared" si="22"/>
        <v>1</v>
      </c>
      <c r="T51" s="47" t="str">
        <f t="shared" si="23"/>
        <v>NorthBound</v>
      </c>
      <c r="U51" s="16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07:25:34-700',mode:absolute,to:'2017-01-06 10:10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1" s="49" t="str">
        <f t="shared" si="6"/>
        <v>N</v>
      </c>
      <c r="X51" s="173">
        <f t="shared" si="24"/>
        <v>1</v>
      </c>
      <c r="Y51" s="64">
        <f t="shared" si="8"/>
        <v>4.7500000000000001E-2</v>
      </c>
      <c r="Z51" s="64">
        <f t="shared" si="25"/>
        <v>23.328199999999999</v>
      </c>
      <c r="AA51" s="64">
        <f t="shared" si="10"/>
        <v>23.2807</v>
      </c>
      <c r="AB51" s="61"/>
      <c r="AC51" s="57"/>
      <c r="AD51" s="58" t="str">
        <f t="shared" si="11"/>
        <v>0139-06</v>
      </c>
      <c r="AE51" s="87" t="str">
        <f t="shared" si="12"/>
        <v>aws s3 cp s3://rtdc.mdm.uploadarchive.raw/RTDC4029/ "%USERPROFILE%\AppData\Local\Temp\OnboardLogs"\RTDC4029\2017-01-06 --exclude "*" --recursive --include "*20170106*" &amp; "%USERPROFILE%\Documents\GitHub\mrs-test-scripts\Headless Mode &amp; Sideloading\WalkAndUnGZ.bat" "%USERPROFILE%\AppData\Local\Temp\OnboardLogs"\RTDC4029\2017-01-06 &amp; aws s3 cp s3://rtdc.mdm.uploadarchive.raw/RTDC4029/ "%USERPROFILE%\AppData\Local\Temp\OnboardLogs"\RTDC4029\2017-01-07 --exclude "*" --recursive --include "*20170107*" &amp; "%USERPROFILE%\Documents\GitHub\mrs-test-scripts\Headless Mode &amp; Sideloading\WalkAndUnGZ.bat" "%USERPROFILE%\AppData\Local\Temp\OnboardLogs"\RTDC4029\2017-01-07</v>
      </c>
      <c r="AF51" s="84" t="str">
        <f t="shared" si="13"/>
        <v>"C:\Program Files (x86)\AstroGrep\AstroGrep.exe" /spath="%USERPROFILE%\AppData\Local\Temp\OnboardLogs" /stypes="app*4029*20170106*"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8" t="str">
        <f t="shared" si="18"/>
        <v>"%USERPROFILE%\Documents\GitHub\eaglep3\Utilities\RefineRTDCRunTimes.py" --tripid 139-06 --locoid 4029 --swversion DE.1.0.8.0 --startMP 204:475 --initTime 2017-01-06T08:25:34 --startdatetime 2017-01-06T08:31:05 --delay 1 --endMP 204:233282 --enddatetime 2017-01-06T09:10:07 --enforcementcount 0 &gt;&gt;C:\Users\stu\Documents\GitHub\eaglep3-reporting\EC\2017-01-06-refined-times.txt</v>
      </c>
      <c r="AI51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{"issue":{"subject":"","project_id":79,"tracker_id":40,"status_id":1,"priority_id":2,"assigned_to_id":23,"start_date":"2017-01-06","description":"","custom_fields":[{"id":1,"name":"Subdivision","value":"EC"},{"id":4,"name":"Milepost","value":"23.3282"},{"id":17,"name":"Train ID","value":"139-06"},{"id":16,"name":"Locomotive ID","value":"4029"},{"id":130,"name":"Impact","value":""},{"id":150,"name":"Time of Event (Mountain Time)","value":"09:10:07"},{"id":151,"name":"Denver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80" t="str">
        <f t="shared" si="20"/>
        <v>start /low /b %USERPROFILE%\Documents\GitHub\eaglep3\Utilities\DownloadLogsFromS3.py --loco 4029 --day 2017-01-06</v>
      </c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537</v>
      </c>
      <c r="B52" s="7">
        <v>4030</v>
      </c>
      <c r="C52" s="22" t="s">
        <v>203</v>
      </c>
      <c r="D52" s="22" t="s">
        <v>415</v>
      </c>
      <c r="E52" s="13">
        <v>42741.383738425924</v>
      </c>
      <c r="F52" s="13">
        <v>42741.393206018518</v>
      </c>
      <c r="G52" s="7">
        <v>1</v>
      </c>
      <c r="H52" s="22" t="s">
        <v>689</v>
      </c>
      <c r="I52" s="13">
        <v>42741.420381944445</v>
      </c>
      <c r="J52" s="7">
        <v>0</v>
      </c>
      <c r="K52" s="105" t="str">
        <f t="shared" si="0"/>
        <v>4029/4030</v>
      </c>
      <c r="L52" s="22" t="str">
        <f>VLOOKUP(A52,'Trips&amp;Operators'!$C$1:$G$99999,5,FALSE)</f>
        <v>BONDS REYNALDO</v>
      </c>
      <c r="M52" s="6">
        <f t="shared" si="1"/>
        <v>2.7175925926712807E-2</v>
      </c>
      <c r="N52" s="7">
        <f t="shared" si="21"/>
        <v>39.133333334466442</v>
      </c>
      <c r="O52" s="7"/>
      <c r="P52" s="7"/>
      <c r="Q52" s="23"/>
      <c r="R52" s="23"/>
      <c r="S52" s="32">
        <f t="shared" si="22"/>
        <v>1</v>
      </c>
      <c r="T52" s="47" t="str">
        <f t="shared" si="23"/>
        <v>Southbound</v>
      </c>
      <c r="U52" s="16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08:12:35-700',mode:absolute,to:'2017-01-06 11:05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2" s="49" t="str">
        <f t="shared" si="6"/>
        <v>N</v>
      </c>
      <c r="X52" s="173">
        <f t="shared" si="24"/>
        <v>1</v>
      </c>
      <c r="Y52" s="64">
        <f t="shared" si="8"/>
        <v>23.297499999999999</v>
      </c>
      <c r="Z52" s="64">
        <f t="shared" si="25"/>
        <v>1.61E-2</v>
      </c>
      <c r="AA52" s="64">
        <f t="shared" si="10"/>
        <v>23.281399999999998</v>
      </c>
      <c r="AB52" s="61"/>
      <c r="AC52" s="57"/>
      <c r="AD52" s="58" t="str">
        <f t="shared" si="11"/>
        <v>0140-06</v>
      </c>
      <c r="AE52" s="87" t="str">
        <f t="shared" si="12"/>
        <v>aws s3 cp s3://rtdc.mdm.uploadarchive.raw/RTDC4030/ "%USERPROFILE%\AppData\Local\Temp\OnboardLogs"\RTDC4030\2017-01-06 --exclude "*" --recursive --include "*20170106*" &amp; "%USERPROFILE%\Documents\GitHub\mrs-test-scripts\Headless Mode &amp; Sideloading\WalkAndUnGZ.bat" "%USERPROFILE%\AppData\Local\Temp\OnboardLogs"\RTDC4030\2017-01-06 &amp; aws s3 cp s3://rtdc.mdm.uploadarchive.raw/RTDC4030/ "%USERPROFILE%\AppData\Local\Temp\OnboardLogs"\RTDC4030\2017-01-07 --exclude "*" --recursive --include "*20170107*" &amp; "%USERPROFILE%\Documents\GitHub\mrs-test-scripts\Headless Mode &amp; Sideloading\WalkAndUnGZ.bat" "%USERPROFILE%\AppData\Local\Temp\OnboardLogs"\RTDC4030\2017-01-07</v>
      </c>
      <c r="AF52" s="84" t="str">
        <f t="shared" si="13"/>
        <v>"C:\Program Files (x86)\AstroGrep\AstroGrep.exe" /spath="%USERPROFILE%\AppData\Local\Temp\OnboardLogs" /stypes="app*4030*20170106*"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8" t="str">
        <f t="shared" si="18"/>
        <v>"%USERPROFILE%\Documents\GitHub\eaglep3\Utilities\RefineRTDCRunTimes.py" --tripid 140-06 --locoid 4030 --swversion DE.1.0.8.0 --startMP 204:232975 --initTime 2017-01-06T09:12:35 --startdatetime 2017-01-06T09:26:13 --delay 1 --endMP 204:161 --enddatetime 2017-01-06T10:05:21 --enforcementcount 0 &gt;&gt;C:\Users\stu\Documents\GitHub\eaglep3-reporting\EC\2017-01-06-refined-times.txt</v>
      </c>
      <c r="AI52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{"issue":{"subject":"","project_id":79,"tracker_id":40,"status_id":1,"priority_id":2,"assigned_to_id":23,"start_date":"2017-01-06","description":"","custom_fields":[{"id":1,"name":"Subdivision","value":"EC"},{"id":4,"name":"Milepost","value":"0.0161"},{"id":17,"name":"Train ID","value":"140-06"},{"id":16,"name":"Locomotive ID","value":"4030"},{"id":130,"name":"Impact","value":""},{"id":150,"name":"Time of Event (Mountain Time)","value":"10:05:21"},{"id":151,"name":"Denver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80" t="str">
        <f t="shared" si="20"/>
        <v>start /low /b %USERPROFILE%\Documents\GitHub\eaglep3\Utilities\DownloadLogsFromS3.py --loco 4030 --day 2017-01-06</v>
      </c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532</v>
      </c>
      <c r="B53" s="7">
        <v>4009</v>
      </c>
      <c r="C53" s="22" t="s">
        <v>203</v>
      </c>
      <c r="D53" s="22" t="s">
        <v>311</v>
      </c>
      <c r="E53" s="13">
        <v>42741.360023148147</v>
      </c>
      <c r="F53" s="13">
        <v>42741.364745370367</v>
      </c>
      <c r="G53" s="7">
        <v>1</v>
      </c>
      <c r="H53" s="22" t="s">
        <v>690</v>
      </c>
      <c r="I53" s="13">
        <v>42741.392245370371</v>
      </c>
      <c r="J53" s="7">
        <v>0</v>
      </c>
      <c r="K53" s="105" t="str">
        <f t="shared" si="0"/>
        <v>4009/4010</v>
      </c>
      <c r="L53" s="22" t="str">
        <f>VLOOKUP(A53,'Trips&amp;Operators'!$C$1:$G$99999,5,FALSE)</f>
        <v>ISHMAEL JOSEPH</v>
      </c>
      <c r="M53" s="6">
        <f t="shared" si="1"/>
        <v>2.7500000003783498E-2</v>
      </c>
      <c r="N53" s="7">
        <f t="shared" si="21"/>
        <v>39.600000005448237</v>
      </c>
      <c r="O53" s="7"/>
      <c r="P53" s="7"/>
      <c r="Q53" s="23"/>
      <c r="R53" s="23"/>
      <c r="S53" s="32">
        <f t="shared" si="22"/>
        <v>1</v>
      </c>
      <c r="T53" s="47" t="str">
        <f t="shared" si="23"/>
        <v>NorthBound</v>
      </c>
      <c r="U53" s="16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07:38:26-700',mode:absolute,to:'2017-01-06 10:24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53" s="49" t="str">
        <f t="shared" si="6"/>
        <v>N</v>
      </c>
      <c r="X53" s="173">
        <f t="shared" si="24"/>
        <v>1</v>
      </c>
      <c r="Y53" s="64">
        <f t="shared" si="8"/>
        <v>4.7500000000000001E-2</v>
      </c>
      <c r="Z53" s="64">
        <f t="shared" si="25"/>
        <v>23.331499999999998</v>
      </c>
      <c r="AA53" s="64">
        <f t="shared" si="10"/>
        <v>23.283999999999999</v>
      </c>
      <c r="AB53" s="61"/>
      <c r="AC53" s="57"/>
      <c r="AD53" s="58" t="str">
        <f t="shared" si="11"/>
        <v>0141-06</v>
      </c>
      <c r="AE53" s="87" t="str">
        <f t="shared" si="12"/>
        <v>aws s3 cp s3://rtdc.mdm.uploadarchive.raw/RTDC4009/ "%USERPROFILE%\AppData\Local\Temp\OnboardLogs"\RTDC4009\2017-01-06 --exclude "*" --recursive --include "*20170106*" &amp; "%USERPROFILE%\Documents\GitHub\mrs-test-scripts\Headless Mode &amp; Sideloading\WalkAndUnGZ.bat" "%USERPROFILE%\AppData\Local\Temp\OnboardLogs"\RTDC4009\2017-01-06 &amp; aws s3 cp s3://rtdc.mdm.uploadarchive.raw/RTDC4009/ "%USERPROFILE%\AppData\Local\Temp\OnboardLogs"\RTDC4009\2017-01-07 --exclude "*" --recursive --include "*20170107*" &amp; "%USERPROFILE%\Documents\GitHub\mrs-test-scripts\Headless Mode &amp; Sideloading\WalkAndUnGZ.bat" "%USERPROFILE%\AppData\Local\Temp\OnboardLogs"\RTDC4009\2017-01-07</v>
      </c>
      <c r="AF53" s="84" t="str">
        <f t="shared" si="13"/>
        <v>"C:\Program Files (x86)\AstroGrep\AstroGrep.exe" /spath="%USERPROFILE%\AppData\Local\Temp\OnboardLogs" /stypes="app*4009*20170106*"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88" t="str">
        <f t="shared" si="18"/>
        <v>"%USERPROFILE%\Documents\GitHub\eaglep3\Utilities\RefineRTDCRunTimes.py" --tripid 141-06 --locoid 4009 --swversion DE.1.0.8.0 --startMP 204:475 --initTime 2017-01-06T08:38:26 --startdatetime 2017-01-06T08:45:14 --delay 1 --endMP 204:233315 --enddatetime 2017-01-06T09:24:50 --enforcementcount 0 &gt;&gt;C:\Users\stu\Documents\GitHub\eaglep3-reporting\EC\2017-01-06-refined-times.txt</v>
      </c>
      <c r="AI53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{"issue":{"subject":"","project_id":79,"tracker_id":40,"status_id":1,"priority_id":2,"assigned_to_id":23,"start_date":"2017-01-06","description":"","custom_fields":[{"id":1,"name":"Subdivision","value":"EC"},{"id":4,"name":"Milepost","value":"23.3315"},{"id":17,"name":"Train ID","value":"141-06"},{"id":16,"name":"Locomotive ID","value":"4009"},{"id":130,"name":"Impact","value":""},{"id":150,"name":"Time of Event (Mountain Time)","value":"09:24:50"},{"id":151,"name":"Denver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80" t="str">
        <f t="shared" si="20"/>
        <v>start /low /b %USERPROFILE%\Documents\GitHub\eaglep3\Utilities\DownloadLogsFromS3.py --loco 4009 --day 2017-01-06</v>
      </c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450</v>
      </c>
      <c r="B54" s="7">
        <v>4010</v>
      </c>
      <c r="C54" s="22" t="s">
        <v>203</v>
      </c>
      <c r="D54" s="22" t="s">
        <v>691</v>
      </c>
      <c r="E54" s="13">
        <v>42741.400937500002</v>
      </c>
      <c r="F54" s="13">
        <v>42741.403680555559</v>
      </c>
      <c r="G54" s="7">
        <v>1</v>
      </c>
      <c r="H54" s="22" t="s">
        <v>191</v>
      </c>
      <c r="I54" s="13">
        <v>42741.430798611109</v>
      </c>
      <c r="J54" s="7">
        <v>0</v>
      </c>
      <c r="K54" s="105" t="str">
        <f t="shared" si="0"/>
        <v>4009/4010</v>
      </c>
      <c r="L54" s="22" t="str">
        <f>VLOOKUP(A54,'Trips&amp;Operators'!$C$1:$G$99999,5,FALSE)</f>
        <v>ISHMAEL JOSEPH</v>
      </c>
      <c r="M54" s="6">
        <f t="shared" si="1"/>
        <v>2.7118055550090503E-2</v>
      </c>
      <c r="N54" s="7">
        <f t="shared" si="21"/>
        <v>39.049999992130324</v>
      </c>
      <c r="O54" s="7"/>
      <c r="P54" s="7"/>
      <c r="Q54" s="23"/>
      <c r="R54" s="23"/>
      <c r="S54" s="32">
        <f t="shared" si="22"/>
        <v>1</v>
      </c>
      <c r="T54" s="47" t="str">
        <f t="shared" si="23"/>
        <v>Southbound</v>
      </c>
      <c r="U54" s="16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08:37:21-700',mode:absolute,to:'2017-01-06 11:20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54" s="49" t="str">
        <f t="shared" si="6"/>
        <v>N</v>
      </c>
      <c r="X54" s="173">
        <f t="shared" si="24"/>
        <v>1</v>
      </c>
      <c r="Y54" s="64">
        <f t="shared" si="8"/>
        <v>23.3002</v>
      </c>
      <c r="Z54" s="64">
        <f t="shared" si="25"/>
        <v>1.49E-2</v>
      </c>
      <c r="AA54" s="64">
        <f t="shared" si="10"/>
        <v>23.285299999999999</v>
      </c>
      <c r="AB54" s="61"/>
      <c r="AC54" s="57"/>
      <c r="AD54" s="58" t="str">
        <f t="shared" si="11"/>
        <v>0142-06</v>
      </c>
      <c r="AE54" s="87" t="str">
        <f t="shared" si="12"/>
        <v>aws s3 cp s3://rtdc.mdm.uploadarchive.raw/RTDC4010/ "%USERPROFILE%\AppData\Local\Temp\OnboardLogs"\RTDC4010\2017-01-06 --exclude "*" --recursive --include "*20170106*" &amp; "%USERPROFILE%\Documents\GitHub\mrs-test-scripts\Headless Mode &amp; Sideloading\WalkAndUnGZ.bat" "%USERPROFILE%\AppData\Local\Temp\OnboardLogs"\RTDC4010\2017-01-06 &amp; aws s3 cp s3://rtdc.mdm.uploadarchive.raw/RTDC4010/ "%USERPROFILE%\AppData\Local\Temp\OnboardLogs"\RTDC4010\2017-01-07 --exclude "*" --recursive --include "*20170107*" &amp; "%USERPROFILE%\Documents\GitHub\mrs-test-scripts\Headless Mode &amp; Sideloading\WalkAndUnGZ.bat" "%USERPROFILE%\AppData\Local\Temp\OnboardLogs"\RTDC4010\2017-01-07</v>
      </c>
      <c r="AF54" s="84" t="str">
        <f t="shared" si="13"/>
        <v>"C:\Program Files (x86)\AstroGrep\AstroGrep.exe" /spath="%USERPROFILE%\AppData\Local\Temp\OnboardLogs" /stypes="app*4010*20170106*"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8" t="str">
        <f t="shared" si="18"/>
        <v>"%USERPROFILE%\Documents\GitHub\eaglep3\Utilities\RefineRTDCRunTimes.py" --tripid 142-06 --locoid 4010 --swversion DE.1.0.8.0 --startMP 204:233002 --initTime 2017-01-06T09:37:21 --startdatetime 2017-01-06T09:41:18 --delay 1 --endMP 204:149 --enddatetime 2017-01-06T10:20:21 --enforcementcount 0 &gt;&gt;C:\Users\stu\Documents\GitHub\eaglep3-reporting\EC\2017-01-06-refined-times.txt</v>
      </c>
      <c r="AI54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{"issue":{"subject":"","project_id":79,"tracker_id":40,"status_id":1,"priority_id":2,"assigned_to_id":23,"start_date":"2017-01-06","description":"","custom_fields":[{"id":1,"name":"Subdivision","value":"EC"},{"id":4,"name":"Milepost","value":"0.0149"},{"id":17,"name":"Train ID","value":"142-06"},{"id":16,"name":"Locomotive ID","value":"4010"},{"id":130,"name":"Impact","value":""},{"id":150,"name":"Time of Event (Mountain Time)","value":"10:20:21"},{"id":151,"name":"Denver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80" t="str">
        <f t="shared" si="20"/>
        <v>start /low /b %USERPROFILE%\Documents\GitHub\eaglep3\Utilities\DownloadLogsFromS3.py --loco 4010 --day 2017-01-06</v>
      </c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535</v>
      </c>
      <c r="B55" s="7">
        <v>4003</v>
      </c>
      <c r="C55" s="22" t="s">
        <v>203</v>
      </c>
      <c r="D55" s="22" t="s">
        <v>692</v>
      </c>
      <c r="E55" s="13">
        <v>42741.3746875</v>
      </c>
      <c r="F55" s="13">
        <v>42741.375821759262</v>
      </c>
      <c r="G55" s="7">
        <v>1</v>
      </c>
      <c r="H55" s="22" t="s">
        <v>364</v>
      </c>
      <c r="I55" s="13">
        <v>42741.400451388887</v>
      </c>
      <c r="J55" s="7">
        <v>0</v>
      </c>
      <c r="K55" s="105" t="str">
        <f t="shared" si="0"/>
        <v>4003/4004</v>
      </c>
      <c r="L55" s="22" t="str">
        <f>VLOOKUP(A55,'Trips&amp;Operators'!$C$1:$G$99999,5,FALSE)</f>
        <v>YANG JAN</v>
      </c>
      <c r="M55" s="6">
        <f t="shared" si="1"/>
        <v>2.4629629624541849E-2</v>
      </c>
      <c r="N55" s="7">
        <f t="shared" si="21"/>
        <v>35.466666659340262</v>
      </c>
      <c r="O55" s="7"/>
      <c r="P55" s="7"/>
      <c r="Q55" s="23"/>
      <c r="R55" s="23"/>
      <c r="S55" s="32">
        <f t="shared" si="22"/>
        <v>1</v>
      </c>
      <c r="T55" s="47" t="str">
        <f t="shared" si="23"/>
        <v>NorthBound</v>
      </c>
      <c r="U55" s="16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07:59:33-700',mode:absolute,to:'2017-01-06 10:36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55" s="49" t="str">
        <f t="shared" si="6"/>
        <v>N</v>
      </c>
      <c r="X55" s="173">
        <f t="shared" si="24"/>
        <v>1</v>
      </c>
      <c r="Y55" s="64">
        <f t="shared" si="8"/>
        <v>4.7300000000000002E-2</v>
      </c>
      <c r="Z55" s="64">
        <f t="shared" si="25"/>
        <v>23.3291</v>
      </c>
      <c r="AA55" s="64">
        <f t="shared" si="10"/>
        <v>23.2818</v>
      </c>
      <c r="AB55" s="61"/>
      <c r="AC55" s="57"/>
      <c r="AD55" s="58" t="str">
        <f t="shared" si="11"/>
        <v>0143-06</v>
      </c>
      <c r="AE55" s="87" t="str">
        <f t="shared" si="12"/>
        <v>aws s3 cp s3://rtdc.mdm.uploadarchive.raw/RTDC4003/ "%USERPROFILE%\AppData\Local\Temp\OnboardLogs"\RTDC4003\2017-01-06 --exclude "*" --recursive --include "*20170106*" &amp; "%USERPROFILE%\Documents\GitHub\mrs-test-scripts\Headless Mode &amp; Sideloading\WalkAndUnGZ.bat" "%USERPROFILE%\AppData\Local\Temp\OnboardLogs"\RTDC4003\2017-01-06 &amp; 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</v>
      </c>
      <c r="AF55" s="84" t="str">
        <f t="shared" si="13"/>
        <v>"C:\Program Files (x86)\AstroGrep\AstroGrep.exe" /spath="%USERPROFILE%\AppData\Local\Temp\OnboardLogs" /stypes="app*4003*20170106*"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88" t="str">
        <f t="shared" si="18"/>
        <v>"%USERPROFILE%\Documents\GitHub\eaglep3\Utilities\RefineRTDCRunTimes.py" --tripid 143-06 --locoid 4003 --swversion DE.1.0.8.0 --startMP 204:473 --initTime 2017-01-06T08:59:33 --startdatetime 2017-01-06T09:01:11 --delay 1 --endMP 204:233291 --enddatetime 2017-01-06T09:36:39 --enforcementcount 0 &gt;&gt;C:\Users\stu\Documents\GitHub\eaglep3-reporting\EC\2017-01-06-refined-times.txt</v>
      </c>
      <c r="AI55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{"issue":{"subject":"","project_id":79,"tracker_id":40,"status_id":1,"priority_id":2,"assigned_to_id":23,"start_date":"2017-01-06","description":"","custom_fields":[{"id":1,"name":"Subdivision","value":"EC"},{"id":4,"name":"Milepost","value":"23.3291"},{"id":17,"name":"Train ID","value":"143-06"},{"id":16,"name":"Locomotive ID","value":"4003"},{"id":130,"name":"Impact","value":""},{"id":150,"name":"Time of Event (Mountain Time)","value":"09:36:39"},{"id":151,"name":"Denver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80" t="str">
        <f t="shared" si="20"/>
        <v>start /low /b %USERPROFILE%\Documents\GitHub\eaglep3\Utilities\DownloadLogsFromS3.py --loco 4003 --day 2017-01-06</v>
      </c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541</v>
      </c>
      <c r="B56" s="7">
        <v>4004</v>
      </c>
      <c r="C56" s="22" t="s">
        <v>203</v>
      </c>
      <c r="D56" s="22" t="s">
        <v>406</v>
      </c>
      <c r="E56" s="13">
        <v>42741.412604166668</v>
      </c>
      <c r="F56" s="13">
        <v>42741.414155092592</v>
      </c>
      <c r="G56" s="7">
        <v>1</v>
      </c>
      <c r="H56" s="22" t="s">
        <v>191</v>
      </c>
      <c r="I56" s="13">
        <v>42741.440254629626</v>
      </c>
      <c r="J56" s="7">
        <v>0</v>
      </c>
      <c r="K56" s="105" t="str">
        <f t="shared" si="0"/>
        <v>4003/4004</v>
      </c>
      <c r="L56" s="22" t="str">
        <f>VLOOKUP(A56,'Trips&amp;Operators'!$C$1:$G$99999,5,FALSE)</f>
        <v>YANG JAN</v>
      </c>
      <c r="M56" s="6">
        <f t="shared" si="1"/>
        <v>2.6099537033587694E-2</v>
      </c>
      <c r="N56" s="7">
        <f t="shared" si="21"/>
        <v>37.58333332836628</v>
      </c>
      <c r="O56" s="7"/>
      <c r="P56" s="7"/>
      <c r="Q56" s="23"/>
      <c r="R56" s="23"/>
      <c r="S56" s="32">
        <f t="shared" si="22"/>
        <v>1</v>
      </c>
      <c r="T56" s="47" t="str">
        <f t="shared" si="23"/>
        <v>Southbound</v>
      </c>
      <c r="U56" s="16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08:54:09-700',mode:absolute,to:'2017-01-06 11:33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6" s="49" t="str">
        <f t="shared" si="6"/>
        <v>N</v>
      </c>
      <c r="X56" s="173">
        <f t="shared" si="24"/>
        <v>1</v>
      </c>
      <c r="Y56" s="64">
        <f t="shared" si="8"/>
        <v>23.296900000000001</v>
      </c>
      <c r="Z56" s="64">
        <f t="shared" si="25"/>
        <v>1.49E-2</v>
      </c>
      <c r="AA56" s="64">
        <f t="shared" si="10"/>
        <v>23.282</v>
      </c>
      <c r="AB56" s="61"/>
      <c r="AC56" s="57"/>
      <c r="AD56" s="58" t="str">
        <f t="shared" si="11"/>
        <v>0144-06</v>
      </c>
      <c r="AE56" s="87" t="str">
        <f t="shared" si="12"/>
        <v>aws s3 cp s3://rtdc.mdm.uploadarchive.raw/RTDC4004/ "%USERPROFILE%\AppData\Local\Temp\OnboardLogs"\RTDC4004\2017-01-06 --exclude "*" --recursive --include "*20170106*" &amp; "%USERPROFILE%\Documents\GitHub\mrs-test-scripts\Headless Mode &amp; Sideloading\WalkAndUnGZ.bat" "%USERPROFILE%\AppData\Local\Temp\OnboardLogs"\RTDC4004\2017-01-06 &amp; aws s3 cp s3://rtdc.mdm.uploadarchive.raw/RTDC4004/ "%USERPROFILE%\AppData\Local\Temp\OnboardLogs"\RTDC4004\2017-01-07 --exclude "*" --recursive --include "*20170107*" &amp; "%USERPROFILE%\Documents\GitHub\mrs-test-scripts\Headless Mode &amp; Sideloading\WalkAndUnGZ.bat" "%USERPROFILE%\AppData\Local\Temp\OnboardLogs"\RTDC4004\2017-01-07</v>
      </c>
      <c r="AF56" s="84" t="str">
        <f t="shared" si="13"/>
        <v>"C:\Program Files (x86)\AstroGrep\AstroGrep.exe" /spath="%USERPROFILE%\AppData\Local\Temp\OnboardLogs" /stypes="app*4004*20170106*"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8" t="str">
        <f t="shared" si="18"/>
        <v>"%USERPROFILE%\Documents\GitHub\eaglep3\Utilities\RefineRTDCRunTimes.py" --tripid 144-06 --locoid 4004 --swversion DE.1.0.8.0 --startMP 204:232969 --initTime 2017-01-06T09:54:09 --startdatetime 2017-01-06T09:56:23 --delay 1 --endMP 204:149 --enddatetime 2017-01-06T10:33:58 --enforcementcount 0 &gt;&gt;C:\Users\stu\Documents\GitHub\eaglep3-reporting\EC\2017-01-06-refined-times.txt</v>
      </c>
      <c r="AI56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{"issue":{"subject":"","project_id":79,"tracker_id":40,"status_id":1,"priority_id":2,"assigned_to_id":23,"start_date":"2017-01-06","description":"","custom_fields":[{"id":1,"name":"Subdivision","value":"EC"},{"id":4,"name":"Milepost","value":"0.0149"},{"id":17,"name":"Train ID","value":"144-06"},{"id":16,"name":"Locomotive ID","value":"4004"},{"id":130,"name":"Impact","value":""},{"id":150,"name":"Time of Event (Mountain Time)","value":"10:33:58"},{"id":151,"name":"Denver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80" t="str">
        <f t="shared" si="20"/>
        <v>start /low /b %USERPROFILE%\Documents\GitHub\eaglep3\Utilities\DownloadLogsFromS3.py --loco 4004 --day 2017-01-06</v>
      </c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538</v>
      </c>
      <c r="B57" s="7">
        <v>4027</v>
      </c>
      <c r="C57" s="22" t="s">
        <v>203</v>
      </c>
      <c r="D57" s="22" t="s">
        <v>325</v>
      </c>
      <c r="E57" s="13">
        <v>42741.383796296293</v>
      </c>
      <c r="F57" s="13">
        <v>42741.385613425926</v>
      </c>
      <c r="G57" s="7">
        <v>1</v>
      </c>
      <c r="H57" s="22" t="s">
        <v>693</v>
      </c>
      <c r="I57" s="13">
        <v>42741.412083333336</v>
      </c>
      <c r="J57" s="7">
        <v>0</v>
      </c>
      <c r="K57" s="105" t="str">
        <f t="shared" si="0"/>
        <v>4027/4028</v>
      </c>
      <c r="L57" s="22" t="str">
        <f>VLOOKUP(A57,'Trips&amp;Operators'!$C$1:$G$99999,5,FALSE)</f>
        <v>ACKERMAN JARED</v>
      </c>
      <c r="M57" s="6">
        <f t="shared" si="1"/>
        <v>2.6469907410501037E-2</v>
      </c>
      <c r="N57" s="7">
        <f t="shared" si="21"/>
        <v>38.116666671121493</v>
      </c>
      <c r="O57" s="7"/>
      <c r="P57" s="7"/>
      <c r="Q57" s="23"/>
      <c r="R57" s="23"/>
      <c r="S57" s="32">
        <f t="shared" si="22"/>
        <v>1</v>
      </c>
      <c r="T57" s="47" t="str">
        <f t="shared" si="23"/>
        <v>NorthBound</v>
      </c>
      <c r="U57" s="16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08:12:40-700',mode:absolute,to:'2017-01-06 10:53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57" s="49" t="str">
        <f t="shared" si="6"/>
        <v>N</v>
      </c>
      <c r="X57" s="173">
        <f t="shared" si="24"/>
        <v>1</v>
      </c>
      <c r="Y57" s="64">
        <f t="shared" si="8"/>
        <v>4.58E-2</v>
      </c>
      <c r="Z57" s="64">
        <f t="shared" si="25"/>
        <v>23.3325</v>
      </c>
      <c r="AA57" s="64">
        <f t="shared" si="10"/>
        <v>23.2867</v>
      </c>
      <c r="AB57" s="61"/>
      <c r="AC57" s="57"/>
      <c r="AD57" s="58" t="str">
        <f t="shared" si="11"/>
        <v>0145-06</v>
      </c>
      <c r="AE57" s="87" t="str">
        <f t="shared" si="12"/>
        <v>aws s3 cp s3://rtdc.mdm.uploadarchive.raw/RTDC4027/ "%USERPROFILE%\AppData\Local\Temp\OnboardLogs"\RTDC4027\2017-01-06 --exclude "*" --recursive --include "*20170106*" &amp; "%USERPROFILE%\Documents\GitHub\mrs-test-scripts\Headless Mode &amp; Sideloading\WalkAndUnGZ.bat" "%USERPROFILE%\AppData\Local\Temp\OnboardLogs"\RTDC4027\2017-01-06 &amp; aws s3 cp s3://rtdc.mdm.uploadarchive.raw/RTDC4027/ "%USERPROFILE%\AppData\Local\Temp\OnboardLogs"\RTDC4027\2017-01-07 --exclude "*" --recursive --include "*20170107*" &amp; "%USERPROFILE%\Documents\GitHub\mrs-test-scripts\Headless Mode &amp; Sideloading\WalkAndUnGZ.bat" "%USERPROFILE%\AppData\Local\Temp\OnboardLogs"\RTDC4027\2017-01-07</v>
      </c>
      <c r="AF57" s="84" t="str">
        <f t="shared" si="13"/>
        <v>"C:\Program Files (x86)\AstroGrep\AstroGrep.exe" /spath="%USERPROFILE%\AppData\Local\Temp\OnboardLogs" /stypes="app*4027*20170106*" /stext=" 16:.+((SYSTEM_STATE.+slice.+state.+changed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88" t="str">
        <f t="shared" si="18"/>
        <v>"%USERPROFILE%\Documents\GitHub\eaglep3\Utilities\RefineRTDCRunTimes.py" --tripid 145-06 --locoid 4027 --swversion DE.1.0.8.0 --startMP 204:458 --initTime 2017-01-06T09:12:40 --startdatetime 2017-01-06T09:15:17 --delay 1 --endMP 204:233325 --enddatetime 2017-01-06T09:53:24 --enforcementcount 0 &gt;&gt;C:\Users\stu\Documents\GitHub\eaglep3-reporting\EC\2017-01-06-refined-times.txt</v>
      </c>
      <c r="AI57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{"issue":{"subject":"","project_id":79,"tracker_id":40,"status_id":1,"priority_id":2,"assigned_to_id":23,"start_date":"2017-01-06","description":"","custom_fields":[{"id":1,"name":"Subdivision","value":"EC"},{"id":4,"name":"Milepost","value":"23.3325"},{"id":17,"name":"Train ID","value":"145-06"},{"id":16,"name":"Locomotive ID","value":"4027"},{"id":130,"name":"Impact","value":""},{"id":150,"name":"Time of Event (Mountain Time)","value":"09:53:24"},{"id":151,"name":"Denver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80" t="str">
        <f t="shared" si="20"/>
        <v>start /low /b %USERPROFILE%\Documents\GitHub\eaglep3\Utilities\DownloadLogsFromS3.py --loco 4027 --day 2017-01-06</v>
      </c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452</v>
      </c>
      <c r="B58" s="7">
        <v>4028</v>
      </c>
      <c r="C58" s="22" t="s">
        <v>203</v>
      </c>
      <c r="D58" s="22" t="s">
        <v>694</v>
      </c>
      <c r="E58" s="13">
        <v>42741.419259259259</v>
      </c>
      <c r="F58" s="13">
        <v>42741.424490740741</v>
      </c>
      <c r="G58" s="7">
        <v>2</v>
      </c>
      <c r="H58" s="22" t="s">
        <v>695</v>
      </c>
      <c r="I58" s="13">
        <v>42741.451840277776</v>
      </c>
      <c r="J58" s="7">
        <v>0</v>
      </c>
      <c r="K58" s="105" t="str">
        <f t="shared" si="0"/>
        <v>4027/4028</v>
      </c>
      <c r="L58" s="22" t="str">
        <f>VLOOKUP(A58,'Trips&amp;Operators'!$C$1:$G$99999,5,FALSE)</f>
        <v>ACKERMAN JARED</v>
      </c>
      <c r="M58" s="6">
        <f t="shared" si="1"/>
        <v>2.7349537034751847E-2</v>
      </c>
      <c r="N58" s="7">
        <f t="shared" si="21"/>
        <v>39.38333333004266</v>
      </c>
      <c r="O58" s="7"/>
      <c r="P58" s="7"/>
      <c r="Q58" s="23"/>
      <c r="R58" s="23"/>
      <c r="S58" s="32">
        <f t="shared" si="22"/>
        <v>1</v>
      </c>
      <c r="T58" s="47" t="str">
        <f t="shared" si="23"/>
        <v>Southbound</v>
      </c>
      <c r="U58" s="16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09:03:44-700',mode:absolute,to:'2017-01-06 11:50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58" s="49" t="str">
        <f t="shared" si="6"/>
        <v>N</v>
      </c>
      <c r="X58" s="173">
        <f t="shared" si="24"/>
        <v>1</v>
      </c>
      <c r="Y58" s="64">
        <f t="shared" si="8"/>
        <v>23.299600000000002</v>
      </c>
      <c r="Z58" s="64">
        <f t="shared" si="25"/>
        <v>1.2999999999999999E-2</v>
      </c>
      <c r="AA58" s="64">
        <f t="shared" si="10"/>
        <v>23.2866</v>
      </c>
      <c r="AB58" s="61"/>
      <c r="AC58" s="57"/>
      <c r="AD58" s="58" t="str">
        <f t="shared" si="11"/>
        <v>0146-06</v>
      </c>
      <c r="AE58" s="87" t="str">
        <f t="shared" si="12"/>
        <v>aws s3 cp s3://rtdc.mdm.uploadarchive.raw/RTDC4028/ "%USERPROFILE%\AppData\Local\Temp\OnboardLogs"\RTDC4028\2017-01-06 --exclude "*" --recursive --include "*20170106*" &amp; "%USERPROFILE%\Documents\GitHub\mrs-test-scripts\Headless Mode &amp; Sideloading\WalkAndUnGZ.bat" "%USERPROFILE%\AppData\Local\Temp\OnboardLogs"\RTDC4028\2017-01-06 &amp; aws s3 cp s3://rtdc.mdm.uploadarchive.raw/RTDC4028/ "%USERPROFILE%\AppData\Local\Temp\OnboardLogs"\RTDC4028\2017-01-07 --exclude "*" --recursive --include "*20170107*" &amp; "%USERPROFILE%\Documents\GitHub\mrs-test-scripts\Headless Mode &amp; Sideloading\WalkAndUnGZ.bat" "%USERPROFILE%\AppData\Local\Temp\OnboardLogs"\RTDC4028\2017-01-07</v>
      </c>
      <c r="AF58" s="84" t="str">
        <f t="shared" si="13"/>
        <v>"C:\Program Files (x86)\AstroGrep\AstroGrep.exe" /spath="%USERPROFILE%\AppData\Local\Temp\OnboardLogs" /stypes="app*4028*20170106*"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8" t="str">
        <f t="shared" si="18"/>
        <v>"%USERPROFILE%\Documents\GitHub\eaglep3\Utilities\RefineRTDCRunTimes.py" --tripid 146-06 --locoid 4028 --swversion DE.1.0.8.0 --startMP 204:232996 --initTime 2017-01-06T10:03:44 --startdatetime 2017-01-06T10:11:16 --delay 2 --endMP 204:130 --enddatetime 2017-01-06T10:50:39 --enforcementcount 0 &gt;&gt;C:\Users\stu\Documents\GitHub\eaglep3-reporting\EC\2017-01-06-refined-times.txt</v>
      </c>
      <c r="AI58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{"issue":{"subject":"","project_id":79,"tracker_id":40,"status_id":1,"priority_id":2,"assigned_to_id":23,"start_date":"2017-01-06","description":"","custom_fields":[{"id":1,"name":"Subdivision","value":"EC"},{"id":4,"name":"Milepost","value":"0.013"},{"id":17,"name":"Train ID","value":"146-06"},{"id":16,"name":"Locomotive ID","value":"4028"},{"id":130,"name":"Impact","value":""},{"id":150,"name":"Time of Event (Mountain Time)","value":"10:50:39"},{"id":151,"name":"Denver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80" t="str">
        <f t="shared" si="20"/>
        <v>start /low /b %USERPROFILE%\Documents\GitHub\eaglep3\Utilities\DownloadLogsFromS3.py --loco 4028 --day 2017-01-06</v>
      </c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540</v>
      </c>
      <c r="B59" s="7">
        <v>4018</v>
      </c>
      <c r="C59" s="22" t="s">
        <v>203</v>
      </c>
      <c r="D59" s="22" t="s">
        <v>412</v>
      </c>
      <c r="E59" s="13">
        <v>42741.39402777778</v>
      </c>
      <c r="F59" s="13">
        <v>42741.395995370367</v>
      </c>
      <c r="G59" s="7">
        <v>1</v>
      </c>
      <c r="H59" s="22" t="s">
        <v>696</v>
      </c>
      <c r="I59" s="13">
        <v>42741.420740740738</v>
      </c>
      <c r="J59" s="7">
        <v>0</v>
      </c>
      <c r="K59" s="105" t="str">
        <f t="shared" si="0"/>
        <v>4017/4018</v>
      </c>
      <c r="L59" s="22" t="str">
        <f>VLOOKUP(A59,'Trips&amp;Operators'!$C$1:$G$99999,5,FALSE)</f>
        <v>ROBINSON KADDIBA</v>
      </c>
      <c r="M59" s="6">
        <f t="shared" si="1"/>
        <v>2.47453703705105E-2</v>
      </c>
      <c r="N59" s="7">
        <f t="shared" si="21"/>
        <v>35.63333333353512</v>
      </c>
      <c r="O59" s="7"/>
      <c r="P59" s="7"/>
      <c r="Q59" s="23"/>
      <c r="R59" s="23"/>
      <c r="S59" s="32">
        <f t="shared" si="22"/>
        <v>1</v>
      </c>
      <c r="T59" s="47" t="str">
        <f t="shared" si="23"/>
        <v>NorthBound</v>
      </c>
      <c r="U59" s="16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08:27:24-700',mode:absolute,to:'2017-01-06 11:05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9" s="49" t="str">
        <f t="shared" si="6"/>
        <v>N</v>
      </c>
      <c r="X59" s="173">
        <f t="shared" si="24"/>
        <v>1</v>
      </c>
      <c r="Y59" s="64">
        <f t="shared" si="8"/>
        <v>4.3999999999999997E-2</v>
      </c>
      <c r="Z59" s="64">
        <f t="shared" si="25"/>
        <v>23.330500000000001</v>
      </c>
      <c r="AA59" s="64">
        <f t="shared" si="10"/>
        <v>23.2865</v>
      </c>
      <c r="AB59" s="61"/>
      <c r="AC59" s="57"/>
      <c r="AD59" s="58" t="str">
        <f t="shared" si="11"/>
        <v>0147-06</v>
      </c>
      <c r="AE59" s="87" t="str">
        <f t="shared" si="12"/>
        <v>aws s3 cp s3://rtdc.mdm.uploadarchive.raw/RTDC4018/ "%USERPROFILE%\AppData\Local\Temp\OnboardLogs"\RTDC4018\2017-01-06 --exclude "*" --recursive --include "*20170106*" &amp; "%USERPROFILE%\Documents\GitHub\mrs-test-scripts\Headless Mode &amp; Sideloading\WalkAndUnGZ.bat" "%USERPROFILE%\AppData\Local\Temp\OnboardLogs"\RTDC4018\2017-01-06 &amp; aws s3 cp s3://rtdc.mdm.uploadarchive.raw/RTDC4018/ "%USERPROFILE%\AppData\Local\Temp\OnboardLogs"\RTDC4018\2017-01-07 --exclude "*" --recursive --include "*20170107*" &amp; "%USERPROFILE%\Documents\GitHub\mrs-test-scripts\Headless Mode &amp; Sideloading\WalkAndUnGZ.bat" "%USERPROFILE%\AppData\Local\Temp\OnboardLogs"\RTDC4018\2017-01-07</v>
      </c>
      <c r="AF59" s="84" t="str">
        <f t="shared" si="13"/>
        <v>"C:\Program Files (x86)\AstroGrep\AstroGrep.exe" /spath="%USERPROFILE%\AppData\Local\Temp\OnboardLogs" /stypes="app*4018*20170106*"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8" t="str">
        <f t="shared" si="18"/>
        <v>"%USERPROFILE%\Documents\GitHub\eaglep3\Utilities\RefineRTDCRunTimes.py" --tripid 147-06 --locoid 4018 --swversion DE.1.0.8.0 --startMP 204:440 --initTime 2017-01-06T09:27:24 --startdatetime 2017-01-06T09:30:14 --delay 1 --endMP 204:233305 --enddatetime 2017-01-06T10:05:52 --enforcementcount 0 &gt;&gt;C:\Users\stu\Documents\GitHub\eaglep3-reporting\EC\2017-01-06-refined-times.txt</v>
      </c>
      <c r="AI59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{"issue":{"subject":"","project_id":79,"tracker_id":40,"status_id":1,"priority_id":2,"assigned_to_id":23,"start_date":"2017-01-06","description":"","custom_fields":[{"id":1,"name":"Subdivision","value":"EC"},{"id":4,"name":"Milepost","value":"23.3305"},{"id":17,"name":"Train ID","value":"147-06"},{"id":16,"name":"Locomotive ID","value":"4018"},{"id":130,"name":"Impact","value":""},{"id":150,"name":"Time of Event (Mountain Time)","value":"10:05:52"},{"id":151,"name":"Denver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80" t="str">
        <f t="shared" si="20"/>
        <v>start /low /b %USERPROFILE%\Documents\GitHub\eaglep3\Utilities\DownloadLogsFromS3.py --loco 4018 --day 2017-01-06</v>
      </c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543</v>
      </c>
      <c r="B60" s="7">
        <v>4017</v>
      </c>
      <c r="C60" s="22" t="s">
        <v>203</v>
      </c>
      <c r="D60" s="22" t="s">
        <v>697</v>
      </c>
      <c r="E60" s="13">
        <v>42741.42701388889</v>
      </c>
      <c r="F60" s="13">
        <v>42741.434884259259</v>
      </c>
      <c r="G60" s="7">
        <v>1</v>
      </c>
      <c r="H60" s="22" t="s">
        <v>279</v>
      </c>
      <c r="I60" s="13">
        <v>42741.462245370371</v>
      </c>
      <c r="J60" s="7">
        <v>0</v>
      </c>
      <c r="K60" s="105" t="str">
        <f t="shared" si="0"/>
        <v>4017/4018</v>
      </c>
      <c r="L60" s="22" t="str">
        <f>VLOOKUP(A60,'Trips&amp;Operators'!$C$1:$G$99999,5,FALSE)</f>
        <v>ROBINSON KADDIBA</v>
      </c>
      <c r="M60" s="6">
        <f t="shared" si="1"/>
        <v>2.73611111115315E-2</v>
      </c>
      <c r="N60" s="7">
        <f t="shared" si="21"/>
        <v>39.40000000060536</v>
      </c>
      <c r="O60" s="7"/>
      <c r="P60" s="7"/>
      <c r="Q60" s="23"/>
      <c r="R60" s="23"/>
      <c r="S60" s="32">
        <f t="shared" si="22"/>
        <v>1</v>
      </c>
      <c r="T60" s="47" t="str">
        <f t="shared" si="23"/>
        <v>Southbound</v>
      </c>
      <c r="U60" s="16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09:14:54-700',mode:absolute,to:'2017-01-06 12:05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60" s="49" t="str">
        <f t="shared" si="6"/>
        <v>N</v>
      </c>
      <c r="X60" s="173">
        <f t="shared" si="24"/>
        <v>1</v>
      </c>
      <c r="Y60" s="64">
        <f t="shared" si="8"/>
        <v>23.297999999999998</v>
      </c>
      <c r="Z60" s="64">
        <f t="shared" si="25"/>
        <v>1.52E-2</v>
      </c>
      <c r="AA60" s="64">
        <f t="shared" si="10"/>
        <v>23.282799999999998</v>
      </c>
      <c r="AB60" s="61"/>
      <c r="AC60" s="57"/>
      <c r="AD60" s="58" t="str">
        <f t="shared" si="11"/>
        <v>0148-06</v>
      </c>
      <c r="AE60" s="87" t="str">
        <f t="shared" si="12"/>
        <v>aws s3 cp s3://rtdc.mdm.uploadarchive.raw/RTDC4017/ "%USERPROFILE%\AppData\Local\Temp\OnboardLogs"\RTDC4017\2017-01-06 --exclude "*" --recursive --include "*20170106*" &amp; "%USERPROFILE%\Documents\GitHub\mrs-test-scripts\Headless Mode &amp; Sideloading\WalkAndUnGZ.bat" "%USERPROFILE%\AppData\Local\Temp\OnboardLogs"\RTDC4017\2017-01-06 &amp; aws s3 cp s3://rtdc.mdm.uploadarchive.raw/RTDC4017/ "%USERPROFILE%\AppData\Local\Temp\OnboardLogs"\RTDC4017\2017-01-07 --exclude "*" --recursive --include "*20170107*" &amp; "%USERPROFILE%\Documents\GitHub\mrs-test-scripts\Headless Mode &amp; Sideloading\WalkAndUnGZ.bat" "%USERPROFILE%\AppData\Local\Temp\OnboardLogs"\RTDC4017\2017-01-07</v>
      </c>
      <c r="AF60" s="84" t="str">
        <f t="shared" si="13"/>
        <v>"C:\Program Files (x86)\AstroGrep\AstroGrep.exe" /spath="%USERPROFILE%\AppData\Local\Temp\OnboardLogs" /stypes="app*4017*20170106*"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8" t="str">
        <f t="shared" si="18"/>
        <v>"%USERPROFILE%\Documents\GitHub\eaglep3\Utilities\RefineRTDCRunTimes.py" --tripid 148-06 --locoid 4017 --swversion DE.1.0.8.0 --startMP 204:232980 --initTime 2017-01-06T10:14:54 --startdatetime 2017-01-06T10:26:14 --delay 1 --endMP 204:152 --enddatetime 2017-01-06T11:05:38 --enforcementcount 0 &gt;&gt;C:\Users\stu\Documents\GitHub\eaglep3-reporting\EC\2017-01-06-refined-times.txt</v>
      </c>
      <c r="AI60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{"issue":{"subject":"","project_id":79,"tracker_id":40,"status_id":1,"priority_id":2,"assigned_to_id":23,"start_date":"2017-01-06","description":"","custom_fields":[{"id":1,"name":"Subdivision","value":"EC"},{"id":4,"name":"Milepost","value":"0.0152"},{"id":17,"name":"Train ID","value":"148-06"},{"id":16,"name":"Locomotive ID","value":"4017"},{"id":130,"name":"Impact","value":""},{"id":150,"name":"Time of Event (Mountain Time)","value":"11:05:38"},{"id":151,"name":"Denver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80" t="str">
        <f t="shared" si="20"/>
        <v>start /low /b %USERPROFILE%\Documents\GitHub\eaglep3\Utilities\DownloadLogsFromS3.py --loco 4017 --day 2017-01-06</v>
      </c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451</v>
      </c>
      <c r="B61" s="7">
        <v>4044</v>
      </c>
      <c r="C61" s="22" t="s">
        <v>203</v>
      </c>
      <c r="D61" s="22" t="s">
        <v>259</v>
      </c>
      <c r="E61" s="13">
        <v>42741.403136574074</v>
      </c>
      <c r="F61" s="13">
        <v>42741.406458333331</v>
      </c>
      <c r="G61" s="7">
        <v>2</v>
      </c>
      <c r="H61" s="22" t="s">
        <v>698</v>
      </c>
      <c r="I61" s="13">
        <v>42741.43277777778</v>
      </c>
      <c r="J61" s="7">
        <v>0</v>
      </c>
      <c r="K61" s="105" t="str">
        <f t="shared" si="0"/>
        <v>4043/4044</v>
      </c>
      <c r="L61" s="22" t="str">
        <f>VLOOKUP(A61,'Trips&amp;Operators'!$C$1:$G$99999,5,FALSE)</f>
        <v>STARKS ANGELINA</v>
      </c>
      <c r="M61" s="6">
        <f t="shared" si="1"/>
        <v>2.6319444448745344E-2</v>
      </c>
      <c r="N61" s="7">
        <f t="shared" ref="N61:N92" si="26">24*60*SUM($M61:$M61)</f>
        <v>37.900000006193295</v>
      </c>
      <c r="O61" s="7"/>
      <c r="P61" s="7"/>
      <c r="Q61" s="23"/>
      <c r="R61" s="23"/>
      <c r="S61" s="32">
        <f t="shared" ref="S61:S92" si="27">SUM(U61:U61)/IF(AG61="EC",12,1)</f>
        <v>1</v>
      </c>
      <c r="T61" s="47" t="str">
        <f t="shared" si="23"/>
        <v>NorthBound</v>
      </c>
      <c r="U61" s="16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08:40:31-700',mode:absolute,to:'2017-01-06 11:23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1" s="49" t="str">
        <f t="shared" si="6"/>
        <v>N</v>
      </c>
      <c r="X61" s="173">
        <f t="shared" si="24"/>
        <v>1</v>
      </c>
      <c r="Y61" s="64">
        <f t="shared" si="8"/>
        <v>4.4900000000000002E-2</v>
      </c>
      <c r="Z61" s="64">
        <f t="shared" si="25"/>
        <v>23.325299999999999</v>
      </c>
      <c r="AA61" s="64">
        <f t="shared" si="10"/>
        <v>23.2804</v>
      </c>
      <c r="AB61" s="61"/>
      <c r="AC61" s="57"/>
      <c r="AD61" s="58" t="str">
        <f t="shared" si="11"/>
        <v>0149-06</v>
      </c>
      <c r="AE61" s="87" t="str">
        <f t="shared" si="12"/>
        <v>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 &amp; aws s3 cp s3://rtdc.mdm.uploadarchive.raw/RTDC4044/ "%USERPROFILE%\AppData\Local\Temp\OnboardLogs"\RTDC4044\2017-01-07 --exclude "*" --recursive --include "*20170107*" &amp; "%USERPROFILE%\Documents\GitHub\mrs-test-scripts\Headless Mode &amp; Sideloading\WalkAndUnGZ.bat" "%USERPROFILE%\AppData\Local\Temp\OnboardLogs"\RTDC4044\2017-01-07</v>
      </c>
      <c r="AF61" s="84" t="str">
        <f t="shared" si="13"/>
        <v>"C:\Program Files (x86)\AstroGrep\AstroGrep.exe" /spath="%USERPROFILE%\AppData\Local\Temp\OnboardLogs" /stypes="app*4044*20170106*"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8" t="str">
        <f t="shared" si="18"/>
        <v>"%USERPROFILE%\Documents\GitHub\eaglep3\Utilities\RefineRTDCRunTimes.py" --tripid 149-06 --locoid 4044 --swversion DE.1.0.8.0 --startMP 204:449 --initTime 2017-01-06T09:40:31 --startdatetime 2017-01-06T09:45:18 --delay 2 --endMP 204:233253 --enddatetime 2017-01-06T10:23:12 --enforcementcount 0 &gt;&gt;C:\Users\stu\Documents\GitHub\eaglep3-reporting\EC\2017-01-06-refined-times.txt</v>
      </c>
      <c r="AI61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{"issue":{"subject":"","project_id":79,"tracker_id":40,"status_id":1,"priority_id":2,"assigned_to_id":23,"start_date":"2017-01-06","description":"","custom_fields":[{"id":1,"name":"Subdivision","value":"EC"},{"id":4,"name":"Milepost","value":"23.3253"},{"id":17,"name":"Train ID","value":"149-06"},{"id":16,"name":"Locomotive ID","value":"4044"},{"id":130,"name":"Impact","value":""},{"id":150,"name":"Time of Event (Mountain Time)","value":"10:23:12"},{"id":151,"name":"Denver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80" t="str">
        <f t="shared" si="20"/>
        <v>start /low /b %USERPROFILE%\Documents\GitHub\eaglep3\Utilities\DownloadLogsFromS3.py --loco 4044 --day 2017-01-06</v>
      </c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545</v>
      </c>
      <c r="B62" s="7">
        <v>4043</v>
      </c>
      <c r="C62" s="22" t="s">
        <v>203</v>
      </c>
      <c r="D62" s="22" t="s">
        <v>699</v>
      </c>
      <c r="E62" s="13">
        <v>42741.440925925926</v>
      </c>
      <c r="F62" s="13">
        <v>42741.445347222223</v>
      </c>
      <c r="G62" s="7">
        <v>1</v>
      </c>
      <c r="H62" s="22" t="s">
        <v>689</v>
      </c>
      <c r="I62" s="13">
        <v>42741.472650462965</v>
      </c>
      <c r="J62" s="7">
        <v>0</v>
      </c>
      <c r="K62" s="105" t="str">
        <f t="shared" si="0"/>
        <v>4043/4044</v>
      </c>
      <c r="L62" s="22" t="str">
        <f>VLOOKUP(A62,'Trips&amp;Operators'!$C$1:$G$99999,5,FALSE)</f>
        <v>STARKS ANGELINA</v>
      </c>
      <c r="M62" s="6">
        <f t="shared" si="1"/>
        <v>2.7303240742185153E-2</v>
      </c>
      <c r="N62" s="7">
        <f t="shared" si="26"/>
        <v>39.31666666874662</v>
      </c>
      <c r="O62" s="7"/>
      <c r="P62" s="7"/>
      <c r="Q62" s="23"/>
      <c r="R62" s="23"/>
      <c r="S62" s="32">
        <f t="shared" si="27"/>
        <v>1</v>
      </c>
      <c r="T62" s="47" t="str">
        <f t="shared" si="23"/>
        <v>Southbound</v>
      </c>
      <c r="U62" s="16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09:34:56-700',mode:absolute,to:'2017-01-06 12:20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2" s="49" t="str">
        <f t="shared" si="6"/>
        <v>N</v>
      </c>
      <c r="X62" s="173">
        <f t="shared" si="24"/>
        <v>1</v>
      </c>
      <c r="Y62" s="64">
        <f t="shared" si="8"/>
        <v>23.2926</v>
      </c>
      <c r="Z62" s="64">
        <f t="shared" si="25"/>
        <v>1.61E-2</v>
      </c>
      <c r="AA62" s="64">
        <f t="shared" si="10"/>
        <v>23.276499999999999</v>
      </c>
      <c r="AB62" s="61"/>
      <c r="AC62" s="57"/>
      <c r="AD62" s="58" t="str">
        <f t="shared" si="11"/>
        <v>0150-06</v>
      </c>
      <c r="AE62" s="87" t="str">
        <f t="shared" si="12"/>
        <v>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 &amp; aws s3 cp s3://rtdc.mdm.uploadarchive.raw/RTDC4043/ "%USERPROFILE%\AppData\Local\Temp\OnboardLogs"\RTDC4043\2017-01-07 --exclude "*" --recursive --include "*20170107*" &amp; "%USERPROFILE%\Documents\GitHub\mrs-test-scripts\Headless Mode &amp; Sideloading\WalkAndUnGZ.bat" "%USERPROFILE%\AppData\Local\Temp\OnboardLogs"\RTDC4043\2017-01-07</v>
      </c>
      <c r="AF62" s="84" t="str">
        <f t="shared" si="13"/>
        <v>"C:\Program Files (x86)\AstroGrep\AstroGrep.exe" /spath="%USERPROFILE%\AppData\Local\Temp\OnboardLogs" /stypes="app*4043*20170106*"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8" t="str">
        <f t="shared" si="18"/>
        <v>"%USERPROFILE%\Documents\GitHub\eaglep3\Utilities\RefineRTDCRunTimes.py" --tripid 150-06 --locoid 4043 --swversion DE.1.0.8.0 --startMP 204:232926 --initTime 2017-01-06T10:34:56 --startdatetime 2017-01-06T10:41:18 --delay 1 --endMP 204:161 --enddatetime 2017-01-06T11:20:37 --enforcementcount 0 &gt;&gt;C:\Users\stu\Documents\GitHub\eaglep3-reporting\EC\2017-01-06-refined-times.txt</v>
      </c>
      <c r="AI62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{"issue":{"subject":"","project_id":79,"tracker_id":40,"status_id":1,"priority_id":2,"assigned_to_id":23,"start_date":"2017-01-06","description":"","custom_fields":[{"id":1,"name":"Subdivision","value":"EC"},{"id":4,"name":"Milepost","value":"0.0161"},{"id":17,"name":"Train ID","value":"150-06"},{"id":16,"name":"Locomotive ID","value":"4043"},{"id":130,"name":"Impact","value":""},{"id":150,"name":"Time of Event (Mountain Time)","value":"11:20:37"},{"id":151,"name":"Denver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80" t="str">
        <f t="shared" si="20"/>
        <v>start /low /b %USERPROFILE%\Documents\GitHub\eaglep3\Utilities\DownloadLogsFromS3.py --loco 4043 --day 2017-01-06</v>
      </c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542</v>
      </c>
      <c r="B63" s="7">
        <v>4002</v>
      </c>
      <c r="C63" s="22" t="s">
        <v>203</v>
      </c>
      <c r="D63" s="22" t="s">
        <v>244</v>
      </c>
      <c r="E63" s="13">
        <v>42741.413217592592</v>
      </c>
      <c r="F63" s="13">
        <v>42741.418402777781</v>
      </c>
      <c r="G63" s="7">
        <v>1</v>
      </c>
      <c r="H63" s="22" t="s">
        <v>405</v>
      </c>
      <c r="I63" s="13">
        <v>42741.442800925928</v>
      </c>
      <c r="J63" s="7">
        <v>0</v>
      </c>
      <c r="K63" s="105" t="str">
        <f t="shared" si="0"/>
        <v>4001/4002</v>
      </c>
      <c r="L63" s="22" t="str">
        <f>VLOOKUP(A63,'Trips&amp;Operators'!$C$1:$G$99999,5,FALSE)</f>
        <v>SIMMONS SHYHESHA</v>
      </c>
      <c r="M63" s="6">
        <f t="shared" si="1"/>
        <v>2.4398148147156462E-2</v>
      </c>
      <c r="N63" s="7">
        <f t="shared" si="26"/>
        <v>35.133333331905305</v>
      </c>
      <c r="O63" s="7"/>
      <c r="P63" s="7"/>
      <c r="Q63" s="23"/>
      <c r="R63" s="23"/>
      <c r="S63" s="32">
        <f t="shared" si="27"/>
        <v>1</v>
      </c>
      <c r="T63" s="47" t="str">
        <f t="shared" si="23"/>
        <v>NorthBound</v>
      </c>
      <c r="U63" s="16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08:55:02-700',mode:absolute,to:'2017-01-06 11:37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63" s="49" t="str">
        <f t="shared" si="6"/>
        <v>N</v>
      </c>
      <c r="X63" s="173">
        <f t="shared" si="24"/>
        <v>1</v>
      </c>
      <c r="Y63" s="64">
        <f t="shared" si="8"/>
        <v>4.6399999999999997E-2</v>
      </c>
      <c r="Z63" s="64">
        <f t="shared" si="25"/>
        <v>23.3309</v>
      </c>
      <c r="AA63" s="64">
        <f t="shared" si="10"/>
        <v>23.284500000000001</v>
      </c>
      <c r="AB63" s="61"/>
      <c r="AC63" s="57"/>
      <c r="AD63" s="58" t="str">
        <f t="shared" si="11"/>
        <v>0151-06</v>
      </c>
      <c r="AE63" s="87" t="str">
        <f t="shared" si="12"/>
        <v>aws s3 cp s3://rtdc.mdm.uploadarchive.raw/RTDC4002/ "%USERPROFILE%\AppData\Local\Temp\OnboardLogs"\RTDC4002\2017-01-06 --exclude "*" --recursive --include "*20170106*" &amp; "%USERPROFILE%\Documents\GitHub\mrs-test-scripts\Headless Mode &amp; Sideloading\WalkAndUnGZ.bat" "%USERPROFILE%\AppData\Local\Temp\OnboardLogs"\RTDC4002\2017-01-06 &amp; aws s3 cp s3://rtdc.mdm.uploadarchive.raw/RTDC4002/ "%USERPROFILE%\AppData\Local\Temp\OnboardLogs"\RTDC4002\2017-01-07 --exclude "*" --recursive --include "*20170107*" &amp; "%USERPROFILE%\Documents\GitHub\mrs-test-scripts\Headless Mode &amp; Sideloading\WalkAndUnGZ.bat" "%USERPROFILE%\AppData\Local\Temp\OnboardLogs"\RTDC4002\2017-01-07</v>
      </c>
      <c r="AF63" s="84" t="str">
        <f t="shared" si="13"/>
        <v>"C:\Program Files (x86)\AstroGrep\AstroGrep.exe" /spath="%USERPROFILE%\AppData\Local\Temp\OnboardLogs" /stypes="app*4002*20170106*"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8" t="str">
        <f t="shared" si="18"/>
        <v>"%USERPROFILE%\Documents\GitHub\eaglep3\Utilities\RefineRTDCRunTimes.py" --tripid 151-06 --locoid 4002 --swversion DE.1.0.8.0 --startMP 204:464 --initTime 2017-01-06T09:55:02 --startdatetime 2017-01-06T10:02:30 --delay 1 --endMP 204:233309 --enddatetime 2017-01-06T10:37:38 --enforcementcount 0 &gt;&gt;C:\Users\stu\Documents\GitHub\eaglep3-reporting\EC\2017-01-06-refined-times.txt</v>
      </c>
      <c r="AI63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{"issue":{"subject":"","project_id":79,"tracker_id":40,"status_id":1,"priority_id":2,"assigned_to_id":23,"start_date":"2017-01-06","description":"","custom_fields":[{"id":1,"name":"Subdivision","value":"EC"},{"id":4,"name":"Milepost","value":"23.3309"},{"id":17,"name":"Train ID","value":"151-06"},{"id":16,"name":"Locomotive ID","value":"4002"},{"id":130,"name":"Impact","value":""},{"id":150,"name":"Time of Event (Mountain Time)","value":"10:37:38"},{"id":151,"name":"Denver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80" t="str">
        <f t="shared" si="20"/>
        <v>start /low /b %USERPROFILE%\Documents\GitHub\eaglep3\Utilities\DownloadLogsFromS3.py --loco 4002 --day 2017-01-06</v>
      </c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547</v>
      </c>
      <c r="B64" s="7">
        <v>4001</v>
      </c>
      <c r="C64" s="22" t="s">
        <v>203</v>
      </c>
      <c r="D64" s="22" t="s">
        <v>415</v>
      </c>
      <c r="E64" s="13">
        <v>42741.451886574076</v>
      </c>
      <c r="F64" s="13">
        <v>42741.455821759257</v>
      </c>
      <c r="G64" s="7">
        <v>1</v>
      </c>
      <c r="H64" s="22" t="s">
        <v>700</v>
      </c>
      <c r="I64" s="13">
        <v>42741.482812499999</v>
      </c>
      <c r="J64" s="7">
        <v>0</v>
      </c>
      <c r="K64" s="105" t="str">
        <f t="shared" si="0"/>
        <v>4001/4002</v>
      </c>
      <c r="L64" s="22" t="str">
        <f>VLOOKUP(A64,'Trips&amp;Operators'!$C$1:$G$99999,5,FALSE)</f>
        <v>SIMMONS SHYHESHA</v>
      </c>
      <c r="M64" s="6">
        <f t="shared" si="1"/>
        <v>2.6990740741894115E-2</v>
      </c>
      <c r="N64" s="7">
        <f t="shared" si="26"/>
        <v>38.866666668327525</v>
      </c>
      <c r="O64" s="7"/>
      <c r="P64" s="7"/>
      <c r="Q64" s="23"/>
      <c r="R64" s="23"/>
      <c r="S64" s="32">
        <f t="shared" si="27"/>
        <v>1</v>
      </c>
      <c r="T64" s="47" t="str">
        <f t="shared" si="23"/>
        <v>Southbound</v>
      </c>
      <c r="U64" s="16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09:50:43-700',mode:absolute,to:'2017-01-06 12:35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64" s="49" t="str">
        <f t="shared" si="6"/>
        <v>N</v>
      </c>
      <c r="X64" s="173">
        <f t="shared" si="24"/>
        <v>1</v>
      </c>
      <c r="Y64" s="64">
        <f t="shared" si="8"/>
        <v>23.297499999999999</v>
      </c>
      <c r="Z64" s="64">
        <f t="shared" si="25"/>
        <v>2.1100000000000001E-2</v>
      </c>
      <c r="AA64" s="64">
        <f t="shared" si="10"/>
        <v>23.276399999999999</v>
      </c>
      <c r="AB64" s="61"/>
      <c r="AC64" s="57"/>
      <c r="AD64" s="58" t="str">
        <f t="shared" si="11"/>
        <v>0152-06</v>
      </c>
      <c r="AE64" s="87" t="str">
        <f t="shared" si="12"/>
        <v>aws s3 cp s3://rtdc.mdm.uploadarchive.raw/RTDC4001/ "%USERPROFILE%\AppData\Local\Temp\OnboardLogs"\RTDC4001\2017-01-06 --exclude "*" --recursive --include "*20170106*" &amp; "%USERPROFILE%\Documents\GitHub\mrs-test-scripts\Headless Mode &amp; Sideloading\WalkAndUnGZ.bat" "%USERPROFILE%\AppData\Local\Temp\OnboardLogs"\RTDC4001\2017-01-06 &amp; aws s3 cp s3://rtdc.mdm.uploadarchive.raw/RTDC4001/ "%USERPROFILE%\AppData\Local\Temp\OnboardLogs"\RTDC4001\2017-01-07 --exclude "*" --recursive --include "*20170107*" &amp; "%USERPROFILE%\Documents\GitHub\mrs-test-scripts\Headless Mode &amp; Sideloading\WalkAndUnGZ.bat" "%USERPROFILE%\AppData\Local\Temp\OnboardLogs"\RTDC4001\2017-01-07</v>
      </c>
      <c r="AF64" s="84" t="str">
        <f t="shared" si="13"/>
        <v>"C:\Program Files (x86)\AstroGrep\AstroGrep.exe" /spath="%USERPROFILE%\AppData\Local\Temp\OnboardLogs" /stypes="app*4001*20170106*"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8" t="str">
        <f t="shared" si="18"/>
        <v>"%USERPROFILE%\Documents\GitHub\eaglep3\Utilities\RefineRTDCRunTimes.py" --tripid 152-06 --locoid 4001 --swversion DE.1.0.8.0 --startMP 204:232975 --initTime 2017-01-06T10:50:43 --startdatetime 2017-01-06T10:56:23 --delay 1 --endMP 204:211 --enddatetime 2017-01-06T11:35:15 --enforcementcount 0 &gt;&gt;C:\Users\stu\Documents\GitHub\eaglep3-reporting\EC\2017-01-06-refined-times.txt</v>
      </c>
      <c r="AI64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{"issue":{"subject":"","project_id":79,"tracker_id":40,"status_id":1,"priority_id":2,"assigned_to_id":23,"start_date":"2017-01-06","description":"","custom_fields":[{"id":1,"name":"Subdivision","value":"EC"},{"id":4,"name":"Milepost","value":"0.0211"},{"id":17,"name":"Train ID","value":"152-06"},{"id":16,"name":"Locomotive ID","value":"4001"},{"id":130,"name":"Impact","value":""},{"id":150,"name":"Time of Event (Mountain Time)","value":"11:35:15"},{"id":151,"name":"Denver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80" t="str">
        <f t="shared" si="20"/>
        <v>start /low /b %USERPROFILE%\Documents\GitHub\eaglep3\Utilities\DownloadLogsFromS3.py --loco 4001 --day 2017-01-06</v>
      </c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453</v>
      </c>
      <c r="B65" s="7">
        <v>4029</v>
      </c>
      <c r="C65" s="22" t="s">
        <v>203</v>
      </c>
      <c r="D65" s="22" t="s">
        <v>243</v>
      </c>
      <c r="E65" s="13">
        <v>42741.421747685185</v>
      </c>
      <c r="F65" s="13">
        <v>42741.427233796298</v>
      </c>
      <c r="G65" s="7">
        <v>1</v>
      </c>
      <c r="H65" s="22" t="s">
        <v>701</v>
      </c>
      <c r="I65" s="13">
        <v>42741.453564814816</v>
      </c>
      <c r="J65" s="7">
        <v>0</v>
      </c>
      <c r="K65" s="105" t="str">
        <f t="shared" si="0"/>
        <v>4029/4030</v>
      </c>
      <c r="L65" s="22" t="str">
        <f>VLOOKUP(A65,'Trips&amp;Operators'!$C$1:$G$99999,5,FALSE)</f>
        <v>BONDS REYNALDO</v>
      </c>
      <c r="M65" s="6">
        <f t="shared" si="1"/>
        <v>2.6331018518249039E-2</v>
      </c>
      <c r="N65" s="7">
        <f t="shared" si="26"/>
        <v>37.916666666278616</v>
      </c>
      <c r="O65" s="7"/>
      <c r="P65" s="7"/>
      <c r="Q65" s="23"/>
      <c r="R65" s="23"/>
      <c r="S65" s="32">
        <f t="shared" si="27"/>
        <v>1</v>
      </c>
      <c r="T65" s="47" t="str">
        <f t="shared" si="23"/>
        <v>NorthBound</v>
      </c>
      <c r="U65" s="16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09:07:19-700',mode:absolute,to:'2017-01-06 11:53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65" s="49" t="str">
        <f t="shared" si="6"/>
        <v>N</v>
      </c>
      <c r="X65" s="173">
        <f t="shared" si="24"/>
        <v>1</v>
      </c>
      <c r="Y65" s="64">
        <f t="shared" si="8"/>
        <v>4.53E-2</v>
      </c>
      <c r="Z65" s="64">
        <f t="shared" si="25"/>
        <v>23.331900000000001</v>
      </c>
      <c r="AA65" s="64">
        <f t="shared" si="10"/>
        <v>23.2866</v>
      </c>
      <c r="AB65" s="61"/>
      <c r="AC65" s="57"/>
      <c r="AD65" s="58" t="str">
        <f t="shared" si="11"/>
        <v>0153-06</v>
      </c>
      <c r="AE65" s="87" t="str">
        <f t="shared" si="12"/>
        <v>aws s3 cp s3://rtdc.mdm.uploadarchive.raw/RTDC4029/ "%USERPROFILE%\AppData\Local\Temp\OnboardLogs"\RTDC4029\2017-01-06 --exclude "*" --recursive --include "*20170106*" &amp; "%USERPROFILE%\Documents\GitHub\mrs-test-scripts\Headless Mode &amp; Sideloading\WalkAndUnGZ.bat" "%USERPROFILE%\AppData\Local\Temp\OnboardLogs"\RTDC4029\2017-01-06 &amp; aws s3 cp s3://rtdc.mdm.uploadarchive.raw/RTDC4029/ "%USERPROFILE%\AppData\Local\Temp\OnboardLogs"\RTDC4029\2017-01-07 --exclude "*" --recursive --include "*20170107*" &amp; "%USERPROFILE%\Documents\GitHub\mrs-test-scripts\Headless Mode &amp; Sideloading\WalkAndUnGZ.bat" "%USERPROFILE%\AppData\Local\Temp\OnboardLogs"\RTDC4029\2017-01-07</v>
      </c>
      <c r="AF65" s="84" t="str">
        <f t="shared" si="13"/>
        <v>"C:\Program Files (x86)\AstroGrep\AstroGrep.exe" /spath="%USERPROFILE%\AppData\Local\Temp\OnboardLogs" /stypes="app*4029*20170106*"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8" t="str">
        <f t="shared" si="18"/>
        <v>"%USERPROFILE%\Documents\GitHub\eaglep3\Utilities\RefineRTDCRunTimes.py" --tripid 153-06 --locoid 4029 --swversion DE.1.0.8.0 --startMP 204:453 --initTime 2017-01-06T10:07:19 --startdatetime 2017-01-06T10:15:13 --delay 1 --endMP 204:233319 --enddatetime 2017-01-06T10:53:08 --enforcementcount 0 &gt;&gt;C:\Users\stu\Documents\GitHub\eaglep3-reporting\EC\2017-01-06-refined-times.txt</v>
      </c>
      <c r="AI65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{"issue":{"subject":"","project_id":79,"tracker_id":40,"status_id":1,"priority_id":2,"assigned_to_id":23,"start_date":"2017-01-06","description":"","custom_fields":[{"id":1,"name":"Subdivision","value":"EC"},{"id":4,"name":"Milepost","value":"23.3319"},{"id":17,"name":"Train ID","value":"153-06"},{"id":16,"name":"Locomotive ID","value":"4029"},{"id":130,"name":"Impact","value":""},{"id":150,"name":"Time of Event (Mountain Time)","value":"10:53:08"},{"id":151,"name":"Denver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80" t="str">
        <f t="shared" si="20"/>
        <v>start /low /b %USERPROFILE%\Documents\GitHub\eaglep3\Utilities\DownloadLogsFromS3.py --loco 4029 --day 2017-01-06</v>
      </c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550</v>
      </c>
      <c r="B66" s="7">
        <v>4030</v>
      </c>
      <c r="C66" s="22" t="s">
        <v>203</v>
      </c>
      <c r="D66" s="22" t="s">
        <v>702</v>
      </c>
      <c r="E66" s="13">
        <v>42741.460902777777</v>
      </c>
      <c r="F66" s="13">
        <v>42741.466620370367</v>
      </c>
      <c r="G66" s="7">
        <v>0</v>
      </c>
      <c r="H66" s="22" t="s">
        <v>703</v>
      </c>
      <c r="I66" s="13">
        <v>42741.493530092594</v>
      </c>
      <c r="J66" s="7">
        <v>0</v>
      </c>
      <c r="K66" s="105" t="str">
        <f t="shared" si="0"/>
        <v>4029/4030</v>
      </c>
      <c r="L66" s="22" t="str">
        <f>VLOOKUP(A66,'Trips&amp;Operators'!$C$1:$G$99999,5,FALSE)</f>
        <v>BONDS REYNALDO</v>
      </c>
      <c r="M66" s="6">
        <f t="shared" si="1"/>
        <v>2.6909722226264421E-2</v>
      </c>
      <c r="N66" s="7">
        <f t="shared" si="26"/>
        <v>38.750000005820766</v>
      </c>
      <c r="O66" s="7"/>
      <c r="P66" s="7"/>
      <c r="Q66" s="23"/>
      <c r="R66" s="23"/>
      <c r="S66" s="32">
        <f t="shared" si="27"/>
        <v>1</v>
      </c>
      <c r="T66" s="47" t="str">
        <f t="shared" si="23"/>
        <v>Southbound</v>
      </c>
      <c r="U66" s="16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10:03:42-700',mode:absolute,to:'2017-01-06 12:50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66" s="49" t="str">
        <f t="shared" si="6"/>
        <v>N</v>
      </c>
      <c r="X66" s="173">
        <f t="shared" si="24"/>
        <v>1</v>
      </c>
      <c r="Y66" s="64">
        <f t="shared" si="8"/>
        <v>23.3004</v>
      </c>
      <c r="Z66" s="64">
        <f t="shared" si="25"/>
        <v>1.54E-2</v>
      </c>
      <c r="AA66" s="64">
        <f t="shared" si="10"/>
        <v>23.285</v>
      </c>
      <c r="AB66" s="61"/>
      <c r="AC66" s="57"/>
      <c r="AD66" s="58" t="str">
        <f t="shared" si="11"/>
        <v>0154-06</v>
      </c>
      <c r="AE66" s="87" t="str">
        <f t="shared" si="12"/>
        <v>aws s3 cp s3://rtdc.mdm.uploadarchive.raw/RTDC4030/ "%USERPROFILE%\AppData\Local\Temp\OnboardLogs"\RTDC4030\2017-01-06 --exclude "*" --recursive --include "*20170106*" &amp; "%USERPROFILE%\Documents\GitHub\mrs-test-scripts\Headless Mode &amp; Sideloading\WalkAndUnGZ.bat" "%USERPROFILE%\AppData\Local\Temp\OnboardLogs"\RTDC4030\2017-01-06 &amp; aws s3 cp s3://rtdc.mdm.uploadarchive.raw/RTDC4030/ "%USERPROFILE%\AppData\Local\Temp\OnboardLogs"\RTDC4030\2017-01-07 --exclude "*" --recursive --include "*20170107*" &amp; "%USERPROFILE%\Documents\GitHub\mrs-test-scripts\Headless Mode &amp; Sideloading\WalkAndUnGZ.bat" "%USERPROFILE%\AppData\Local\Temp\OnboardLogs"\RTDC4030\2017-01-07</v>
      </c>
      <c r="AF66" s="84" t="str">
        <f t="shared" si="13"/>
        <v>"C:\Program Files (x86)\AstroGrep\AstroGrep.exe" /spath="%USERPROFILE%\AppData\Local\Temp\OnboardLogs" /stypes="app*4030*20170106*"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8" t="str">
        <f t="shared" si="18"/>
        <v>"%USERPROFILE%\Documents\GitHub\eaglep3\Utilities\RefineRTDCRunTimes.py" --tripid 154-06 --locoid 4030 --swversion DE.1.0.8.0 --startMP 204:233004 --initTime 2017-01-06T11:03:42 --startdatetime 2017-01-06T11:11:56 --delay 0 --endMP 204:154 --enddatetime 2017-01-06T11:50:41 --enforcementcount 0 &gt;&gt;C:\Users\stu\Documents\GitHub\eaglep3-reporting\EC\2017-01-06-refined-times.txt</v>
      </c>
      <c r="AI66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{"issue":{"subject":"","project_id":79,"tracker_id":40,"status_id":1,"priority_id":2,"assigned_to_id":23,"start_date":"2017-01-06","description":"","custom_fields":[{"id":1,"name":"Subdivision","value":"EC"},{"id":4,"name":"Milepost","value":"0.0154"},{"id":17,"name":"Train ID","value":"154-06"},{"id":16,"name":"Locomotive ID","value":"4030"},{"id":130,"name":"Impact","value":""},{"id":150,"name":"Time of Event (Mountain Time)","value":"11:50:41"},{"id":151,"name":"Denver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80" t="str">
        <f t="shared" si="20"/>
        <v>start /low /b %USERPROFILE%\Documents\GitHub\eaglep3\Utilities\DownloadLogsFromS3.py --loco 4030 --day 2017-01-06</v>
      </c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544</v>
      </c>
      <c r="B67" s="7">
        <v>4009</v>
      </c>
      <c r="C67" s="22" t="s">
        <v>203</v>
      </c>
      <c r="D67" s="22" t="s">
        <v>412</v>
      </c>
      <c r="E67" s="13">
        <v>42741.433715277781</v>
      </c>
      <c r="F67" s="13">
        <v>42741.437743055554</v>
      </c>
      <c r="G67" s="7">
        <v>1</v>
      </c>
      <c r="H67" s="22" t="s">
        <v>414</v>
      </c>
      <c r="I67" s="13">
        <v>42741.462002314816</v>
      </c>
      <c r="J67" s="7">
        <v>0</v>
      </c>
      <c r="K67" s="105" t="str">
        <f t="shared" si="0"/>
        <v>4009/4010</v>
      </c>
      <c r="L67" s="22" t="str">
        <f>VLOOKUP(A67,'Trips&amp;Operators'!$C$1:$G$99999,5,FALSE)</f>
        <v>YANAI IAN</v>
      </c>
      <c r="M67" s="6">
        <f t="shared" si="1"/>
        <v>2.4259259262180422E-2</v>
      </c>
      <c r="N67" s="7">
        <f t="shared" si="26"/>
        <v>34.933333337539807</v>
      </c>
      <c r="O67" s="7"/>
      <c r="P67" s="7"/>
      <c r="Q67" s="23"/>
      <c r="R67" s="23" t="s">
        <v>920</v>
      </c>
      <c r="S67" s="32">
        <f t="shared" si="27"/>
        <v>1</v>
      </c>
      <c r="T67" s="47" t="str">
        <f t="shared" si="23"/>
        <v>NorthBound</v>
      </c>
      <c r="U67" s="16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09:24:33-700',mode:absolute,to:'2017-01-06 12:05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67" s="49" t="str">
        <f t="shared" si="6"/>
        <v>N</v>
      </c>
      <c r="X67" s="173">
        <f t="shared" si="24"/>
        <v>1</v>
      </c>
      <c r="Y67" s="64">
        <f t="shared" si="8"/>
        <v>4.3999999999999997E-2</v>
      </c>
      <c r="Z67" s="64">
        <f t="shared" si="25"/>
        <v>23.331600000000002</v>
      </c>
      <c r="AA67" s="64">
        <f t="shared" si="10"/>
        <v>23.287600000000001</v>
      </c>
      <c r="AB67" s="61"/>
      <c r="AC67" s="57"/>
      <c r="AD67" s="58" t="str">
        <f t="shared" si="11"/>
        <v>0155-06</v>
      </c>
      <c r="AE67" s="87" t="str">
        <f t="shared" si="12"/>
        <v>aws s3 cp s3://rtdc.mdm.uploadarchive.raw/RTDC4009/ "%USERPROFILE%\AppData\Local\Temp\OnboardLogs"\RTDC4009\2017-01-06 --exclude "*" --recursive --include "*20170106*" &amp; "%USERPROFILE%\Documents\GitHub\mrs-test-scripts\Headless Mode &amp; Sideloading\WalkAndUnGZ.bat" "%USERPROFILE%\AppData\Local\Temp\OnboardLogs"\RTDC4009\2017-01-06 &amp; aws s3 cp s3://rtdc.mdm.uploadarchive.raw/RTDC4009/ "%USERPROFILE%\AppData\Local\Temp\OnboardLogs"\RTDC4009\2017-01-07 --exclude "*" --recursive --include "*20170107*" &amp; "%USERPROFILE%\Documents\GitHub\mrs-test-scripts\Headless Mode &amp; Sideloading\WalkAndUnGZ.bat" "%USERPROFILE%\AppData\Local\Temp\OnboardLogs"\RTDC4009\2017-01-07</v>
      </c>
      <c r="AF67" s="84" t="str">
        <f t="shared" si="13"/>
        <v>"C:\Program Files (x86)\AstroGrep\AstroGrep.exe" /spath="%USERPROFILE%\AppData\Local\Temp\OnboardLogs" /stypes="app*4009*20170106*"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8" t="str">
        <f t="shared" si="18"/>
        <v>"%USERPROFILE%\Documents\GitHub\eaglep3\Utilities\RefineRTDCRunTimes.py" --tripid 155-06 --locoid 4009 --swversion DE.1.0.8.0 --startMP 204:440 --initTime 2017-01-06T10:24:33 --startdatetime 2017-01-06T10:30:21 --delay 1 --endMP 204:233316 --enddatetime 2017-01-06T11:05:17 --enforcementcount 0 &gt;&gt;C:\Users\stu\Documents\GitHub\eaglep3-reporting\EC\2017-01-06-refined-times.txt</v>
      </c>
      <c r="AI67" s="115" t="str">
        <f t="shared" si="19"/>
        <v>echo {"issue":{"subject":"Wi-MAX data drop, did not cause enforcement","project_id":79,"tracker_id":40,"status_id":1,"priority_id":2,"assigned_to_id":23,"start_date":"2017-01-06","description":"","custom_fields":[{"id":1,"name":"Subdivision","value":"EC"},{"id":4,"name":"Milepost","value":"23.3316"},{"id":17,"name":"Train ID","value":"155-06"},{"id":16,"name":"Locomotive ID","value":"4009"},{"id":130,"name":"Impact","value":""},{"id":150,"name":"Time of Event (Mountain Time)","value":"11:05:17"},{"id":151,"name":"Denver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80" t="str">
        <f t="shared" si="20"/>
        <v>start /low /b %USERPROFILE%\Documents\GitHub\eaglep3\Utilities\DownloadLogsFromS3.py --loco 4009 --day 2017-01-06</v>
      </c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551</v>
      </c>
      <c r="B68" s="7">
        <v>4010</v>
      </c>
      <c r="C68" s="22" t="s">
        <v>203</v>
      </c>
      <c r="D68" s="22" t="s">
        <v>323</v>
      </c>
      <c r="E68" s="13">
        <v>42741.463333333333</v>
      </c>
      <c r="F68" s="13">
        <v>42741.4766087963</v>
      </c>
      <c r="G68" s="7">
        <v>1</v>
      </c>
      <c r="H68" s="22" t="s">
        <v>292</v>
      </c>
      <c r="I68" s="13">
        <v>42741.502488425926</v>
      </c>
      <c r="J68" s="7">
        <v>0</v>
      </c>
      <c r="K68" s="105" t="str">
        <f t="shared" si="0"/>
        <v>4009/4010</v>
      </c>
      <c r="L68" s="22" t="str">
        <f>VLOOKUP(A68,'Trips&amp;Operators'!$C$1:$G$99999,5,FALSE)</f>
        <v>YANAI IAN</v>
      </c>
      <c r="M68" s="6">
        <f t="shared" si="1"/>
        <v>2.5879629625706002E-2</v>
      </c>
      <c r="N68" s="7">
        <f t="shared" si="26"/>
        <v>37.266666661016643</v>
      </c>
      <c r="O68" s="7"/>
      <c r="P68" s="7"/>
      <c r="Q68" s="23"/>
      <c r="R68" s="23"/>
      <c r="S68" s="32">
        <f t="shared" si="27"/>
        <v>1</v>
      </c>
      <c r="T68" s="47" t="str">
        <f t="shared" si="23"/>
        <v>Southbound</v>
      </c>
      <c r="U68" s="16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10:07:12-700',mode:absolute,to:'2017-01-06 13:03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68" s="49" t="str">
        <f t="shared" si="6"/>
        <v>N</v>
      </c>
      <c r="X68" s="173">
        <f t="shared" si="24"/>
        <v>1</v>
      </c>
      <c r="Y68" s="64">
        <f t="shared" si="8"/>
        <v>23.299199999999999</v>
      </c>
      <c r="Z68" s="64">
        <f t="shared" si="25"/>
        <v>1.5599999999999999E-2</v>
      </c>
      <c r="AA68" s="64">
        <f t="shared" si="10"/>
        <v>23.2836</v>
      </c>
      <c r="AB68" s="61"/>
      <c r="AC68" s="57"/>
      <c r="AD68" s="58" t="str">
        <f t="shared" si="11"/>
        <v>0156-06</v>
      </c>
      <c r="AE68" s="87" t="str">
        <f t="shared" si="12"/>
        <v>aws s3 cp s3://rtdc.mdm.uploadarchive.raw/RTDC4010/ "%USERPROFILE%\AppData\Local\Temp\OnboardLogs"\RTDC4010\2017-01-06 --exclude "*" --recursive --include "*20170106*" &amp; "%USERPROFILE%\Documents\GitHub\mrs-test-scripts\Headless Mode &amp; Sideloading\WalkAndUnGZ.bat" "%USERPROFILE%\AppData\Local\Temp\OnboardLogs"\RTDC4010\2017-01-06 &amp; aws s3 cp s3://rtdc.mdm.uploadarchive.raw/RTDC4010/ "%USERPROFILE%\AppData\Local\Temp\OnboardLogs"\RTDC4010\2017-01-07 --exclude "*" --recursive --include "*20170107*" &amp; "%USERPROFILE%\Documents\GitHub\mrs-test-scripts\Headless Mode &amp; Sideloading\WalkAndUnGZ.bat" "%USERPROFILE%\AppData\Local\Temp\OnboardLogs"\RTDC4010\2017-01-07</v>
      </c>
      <c r="AF68" s="84" t="str">
        <f t="shared" si="13"/>
        <v>"C:\Program Files (x86)\AstroGrep\AstroGrep.exe" /spath="%USERPROFILE%\AppData\Local\Temp\OnboardLogs" /stypes="app*4010*20170106*" /stext=" 19:.+((SYSTEM_STATE.+slice.+state.+changed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88" t="str">
        <f t="shared" si="18"/>
        <v>"%USERPROFILE%\Documents\GitHub\eaglep3\Utilities\RefineRTDCRunTimes.py" --tripid 156-06 --locoid 4010 --swversion DE.1.0.8.0 --startMP 204:232992 --initTime 2017-01-06T11:07:12 --startdatetime 2017-01-06T11:26:19 --delay 1 --endMP 204:156 --enddatetime 2017-01-06T12:03:35 --enforcementcount 0 &gt;&gt;C:\Users\stu\Documents\GitHub\eaglep3-reporting\EC\2017-01-06-refined-times.txt</v>
      </c>
      <c r="AI68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{"issue":{"subject":"","project_id":79,"tracker_id":40,"status_id":1,"priority_id":2,"assigned_to_id":23,"start_date":"2017-01-06","description":"","custom_fields":[{"id":1,"name":"Subdivision","value":"EC"},{"id":4,"name":"Milepost","value":"0.0156"},{"id":17,"name":"Train ID","value":"156-06"},{"id":16,"name":"Locomotive ID","value":"4010"},{"id":130,"name":"Impact","value":""},{"id":150,"name":"Time of Event (Mountain Time)","value":"12:03:35"},{"id":151,"name":"Denver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80" t="str">
        <f t="shared" si="20"/>
        <v>start /low /b %USERPROFILE%\Documents\GitHub\eaglep3\Utilities\DownloadLogsFromS3.py --loco 4010 --day 2017-01-06</v>
      </c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546</v>
      </c>
      <c r="B69" s="7">
        <v>4003</v>
      </c>
      <c r="C69" s="22" t="s">
        <v>203</v>
      </c>
      <c r="D69" s="22" t="s">
        <v>301</v>
      </c>
      <c r="E69" s="13">
        <v>42741.442685185182</v>
      </c>
      <c r="F69" s="13">
        <v>42741.448263888888</v>
      </c>
      <c r="G69" s="7">
        <v>1</v>
      </c>
      <c r="H69" s="22" t="s">
        <v>278</v>
      </c>
      <c r="I69" s="13">
        <v>42741.473877314813</v>
      </c>
      <c r="J69" s="7">
        <v>0</v>
      </c>
      <c r="K69" s="105" t="str">
        <f t="shared" si="0"/>
        <v>4003/4004</v>
      </c>
      <c r="L69" s="22" t="str">
        <f>VLOOKUP(A69,'Trips&amp;Operators'!$C$1:$G$99999,5,FALSE)</f>
        <v>YANG JAN</v>
      </c>
      <c r="M69" s="6">
        <f t="shared" si="1"/>
        <v>2.5613425925257616E-2</v>
      </c>
      <c r="N69" s="7">
        <f t="shared" si="26"/>
        <v>36.883333332370967</v>
      </c>
      <c r="O69" s="7"/>
      <c r="P69" s="7"/>
      <c r="Q69" s="23"/>
      <c r="R69" s="23"/>
      <c r="S69" s="32">
        <f t="shared" si="27"/>
        <v>1</v>
      </c>
      <c r="T69" s="47" t="str">
        <f t="shared" si="23"/>
        <v>NorthBound</v>
      </c>
      <c r="U69" s="16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09:37:28-700',mode:absolute,to:'2017-01-06 12:22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69" s="49" t="str">
        <f t="shared" si="6"/>
        <v>N</v>
      </c>
      <c r="X69" s="173">
        <f t="shared" si="24"/>
        <v>1</v>
      </c>
      <c r="Y69" s="64">
        <f t="shared" si="8"/>
        <v>4.6699999999999998E-2</v>
      </c>
      <c r="Z69" s="64">
        <f t="shared" si="25"/>
        <v>23.331199999999999</v>
      </c>
      <c r="AA69" s="64">
        <f t="shared" si="10"/>
        <v>23.284499999999998</v>
      </c>
      <c r="AB69" s="61"/>
      <c r="AC69" s="57"/>
      <c r="AD69" s="58" t="str">
        <f t="shared" si="11"/>
        <v>0157-06</v>
      </c>
      <c r="AE69" s="87" t="str">
        <f t="shared" si="12"/>
        <v>aws s3 cp s3://rtdc.mdm.uploadarchive.raw/RTDC4003/ "%USERPROFILE%\AppData\Local\Temp\OnboardLogs"\RTDC4003\2017-01-06 --exclude "*" --recursive --include "*20170106*" &amp; "%USERPROFILE%\Documents\GitHub\mrs-test-scripts\Headless Mode &amp; Sideloading\WalkAndUnGZ.bat" "%USERPROFILE%\AppData\Local\Temp\OnboardLogs"\RTDC4003\2017-01-06 &amp; 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</v>
      </c>
      <c r="AF69" s="84" t="str">
        <f t="shared" si="13"/>
        <v>"C:\Program Files (x86)\AstroGrep\AstroGrep.exe" /spath="%USERPROFILE%\AppData\Local\Temp\OnboardLogs" /stypes="app*4003*20170106*"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88" t="str">
        <f t="shared" si="18"/>
        <v>"%USERPROFILE%\Documents\GitHub\eaglep3\Utilities\RefineRTDCRunTimes.py" --tripid 157-06 --locoid 4003 --swversion DE.1.0.8.0 --startMP 204:467 --initTime 2017-01-06T10:37:28 --startdatetime 2017-01-06T10:45:30 --delay 1 --endMP 204:233312 --enddatetime 2017-01-06T11:22:23 --enforcementcount 0 &gt;&gt;C:\Users\stu\Documents\GitHub\eaglep3-reporting\EC\2017-01-06-refined-times.txt</v>
      </c>
      <c r="AI69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{"issue":{"subject":"","project_id":79,"tracker_id":40,"status_id":1,"priority_id":2,"assigned_to_id":23,"start_date":"2017-01-06","description":"","custom_fields":[{"id":1,"name":"Subdivision","value":"EC"},{"id":4,"name":"Milepost","value":"23.3312"},{"id":17,"name":"Train ID","value":"157-06"},{"id":16,"name":"Locomotive ID","value":"4003"},{"id":130,"name":"Impact","value":""},{"id":150,"name":"Time of Event (Mountain Time)","value":"11:22:23"},{"id":151,"name":"Denver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80" t="str">
        <f t="shared" si="20"/>
        <v>start /low /b %USERPROFILE%\Documents\GitHub\eaglep3\Utilities\DownloadLogsFromS3.py --loco 4003 --day 2017-01-06</v>
      </c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554</v>
      </c>
      <c r="B70" s="7">
        <v>4004</v>
      </c>
      <c r="C70" s="22" t="s">
        <v>203</v>
      </c>
      <c r="D70" s="22" t="s">
        <v>286</v>
      </c>
      <c r="E70" s="13">
        <v>42741.476342592592</v>
      </c>
      <c r="F70" s="13">
        <v>42741.48704861111</v>
      </c>
      <c r="G70" s="7">
        <v>1</v>
      </c>
      <c r="H70" s="22" t="s">
        <v>704</v>
      </c>
      <c r="I70" s="13">
        <v>42741.514328703706</v>
      </c>
      <c r="J70" s="7">
        <v>0</v>
      </c>
      <c r="K70" s="105" t="str">
        <f t="shared" si="0"/>
        <v>4003/4004</v>
      </c>
      <c r="L70" s="22" t="str">
        <f>VLOOKUP(A70,'Trips&amp;Operators'!$C$1:$G$99999,5,FALSE)</f>
        <v>YANG JAN</v>
      </c>
      <c r="M70" s="6">
        <f t="shared" si="1"/>
        <v>2.7280092595901806E-2</v>
      </c>
      <c r="N70" s="7">
        <f t="shared" si="26"/>
        <v>39.283333338098601</v>
      </c>
      <c r="O70" s="7"/>
      <c r="P70" s="7"/>
      <c r="Q70" s="23"/>
      <c r="R70" s="23"/>
      <c r="S70" s="32">
        <f t="shared" si="27"/>
        <v>1</v>
      </c>
      <c r="T70" s="47" t="str">
        <f t="shared" si="23"/>
        <v>Southbound</v>
      </c>
      <c r="U70" s="16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10:25:56-700',mode:absolute,to:'2017-01-06 13:20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70" s="49" t="str">
        <f t="shared" si="6"/>
        <v>N</v>
      </c>
      <c r="X70" s="173">
        <f t="shared" si="24"/>
        <v>1</v>
      </c>
      <c r="Y70" s="64">
        <f t="shared" si="8"/>
        <v>23.299800000000001</v>
      </c>
      <c r="Z70" s="64">
        <f t="shared" si="25"/>
        <v>1.72E-2</v>
      </c>
      <c r="AA70" s="64">
        <f t="shared" si="10"/>
        <v>23.282600000000002</v>
      </c>
      <c r="AB70" s="61"/>
      <c r="AC70" s="57"/>
      <c r="AD70" s="58" t="str">
        <f t="shared" si="11"/>
        <v>0158-06</v>
      </c>
      <c r="AE70" s="87" t="str">
        <f t="shared" si="12"/>
        <v>aws s3 cp s3://rtdc.mdm.uploadarchive.raw/RTDC4004/ "%USERPROFILE%\AppData\Local\Temp\OnboardLogs"\RTDC4004\2017-01-06 --exclude "*" --recursive --include "*20170106*" &amp; "%USERPROFILE%\Documents\GitHub\mrs-test-scripts\Headless Mode &amp; Sideloading\WalkAndUnGZ.bat" "%USERPROFILE%\AppData\Local\Temp\OnboardLogs"\RTDC4004\2017-01-06 &amp; aws s3 cp s3://rtdc.mdm.uploadarchive.raw/RTDC4004/ "%USERPROFILE%\AppData\Local\Temp\OnboardLogs"\RTDC4004\2017-01-07 --exclude "*" --recursive --include "*20170107*" &amp; "%USERPROFILE%\Documents\GitHub\mrs-test-scripts\Headless Mode &amp; Sideloading\WalkAndUnGZ.bat" "%USERPROFILE%\AppData\Local\Temp\OnboardLogs"\RTDC4004\2017-01-07</v>
      </c>
      <c r="AF70" s="84" t="str">
        <f t="shared" si="13"/>
        <v>"C:\Program Files (x86)\AstroGrep\AstroGrep.exe" /spath="%USERPROFILE%\AppData\Local\Temp\OnboardLogs" /stypes="app*4004*20170106*"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8" t="str">
        <f t="shared" si="18"/>
        <v>"%USERPROFILE%\Documents\GitHub\eaglep3\Utilities\RefineRTDCRunTimes.py" --tripid 158-06 --locoid 4004 --swversion DE.1.0.8.0 --startMP 204:232998 --initTime 2017-01-06T11:25:56 --startdatetime 2017-01-06T11:41:21 --delay 1 --endMP 204:172 --enddatetime 2017-01-06T12:20:38 --enforcementcount 0 &gt;&gt;C:\Users\stu\Documents\GitHub\eaglep3-reporting\EC\2017-01-06-refined-times.txt</v>
      </c>
      <c r="AI70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{"issue":{"subject":"","project_id":79,"tracker_id":40,"status_id":1,"priority_id":2,"assigned_to_id":23,"start_date":"2017-01-06","description":"","custom_fields":[{"id":1,"name":"Subdivision","value":"EC"},{"id":4,"name":"Milepost","value":"0.0172"},{"id":17,"name":"Train ID","value":"158-06"},{"id":16,"name":"Locomotive ID","value":"4004"},{"id":130,"name":"Impact","value":""},{"id":150,"name":"Time of Event (Mountain Time)","value":"12:20:38"},{"id":151,"name":"Denver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80" t="str">
        <f t="shared" si="20"/>
        <v>start /low /b %USERPROFILE%\Documents\GitHub\eaglep3\Utilities\DownloadLogsFromS3.py --loco 4004 --day 2017-01-06</v>
      </c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548</v>
      </c>
      <c r="B71" s="7">
        <v>4027</v>
      </c>
      <c r="C71" s="22" t="s">
        <v>203</v>
      </c>
      <c r="D71" s="22" t="s">
        <v>705</v>
      </c>
      <c r="E71" s="13">
        <v>42741.453958333332</v>
      </c>
      <c r="F71" s="13">
        <v>42741.458703703705</v>
      </c>
      <c r="G71" s="7">
        <v>2</v>
      </c>
      <c r="H71" s="22" t="s">
        <v>255</v>
      </c>
      <c r="I71" s="13">
        <v>42741.483865740738</v>
      </c>
      <c r="J71" s="7">
        <v>0</v>
      </c>
      <c r="K71" s="105" t="str">
        <f t="shared" si="0"/>
        <v>4027/4028</v>
      </c>
      <c r="L71" s="22" t="str">
        <f>VLOOKUP(A71,'Trips&amp;Operators'!$C$1:$G$99999,5,FALSE)</f>
        <v>STEWART MICHAEL</v>
      </c>
      <c r="M71" s="6">
        <f t="shared" si="1"/>
        <v>2.5162037032714579E-2</v>
      </c>
      <c r="N71" s="7">
        <f t="shared" si="26"/>
        <v>36.233333327108994</v>
      </c>
      <c r="O71" s="7"/>
      <c r="P71" s="7"/>
      <c r="Q71" s="23"/>
      <c r="R71" s="23"/>
      <c r="S71" s="32">
        <f t="shared" si="27"/>
        <v>1</v>
      </c>
      <c r="T71" s="47" t="str">
        <f t="shared" si="23"/>
        <v>NorthBound</v>
      </c>
      <c r="U71" s="16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09:53:42-700',mode:absolute,to:'2017-01-06 12:36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71" s="49" t="str">
        <f t="shared" si="6"/>
        <v>N</v>
      </c>
      <c r="X71" s="173">
        <f t="shared" si="24"/>
        <v>1</v>
      </c>
      <c r="Y71" s="64">
        <f t="shared" si="8"/>
        <v>4.2599999999999999E-2</v>
      </c>
      <c r="Z71" s="64">
        <f t="shared" si="25"/>
        <v>23.328900000000001</v>
      </c>
      <c r="AA71" s="64">
        <f t="shared" si="10"/>
        <v>23.286300000000001</v>
      </c>
      <c r="AB71" s="61"/>
      <c r="AC71" s="57"/>
      <c r="AD71" s="58" t="str">
        <f t="shared" si="11"/>
        <v>0159-06</v>
      </c>
      <c r="AE71" s="87" t="str">
        <f t="shared" si="12"/>
        <v>aws s3 cp s3://rtdc.mdm.uploadarchive.raw/RTDC4027/ "%USERPROFILE%\AppData\Local\Temp\OnboardLogs"\RTDC4027\2017-01-06 --exclude "*" --recursive --include "*20170106*" &amp; "%USERPROFILE%\Documents\GitHub\mrs-test-scripts\Headless Mode &amp; Sideloading\WalkAndUnGZ.bat" "%USERPROFILE%\AppData\Local\Temp\OnboardLogs"\RTDC4027\2017-01-06 &amp; aws s3 cp s3://rtdc.mdm.uploadarchive.raw/RTDC4027/ "%USERPROFILE%\AppData\Local\Temp\OnboardLogs"\RTDC4027\2017-01-07 --exclude "*" --recursive --include "*20170107*" &amp; "%USERPROFILE%\Documents\GitHub\mrs-test-scripts\Headless Mode &amp; Sideloading\WalkAndUnGZ.bat" "%USERPROFILE%\AppData\Local\Temp\OnboardLogs"\RTDC4027\2017-01-07</v>
      </c>
      <c r="AF71" s="84" t="str">
        <f t="shared" si="13"/>
        <v>"C:\Program Files (x86)\AstroGrep\AstroGrep.exe" /spath="%USERPROFILE%\AppData\Local\Temp\OnboardLogs" /stypes="app*4027*20170106*"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88" t="str">
        <f t="shared" si="18"/>
        <v>"%USERPROFILE%\Documents\GitHub\eaglep3\Utilities\RefineRTDCRunTimes.py" --tripid 159-06 --locoid 4027 --swversion DE.1.0.8.0 --startMP 204:426 --initTime 2017-01-06T10:53:42 --startdatetime 2017-01-06T11:00:32 --delay 2 --endMP 204:233289 --enddatetime 2017-01-06T11:36:46 --enforcementcount 0 &gt;&gt;C:\Users\stu\Documents\GitHub\eaglep3-reporting\EC\2017-01-06-refined-times.txt</v>
      </c>
      <c r="AI71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{"issue":{"subject":"","project_id":79,"tracker_id":40,"status_id":1,"priority_id":2,"assigned_to_id":23,"start_date":"2017-01-06","description":"","custom_fields":[{"id":1,"name":"Subdivision","value":"EC"},{"id":4,"name":"Milepost","value":"23.3289"},{"id":17,"name":"Train ID","value":"159-06"},{"id":16,"name":"Locomotive ID","value":"4027"},{"id":130,"name":"Impact","value":""},{"id":150,"name":"Time of Event (Mountain Time)","value":"11:36:46"},{"id":151,"name":"Denver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80" t="str">
        <f t="shared" si="20"/>
        <v>start /low /b %USERPROFILE%\Documents\GitHub\eaglep3\Utilities\DownloadLogsFromS3.py --loco 4027 --day 2017-01-06</v>
      </c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556</v>
      </c>
      <c r="B72" s="7">
        <v>4028</v>
      </c>
      <c r="C72" s="22" t="s">
        <v>203</v>
      </c>
      <c r="D72" s="22" t="s">
        <v>290</v>
      </c>
      <c r="E72" s="13">
        <v>42741.493657407409</v>
      </c>
      <c r="F72" s="13">
        <v>42741.497453703705</v>
      </c>
      <c r="G72" s="7">
        <v>3</v>
      </c>
      <c r="H72" s="22" t="s">
        <v>250</v>
      </c>
      <c r="I72" s="13">
        <v>42741.525682870371</v>
      </c>
      <c r="J72" s="7">
        <v>0</v>
      </c>
      <c r="K72" s="105" t="str">
        <f t="shared" si="0"/>
        <v>4027/4028</v>
      </c>
      <c r="L72" s="22" t="str">
        <f>VLOOKUP(A72,'Trips&amp;Operators'!$C$1:$G$99999,5,FALSE)</f>
        <v>STEWART MICHAEL</v>
      </c>
      <c r="M72" s="6">
        <f t="shared" si="1"/>
        <v>2.8229166666278616E-2</v>
      </c>
      <c r="N72" s="7">
        <f t="shared" si="26"/>
        <v>40.649999999441206</v>
      </c>
      <c r="O72" s="7"/>
      <c r="P72" s="7"/>
      <c r="Q72" s="23"/>
      <c r="R72" s="23"/>
      <c r="S72" s="32">
        <f t="shared" si="27"/>
        <v>1</v>
      </c>
      <c r="T72" s="47" t="str">
        <f t="shared" si="23"/>
        <v>Southbound</v>
      </c>
      <c r="U72" s="16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10:50:52-700',mode:absolute,to:'2017-01-06 13:36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72" s="49" t="str">
        <f t="shared" si="6"/>
        <v>N</v>
      </c>
      <c r="X72" s="173">
        <f t="shared" si="24"/>
        <v>1</v>
      </c>
      <c r="Y72" s="64">
        <f t="shared" si="8"/>
        <v>23.2971</v>
      </c>
      <c r="Z72" s="64">
        <f t="shared" si="25"/>
        <v>1.6E-2</v>
      </c>
      <c r="AA72" s="64">
        <f t="shared" si="10"/>
        <v>23.281100000000002</v>
      </c>
      <c r="AB72" s="61"/>
      <c r="AC72" s="57"/>
      <c r="AD72" s="58" t="str">
        <f t="shared" si="11"/>
        <v>0160-06</v>
      </c>
      <c r="AE72" s="87" t="str">
        <f t="shared" si="12"/>
        <v>aws s3 cp s3://rtdc.mdm.uploadarchive.raw/RTDC4028/ "%USERPROFILE%\AppData\Local\Temp\OnboardLogs"\RTDC4028\2017-01-06 --exclude "*" --recursive --include "*20170106*" &amp; "%USERPROFILE%\Documents\GitHub\mrs-test-scripts\Headless Mode &amp; Sideloading\WalkAndUnGZ.bat" "%USERPROFILE%\AppData\Local\Temp\OnboardLogs"\RTDC4028\2017-01-06 &amp; aws s3 cp s3://rtdc.mdm.uploadarchive.raw/RTDC4028/ "%USERPROFILE%\AppData\Local\Temp\OnboardLogs"\RTDC4028\2017-01-07 --exclude "*" --recursive --include "*20170107*" &amp; "%USERPROFILE%\Documents\GitHub\mrs-test-scripts\Headless Mode &amp; Sideloading\WalkAndUnGZ.bat" "%USERPROFILE%\AppData\Local\Temp\OnboardLogs"\RTDC4028\2017-01-07</v>
      </c>
      <c r="AF72" s="84" t="str">
        <f t="shared" si="13"/>
        <v>"C:\Program Files (x86)\AstroGrep\AstroGrep.exe" /spath="%USERPROFILE%\AppData\Local\Temp\OnboardLogs" /stypes="app*4028*20170106*"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8" t="str">
        <f t="shared" si="18"/>
        <v>"%USERPROFILE%\Documents\GitHub\eaglep3\Utilities\RefineRTDCRunTimes.py" --tripid 160-06 --locoid 4028 --swversion DE.1.0.8.0 --startMP 204:232971 --initTime 2017-01-06T11:50:52 --startdatetime 2017-01-06T11:56:20 --delay 3 --endMP 204:160 --enddatetime 2017-01-06T12:36:59 --enforcementcount 0 &gt;&gt;C:\Users\stu\Documents\GitHub\eaglep3-reporting\EC\2017-01-06-refined-times.txt</v>
      </c>
      <c r="AI72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{"issue":{"subject":"","project_id":79,"tracker_id":40,"status_id":1,"priority_id":2,"assigned_to_id":23,"start_date":"2017-01-06","description":"","custom_fields":[{"id":1,"name":"Subdivision","value":"EC"},{"id":4,"name":"Milepost","value":"0.016"},{"id":17,"name":"Train ID","value":"160-06"},{"id":16,"name":"Locomotive ID","value":"4028"},{"id":130,"name":"Impact","value":""},{"id":150,"name":"Time of Event (Mountain Time)","value":"12:36:59"},{"id":151,"name":"Denver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80" t="str">
        <f t="shared" si="20"/>
        <v>start /low /b %USERPROFILE%\Documents\GitHub\eaglep3\Utilities\DownloadLogsFromS3.py --loco 4028 --day 2017-01-06</v>
      </c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454</v>
      </c>
      <c r="B73" s="7">
        <v>4018</v>
      </c>
      <c r="C73" s="22" t="s">
        <v>203</v>
      </c>
      <c r="D73" s="22" t="s">
        <v>314</v>
      </c>
      <c r="E73" s="13">
        <v>42741.464814814812</v>
      </c>
      <c r="F73" s="13">
        <v>42741.469004629631</v>
      </c>
      <c r="G73" s="7">
        <v>1</v>
      </c>
      <c r="H73" s="22" t="s">
        <v>706</v>
      </c>
      <c r="I73" s="13">
        <v>42741.496030092596</v>
      </c>
      <c r="J73" s="7">
        <v>0</v>
      </c>
      <c r="K73" s="105" t="str">
        <f t="shared" si="0"/>
        <v>4017/4018</v>
      </c>
      <c r="L73" s="22" t="str">
        <f>VLOOKUP(A73,'Trips&amp;Operators'!$C$1:$G$99999,5,FALSE)</f>
        <v>DELGADO DIANAH</v>
      </c>
      <c r="M73" s="6">
        <f t="shared" si="1"/>
        <v>2.7025462964957114E-2</v>
      </c>
      <c r="N73" s="7">
        <f t="shared" si="26"/>
        <v>38.916666669538245</v>
      </c>
      <c r="O73" s="7"/>
      <c r="P73" s="7"/>
      <c r="Q73" s="23"/>
      <c r="R73" s="23"/>
      <c r="S73" s="32">
        <f t="shared" si="27"/>
        <v>1</v>
      </c>
      <c r="T73" s="47" t="str">
        <f t="shared" si="23"/>
        <v>NorthBound</v>
      </c>
      <c r="U73" s="16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10:09:20-700',mode:absolute,to:'2017-01-06 12:54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73" s="49" t="str">
        <f t="shared" si="6"/>
        <v>N</v>
      </c>
      <c r="X73" s="173">
        <f t="shared" si="24"/>
        <v>1</v>
      </c>
      <c r="Y73" s="64">
        <f t="shared" si="8"/>
        <v>4.4600000000000001E-2</v>
      </c>
      <c r="Z73" s="64">
        <f t="shared" si="25"/>
        <v>23.332100000000001</v>
      </c>
      <c r="AA73" s="64">
        <f t="shared" si="10"/>
        <v>23.287500000000001</v>
      </c>
      <c r="AB73" s="61"/>
      <c r="AC73" s="57"/>
      <c r="AD73" s="58" t="str">
        <f t="shared" si="11"/>
        <v>0161-06</v>
      </c>
      <c r="AE73" s="87" t="str">
        <f t="shared" si="12"/>
        <v>aws s3 cp s3://rtdc.mdm.uploadarchive.raw/RTDC4018/ "%USERPROFILE%\AppData\Local\Temp\OnboardLogs"\RTDC4018\2017-01-06 --exclude "*" --recursive --include "*20170106*" &amp; "%USERPROFILE%\Documents\GitHub\mrs-test-scripts\Headless Mode &amp; Sideloading\WalkAndUnGZ.bat" "%USERPROFILE%\AppData\Local\Temp\OnboardLogs"\RTDC4018\2017-01-06 &amp; aws s3 cp s3://rtdc.mdm.uploadarchive.raw/RTDC4018/ "%USERPROFILE%\AppData\Local\Temp\OnboardLogs"\RTDC4018\2017-01-07 --exclude "*" --recursive --include "*20170107*" &amp; "%USERPROFILE%\Documents\GitHub\mrs-test-scripts\Headless Mode &amp; Sideloading\WalkAndUnGZ.bat" "%USERPROFILE%\AppData\Local\Temp\OnboardLogs"\RTDC4018\2017-01-07</v>
      </c>
      <c r="AF73" s="84" t="str">
        <f t="shared" si="13"/>
        <v>"C:\Program Files (x86)\AstroGrep\AstroGrep.exe" /spath="%USERPROFILE%\AppData\Local\Temp\OnboardLogs" /stypes="app*4018*20170106*" /stext=" 18:.+((SYSTEM_STATE.+slice.+state.+changed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8" t="str">
        <f t="shared" si="18"/>
        <v>"%USERPROFILE%\Documents\GitHub\eaglep3\Utilities\RefineRTDCRunTimes.py" --tripid 161-06 --locoid 4018 --swversion DE.1.0.8.0 --startMP 204:446 --initTime 2017-01-06T11:09:20 --startdatetime 2017-01-06T11:15:22 --delay 1 --endMP 204:233321 --enddatetime 2017-01-06T11:54:17 --enforcementcount 0 &gt;&gt;C:\Users\stu\Documents\GitHub\eaglep3-reporting\EC\2017-01-06-refined-times.txt</v>
      </c>
      <c r="AI73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{"issue":{"subject":"","project_id":79,"tracker_id":40,"status_id":1,"priority_id":2,"assigned_to_id":23,"start_date":"2017-01-06","description":"","custom_fields":[{"id":1,"name":"Subdivision","value":"EC"},{"id":4,"name":"Milepost","value":"23.3321"},{"id":17,"name":"Train ID","value":"161-06"},{"id":16,"name":"Locomotive ID","value":"4018"},{"id":130,"name":"Impact","value":""},{"id":150,"name":"Time of Event (Mountain Time)","value":"11:54:17"},{"id":151,"name":"Denver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80" t="str">
        <f t="shared" si="20"/>
        <v>start /low /b %USERPROFILE%\Documents\GitHub\eaglep3\Utilities\DownloadLogsFromS3.py --loco 4018 --day 2017-01-06</v>
      </c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558</v>
      </c>
      <c r="B74" s="7">
        <v>4017</v>
      </c>
      <c r="C74" s="22" t="s">
        <v>203</v>
      </c>
      <c r="D74" s="22" t="s">
        <v>302</v>
      </c>
      <c r="E74" s="13">
        <v>42741.500717592593</v>
      </c>
      <c r="F74" s="13">
        <v>42741.508043981485</v>
      </c>
      <c r="G74" s="7">
        <v>1</v>
      </c>
      <c r="H74" s="22" t="s">
        <v>287</v>
      </c>
      <c r="I74" s="13">
        <v>42741.53696759259</v>
      </c>
      <c r="J74" s="7">
        <v>0</v>
      </c>
      <c r="K74" s="105" t="str">
        <f t="shared" si="0"/>
        <v>4017/4018</v>
      </c>
      <c r="L74" s="22" t="str">
        <f>VLOOKUP(A74,'Trips&amp;Operators'!$C$1:$G$99999,5,FALSE)</f>
        <v>DELGADO DIANAH</v>
      </c>
      <c r="M74" s="6">
        <f t="shared" si="1"/>
        <v>2.8923611105710734E-2</v>
      </c>
      <c r="N74" s="7">
        <f t="shared" si="26"/>
        <v>41.649999992223457</v>
      </c>
      <c r="O74" s="7"/>
      <c r="P74" s="7"/>
      <c r="Q74" s="23"/>
      <c r="R74" s="23"/>
      <c r="S74" s="32">
        <f t="shared" si="27"/>
        <v>1</v>
      </c>
      <c r="T74" s="47" t="str">
        <f t="shared" si="23"/>
        <v>Southbound</v>
      </c>
      <c r="U74" s="16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11:01:02-700',mode:absolute,to:'2017-01-06 13:53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74" s="49" t="str">
        <f t="shared" si="6"/>
        <v>N</v>
      </c>
      <c r="X74" s="173">
        <f t="shared" si="24"/>
        <v>1</v>
      </c>
      <c r="Y74" s="64">
        <f t="shared" si="8"/>
        <v>23.3</v>
      </c>
      <c r="Z74" s="64">
        <f t="shared" si="25"/>
        <v>1.41E-2</v>
      </c>
      <c r="AA74" s="64">
        <f t="shared" si="10"/>
        <v>23.285900000000002</v>
      </c>
      <c r="AB74" s="61"/>
      <c r="AC74" s="57"/>
      <c r="AD74" s="58" t="str">
        <f t="shared" si="11"/>
        <v>0162-06</v>
      </c>
      <c r="AE74" s="87" t="str">
        <f t="shared" si="12"/>
        <v>aws s3 cp s3://rtdc.mdm.uploadarchive.raw/RTDC4017/ "%USERPROFILE%\AppData\Local\Temp\OnboardLogs"\RTDC4017\2017-01-06 --exclude "*" --recursive --include "*20170106*" &amp; "%USERPROFILE%\Documents\GitHub\mrs-test-scripts\Headless Mode &amp; Sideloading\WalkAndUnGZ.bat" "%USERPROFILE%\AppData\Local\Temp\OnboardLogs"\RTDC4017\2017-01-06 &amp; aws s3 cp s3://rtdc.mdm.uploadarchive.raw/RTDC4017/ "%USERPROFILE%\AppData\Local\Temp\OnboardLogs"\RTDC4017\2017-01-07 --exclude "*" --recursive --include "*20170107*" &amp; "%USERPROFILE%\Documents\GitHub\mrs-test-scripts\Headless Mode &amp; Sideloading\WalkAndUnGZ.bat" "%USERPROFILE%\AppData\Local\Temp\OnboardLogs"\RTDC4017\2017-01-07</v>
      </c>
      <c r="AF74" s="84" t="str">
        <f t="shared" si="13"/>
        <v>"C:\Program Files (x86)\AstroGrep\AstroGrep.exe" /spath="%USERPROFILE%\AppData\Local\Temp\OnboardLogs" /stypes="app*4017*20170106*"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8" t="str">
        <f t="shared" si="18"/>
        <v>"%USERPROFILE%\Documents\GitHub\eaglep3\Utilities\RefineRTDCRunTimes.py" --tripid 162-06 --locoid 4017 --swversion DE.1.0.8.0 --startMP 204:233000 --initTime 2017-01-06T12:01:02 --startdatetime 2017-01-06T12:11:35 --delay 1 --endMP 204:141 --enddatetime 2017-01-06T12:53:14 --enforcementcount 0 &gt;&gt;C:\Users\stu\Documents\GitHub\eaglep3-reporting\EC\2017-01-06-refined-times.txt</v>
      </c>
      <c r="AI74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{"issue":{"subject":"","project_id":79,"tracker_id":40,"status_id":1,"priority_id":2,"assigned_to_id":23,"start_date":"2017-01-06","description":"","custom_fields":[{"id":1,"name":"Subdivision","value":"EC"},{"id":4,"name":"Milepost","value":"0.0141"},{"id":17,"name":"Train ID","value":"162-06"},{"id":16,"name":"Locomotive ID","value":"4017"},{"id":130,"name":"Impact","value":""},{"id":150,"name":"Time of Event (Mountain Time)","value":"12:53:14"},{"id":151,"name":"Denver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80" t="str">
        <f t="shared" si="20"/>
        <v>start /low /b %USERPROFILE%\Documents\GitHub\eaglep3\Utilities\DownloadLogsFromS3.py --loco 4017 --day 2017-01-06</v>
      </c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553</v>
      </c>
      <c r="B75" s="7">
        <v>4044</v>
      </c>
      <c r="C75" s="22" t="s">
        <v>203</v>
      </c>
      <c r="D75" s="22" t="s">
        <v>194</v>
      </c>
      <c r="E75" s="13">
        <v>42741.475416666668</v>
      </c>
      <c r="F75" s="13">
        <v>42741.479351851849</v>
      </c>
      <c r="G75" s="7">
        <v>1</v>
      </c>
      <c r="H75" s="22" t="s">
        <v>368</v>
      </c>
      <c r="I75" s="13">
        <v>42741.506064814814</v>
      </c>
      <c r="J75" s="7">
        <v>0</v>
      </c>
      <c r="K75" s="105" t="str">
        <f t="shared" si="0"/>
        <v>4043/4044</v>
      </c>
      <c r="L75" s="22" t="str">
        <f>VLOOKUP(A75,'Trips&amp;Operators'!$C$1:$G$99999,5,FALSE)</f>
        <v>CLARK KATHLEEN</v>
      </c>
      <c r="M75" s="6">
        <f t="shared" si="1"/>
        <v>2.6712962964666076E-2</v>
      </c>
      <c r="N75" s="7">
        <f t="shared" si="26"/>
        <v>38.466666669119149</v>
      </c>
      <c r="O75" s="7"/>
      <c r="P75" s="7"/>
      <c r="Q75" s="23"/>
      <c r="R75" s="23"/>
      <c r="S75" s="32">
        <f t="shared" si="27"/>
        <v>1</v>
      </c>
      <c r="T75" s="47" t="str">
        <f t="shared" si="23"/>
        <v>NorthBound</v>
      </c>
      <c r="U75" s="16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10:24:36-700',mode:absolute,to:'2017-01-06 13:08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75" s="49" t="str">
        <f t="shared" si="6"/>
        <v>N</v>
      </c>
      <c r="X75" s="173">
        <f t="shared" si="24"/>
        <v>1</v>
      </c>
      <c r="Y75" s="64">
        <f t="shared" si="8"/>
        <v>4.5100000000000001E-2</v>
      </c>
      <c r="Z75" s="64">
        <f t="shared" si="25"/>
        <v>23.329899999999999</v>
      </c>
      <c r="AA75" s="64">
        <f t="shared" si="10"/>
        <v>23.284799999999997</v>
      </c>
      <c r="AB75" s="61"/>
      <c r="AC75" s="57"/>
      <c r="AD75" s="58" t="str">
        <f t="shared" si="11"/>
        <v>0163-06</v>
      </c>
      <c r="AE75" s="87" t="str">
        <f t="shared" si="12"/>
        <v>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 &amp; aws s3 cp s3://rtdc.mdm.uploadarchive.raw/RTDC4044/ "%USERPROFILE%\AppData\Local\Temp\OnboardLogs"\RTDC4044\2017-01-07 --exclude "*" --recursive --include "*20170107*" &amp; "%USERPROFILE%\Documents\GitHub\mrs-test-scripts\Headless Mode &amp; Sideloading\WalkAndUnGZ.bat" "%USERPROFILE%\AppData\Local\Temp\OnboardLogs"\RTDC4044\2017-01-07</v>
      </c>
      <c r="AF75" s="84" t="str">
        <f t="shared" si="13"/>
        <v>"C:\Program Files (x86)\AstroGrep\AstroGrep.exe" /spath="%USERPROFILE%\AppData\Local\Temp\OnboardLogs" /stypes="app*4044*20170106*"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8" t="str">
        <f t="shared" si="18"/>
        <v>"%USERPROFILE%\Documents\GitHub\eaglep3\Utilities\RefineRTDCRunTimes.py" --tripid 163-06 --locoid 4044 --swversion DE.1.0.8.0 --startMP 204:451 --initTime 2017-01-06T11:24:36 --startdatetime 2017-01-06T11:30:16 --delay 1 --endMP 204:233299 --enddatetime 2017-01-06T12:08:44 --enforcementcount 0 &gt;&gt;C:\Users\stu\Documents\GitHub\eaglep3-reporting\EC\2017-01-06-refined-times.txt</v>
      </c>
      <c r="AI75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{"issue":{"subject":"","project_id":79,"tracker_id":40,"status_id":1,"priority_id":2,"assigned_to_id":23,"start_date":"2017-01-06","description":"","custom_fields":[{"id":1,"name":"Subdivision","value":"EC"},{"id":4,"name":"Milepost","value":"23.3299"},{"id":17,"name":"Train ID","value":"163-06"},{"id":16,"name":"Locomotive ID","value":"4044"},{"id":130,"name":"Impact","value":""},{"id":150,"name":"Time of Event (Mountain Time)","value":"12:08:44"},{"id":151,"name":"Denver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80" t="str">
        <f t="shared" si="20"/>
        <v>start /low /b %USERPROFILE%\Documents\GitHub\eaglep3\Utilities\DownloadLogsFromS3.py --loco 4044 --day 2017-01-06</v>
      </c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560</v>
      </c>
      <c r="B76" s="7">
        <v>4043</v>
      </c>
      <c r="C76" s="22" t="s">
        <v>203</v>
      </c>
      <c r="D76" s="22" t="s">
        <v>260</v>
      </c>
      <c r="E76" s="13">
        <v>42741.511412037034</v>
      </c>
      <c r="F76" s="13">
        <v>42741.518229166664</v>
      </c>
      <c r="G76" s="7">
        <v>1</v>
      </c>
      <c r="H76" s="22" t="s">
        <v>250</v>
      </c>
      <c r="I76" s="13">
        <v>42741.546817129631</v>
      </c>
      <c r="J76" s="7">
        <v>0</v>
      </c>
      <c r="K76" s="105" t="str">
        <f t="shared" si="0"/>
        <v>4043/4044</v>
      </c>
      <c r="L76" s="22" t="str">
        <f>VLOOKUP(A76,'Trips&amp;Operators'!$C$1:$G$99999,5,FALSE)</f>
        <v>CLARK KATHLEEN</v>
      </c>
      <c r="M76" s="6">
        <f t="shared" si="1"/>
        <v>2.8587962966412306E-2</v>
      </c>
      <c r="N76" s="7">
        <f t="shared" si="26"/>
        <v>41.16666667163372</v>
      </c>
      <c r="O76" s="7"/>
      <c r="P76" s="7"/>
      <c r="Q76" s="23"/>
      <c r="R76" s="23"/>
      <c r="S76" s="32">
        <f t="shared" si="27"/>
        <v>1</v>
      </c>
      <c r="T76" s="47" t="str">
        <f t="shared" si="23"/>
        <v>Southbound</v>
      </c>
      <c r="U76" s="16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https://search-rtdc-monitor-bjffxe2xuh6vdkpspy63sjmuny.us-east-1.es.amazonaws.com/_plugin/kibana/#/discover/Steve-Slow-Train-Analysis-(2080s-and-2083s)?_g=(refreshInterval:(display:Off,section:0,value:0),time:(from:'2017-01-06 11:16:26-700',mode:absolute,to:'2017-01-06 14:07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76" s="49" t="str">
        <f t="shared" si="6"/>
        <v>N</v>
      </c>
      <c r="X76" s="173">
        <f t="shared" si="24"/>
        <v>1</v>
      </c>
      <c r="Y76" s="64">
        <f t="shared" si="8"/>
        <v>23.2973</v>
      </c>
      <c r="Z76" s="64">
        <f t="shared" si="25"/>
        <v>1.6E-2</v>
      </c>
      <c r="AA76" s="64">
        <f t="shared" si="10"/>
        <v>23.281300000000002</v>
      </c>
      <c r="AB76" s="61"/>
      <c r="AC76" s="57"/>
      <c r="AD76" s="58" t="str">
        <f t="shared" si="11"/>
        <v>0164-06</v>
      </c>
      <c r="AE76" s="87" t="str">
        <f t="shared" si="12"/>
        <v>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 &amp; aws s3 cp s3://rtdc.mdm.uploadarchive.raw/RTDC4043/ "%USERPROFILE%\AppData\Local\Temp\OnboardLogs"\RTDC4043\2017-01-07 --exclude "*" --recursive --include "*20170107*" &amp; "%USERPROFILE%\Documents\GitHub\mrs-test-scripts\Headless Mode &amp; Sideloading\WalkAndUnGZ.bat" "%USERPROFILE%\AppData\Local\Temp\OnboardLogs"\RTDC4043\2017-01-07</v>
      </c>
      <c r="AF76" s="84" t="str">
        <f t="shared" si="13"/>
        <v>"C:\Program Files (x86)\AstroGrep\AstroGrep.exe" /spath="%USERPROFILE%\AppData\Local\Temp\OnboardLogs" /stypes="app*4043*20170106*" /stext=" 20:.+((SYSTEM_STATE.+slice.+state.+changed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88" t="str">
        <f t="shared" si="18"/>
        <v>"%USERPROFILE%\Documents\GitHub\eaglep3\Utilities\RefineRTDCRunTimes.py" --tripid 164-06 --locoid 4043 --swversion DE.1.0.8.0 --startMP 204:232973 --initTime 2017-01-06T12:16:26 --startdatetime 2017-01-06T12:26:15 --delay 1 --endMP 204:160 --enddatetime 2017-01-06T13:07:25 --enforcementcount 0 &gt;&gt;C:\Users\stu\Documents\GitHub\eaglep3-reporting\EC\2017-01-06-refined-times.txt</v>
      </c>
      <c r="AI76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{"issue":{"subject":"","project_id":79,"tracker_id":40,"status_id":1,"priority_id":2,"assigned_to_id":23,"start_date":"2017-01-06","description":"","custom_fields":[{"id":1,"name":"Subdivision","value":"EC"},{"id":4,"name":"Milepost","value":"0.016"},{"id":17,"name":"Train ID","value":"164-06"},{"id":16,"name":"Locomotive ID","value":"4043"},{"id":130,"name":"Impact","value":""},{"id":150,"name":"Time of Event (Mountain Time)","value":"13:07:25"},{"id":151,"name":"Denver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80" t="str">
        <f t="shared" si="20"/>
        <v>start /low /b %USERPROFILE%\Documents\GitHub\eaglep3\Utilities\DownloadLogsFromS3.py --loco 4043 --day 2017-01-06</v>
      </c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455</v>
      </c>
      <c r="B77" s="7">
        <v>4002</v>
      </c>
      <c r="C77" s="22" t="s">
        <v>203</v>
      </c>
      <c r="D77" s="22" t="s">
        <v>707</v>
      </c>
      <c r="E77" s="13">
        <v>42741.487523148149</v>
      </c>
      <c r="F77" s="13">
        <v>42741.489803240744</v>
      </c>
      <c r="G77" s="7">
        <v>2</v>
      </c>
      <c r="H77" s="22" t="s">
        <v>341</v>
      </c>
      <c r="I77" s="13">
        <v>42741.517175925925</v>
      </c>
      <c r="J77" s="7">
        <v>0</v>
      </c>
      <c r="K77" s="105" t="str">
        <f t="shared" ref="K77:K140" si="28">IF(ISEVEN(B77),(B77-1)&amp;"/"&amp;B77,B77&amp;"/"&amp;(B77+1))</f>
        <v>4001/4002</v>
      </c>
      <c r="L77" s="22" t="str">
        <f>VLOOKUP(A77,'Trips&amp;Operators'!$C$1:$G$99999,5,FALSE)</f>
        <v>BRUDER RICHARD</v>
      </c>
      <c r="M77" s="6">
        <f t="shared" ref="M77:M140" si="29">I77-F77</f>
        <v>2.7372685181035195E-2</v>
      </c>
      <c r="N77" s="7">
        <f t="shared" si="26"/>
        <v>39.41666666069068</v>
      </c>
      <c r="O77" s="7"/>
      <c r="P77" s="7"/>
      <c r="Q77" s="23"/>
      <c r="R77" s="23"/>
      <c r="S77" s="32">
        <f t="shared" si="27"/>
        <v>1</v>
      </c>
      <c r="T77" s="47" t="str">
        <f t="shared" ref="T77:T108" si="30">IF(ISEVEN(LEFT(AD77,4)),"Southbound","NorthBound")</f>
        <v>NorthBound</v>
      </c>
      <c r="U77" s="16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ref="V77:V140" si="31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https://search-rtdc-monitor-bjffxe2xuh6vdkpspy63sjmuny.us-east-1.es.amazonaws.com/_plugin/kibana/#/discover/Steve-Slow-Train-Analysis-(2080s-and-2083s)?_g=(refreshInterval:(display:Off,section:0,value:0),time:(from:'2017-01-06 10:42:02-700',mode:absolute,to:'2017-01-06 13:24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77" s="49" t="str">
        <f t="shared" ref="W77:W140" si="32">IF(AA77&lt;IF(AG77="EC",23,5.65),"Y","N")</f>
        <v>N</v>
      </c>
      <c r="X77" s="173">
        <f t="shared" ref="X77:X108" si="33">VALUE(LEFT(AD77,4))-VALUE(LEFT(AD76,4))</f>
        <v>1</v>
      </c>
      <c r="Y77" s="64">
        <f t="shared" ref="Y77:Y140" si="34">RIGHT(D77,LEN(D77)-4)/10000</f>
        <v>5.04E-2</v>
      </c>
      <c r="Z77" s="64">
        <f t="shared" ref="Z77:Z108" si="35">RIGHT(H77,LEN(H77)-4)/10000</f>
        <v>23.331399999999999</v>
      </c>
      <c r="AA77" s="64">
        <f t="shared" ref="AA77:AA140" si="36">ABS(Z77-Y77)</f>
        <v>23.280999999999999</v>
      </c>
      <c r="AB77" s="61"/>
      <c r="AC77" s="57"/>
      <c r="AD77" s="58" t="str">
        <f t="shared" ref="AD77:AD140" si="37">IF(LEN(A77)=6,"0"&amp;A77,A77)</f>
        <v>0165-06</v>
      </c>
      <c r="AE77" s="87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s3://rtdc.mdm.uploadarchive.raw/RTDC4002/ "%USERPROFILE%\AppData\Local\Temp\OnboardLogs"\RTDC4002\2017-01-06 --exclude "*" --recursive --include "*20170106*" &amp; "%USERPROFILE%\Documents\GitHub\mrs-test-scripts\Headless Mode &amp; Sideloading\WalkAndUnGZ.bat" "%USERPROFILE%\AppData\Local\Temp\OnboardLogs"\RTDC4002\2017-01-06 &amp; aws s3 cp s3://rtdc.mdm.uploadarchive.raw/RTDC4002/ "%USERPROFILE%\AppData\Local\Temp\OnboardLogs"\RTDC4002\2017-01-07 --exclude "*" --recursive --include "*20170107*" &amp; "%USERPROFILE%\Documents\GitHub\mrs-test-scripts\Headless Mode &amp; Sideloading\WalkAndUnGZ.bat" "%USERPROFILE%\AppData\Local\Temp\OnboardLogs"\RTDC4002\2017-01-07</v>
      </c>
      <c r="AF77" s="84" t="str">
        <f t="shared" ref="AF77:AF140" si="39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/stypes="app*4002*20170106*" /stext=" 19:.+((SYSTEM_STATE.+slice.+state.+changed )|(ment ac)|(multiple cpu faults)|(system.+state.+changed )|(\[timeout)|(PRM\|1\|D)|(kpr)|(kdp)|(\|lc)|(penalty))" /e /r /s</v>
      </c>
      <c r="AG77" s="1" t="str">
        <f t="shared" ref="AG77:AG140" si="40">IFERROR(IF(VALUE(LEFT(AD77,2))&lt;=2,"EC",IF(OR(VALUE(LEFT(AD77,2))=8,VALUE(LEFT(AD77,2))=18),"NW","Other")),"Other")</f>
        <v>EC</v>
      </c>
      <c r="AH77" s="88" t="str">
        <f t="shared" si="18"/>
        <v>"%USERPROFILE%\Documents\GitHub\eaglep3\Utilities\RefineRTDCRunTimes.py" --tripid 165-06 --locoid 4002 --swversion DE.1.0.8.0 --startMP 204:504 --initTime 2017-01-06T11:42:02 --startdatetime 2017-01-06T11:45:19 --delay 2 --endMP 204:233314 --enddatetime 2017-01-06T12:24:44 --enforcementcount 0 &gt;&gt;C:\Users\stu\Documents\GitHub\eaglep3-reporting\EC\2017-01-06-refined-times.txt</v>
      </c>
      <c r="AI77" s="115" t="str">
        <f t="shared" si="19"/>
        <v>echo {"issue":{"subject":"","project_id":79,"tracker_id":40,"status_id":1,"priority_id":2,"assigned_to_id":23,"start_date":"2017-01-06","description":"","custom_fields":[{"id":1,"name":"Subdivision","value":"EC"},{"id":4,"name":"Milepost","value":"23.3314"},{"id":17,"name":"Train ID","value":"165-06"},{"id":16,"name":"Locomotive ID","value":"4002"},{"id":130,"name":"Impact","value":""},{"id":150,"name":"Time of Event (Mountain Time)","value":"12:24:44"},{"id":151,"name":"Denver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80" t="str">
        <f t="shared" si="20"/>
        <v>start /low /b %USERPROFILE%\Documents\GitHub\eaglep3\Utilities\DownloadLogsFromS3.py --loco 4002 --day 2017-01-06</v>
      </c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562</v>
      </c>
      <c r="B78" s="7">
        <v>4001</v>
      </c>
      <c r="C78" s="22" t="s">
        <v>203</v>
      </c>
      <c r="D78" s="22" t="s">
        <v>312</v>
      </c>
      <c r="E78" s="13">
        <v>42741.524155092593</v>
      </c>
      <c r="F78" s="13">
        <v>42741.528680555559</v>
      </c>
      <c r="G78" s="7">
        <v>2</v>
      </c>
      <c r="H78" s="22" t="s">
        <v>279</v>
      </c>
      <c r="I78" s="13">
        <v>42741.555578703701</v>
      </c>
      <c r="J78" s="7">
        <v>0</v>
      </c>
      <c r="K78" s="105" t="str">
        <f t="shared" si="28"/>
        <v>4001/4002</v>
      </c>
      <c r="L78" s="22" t="str">
        <f>VLOOKUP(A78,'Trips&amp;Operators'!$C$1:$G$99999,5,FALSE)</f>
        <v>BRUDER RICHARD</v>
      </c>
      <c r="M78" s="6">
        <f t="shared" si="29"/>
        <v>2.6898148142208811E-2</v>
      </c>
      <c r="N78" s="7">
        <f t="shared" si="26"/>
        <v>38.733333324780688</v>
      </c>
      <c r="O78" s="7"/>
      <c r="P78" s="7"/>
      <c r="Q78" s="23"/>
      <c r="R78" s="23"/>
      <c r="S78" s="32">
        <f t="shared" si="27"/>
        <v>1</v>
      </c>
      <c r="T78" s="47" t="str">
        <f t="shared" si="30"/>
        <v>Southbound</v>
      </c>
      <c r="U78" s="16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11:34:47-700',mode:absolute,to:'2017-01-06 14:20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78" s="49" t="str">
        <f t="shared" si="32"/>
        <v>N</v>
      </c>
      <c r="X78" s="173">
        <f t="shared" si="33"/>
        <v>1</v>
      </c>
      <c r="Y78" s="64">
        <f t="shared" si="34"/>
        <v>23.298300000000001</v>
      </c>
      <c r="Z78" s="64">
        <f t="shared" si="35"/>
        <v>1.52E-2</v>
      </c>
      <c r="AA78" s="64">
        <f t="shared" si="36"/>
        <v>23.283100000000001</v>
      </c>
      <c r="AB78" s="61"/>
      <c r="AC78" s="57"/>
      <c r="AD78" s="58" t="str">
        <f t="shared" si="37"/>
        <v>0166-06</v>
      </c>
      <c r="AE78" s="87" t="str">
        <f t="shared" si="38"/>
        <v>aws s3 cp s3://rtdc.mdm.uploadarchive.raw/RTDC4001/ "%USERPROFILE%\AppData\Local\Temp\OnboardLogs"\RTDC4001\2017-01-06 --exclude "*" --recursive --include "*20170106*" &amp; "%USERPROFILE%\Documents\GitHub\mrs-test-scripts\Headless Mode &amp; Sideloading\WalkAndUnGZ.bat" "%USERPROFILE%\AppData\Local\Temp\OnboardLogs"\RTDC4001\2017-01-06 &amp; aws s3 cp s3://rtdc.mdm.uploadarchive.raw/RTDC4001/ "%USERPROFILE%\AppData\Local\Temp\OnboardLogs"\RTDC4001\2017-01-07 --exclude "*" --recursive --include "*20170107*" &amp; "%USERPROFILE%\Documents\GitHub\mrs-test-scripts\Headless Mode &amp; Sideloading\WalkAndUnGZ.bat" "%USERPROFILE%\AppData\Local\Temp\OnboardLogs"\RTDC4001\2017-01-07</v>
      </c>
      <c r="AF78" s="84" t="str">
        <f t="shared" si="39"/>
        <v>"C:\Program Files (x86)\AstroGrep\AstroGrep.exe" /spath="%USERPROFILE%\AppData\Local\Temp\OnboardLogs" /stypes="app*4001*20170106*" /stext=" 20:.+((SYSTEM_STATE.+slice.+state.+changed )|(ment ac)|(multiple cpu faults)|(system.+state.+changed )|(\[timeout)|(PRM\|1\|D)|(kpr)|(kdp)|(\|lc)|(penalty))" /e /r /s</v>
      </c>
      <c r="AG78" s="1" t="str">
        <f t="shared" si="40"/>
        <v>EC</v>
      </c>
      <c r="AH78" s="88" t="str">
        <f t="shared" ref="AH78:AH140" si="41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166-06 --locoid 4001 --swversion DE.1.0.8.0 --startMP 204:232983 --initTime 2017-01-06T12:34:47 --startdatetime 2017-01-06T12:41:18 --delay 2 --endMP 204:152 --enddatetime 2017-01-06T13:20:02 --enforcementcount 0 &gt;&gt;C:\Users\stu\Documents\GitHub\eaglep3-reporting\EC\2017-01-06-refined-times.txt</v>
      </c>
      <c r="AI78" s="115" t="str">
        <f t="shared" ref="AI78:AI140" si="42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{"issue":{"subject":"","project_id":79,"tracker_id":40,"status_id":1,"priority_id":2,"assigned_to_id":23,"start_date":"2017-01-06","description":"","custom_fields":[{"id":1,"name":"Subdivision","value":"EC"},{"id":4,"name":"Milepost","value":"0.0152"},{"id":17,"name":"Train ID","value":"166-06"},{"id":16,"name":"Locomotive ID","value":"4001"},{"id":130,"name":"Impact","value":""},{"id":150,"name":"Time of Event (Mountain Time)","value":"13:20:02"},{"id":151,"name":"Denver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80" t="str">
        <f t="shared" ref="AM78:AM140" si="43">"start /low /b "&amp;dls3logs&amp;" --loco "&amp;B78&amp;" --day "&amp;TEXT(F78,"YYYY-MM-DD")</f>
        <v>start /low /b %USERPROFILE%\Documents\GitHub\eaglep3\Utilities\DownloadLogsFromS3.py --loco 4001 --day 2017-01-06</v>
      </c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557</v>
      </c>
      <c r="B79" s="7">
        <v>4029</v>
      </c>
      <c r="C79" s="22" t="s">
        <v>203</v>
      </c>
      <c r="D79" s="22" t="s">
        <v>194</v>
      </c>
      <c r="E79" s="13">
        <v>42741.496203703704</v>
      </c>
      <c r="F79" s="13">
        <v>42741.500243055554</v>
      </c>
      <c r="G79" s="7">
        <v>1</v>
      </c>
      <c r="H79" s="22" t="s">
        <v>340</v>
      </c>
      <c r="I79" s="13">
        <v>42741.524675925924</v>
      </c>
      <c r="J79" s="7">
        <v>0</v>
      </c>
      <c r="K79" s="105" t="str">
        <f t="shared" si="28"/>
        <v>4029/4030</v>
      </c>
      <c r="L79" s="22" t="str">
        <f>VLOOKUP(A79,'Trips&amp;Operators'!$C$1:$G$99999,5,FALSE)</f>
        <v>HELVIE ADAM</v>
      </c>
      <c r="M79" s="6">
        <f t="shared" si="29"/>
        <v>2.4432870370219462E-2</v>
      </c>
      <c r="N79" s="7">
        <f t="shared" si="26"/>
        <v>35.183333333116025</v>
      </c>
      <c r="O79" s="7"/>
      <c r="P79" s="7"/>
      <c r="Q79" s="23"/>
      <c r="R79" s="23"/>
      <c r="S79" s="32">
        <f t="shared" si="27"/>
        <v>1</v>
      </c>
      <c r="T79" s="47" t="str">
        <f t="shared" si="30"/>
        <v>NorthBound</v>
      </c>
      <c r="U79" s="16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10:54:32-700',mode:absolute,to:'2017-01-06 13:35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79" s="49" t="str">
        <f t="shared" si="32"/>
        <v>N</v>
      </c>
      <c r="X79" s="173">
        <f t="shared" si="33"/>
        <v>1</v>
      </c>
      <c r="Y79" s="64">
        <f t="shared" si="34"/>
        <v>4.5100000000000001E-2</v>
      </c>
      <c r="Z79" s="64">
        <f t="shared" si="35"/>
        <v>23.331099999999999</v>
      </c>
      <c r="AA79" s="64">
        <f t="shared" si="36"/>
        <v>23.285999999999998</v>
      </c>
      <c r="AB79" s="61"/>
      <c r="AC79" s="57"/>
      <c r="AD79" s="58" t="str">
        <f t="shared" si="37"/>
        <v>0167-06</v>
      </c>
      <c r="AE79" s="87" t="str">
        <f t="shared" si="38"/>
        <v>aws s3 cp s3://rtdc.mdm.uploadarchive.raw/RTDC4029/ "%USERPROFILE%\AppData\Local\Temp\OnboardLogs"\RTDC4029\2017-01-06 --exclude "*" --recursive --include "*20170106*" &amp; "%USERPROFILE%\Documents\GitHub\mrs-test-scripts\Headless Mode &amp; Sideloading\WalkAndUnGZ.bat" "%USERPROFILE%\AppData\Local\Temp\OnboardLogs"\RTDC4029\2017-01-06 &amp; aws s3 cp s3://rtdc.mdm.uploadarchive.raw/RTDC4029/ "%USERPROFILE%\AppData\Local\Temp\OnboardLogs"\RTDC4029\2017-01-07 --exclude "*" --recursive --include "*20170107*" &amp; "%USERPROFILE%\Documents\GitHub\mrs-test-scripts\Headless Mode &amp; Sideloading\WalkAndUnGZ.bat" "%USERPROFILE%\AppData\Local\Temp\OnboardLogs"\RTDC4029\2017-01-07</v>
      </c>
      <c r="AF79" s="84" t="str">
        <f t="shared" si="39"/>
        <v>"C:\Program Files (x86)\AstroGrep\AstroGrep.exe" /spath="%USERPROFILE%\AppData\Local\Temp\OnboardLogs" /stypes="app*4029*20170106*" /stext=" 19:.+((SYSTEM_STATE.+slice.+state.+changed )|(ment ac)|(multiple cpu faults)|(system.+state.+changed )|(\[timeout)|(PRM\|1\|D)|(kpr)|(kdp)|(\|lc)|(penalty))" /e /r /s</v>
      </c>
      <c r="AG79" s="1" t="str">
        <f t="shared" si="40"/>
        <v>EC</v>
      </c>
      <c r="AH79" s="88" t="str">
        <f t="shared" si="41"/>
        <v>"%USERPROFILE%\Documents\GitHub\eaglep3\Utilities\RefineRTDCRunTimes.py" --tripid 167-06 --locoid 4029 --swversion DE.1.0.8.0 --startMP 204:451 --initTime 2017-01-06T11:54:32 --startdatetime 2017-01-06T12:00:21 --delay 1 --endMP 204:233311 --enddatetime 2017-01-06T12:35:32 --enforcementcount 0 &gt;&gt;C:\Users\stu\Documents\GitHub\eaglep3-reporting\EC\2017-01-06-refined-times.txt</v>
      </c>
      <c r="AI79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{"issue":{"subject":"","project_id":79,"tracker_id":40,"status_id":1,"priority_id":2,"assigned_to_id":23,"start_date":"2017-01-06","description":"","custom_fields":[{"id":1,"name":"Subdivision","value":"EC"},{"id":4,"name":"Milepost","value":"23.3311"},{"id":17,"name":"Train ID","value":"167-06"},{"id":16,"name":"Locomotive ID","value":"4029"},{"id":130,"name":"Impact","value":""},{"id":150,"name":"Time of Event (Mountain Time)","value":"12:35:32"},{"id":151,"name":"Denver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80" t="str">
        <f t="shared" si="43"/>
        <v>start /low /b %USERPROFILE%\Documents\GitHub\eaglep3\Utilities\DownloadLogsFromS3.py --loco 4029 --day 2017-01-06</v>
      </c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563</v>
      </c>
      <c r="B80" s="7">
        <v>4030</v>
      </c>
      <c r="C80" s="22" t="s">
        <v>203</v>
      </c>
      <c r="D80" s="22" t="s">
        <v>415</v>
      </c>
      <c r="E80" s="13">
        <v>42741.536689814813</v>
      </c>
      <c r="F80" s="13">
        <v>42741.5391087963</v>
      </c>
      <c r="G80" s="7">
        <v>1</v>
      </c>
      <c r="H80" s="22" t="s">
        <v>209</v>
      </c>
      <c r="I80" s="13">
        <v>42741.565682870372</v>
      </c>
      <c r="J80" s="7">
        <v>0</v>
      </c>
      <c r="K80" s="105" t="str">
        <f t="shared" si="28"/>
        <v>4029/4030</v>
      </c>
      <c r="L80" s="22" t="str">
        <f>VLOOKUP(A80,'Trips&amp;Operators'!$C$1:$G$99999,5,FALSE)</f>
        <v>HELVIE ADAM</v>
      </c>
      <c r="M80" s="6">
        <f t="shared" si="29"/>
        <v>2.6574074072414078E-2</v>
      </c>
      <c r="N80" s="7">
        <f t="shared" si="26"/>
        <v>38.266666664276272</v>
      </c>
      <c r="O80" s="7"/>
      <c r="P80" s="7"/>
      <c r="Q80" s="23"/>
      <c r="R80" s="23"/>
      <c r="S80" s="32">
        <f t="shared" si="27"/>
        <v>1</v>
      </c>
      <c r="T80" s="47" t="str">
        <f t="shared" si="30"/>
        <v>Southbound</v>
      </c>
      <c r="U80" s="16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11:52:50-700',mode:absolute,to:'2017-01-06 14:34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80" s="49" t="str">
        <f t="shared" si="32"/>
        <v>N</v>
      </c>
      <c r="X80" s="173">
        <f t="shared" si="33"/>
        <v>1</v>
      </c>
      <c r="Y80" s="64">
        <f t="shared" si="34"/>
        <v>23.297499999999999</v>
      </c>
      <c r="Z80" s="64">
        <f t="shared" si="35"/>
        <v>1.4999999999999999E-2</v>
      </c>
      <c r="AA80" s="64">
        <f t="shared" si="36"/>
        <v>23.282499999999999</v>
      </c>
      <c r="AB80" s="61"/>
      <c r="AC80" s="57"/>
      <c r="AD80" s="58" t="str">
        <f t="shared" si="37"/>
        <v>0168-06</v>
      </c>
      <c r="AE80" s="87" t="str">
        <f t="shared" si="38"/>
        <v>aws s3 cp s3://rtdc.mdm.uploadarchive.raw/RTDC4030/ "%USERPROFILE%\AppData\Local\Temp\OnboardLogs"\RTDC4030\2017-01-06 --exclude "*" --recursive --include "*20170106*" &amp; "%USERPROFILE%\Documents\GitHub\mrs-test-scripts\Headless Mode &amp; Sideloading\WalkAndUnGZ.bat" "%USERPROFILE%\AppData\Local\Temp\OnboardLogs"\RTDC4030\2017-01-06 &amp; aws s3 cp s3://rtdc.mdm.uploadarchive.raw/RTDC4030/ "%USERPROFILE%\AppData\Local\Temp\OnboardLogs"\RTDC4030\2017-01-07 --exclude "*" --recursive --include "*20170107*" &amp; "%USERPROFILE%\Documents\GitHub\mrs-test-scripts\Headless Mode &amp; Sideloading\WalkAndUnGZ.bat" "%USERPROFILE%\AppData\Local\Temp\OnboardLogs"\RTDC4030\2017-01-07</v>
      </c>
      <c r="AF80" s="84" t="str">
        <f t="shared" si="39"/>
        <v>"C:\Program Files (x86)\AstroGrep\AstroGrep.exe" /spath="%USERPROFILE%\AppData\Local\Temp\OnboardLogs" /stypes="app*4030*20170106*" /stext=" 20:.+((SYSTEM_STATE.+slice.+state.+changed )|(ment ac)|(multiple cpu faults)|(system.+state.+changed )|(\[timeout)|(PRM\|1\|D)|(kpr)|(kdp)|(\|lc)|(penalty))" /e /r /s</v>
      </c>
      <c r="AG80" s="1" t="str">
        <f t="shared" si="40"/>
        <v>EC</v>
      </c>
      <c r="AH80" s="88" t="str">
        <f t="shared" si="41"/>
        <v>"%USERPROFILE%\Documents\GitHub\eaglep3\Utilities\RefineRTDCRunTimes.py" --tripid 168-06 --locoid 4030 --swversion DE.1.0.8.0 --startMP 204:232975 --initTime 2017-01-06T12:52:50 --startdatetime 2017-01-06T12:56:19 --delay 1 --endMP 204:150 --enddatetime 2017-01-06T13:34:35 --enforcementcount 0 &gt;&gt;C:\Users\stu\Documents\GitHub\eaglep3-reporting\EC\2017-01-06-refined-times.txt</v>
      </c>
      <c r="AI80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{"issue":{"subject":"","project_id":79,"tracker_id":40,"status_id":1,"priority_id":2,"assigned_to_id":23,"start_date":"2017-01-06","description":"","custom_fields":[{"id":1,"name":"Subdivision","value":"EC"},{"id":4,"name":"Milepost","value":"0.015"},{"id":17,"name":"Train ID","value":"168-06"},{"id":16,"name":"Locomotive ID","value":"4030"},{"id":130,"name":"Impact","value":""},{"id":150,"name":"Time of Event (Mountain Time)","value":"13:34:35"},{"id":151,"name":"Denver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80" t="str">
        <f t="shared" si="43"/>
        <v>start /low /b %USERPROFILE%\Documents\GitHub\eaglep3\Utilities\DownloadLogsFromS3.py --loco 4030 --day 2017-01-06</v>
      </c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4" t="s">
        <v>559</v>
      </c>
      <c r="B81" s="7">
        <v>4009</v>
      </c>
      <c r="C81" s="22" t="s">
        <v>203</v>
      </c>
      <c r="D81" s="22" t="s">
        <v>343</v>
      </c>
      <c r="E81" s="13">
        <v>42741.505486111113</v>
      </c>
      <c r="F81" s="13">
        <v>42741.510682870372</v>
      </c>
      <c r="G81" s="7">
        <v>2</v>
      </c>
      <c r="H81" s="22" t="s">
        <v>690</v>
      </c>
      <c r="I81" s="13">
        <v>42741.53800925926</v>
      </c>
      <c r="J81" s="7">
        <v>0</v>
      </c>
      <c r="K81" s="105" t="str">
        <f t="shared" si="28"/>
        <v>4009/4010</v>
      </c>
      <c r="L81" s="22" t="str">
        <f>VLOOKUP(A81,'Trips&amp;Operators'!$C$1:$G$99999,5,FALSE)</f>
        <v>BRANDNER MELINDA</v>
      </c>
      <c r="M81" s="6">
        <f t="shared" si="29"/>
        <v>2.73263888884685E-2</v>
      </c>
      <c r="N81" s="7">
        <f t="shared" si="26"/>
        <v>39.34999999939464</v>
      </c>
      <c r="O81" s="7"/>
      <c r="P81" s="7"/>
      <c r="Q81" s="23"/>
      <c r="R81" s="23"/>
      <c r="S81" s="32">
        <f t="shared" si="27"/>
        <v>1</v>
      </c>
      <c r="T81" s="47" t="str">
        <f t="shared" si="30"/>
        <v>NorthBound</v>
      </c>
      <c r="U81" s="16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11:07:54-700',mode:absolute,to:'2017-01-06 13:54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81" s="49" t="str">
        <f t="shared" si="32"/>
        <v>N</v>
      </c>
      <c r="X81" s="173">
        <f t="shared" si="33"/>
        <v>1</v>
      </c>
      <c r="Y81" s="64">
        <f t="shared" si="34"/>
        <v>4.6600000000000003E-2</v>
      </c>
      <c r="Z81" s="64">
        <f t="shared" si="35"/>
        <v>23.331499999999998</v>
      </c>
      <c r="AA81" s="64">
        <f t="shared" si="36"/>
        <v>23.284899999999997</v>
      </c>
      <c r="AB81" s="61"/>
      <c r="AC81" s="57"/>
      <c r="AD81" s="58" t="str">
        <f t="shared" si="37"/>
        <v>0169-06</v>
      </c>
      <c r="AE81" s="87" t="str">
        <f t="shared" si="38"/>
        <v>aws s3 cp s3://rtdc.mdm.uploadarchive.raw/RTDC4009/ "%USERPROFILE%\AppData\Local\Temp\OnboardLogs"\RTDC4009\2017-01-06 --exclude "*" --recursive --include "*20170106*" &amp; "%USERPROFILE%\Documents\GitHub\mrs-test-scripts\Headless Mode &amp; Sideloading\WalkAndUnGZ.bat" "%USERPROFILE%\AppData\Local\Temp\OnboardLogs"\RTDC4009\2017-01-06 &amp; aws s3 cp s3://rtdc.mdm.uploadarchive.raw/RTDC4009/ "%USERPROFILE%\AppData\Local\Temp\OnboardLogs"\RTDC4009\2017-01-07 --exclude "*" --recursive --include "*20170107*" &amp; "%USERPROFILE%\Documents\GitHub\mrs-test-scripts\Headless Mode &amp; Sideloading\WalkAndUnGZ.bat" "%USERPROFILE%\AppData\Local\Temp\OnboardLogs"\RTDC4009\2017-01-07</v>
      </c>
      <c r="AF81" s="84" t="str">
        <f t="shared" si="39"/>
        <v>"C:\Program Files (x86)\AstroGrep\AstroGrep.exe" /spath="%USERPROFILE%\AppData\Local\Temp\OnboardLogs" /stypes="app*4009*20170106*" /stext=" 19:.+((SYSTEM_STATE.+slice.+state.+changed )|(ment ac)|(multiple cpu faults)|(system.+state.+changed )|(\[timeout)|(PRM\|1\|D)|(kpr)|(kdp)|(\|lc)|(penalty))" /e /r /s</v>
      </c>
      <c r="AG81" s="1" t="str">
        <f t="shared" si="40"/>
        <v>EC</v>
      </c>
      <c r="AH81" s="88" t="str">
        <f t="shared" si="41"/>
        <v>"%USERPROFILE%\Documents\GitHub\eaglep3\Utilities\RefineRTDCRunTimes.py" --tripid 169-06 --locoid 4009 --swversion DE.1.0.8.0 --startMP 204:466 --initTime 2017-01-06T12:07:54 --startdatetime 2017-01-06T12:15:23 --delay 2 --endMP 204:233315 --enddatetime 2017-01-06T12:54:44 --enforcementcount 0 &gt;&gt;C:\Users\stu\Documents\GitHub\eaglep3-reporting\EC\2017-01-06-refined-times.txt</v>
      </c>
      <c r="AI81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{"issue":{"subject":"","project_id":79,"tracker_id":40,"status_id":1,"priority_id":2,"assigned_to_id":23,"start_date":"2017-01-06","description":"","custom_fields":[{"id":1,"name":"Subdivision","value":"EC"},{"id":4,"name":"Milepost","value":"23.3315"},{"id":17,"name":"Train ID","value":"169-06"},{"id":16,"name":"Locomotive ID","value":"4009"},{"id":130,"name":"Impact","value":""},{"id":150,"name":"Time of Event (Mountain Time)","value":"12:54:44"},{"id":151,"name":"Denver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80" t="str">
        <f t="shared" si="43"/>
        <v>start /low /b %USERPROFILE%\Documents\GitHub\eaglep3\Utilities\DownloadLogsFromS3.py --loco 4009 --day 2017-01-06</v>
      </c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4" t="s">
        <v>565</v>
      </c>
      <c r="B82" s="7">
        <v>4010</v>
      </c>
      <c r="C82" s="22" t="s">
        <v>203</v>
      </c>
      <c r="D82" s="22" t="s">
        <v>419</v>
      </c>
      <c r="E82" s="13">
        <v>42741.543819444443</v>
      </c>
      <c r="F82" s="13">
        <v>42741.549479166664</v>
      </c>
      <c r="G82" s="7">
        <v>2</v>
      </c>
      <c r="H82" s="22" t="s">
        <v>192</v>
      </c>
      <c r="I82" s="13">
        <v>42741.577499999999</v>
      </c>
      <c r="J82" s="7">
        <v>0</v>
      </c>
      <c r="K82" s="105" t="str">
        <f t="shared" si="28"/>
        <v>4009/4010</v>
      </c>
      <c r="L82" s="22" t="str">
        <f>VLOOKUP(A82,'Trips&amp;Operators'!$C$1:$G$99999,5,FALSE)</f>
        <v>BRANDNER MELINDA</v>
      </c>
      <c r="M82" s="6">
        <f t="shared" si="29"/>
        <v>2.8020833335176576E-2</v>
      </c>
      <c r="N82" s="7">
        <f t="shared" si="26"/>
        <v>40.350000002654269</v>
      </c>
      <c r="O82" s="7"/>
      <c r="P82" s="7"/>
      <c r="Q82" s="23"/>
      <c r="R82" s="23"/>
      <c r="S82" s="32">
        <f t="shared" si="27"/>
        <v>1</v>
      </c>
      <c r="T82" s="47" t="str">
        <f t="shared" si="30"/>
        <v>Southbound</v>
      </c>
      <c r="U82" s="16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12:03:06-700',mode:absolute,to:'2017-01-06 14:51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82" s="49" t="str">
        <f t="shared" si="32"/>
        <v>N</v>
      </c>
      <c r="X82" s="173">
        <f t="shared" si="33"/>
        <v>1</v>
      </c>
      <c r="Y82" s="64">
        <f t="shared" si="34"/>
        <v>23.300799999999999</v>
      </c>
      <c r="Z82" s="64">
        <f t="shared" si="35"/>
        <v>1.43E-2</v>
      </c>
      <c r="AA82" s="64">
        <f t="shared" si="36"/>
        <v>23.2865</v>
      </c>
      <c r="AB82" s="61"/>
      <c r="AC82" s="57"/>
      <c r="AD82" s="58" t="str">
        <f t="shared" si="37"/>
        <v>0170-06</v>
      </c>
      <c r="AE82" s="87" t="str">
        <f t="shared" si="38"/>
        <v>aws s3 cp s3://rtdc.mdm.uploadarchive.raw/RTDC4010/ "%USERPROFILE%\AppData\Local\Temp\OnboardLogs"\RTDC4010\2017-01-06 --exclude "*" --recursive --include "*20170106*" &amp; "%USERPROFILE%\Documents\GitHub\mrs-test-scripts\Headless Mode &amp; Sideloading\WalkAndUnGZ.bat" "%USERPROFILE%\AppData\Local\Temp\OnboardLogs"\RTDC4010\2017-01-06 &amp; aws s3 cp s3://rtdc.mdm.uploadarchive.raw/RTDC4010/ "%USERPROFILE%\AppData\Local\Temp\OnboardLogs"\RTDC4010\2017-01-07 --exclude "*" --recursive --include "*20170107*" &amp; "%USERPROFILE%\Documents\GitHub\mrs-test-scripts\Headless Mode &amp; Sideloading\WalkAndUnGZ.bat" "%USERPROFILE%\AppData\Local\Temp\OnboardLogs"\RTDC4010\2017-01-07</v>
      </c>
      <c r="AF82" s="84" t="str">
        <f t="shared" si="39"/>
        <v>"C:\Program Files (x86)\AstroGrep\AstroGrep.exe" /spath="%USERPROFILE%\AppData\Local\Temp\OnboardLogs" /stypes="app*4010*20170106*" /stext=" 20:.+((SYSTEM_STATE.+slice.+state.+changed )|(ment ac)|(multiple cpu faults)|(system.+state.+changed )|(\[timeout)|(PRM\|1\|D)|(kpr)|(kdp)|(\|lc)|(penalty))" /e /r /s</v>
      </c>
      <c r="AG82" s="1" t="str">
        <f t="shared" si="40"/>
        <v>EC</v>
      </c>
      <c r="AH82" s="88" t="str">
        <f t="shared" si="41"/>
        <v>"%USERPROFILE%\Documents\GitHub\eaglep3\Utilities\RefineRTDCRunTimes.py" --tripid 170-06 --locoid 4010 --swversion DE.1.0.8.0 --startMP 204:233008 --initTime 2017-01-06T13:03:06 --startdatetime 2017-01-06T13:11:15 --delay 2 --endMP 204:143 --enddatetime 2017-01-06T13:51:36 --enforcementcount 0 &gt;&gt;C:\Users\stu\Documents\GitHub\eaglep3-reporting\EC\2017-01-06-refined-times.txt</v>
      </c>
      <c r="AI82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{"issue":{"subject":"","project_id":79,"tracker_id":40,"status_id":1,"priority_id":2,"assigned_to_id":23,"start_date":"2017-01-06","description":"","custom_fields":[{"id":1,"name":"Subdivision","value":"EC"},{"id":4,"name":"Milepost","value":"0.0143"},{"id":17,"name":"Train ID","value":"170-06"},{"id":16,"name":"Locomotive ID","value":"4010"},{"id":130,"name":"Impact","value":""},{"id":150,"name":"Time of Event (Mountain Time)","value":"13:51:36"},{"id":151,"name":"Denver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80" t="str">
        <f t="shared" si="43"/>
        <v>start /low /b %USERPROFILE%\Documents\GitHub\eaglep3\Utilities\DownloadLogsFromS3.py --loco 4010 --day 2017-01-06</v>
      </c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4" t="s">
        <v>561</v>
      </c>
      <c r="B83" s="7">
        <v>4003</v>
      </c>
      <c r="C83" s="22" t="s">
        <v>203</v>
      </c>
      <c r="D83" s="22" t="s">
        <v>708</v>
      </c>
      <c r="E83" s="13">
        <v>42741.516921296294</v>
      </c>
      <c r="F83" s="13">
        <v>42741.521006944444</v>
      </c>
      <c r="G83" s="7">
        <v>1</v>
      </c>
      <c r="H83" s="22" t="s">
        <v>414</v>
      </c>
      <c r="I83" s="13">
        <v>42741.545636574076</v>
      </c>
      <c r="J83" s="7">
        <v>0</v>
      </c>
      <c r="K83" s="105" t="str">
        <f t="shared" si="28"/>
        <v>4003/4004</v>
      </c>
      <c r="L83" s="22" t="str">
        <f>VLOOKUP(A83,'Trips&amp;Operators'!$C$1:$G$99999,5,FALSE)</f>
        <v>BRANNON JEFFREY</v>
      </c>
      <c r="M83" s="6">
        <f t="shared" si="29"/>
        <v>2.4629629631817807E-2</v>
      </c>
      <c r="N83" s="7">
        <f t="shared" si="26"/>
        <v>35.466666669817641</v>
      </c>
      <c r="O83" s="7"/>
      <c r="P83" s="7"/>
      <c r="Q83" s="23"/>
      <c r="R83" s="23"/>
      <c r="S83" s="32">
        <f t="shared" si="27"/>
        <v>1</v>
      </c>
      <c r="T83" s="47" t="str">
        <f t="shared" si="30"/>
        <v>NorthBound</v>
      </c>
      <c r="U83" s="16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11:24:22-700',mode:absolute,to:'2017-01-06 14:05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83" s="49" t="str">
        <f t="shared" si="32"/>
        <v>N</v>
      </c>
      <c r="X83" s="173">
        <f t="shared" si="33"/>
        <v>1</v>
      </c>
      <c r="Y83" s="64">
        <f t="shared" si="34"/>
        <v>4.82E-2</v>
      </c>
      <c r="Z83" s="64">
        <f t="shared" si="35"/>
        <v>23.331600000000002</v>
      </c>
      <c r="AA83" s="64">
        <f t="shared" si="36"/>
        <v>23.2834</v>
      </c>
      <c r="AB83" s="61"/>
      <c r="AC83" s="57"/>
      <c r="AD83" s="58" t="str">
        <f t="shared" si="37"/>
        <v>0171-06</v>
      </c>
      <c r="AE83" s="87" t="str">
        <f t="shared" si="38"/>
        <v>aws s3 cp s3://rtdc.mdm.uploadarchive.raw/RTDC4003/ "%USERPROFILE%\AppData\Local\Temp\OnboardLogs"\RTDC4003\2017-01-06 --exclude "*" --recursive --include "*20170106*" &amp; "%USERPROFILE%\Documents\GitHub\mrs-test-scripts\Headless Mode &amp; Sideloading\WalkAndUnGZ.bat" "%USERPROFILE%\AppData\Local\Temp\OnboardLogs"\RTDC4003\2017-01-06 &amp; 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</v>
      </c>
      <c r="AF83" s="84" t="str">
        <f t="shared" si="39"/>
        <v>"C:\Program Files (x86)\AstroGrep\AstroGrep.exe" /spath="%USERPROFILE%\AppData\Local\Temp\OnboardLogs" /stypes="app*4003*20170106*" /stext=" 20:.+((SYSTEM_STATE.+slice.+state.+changed )|(ment ac)|(multiple cpu faults)|(system.+state.+changed )|(\[timeout)|(PRM\|1\|D)|(kpr)|(kdp)|(\|lc)|(penalty))" /e /r /s</v>
      </c>
      <c r="AG83" s="1" t="str">
        <f t="shared" si="40"/>
        <v>EC</v>
      </c>
      <c r="AH83" s="88" t="str">
        <f t="shared" si="41"/>
        <v>"%USERPROFILE%\Documents\GitHub\eaglep3\Utilities\RefineRTDCRunTimes.py" --tripid 171-06 --locoid 4003 --swversion DE.1.0.8.0 --startMP 204:482 --initTime 2017-01-06T12:24:22 --startdatetime 2017-01-06T12:30:15 --delay 1 --endMP 204:233316 --enddatetime 2017-01-06T13:05:43 --enforcementcount 0 &gt;&gt;C:\Users\stu\Documents\GitHub\eaglep3-reporting\EC\2017-01-06-refined-times.txt</v>
      </c>
      <c r="AI83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{"issue":{"subject":"","project_id":79,"tracker_id":40,"status_id":1,"priority_id":2,"assigned_to_id":23,"start_date":"2017-01-06","description":"","custom_fields":[{"id":1,"name":"Subdivision","value":"EC"},{"id":4,"name":"Milepost","value":"23.3316"},{"id":17,"name":"Train ID","value":"171-06"},{"id":16,"name":"Locomotive ID","value":"4003"},{"id":130,"name":"Impact","value":""},{"id":150,"name":"Time of Event (Mountain Time)","value":"13:05:43"},{"id":151,"name":"Denver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80" t="str">
        <f t="shared" si="43"/>
        <v>start /low /b %USERPROFILE%\Documents\GitHub\eaglep3\Utilities\DownloadLogsFromS3.py --loco 4003 --day 2017-01-06</v>
      </c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4" t="s">
        <v>566</v>
      </c>
      <c r="B84" s="7">
        <v>4004</v>
      </c>
      <c r="C84" s="22" t="s">
        <v>203</v>
      </c>
      <c r="D84" s="22" t="s">
        <v>697</v>
      </c>
      <c r="E84" s="13">
        <v>42741.547384259262</v>
      </c>
      <c r="F84" s="13">
        <v>42741.559895833336</v>
      </c>
      <c r="G84" s="7">
        <v>1</v>
      </c>
      <c r="H84" s="22" t="s">
        <v>339</v>
      </c>
      <c r="I84" s="13">
        <v>42741.586782407408</v>
      </c>
      <c r="J84" s="7">
        <v>0</v>
      </c>
      <c r="K84" s="105" t="str">
        <f t="shared" si="28"/>
        <v>4003/4004</v>
      </c>
      <c r="L84" s="22" t="str">
        <f>VLOOKUP(A84,'Trips&amp;Operators'!$C$1:$G$99999,5,FALSE)</f>
        <v>BRANNON JEFFREY</v>
      </c>
      <c r="M84" s="6">
        <f t="shared" si="29"/>
        <v>2.6886574072705116E-2</v>
      </c>
      <c r="N84" s="7">
        <f t="shared" si="26"/>
        <v>38.716666664695367</v>
      </c>
      <c r="O84" s="7"/>
      <c r="P84" s="7"/>
      <c r="Q84" s="23"/>
      <c r="R84" s="23"/>
      <c r="S84" s="32">
        <f t="shared" si="27"/>
        <v>1</v>
      </c>
      <c r="T84" s="47" t="str">
        <f t="shared" si="30"/>
        <v>Southbound</v>
      </c>
      <c r="U84" s="16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12:08:14-700',mode:absolute,to:'2017-01-06 15:04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84" s="49" t="str">
        <f t="shared" si="32"/>
        <v>N</v>
      </c>
      <c r="X84" s="173">
        <f t="shared" si="33"/>
        <v>1</v>
      </c>
      <c r="Y84" s="64">
        <f t="shared" si="34"/>
        <v>23.297999999999998</v>
      </c>
      <c r="Z84" s="64">
        <f t="shared" si="35"/>
        <v>1.34E-2</v>
      </c>
      <c r="AA84" s="64">
        <f t="shared" si="36"/>
        <v>23.284599999999998</v>
      </c>
      <c r="AB84" s="61"/>
      <c r="AC84" s="57"/>
      <c r="AD84" s="58" t="str">
        <f t="shared" si="37"/>
        <v>0172-06</v>
      </c>
      <c r="AE84" s="87" t="str">
        <f t="shared" si="38"/>
        <v>aws s3 cp s3://rtdc.mdm.uploadarchive.raw/RTDC4004/ "%USERPROFILE%\AppData\Local\Temp\OnboardLogs"\RTDC4004\2017-01-06 --exclude "*" --recursive --include "*20170106*" &amp; "%USERPROFILE%\Documents\GitHub\mrs-test-scripts\Headless Mode &amp; Sideloading\WalkAndUnGZ.bat" "%USERPROFILE%\AppData\Local\Temp\OnboardLogs"\RTDC4004\2017-01-06 &amp; aws s3 cp s3://rtdc.mdm.uploadarchive.raw/RTDC4004/ "%USERPROFILE%\AppData\Local\Temp\OnboardLogs"\RTDC4004\2017-01-07 --exclude "*" --recursive --include "*20170107*" &amp; "%USERPROFILE%\Documents\GitHub\mrs-test-scripts\Headless Mode &amp; Sideloading\WalkAndUnGZ.bat" "%USERPROFILE%\AppData\Local\Temp\OnboardLogs"\RTDC4004\2017-01-07</v>
      </c>
      <c r="AF84" s="84" t="str">
        <f t="shared" si="39"/>
        <v>"C:\Program Files (x86)\AstroGrep\AstroGrep.exe" /spath="%USERPROFILE%\AppData\Local\Temp\OnboardLogs" /stypes="app*4004*20170106*" /stext=" 21:.+((SYSTEM_STATE.+slice.+state.+changed )|(ment ac)|(multiple cpu faults)|(system.+state.+changed )|(\[timeout)|(PRM\|1\|D)|(kpr)|(kdp)|(\|lc)|(penalty))" /e /r /s</v>
      </c>
      <c r="AG84" s="1" t="str">
        <f t="shared" si="40"/>
        <v>EC</v>
      </c>
      <c r="AH84" s="88" t="str">
        <f t="shared" si="41"/>
        <v>"%USERPROFILE%\Documents\GitHub\eaglep3\Utilities\RefineRTDCRunTimes.py" --tripid 172-06 --locoid 4004 --swversion DE.1.0.8.0 --startMP 204:232980 --initTime 2017-01-06T13:08:14 --startdatetime 2017-01-06T13:26:15 --delay 1 --endMP 204:134 --enddatetime 2017-01-06T14:04:58 --enforcementcount 0 &gt;&gt;C:\Users\stu\Documents\GitHub\eaglep3-reporting\EC\2017-01-06-refined-times.txt</v>
      </c>
      <c r="AI84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{"issue":{"subject":"","project_id":79,"tracker_id":40,"status_id":1,"priority_id":2,"assigned_to_id":23,"start_date":"2017-01-06","description":"","custom_fields":[{"id":1,"name":"Subdivision","value":"EC"},{"id":4,"name":"Milepost","value":"0.0134"},{"id":17,"name":"Train ID","value":"172-06"},{"id":16,"name":"Locomotive ID","value":"4004"},{"id":130,"name":"Impact","value":""},{"id":150,"name":"Time of Event (Mountain Time)","value":"14:04:58"},{"id":151,"name":"Denver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80" t="str">
        <f t="shared" si="43"/>
        <v>start /low /b %USERPROFILE%\Documents\GitHub\eaglep3\Utilities\DownloadLogsFromS3.py --loco 4004 --day 2017-01-06</v>
      </c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4" t="s">
        <v>456</v>
      </c>
      <c r="B85" s="7">
        <v>4027</v>
      </c>
      <c r="C85" s="22" t="s">
        <v>203</v>
      </c>
      <c r="D85" s="22" t="s">
        <v>298</v>
      </c>
      <c r="E85" s="13">
        <v>42741.528090277781</v>
      </c>
      <c r="F85" s="13">
        <v>42741.531597222223</v>
      </c>
      <c r="G85" s="7">
        <v>1</v>
      </c>
      <c r="H85" s="22" t="s">
        <v>404</v>
      </c>
      <c r="I85" s="13">
        <v>42741.557939814818</v>
      </c>
      <c r="J85" s="7">
        <v>0</v>
      </c>
      <c r="K85" s="105" t="str">
        <f t="shared" si="28"/>
        <v>4027/4028</v>
      </c>
      <c r="L85" s="22" t="str">
        <f>VLOOKUP(A85,'Trips&amp;Operators'!$C$1:$G$99999,5,FALSE)</f>
        <v>STEWART MICHAEL</v>
      </c>
      <c r="M85" s="6">
        <f t="shared" si="29"/>
        <v>2.6342592595028691E-2</v>
      </c>
      <c r="N85" s="7">
        <f t="shared" si="26"/>
        <v>37.933333336841315</v>
      </c>
      <c r="O85" s="7"/>
      <c r="P85" s="7"/>
      <c r="Q85" s="23"/>
      <c r="R85" s="23"/>
      <c r="S85" s="32">
        <f t="shared" si="27"/>
        <v>1</v>
      </c>
      <c r="T85" s="47" t="str">
        <f t="shared" si="30"/>
        <v>NorthBound</v>
      </c>
      <c r="U85" s="16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11:40:27-700',mode:absolute,to:'2017-01-06 14:23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85" s="49" t="str">
        <f t="shared" si="32"/>
        <v>N</v>
      </c>
      <c r="X85" s="173">
        <f t="shared" si="33"/>
        <v>1</v>
      </c>
      <c r="Y85" s="64">
        <f t="shared" si="34"/>
        <v>4.7800000000000002E-2</v>
      </c>
      <c r="Z85" s="64">
        <f t="shared" si="35"/>
        <v>23.3293</v>
      </c>
      <c r="AA85" s="64">
        <f t="shared" si="36"/>
        <v>23.281500000000001</v>
      </c>
      <c r="AB85" s="61"/>
      <c r="AC85" s="57"/>
      <c r="AD85" s="58" t="str">
        <f t="shared" si="37"/>
        <v>0173-06</v>
      </c>
      <c r="AE85" s="87" t="str">
        <f t="shared" si="38"/>
        <v>aws s3 cp s3://rtdc.mdm.uploadarchive.raw/RTDC4027/ "%USERPROFILE%\AppData\Local\Temp\OnboardLogs"\RTDC4027\2017-01-06 --exclude "*" --recursive --include "*20170106*" &amp; "%USERPROFILE%\Documents\GitHub\mrs-test-scripts\Headless Mode &amp; Sideloading\WalkAndUnGZ.bat" "%USERPROFILE%\AppData\Local\Temp\OnboardLogs"\RTDC4027\2017-01-06 &amp; aws s3 cp s3://rtdc.mdm.uploadarchive.raw/RTDC4027/ "%USERPROFILE%\AppData\Local\Temp\OnboardLogs"\RTDC4027\2017-01-07 --exclude "*" --recursive --include "*20170107*" &amp; "%USERPROFILE%\Documents\GitHub\mrs-test-scripts\Headless Mode &amp; Sideloading\WalkAndUnGZ.bat" "%USERPROFILE%\AppData\Local\Temp\OnboardLogs"\RTDC4027\2017-01-07</v>
      </c>
      <c r="AF85" s="84" t="str">
        <f t="shared" si="39"/>
        <v>"C:\Program Files (x86)\AstroGrep\AstroGrep.exe" /spath="%USERPROFILE%\AppData\Local\Temp\OnboardLogs" /stypes="app*4027*20170106*" /stext=" 20:.+((SYSTEM_STATE.+slice.+state.+changed )|(ment ac)|(multiple cpu faults)|(system.+state.+changed )|(\[timeout)|(PRM\|1\|D)|(kpr)|(kdp)|(\|lc)|(penalty))" /e /r /s</v>
      </c>
      <c r="AG85" s="1" t="str">
        <f t="shared" si="40"/>
        <v>EC</v>
      </c>
      <c r="AH85" s="88" t="str">
        <f t="shared" si="41"/>
        <v>"%USERPROFILE%\Documents\GitHub\eaglep3\Utilities\RefineRTDCRunTimes.py" --tripid 173-06 --locoid 4027 --swversion DE.1.0.8.0 --startMP 204:478 --initTime 2017-01-06T12:40:27 --startdatetime 2017-01-06T12:45:30 --delay 1 --endMP 204:233293 --enddatetime 2017-01-06T13:23:26 --enforcementcount 0 &gt;&gt;C:\Users\stu\Documents\GitHub\eaglep3-reporting\EC\2017-01-06-refined-times.txt</v>
      </c>
      <c r="AI85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{"issue":{"subject":"","project_id":79,"tracker_id":40,"status_id":1,"priority_id":2,"assigned_to_id":23,"start_date":"2017-01-06","description":"","custom_fields":[{"id":1,"name":"Subdivision","value":"EC"},{"id":4,"name":"Milepost","value":"23.3293"},{"id":17,"name":"Train ID","value":"173-06"},{"id":16,"name":"Locomotive ID","value":"4027"},{"id":130,"name":"Impact","value":""},{"id":150,"name":"Time of Event (Mountain Time)","value":"13:23:26"},{"id":151,"name":"Denver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80" t="str">
        <f t="shared" si="43"/>
        <v>start /low /b %USERPROFILE%\Documents\GitHub\eaglep3\Utilities\DownloadLogsFromS3.py --loco 4027 --day 2017-01-06</v>
      </c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1" customFormat="1" x14ac:dyDescent="0.25">
      <c r="A86" s="34" t="s">
        <v>457</v>
      </c>
      <c r="B86" s="7">
        <v>4028</v>
      </c>
      <c r="C86" s="22" t="s">
        <v>203</v>
      </c>
      <c r="D86" s="22" t="s">
        <v>418</v>
      </c>
      <c r="E86" s="13">
        <v>42741.568819444445</v>
      </c>
      <c r="F86" s="13">
        <v>42741.570486111108</v>
      </c>
      <c r="G86" s="7">
        <v>1</v>
      </c>
      <c r="H86" s="22" t="s">
        <v>709</v>
      </c>
      <c r="I86" s="13">
        <v>42741.597337962965</v>
      </c>
      <c r="J86" s="7">
        <v>0</v>
      </c>
      <c r="K86" s="105" t="str">
        <f t="shared" si="28"/>
        <v>4027/4028</v>
      </c>
      <c r="L86" s="22" t="str">
        <f>VLOOKUP(A86,'Trips&amp;Operators'!$C$1:$G$99999,5,FALSE)</f>
        <v>STEWART MICHAEL</v>
      </c>
      <c r="M86" s="6">
        <f t="shared" si="29"/>
        <v>2.6851851856918074E-2</v>
      </c>
      <c r="N86" s="7">
        <f t="shared" si="26"/>
        <v>38.666666673962027</v>
      </c>
      <c r="O86" s="7"/>
      <c r="P86" s="7"/>
      <c r="Q86" s="23"/>
      <c r="R86" s="23"/>
      <c r="S86" s="32">
        <f t="shared" si="27"/>
        <v>1</v>
      </c>
      <c r="T86" s="47" t="str">
        <f t="shared" si="30"/>
        <v>Southbound</v>
      </c>
      <c r="U86" s="16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12:39:06-700',mode:absolute,to:'2017-01-06 15:20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86" s="49" t="str">
        <f t="shared" si="32"/>
        <v>N</v>
      </c>
      <c r="X86" s="173">
        <f t="shared" si="33"/>
        <v>1</v>
      </c>
      <c r="Y86" s="64">
        <f t="shared" si="34"/>
        <v>23.2974</v>
      </c>
      <c r="Z86" s="64">
        <f t="shared" si="35"/>
        <v>1.6299999999999999E-2</v>
      </c>
      <c r="AA86" s="64">
        <f t="shared" si="36"/>
        <v>23.281099999999999</v>
      </c>
      <c r="AB86" s="61"/>
      <c r="AC86" s="57"/>
      <c r="AD86" s="58" t="str">
        <f t="shared" si="37"/>
        <v>0174-06</v>
      </c>
      <c r="AE86" s="87" t="str">
        <f t="shared" si="38"/>
        <v>aws s3 cp s3://rtdc.mdm.uploadarchive.raw/RTDC4028/ "%USERPROFILE%\AppData\Local\Temp\OnboardLogs"\RTDC4028\2017-01-06 --exclude "*" --recursive --include "*20170106*" &amp; "%USERPROFILE%\Documents\GitHub\mrs-test-scripts\Headless Mode &amp; Sideloading\WalkAndUnGZ.bat" "%USERPROFILE%\AppData\Local\Temp\OnboardLogs"\RTDC4028\2017-01-06 &amp; aws s3 cp s3://rtdc.mdm.uploadarchive.raw/RTDC4028/ "%USERPROFILE%\AppData\Local\Temp\OnboardLogs"\RTDC4028\2017-01-07 --exclude "*" --recursive --include "*20170107*" &amp; "%USERPROFILE%\Documents\GitHub\mrs-test-scripts\Headless Mode &amp; Sideloading\WalkAndUnGZ.bat" "%USERPROFILE%\AppData\Local\Temp\OnboardLogs"\RTDC4028\2017-01-07</v>
      </c>
      <c r="AF86" s="84" t="str">
        <f t="shared" si="39"/>
        <v>"C:\Program Files (x86)\AstroGrep\AstroGrep.exe" /spath="%USERPROFILE%\AppData\Local\Temp\OnboardLogs" /stypes="app*4028*20170106*" /stext=" 21:.+((SYSTEM_STATE.+slice.+state.+changed )|(ment ac)|(multiple cpu faults)|(system.+state.+changed )|(\[timeout)|(PRM\|1\|D)|(kpr)|(kdp)|(\|lc)|(penalty))" /e /r /s</v>
      </c>
      <c r="AG86" s="1" t="str">
        <f t="shared" si="40"/>
        <v>EC</v>
      </c>
      <c r="AH86" s="88" t="str">
        <f t="shared" si="41"/>
        <v>"%USERPROFILE%\Documents\GitHub\eaglep3\Utilities\RefineRTDCRunTimes.py" --tripid 174-06 --locoid 4028 --swversion DE.1.0.8.0 --startMP 204:232974 --initTime 2017-01-06T13:39:06 --startdatetime 2017-01-06T13:41:30 --delay 1 --endMP 204:163 --enddatetime 2017-01-06T14:20:10 --enforcementcount 0 &gt;&gt;C:\Users\stu\Documents\GitHub\eaglep3-reporting\EC\2017-01-06-refined-times.txt</v>
      </c>
      <c r="AI86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{"issue":{"subject":"","project_id":79,"tracker_id":40,"status_id":1,"priority_id":2,"assigned_to_id":23,"start_date":"2017-01-06","description":"","custom_fields":[{"id":1,"name":"Subdivision","value":"EC"},{"id":4,"name":"Milepost","value":"0.0163"},{"id":17,"name":"Train ID","value":"174-06"},{"id":16,"name":"Locomotive ID","value":"4028"},{"id":130,"name":"Impact","value":""},{"id":150,"name":"Time of Event (Mountain Time)","value":"14:20:10"},{"id":151,"name":"Denver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80" t="str">
        <f t="shared" si="43"/>
        <v>start /low /b %USERPROFILE%\Documents\GitHub\eaglep3\Utilities\DownloadLogsFromS3.py --loco 4028 --day 2017-01-06</v>
      </c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1" customFormat="1" x14ac:dyDescent="0.25">
      <c r="A87" s="34" t="s">
        <v>564</v>
      </c>
      <c r="B87" s="7">
        <v>4018</v>
      </c>
      <c r="C87" s="22" t="s">
        <v>203</v>
      </c>
      <c r="D87" s="22" t="s">
        <v>224</v>
      </c>
      <c r="E87" s="13">
        <v>42741.538171296299</v>
      </c>
      <c r="F87" s="13">
        <v>42741.541909722226</v>
      </c>
      <c r="G87" s="7">
        <v>1</v>
      </c>
      <c r="H87" s="22" t="s">
        <v>340</v>
      </c>
      <c r="I87" s="13">
        <v>42741.567523148151</v>
      </c>
      <c r="J87" s="7">
        <v>0</v>
      </c>
      <c r="K87" s="105" t="str">
        <f t="shared" si="28"/>
        <v>4017/4018</v>
      </c>
      <c r="L87" s="22" t="str">
        <f>VLOOKUP(A87,'Trips&amp;Operators'!$C$1:$G$99999,5,FALSE)</f>
        <v>DELGADO DIANAH</v>
      </c>
      <c r="M87" s="6">
        <f t="shared" si="29"/>
        <v>2.5613425925257616E-2</v>
      </c>
      <c r="N87" s="7">
        <f t="shared" si="26"/>
        <v>36.883333332370967</v>
      </c>
      <c r="O87" s="7"/>
      <c r="P87" s="7"/>
      <c r="Q87" s="23"/>
      <c r="R87" s="23"/>
      <c r="S87" s="32">
        <f t="shared" si="27"/>
        <v>1</v>
      </c>
      <c r="T87" s="47" t="str">
        <f t="shared" si="30"/>
        <v>NorthBound</v>
      </c>
      <c r="U87" s="16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11:54:58-700',mode:absolute,to:'2017-01-06 14:37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87" s="49" t="str">
        <f t="shared" si="32"/>
        <v>N</v>
      </c>
      <c r="X87" s="173">
        <f t="shared" si="33"/>
        <v>1</v>
      </c>
      <c r="Y87" s="64">
        <f t="shared" si="34"/>
        <v>4.5499999999999999E-2</v>
      </c>
      <c r="Z87" s="64">
        <f t="shared" si="35"/>
        <v>23.331099999999999</v>
      </c>
      <c r="AA87" s="64">
        <f t="shared" si="36"/>
        <v>23.285599999999999</v>
      </c>
      <c r="AB87" s="61"/>
      <c r="AC87" s="57"/>
      <c r="AD87" s="58" t="str">
        <f t="shared" si="37"/>
        <v>0175-06</v>
      </c>
      <c r="AE87" s="87" t="str">
        <f t="shared" si="38"/>
        <v>aws s3 cp s3://rtdc.mdm.uploadarchive.raw/RTDC4018/ "%USERPROFILE%\AppData\Local\Temp\OnboardLogs"\RTDC4018\2017-01-06 --exclude "*" --recursive --include "*20170106*" &amp; "%USERPROFILE%\Documents\GitHub\mrs-test-scripts\Headless Mode &amp; Sideloading\WalkAndUnGZ.bat" "%USERPROFILE%\AppData\Local\Temp\OnboardLogs"\RTDC4018\2017-01-06 &amp; aws s3 cp s3://rtdc.mdm.uploadarchive.raw/RTDC4018/ "%USERPROFILE%\AppData\Local\Temp\OnboardLogs"\RTDC4018\2017-01-07 --exclude "*" --recursive --include "*20170107*" &amp; "%USERPROFILE%\Documents\GitHub\mrs-test-scripts\Headless Mode &amp; Sideloading\WalkAndUnGZ.bat" "%USERPROFILE%\AppData\Local\Temp\OnboardLogs"\RTDC4018\2017-01-07</v>
      </c>
      <c r="AF87" s="84" t="str">
        <f t="shared" si="39"/>
        <v>"C:\Program Files (x86)\AstroGrep\AstroGrep.exe" /spath="%USERPROFILE%\AppData\Local\Temp\OnboardLogs" /stypes="app*4018*20170106*" /stext=" 20:.+((SYSTEM_STATE.+slice.+state.+changed )|(ment ac)|(multiple cpu faults)|(system.+state.+changed )|(\[timeout)|(PRM\|1\|D)|(kpr)|(kdp)|(\|lc)|(penalty))" /e /r /s</v>
      </c>
      <c r="AG87" s="1" t="str">
        <f t="shared" si="40"/>
        <v>EC</v>
      </c>
      <c r="AH87" s="88" t="str">
        <f t="shared" si="41"/>
        <v>"%USERPROFILE%\Documents\GitHub\eaglep3\Utilities\RefineRTDCRunTimes.py" --tripid 175-06 --locoid 4018 --swversion DE.1.0.8.0 --startMP 204:455 --initTime 2017-01-06T12:54:58 --startdatetime 2017-01-06T13:00:21 --delay 1 --endMP 204:233311 --enddatetime 2017-01-06T13:37:14 --enforcementcount 0 &gt;&gt;C:\Users\stu\Documents\GitHub\eaglep3-reporting\EC\2017-01-06-refined-times.txt</v>
      </c>
      <c r="AI87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{"issue":{"subject":"","project_id":79,"tracker_id":40,"status_id":1,"priority_id":2,"assigned_to_id":23,"start_date":"2017-01-06","description":"","custom_fields":[{"id":1,"name":"Subdivision","value":"EC"},{"id":4,"name":"Milepost","value":"23.3311"},{"id":17,"name":"Train ID","value":"175-06"},{"id":16,"name":"Locomotive ID","value":"4018"},{"id":130,"name":"Impact","value":""},{"id":150,"name":"Time of Event (Mountain Time)","value":"13:37:14"},{"id":151,"name":"Denver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80" t="str">
        <f t="shared" si="43"/>
        <v>start /low /b %USERPROFILE%\Documents\GitHub\eaglep3\Utilities\DownloadLogsFromS3.py --loco 4018 --day 2017-01-06</v>
      </c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1" customFormat="1" x14ac:dyDescent="0.25">
      <c r="A88" s="34" t="s">
        <v>570</v>
      </c>
      <c r="B88" s="7">
        <v>4017</v>
      </c>
      <c r="C88" s="22" t="s">
        <v>203</v>
      </c>
      <c r="D88" s="22" t="s">
        <v>280</v>
      </c>
      <c r="E88" s="13">
        <v>42741.573831018519</v>
      </c>
      <c r="F88" s="13">
        <v>42741.580763888887</v>
      </c>
      <c r="G88" s="7">
        <v>7</v>
      </c>
      <c r="H88" s="22" t="s">
        <v>287</v>
      </c>
      <c r="I88" s="13">
        <v>42741.608402777776</v>
      </c>
      <c r="J88" s="7">
        <v>0</v>
      </c>
      <c r="K88" s="105" t="str">
        <f t="shared" si="28"/>
        <v>4017/4018</v>
      </c>
      <c r="L88" s="22" t="str">
        <f>VLOOKUP(A88,'Trips&amp;Operators'!$C$1:$G$99999,5,FALSE)</f>
        <v>DELGADO DIANAH</v>
      </c>
      <c r="M88" s="6">
        <f t="shared" si="29"/>
        <v>2.7638888888759539E-2</v>
      </c>
      <c r="N88" s="7">
        <f t="shared" si="26"/>
        <v>39.799999999813735</v>
      </c>
      <c r="O88" s="7"/>
      <c r="P88" s="7"/>
      <c r="Q88" s="23"/>
      <c r="R88" s="23"/>
      <c r="S88" s="32">
        <f t="shared" si="27"/>
        <v>1</v>
      </c>
      <c r="T88" s="47" t="str">
        <f t="shared" si="30"/>
        <v>Southbound</v>
      </c>
      <c r="U88" s="16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12:46:19-700',mode:absolute,to:'2017-01-06 15:36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8" s="49" t="str">
        <f t="shared" si="32"/>
        <v>N</v>
      </c>
      <c r="X88" s="173">
        <f t="shared" si="33"/>
        <v>1</v>
      </c>
      <c r="Y88" s="64">
        <f t="shared" si="34"/>
        <v>23.298200000000001</v>
      </c>
      <c r="Z88" s="64">
        <f t="shared" si="35"/>
        <v>1.41E-2</v>
      </c>
      <c r="AA88" s="64">
        <f t="shared" si="36"/>
        <v>23.284100000000002</v>
      </c>
      <c r="AB88" s="61"/>
      <c r="AC88" s="57"/>
      <c r="AD88" s="58" t="str">
        <f t="shared" si="37"/>
        <v>0176-06</v>
      </c>
      <c r="AE88" s="87" t="str">
        <f t="shared" si="38"/>
        <v>aws s3 cp s3://rtdc.mdm.uploadarchive.raw/RTDC4017/ "%USERPROFILE%\AppData\Local\Temp\OnboardLogs"\RTDC4017\2017-01-06 --exclude "*" --recursive --include "*20170106*" &amp; "%USERPROFILE%\Documents\GitHub\mrs-test-scripts\Headless Mode &amp; Sideloading\WalkAndUnGZ.bat" "%USERPROFILE%\AppData\Local\Temp\OnboardLogs"\RTDC4017\2017-01-06 &amp; aws s3 cp s3://rtdc.mdm.uploadarchive.raw/RTDC4017/ "%USERPROFILE%\AppData\Local\Temp\OnboardLogs"\RTDC4017\2017-01-07 --exclude "*" --recursive --include "*20170107*" &amp; "%USERPROFILE%\Documents\GitHub\mrs-test-scripts\Headless Mode &amp; Sideloading\WalkAndUnGZ.bat" "%USERPROFILE%\AppData\Local\Temp\OnboardLogs"\RTDC4017\2017-01-07</v>
      </c>
      <c r="AF88" s="84" t="str">
        <f t="shared" si="39"/>
        <v>"C:\Program Files (x86)\AstroGrep\AstroGrep.exe" /spath="%USERPROFILE%\AppData\Local\Temp\OnboardLogs" /stypes="app*4017*20170106*" /stext=" 21:.+((SYSTEM_STATE.+slice.+state.+changed )|(ment ac)|(multiple cpu faults)|(system.+state.+changed )|(\[timeout)|(PRM\|1\|D)|(kpr)|(kdp)|(\|lc)|(penalty))" /e /r /s</v>
      </c>
      <c r="AG88" s="1" t="str">
        <f t="shared" si="40"/>
        <v>EC</v>
      </c>
      <c r="AH88" s="88" t="str">
        <f t="shared" si="41"/>
        <v>"%USERPROFILE%\Documents\GitHub\eaglep3\Utilities\RefineRTDCRunTimes.py" --tripid 176-06 --locoid 4017 --swversion DE.1.0.8.0 --startMP 204:232982 --initTime 2017-01-06T13:46:19 --startdatetime 2017-01-06T13:56:18 --delay 7 --endMP 204:141 --enddatetime 2017-01-06T14:36:06 --enforcementcount 0 &gt;&gt;C:\Users\stu\Documents\GitHub\eaglep3-reporting\EC\2017-01-06-refined-times.txt</v>
      </c>
      <c r="AI88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{"issue":{"subject":"","project_id":79,"tracker_id":40,"status_id":1,"priority_id":2,"assigned_to_id":23,"start_date":"2017-01-06","description":"","custom_fields":[{"id":1,"name":"Subdivision","value":"EC"},{"id":4,"name":"Milepost","value":"0.0141"},{"id":17,"name":"Train ID","value":"176-06"},{"id":16,"name":"Locomotive ID","value":"4017"},{"id":130,"name":"Impact","value":""},{"id":150,"name":"Time of Event (Mountain Time)","value":"14:36:06"},{"id":151,"name":"Denver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80" t="str">
        <f t="shared" si="43"/>
        <v>start /low /b %USERPROFILE%\Documents\GitHub\eaglep3\Utilities\DownloadLogsFromS3.py --loco 4017 --day 2017-01-06</v>
      </c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1" customFormat="1" x14ac:dyDescent="0.25">
      <c r="A89" s="34" t="s">
        <v>567</v>
      </c>
      <c r="B89" s="7">
        <v>4044</v>
      </c>
      <c r="C89" s="22" t="s">
        <v>203</v>
      </c>
      <c r="D89" s="22" t="s">
        <v>226</v>
      </c>
      <c r="E89" s="13">
        <v>42741.548414351855</v>
      </c>
      <c r="F89" s="13">
        <v>42741.552384259259</v>
      </c>
      <c r="G89" s="7">
        <v>1</v>
      </c>
      <c r="H89" s="22" t="s">
        <v>710</v>
      </c>
      <c r="I89" s="13">
        <v>42741.580428240741</v>
      </c>
      <c r="J89" s="7">
        <v>0</v>
      </c>
      <c r="K89" s="105" t="str">
        <f t="shared" si="28"/>
        <v>4043/4044</v>
      </c>
      <c r="L89" s="22" t="str">
        <f>VLOOKUP(A89,'Trips&amp;Operators'!$C$1:$G$99999,5,FALSE)</f>
        <v>CLARK KATHLEEN</v>
      </c>
      <c r="M89" s="6">
        <f t="shared" si="29"/>
        <v>2.8043981481459923E-2</v>
      </c>
      <c r="N89" s="7">
        <f t="shared" si="26"/>
        <v>40.383333333302289</v>
      </c>
      <c r="O89" s="7"/>
      <c r="P89" s="7"/>
      <c r="Q89" s="23"/>
      <c r="R89" s="23"/>
      <c r="S89" s="32">
        <f t="shared" si="27"/>
        <v>1</v>
      </c>
      <c r="T89" s="47" t="str">
        <f t="shared" si="30"/>
        <v>NorthBound</v>
      </c>
      <c r="U89" s="16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12:09:43-700',mode:absolute,to:'2017-01-06 14:55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9" s="49" t="str">
        <f t="shared" si="32"/>
        <v>N</v>
      </c>
      <c r="X89" s="173">
        <f t="shared" si="33"/>
        <v>1</v>
      </c>
      <c r="Y89" s="64">
        <f t="shared" si="34"/>
        <v>4.5999999999999999E-2</v>
      </c>
      <c r="Z89" s="64">
        <f t="shared" si="35"/>
        <v>23.328299999999999</v>
      </c>
      <c r="AA89" s="64">
        <f t="shared" si="36"/>
        <v>23.282299999999999</v>
      </c>
      <c r="AB89" s="61"/>
      <c r="AC89" s="57"/>
      <c r="AD89" s="58" t="str">
        <f t="shared" si="37"/>
        <v>0177-06</v>
      </c>
      <c r="AE89" s="87" t="str">
        <f t="shared" si="38"/>
        <v>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 &amp; aws s3 cp s3://rtdc.mdm.uploadarchive.raw/RTDC4044/ "%USERPROFILE%\AppData\Local\Temp\OnboardLogs"\RTDC4044\2017-01-07 --exclude "*" --recursive --include "*20170107*" &amp; "%USERPROFILE%\Documents\GitHub\mrs-test-scripts\Headless Mode &amp; Sideloading\WalkAndUnGZ.bat" "%USERPROFILE%\AppData\Local\Temp\OnboardLogs"\RTDC4044\2017-01-07</v>
      </c>
      <c r="AF89" s="84" t="str">
        <f t="shared" si="39"/>
        <v>"C:\Program Files (x86)\AstroGrep\AstroGrep.exe" /spath="%USERPROFILE%\AppData\Local\Temp\OnboardLogs" /stypes="app*4044*20170106*" /stext=" 20:.+((SYSTEM_STATE.+slice.+state.+changed )|(ment ac)|(multiple cpu faults)|(system.+state.+changed )|(\[timeout)|(PRM\|1\|D)|(kpr)|(kdp)|(\|lc)|(penalty))" /e /r /s</v>
      </c>
      <c r="AG89" s="1" t="str">
        <f t="shared" si="40"/>
        <v>EC</v>
      </c>
      <c r="AH89" s="88" t="str">
        <f t="shared" si="41"/>
        <v>"%USERPROFILE%\Documents\GitHub\eaglep3\Utilities\RefineRTDCRunTimes.py" --tripid 177-06 --locoid 4044 --swversion DE.1.0.8.0 --startMP 204:460 --initTime 2017-01-06T13:09:43 --startdatetime 2017-01-06T13:15:26 --delay 1 --endMP 204:233283 --enddatetime 2017-01-06T13:55:49 --enforcementcount 0 &gt;&gt;C:\Users\stu\Documents\GitHub\eaglep3-reporting\EC\2017-01-06-refined-times.txt</v>
      </c>
      <c r="AI89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{"issue":{"subject":"","project_id":79,"tracker_id":40,"status_id":1,"priority_id":2,"assigned_to_id":23,"start_date":"2017-01-06","description":"","custom_fields":[{"id":1,"name":"Subdivision","value":"EC"},{"id":4,"name":"Milepost","value":"23.3283"},{"id":17,"name":"Train ID","value":"177-06"},{"id":16,"name":"Locomotive ID","value":"4044"},{"id":130,"name":"Impact","value":""},{"id":150,"name":"Time of Event (Mountain Time)","value":"13:55:49"},{"id":151,"name":"Denver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80" t="str">
        <f t="shared" si="43"/>
        <v>start /low /b %USERPROFILE%\Documents\GitHub\eaglep3\Utilities\DownloadLogsFromS3.py --loco 4044 --day 2017-01-06</v>
      </c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4" t="s">
        <v>571</v>
      </c>
      <c r="B90" s="7">
        <v>4043</v>
      </c>
      <c r="C90" s="22" t="s">
        <v>203</v>
      </c>
      <c r="D90" s="22" t="s">
        <v>711</v>
      </c>
      <c r="E90" s="13">
        <v>42741.587094907409</v>
      </c>
      <c r="F90" s="13">
        <v>42741.591145833336</v>
      </c>
      <c r="G90" s="7">
        <v>1</v>
      </c>
      <c r="H90" s="22" t="s">
        <v>285</v>
      </c>
      <c r="I90" s="13">
        <v>42741.620023148149</v>
      </c>
      <c r="J90" s="7">
        <v>0</v>
      </c>
      <c r="K90" s="105" t="str">
        <f t="shared" si="28"/>
        <v>4043/4044</v>
      </c>
      <c r="L90" s="22" t="str">
        <f>VLOOKUP(A90,'Trips&amp;Operators'!$C$1:$G$99999,5,FALSE)</f>
        <v>CLARK KATHLEEN</v>
      </c>
      <c r="M90" s="6">
        <f t="shared" si="29"/>
        <v>2.8877314813144039E-2</v>
      </c>
      <c r="N90" s="7">
        <f t="shared" si="26"/>
        <v>41.583333330927417</v>
      </c>
      <c r="O90" s="7"/>
      <c r="P90" s="7"/>
      <c r="Q90" s="23"/>
      <c r="R90" s="23"/>
      <c r="S90" s="32">
        <f t="shared" si="27"/>
        <v>1</v>
      </c>
      <c r="T90" s="47" t="str">
        <f t="shared" si="30"/>
        <v>Southbound</v>
      </c>
      <c r="U90" s="16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13:05:25-700',mode:absolute,to:'2017-01-06 15:52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0" s="49" t="str">
        <f t="shared" si="32"/>
        <v>N</v>
      </c>
      <c r="X90" s="173">
        <f t="shared" si="33"/>
        <v>1</v>
      </c>
      <c r="Y90" s="64">
        <f t="shared" si="34"/>
        <v>23.298500000000001</v>
      </c>
      <c r="Z90" s="64">
        <f t="shared" si="35"/>
        <v>1.5800000000000002E-2</v>
      </c>
      <c r="AA90" s="64">
        <f t="shared" si="36"/>
        <v>23.282700000000002</v>
      </c>
      <c r="AB90" s="61"/>
      <c r="AC90" s="57"/>
      <c r="AD90" s="58" t="str">
        <f t="shared" si="37"/>
        <v>0178-06</v>
      </c>
      <c r="AE90" s="87" t="str">
        <f t="shared" si="38"/>
        <v>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 &amp; aws s3 cp s3://rtdc.mdm.uploadarchive.raw/RTDC4043/ "%USERPROFILE%\AppData\Local\Temp\OnboardLogs"\RTDC4043\2017-01-07 --exclude "*" --recursive --include "*20170107*" &amp; "%USERPROFILE%\Documents\GitHub\mrs-test-scripts\Headless Mode &amp; Sideloading\WalkAndUnGZ.bat" "%USERPROFILE%\AppData\Local\Temp\OnboardLogs"\RTDC4043\2017-01-07</v>
      </c>
      <c r="AF90" s="84" t="str">
        <f t="shared" si="39"/>
        <v>"C:\Program Files (x86)\AstroGrep\AstroGrep.exe" /spath="%USERPROFILE%\AppData\Local\Temp\OnboardLogs" /stypes="app*4043*20170106*" /stext=" 21:.+((SYSTEM_STATE.+slice.+state.+changed )|(ment ac)|(multiple cpu faults)|(system.+state.+changed )|(\[timeout)|(PRM\|1\|D)|(kpr)|(kdp)|(\|lc)|(penalty))" /e /r /s</v>
      </c>
      <c r="AG90" s="1" t="str">
        <f t="shared" si="40"/>
        <v>EC</v>
      </c>
      <c r="AH90" s="88" t="str">
        <f t="shared" si="41"/>
        <v>"%USERPROFILE%\Documents\GitHub\eaglep3\Utilities\RefineRTDCRunTimes.py" --tripid 178-06 --locoid 4043 --swversion DE.1.0.8.0 --startMP 204:232985 --initTime 2017-01-06T14:05:25 --startdatetime 2017-01-06T14:11:15 --delay 1 --endMP 204:158 --enddatetime 2017-01-06T14:52:50 --enforcementcount 0 &gt;&gt;C:\Users\stu\Documents\GitHub\eaglep3-reporting\EC\2017-01-06-refined-times.txt</v>
      </c>
      <c r="AI90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{"issue":{"subject":"","project_id":79,"tracker_id":40,"status_id":1,"priority_id":2,"assigned_to_id":23,"start_date":"2017-01-06","description":"","custom_fields":[{"id":1,"name":"Subdivision","value":"EC"},{"id":4,"name":"Milepost","value":"0.0158"},{"id":17,"name":"Train ID","value":"178-06"},{"id":16,"name":"Locomotive ID","value":"4043"},{"id":130,"name":"Impact","value":""},{"id":150,"name":"Time of Event (Mountain Time)","value":"14:52:50"},{"id":151,"name":"Denver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80" t="str">
        <f t="shared" si="43"/>
        <v>start /low /b %USERPROFILE%\Documents\GitHub\eaglep3\Utilities\DownloadLogsFromS3.py --loco 4043 --day 2017-01-06</v>
      </c>
    </row>
    <row r="91" spans="1:91" x14ac:dyDescent="0.25">
      <c r="A91" s="34" t="s">
        <v>568</v>
      </c>
      <c r="B91" s="7">
        <v>4002</v>
      </c>
      <c r="C91" s="22" t="s">
        <v>203</v>
      </c>
      <c r="D91" s="22" t="s">
        <v>413</v>
      </c>
      <c r="E91" s="13">
        <v>42741.55709490741</v>
      </c>
      <c r="F91" s="13">
        <v>42741.562696759262</v>
      </c>
      <c r="G91" s="7">
        <v>1</v>
      </c>
      <c r="H91" s="22" t="s">
        <v>404</v>
      </c>
      <c r="I91" s="13">
        <v>42741.587314814817</v>
      </c>
      <c r="J91" s="7">
        <v>0</v>
      </c>
      <c r="K91" s="105" t="str">
        <f t="shared" si="28"/>
        <v>4001/4002</v>
      </c>
      <c r="L91" s="22" t="str">
        <f>VLOOKUP(A91,'Trips&amp;Operators'!$C$1:$G$99999,5,FALSE)</f>
        <v>BRUDER RICHARD</v>
      </c>
      <c r="M91" s="6">
        <f t="shared" si="29"/>
        <v>2.4618055555038154E-2</v>
      </c>
      <c r="N91" s="7">
        <f t="shared" si="26"/>
        <v>35.449999999254942</v>
      </c>
      <c r="O91" s="7"/>
      <c r="P91" s="7"/>
      <c r="Q91" s="23"/>
      <c r="R91" s="23"/>
      <c r="S91" s="32">
        <f t="shared" si="27"/>
        <v>1</v>
      </c>
      <c r="T91" s="47" t="str">
        <f t="shared" si="30"/>
        <v>NorthBound</v>
      </c>
      <c r="U91" s="16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12:22:13-700',mode:absolute,to:'2017-01-06 15:05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91" s="49" t="str">
        <f t="shared" si="32"/>
        <v>N</v>
      </c>
      <c r="X91" s="173">
        <f t="shared" si="33"/>
        <v>1</v>
      </c>
      <c r="Y91" s="64">
        <f t="shared" si="34"/>
        <v>4.3299999999999998E-2</v>
      </c>
      <c r="Z91" s="64">
        <f t="shared" si="35"/>
        <v>23.3293</v>
      </c>
      <c r="AA91" s="64">
        <f t="shared" si="36"/>
        <v>23.286000000000001</v>
      </c>
      <c r="AB91" s="61"/>
      <c r="AC91" s="57"/>
      <c r="AD91" s="58" t="str">
        <f t="shared" si="37"/>
        <v>0179-06</v>
      </c>
      <c r="AE91" s="87" t="str">
        <f t="shared" si="38"/>
        <v>aws s3 cp s3://rtdc.mdm.uploadarchive.raw/RTDC4002/ "%USERPROFILE%\AppData\Local\Temp\OnboardLogs"\RTDC4002\2017-01-06 --exclude "*" --recursive --include "*20170106*" &amp; "%USERPROFILE%\Documents\GitHub\mrs-test-scripts\Headless Mode &amp; Sideloading\WalkAndUnGZ.bat" "%USERPROFILE%\AppData\Local\Temp\OnboardLogs"\RTDC4002\2017-01-06 &amp; aws s3 cp s3://rtdc.mdm.uploadarchive.raw/RTDC4002/ "%USERPROFILE%\AppData\Local\Temp\OnboardLogs"\RTDC4002\2017-01-07 --exclude "*" --recursive --include "*20170107*" &amp; "%USERPROFILE%\Documents\GitHub\mrs-test-scripts\Headless Mode &amp; Sideloading\WalkAndUnGZ.bat" "%USERPROFILE%\AppData\Local\Temp\OnboardLogs"\RTDC4002\2017-01-07</v>
      </c>
      <c r="AF91" s="84" t="str">
        <f t="shared" si="39"/>
        <v>"C:\Program Files (x86)\AstroGrep\AstroGrep.exe" /spath="%USERPROFILE%\AppData\Local\Temp\OnboardLogs" /stypes="app*4002*20170106*" /stext=" 21:.+((SYSTEM_STATE.+slice.+state.+changed )|(ment ac)|(multiple cpu faults)|(system.+state.+changed )|(\[timeout)|(PRM\|1\|D)|(kpr)|(kdp)|(\|lc)|(penalty))" /e /r /s</v>
      </c>
      <c r="AG91" s="1" t="str">
        <f t="shared" si="40"/>
        <v>EC</v>
      </c>
      <c r="AH91" s="88" t="str">
        <f t="shared" si="41"/>
        <v>"%USERPROFILE%\Documents\GitHub\eaglep3\Utilities\RefineRTDCRunTimes.py" --tripid 179-06 --locoid 4002 --swversion DE.1.0.8.0 --startMP 204:433 --initTime 2017-01-06T13:22:13 --startdatetime 2017-01-06T13:30:17 --delay 1 --endMP 204:233293 --enddatetime 2017-01-06T14:05:44 --enforcementcount 0 &gt;&gt;C:\Users\stu\Documents\GitHub\eaglep3-reporting\EC\2017-01-06-refined-times.txt</v>
      </c>
      <c r="AI91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{"issue":{"subject":"","project_id":79,"tracker_id":40,"status_id":1,"priority_id":2,"assigned_to_id":23,"start_date":"2017-01-06","description":"","custom_fields":[{"id":1,"name":"Subdivision","value":"EC"},{"id":4,"name":"Milepost","value":"23.3293"},{"id":17,"name":"Train ID","value":"179-06"},{"id":16,"name":"Locomotive ID","value":"4002"},{"id":130,"name":"Impact","value":""},{"id":150,"name":"Time of Event (Mountain Time)","value":"14:05:44"},{"id":151,"name":"Denver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80" t="str">
        <f t="shared" si="43"/>
        <v>start /low /b %USERPROFILE%\Documents\GitHub\eaglep3\Utilities\DownloadLogsFromS3.py --loco 4002 --day 2017-01-06</v>
      </c>
    </row>
    <row r="92" spans="1:91" x14ac:dyDescent="0.25">
      <c r="A92" s="34" t="s">
        <v>573</v>
      </c>
      <c r="B92" s="7">
        <v>4001</v>
      </c>
      <c r="C92" s="22" t="s">
        <v>203</v>
      </c>
      <c r="D92" s="22" t="s">
        <v>415</v>
      </c>
      <c r="E92" s="13">
        <v>42741.595127314817</v>
      </c>
      <c r="F92" s="13">
        <v>42741.601550925923</v>
      </c>
      <c r="G92" s="7">
        <v>1</v>
      </c>
      <c r="H92" s="22" t="s">
        <v>192</v>
      </c>
      <c r="I92" s="13">
        <v>42741.635405092595</v>
      </c>
      <c r="J92" s="7">
        <v>0</v>
      </c>
      <c r="K92" s="105" t="str">
        <f t="shared" si="28"/>
        <v>4001/4002</v>
      </c>
      <c r="L92" s="22" t="str">
        <f>VLOOKUP(A92,'Trips&amp;Operators'!$C$1:$G$99999,5,FALSE)</f>
        <v>BRUDER RICHARD</v>
      </c>
      <c r="M92" s="6">
        <f t="shared" si="29"/>
        <v>3.3854166671517305E-2</v>
      </c>
      <c r="N92" s="7">
        <f t="shared" si="26"/>
        <v>48.750000006984919</v>
      </c>
      <c r="O92" s="7"/>
      <c r="P92" s="7"/>
      <c r="Q92" s="23"/>
      <c r="R92" s="23"/>
      <c r="S92" s="32">
        <f t="shared" si="27"/>
        <v>1</v>
      </c>
      <c r="T92" s="47" t="str">
        <f t="shared" si="30"/>
        <v>Southbound</v>
      </c>
      <c r="U92" s="16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13:16:59-700',mode:absolute,to:'2017-01-06 16:14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92" s="49" t="str">
        <f t="shared" si="32"/>
        <v>N</v>
      </c>
      <c r="X92" s="173">
        <f t="shared" si="33"/>
        <v>1</v>
      </c>
      <c r="Y92" s="64">
        <f t="shared" si="34"/>
        <v>23.297499999999999</v>
      </c>
      <c r="Z92" s="64">
        <f t="shared" si="35"/>
        <v>1.43E-2</v>
      </c>
      <c r="AA92" s="64">
        <f t="shared" si="36"/>
        <v>23.283200000000001</v>
      </c>
      <c r="AB92" s="61"/>
      <c r="AC92" s="57"/>
      <c r="AD92" s="58" t="str">
        <f t="shared" si="37"/>
        <v>0180-06</v>
      </c>
      <c r="AE92" s="87" t="str">
        <f t="shared" si="38"/>
        <v>aws s3 cp s3://rtdc.mdm.uploadarchive.raw/RTDC4001/ "%USERPROFILE%\AppData\Local\Temp\OnboardLogs"\RTDC4001\2017-01-06 --exclude "*" --recursive --include "*20170106*" &amp; "%USERPROFILE%\Documents\GitHub\mrs-test-scripts\Headless Mode &amp; Sideloading\WalkAndUnGZ.bat" "%USERPROFILE%\AppData\Local\Temp\OnboardLogs"\RTDC4001\2017-01-06 &amp; aws s3 cp s3://rtdc.mdm.uploadarchive.raw/RTDC4001/ "%USERPROFILE%\AppData\Local\Temp\OnboardLogs"\RTDC4001\2017-01-07 --exclude "*" --recursive --include "*20170107*" &amp; "%USERPROFILE%\Documents\GitHub\mrs-test-scripts\Headless Mode &amp; Sideloading\WalkAndUnGZ.bat" "%USERPROFILE%\AppData\Local\Temp\OnboardLogs"\RTDC4001\2017-01-07</v>
      </c>
      <c r="AF92" s="84" t="str">
        <f t="shared" si="39"/>
        <v>"C:\Program Files (x86)\AstroGrep\AstroGrep.exe" /spath="%USERPROFILE%\AppData\Local\Temp\OnboardLogs" /stypes="app*4001*20170106*" /stext=" 22:.+((SYSTEM_STATE.+slice.+state.+changed )|(ment ac)|(multiple cpu faults)|(system.+state.+changed )|(\[timeout)|(PRM\|1\|D)|(kpr)|(kdp)|(\|lc)|(penalty))" /e /r /s</v>
      </c>
      <c r="AG92" s="1" t="str">
        <f t="shared" si="40"/>
        <v>EC</v>
      </c>
      <c r="AH92" s="88" t="str">
        <f t="shared" si="41"/>
        <v>"%USERPROFILE%\Documents\GitHub\eaglep3\Utilities\RefineRTDCRunTimes.py" --tripid 180-06 --locoid 4001 --swversion DE.1.0.8.0 --startMP 204:232975 --initTime 2017-01-06T14:16:59 --startdatetime 2017-01-06T14:26:14 --delay 1 --endMP 204:143 --enddatetime 2017-01-06T15:14:59 --enforcementcount 0 &gt;&gt;C:\Users\stu\Documents\GitHub\eaglep3-reporting\EC\2017-01-06-refined-times.txt</v>
      </c>
      <c r="AI92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{"issue":{"subject":"","project_id":79,"tracker_id":40,"status_id":1,"priority_id":2,"assigned_to_id":23,"start_date":"2017-01-06","description":"","custom_fields":[{"id":1,"name":"Subdivision","value":"EC"},{"id":4,"name":"Milepost","value":"0.0143"},{"id":17,"name":"Train ID","value":"180-06"},{"id":16,"name":"Locomotive ID","value":"4001"},{"id":130,"name":"Impact","value":""},{"id":150,"name":"Time of Event (Mountain Time)","value":"15:14:59"},{"id":151,"name":"Denver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80" t="str">
        <f t="shared" si="43"/>
        <v>start /low /b %USERPROFILE%\Documents\GitHub\eaglep3\Utilities\DownloadLogsFromS3.py --loco 4001 --day 2017-01-06</v>
      </c>
    </row>
    <row r="93" spans="1:91" s="21" customFormat="1" x14ac:dyDescent="0.25">
      <c r="A93" s="34" t="s">
        <v>569</v>
      </c>
      <c r="B93" s="7">
        <v>4029</v>
      </c>
      <c r="C93" s="22" t="s">
        <v>203</v>
      </c>
      <c r="D93" s="22" t="s">
        <v>251</v>
      </c>
      <c r="E93" s="13">
        <v>42741.569490740738</v>
      </c>
      <c r="F93" s="13">
        <v>42741.573425925926</v>
      </c>
      <c r="G93" s="7">
        <v>1</v>
      </c>
      <c r="H93" s="22" t="s">
        <v>673</v>
      </c>
      <c r="I93" s="13">
        <v>42741.598171296297</v>
      </c>
      <c r="J93" s="7">
        <v>0</v>
      </c>
      <c r="K93" s="105" t="str">
        <f t="shared" si="28"/>
        <v>4029/4030</v>
      </c>
      <c r="L93" s="22" t="str">
        <f>VLOOKUP(A93,'Trips&amp;Operators'!$C$1:$G$99999,5,FALSE)</f>
        <v>HELVIE ADAM</v>
      </c>
      <c r="M93" s="6">
        <f t="shared" si="29"/>
        <v>2.47453703705105E-2</v>
      </c>
      <c r="N93" s="7">
        <f t="shared" ref="N93:N110" si="44">24*60*SUM($M93:$M93)</f>
        <v>35.63333333353512</v>
      </c>
      <c r="O93" s="7"/>
      <c r="P93" s="7"/>
      <c r="Q93" s="23"/>
      <c r="R93" s="23"/>
      <c r="S93" s="32">
        <f t="shared" ref="S93:S124" si="45">SUM(U93:U93)/IF(AG93="EC",12,1)</f>
        <v>1</v>
      </c>
      <c r="T93" s="47" t="str">
        <f t="shared" si="30"/>
        <v>NorthBound</v>
      </c>
      <c r="U93" s="16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12:40:04-700',mode:absolute,to:'2017-01-06 15:21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3" s="49" t="str">
        <f t="shared" si="32"/>
        <v>N</v>
      </c>
      <c r="X93" s="173">
        <f t="shared" si="33"/>
        <v>1</v>
      </c>
      <c r="Y93" s="64">
        <f t="shared" si="34"/>
        <v>4.6199999999999998E-2</v>
      </c>
      <c r="Z93" s="64">
        <f t="shared" si="35"/>
        <v>23.3308</v>
      </c>
      <c r="AA93" s="64">
        <f t="shared" si="36"/>
        <v>23.284600000000001</v>
      </c>
      <c r="AB93" s="61"/>
      <c r="AC93" s="57"/>
      <c r="AD93" s="58" t="str">
        <f t="shared" si="37"/>
        <v>0181-06</v>
      </c>
      <c r="AE93" s="87" t="str">
        <f t="shared" si="38"/>
        <v>aws s3 cp s3://rtdc.mdm.uploadarchive.raw/RTDC4029/ "%USERPROFILE%\AppData\Local\Temp\OnboardLogs"\RTDC4029\2017-01-06 --exclude "*" --recursive --include "*20170106*" &amp; "%USERPROFILE%\Documents\GitHub\mrs-test-scripts\Headless Mode &amp; Sideloading\WalkAndUnGZ.bat" "%USERPROFILE%\AppData\Local\Temp\OnboardLogs"\RTDC4029\2017-01-06 &amp; aws s3 cp s3://rtdc.mdm.uploadarchive.raw/RTDC4029/ "%USERPROFILE%\AppData\Local\Temp\OnboardLogs"\RTDC4029\2017-01-07 --exclude "*" --recursive --include "*20170107*" &amp; "%USERPROFILE%\Documents\GitHub\mrs-test-scripts\Headless Mode &amp; Sideloading\WalkAndUnGZ.bat" "%USERPROFILE%\AppData\Local\Temp\OnboardLogs"\RTDC4029\2017-01-07</v>
      </c>
      <c r="AF93" s="84" t="str">
        <f t="shared" si="39"/>
        <v>"C:\Program Files (x86)\AstroGrep\AstroGrep.exe" /spath="%USERPROFILE%\AppData\Local\Temp\OnboardLogs" /stypes="app*4029*20170106*" /stext=" 21:.+((SYSTEM_STATE.+slice.+state.+changed )|(ment ac)|(multiple cpu faults)|(system.+state.+changed )|(\[timeout)|(PRM\|1\|D)|(kpr)|(kdp)|(\|lc)|(penalty))" /e /r /s</v>
      </c>
      <c r="AG93" s="1" t="str">
        <f t="shared" si="40"/>
        <v>EC</v>
      </c>
      <c r="AH93" s="88" t="str">
        <f t="shared" si="41"/>
        <v>"%USERPROFILE%\Documents\GitHub\eaglep3\Utilities\RefineRTDCRunTimes.py" --tripid 181-06 --locoid 4029 --swversion DE.1.0.8.0 --startMP 204:462 --initTime 2017-01-06T13:40:04 --startdatetime 2017-01-06T13:45:44 --delay 1 --endMP 204:233308 --enddatetime 2017-01-06T14:21:22 --enforcementcount 0 &gt;&gt;C:\Users\stu\Documents\GitHub\eaglep3-reporting\EC\2017-01-06-refined-times.txt</v>
      </c>
      <c r="AI93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{"issue":{"subject":"","project_id":79,"tracker_id":40,"status_id":1,"priority_id":2,"assigned_to_id":23,"start_date":"2017-01-06","description":"","custom_fields":[{"id":1,"name":"Subdivision","value":"EC"},{"id":4,"name":"Milepost","value":"23.3308"},{"id":17,"name":"Train ID","value":"181-06"},{"id":16,"name":"Locomotive ID","value":"4029"},{"id":130,"name":"Impact","value":""},{"id":150,"name":"Time of Event (Mountain Time)","value":"14:21:22"},{"id":151,"name":"Denver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80" t="str">
        <f t="shared" si="43"/>
        <v>start /low /b %USERPROFILE%\Documents\GitHub\eaglep3\Utilities\DownloadLogsFromS3.py --loco 4029 --day 2017-01-06</v>
      </c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4" t="s">
        <v>575</v>
      </c>
      <c r="B94" s="7">
        <v>4030</v>
      </c>
      <c r="C94" s="22" t="s">
        <v>203</v>
      </c>
      <c r="D94" s="22" t="s">
        <v>694</v>
      </c>
      <c r="E94" s="13">
        <v>42741.607951388891</v>
      </c>
      <c r="F94" s="13">
        <v>42741.612118055556</v>
      </c>
      <c r="G94" s="7">
        <v>1</v>
      </c>
      <c r="H94" s="22" t="s">
        <v>342</v>
      </c>
      <c r="I94" s="13">
        <v>42741.64230324074</v>
      </c>
      <c r="J94" s="7">
        <v>0</v>
      </c>
      <c r="K94" s="105" t="str">
        <f t="shared" si="28"/>
        <v>4029/4030</v>
      </c>
      <c r="L94" s="22" t="str">
        <f>VLOOKUP(A94,'Trips&amp;Operators'!$C$1:$G$99999,5,FALSE)</f>
        <v>HELVIE ADAM</v>
      </c>
      <c r="M94" s="6">
        <f t="shared" si="29"/>
        <v>3.0185185183654539E-2</v>
      </c>
      <c r="N94" s="7">
        <f t="shared" si="44"/>
        <v>43.466666664462537</v>
      </c>
      <c r="O94" s="7"/>
      <c r="P94" s="7"/>
      <c r="Q94" s="23"/>
      <c r="R94" s="23"/>
      <c r="S94" s="32">
        <f t="shared" si="45"/>
        <v>1</v>
      </c>
      <c r="T94" s="47" t="str">
        <f t="shared" si="30"/>
        <v>Southbound</v>
      </c>
      <c r="U94" s="16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13:35:27-700',mode:absolute,to:'2017-01-06 16:24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4" s="49" t="str">
        <f t="shared" si="32"/>
        <v>N</v>
      </c>
      <c r="X94" s="173">
        <f t="shared" si="33"/>
        <v>1</v>
      </c>
      <c r="Y94" s="64">
        <f t="shared" si="34"/>
        <v>23.299600000000002</v>
      </c>
      <c r="Z94" s="64">
        <f t="shared" si="35"/>
        <v>1.6500000000000001E-2</v>
      </c>
      <c r="AA94" s="64">
        <f t="shared" si="36"/>
        <v>23.283100000000001</v>
      </c>
      <c r="AB94" s="61"/>
      <c r="AC94" s="57"/>
      <c r="AD94" s="58" t="str">
        <f t="shared" si="37"/>
        <v>0182-06</v>
      </c>
      <c r="AE94" s="87" t="str">
        <f t="shared" si="38"/>
        <v>aws s3 cp s3://rtdc.mdm.uploadarchive.raw/RTDC4030/ "%USERPROFILE%\AppData\Local\Temp\OnboardLogs"\RTDC4030\2017-01-06 --exclude "*" --recursive --include "*20170106*" &amp; "%USERPROFILE%\Documents\GitHub\mrs-test-scripts\Headless Mode &amp; Sideloading\WalkAndUnGZ.bat" "%USERPROFILE%\AppData\Local\Temp\OnboardLogs"\RTDC4030\2017-01-06 &amp; aws s3 cp s3://rtdc.mdm.uploadarchive.raw/RTDC4030/ "%USERPROFILE%\AppData\Local\Temp\OnboardLogs"\RTDC4030\2017-01-07 --exclude "*" --recursive --include "*20170107*" &amp; "%USERPROFILE%\Documents\GitHub\mrs-test-scripts\Headless Mode &amp; Sideloading\WalkAndUnGZ.bat" "%USERPROFILE%\AppData\Local\Temp\OnboardLogs"\RTDC4030\2017-01-07</v>
      </c>
      <c r="AF94" s="84" t="str">
        <f t="shared" si="39"/>
        <v>"C:\Program Files (x86)\AstroGrep\AstroGrep.exe" /spath="%USERPROFILE%\AppData\Local\Temp\OnboardLogs" /stypes="app*4030*20170106*" /stext=" 22:.+((SYSTEM_STATE.+slice.+state.+changed )|(ment ac)|(multiple cpu faults)|(system.+state.+changed )|(\[timeout)|(PRM\|1\|D)|(kpr)|(kdp)|(\|lc)|(penalty))" /e /r /s</v>
      </c>
      <c r="AG94" s="1" t="str">
        <f t="shared" si="40"/>
        <v>EC</v>
      </c>
      <c r="AH94" s="88" t="str">
        <f t="shared" si="41"/>
        <v>"%USERPROFILE%\Documents\GitHub\eaglep3\Utilities\RefineRTDCRunTimes.py" --tripid 182-06 --locoid 4030 --swversion DE.1.0.8.0 --startMP 204:232996 --initTime 2017-01-06T14:35:27 --startdatetime 2017-01-06T14:41:27 --delay 1 --endMP 204:165 --enddatetime 2017-01-06T15:24:55 --enforcementcount 0 &gt;&gt;C:\Users\stu\Documents\GitHub\eaglep3-reporting\EC\2017-01-06-refined-times.txt</v>
      </c>
      <c r="AI94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{"issue":{"subject":"","project_id":79,"tracker_id":40,"status_id":1,"priority_id":2,"assigned_to_id":23,"start_date":"2017-01-06","description":"","custom_fields":[{"id":1,"name":"Subdivision","value":"EC"},{"id":4,"name":"Milepost","value":"0.0165"},{"id":17,"name":"Train ID","value":"182-06"},{"id":16,"name":"Locomotive ID","value":"4030"},{"id":130,"name":"Impact","value":""},{"id":150,"name":"Time of Event (Mountain Time)","value":"15:24:55"},{"id":151,"name":"Denver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80" t="str">
        <f t="shared" si="43"/>
        <v>start /low /b %USERPROFILE%\Documents\GitHub\eaglep3\Utilities\DownloadLogsFromS3.py --loco 4030 --day 2017-01-06</v>
      </c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4" t="s">
        <v>458</v>
      </c>
      <c r="B95" s="7">
        <v>4009</v>
      </c>
      <c r="C95" s="22" t="s">
        <v>203</v>
      </c>
      <c r="D95" s="22" t="s">
        <v>314</v>
      </c>
      <c r="E95" s="13">
        <v>42741.580509259256</v>
      </c>
      <c r="F95" s="13">
        <v>42741.583657407406</v>
      </c>
      <c r="G95" s="7">
        <v>1</v>
      </c>
      <c r="H95" s="22" t="s">
        <v>712</v>
      </c>
      <c r="I95" s="13">
        <v>42741.608888888892</v>
      </c>
      <c r="J95" s="7">
        <v>0</v>
      </c>
      <c r="K95" s="105" t="str">
        <f t="shared" si="28"/>
        <v>4009/4010</v>
      </c>
      <c r="L95" s="22" t="str">
        <f>VLOOKUP(A95,'Trips&amp;Operators'!$C$1:$G$99999,5,FALSE)</f>
        <v>BRANDNER MELINDA</v>
      </c>
      <c r="M95" s="6">
        <f t="shared" si="29"/>
        <v>2.5231481486116536E-2</v>
      </c>
      <c r="N95" s="7">
        <f t="shared" si="44"/>
        <v>36.333333340007812</v>
      </c>
      <c r="O95" s="7"/>
      <c r="P95" s="7"/>
      <c r="Q95" s="23"/>
      <c r="R95" s="23"/>
      <c r="S95" s="32">
        <f t="shared" si="45"/>
        <v>1</v>
      </c>
      <c r="T95" s="47" t="str">
        <f t="shared" si="30"/>
        <v>NorthBound</v>
      </c>
      <c r="U95" s="16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12:55:56-700',mode:absolute,to:'2017-01-06 15:36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95" s="49" t="str">
        <f t="shared" si="32"/>
        <v>N</v>
      </c>
      <c r="X95" s="173">
        <f t="shared" si="33"/>
        <v>1</v>
      </c>
      <c r="Y95" s="64">
        <f t="shared" si="34"/>
        <v>4.4600000000000001E-2</v>
      </c>
      <c r="Z95" s="64">
        <f t="shared" si="35"/>
        <v>23.3355</v>
      </c>
      <c r="AA95" s="64">
        <f t="shared" si="36"/>
        <v>23.290900000000001</v>
      </c>
      <c r="AB95" s="61"/>
      <c r="AC95" s="57"/>
      <c r="AD95" s="58" t="str">
        <f t="shared" si="37"/>
        <v>0183-06</v>
      </c>
      <c r="AE95" s="87" t="str">
        <f t="shared" si="38"/>
        <v>aws s3 cp s3://rtdc.mdm.uploadarchive.raw/RTDC4009/ "%USERPROFILE%\AppData\Local\Temp\OnboardLogs"\RTDC4009\2017-01-06 --exclude "*" --recursive --include "*20170106*" &amp; "%USERPROFILE%\Documents\GitHub\mrs-test-scripts\Headless Mode &amp; Sideloading\WalkAndUnGZ.bat" "%USERPROFILE%\AppData\Local\Temp\OnboardLogs"\RTDC4009\2017-01-06 &amp; aws s3 cp s3://rtdc.mdm.uploadarchive.raw/RTDC4009/ "%USERPROFILE%\AppData\Local\Temp\OnboardLogs"\RTDC4009\2017-01-07 --exclude "*" --recursive --include "*20170107*" &amp; "%USERPROFILE%\Documents\GitHub\mrs-test-scripts\Headless Mode &amp; Sideloading\WalkAndUnGZ.bat" "%USERPROFILE%\AppData\Local\Temp\OnboardLogs"\RTDC4009\2017-01-07</v>
      </c>
      <c r="AF95" s="84" t="str">
        <f t="shared" si="39"/>
        <v>"C:\Program Files (x86)\AstroGrep\AstroGrep.exe" /spath="%USERPROFILE%\AppData\Local\Temp\OnboardLogs" /stypes="app*4009*20170106*" /stext=" 21:.+((SYSTEM_STATE.+slice.+state.+changed )|(ment ac)|(multiple cpu faults)|(system.+state.+changed )|(\[timeout)|(PRM\|1\|D)|(kpr)|(kdp)|(\|lc)|(penalty))" /e /r /s</v>
      </c>
      <c r="AG95" s="1" t="str">
        <f t="shared" si="40"/>
        <v>EC</v>
      </c>
      <c r="AH95" s="88" t="str">
        <f t="shared" si="41"/>
        <v>"%USERPROFILE%\Documents\GitHub\eaglep3\Utilities\RefineRTDCRunTimes.py" --tripid 183-06 --locoid 4009 --swversion DE.1.0.8.0 --startMP 204:446 --initTime 2017-01-06T13:55:56 --startdatetime 2017-01-06T14:00:28 --delay 1 --endMP 204:233355 --enddatetime 2017-01-06T14:36:48 --enforcementcount 0 &gt;&gt;C:\Users\stu\Documents\GitHub\eaglep3-reporting\EC\2017-01-06-refined-times.txt</v>
      </c>
      <c r="AI95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{"issue":{"subject":"","project_id":79,"tracker_id":40,"status_id":1,"priority_id":2,"assigned_to_id":23,"start_date":"2017-01-06","description":"","custom_fields":[{"id":1,"name":"Subdivision","value":"EC"},{"id":4,"name":"Milepost","value":"23.3355"},{"id":17,"name":"Train ID","value":"183-06"},{"id":16,"name":"Locomotive ID","value":"4009"},{"id":130,"name":"Impact","value":""},{"id":150,"name":"Time of Event (Mountain Time)","value":"14:36:48"},{"id":151,"name":"Denver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80" t="str">
        <f t="shared" si="43"/>
        <v>start /low /b %USERPROFILE%\Documents\GitHub\eaglep3\Utilities\DownloadLogsFromS3.py --loco 4009 --day 2017-01-06</v>
      </c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577</v>
      </c>
      <c r="B96" s="7">
        <v>4010</v>
      </c>
      <c r="C96" s="22" t="s">
        <v>203</v>
      </c>
      <c r="D96" s="22" t="s">
        <v>713</v>
      </c>
      <c r="E96" s="13">
        <v>42741.616261574076</v>
      </c>
      <c r="F96" s="13">
        <v>42741.62263888889</v>
      </c>
      <c r="G96" s="7">
        <v>4</v>
      </c>
      <c r="H96" s="22" t="s">
        <v>191</v>
      </c>
      <c r="I96" s="13">
        <v>42741.664456018516</v>
      </c>
      <c r="J96" s="7">
        <v>0</v>
      </c>
      <c r="K96" s="105" t="str">
        <f t="shared" si="28"/>
        <v>4009/4010</v>
      </c>
      <c r="L96" s="22" t="str">
        <f>VLOOKUP(A96,'Trips&amp;Operators'!$C$1:$G$99999,5,FALSE)</f>
        <v>WHITED DUSTIN</v>
      </c>
      <c r="M96" s="6">
        <f t="shared" si="29"/>
        <v>4.181712962599704E-2</v>
      </c>
      <c r="N96" s="7">
        <f t="shared" si="44"/>
        <v>60.216666661435738</v>
      </c>
      <c r="O96" s="7"/>
      <c r="P96" s="7"/>
      <c r="Q96" s="23"/>
      <c r="R96" s="23"/>
      <c r="S96" s="32">
        <f t="shared" si="45"/>
        <v>1</v>
      </c>
      <c r="T96" s="47" t="str">
        <f t="shared" si="30"/>
        <v>Southbound</v>
      </c>
      <c r="U96" s="16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13:47:25-700',mode:absolute,to:'2017-01-06 16:56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96" s="49" t="str">
        <f t="shared" si="32"/>
        <v>N</v>
      </c>
      <c r="X96" s="173">
        <f t="shared" si="33"/>
        <v>1</v>
      </c>
      <c r="Y96" s="64">
        <f t="shared" si="34"/>
        <v>23.302600000000002</v>
      </c>
      <c r="Z96" s="64">
        <f t="shared" si="35"/>
        <v>1.49E-2</v>
      </c>
      <c r="AA96" s="64">
        <f t="shared" si="36"/>
        <v>23.287700000000001</v>
      </c>
      <c r="AB96" s="61"/>
      <c r="AC96" s="57"/>
      <c r="AD96" s="58" t="str">
        <f t="shared" si="37"/>
        <v>0184-06</v>
      </c>
      <c r="AE96" s="87" t="str">
        <f t="shared" si="38"/>
        <v>aws s3 cp s3://rtdc.mdm.uploadarchive.raw/RTDC4010/ "%USERPROFILE%\AppData\Local\Temp\OnboardLogs"\RTDC4010\2017-01-06 --exclude "*" --recursive --include "*20170106*" &amp; "%USERPROFILE%\Documents\GitHub\mrs-test-scripts\Headless Mode &amp; Sideloading\WalkAndUnGZ.bat" "%USERPROFILE%\AppData\Local\Temp\OnboardLogs"\RTDC4010\2017-01-06 &amp; aws s3 cp s3://rtdc.mdm.uploadarchive.raw/RTDC4010/ "%USERPROFILE%\AppData\Local\Temp\OnboardLogs"\RTDC4010\2017-01-07 --exclude "*" --recursive --include "*20170107*" &amp; "%USERPROFILE%\Documents\GitHub\mrs-test-scripts\Headless Mode &amp; Sideloading\WalkAndUnGZ.bat" "%USERPROFILE%\AppData\Local\Temp\OnboardLogs"\RTDC4010\2017-01-07</v>
      </c>
      <c r="AF96" s="84" t="str">
        <f t="shared" si="39"/>
        <v>"C:\Program Files (x86)\AstroGrep\AstroGrep.exe" /spath="%USERPROFILE%\AppData\Local\Temp\OnboardLogs" /stypes="app*4010*20170106*" /stext=" 22:.+((SYSTEM_STATE.+slice.+state.+changed )|(ment ac)|(multiple cpu faults)|(system.+state.+changed )|(\[timeout)|(PRM\|1\|D)|(kpr)|(kdp)|(\|lc)|(penalty))" /e /r /s</v>
      </c>
      <c r="AG96" s="1" t="str">
        <f t="shared" si="40"/>
        <v>EC</v>
      </c>
      <c r="AH96" s="88" t="str">
        <f t="shared" si="41"/>
        <v>"%USERPROFILE%\Documents\GitHub\eaglep3\Utilities\RefineRTDCRunTimes.py" --tripid 184-06 --locoid 4010 --swversion DE.1.0.8.0 --startMP 204:233026 --initTime 2017-01-06T14:47:25 --startdatetime 2017-01-06T14:56:36 --delay 4 --endMP 204:149 --enddatetime 2017-01-06T15:56:49 --enforcementcount 0 &gt;&gt;C:\Users\stu\Documents\GitHub\eaglep3-reporting\EC\2017-01-06-refined-times.txt</v>
      </c>
      <c r="AI96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{"issue":{"subject":"","project_id":79,"tracker_id":40,"status_id":1,"priority_id":2,"assigned_to_id":23,"start_date":"2017-01-06","description":"","custom_fields":[{"id":1,"name":"Subdivision","value":"EC"},{"id":4,"name":"Milepost","value":"0.0149"},{"id":17,"name":"Train ID","value":"184-06"},{"id":16,"name":"Locomotive ID","value":"4010"},{"id":130,"name":"Impact","value":""},{"id":150,"name":"Time of Event (Mountain Time)","value":"15:56:49"},{"id":151,"name":"Denver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80" t="str">
        <f t="shared" si="43"/>
        <v>start /low /b %USERPROFILE%\Documents\GitHub\eaglep3\Utilities\DownloadLogsFromS3.py --loco 4010 --day 2017-01-06</v>
      </c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572</v>
      </c>
      <c r="B97" s="7">
        <v>4003</v>
      </c>
      <c r="C97" s="22" t="s">
        <v>203</v>
      </c>
      <c r="D97" s="22" t="s">
        <v>193</v>
      </c>
      <c r="E97" s="13">
        <v>42741.589050925926</v>
      </c>
      <c r="F97" s="13">
        <v>42741.593912037039</v>
      </c>
      <c r="G97" s="7">
        <v>1</v>
      </c>
      <c r="H97" s="22" t="s">
        <v>313</v>
      </c>
      <c r="I97" s="13">
        <v>42741.620393518519</v>
      </c>
      <c r="J97" s="7">
        <v>0</v>
      </c>
      <c r="K97" s="105" t="str">
        <f t="shared" si="28"/>
        <v>4003/4004</v>
      </c>
      <c r="L97" s="22" t="str">
        <f>VLOOKUP(A97,'Trips&amp;Operators'!$C$1:$G$99999,5,FALSE)</f>
        <v>BRANNON JEFFREY</v>
      </c>
      <c r="M97" s="6">
        <f t="shared" si="29"/>
        <v>2.6481481480004732E-2</v>
      </c>
      <c r="N97" s="7">
        <f t="shared" si="44"/>
        <v>38.133333331206813</v>
      </c>
      <c r="O97" s="7"/>
      <c r="P97" s="7"/>
      <c r="Q97" s="23"/>
      <c r="R97" s="23"/>
      <c r="S97" s="32">
        <f t="shared" si="45"/>
        <v>1</v>
      </c>
      <c r="T97" s="47" t="str">
        <f t="shared" si="30"/>
        <v>NorthBound</v>
      </c>
      <c r="U97" s="16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13:08:14-700',mode:absolute,to:'2017-01-06 15:53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97" s="49" t="str">
        <f t="shared" si="32"/>
        <v>N</v>
      </c>
      <c r="X97" s="173">
        <f t="shared" si="33"/>
        <v>1</v>
      </c>
      <c r="Y97" s="64">
        <f t="shared" si="34"/>
        <v>4.4699999999999997E-2</v>
      </c>
      <c r="Z97" s="64">
        <f t="shared" si="35"/>
        <v>23.329799999999999</v>
      </c>
      <c r="AA97" s="64">
        <f t="shared" si="36"/>
        <v>23.2851</v>
      </c>
      <c r="AB97" s="61"/>
      <c r="AC97" s="57"/>
      <c r="AD97" s="58" t="str">
        <f t="shared" si="37"/>
        <v>0185-06</v>
      </c>
      <c r="AE97" s="87" t="str">
        <f t="shared" si="38"/>
        <v>aws s3 cp s3://rtdc.mdm.uploadarchive.raw/RTDC4003/ "%USERPROFILE%\AppData\Local\Temp\OnboardLogs"\RTDC4003\2017-01-06 --exclude "*" --recursive --include "*20170106*" &amp; "%USERPROFILE%\Documents\GitHub\mrs-test-scripts\Headless Mode &amp; Sideloading\WalkAndUnGZ.bat" "%USERPROFILE%\AppData\Local\Temp\OnboardLogs"\RTDC4003\2017-01-06 &amp; 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</v>
      </c>
      <c r="AF97" s="84" t="str">
        <f t="shared" si="39"/>
        <v>"C:\Program Files (x86)\AstroGrep\AstroGrep.exe" /spath="%USERPROFILE%\AppData\Local\Temp\OnboardLogs" /stypes="app*4003*20170106*" /stext=" 21:.+((SYSTEM_STATE.+slice.+state.+changed )|(ment ac)|(multiple cpu faults)|(system.+state.+changed )|(\[timeout)|(PRM\|1\|D)|(kpr)|(kdp)|(\|lc)|(penalty))" /e /r /s</v>
      </c>
      <c r="AG97" s="1" t="str">
        <f t="shared" si="40"/>
        <v>EC</v>
      </c>
      <c r="AH97" s="88" t="str">
        <f t="shared" si="41"/>
        <v>"%USERPROFILE%\Documents\GitHub\eaglep3\Utilities\RefineRTDCRunTimes.py" --tripid 185-06 --locoid 4003 --swversion DE.1.0.8.0 --startMP 204:447 --initTime 2017-01-06T14:08:14 --startdatetime 2017-01-06T14:15:14 --delay 1 --endMP 204:233298 --enddatetime 2017-01-06T14:53:22 --enforcementcount 0 &gt;&gt;C:\Users\stu\Documents\GitHub\eaglep3-reporting\EC\2017-01-06-refined-times.txt</v>
      </c>
      <c r="AI97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{"issue":{"subject":"","project_id":79,"tracker_id":40,"status_id":1,"priority_id":2,"assigned_to_id":23,"start_date":"2017-01-06","description":"","custom_fields":[{"id":1,"name":"Subdivision","value":"EC"},{"id":4,"name":"Milepost","value":"23.3298"},{"id":17,"name":"Train ID","value":"185-06"},{"id":16,"name":"Locomotive ID","value":"4003"},{"id":130,"name":"Impact","value":""},{"id":150,"name":"Time of Event (Mountain Time)","value":"14:53:22"},{"id":151,"name":"Denver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80" t="str">
        <f t="shared" si="43"/>
        <v>start /low /b %USERPROFILE%\Documents\GitHub\eaglep3\Utilities\DownloadLogsFromS3.py --loco 4003 --day 2017-01-06</v>
      </c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4" t="s">
        <v>581</v>
      </c>
      <c r="B98" s="7">
        <v>4004</v>
      </c>
      <c r="C98" s="22" t="s">
        <v>203</v>
      </c>
      <c r="D98" s="22" t="s">
        <v>249</v>
      </c>
      <c r="E98" s="13">
        <v>42741.629745370374</v>
      </c>
      <c r="F98" s="13">
        <v>42741.633217592593</v>
      </c>
      <c r="G98" s="7">
        <v>1</v>
      </c>
      <c r="H98" s="22" t="s">
        <v>363</v>
      </c>
      <c r="I98" s="13">
        <v>42741.670173611114</v>
      </c>
      <c r="J98" s="7">
        <v>0</v>
      </c>
      <c r="K98" s="105" t="str">
        <f t="shared" si="28"/>
        <v>4003/4004</v>
      </c>
      <c r="L98" s="22" t="str">
        <f>VLOOKUP(A98,'Trips&amp;Operators'!$C$1:$G$99999,5,FALSE)</f>
        <v>BRANNON JEFFREY</v>
      </c>
      <c r="M98" s="6">
        <f t="shared" si="29"/>
        <v>3.6956018520868383E-2</v>
      </c>
      <c r="N98" s="7">
        <f t="shared" si="44"/>
        <v>53.216666670050472</v>
      </c>
      <c r="O98" s="7"/>
      <c r="P98" s="7"/>
      <c r="Q98" s="23"/>
      <c r="R98" s="23"/>
      <c r="S98" s="32">
        <f t="shared" si="45"/>
        <v>1</v>
      </c>
      <c r="T98" s="47" t="str">
        <f t="shared" si="30"/>
        <v>Southbound</v>
      </c>
      <c r="U98" s="16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14:06:50-700',mode:absolute,to:'2017-01-06 17:05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98" s="49" t="str">
        <f t="shared" si="32"/>
        <v>N</v>
      </c>
      <c r="X98" s="173">
        <f t="shared" si="33"/>
        <v>1</v>
      </c>
      <c r="Y98" s="64">
        <f t="shared" si="34"/>
        <v>23.297699999999999</v>
      </c>
      <c r="Z98" s="64">
        <f t="shared" si="35"/>
        <v>1.3599999999999999E-2</v>
      </c>
      <c r="AA98" s="64">
        <f t="shared" si="36"/>
        <v>23.284099999999999</v>
      </c>
      <c r="AB98" s="61"/>
      <c r="AC98" s="57"/>
      <c r="AD98" s="58" t="str">
        <f t="shared" si="37"/>
        <v>0186-06</v>
      </c>
      <c r="AE98" s="87" t="str">
        <f t="shared" si="38"/>
        <v>aws s3 cp s3://rtdc.mdm.uploadarchive.raw/RTDC4004/ "%USERPROFILE%\AppData\Local\Temp\OnboardLogs"\RTDC4004\2017-01-06 --exclude "*" --recursive --include "*20170106*" &amp; "%USERPROFILE%\Documents\GitHub\mrs-test-scripts\Headless Mode &amp; Sideloading\WalkAndUnGZ.bat" "%USERPROFILE%\AppData\Local\Temp\OnboardLogs"\RTDC4004\2017-01-06 &amp; aws s3 cp s3://rtdc.mdm.uploadarchive.raw/RTDC4004/ "%USERPROFILE%\AppData\Local\Temp\OnboardLogs"\RTDC4004\2017-01-07 --exclude "*" --recursive --include "*20170107*" &amp; "%USERPROFILE%\Documents\GitHub\mrs-test-scripts\Headless Mode &amp; Sideloading\WalkAndUnGZ.bat" "%USERPROFILE%\AppData\Local\Temp\OnboardLogs"\RTDC4004\2017-01-07</v>
      </c>
      <c r="AF98" s="84" t="str">
        <f t="shared" si="39"/>
        <v>"C:\Program Files (x86)\AstroGrep\AstroGrep.exe" /spath="%USERPROFILE%\AppData\Local\Temp\OnboardLogs" /stypes="app*4004*20170106*" /stext=" 23:.+((SYSTEM_STATE.+slice.+state.+changed )|(ment ac)|(multiple cpu faults)|(system.+state.+changed )|(\[timeout)|(PRM\|1\|D)|(kpr)|(kdp)|(\|lc)|(penalty))" /e /r /s</v>
      </c>
      <c r="AG98" s="1" t="str">
        <f t="shared" si="40"/>
        <v>EC</v>
      </c>
      <c r="AH98" s="88" t="str">
        <f t="shared" si="41"/>
        <v>"%USERPROFILE%\Documents\GitHub\eaglep3\Utilities\RefineRTDCRunTimes.py" --tripid 186-06 --locoid 4004 --swversion DE.1.0.8.0 --startMP 204:232977 --initTime 2017-01-06T15:06:50 --startdatetime 2017-01-06T15:11:50 --delay 1 --endMP 204:136 --enddatetime 2017-01-06T16:05:03 --enforcementcount 0 &gt;&gt;C:\Users\stu\Documents\GitHub\eaglep3-reporting\EC\2017-01-06-refined-times.txt</v>
      </c>
      <c r="AI98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{"issue":{"subject":"","project_id":79,"tracker_id":40,"status_id":1,"priority_id":2,"assigned_to_id":23,"start_date":"2017-01-06","description":"","custom_fields":[{"id":1,"name":"Subdivision","value":"EC"},{"id":4,"name":"Milepost","value":"0.0136"},{"id":17,"name":"Train ID","value":"186-06"},{"id":16,"name":"Locomotive ID","value":"4004"},{"id":130,"name":"Impact","value":""},{"id":150,"name":"Time of Event (Mountain Time)","value":"16:05:03"},{"id":151,"name":"Denver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80" t="str">
        <f t="shared" si="43"/>
        <v>start /low /b %USERPROFILE%\Documents\GitHub\eaglep3\Utilities\DownloadLogsFromS3.py --loco 4004 --day 2017-01-06</v>
      </c>
    </row>
    <row r="99" spans="1:91" s="21" customFormat="1" x14ac:dyDescent="0.25">
      <c r="A99" s="34" t="s">
        <v>574</v>
      </c>
      <c r="B99" s="7">
        <v>4027</v>
      </c>
      <c r="C99" s="22" t="s">
        <v>203</v>
      </c>
      <c r="D99" s="22" t="s">
        <v>297</v>
      </c>
      <c r="E99" s="13">
        <v>42741.599594907406</v>
      </c>
      <c r="F99" s="13">
        <v>42741.604363425926</v>
      </c>
      <c r="G99" s="7">
        <v>1</v>
      </c>
      <c r="H99" s="22" t="s">
        <v>365</v>
      </c>
      <c r="I99" s="13">
        <v>42741.629895833335</v>
      </c>
      <c r="J99" s="7">
        <v>0</v>
      </c>
      <c r="K99" s="105" t="str">
        <f t="shared" si="28"/>
        <v>4027/4028</v>
      </c>
      <c r="L99" s="22" t="str">
        <f>VLOOKUP(A99,'Trips&amp;Operators'!$C$1:$G$99999,5,FALSE)</f>
        <v>STEWART MICHAEL</v>
      </c>
      <c r="M99" s="6">
        <f t="shared" si="29"/>
        <v>2.5532407409627922E-2</v>
      </c>
      <c r="N99" s="7">
        <f t="shared" si="44"/>
        <v>36.766666669864208</v>
      </c>
      <c r="O99" s="7"/>
      <c r="P99" s="7"/>
      <c r="Q99" s="23"/>
      <c r="R99" s="23"/>
      <c r="S99" s="32">
        <f t="shared" si="45"/>
        <v>1</v>
      </c>
      <c r="T99" s="47" t="str">
        <f t="shared" si="30"/>
        <v>NorthBound</v>
      </c>
      <c r="U99" s="16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13:23:25-700',mode:absolute,to:'2017-01-06 16:07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99" s="49" t="str">
        <f t="shared" si="32"/>
        <v>N</v>
      </c>
      <c r="X99" s="173">
        <f t="shared" si="33"/>
        <v>1</v>
      </c>
      <c r="Y99" s="64">
        <f t="shared" si="34"/>
        <v>4.3700000000000003E-2</v>
      </c>
      <c r="Z99" s="64">
        <f t="shared" si="35"/>
        <v>23.330100000000002</v>
      </c>
      <c r="AA99" s="64">
        <f t="shared" si="36"/>
        <v>23.2864</v>
      </c>
      <c r="AB99" s="61"/>
      <c r="AC99" s="57"/>
      <c r="AD99" s="58" t="str">
        <f t="shared" si="37"/>
        <v>0187-06</v>
      </c>
      <c r="AE99" s="87" t="str">
        <f t="shared" si="38"/>
        <v>aws s3 cp s3://rtdc.mdm.uploadarchive.raw/RTDC4027/ "%USERPROFILE%\AppData\Local\Temp\OnboardLogs"\RTDC4027\2017-01-06 --exclude "*" --recursive --include "*20170106*" &amp; "%USERPROFILE%\Documents\GitHub\mrs-test-scripts\Headless Mode &amp; Sideloading\WalkAndUnGZ.bat" "%USERPROFILE%\AppData\Local\Temp\OnboardLogs"\RTDC4027\2017-01-06 &amp; aws s3 cp s3://rtdc.mdm.uploadarchive.raw/RTDC4027/ "%USERPROFILE%\AppData\Local\Temp\OnboardLogs"\RTDC4027\2017-01-07 --exclude "*" --recursive --include "*20170107*" &amp; "%USERPROFILE%\Documents\GitHub\mrs-test-scripts\Headless Mode &amp; Sideloading\WalkAndUnGZ.bat" "%USERPROFILE%\AppData\Local\Temp\OnboardLogs"\RTDC4027\2017-01-07</v>
      </c>
      <c r="AF99" s="84" t="str">
        <f t="shared" si="39"/>
        <v>"C:\Program Files (x86)\AstroGrep\AstroGrep.exe" /spath="%USERPROFILE%\AppData\Local\Temp\OnboardLogs" /stypes="app*4027*20170106*" /stext=" 22:.+((SYSTEM_STATE.+slice.+state.+changed )|(ment ac)|(multiple cpu faults)|(system.+state.+changed )|(\[timeout)|(PRM\|1\|D)|(kpr)|(kdp)|(\|lc)|(penalty))" /e /r /s</v>
      </c>
      <c r="AG99" s="1" t="str">
        <f t="shared" si="40"/>
        <v>EC</v>
      </c>
      <c r="AH99" s="88" t="str">
        <f t="shared" si="41"/>
        <v>"%USERPROFILE%\Documents\GitHub\eaglep3\Utilities\RefineRTDCRunTimes.py" --tripid 187-06 --locoid 4027 --swversion DE.1.0.8.0 --startMP 204:437 --initTime 2017-01-06T14:23:25 --startdatetime 2017-01-06T14:30:17 --delay 1 --endMP 204:233301 --enddatetime 2017-01-06T15:07:03 --enforcementcount 0 &gt;&gt;C:\Users\stu\Documents\GitHub\eaglep3-reporting\EC\2017-01-06-refined-times.txt</v>
      </c>
      <c r="AI99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{"issue":{"subject":"","project_id":79,"tracker_id":40,"status_id":1,"priority_id":2,"assigned_to_id":23,"start_date":"2017-01-06","description":"","custom_fields":[{"id":1,"name":"Subdivision","value":"EC"},{"id":4,"name":"Milepost","value":"23.3301"},{"id":17,"name":"Train ID","value":"187-06"},{"id":16,"name":"Locomotive ID","value":"4027"},{"id":130,"name":"Impact","value":""},{"id":150,"name":"Time of Event (Mountain Time)","value":"15:07:03"},{"id":151,"name":"Denver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80" t="str">
        <f t="shared" si="43"/>
        <v>start /low /b %USERPROFILE%\Documents\GitHub\eaglep3\Utilities\DownloadLogsFromS3.py --loco 4027 --day 2017-01-06</v>
      </c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4" t="s">
        <v>584</v>
      </c>
      <c r="B100" s="7">
        <v>4028</v>
      </c>
      <c r="C100" s="22" t="s">
        <v>203</v>
      </c>
      <c r="D100" s="22" t="s">
        <v>280</v>
      </c>
      <c r="E100" s="13">
        <v>42741.639456018522</v>
      </c>
      <c r="F100" s="13">
        <v>42741.643240740741</v>
      </c>
      <c r="G100" s="7">
        <v>1</v>
      </c>
      <c r="H100" s="22" t="s">
        <v>192</v>
      </c>
      <c r="I100" s="13">
        <v>42741.678090277775</v>
      </c>
      <c r="J100" s="7">
        <v>0</v>
      </c>
      <c r="K100" s="105" t="str">
        <f t="shared" si="28"/>
        <v>4027/4028</v>
      </c>
      <c r="L100" s="22" t="str">
        <f>VLOOKUP(A100,'Trips&amp;Operators'!$C$1:$G$99999,5,FALSE)</f>
        <v>STEWART MICHAEL</v>
      </c>
      <c r="M100" s="6">
        <f t="shared" si="29"/>
        <v>3.4849537034460809E-2</v>
      </c>
      <c r="N100" s="7">
        <f t="shared" si="44"/>
        <v>50.183333329623565</v>
      </c>
      <c r="O100" s="7"/>
      <c r="P100" s="7"/>
      <c r="Q100" s="23"/>
      <c r="R100" s="23"/>
      <c r="S100" s="32">
        <f t="shared" si="45"/>
        <v>1</v>
      </c>
      <c r="T100" s="47" t="str">
        <f t="shared" si="30"/>
        <v>Southbound</v>
      </c>
      <c r="U100" s="16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14:20:49-700',mode:absolute,to:'2017-01-06 17:16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00" s="49" t="str">
        <f t="shared" si="32"/>
        <v>N</v>
      </c>
      <c r="X100" s="173">
        <f t="shared" si="33"/>
        <v>1</v>
      </c>
      <c r="Y100" s="64">
        <f t="shared" si="34"/>
        <v>23.298200000000001</v>
      </c>
      <c r="Z100" s="64">
        <f t="shared" si="35"/>
        <v>1.43E-2</v>
      </c>
      <c r="AA100" s="64">
        <f t="shared" si="36"/>
        <v>23.283900000000003</v>
      </c>
      <c r="AB100" s="61"/>
      <c r="AC100" s="57"/>
      <c r="AD100" s="58" t="str">
        <f t="shared" si="37"/>
        <v>0188-06</v>
      </c>
      <c r="AE100" s="87" t="str">
        <f t="shared" si="38"/>
        <v>aws s3 cp s3://rtdc.mdm.uploadarchive.raw/RTDC4028/ "%USERPROFILE%\AppData\Local\Temp\OnboardLogs"\RTDC4028\2017-01-06 --exclude "*" --recursive --include "*20170106*" &amp; "%USERPROFILE%\Documents\GitHub\mrs-test-scripts\Headless Mode &amp; Sideloading\WalkAndUnGZ.bat" "%USERPROFILE%\AppData\Local\Temp\OnboardLogs"\RTDC4028\2017-01-06 &amp; aws s3 cp s3://rtdc.mdm.uploadarchive.raw/RTDC4028/ "%USERPROFILE%\AppData\Local\Temp\OnboardLogs"\RTDC4028\2017-01-07 --exclude "*" --recursive --include "*20170107*" &amp; "%USERPROFILE%\Documents\GitHub\mrs-test-scripts\Headless Mode &amp; Sideloading\WalkAndUnGZ.bat" "%USERPROFILE%\AppData\Local\Temp\OnboardLogs"\RTDC4028\2017-01-07</v>
      </c>
      <c r="AF100" s="84" t="str">
        <f t="shared" si="39"/>
        <v>"C:\Program Files (x86)\AstroGrep\AstroGrep.exe" /spath="%USERPROFILE%\AppData\Local\Temp\OnboardLogs" /stypes="app*4028*20170106*" /stext=" 23:.+((SYSTEM_STATE.+slice.+state.+changed )|(ment ac)|(multiple cpu faults)|(system.+state.+changed )|(\[timeout)|(PRM\|1\|D)|(kpr)|(kdp)|(\|lc)|(penalty))" /e /r /s</v>
      </c>
      <c r="AG100" s="1" t="str">
        <f t="shared" si="40"/>
        <v>EC</v>
      </c>
      <c r="AH100" s="88" t="str">
        <f t="shared" si="41"/>
        <v>"%USERPROFILE%\Documents\GitHub\eaglep3\Utilities\RefineRTDCRunTimes.py" --tripid 188-06 --locoid 4028 --swversion DE.1.0.8.0 --startMP 204:232982 --initTime 2017-01-06T15:20:49 --startdatetime 2017-01-06T15:26:16 --delay 1 --endMP 204:143 --enddatetime 2017-01-06T16:16:27 --enforcementcount 0 &gt;&gt;C:\Users\stu\Documents\GitHub\eaglep3-reporting\EC\2017-01-06-refined-times.txt</v>
      </c>
      <c r="AI100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{"issue":{"subject":"","project_id":79,"tracker_id":40,"status_id":1,"priority_id":2,"assigned_to_id":23,"start_date":"2017-01-06","description":"","custom_fields":[{"id":1,"name":"Subdivision","value":"EC"},{"id":4,"name":"Milepost","value":"0.0143"},{"id":17,"name":"Train ID","value":"188-06"},{"id":16,"name":"Locomotive ID","value":"4028"},{"id":130,"name":"Impact","value":""},{"id":150,"name":"Time of Event (Mountain Time)","value":"16:16:27"},{"id":151,"name":"Denver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80" t="str">
        <f t="shared" si="43"/>
        <v>start /low /b %USERPROFILE%\Documents\GitHub\eaglep3\Utilities\DownloadLogsFromS3.py --loco 4028 --day 2017-01-06</v>
      </c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576</v>
      </c>
      <c r="B101" s="7">
        <v>4018</v>
      </c>
      <c r="C101" s="22" t="s">
        <v>203</v>
      </c>
      <c r="D101" s="22" t="s">
        <v>251</v>
      </c>
      <c r="E101" s="13">
        <v>42741.610127314816</v>
      </c>
      <c r="F101" s="13">
        <v>42741.616122685184</v>
      </c>
      <c r="G101" s="7">
        <v>1</v>
      </c>
      <c r="H101" s="22" t="s">
        <v>714</v>
      </c>
      <c r="I101" s="13">
        <v>42741.649467592593</v>
      </c>
      <c r="J101" s="7">
        <v>0</v>
      </c>
      <c r="K101" s="105" t="str">
        <f t="shared" si="28"/>
        <v>4017/4018</v>
      </c>
      <c r="L101" s="22" t="str">
        <f>VLOOKUP(A101,'Trips&amp;Operators'!$C$1:$G$99999,5,FALSE)</f>
        <v>DELGADO DIANAH</v>
      </c>
      <c r="M101" s="6">
        <f t="shared" si="29"/>
        <v>3.3344907409627922E-2</v>
      </c>
      <c r="N101" s="7">
        <f t="shared" si="44"/>
        <v>48.016666669864208</v>
      </c>
      <c r="O101" s="7"/>
      <c r="P101" s="7"/>
      <c r="Q101" s="23"/>
      <c r="R101" s="23" t="s">
        <v>921</v>
      </c>
      <c r="S101" s="32">
        <f t="shared" si="45"/>
        <v>1</v>
      </c>
      <c r="T101" s="47" t="str">
        <f t="shared" si="30"/>
        <v>NorthBound</v>
      </c>
      <c r="U101" s="16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13:38:35-700',mode:absolute,to:'2017-01-06 16:35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1" s="49" t="str">
        <f t="shared" si="32"/>
        <v>N</v>
      </c>
      <c r="X101" s="173">
        <f t="shared" si="33"/>
        <v>1</v>
      </c>
      <c r="Y101" s="64">
        <f t="shared" si="34"/>
        <v>4.6199999999999998E-2</v>
      </c>
      <c r="Z101" s="64">
        <f t="shared" si="35"/>
        <v>23.331800000000001</v>
      </c>
      <c r="AA101" s="64">
        <f t="shared" si="36"/>
        <v>23.285600000000002</v>
      </c>
      <c r="AB101" s="61"/>
      <c r="AC101" s="57"/>
      <c r="AD101" s="58" t="str">
        <f t="shared" si="37"/>
        <v>0189-06</v>
      </c>
      <c r="AE101" s="87" t="str">
        <f t="shared" si="38"/>
        <v>aws s3 cp s3://rtdc.mdm.uploadarchive.raw/RTDC4018/ "%USERPROFILE%\AppData\Local\Temp\OnboardLogs"\RTDC4018\2017-01-06 --exclude "*" --recursive --include "*20170106*" &amp; "%USERPROFILE%\Documents\GitHub\mrs-test-scripts\Headless Mode &amp; Sideloading\WalkAndUnGZ.bat" "%USERPROFILE%\AppData\Local\Temp\OnboardLogs"\RTDC4018\2017-01-06 &amp; aws s3 cp s3://rtdc.mdm.uploadarchive.raw/RTDC4018/ "%USERPROFILE%\AppData\Local\Temp\OnboardLogs"\RTDC4018\2017-01-07 --exclude "*" --recursive --include "*20170107*" &amp; "%USERPROFILE%\Documents\GitHub\mrs-test-scripts\Headless Mode &amp; Sideloading\WalkAndUnGZ.bat" "%USERPROFILE%\AppData\Local\Temp\OnboardLogs"\RTDC4018\2017-01-07</v>
      </c>
      <c r="AF101" s="84" t="str">
        <f t="shared" si="39"/>
        <v>"C:\Program Files (x86)\AstroGrep\AstroGrep.exe" /spath="%USERPROFILE%\AppData\Local\Temp\OnboardLogs" /stypes="app*4018*20170106*" /stext=" 22:.+((SYSTEM_STATE.+slice.+state.+changed )|(ment ac)|(multiple cpu faults)|(system.+state.+changed )|(\[timeout)|(PRM\|1\|D)|(kpr)|(kdp)|(\|lc)|(penalty))" /e /r /s</v>
      </c>
      <c r="AG101" s="1" t="str">
        <f t="shared" si="40"/>
        <v>EC</v>
      </c>
      <c r="AH101" s="88" t="str">
        <f t="shared" si="41"/>
        <v>"%USERPROFILE%\Documents\GitHub\eaglep3\Utilities\RefineRTDCRunTimes.py" --tripid 189-06 --locoid 4018 --swversion DE.1.0.8.0 --startMP 204:462 --initTime 2017-01-06T14:38:35 --startdatetime 2017-01-06T14:47:13 --delay 1 --endMP 204:233318 --enddatetime 2017-01-06T15:35:14 --enforcementcount 0 &gt;&gt;C:\Users\stu\Documents\GitHub\eaglep3-reporting\EC\2017-01-06-refined-times.txt</v>
      </c>
      <c r="AI101" s="115" t="str">
        <f t="shared" si="42"/>
        <v>echo {"issue":{"subject":"Braking without banner","project_id":79,"tracker_id":40,"status_id":1,"priority_id":2,"assigned_to_id":23,"start_date":"2017-01-06","description":"","custom_fields":[{"id":1,"name":"Subdivision","value":"EC"},{"id":4,"name":"Milepost","value":"23.3318"},{"id":17,"name":"Train ID","value":"189-06"},{"id":16,"name":"Locomotive ID","value":"4018"},{"id":130,"name":"Impact","value":""},{"id":150,"name":"Time of Event (Mountain Time)","value":"15:35:14"},{"id":151,"name":"Denver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80" t="str">
        <f t="shared" si="43"/>
        <v>start /low /b %USERPROFILE%\Documents\GitHub\eaglep3\Utilities\DownloadLogsFromS3.py --loco 4018 --day 2017-01-06</v>
      </c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586</v>
      </c>
      <c r="B102" s="7">
        <v>4017</v>
      </c>
      <c r="C102" s="22" t="s">
        <v>203</v>
      </c>
      <c r="D102" s="22" t="s">
        <v>416</v>
      </c>
      <c r="E102" s="13">
        <v>42741.650914351849</v>
      </c>
      <c r="F102" s="13">
        <v>42741.6559375</v>
      </c>
      <c r="G102" s="7">
        <v>1</v>
      </c>
      <c r="H102" s="22" t="s">
        <v>229</v>
      </c>
      <c r="I102" s="13">
        <v>42741.688854166663</v>
      </c>
      <c r="J102" s="7">
        <v>0</v>
      </c>
      <c r="K102" s="105" t="str">
        <f t="shared" si="28"/>
        <v>4017/4018</v>
      </c>
      <c r="L102" s="22" t="str">
        <f>VLOOKUP(A102,'Trips&amp;Operators'!$C$1:$G$99999,5,FALSE)</f>
        <v>DELGADO DIANAH</v>
      </c>
      <c r="M102" s="6">
        <f t="shared" si="29"/>
        <v>3.2916666663368233E-2</v>
      </c>
      <c r="N102" s="7">
        <f t="shared" si="44"/>
        <v>47.399999995250255</v>
      </c>
      <c r="O102" s="7"/>
      <c r="P102" s="7"/>
      <c r="Q102" s="23"/>
      <c r="R102" s="23"/>
      <c r="S102" s="32">
        <f t="shared" si="45"/>
        <v>1</v>
      </c>
      <c r="T102" s="47" t="str">
        <f t="shared" si="30"/>
        <v>Southbound</v>
      </c>
      <c r="U102" s="16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14:37:19-700',mode:absolute,to:'2017-01-06 17:31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2" s="49" t="str">
        <f t="shared" si="32"/>
        <v>N</v>
      </c>
      <c r="X102" s="173">
        <f t="shared" si="33"/>
        <v>1</v>
      </c>
      <c r="Y102" s="64">
        <f t="shared" si="34"/>
        <v>23.298400000000001</v>
      </c>
      <c r="Z102" s="64">
        <f t="shared" si="35"/>
        <v>1.4500000000000001E-2</v>
      </c>
      <c r="AA102" s="64">
        <f t="shared" si="36"/>
        <v>23.283899999999999</v>
      </c>
      <c r="AB102" s="61"/>
      <c r="AC102" s="57"/>
      <c r="AD102" s="58" t="str">
        <f t="shared" si="37"/>
        <v>0190-06</v>
      </c>
      <c r="AE102" s="87" t="str">
        <f t="shared" si="38"/>
        <v>aws s3 cp s3://rtdc.mdm.uploadarchive.raw/RTDC4017/ "%USERPROFILE%\AppData\Local\Temp\OnboardLogs"\RTDC4017\2017-01-06 --exclude "*" --recursive --include "*20170106*" &amp; "%USERPROFILE%\Documents\GitHub\mrs-test-scripts\Headless Mode &amp; Sideloading\WalkAndUnGZ.bat" "%USERPROFILE%\AppData\Local\Temp\OnboardLogs"\RTDC4017\2017-01-06 &amp; aws s3 cp s3://rtdc.mdm.uploadarchive.raw/RTDC4017/ "%USERPROFILE%\AppData\Local\Temp\OnboardLogs"\RTDC4017\2017-01-07 --exclude "*" --recursive --include "*20170107*" &amp; "%USERPROFILE%\Documents\GitHub\mrs-test-scripts\Headless Mode &amp; Sideloading\WalkAndUnGZ.bat" "%USERPROFILE%\AppData\Local\Temp\OnboardLogs"\RTDC4017\2017-01-07</v>
      </c>
      <c r="AF102" s="84" t="str">
        <f t="shared" si="39"/>
        <v>"C:\Program Files (x86)\AstroGrep\AstroGrep.exe" /spath="%USERPROFILE%\AppData\Local\Temp\OnboardLogs" /stypes="app*4017*20170106*" /stext=" 23:.+((SYSTEM_STATE.+slice.+state.+changed )|(ment ac)|(multiple cpu faults)|(system.+state.+changed )|(\[timeout)|(PRM\|1\|D)|(kpr)|(kdp)|(\|lc)|(penalty))" /e /r /s</v>
      </c>
      <c r="AG102" s="1" t="str">
        <f t="shared" si="40"/>
        <v>EC</v>
      </c>
      <c r="AH102" s="88" t="str">
        <f t="shared" si="41"/>
        <v>"%USERPROFILE%\Documents\GitHub\eaglep3\Utilities\RefineRTDCRunTimes.py" --tripid 190-06 --locoid 4017 --swversion DE.1.0.8.0 --startMP 204:232984 --initTime 2017-01-06T15:37:19 --startdatetime 2017-01-06T15:44:33 --delay 1 --endMP 204:145 --enddatetime 2017-01-06T16:31:57 --enforcementcount 0 &gt;&gt;C:\Users\stu\Documents\GitHub\eaglep3-reporting\EC\2017-01-06-refined-times.txt</v>
      </c>
      <c r="AI102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{"issue":{"subject":"","project_id":79,"tracker_id":40,"status_id":1,"priority_id":2,"assigned_to_id":23,"start_date":"2017-01-06","description":"","custom_fields":[{"id":1,"name":"Subdivision","value":"EC"},{"id":4,"name":"Milepost","value":"0.0145"},{"id":17,"name":"Train ID","value":"190-06"},{"id":16,"name":"Locomotive ID","value":"4017"},{"id":130,"name":"Impact","value":""},{"id":150,"name":"Time of Event (Mountain Time)","value":"16:31:57"},{"id":151,"name":"Denver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80" t="str">
        <f t="shared" si="43"/>
        <v>start /low /b %USERPROFILE%\Documents\GitHub\eaglep3\Utilities\DownloadLogsFromS3.py --loco 4017 --day 2017-01-06</v>
      </c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579</v>
      </c>
      <c r="B103" s="7">
        <v>4044</v>
      </c>
      <c r="C103" s="22" t="s">
        <v>203</v>
      </c>
      <c r="D103" s="22" t="s">
        <v>251</v>
      </c>
      <c r="E103" s="13">
        <v>42741.621412037035</v>
      </c>
      <c r="F103" s="13">
        <v>42741.626435185186</v>
      </c>
      <c r="G103" s="7">
        <v>1</v>
      </c>
      <c r="H103" s="22" t="s">
        <v>687</v>
      </c>
      <c r="I103" s="13">
        <v>42741.656365740739</v>
      </c>
      <c r="J103" s="7">
        <v>0</v>
      </c>
      <c r="K103" s="105" t="str">
        <f t="shared" si="28"/>
        <v>4043/4044</v>
      </c>
      <c r="L103" s="22" t="str">
        <f>VLOOKUP(A103,'Trips&amp;Operators'!$C$1:$G$99999,5,FALSE)</f>
        <v>CLARK KATHLEEN</v>
      </c>
      <c r="M103" s="6">
        <f t="shared" si="29"/>
        <v>2.9930555552709848E-2</v>
      </c>
      <c r="N103" s="7">
        <f t="shared" si="44"/>
        <v>43.099999995902181</v>
      </c>
      <c r="O103" s="7"/>
      <c r="P103" s="7"/>
      <c r="Q103" s="23"/>
      <c r="R103" s="23"/>
      <c r="S103" s="32">
        <f t="shared" si="45"/>
        <v>1</v>
      </c>
      <c r="T103" s="47" t="str">
        <f t="shared" si="30"/>
        <v>NorthBound</v>
      </c>
      <c r="U103" s="16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13:54:50-700',mode:absolute,to:'2017-01-06 16:45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3" s="49" t="str">
        <f t="shared" si="32"/>
        <v>N</v>
      </c>
      <c r="X103" s="173">
        <f t="shared" si="33"/>
        <v>1</v>
      </c>
      <c r="Y103" s="64">
        <f t="shared" si="34"/>
        <v>4.6199999999999998E-2</v>
      </c>
      <c r="Z103" s="64">
        <f t="shared" si="35"/>
        <v>23.329699999999999</v>
      </c>
      <c r="AA103" s="64">
        <f t="shared" si="36"/>
        <v>23.2835</v>
      </c>
      <c r="AB103" s="61"/>
      <c r="AC103" s="57"/>
      <c r="AD103" s="58" t="str">
        <f t="shared" si="37"/>
        <v>0191-06</v>
      </c>
      <c r="AE103" s="87" t="str">
        <f t="shared" si="38"/>
        <v>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 &amp; aws s3 cp s3://rtdc.mdm.uploadarchive.raw/RTDC4044/ "%USERPROFILE%\AppData\Local\Temp\OnboardLogs"\RTDC4044\2017-01-07 --exclude "*" --recursive --include "*20170107*" &amp; "%USERPROFILE%\Documents\GitHub\mrs-test-scripts\Headless Mode &amp; Sideloading\WalkAndUnGZ.bat" "%USERPROFILE%\AppData\Local\Temp\OnboardLogs"\RTDC4044\2017-01-07</v>
      </c>
      <c r="AF103" s="84" t="str">
        <f t="shared" si="39"/>
        <v>"C:\Program Files (x86)\AstroGrep\AstroGrep.exe" /spath="%USERPROFILE%\AppData\Local\Temp\OnboardLogs" /stypes="app*4044*20170106*" /stext=" 22:.+((SYSTEM_STATE.+slice.+state.+changed )|(ment ac)|(multiple cpu faults)|(system.+state.+changed )|(\[timeout)|(PRM\|1\|D)|(kpr)|(kdp)|(\|lc)|(penalty))" /e /r /s</v>
      </c>
      <c r="AG103" s="1" t="str">
        <f t="shared" si="40"/>
        <v>EC</v>
      </c>
      <c r="AH103" s="88" t="str">
        <f t="shared" si="41"/>
        <v>"%USERPROFILE%\Documents\GitHub\eaglep3\Utilities\RefineRTDCRunTimes.py" --tripid 191-06 --locoid 4044 --swversion DE.1.0.8.0 --startMP 204:462 --initTime 2017-01-06T14:54:50 --startdatetime 2017-01-06T15:02:04 --delay 1 --endMP 204:233297 --enddatetime 2017-01-06T15:45:10 --enforcementcount 0 &gt;&gt;C:\Users\stu\Documents\GitHub\eaglep3-reporting\EC\2017-01-06-refined-times.txt</v>
      </c>
      <c r="AI103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{"issue":{"subject":"","project_id":79,"tracker_id":40,"status_id":1,"priority_id":2,"assigned_to_id":23,"start_date":"2017-01-06","description":"","custom_fields":[{"id":1,"name":"Subdivision","value":"EC"},{"id":4,"name":"Milepost","value":"23.3297"},{"id":17,"name":"Train ID","value":"191-06"},{"id":16,"name":"Locomotive ID","value":"4044"},{"id":130,"name":"Impact","value":""},{"id":150,"name":"Time of Event (Mountain Time)","value":"15:45:10"},{"id":151,"name":"Denver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80" t="str">
        <f t="shared" si="43"/>
        <v>start /low /b %USERPROFILE%\Documents\GitHub\eaglep3\Utilities\DownloadLogsFromS3.py --loco 4044 --day 2017-01-06</v>
      </c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4" t="s">
        <v>588</v>
      </c>
      <c r="B104" s="7">
        <v>4043</v>
      </c>
      <c r="C104" s="22" t="s">
        <v>203</v>
      </c>
      <c r="D104" s="22" t="s">
        <v>249</v>
      </c>
      <c r="E104" s="13">
        <v>42741.66170138889</v>
      </c>
      <c r="F104" s="13">
        <v>42741.664050925923</v>
      </c>
      <c r="G104" s="7">
        <v>1</v>
      </c>
      <c r="H104" s="22" t="s">
        <v>715</v>
      </c>
      <c r="I104" s="13">
        <v>42741.703356481485</v>
      </c>
      <c r="J104" s="7">
        <v>0</v>
      </c>
      <c r="K104" s="105" t="str">
        <f t="shared" si="28"/>
        <v>4043/4044</v>
      </c>
      <c r="L104" s="22" t="str">
        <f>VLOOKUP(A104,'Trips&amp;Operators'!$C$1:$G$99999,5,FALSE)</f>
        <v>CLARK KATHLEEN</v>
      </c>
      <c r="M104" s="6">
        <f t="shared" si="29"/>
        <v>3.9305555561440997E-2</v>
      </c>
      <c r="N104" s="7">
        <f t="shared" si="44"/>
        <v>56.600000008475035</v>
      </c>
      <c r="O104" s="7"/>
      <c r="P104" s="7"/>
      <c r="Q104" s="23"/>
      <c r="R104" s="23"/>
      <c r="S104" s="32">
        <f t="shared" si="45"/>
        <v>1</v>
      </c>
      <c r="T104" s="47" t="str">
        <f t="shared" si="30"/>
        <v>Southbound</v>
      </c>
      <c r="U104" s="16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14:52:51-700',mode:absolute,to:'2017-01-06 17:52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04" s="49" t="str">
        <f t="shared" si="32"/>
        <v>N</v>
      </c>
      <c r="X104" s="173">
        <f t="shared" si="33"/>
        <v>1</v>
      </c>
      <c r="Y104" s="64">
        <f t="shared" si="34"/>
        <v>23.297699999999999</v>
      </c>
      <c r="Z104" s="64">
        <f t="shared" si="35"/>
        <v>1.7600000000000001E-2</v>
      </c>
      <c r="AA104" s="64">
        <f t="shared" si="36"/>
        <v>23.280099999999997</v>
      </c>
      <c r="AB104" s="61"/>
      <c r="AC104" s="57"/>
      <c r="AD104" s="58" t="str">
        <f t="shared" si="37"/>
        <v>0192-06</v>
      </c>
      <c r="AE104" s="87" t="str">
        <f t="shared" si="38"/>
        <v>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 &amp; aws s3 cp s3://rtdc.mdm.uploadarchive.raw/RTDC4043/ "%USERPROFILE%\AppData\Local\Temp\OnboardLogs"\RTDC4043\2017-01-07 --exclude "*" --recursive --include "*20170107*" &amp; "%USERPROFILE%\Documents\GitHub\mrs-test-scripts\Headless Mode &amp; Sideloading\WalkAndUnGZ.bat" "%USERPROFILE%\AppData\Local\Temp\OnboardLogs"\RTDC4043\2017-01-07</v>
      </c>
      <c r="AF104" s="84" t="str">
        <f t="shared" si="39"/>
        <v>"C:\Program Files (x86)\AstroGrep\AstroGrep.exe" /spath="%USERPROFILE%\AppData\Local\Temp\OnboardLogs" /stypes="app*4043*20170106*" /stext=" 23:.+((SYSTEM_STATE.+slice.+state.+changed )|(ment ac)|(multiple cpu faults)|(system.+state.+changed )|(\[timeout)|(PRM\|1\|D)|(kpr)|(kdp)|(\|lc)|(penalty))" /e /r /s</v>
      </c>
      <c r="AG104" s="1" t="str">
        <f t="shared" si="40"/>
        <v>EC</v>
      </c>
      <c r="AH104" s="88" t="str">
        <f t="shared" si="41"/>
        <v>"%USERPROFILE%\Documents\GitHub\eaglep3\Utilities\RefineRTDCRunTimes.py" --tripid 192-06 --locoid 4043 --swversion DE.1.0.8.0 --startMP 204:232977 --initTime 2017-01-06T15:52:51 --startdatetime 2017-01-06T15:56:14 --delay 1 --endMP 204:176 --enddatetime 2017-01-06T16:52:50 --enforcementcount 0 &gt;&gt;C:\Users\stu\Documents\GitHub\eaglep3-reporting\EC\2017-01-06-refined-times.txt</v>
      </c>
      <c r="AI104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{"issue":{"subject":"","project_id":79,"tracker_id":40,"status_id":1,"priority_id":2,"assigned_to_id":23,"start_date":"2017-01-06","description":"","custom_fields":[{"id":1,"name":"Subdivision","value":"EC"},{"id":4,"name":"Milepost","value":"0.0176"},{"id":17,"name":"Train ID","value":"192-06"},{"id":16,"name":"Locomotive ID","value":"4043"},{"id":130,"name":"Impact","value":""},{"id":150,"name":"Time of Event (Mountain Time)","value":"16:52:50"},{"id":151,"name":"Denver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80" t="str">
        <f t="shared" si="43"/>
        <v>start /low /b %USERPROFILE%\Documents\GitHub\eaglep3\Utilities\DownloadLogsFromS3.py --loco 4043 --day 2017-01-06</v>
      </c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582</v>
      </c>
      <c r="B105" s="7">
        <v>4002</v>
      </c>
      <c r="C105" s="22" t="s">
        <v>203</v>
      </c>
      <c r="D105" s="22" t="s">
        <v>244</v>
      </c>
      <c r="E105" s="13">
        <v>42741.636284722219</v>
      </c>
      <c r="F105" s="13">
        <v>42741.637638888889</v>
      </c>
      <c r="G105" s="7">
        <v>1</v>
      </c>
      <c r="H105" s="22" t="s">
        <v>421</v>
      </c>
      <c r="I105" s="13">
        <v>42741.677199074074</v>
      </c>
      <c r="J105" s="7">
        <v>0</v>
      </c>
      <c r="K105" s="105" t="str">
        <f t="shared" si="28"/>
        <v>4001/4002</v>
      </c>
      <c r="L105" s="22" t="str">
        <f>VLOOKUP(A105,'Trips&amp;Operators'!$C$1:$G$99999,5,FALSE)</f>
        <v>BRUDER RICHARD</v>
      </c>
      <c r="M105" s="6">
        <f t="shared" si="29"/>
        <v>3.9560185185109731E-2</v>
      </c>
      <c r="N105" s="7">
        <f t="shared" si="44"/>
        <v>56.966666666558012</v>
      </c>
      <c r="O105" s="7"/>
      <c r="P105" s="7"/>
      <c r="Q105" s="23"/>
      <c r="R105" s="23"/>
      <c r="S105" s="32">
        <f t="shared" si="45"/>
        <v>1</v>
      </c>
      <c r="T105" s="47" t="str">
        <f t="shared" si="30"/>
        <v>NorthBound</v>
      </c>
      <c r="U105" s="16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14:16:15-700',mode:absolute,to:'2017-01-06 17:15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05" s="49" t="str">
        <f t="shared" si="32"/>
        <v>N</v>
      </c>
      <c r="X105" s="173">
        <f t="shared" si="33"/>
        <v>1</v>
      </c>
      <c r="Y105" s="64">
        <f t="shared" si="34"/>
        <v>4.6399999999999997E-2</v>
      </c>
      <c r="Z105" s="64">
        <f t="shared" si="35"/>
        <v>23.337599999999998</v>
      </c>
      <c r="AA105" s="64">
        <f t="shared" si="36"/>
        <v>23.2912</v>
      </c>
      <c r="AB105" s="61"/>
      <c r="AC105" s="57"/>
      <c r="AD105" s="58" t="str">
        <f t="shared" si="37"/>
        <v>0193-06</v>
      </c>
      <c r="AE105" s="87" t="str">
        <f t="shared" si="38"/>
        <v>aws s3 cp s3://rtdc.mdm.uploadarchive.raw/RTDC4002/ "%USERPROFILE%\AppData\Local\Temp\OnboardLogs"\RTDC4002\2017-01-06 --exclude "*" --recursive --include "*20170106*" &amp; "%USERPROFILE%\Documents\GitHub\mrs-test-scripts\Headless Mode &amp; Sideloading\WalkAndUnGZ.bat" "%USERPROFILE%\AppData\Local\Temp\OnboardLogs"\RTDC4002\2017-01-06 &amp; aws s3 cp s3://rtdc.mdm.uploadarchive.raw/RTDC4002/ "%USERPROFILE%\AppData\Local\Temp\OnboardLogs"\RTDC4002\2017-01-07 --exclude "*" --recursive --include "*20170107*" &amp; "%USERPROFILE%\Documents\GitHub\mrs-test-scripts\Headless Mode &amp; Sideloading\WalkAndUnGZ.bat" "%USERPROFILE%\AppData\Local\Temp\OnboardLogs"\RTDC4002\2017-01-07</v>
      </c>
      <c r="AF105" s="84" t="str">
        <f t="shared" si="39"/>
        <v>"C:\Program Files (x86)\AstroGrep\AstroGrep.exe" /spath="%USERPROFILE%\AppData\Local\Temp\OnboardLogs" /stypes="app*4002*20170106*" /stext=" 23:.+((SYSTEM_STATE.+slice.+state.+changed )|(ment ac)|(multiple cpu faults)|(system.+state.+changed )|(\[timeout)|(PRM\|1\|D)|(kpr)|(kdp)|(\|lc)|(penalty))" /e /r /s</v>
      </c>
      <c r="AG105" s="1" t="str">
        <f t="shared" si="40"/>
        <v>EC</v>
      </c>
      <c r="AH105" s="88" t="str">
        <f t="shared" si="41"/>
        <v>"%USERPROFILE%\Documents\GitHub\eaglep3\Utilities\RefineRTDCRunTimes.py" --tripid 193-06 --locoid 4002 --swversion DE.1.0.8.0 --startMP 204:464 --initTime 2017-01-06T15:16:15 --startdatetime 2017-01-06T15:18:12 --delay 1 --endMP 204:233376 --enddatetime 2017-01-06T16:15:10 --enforcementcount 0 &gt;&gt;C:\Users\stu\Documents\GitHub\eaglep3-reporting\EC\2017-01-06-refined-times.txt</v>
      </c>
      <c r="AI105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{"issue":{"subject":"","project_id":79,"tracker_id":40,"status_id":1,"priority_id":2,"assigned_to_id":23,"start_date":"2017-01-06","description":"","custom_fields":[{"id":1,"name":"Subdivision","value":"EC"},{"id":4,"name":"Milepost","value":"23.3376"},{"id":17,"name":"Train ID","value":"193-06"},{"id":16,"name":"Locomotive ID","value":"4002"},{"id":130,"name":"Impact","value":""},{"id":150,"name":"Time of Event (Mountain Time)","value":"16:15:10"},{"id":151,"name":"Denver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80" t="str">
        <f t="shared" si="43"/>
        <v>start /low /b %USERPROFILE%\Documents\GitHub\eaglep3\Utilities\DownloadLogsFromS3.py --loco 4002 --day 2017-01-06</v>
      </c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593</v>
      </c>
      <c r="B106" s="7">
        <v>4001</v>
      </c>
      <c r="C106" s="22" t="s">
        <v>203</v>
      </c>
      <c r="D106" s="22" t="s">
        <v>697</v>
      </c>
      <c r="E106" s="13">
        <v>42741.679236111115</v>
      </c>
      <c r="F106" s="13">
        <v>42741.680983796294</v>
      </c>
      <c r="G106" s="7">
        <v>2</v>
      </c>
      <c r="H106" s="22" t="s">
        <v>191</v>
      </c>
      <c r="I106" s="13">
        <v>42741.709513888891</v>
      </c>
      <c r="J106" s="7">
        <v>0</v>
      </c>
      <c r="K106" s="105" t="str">
        <f t="shared" si="28"/>
        <v>4001/4002</v>
      </c>
      <c r="L106" s="22" t="str">
        <f>VLOOKUP(A106,'Trips&amp;Operators'!$C$1:$G$99999,5,FALSE)</f>
        <v>BRUDER RICHARD</v>
      </c>
      <c r="M106" s="6">
        <f t="shared" si="29"/>
        <v>2.8530092597065959E-2</v>
      </c>
      <c r="N106" s="7">
        <f t="shared" si="44"/>
        <v>41.083333339774981</v>
      </c>
      <c r="O106" s="7"/>
      <c r="P106" s="7"/>
      <c r="Q106" s="23"/>
      <c r="R106" s="23"/>
      <c r="S106" s="32">
        <f t="shared" si="45"/>
        <v>1</v>
      </c>
      <c r="T106" s="47" t="str">
        <f t="shared" si="30"/>
        <v>Southbound</v>
      </c>
      <c r="U106" s="16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15:18:06-700',mode:absolute,to:'2017-01-06 18:01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06" s="49" t="str">
        <f t="shared" si="32"/>
        <v>N</v>
      </c>
      <c r="X106" s="173">
        <f t="shared" si="33"/>
        <v>1</v>
      </c>
      <c r="Y106" s="64">
        <f t="shared" si="34"/>
        <v>23.297999999999998</v>
      </c>
      <c r="Z106" s="64">
        <f t="shared" si="35"/>
        <v>1.49E-2</v>
      </c>
      <c r="AA106" s="64">
        <f t="shared" si="36"/>
        <v>23.283099999999997</v>
      </c>
      <c r="AB106" s="61"/>
      <c r="AC106" s="57"/>
      <c r="AD106" s="58" t="str">
        <f t="shared" si="37"/>
        <v>0194-06</v>
      </c>
      <c r="AE106" s="87" t="str">
        <f t="shared" si="38"/>
        <v>aws s3 cp s3://rtdc.mdm.uploadarchive.raw/RTDC4001/ "%USERPROFILE%\AppData\Local\Temp\OnboardLogs"\RTDC4001\2017-01-06 --exclude "*" --recursive --include "*20170106*" &amp; "%USERPROFILE%\Documents\GitHub\mrs-test-scripts\Headless Mode &amp; Sideloading\WalkAndUnGZ.bat" "%USERPROFILE%\AppData\Local\Temp\OnboardLogs"\RTDC4001\2017-01-06 &amp; aws s3 cp s3://rtdc.mdm.uploadarchive.raw/RTDC4001/ "%USERPROFILE%\AppData\Local\Temp\OnboardLogs"\RTDC4001\2017-01-07 --exclude "*" --recursive --include "*20170107*" &amp; "%USERPROFILE%\Documents\GitHub\mrs-test-scripts\Headless Mode &amp; Sideloading\WalkAndUnGZ.bat" "%USERPROFILE%\AppData\Local\Temp\OnboardLogs"\RTDC4001\2017-01-07</v>
      </c>
      <c r="AF106" s="84" t="str">
        <f t="shared" si="39"/>
        <v>"C:\Program Files (x86)\AstroGrep\AstroGrep.exe" /spath="%USERPROFILE%\AppData\Local\Temp\OnboardLogs" /stypes="app*4001*20170107*" /stext=" 00:.+((SYSTEM_STATE.+slice.+state.+changed )|(ment ac)|(multiple cpu faults)|(system.+state.+changed )|(\[timeout)|(PRM\|1\|D)|(kpr)|(kdp)|(\|lc)|(penalty))" /e /r /s</v>
      </c>
      <c r="AG106" s="1" t="str">
        <f t="shared" si="40"/>
        <v>EC</v>
      </c>
      <c r="AH106" s="88" t="str">
        <f t="shared" si="41"/>
        <v>"%USERPROFILE%\Documents\GitHub\eaglep3\Utilities\RefineRTDCRunTimes.py" --tripid 194-06 --locoid 4001 --swversion DE.1.0.8.0 --startMP 204:232980 --initTime 2017-01-06T16:18:06 --startdatetime 2017-01-06T16:20:37 --delay 2 --endMP 204:149 --enddatetime 2017-01-06T17:01:42 --enforcementcount 0 &gt;&gt;C:\Users\stu\Documents\GitHub\eaglep3-reporting\EC\2017-01-06-refined-times.txt</v>
      </c>
      <c r="AI106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{"issue":{"subject":"","project_id":79,"tracker_id":40,"status_id":1,"priority_id":2,"assigned_to_id":23,"start_date":"2017-01-06","description":"","custom_fields":[{"id":1,"name":"Subdivision","value":"EC"},{"id":4,"name":"Milepost","value":"0.0149"},{"id":17,"name":"Train ID","value":"194-06"},{"id":16,"name":"Locomotive ID","value":"4001"},{"id":130,"name":"Impact","value":""},{"id":150,"name":"Time of Event (Mountain Time)","value":"17:01:42"},{"id":151,"name":"Denver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80" t="str">
        <f t="shared" si="43"/>
        <v>start /low /b %USERPROFILE%\Documents\GitHub\eaglep3\Utilities\DownloadLogsFromS3.py --loco 4001 --day 2017-01-06</v>
      </c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585</v>
      </c>
      <c r="B107" s="7">
        <v>4029</v>
      </c>
      <c r="C107" s="22" t="s">
        <v>203</v>
      </c>
      <c r="D107" s="22" t="s">
        <v>226</v>
      </c>
      <c r="E107" s="13">
        <v>42741.645509259259</v>
      </c>
      <c r="F107" s="13">
        <v>42741.653356481482</v>
      </c>
      <c r="G107" s="7">
        <v>1</v>
      </c>
      <c r="H107" s="22" t="s">
        <v>681</v>
      </c>
      <c r="I107" s="13">
        <v>42741.684004629627</v>
      </c>
      <c r="J107" s="7">
        <v>0</v>
      </c>
      <c r="K107" s="105" t="str">
        <f t="shared" si="28"/>
        <v>4029/4030</v>
      </c>
      <c r="L107" s="22" t="str">
        <f>VLOOKUP(A107,'Trips&amp;Operators'!$C$1:$G$99999,5,FALSE)</f>
        <v>HELVIE ADAM</v>
      </c>
      <c r="M107" s="6">
        <f t="shared" si="29"/>
        <v>3.0648148145701271E-2</v>
      </c>
      <c r="N107" s="7">
        <f t="shared" si="44"/>
        <v>44.13333332980983</v>
      </c>
      <c r="O107" s="7"/>
      <c r="P107" s="7"/>
      <c r="Q107" s="23"/>
      <c r="R107" s="23"/>
      <c r="S107" s="32">
        <f t="shared" si="45"/>
        <v>1</v>
      </c>
      <c r="T107" s="47" t="str">
        <f t="shared" si="30"/>
        <v>NorthBound</v>
      </c>
      <c r="U107" s="16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14:29:32-700',mode:absolute,to:'2017-01-06 17:24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07" s="49" t="str">
        <f t="shared" si="32"/>
        <v>N</v>
      </c>
      <c r="X107" s="173">
        <f t="shared" si="33"/>
        <v>1</v>
      </c>
      <c r="Y107" s="64">
        <f t="shared" si="34"/>
        <v>4.5999999999999999E-2</v>
      </c>
      <c r="Z107" s="64">
        <f t="shared" si="35"/>
        <v>23.3306</v>
      </c>
      <c r="AA107" s="64">
        <f t="shared" si="36"/>
        <v>23.284600000000001</v>
      </c>
      <c r="AB107" s="61"/>
      <c r="AC107" s="57"/>
      <c r="AD107" s="58" t="str">
        <f t="shared" si="37"/>
        <v>0195-06</v>
      </c>
      <c r="AE107" s="87" t="str">
        <f t="shared" si="38"/>
        <v>aws s3 cp s3://rtdc.mdm.uploadarchive.raw/RTDC4029/ "%USERPROFILE%\AppData\Local\Temp\OnboardLogs"\RTDC4029\2017-01-06 --exclude "*" --recursive --include "*20170106*" &amp; "%USERPROFILE%\Documents\GitHub\mrs-test-scripts\Headless Mode &amp; Sideloading\WalkAndUnGZ.bat" "%USERPROFILE%\AppData\Local\Temp\OnboardLogs"\RTDC4029\2017-01-06 &amp; aws s3 cp s3://rtdc.mdm.uploadarchive.raw/RTDC4029/ "%USERPROFILE%\AppData\Local\Temp\OnboardLogs"\RTDC4029\2017-01-07 --exclude "*" --recursive --include "*20170107*" &amp; "%USERPROFILE%\Documents\GitHub\mrs-test-scripts\Headless Mode &amp; Sideloading\WalkAndUnGZ.bat" "%USERPROFILE%\AppData\Local\Temp\OnboardLogs"\RTDC4029\2017-01-07</v>
      </c>
      <c r="AF107" s="84" t="str">
        <f t="shared" si="39"/>
        <v>"C:\Program Files (x86)\AstroGrep\AstroGrep.exe" /spath="%USERPROFILE%\AppData\Local\Temp\OnboardLogs" /stypes="app*4029*20170106*" /stext=" 23:.+((SYSTEM_STATE.+slice.+state.+changed )|(ment ac)|(multiple cpu faults)|(system.+state.+changed )|(\[timeout)|(PRM\|1\|D)|(kpr)|(kdp)|(\|lc)|(penalty))" /e /r /s</v>
      </c>
      <c r="AG107" s="1" t="str">
        <f t="shared" si="40"/>
        <v>EC</v>
      </c>
      <c r="AH107" s="88" t="str">
        <f t="shared" si="41"/>
        <v>"%USERPROFILE%\Documents\GitHub\eaglep3\Utilities\RefineRTDCRunTimes.py" --tripid 195-06 --locoid 4029 --swversion DE.1.0.8.0 --startMP 204:460 --initTime 2017-01-06T15:29:32 --startdatetime 2017-01-06T15:40:50 --delay 1 --endMP 204:233306 --enddatetime 2017-01-06T16:24:58 --enforcementcount 0 &gt;&gt;C:\Users\stu\Documents\GitHub\eaglep3-reporting\EC\2017-01-06-refined-times.txt</v>
      </c>
      <c r="AI107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{"issue":{"subject":"","project_id":79,"tracker_id":40,"status_id":1,"priority_id":2,"assigned_to_id":23,"start_date":"2017-01-06","description":"","custom_fields":[{"id":1,"name":"Subdivision","value":"EC"},{"id":4,"name":"Milepost","value":"23.3306"},{"id":17,"name":"Train ID","value":"195-06"},{"id":16,"name":"Locomotive ID","value":"4029"},{"id":130,"name":"Impact","value":""},{"id":150,"name":"Time of Event (Mountain Time)","value":"16:24:58"},{"id":151,"name":"Denver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80" t="str">
        <f t="shared" si="43"/>
        <v>start /low /b %USERPROFILE%\Documents\GitHub\eaglep3\Utilities\DownloadLogsFromS3.py --loco 4029 --day 2017-01-06</v>
      </c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595</v>
      </c>
      <c r="B108" s="7">
        <v>4030</v>
      </c>
      <c r="C108" s="22" t="s">
        <v>203</v>
      </c>
      <c r="D108" s="22" t="s">
        <v>367</v>
      </c>
      <c r="E108" s="13">
        <v>42741.685856481483</v>
      </c>
      <c r="F108" s="13">
        <v>42741.687175925923</v>
      </c>
      <c r="G108" s="7">
        <v>0</v>
      </c>
      <c r="H108" s="22" t="s">
        <v>716</v>
      </c>
      <c r="I108" s="13">
        <v>42741.721342592595</v>
      </c>
      <c r="J108" s="7">
        <v>0</v>
      </c>
      <c r="K108" s="105" t="str">
        <f t="shared" si="28"/>
        <v>4029/4030</v>
      </c>
      <c r="L108" s="22" t="str">
        <f>VLOOKUP(A108,'Trips&amp;Operators'!$C$1:$G$99999,5,FALSE)</f>
        <v>HELVIE ADAM</v>
      </c>
      <c r="M108" s="6">
        <f t="shared" si="29"/>
        <v>3.4166666671808343E-2</v>
      </c>
      <c r="N108" s="7">
        <f t="shared" si="44"/>
        <v>49.200000007404014</v>
      </c>
      <c r="O108" s="7"/>
      <c r="P108" s="7"/>
      <c r="Q108" s="23"/>
      <c r="R108" s="23"/>
      <c r="S108" s="32">
        <f t="shared" si="45"/>
        <v>1</v>
      </c>
      <c r="T108" s="47" t="str">
        <f t="shared" si="30"/>
        <v>Southbound</v>
      </c>
      <c r="U108" s="16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15:27:38-700',mode:absolute,to:'2017-01-06 18:18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08" s="49" t="str">
        <f t="shared" si="32"/>
        <v>N</v>
      </c>
      <c r="X108" s="173">
        <f t="shared" si="33"/>
        <v>1</v>
      </c>
      <c r="Y108" s="64">
        <f t="shared" si="34"/>
        <v>23.299299999999999</v>
      </c>
      <c r="Z108" s="64">
        <f t="shared" si="35"/>
        <v>2.4199999999999999E-2</v>
      </c>
      <c r="AA108" s="64">
        <f t="shared" si="36"/>
        <v>23.275099999999998</v>
      </c>
      <c r="AB108" s="61"/>
      <c r="AC108" s="57"/>
      <c r="AD108" s="58" t="str">
        <f t="shared" si="37"/>
        <v>0196-06</v>
      </c>
      <c r="AE108" s="87" t="str">
        <f t="shared" si="38"/>
        <v>aws s3 cp s3://rtdc.mdm.uploadarchive.raw/RTDC4030/ "%USERPROFILE%\AppData\Local\Temp\OnboardLogs"\RTDC4030\2017-01-06 --exclude "*" --recursive --include "*20170106*" &amp; "%USERPROFILE%\Documents\GitHub\mrs-test-scripts\Headless Mode &amp; Sideloading\WalkAndUnGZ.bat" "%USERPROFILE%\AppData\Local\Temp\OnboardLogs"\RTDC4030\2017-01-06 &amp; aws s3 cp s3://rtdc.mdm.uploadarchive.raw/RTDC4030/ "%USERPROFILE%\AppData\Local\Temp\OnboardLogs"\RTDC4030\2017-01-07 --exclude "*" --recursive --include "*20170107*" &amp; "%USERPROFILE%\Documents\GitHub\mrs-test-scripts\Headless Mode &amp; Sideloading\WalkAndUnGZ.bat" "%USERPROFILE%\AppData\Local\Temp\OnboardLogs"\RTDC4030\2017-01-07</v>
      </c>
      <c r="AF108" s="84" t="str">
        <f t="shared" si="39"/>
        <v>"C:\Program Files (x86)\AstroGrep\AstroGrep.exe" /spath="%USERPROFILE%\AppData\Local\Temp\OnboardLogs" /stypes="app*4030*20170107*" /stext=" 00:.+((SYSTEM_STATE.+slice.+state.+changed )|(ment ac)|(multiple cpu faults)|(system.+state.+changed )|(\[timeout)|(PRM\|1\|D)|(kpr)|(kdp)|(\|lc)|(penalty))" /e /r /s</v>
      </c>
      <c r="AG108" s="1" t="str">
        <f t="shared" si="40"/>
        <v>EC</v>
      </c>
      <c r="AH108" s="88" t="str">
        <f t="shared" si="41"/>
        <v>"%USERPROFILE%\Documents\GitHub\eaglep3\Utilities\RefineRTDCRunTimes.py" --tripid 196-06 --locoid 4030 --swversion DE.1.0.8.0 --startMP 204:232993 --initTime 2017-01-06T16:27:38 --startdatetime 2017-01-06T16:29:32 --delay 0 --endMP 204:242 --enddatetime 2017-01-06T17:18:44 --enforcementcount 0 &gt;&gt;C:\Users\stu\Documents\GitHub\eaglep3-reporting\EC\2017-01-06-refined-times.txt</v>
      </c>
      <c r="AI108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{"issue":{"subject":"","project_id":79,"tracker_id":40,"status_id":1,"priority_id":2,"assigned_to_id":23,"start_date":"2017-01-06","description":"","custom_fields":[{"id":1,"name":"Subdivision","value":"EC"},{"id":4,"name":"Milepost","value":"0.0242"},{"id":17,"name":"Train ID","value":"196-06"},{"id":16,"name":"Locomotive ID","value":"4030"},{"id":130,"name":"Impact","value":""},{"id":150,"name":"Time of Event (Mountain Time)","value":"17:18:44"},{"id":151,"name":"Denver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80" t="str">
        <f t="shared" si="43"/>
        <v>start /low /b %USERPROFILE%\Documents\GitHub\eaglep3\Utilities\DownloadLogsFromS3.py --loco 4030 --day 2017-01-06</v>
      </c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589</v>
      </c>
      <c r="B109" s="7">
        <v>4009</v>
      </c>
      <c r="C109" s="22" t="s">
        <v>203</v>
      </c>
      <c r="D109" s="22" t="s">
        <v>370</v>
      </c>
      <c r="E109" s="13">
        <v>42741.666180555556</v>
      </c>
      <c r="F109" s="13">
        <v>42741.668888888889</v>
      </c>
      <c r="G109" s="7">
        <v>1</v>
      </c>
      <c r="H109" s="22" t="s">
        <v>687</v>
      </c>
      <c r="I109" s="13">
        <v>42741.698587962965</v>
      </c>
      <c r="J109" s="7">
        <v>0</v>
      </c>
      <c r="K109" s="105" t="str">
        <f t="shared" si="28"/>
        <v>4009/4010</v>
      </c>
      <c r="L109" s="22" t="str">
        <f>VLOOKUP(A109,'Trips&amp;Operators'!$C$1:$G$99999,5,FALSE)</f>
        <v>BRANDNER MELINDA</v>
      </c>
      <c r="M109" s="6">
        <f t="shared" si="29"/>
        <v>2.9699074075324461E-2</v>
      </c>
      <c r="N109" s="7">
        <f t="shared" si="44"/>
        <v>42.766666668467224</v>
      </c>
      <c r="O109" s="7"/>
      <c r="P109" s="7"/>
      <c r="Q109" s="23"/>
      <c r="R109" s="23"/>
      <c r="S109" s="32">
        <f t="shared" si="45"/>
        <v>1</v>
      </c>
      <c r="T109" s="47" t="str">
        <f t="shared" ref="T109:T140" si="46">IF(ISEVEN(LEFT(AD109,4)),"Southbound","NorthBound")</f>
        <v>NorthBound</v>
      </c>
      <c r="U109" s="16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14:59:18-700',mode:absolute,to:'2017-01-06 17:45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09" s="49" t="str">
        <f t="shared" si="32"/>
        <v>N</v>
      </c>
      <c r="X109" s="173">
        <f t="shared" ref="X109:X132" si="47">VALUE(LEFT(AD109,4))-VALUE(LEFT(AD108,4))</f>
        <v>3</v>
      </c>
      <c r="Y109" s="64">
        <f t="shared" si="34"/>
        <v>4.3099999999999999E-2</v>
      </c>
      <c r="Z109" s="64">
        <f t="shared" ref="Z109:Z140" si="48">RIGHT(H109,LEN(H109)-4)/10000</f>
        <v>23.329699999999999</v>
      </c>
      <c r="AA109" s="64">
        <f t="shared" si="36"/>
        <v>23.2866</v>
      </c>
      <c r="AB109" s="61"/>
      <c r="AC109" s="57"/>
      <c r="AD109" s="58" t="str">
        <f t="shared" si="37"/>
        <v>0199-06</v>
      </c>
      <c r="AE109" s="87" t="str">
        <f t="shared" si="38"/>
        <v>aws s3 cp s3://rtdc.mdm.uploadarchive.raw/RTDC4009/ "%USERPROFILE%\AppData\Local\Temp\OnboardLogs"\RTDC4009\2017-01-06 --exclude "*" --recursive --include "*20170106*" &amp; "%USERPROFILE%\Documents\GitHub\mrs-test-scripts\Headless Mode &amp; Sideloading\WalkAndUnGZ.bat" "%USERPROFILE%\AppData\Local\Temp\OnboardLogs"\RTDC4009\2017-01-06 &amp; aws s3 cp s3://rtdc.mdm.uploadarchive.raw/RTDC4009/ "%USERPROFILE%\AppData\Local\Temp\OnboardLogs"\RTDC4009\2017-01-07 --exclude "*" --recursive --include "*20170107*" &amp; "%USERPROFILE%\Documents\GitHub\mrs-test-scripts\Headless Mode &amp; Sideloading\WalkAndUnGZ.bat" "%USERPROFILE%\AppData\Local\Temp\OnboardLogs"\RTDC4009\2017-01-07</v>
      </c>
      <c r="AF109" s="84" t="str">
        <f t="shared" si="39"/>
        <v>"C:\Program Files (x86)\AstroGrep\AstroGrep.exe" /spath="%USERPROFILE%\AppData\Local\Temp\OnboardLogs" /stypes="app*4009*20170106*" /stext=" 23:.+((SYSTEM_STATE.+slice.+state.+changed )|(ment ac)|(multiple cpu faults)|(system.+state.+changed )|(\[timeout)|(PRM\|1\|D)|(kpr)|(kdp)|(\|lc)|(penalty))" /e /r /s</v>
      </c>
      <c r="AG109" s="1" t="str">
        <f t="shared" si="40"/>
        <v>EC</v>
      </c>
      <c r="AH109" s="88" t="str">
        <f t="shared" si="41"/>
        <v>"%USERPROFILE%\Documents\GitHub\eaglep3\Utilities\RefineRTDCRunTimes.py" --tripid 199-06 --locoid 4009 --swversion DE.1.0.8.0 --startMP 204:431 --initTime 2017-01-06T15:59:18 --startdatetime 2017-01-06T16:03:12 --delay 1 --endMP 204:233297 --enddatetime 2017-01-06T16:45:58 --enforcementcount 0 &gt;&gt;C:\Users\stu\Documents\GitHub\eaglep3-reporting\EC\2017-01-06-refined-times.txt</v>
      </c>
      <c r="AI109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{"issue":{"subject":"","project_id":79,"tracker_id":40,"status_id":1,"priority_id":2,"assigned_to_id":23,"start_date":"2017-01-06","description":"","custom_fields":[{"id":1,"name":"Subdivision","value":"EC"},{"id":4,"name":"Milepost","value":"23.3297"},{"id":17,"name":"Train ID","value":"199-06"},{"id":16,"name":"Locomotive ID","value":"4009"},{"id":130,"name":"Impact","value":""},{"id":150,"name":"Time of Event (Mountain Time)","value":"16:45:58"},{"id":151,"name":"Denver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80" t="str">
        <f t="shared" si="43"/>
        <v>start /low /b %USERPROFILE%\Documents\GitHub\eaglep3\Utilities\DownloadLogsFromS3.py --loco 4009 --day 2017-01-06</v>
      </c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4" t="s">
        <v>461</v>
      </c>
      <c r="B110" s="7">
        <v>4010</v>
      </c>
      <c r="C110" s="22" t="s">
        <v>203</v>
      </c>
      <c r="D110" s="22" t="s">
        <v>280</v>
      </c>
      <c r="E110" s="13">
        <v>42741.703634259262</v>
      </c>
      <c r="F110" s="13">
        <v>42741.705949074072</v>
      </c>
      <c r="G110" s="7">
        <v>1</v>
      </c>
      <c r="H110" s="22" t="s">
        <v>717</v>
      </c>
      <c r="I110" s="13">
        <v>42741.73946759259</v>
      </c>
      <c r="J110" s="7">
        <v>0</v>
      </c>
      <c r="K110" s="105" t="str">
        <f t="shared" si="28"/>
        <v>4009/4010</v>
      </c>
      <c r="L110" s="22" t="str">
        <f>VLOOKUP(A110,'Trips&amp;Operators'!$C$1:$G$99999,5,FALSE)</f>
        <v>BRANDNER MELINDA</v>
      </c>
      <c r="M110" s="6">
        <f t="shared" si="29"/>
        <v>3.3518518517666962E-2</v>
      </c>
      <c r="N110" s="7">
        <f t="shared" si="44"/>
        <v>48.266666665440425</v>
      </c>
      <c r="O110" s="7"/>
      <c r="P110" s="7"/>
      <c r="Q110" s="23"/>
      <c r="R110" s="23"/>
      <c r="S110" s="32">
        <f t="shared" si="45"/>
        <v>1</v>
      </c>
      <c r="T110" s="47" t="str">
        <f t="shared" si="46"/>
        <v>Southbound</v>
      </c>
      <c r="U110" s="16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15:53:14-700',mode:absolute,to:'2017-01-06 18:44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10" s="49" t="str">
        <f t="shared" si="32"/>
        <v>N</v>
      </c>
      <c r="X110" s="173">
        <f t="shared" si="47"/>
        <v>1</v>
      </c>
      <c r="Y110" s="64">
        <f t="shared" si="34"/>
        <v>23.298200000000001</v>
      </c>
      <c r="Z110" s="64">
        <f t="shared" si="48"/>
        <v>2.1600000000000001E-2</v>
      </c>
      <c r="AA110" s="64">
        <f t="shared" si="36"/>
        <v>23.276600000000002</v>
      </c>
      <c r="AB110" s="61"/>
      <c r="AC110" s="57"/>
      <c r="AD110" s="58" t="str">
        <f t="shared" si="37"/>
        <v>0200-06</v>
      </c>
      <c r="AE110" s="87" t="str">
        <f t="shared" si="38"/>
        <v>aws s3 cp s3://rtdc.mdm.uploadarchive.raw/RTDC4010/ "%USERPROFILE%\AppData\Local\Temp\OnboardLogs"\RTDC4010\2017-01-06 --exclude "*" --recursive --include "*20170106*" &amp; "%USERPROFILE%\Documents\GitHub\mrs-test-scripts\Headless Mode &amp; Sideloading\WalkAndUnGZ.bat" "%USERPROFILE%\AppData\Local\Temp\OnboardLogs"\RTDC4010\2017-01-06 &amp; aws s3 cp s3://rtdc.mdm.uploadarchive.raw/RTDC4010/ "%USERPROFILE%\AppData\Local\Temp\OnboardLogs"\RTDC4010\2017-01-07 --exclude "*" --recursive --include "*20170107*" &amp; "%USERPROFILE%\Documents\GitHub\mrs-test-scripts\Headless Mode &amp; Sideloading\WalkAndUnGZ.bat" "%USERPROFILE%\AppData\Local\Temp\OnboardLogs"\RTDC4010\2017-01-07</v>
      </c>
      <c r="AF110" s="84" t="str">
        <f t="shared" si="39"/>
        <v>"C:\Program Files (x86)\AstroGrep\AstroGrep.exe" /spath="%USERPROFILE%\AppData\Local\Temp\OnboardLogs" /stypes="app*4010*20170107*" /stext=" 00:.+((SYSTEM_STATE.+slice.+state.+changed )|(ment ac)|(multiple cpu faults)|(system.+state.+changed )|(\[timeout)|(PRM\|1\|D)|(kpr)|(kdp)|(\|lc)|(penalty))" /e /r /s</v>
      </c>
      <c r="AG110" s="1" t="str">
        <f t="shared" si="40"/>
        <v>EC</v>
      </c>
      <c r="AH110" s="88" t="str">
        <f t="shared" si="41"/>
        <v>"%USERPROFILE%\Documents\GitHub\eaglep3\Utilities\RefineRTDCRunTimes.py" --tripid 200-06 --locoid 4010 --swversion DE.1.0.8.0 --startMP 204:232982 --initTime 2017-01-06T16:53:14 --startdatetime 2017-01-06T16:56:34 --delay 1 --endMP 204:216 --enddatetime 2017-01-06T17:44:50 --enforcementcount 0 &gt;&gt;C:\Users\stu\Documents\GitHub\eaglep3-reporting\EC\2017-01-06-refined-times.txt</v>
      </c>
      <c r="AI110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{"issue":{"subject":"","project_id":79,"tracker_id":40,"status_id":1,"priority_id":2,"assigned_to_id":23,"start_date":"2017-01-06","description":"","custom_fields":[{"id":1,"name":"Subdivision","value":"EC"},{"id":4,"name":"Milepost","value":"0.0216"},{"id":17,"name":"Train ID","value":"200-06"},{"id":16,"name":"Locomotive ID","value":"4010"},{"id":130,"name":"Impact","value":""},{"id":150,"name":"Time of Event (Mountain Time)","value":"17:44:50"},{"id":151,"name":"Denver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80" t="str">
        <f t="shared" si="43"/>
        <v>start /low /b %USERPROFILE%\Documents\GitHub\eaglep3\Utilities\DownloadLogsFromS3.py --loco 4010 --day 2017-01-06</v>
      </c>
    </row>
    <row r="111" spans="1:91" s="21" customFormat="1" x14ac:dyDescent="0.25">
      <c r="A111" s="34" t="s">
        <v>591</v>
      </c>
      <c r="B111" s="7">
        <v>4003</v>
      </c>
      <c r="C111" s="22" t="s">
        <v>203</v>
      </c>
      <c r="D111" s="22" t="s">
        <v>259</v>
      </c>
      <c r="E111" s="13">
        <v>42741.671631944446</v>
      </c>
      <c r="F111" s="13">
        <v>42741.672847222224</v>
      </c>
      <c r="G111" s="7">
        <v>1</v>
      </c>
      <c r="H111" s="22" t="s">
        <v>718</v>
      </c>
      <c r="I111" s="13">
        <v>42741.682870370372</v>
      </c>
      <c r="J111" s="7">
        <v>0</v>
      </c>
      <c r="K111" s="105" t="str">
        <f t="shared" si="28"/>
        <v>4003/4004</v>
      </c>
      <c r="L111" s="22" t="str">
        <f>VLOOKUP(A111,'Trips&amp;Operators'!$C$1:$G$99999,5,FALSE)</f>
        <v>BRANNON JEFFREY</v>
      </c>
      <c r="M111" s="6">
        <f t="shared" si="29"/>
        <v>1.0023148148320615E-2</v>
      </c>
      <c r="N111" s="7"/>
      <c r="O111" s="7"/>
      <c r="P111" s="7">
        <f>24*60*SUM($M111:$M111)</f>
        <v>14.433333333581686</v>
      </c>
      <c r="Q111" s="23"/>
      <c r="R111" s="23" t="s">
        <v>845</v>
      </c>
      <c r="S111" s="32">
        <f t="shared" si="45"/>
        <v>8.3333333333333329E-2</v>
      </c>
      <c r="T111" s="47" t="str">
        <f t="shared" si="46"/>
        <v>NorthBound</v>
      </c>
      <c r="U111" s="16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</v>
      </c>
      <c r="V111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15:07:09-700',mode:absolute,to:'2017-01-06 17:23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11" s="49" t="str">
        <f t="shared" si="32"/>
        <v>Y</v>
      </c>
      <c r="X111" s="173">
        <f t="shared" si="47"/>
        <v>1</v>
      </c>
      <c r="Y111" s="64">
        <f t="shared" si="34"/>
        <v>4.4900000000000002E-2</v>
      </c>
      <c r="Z111" s="64">
        <f t="shared" si="48"/>
        <v>2.9762</v>
      </c>
      <c r="AA111" s="64">
        <f t="shared" si="36"/>
        <v>2.9312999999999998</v>
      </c>
      <c r="AB111" s="61"/>
      <c r="AC111" s="57"/>
      <c r="AD111" s="58" t="str">
        <f t="shared" si="37"/>
        <v>0201-06</v>
      </c>
      <c r="AE111" s="87" t="str">
        <f t="shared" si="38"/>
        <v>aws s3 cp s3://rtdc.mdm.uploadarchive.raw/RTDC4003/ "%USERPROFILE%\AppData\Local\Temp\OnboardLogs"\RTDC4003\2017-01-06 --exclude "*" --recursive --include "*20170106*" &amp; "%USERPROFILE%\Documents\GitHub\mrs-test-scripts\Headless Mode &amp; Sideloading\WalkAndUnGZ.bat" "%USERPROFILE%\AppData\Local\Temp\OnboardLogs"\RTDC4003\2017-01-06 &amp; 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</v>
      </c>
      <c r="AF111" s="84" t="str">
        <f t="shared" si="39"/>
        <v>"C:\Program Files (x86)\AstroGrep\AstroGrep.exe" /spath="%USERPROFILE%\AppData\Local\Temp\OnboardLogs" /stypes="app*4003*20170106*" /stext=" 23:.+((SYSTEM_STATE.+slice.+state.+changed )|(ment ac)|(multiple cpu faults)|(system.+state.+changed )|(\[timeout)|(PRM\|1\|D)|(kpr)|(kdp)|(\|lc)|(penalty))" /e /r /s</v>
      </c>
      <c r="AG111" s="1" t="str">
        <f t="shared" si="40"/>
        <v>EC</v>
      </c>
      <c r="AH111" s="88" t="str">
        <f t="shared" si="41"/>
        <v>"%USERPROFILE%\Documents\GitHub\eaglep3\Utilities\RefineRTDCRunTimes.py" --tripid 201-06 --locoid 4003 --swversion DE.1.0.8.0 --startMP 204:449 --initTime 2017-01-06T16:07:09 --startdatetime 2017-01-06T16:08:54 --delay 1 --endMP 204:29762 --enddatetime 2017-01-06T16:23:20 --enforcementcount 0 &gt;&gt;C:\Users\stu\Documents\GitHub\eaglep3-reporting\EC\2017-01-06-refined-times.txt</v>
      </c>
      <c r="AI111" s="115" t="str">
        <f t="shared" si="42"/>
        <v>echo {"issue":{"subject":"Onboard in-route failure","project_id":79,"tracker_id":40,"status_id":1,"priority_id":2,"assigned_to_id":23,"start_date":"2017-01-06","description":"","custom_fields":[{"id":1,"name":"Subdivision","value":"EC"},{"id":4,"name":"Milepost","value":"2.9762"},{"id":17,"name":"Train ID","value":"201-06"},{"id":16,"name":"Locomotive ID","value":"4003"},{"id":130,"name":"Impact","value":""},{"id":150,"name":"Time of Event (Mountain Time)","value":"16:23:20"},{"id":151,"name":"Denver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80" t="str">
        <f t="shared" si="43"/>
        <v>start /low /b %USERPROFILE%\Documents\GitHub\eaglep3\Utilities\DownloadLogsFromS3.py --loco 4003 --day 2017-01-06</v>
      </c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4" t="s">
        <v>602</v>
      </c>
      <c r="B112" s="7">
        <v>4004</v>
      </c>
      <c r="C112" s="22" t="s">
        <v>203</v>
      </c>
      <c r="D112" s="22" t="s">
        <v>711</v>
      </c>
      <c r="E112" s="13">
        <v>42741.716840277775</v>
      </c>
      <c r="F112" s="13">
        <v>42741.718738425923</v>
      </c>
      <c r="G112" s="7">
        <v>1</v>
      </c>
      <c r="H112" s="22" t="s">
        <v>440</v>
      </c>
      <c r="I112" s="13">
        <v>42741.753587962965</v>
      </c>
      <c r="J112" s="7">
        <v>0</v>
      </c>
      <c r="K112" s="105" t="str">
        <f t="shared" si="28"/>
        <v>4003/4004</v>
      </c>
      <c r="L112" s="22" t="str">
        <f>VLOOKUP(A112,'Trips&amp;Operators'!$C$1:$G$99999,5,FALSE)</f>
        <v>BRANNON JEFFREY</v>
      </c>
      <c r="M112" s="6">
        <f t="shared" si="29"/>
        <v>3.4849537041736767E-2</v>
      </c>
      <c r="N112" s="7">
        <f t="shared" ref="N112:N134" si="49">24*60*SUM($M112:$M112)</f>
        <v>50.183333340100944</v>
      </c>
      <c r="O112" s="7"/>
      <c r="P112" s="7"/>
      <c r="Q112" s="23"/>
      <c r="R112" s="23"/>
      <c r="S112" s="32">
        <f t="shared" si="45"/>
        <v>1</v>
      </c>
      <c r="T112" s="47" t="str">
        <f t="shared" si="46"/>
        <v>Southbound</v>
      </c>
      <c r="U112" s="16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16:12:15-700',mode:absolute,to:'2017-01-06 19:05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12" s="49" t="str">
        <f t="shared" si="32"/>
        <v>N</v>
      </c>
      <c r="X112" s="173">
        <f t="shared" si="47"/>
        <v>1</v>
      </c>
      <c r="Y112" s="64">
        <f t="shared" si="34"/>
        <v>23.298500000000001</v>
      </c>
      <c r="Z112" s="64">
        <f t="shared" si="48"/>
        <v>0.1181</v>
      </c>
      <c r="AA112" s="64">
        <f t="shared" si="36"/>
        <v>23.180400000000002</v>
      </c>
      <c r="AB112" s="61"/>
      <c r="AC112" s="57"/>
      <c r="AD112" s="58" t="str">
        <f t="shared" si="37"/>
        <v>0202-06</v>
      </c>
      <c r="AE112" s="87" t="str">
        <f t="shared" si="38"/>
        <v>aws s3 cp s3://rtdc.mdm.uploadarchive.raw/RTDC4004/ "%USERPROFILE%\AppData\Local\Temp\OnboardLogs"\RTDC4004\2017-01-06 --exclude "*" --recursive --include "*20170106*" &amp; "%USERPROFILE%\Documents\GitHub\mrs-test-scripts\Headless Mode &amp; Sideloading\WalkAndUnGZ.bat" "%USERPROFILE%\AppData\Local\Temp\OnboardLogs"\RTDC4004\2017-01-06 &amp; aws s3 cp s3://rtdc.mdm.uploadarchive.raw/RTDC4004/ "%USERPROFILE%\AppData\Local\Temp\OnboardLogs"\RTDC4004\2017-01-07 --exclude "*" --recursive --include "*20170107*" &amp; "%USERPROFILE%\Documents\GitHub\mrs-test-scripts\Headless Mode &amp; Sideloading\WalkAndUnGZ.bat" "%USERPROFILE%\AppData\Local\Temp\OnboardLogs"\RTDC4004\2017-01-07</v>
      </c>
      <c r="AF112" s="84" t="str">
        <f t="shared" si="39"/>
        <v>"C:\Program Files (x86)\AstroGrep\AstroGrep.exe" /spath="%USERPROFILE%\AppData\Local\Temp\OnboardLogs" /stypes="app*4004*20170107*" /stext=" 01:.+((SYSTEM_STATE.+slice.+state.+changed )|(ment ac)|(multiple cpu faults)|(system.+state.+changed )|(\[timeout)|(PRM\|1\|D)|(kpr)|(kdp)|(\|lc)|(penalty))" /e /r /s</v>
      </c>
      <c r="AG112" s="1" t="str">
        <f t="shared" si="40"/>
        <v>EC</v>
      </c>
      <c r="AH112" s="88" t="str">
        <f t="shared" si="41"/>
        <v>"%USERPROFILE%\Documents\GitHub\eaglep3\Utilities\RefineRTDCRunTimes.py" --tripid 202-06 --locoid 4004 --swversion DE.1.0.8.0 --startMP 204:232985 --initTime 2017-01-06T17:12:15 --startdatetime 2017-01-06T17:14:59 --delay 1 --endMP 204:1181 --enddatetime 2017-01-06T18:05:10 --enforcementcount 0 &gt;&gt;C:\Users\stu\Documents\GitHub\eaglep3-reporting\EC\2017-01-06-refined-times.txt</v>
      </c>
      <c r="AI112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{"issue":{"subject":"","project_id":79,"tracker_id":40,"status_id":1,"priority_id":2,"assigned_to_id":23,"start_date":"2017-01-06","description":"","custom_fields":[{"id":1,"name":"Subdivision","value":"EC"},{"id":4,"name":"Milepost","value":"0.1181"},{"id":17,"name":"Train ID","value":"202-06"},{"id":16,"name":"Locomotive ID","value":"4004"},{"id":130,"name":"Impact","value":""},{"id":150,"name":"Time of Event (Mountain Time)","value":"18:05:10"},{"id":151,"name":"Denver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80" t="str">
        <f t="shared" si="43"/>
        <v>start /low /b %USERPROFILE%\Documents\GitHub\eaglep3\Utilities\DownloadLogsFromS3.py --loco 4004 --day 2017-01-06</v>
      </c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594</v>
      </c>
      <c r="B113" s="7">
        <v>4027</v>
      </c>
      <c r="C113" s="22" t="s">
        <v>203</v>
      </c>
      <c r="D113" s="22" t="s">
        <v>719</v>
      </c>
      <c r="E113" s="13">
        <v>42741.681006944447</v>
      </c>
      <c r="F113" s="13">
        <v>42741.687743055554</v>
      </c>
      <c r="G113" s="7">
        <v>1</v>
      </c>
      <c r="H113" s="22" t="s">
        <v>365</v>
      </c>
      <c r="I113" s="13">
        <v>42741.719918981478</v>
      </c>
      <c r="J113" s="7">
        <v>0</v>
      </c>
      <c r="K113" s="105" t="str">
        <f t="shared" si="28"/>
        <v>4027/4028</v>
      </c>
      <c r="L113" s="22" t="str">
        <f>VLOOKUP(A113,'Trips&amp;Operators'!$C$1:$G$99999,5,FALSE)</f>
        <v>STEWART MICHAEL</v>
      </c>
      <c r="M113" s="6">
        <f t="shared" si="29"/>
        <v>3.2175925924093463E-2</v>
      </c>
      <c r="N113" s="7">
        <f t="shared" si="49"/>
        <v>46.333333330694586</v>
      </c>
      <c r="O113" s="7"/>
      <c r="P113" s="7"/>
      <c r="Q113" s="23"/>
      <c r="R113" s="23"/>
      <c r="S113" s="32">
        <f t="shared" si="45"/>
        <v>1</v>
      </c>
      <c r="T113" s="47" t="str">
        <f t="shared" si="46"/>
        <v>NorthBound</v>
      </c>
      <c r="U113" s="16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15:20:39-700',mode:absolute,to:'2017-01-06 18:16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13" s="49" t="str">
        <f t="shared" si="32"/>
        <v>N</v>
      </c>
      <c r="X113" s="173">
        <f t="shared" si="47"/>
        <v>1</v>
      </c>
      <c r="Y113" s="64">
        <f t="shared" si="34"/>
        <v>4.7699999999999999E-2</v>
      </c>
      <c r="Z113" s="64">
        <f t="shared" si="48"/>
        <v>23.330100000000002</v>
      </c>
      <c r="AA113" s="64">
        <f t="shared" si="36"/>
        <v>23.282400000000003</v>
      </c>
      <c r="AB113" s="61"/>
      <c r="AC113" s="57"/>
      <c r="AD113" s="58" t="str">
        <f t="shared" si="37"/>
        <v>0203-06</v>
      </c>
      <c r="AE113" s="87" t="str">
        <f t="shared" si="38"/>
        <v>aws s3 cp s3://rtdc.mdm.uploadarchive.raw/RTDC4027/ "%USERPROFILE%\AppData\Local\Temp\OnboardLogs"\RTDC4027\2017-01-06 --exclude "*" --recursive --include "*20170106*" &amp; "%USERPROFILE%\Documents\GitHub\mrs-test-scripts\Headless Mode &amp; Sideloading\WalkAndUnGZ.bat" "%USERPROFILE%\AppData\Local\Temp\OnboardLogs"\RTDC4027\2017-01-06 &amp; aws s3 cp s3://rtdc.mdm.uploadarchive.raw/RTDC4027/ "%USERPROFILE%\AppData\Local\Temp\OnboardLogs"\RTDC4027\2017-01-07 --exclude "*" --recursive --include "*20170107*" &amp; "%USERPROFILE%\Documents\GitHub\mrs-test-scripts\Headless Mode &amp; Sideloading\WalkAndUnGZ.bat" "%USERPROFILE%\AppData\Local\Temp\OnboardLogs"\RTDC4027\2017-01-07</v>
      </c>
      <c r="AF113" s="84" t="str">
        <f t="shared" si="39"/>
        <v>"C:\Program Files (x86)\AstroGrep\AstroGrep.exe" /spath="%USERPROFILE%\AppData\Local\Temp\OnboardLogs" /stypes="app*4027*20170107*" /stext=" 00:.+((SYSTEM_STATE.+slice.+state.+changed )|(ment ac)|(multiple cpu faults)|(system.+state.+changed )|(\[timeout)|(PRM\|1\|D)|(kpr)|(kdp)|(\|lc)|(penalty))" /e /r /s</v>
      </c>
      <c r="AG113" s="1" t="str">
        <f t="shared" si="40"/>
        <v>EC</v>
      </c>
      <c r="AH113" s="88" t="str">
        <f t="shared" si="41"/>
        <v>"%USERPROFILE%\Documents\GitHub\eaglep3\Utilities\RefineRTDCRunTimes.py" --tripid 203-06 --locoid 4027 --swversion DE.1.0.8.0 --startMP 204:477 --initTime 2017-01-06T16:20:39 --startdatetime 2017-01-06T16:30:21 --delay 1 --endMP 204:233301 --enddatetime 2017-01-06T17:16:41 --enforcementcount 0 &gt;&gt;C:\Users\stu\Documents\GitHub\eaglep3-reporting\EC\2017-01-06-refined-times.txt</v>
      </c>
      <c r="AI113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{"issue":{"subject":"","project_id":79,"tracker_id":40,"status_id":1,"priority_id":2,"assigned_to_id":23,"start_date":"2017-01-06","description":"","custom_fields":[{"id":1,"name":"Subdivision","value":"EC"},{"id":4,"name":"Milepost","value":"23.3301"},{"id":17,"name":"Train ID","value":"203-06"},{"id":16,"name":"Locomotive ID","value":"4027"},{"id":130,"name":"Impact","value":""},{"id":150,"name":"Time of Event (Mountain Time)","value":"17:16:41"},{"id":151,"name":"Denver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80" t="str">
        <f t="shared" si="43"/>
        <v>start /low /b %USERPROFILE%\Documents\GitHub\eaglep3\Utilities\DownloadLogsFromS3.py --loco 4027 --day 2017-01-06</v>
      </c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603</v>
      </c>
      <c r="B114" s="7">
        <v>4028</v>
      </c>
      <c r="C114" s="22" t="s">
        <v>203</v>
      </c>
      <c r="D114" s="22" t="s">
        <v>720</v>
      </c>
      <c r="E114" s="13">
        <v>42741.723912037036</v>
      </c>
      <c r="F114" s="13">
        <v>42741.726793981485</v>
      </c>
      <c r="G114" s="7">
        <v>1</v>
      </c>
      <c r="H114" s="22" t="s">
        <v>292</v>
      </c>
      <c r="I114" s="13">
        <v>42741.759583333333</v>
      </c>
      <c r="J114" s="7">
        <v>0</v>
      </c>
      <c r="K114" s="105" t="str">
        <f t="shared" si="28"/>
        <v>4027/4028</v>
      </c>
      <c r="L114" s="22" t="str">
        <f>VLOOKUP(A114,'Trips&amp;Operators'!$C$1:$G$99999,5,FALSE)</f>
        <v>STEWART MICHAEL</v>
      </c>
      <c r="M114" s="6">
        <f t="shared" si="29"/>
        <v>3.2789351847895887E-2</v>
      </c>
      <c r="N114" s="7">
        <f t="shared" si="49"/>
        <v>47.216666660970077</v>
      </c>
      <c r="O114" s="7"/>
      <c r="P114" s="7"/>
      <c r="Q114" s="23"/>
      <c r="R114" s="23"/>
      <c r="S114" s="32">
        <f t="shared" si="45"/>
        <v>1</v>
      </c>
      <c r="T114" s="47" t="str">
        <f t="shared" si="46"/>
        <v>Southbound</v>
      </c>
      <c r="U114" s="16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16:22:26-700',mode:absolute,to:'2017-01-06 19:13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14" s="49" t="str">
        <f t="shared" si="32"/>
        <v>N</v>
      </c>
      <c r="X114" s="173">
        <f t="shared" si="47"/>
        <v>1</v>
      </c>
      <c r="Y114" s="64">
        <f t="shared" si="34"/>
        <v>23.297799999999999</v>
      </c>
      <c r="Z114" s="64">
        <f t="shared" si="48"/>
        <v>1.5599999999999999E-2</v>
      </c>
      <c r="AA114" s="64">
        <f t="shared" si="36"/>
        <v>23.2822</v>
      </c>
      <c r="AB114" s="61"/>
      <c r="AC114" s="57"/>
      <c r="AD114" s="58" t="str">
        <f t="shared" si="37"/>
        <v>0204-06</v>
      </c>
      <c r="AE114" s="87" t="str">
        <f t="shared" si="38"/>
        <v>aws s3 cp s3://rtdc.mdm.uploadarchive.raw/RTDC4028/ "%USERPROFILE%\AppData\Local\Temp\OnboardLogs"\RTDC4028\2017-01-06 --exclude "*" --recursive --include "*20170106*" &amp; "%USERPROFILE%\Documents\GitHub\mrs-test-scripts\Headless Mode &amp; Sideloading\WalkAndUnGZ.bat" "%USERPROFILE%\AppData\Local\Temp\OnboardLogs"\RTDC4028\2017-01-06 &amp; aws s3 cp s3://rtdc.mdm.uploadarchive.raw/RTDC4028/ "%USERPROFILE%\AppData\Local\Temp\OnboardLogs"\RTDC4028\2017-01-07 --exclude "*" --recursive --include "*20170107*" &amp; "%USERPROFILE%\Documents\GitHub\mrs-test-scripts\Headless Mode &amp; Sideloading\WalkAndUnGZ.bat" "%USERPROFILE%\AppData\Local\Temp\OnboardLogs"\RTDC4028\2017-01-07</v>
      </c>
      <c r="AF114" s="84" t="str">
        <f t="shared" si="39"/>
        <v>"C:\Program Files (x86)\AstroGrep\AstroGrep.exe" /spath="%USERPROFILE%\AppData\Local\Temp\OnboardLogs" /stypes="app*4028*20170107*" /stext=" 01:.+((SYSTEM_STATE.+slice.+state.+changed )|(ment ac)|(multiple cpu faults)|(system.+state.+changed )|(\[timeout)|(PRM\|1\|D)|(kpr)|(kdp)|(\|lc)|(penalty))" /e /r /s</v>
      </c>
      <c r="AG114" s="1" t="str">
        <f t="shared" si="40"/>
        <v>EC</v>
      </c>
      <c r="AH114" s="88" t="str">
        <f t="shared" si="41"/>
        <v>"%USERPROFILE%\Documents\GitHub\eaglep3\Utilities\RefineRTDCRunTimes.py" --tripid 204-06 --locoid 4028 --swversion DE.1.0.8.0 --startMP 204:232978 --initTime 2017-01-06T17:22:26 --startdatetime 2017-01-06T17:26:35 --delay 1 --endMP 204:156 --enddatetime 2017-01-06T18:13:48 --enforcementcount 0 &gt;&gt;C:\Users\stu\Documents\GitHub\eaglep3-reporting\EC\2017-01-06-refined-times.txt</v>
      </c>
      <c r="AI114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{"issue":{"subject":"","project_id":79,"tracker_id":40,"status_id":1,"priority_id":2,"assigned_to_id":23,"start_date":"2017-01-06","description":"","custom_fields":[{"id":1,"name":"Subdivision","value":"EC"},{"id":4,"name":"Milepost","value":"0.0156"},{"id":17,"name":"Train ID","value":"204-06"},{"id":16,"name":"Locomotive ID","value":"4028"},{"id":130,"name":"Impact","value":""},{"id":150,"name":"Time of Event (Mountain Time)","value":"18:13:48"},{"id":151,"name":"Denver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80" t="str">
        <f t="shared" si="43"/>
        <v>start /low /b %USERPROFILE%\Documents\GitHub\eaglep3\Utilities\DownloadLogsFromS3.py --loco 4028 --day 2017-01-06</v>
      </c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596</v>
      </c>
      <c r="B115" s="7">
        <v>4018</v>
      </c>
      <c r="C115" s="22" t="s">
        <v>203</v>
      </c>
      <c r="D115" s="22" t="s">
        <v>721</v>
      </c>
      <c r="E115" s="13">
        <v>42741.691296296296</v>
      </c>
      <c r="F115" s="13">
        <v>42741.698263888888</v>
      </c>
      <c r="G115" s="7">
        <v>1</v>
      </c>
      <c r="H115" s="22" t="s">
        <v>722</v>
      </c>
      <c r="I115" s="13">
        <v>42741.727997685186</v>
      </c>
      <c r="J115" s="7">
        <v>0</v>
      </c>
      <c r="K115" s="105" t="str">
        <f t="shared" si="28"/>
        <v>4017/4018</v>
      </c>
      <c r="L115" s="22" t="str">
        <f>VLOOKUP(A115,'Trips&amp;Operators'!$C$1:$G$99999,5,FALSE)</f>
        <v>DELGADO DIANAH</v>
      </c>
      <c r="M115" s="6">
        <f t="shared" si="29"/>
        <v>2.973379629838746E-2</v>
      </c>
      <c r="N115" s="7">
        <f t="shared" si="49"/>
        <v>42.816666669677943</v>
      </c>
      <c r="O115" s="7"/>
      <c r="P115" s="7"/>
      <c r="Q115" s="23"/>
      <c r="R115" s="23"/>
      <c r="S115" s="32">
        <f t="shared" si="45"/>
        <v>1</v>
      </c>
      <c r="T115" s="47" t="str">
        <f t="shared" si="46"/>
        <v>NorthBound</v>
      </c>
      <c r="U115" s="16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15:35:28-700',mode:absolute,to:'2017-01-06 18:28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15" s="49" t="str">
        <f t="shared" si="32"/>
        <v>N</v>
      </c>
      <c r="X115" s="173">
        <f t="shared" si="47"/>
        <v>1</v>
      </c>
      <c r="Y115" s="64">
        <f t="shared" si="34"/>
        <v>4.7100000000000003E-2</v>
      </c>
      <c r="Z115" s="64">
        <f t="shared" si="48"/>
        <v>23.3323</v>
      </c>
      <c r="AA115" s="64">
        <f t="shared" si="36"/>
        <v>23.2852</v>
      </c>
      <c r="AB115" s="61"/>
      <c r="AC115" s="57"/>
      <c r="AD115" s="58" t="str">
        <f t="shared" si="37"/>
        <v>0205-06</v>
      </c>
      <c r="AE115" s="87" t="str">
        <f t="shared" si="38"/>
        <v>aws s3 cp s3://rtdc.mdm.uploadarchive.raw/RTDC4018/ "%USERPROFILE%\AppData\Local\Temp\OnboardLogs"\RTDC4018\2017-01-06 --exclude "*" --recursive --include "*20170106*" &amp; "%USERPROFILE%\Documents\GitHub\mrs-test-scripts\Headless Mode &amp; Sideloading\WalkAndUnGZ.bat" "%USERPROFILE%\AppData\Local\Temp\OnboardLogs"\RTDC4018\2017-01-06 &amp; aws s3 cp s3://rtdc.mdm.uploadarchive.raw/RTDC4018/ "%USERPROFILE%\AppData\Local\Temp\OnboardLogs"\RTDC4018\2017-01-07 --exclude "*" --recursive --include "*20170107*" &amp; "%USERPROFILE%\Documents\GitHub\mrs-test-scripts\Headless Mode &amp; Sideloading\WalkAndUnGZ.bat" "%USERPROFILE%\AppData\Local\Temp\OnboardLogs"\RTDC4018\2017-01-07</v>
      </c>
      <c r="AF115" s="84" t="str">
        <f t="shared" si="39"/>
        <v>"C:\Program Files (x86)\AstroGrep\AstroGrep.exe" /spath="%USERPROFILE%\AppData\Local\Temp\OnboardLogs" /stypes="app*4018*20170107*" /stext=" 00:.+((SYSTEM_STATE.+slice.+state.+changed )|(ment ac)|(multiple cpu faults)|(system.+state.+changed )|(\[timeout)|(PRM\|1\|D)|(kpr)|(kdp)|(\|lc)|(penalty))" /e /r /s</v>
      </c>
      <c r="AG115" s="1" t="str">
        <f t="shared" si="40"/>
        <v>EC</v>
      </c>
      <c r="AH115" s="88" t="str">
        <f t="shared" si="41"/>
        <v>"%USERPROFILE%\Documents\GitHub\eaglep3\Utilities\RefineRTDCRunTimes.py" --tripid 205-06 --locoid 4018 --swversion DE.1.0.8.0 --startMP 204:471 --initTime 2017-01-06T16:35:28 --startdatetime 2017-01-06T16:45:30 --delay 1 --endMP 204:233323 --enddatetime 2017-01-06T17:28:19 --enforcementcount 0 &gt;&gt;C:\Users\stu\Documents\GitHub\eaglep3-reporting\EC\2017-01-06-refined-times.txt</v>
      </c>
      <c r="AI115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{"issue":{"subject":"","project_id":79,"tracker_id":40,"status_id":1,"priority_id":2,"assigned_to_id":23,"start_date":"2017-01-06","description":"","custom_fields":[{"id":1,"name":"Subdivision","value":"EC"},{"id":4,"name":"Milepost","value":"23.3323"},{"id":17,"name":"Train ID","value":"205-06"},{"id":16,"name":"Locomotive ID","value":"4018"},{"id":130,"name":"Impact","value":""},{"id":150,"name":"Time of Event (Mountain Time)","value":"17:28:19"},{"id":151,"name":"Denver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80" t="str">
        <f t="shared" si="43"/>
        <v>start /low /b %USERPROFILE%\Documents\GitHub\eaglep3\Utilities\DownloadLogsFromS3.py --loco 4018 --day 2017-01-06</v>
      </c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605</v>
      </c>
      <c r="B116" s="7">
        <v>4017</v>
      </c>
      <c r="C116" s="22" t="s">
        <v>203</v>
      </c>
      <c r="D116" s="22" t="s">
        <v>302</v>
      </c>
      <c r="E116" s="13">
        <v>42741.732974537037</v>
      </c>
      <c r="F116" s="13">
        <v>42741.740185185183</v>
      </c>
      <c r="G116" s="7">
        <v>1</v>
      </c>
      <c r="H116" s="22" t="s">
        <v>191</v>
      </c>
      <c r="I116" s="13">
        <v>42741.769375000003</v>
      </c>
      <c r="J116" s="7">
        <v>0</v>
      </c>
      <c r="K116" s="105" t="str">
        <f t="shared" si="28"/>
        <v>4017/4018</v>
      </c>
      <c r="L116" s="22" t="str">
        <f>VLOOKUP(A116,'Trips&amp;Operators'!$C$1:$G$99999,5,FALSE)</f>
        <v>DELGADO DIANAH</v>
      </c>
      <c r="M116" s="6">
        <f t="shared" si="29"/>
        <v>2.9189814820711035E-2</v>
      </c>
      <c r="N116" s="7">
        <f t="shared" si="49"/>
        <v>42.033333341823891</v>
      </c>
      <c r="O116" s="7"/>
      <c r="P116" s="7"/>
      <c r="Q116" s="23"/>
      <c r="R116" s="23"/>
      <c r="S116" s="32">
        <f t="shared" si="45"/>
        <v>1</v>
      </c>
      <c r="T116" s="47" t="str">
        <f t="shared" si="46"/>
        <v>Southbound</v>
      </c>
      <c r="U116" s="16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16:35:29-700',mode:absolute,to:'2017-01-06 19:27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16" s="49" t="str">
        <f t="shared" si="32"/>
        <v>N</v>
      </c>
      <c r="X116" s="173">
        <f t="shared" si="47"/>
        <v>1</v>
      </c>
      <c r="Y116" s="64">
        <f t="shared" si="34"/>
        <v>23.3</v>
      </c>
      <c r="Z116" s="64">
        <f t="shared" si="48"/>
        <v>1.49E-2</v>
      </c>
      <c r="AA116" s="64">
        <f t="shared" si="36"/>
        <v>23.2851</v>
      </c>
      <c r="AB116" s="61"/>
      <c r="AC116" s="57"/>
      <c r="AD116" s="58" t="str">
        <f t="shared" si="37"/>
        <v>0206-06</v>
      </c>
      <c r="AE116" s="87" t="str">
        <f t="shared" si="38"/>
        <v>aws s3 cp s3://rtdc.mdm.uploadarchive.raw/RTDC4017/ "%USERPROFILE%\AppData\Local\Temp\OnboardLogs"\RTDC4017\2017-01-06 --exclude "*" --recursive --include "*20170106*" &amp; "%USERPROFILE%\Documents\GitHub\mrs-test-scripts\Headless Mode &amp; Sideloading\WalkAndUnGZ.bat" "%USERPROFILE%\AppData\Local\Temp\OnboardLogs"\RTDC4017\2017-01-06 &amp; aws s3 cp s3://rtdc.mdm.uploadarchive.raw/RTDC4017/ "%USERPROFILE%\AppData\Local\Temp\OnboardLogs"\RTDC4017\2017-01-07 --exclude "*" --recursive --include "*20170107*" &amp; "%USERPROFILE%\Documents\GitHub\mrs-test-scripts\Headless Mode &amp; Sideloading\WalkAndUnGZ.bat" "%USERPROFILE%\AppData\Local\Temp\OnboardLogs"\RTDC4017\2017-01-07</v>
      </c>
      <c r="AF116" s="84" t="str">
        <f t="shared" si="39"/>
        <v>"C:\Program Files (x86)\AstroGrep\AstroGrep.exe" /spath="%USERPROFILE%\AppData\Local\Temp\OnboardLogs" /stypes="app*4017*20170107*" /stext=" 01:.+((SYSTEM_STATE.+slice.+state.+changed )|(ment ac)|(multiple cpu faults)|(system.+state.+changed )|(\[timeout)|(PRM\|1\|D)|(kpr)|(kdp)|(\|lc)|(penalty))" /e /r /s</v>
      </c>
      <c r="AG116" s="1" t="str">
        <f t="shared" si="40"/>
        <v>EC</v>
      </c>
      <c r="AH116" s="88" t="str">
        <f t="shared" si="41"/>
        <v>"%USERPROFILE%\Documents\GitHub\eaglep3\Utilities\RefineRTDCRunTimes.py" --tripid 206-06 --locoid 4017 --swversion DE.1.0.8.0 --startMP 204:233000 --initTime 2017-01-06T17:35:29 --startdatetime 2017-01-06T17:45:52 --delay 1 --endMP 204:149 --enddatetime 2017-01-06T18:27:54 --enforcementcount 0 &gt;&gt;C:\Users\stu\Documents\GitHub\eaglep3-reporting\EC\2017-01-06-refined-times.txt</v>
      </c>
      <c r="AI116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{"issue":{"subject":"","project_id":79,"tracker_id":40,"status_id":1,"priority_id":2,"assigned_to_id":23,"start_date":"2017-01-06","description":"","custom_fields":[{"id":1,"name":"Subdivision","value":"EC"},{"id":4,"name":"Milepost","value":"0.0149"},{"id":17,"name":"Train ID","value":"206-06"},{"id":16,"name":"Locomotive ID","value":"4017"},{"id":130,"name":"Impact","value":""},{"id":150,"name":"Time of Event (Mountain Time)","value":"18:27:54"},{"id":151,"name":"Denver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80" t="str">
        <f t="shared" si="43"/>
        <v>start /low /b %USERPROFILE%\Documents\GitHub\eaglep3\Utilities\DownloadLogsFromS3.py --loco 4017 --day 2017-01-06</v>
      </c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598</v>
      </c>
      <c r="B117" s="7">
        <v>4044</v>
      </c>
      <c r="C117" s="22" t="s">
        <v>203</v>
      </c>
      <c r="D117" s="22" t="s">
        <v>311</v>
      </c>
      <c r="E117" s="13">
        <v>42741.704814814817</v>
      </c>
      <c r="F117" s="13">
        <v>42741.708518518521</v>
      </c>
      <c r="G117" s="7">
        <v>1</v>
      </c>
      <c r="H117" s="22" t="s">
        <v>723</v>
      </c>
      <c r="I117" s="13">
        <v>42741.740347222221</v>
      </c>
      <c r="J117" s="7">
        <v>0</v>
      </c>
      <c r="K117" s="105" t="str">
        <f t="shared" si="28"/>
        <v>4043/4044</v>
      </c>
      <c r="L117" s="22" t="str">
        <f>VLOOKUP(A117,'Trips&amp;Operators'!$C$1:$G$99999,5,FALSE)</f>
        <v>CLARK KATHLEEN</v>
      </c>
      <c r="M117" s="6">
        <f t="shared" si="29"/>
        <v>3.1828703700739425E-2</v>
      </c>
      <c r="N117" s="7">
        <f t="shared" si="49"/>
        <v>45.833333329064772</v>
      </c>
      <c r="O117" s="7"/>
      <c r="P117" s="7"/>
      <c r="Q117" s="23"/>
      <c r="R117" s="23"/>
      <c r="S117" s="32">
        <f t="shared" si="45"/>
        <v>1</v>
      </c>
      <c r="T117" s="47" t="str">
        <f t="shared" si="46"/>
        <v>NorthBound</v>
      </c>
      <c r="U117" s="16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15:54:56-700',mode:absolute,to:'2017-01-06 18:46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17" s="49" t="str">
        <f t="shared" si="32"/>
        <v>N</v>
      </c>
      <c r="X117" s="173">
        <f t="shared" si="47"/>
        <v>1</v>
      </c>
      <c r="Y117" s="64">
        <f t="shared" si="34"/>
        <v>4.7500000000000001E-2</v>
      </c>
      <c r="Z117" s="64">
        <f t="shared" si="48"/>
        <v>23.326599999999999</v>
      </c>
      <c r="AA117" s="64">
        <f t="shared" si="36"/>
        <v>23.2791</v>
      </c>
      <c r="AB117" s="61"/>
      <c r="AC117" s="57"/>
      <c r="AD117" s="58" t="str">
        <f t="shared" si="37"/>
        <v>0207-06</v>
      </c>
      <c r="AE117" s="87" t="str">
        <f t="shared" si="38"/>
        <v>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 &amp; aws s3 cp s3://rtdc.mdm.uploadarchive.raw/RTDC4044/ "%USERPROFILE%\AppData\Local\Temp\OnboardLogs"\RTDC4044\2017-01-07 --exclude "*" --recursive --include "*20170107*" &amp; "%USERPROFILE%\Documents\GitHub\mrs-test-scripts\Headless Mode &amp; Sideloading\WalkAndUnGZ.bat" "%USERPROFILE%\AppData\Local\Temp\OnboardLogs"\RTDC4044\2017-01-07</v>
      </c>
      <c r="AF117" s="84" t="str">
        <f t="shared" si="39"/>
        <v>"C:\Program Files (x86)\AstroGrep\AstroGrep.exe" /spath="%USERPROFILE%\AppData\Local\Temp\OnboardLogs" /stypes="app*4044*20170107*" /stext=" 00:.+((SYSTEM_STATE.+slice.+state.+changed )|(ment ac)|(multiple cpu faults)|(system.+state.+changed )|(\[timeout)|(PRM\|1\|D)|(kpr)|(kdp)|(\|lc)|(penalty))" /e /r /s</v>
      </c>
      <c r="AG117" s="1" t="str">
        <f t="shared" si="40"/>
        <v>EC</v>
      </c>
      <c r="AH117" s="88" t="str">
        <f t="shared" si="41"/>
        <v>"%USERPROFILE%\Documents\GitHub\eaglep3\Utilities\RefineRTDCRunTimes.py" --tripid 207-06 --locoid 4044 --swversion DE.1.0.8.0 --startMP 204:475 --initTime 2017-01-06T16:54:56 --startdatetime 2017-01-06T17:00:16 --delay 1 --endMP 204:233266 --enddatetime 2017-01-06T17:46:06 --enforcementcount 0 &gt;&gt;C:\Users\stu\Documents\GitHub\eaglep3-reporting\EC\2017-01-06-refined-times.txt</v>
      </c>
      <c r="AI117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{"issue":{"subject":"","project_id":79,"tracker_id":40,"status_id":1,"priority_id":2,"assigned_to_id":23,"start_date":"2017-01-06","description":"","custom_fields":[{"id":1,"name":"Subdivision","value":"EC"},{"id":4,"name":"Milepost","value":"23.3266"},{"id":17,"name":"Train ID","value":"207-06"},{"id":16,"name":"Locomotive ID","value":"4044"},{"id":130,"name":"Impact","value":""},{"id":150,"name":"Time of Event (Mountain Time)","value":"17:46:06"},{"id":151,"name":"Denver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80" t="str">
        <f t="shared" si="43"/>
        <v>start /low /b %USERPROFILE%\Documents\GitHub\eaglep3\Utilities\DownloadLogsFromS3.py --loco 4044 --day 2017-01-06</v>
      </c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608</v>
      </c>
      <c r="B118" s="7">
        <v>4043</v>
      </c>
      <c r="C118" s="22" t="s">
        <v>203</v>
      </c>
      <c r="D118" s="22" t="s">
        <v>724</v>
      </c>
      <c r="E118" s="13">
        <v>42741.745034722226</v>
      </c>
      <c r="F118" s="13">
        <v>42741.747777777775</v>
      </c>
      <c r="G118" s="7">
        <v>2</v>
      </c>
      <c r="H118" s="22" t="s">
        <v>246</v>
      </c>
      <c r="I118" s="13">
        <v>42741.780266203707</v>
      </c>
      <c r="J118" s="7">
        <v>0</v>
      </c>
      <c r="K118" s="105" t="str">
        <f t="shared" si="28"/>
        <v>4043/4044</v>
      </c>
      <c r="L118" s="22" t="str">
        <f>VLOOKUP(A118,'Trips&amp;Operators'!$C$1:$G$99999,5,FALSE)</f>
        <v>CLARK KATHLEEN</v>
      </c>
      <c r="M118" s="6">
        <f t="shared" si="29"/>
        <v>3.2488425931660458E-2</v>
      </c>
      <c r="N118" s="7">
        <f t="shared" si="49"/>
        <v>46.78333334159106</v>
      </c>
      <c r="O118" s="7"/>
      <c r="P118" s="7"/>
      <c r="Q118" s="23"/>
      <c r="R118" s="23"/>
      <c r="S118" s="32">
        <f t="shared" si="45"/>
        <v>1</v>
      </c>
      <c r="T118" s="47" t="str">
        <f t="shared" si="46"/>
        <v>Southbound</v>
      </c>
      <c r="U118" s="16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16:52:51-700',mode:absolute,to:'2017-01-06 19:43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18" s="49" t="str">
        <f t="shared" si="32"/>
        <v>N</v>
      </c>
      <c r="X118" s="173">
        <f t="shared" si="47"/>
        <v>1</v>
      </c>
      <c r="Y118" s="64">
        <f t="shared" si="34"/>
        <v>23.296099999999999</v>
      </c>
      <c r="Z118" s="64">
        <f t="shared" si="48"/>
        <v>1.47E-2</v>
      </c>
      <c r="AA118" s="64">
        <f t="shared" si="36"/>
        <v>23.281399999999998</v>
      </c>
      <c r="AB118" s="61"/>
      <c r="AC118" s="57"/>
      <c r="AD118" s="58" t="str">
        <f t="shared" si="37"/>
        <v>0208-06</v>
      </c>
      <c r="AE118" s="87" t="str">
        <f t="shared" si="38"/>
        <v>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 &amp; aws s3 cp s3://rtdc.mdm.uploadarchive.raw/RTDC4043/ "%USERPROFILE%\AppData\Local\Temp\OnboardLogs"\RTDC4043\2017-01-07 --exclude "*" --recursive --include "*20170107*" &amp; "%USERPROFILE%\Documents\GitHub\mrs-test-scripts\Headless Mode &amp; Sideloading\WalkAndUnGZ.bat" "%USERPROFILE%\AppData\Local\Temp\OnboardLogs"\RTDC4043\2017-01-07</v>
      </c>
      <c r="AF118" s="84" t="str">
        <f t="shared" si="39"/>
        <v>"C:\Program Files (x86)\AstroGrep\AstroGrep.exe" /spath="%USERPROFILE%\AppData\Local\Temp\OnboardLogs" /stypes="app*4043*20170107*" /stext=" 01:.+((SYSTEM_STATE.+slice.+state.+changed )|(ment ac)|(multiple cpu faults)|(system.+state.+changed )|(\[timeout)|(PRM\|1\|D)|(kpr)|(kdp)|(\|lc)|(penalty))" /e /r /s</v>
      </c>
      <c r="AG118" s="1" t="str">
        <f t="shared" si="40"/>
        <v>EC</v>
      </c>
      <c r="AH118" s="88" t="str">
        <f t="shared" si="41"/>
        <v>"%USERPROFILE%\Documents\GitHub\eaglep3\Utilities\RefineRTDCRunTimes.py" --tripid 208-06 --locoid 4043 --swversion DE.1.0.8.0 --startMP 204:232961 --initTime 2017-01-06T17:52:51 --startdatetime 2017-01-06T17:56:48 --delay 2 --endMP 204:147 --enddatetime 2017-01-06T18:43:35 --enforcementcount 0 &gt;&gt;C:\Users\stu\Documents\GitHub\eaglep3-reporting\EC\2017-01-06-refined-times.txt</v>
      </c>
      <c r="AI118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{"issue":{"subject":"","project_id":79,"tracker_id":40,"status_id":1,"priority_id":2,"assigned_to_id":23,"start_date":"2017-01-06","description":"","custom_fields":[{"id":1,"name":"Subdivision","value":"EC"},{"id":4,"name":"Milepost","value":"0.0147"},{"id":17,"name":"Train ID","value":"208-06"},{"id":16,"name":"Locomotive ID","value":"4043"},{"id":130,"name":"Impact","value":""},{"id":150,"name":"Time of Event (Mountain Time)","value":"18:43:35"},{"id":151,"name":"Denver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80" t="str">
        <f t="shared" si="43"/>
        <v>start /low /b %USERPROFILE%\Documents\GitHub\eaglep3\Utilities\DownloadLogsFromS3.py --loco 4043 --day 2017-01-06</v>
      </c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600</v>
      </c>
      <c r="B119" s="7">
        <v>4002</v>
      </c>
      <c r="C119" s="22" t="s">
        <v>203</v>
      </c>
      <c r="D119" s="22" t="s">
        <v>725</v>
      </c>
      <c r="E119" s="13">
        <v>42741.712847222225</v>
      </c>
      <c r="F119" s="13">
        <v>42741.718969907408</v>
      </c>
      <c r="G119" s="7">
        <v>1</v>
      </c>
      <c r="H119" s="22" t="s">
        <v>681</v>
      </c>
      <c r="I119" s="13">
        <v>42741.747511574074</v>
      </c>
      <c r="J119" s="7">
        <v>0</v>
      </c>
      <c r="K119" s="105" t="str">
        <f t="shared" si="28"/>
        <v>4001/4002</v>
      </c>
      <c r="L119" s="22" t="str">
        <f>VLOOKUP(A119,'Trips&amp;Operators'!$C$1:$G$99999,5,FALSE)</f>
        <v>BRUDER RICHARD</v>
      </c>
      <c r="M119" s="6">
        <f t="shared" si="29"/>
        <v>2.8541666666569654E-2</v>
      </c>
      <c r="N119" s="7">
        <f t="shared" si="49"/>
        <v>41.099999999860302</v>
      </c>
      <c r="O119" s="7"/>
      <c r="P119" s="7"/>
      <c r="Q119" s="23"/>
      <c r="R119" s="23"/>
      <c r="S119" s="32">
        <f t="shared" si="45"/>
        <v>1</v>
      </c>
      <c r="T119" s="47" t="str">
        <f t="shared" si="46"/>
        <v>NorthBound</v>
      </c>
      <c r="U119" s="16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16:06:30-700',mode:absolute,to:'2017-01-06 18:56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19" s="49" t="str">
        <f t="shared" si="32"/>
        <v>N</v>
      </c>
      <c r="X119" s="173">
        <f t="shared" si="47"/>
        <v>1</v>
      </c>
      <c r="Y119" s="64">
        <f t="shared" si="34"/>
        <v>4.9299999999999997E-2</v>
      </c>
      <c r="Z119" s="64">
        <f t="shared" si="48"/>
        <v>23.3306</v>
      </c>
      <c r="AA119" s="64">
        <f t="shared" si="36"/>
        <v>23.281300000000002</v>
      </c>
      <c r="AB119" s="61"/>
      <c r="AC119" s="57"/>
      <c r="AD119" s="58" t="str">
        <f t="shared" si="37"/>
        <v>0209-06</v>
      </c>
      <c r="AE119" s="87" t="str">
        <f t="shared" si="38"/>
        <v>aws s3 cp s3://rtdc.mdm.uploadarchive.raw/RTDC4002/ "%USERPROFILE%\AppData\Local\Temp\OnboardLogs"\RTDC4002\2017-01-06 --exclude "*" --recursive --include "*20170106*" &amp; "%USERPROFILE%\Documents\GitHub\mrs-test-scripts\Headless Mode &amp; Sideloading\WalkAndUnGZ.bat" "%USERPROFILE%\AppData\Local\Temp\OnboardLogs"\RTDC4002\2017-01-06 &amp; aws s3 cp s3://rtdc.mdm.uploadarchive.raw/RTDC4002/ "%USERPROFILE%\AppData\Local\Temp\OnboardLogs"\RTDC4002\2017-01-07 --exclude "*" --recursive --include "*20170107*" &amp; "%USERPROFILE%\Documents\GitHub\mrs-test-scripts\Headless Mode &amp; Sideloading\WalkAndUnGZ.bat" "%USERPROFILE%\AppData\Local\Temp\OnboardLogs"\RTDC4002\2017-01-07</v>
      </c>
      <c r="AF119" s="84" t="str">
        <f t="shared" si="39"/>
        <v>"C:\Program Files (x86)\AstroGrep\AstroGrep.exe" /spath="%USERPROFILE%\AppData\Local\Temp\OnboardLogs" /stypes="app*4002*20170107*" /stext=" 00:.+((SYSTEM_STATE.+slice.+state.+changed )|(ment ac)|(multiple cpu faults)|(system.+state.+changed )|(\[timeout)|(PRM\|1\|D)|(kpr)|(kdp)|(\|lc)|(penalty))" /e /r /s</v>
      </c>
      <c r="AG119" s="1" t="str">
        <f t="shared" si="40"/>
        <v>EC</v>
      </c>
      <c r="AH119" s="88" t="str">
        <f t="shared" si="41"/>
        <v>"%USERPROFILE%\Documents\GitHub\eaglep3\Utilities\RefineRTDCRunTimes.py" --tripid 209-06 --locoid 4002 --swversion DE.1.0.8.0 --startMP 204:493 --initTime 2017-01-06T17:06:30 --startdatetime 2017-01-06T17:15:19 --delay 1 --endMP 204:233306 --enddatetime 2017-01-06T17:56:25 --enforcementcount 0 &gt;&gt;C:\Users\stu\Documents\GitHub\eaglep3-reporting\EC\2017-01-06-refined-times.txt</v>
      </c>
      <c r="AI119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{"issue":{"subject":"","project_id":79,"tracker_id":40,"status_id":1,"priority_id":2,"assigned_to_id":23,"start_date":"2017-01-06","description":"","custom_fields":[{"id":1,"name":"Subdivision","value":"EC"},{"id":4,"name":"Milepost","value":"23.3306"},{"id":17,"name":"Train ID","value":"209-06"},{"id":16,"name":"Locomotive ID","value":"4002"},{"id":130,"name":"Impact","value":""},{"id":150,"name":"Time of Event (Mountain Time)","value":"17:56:25"},{"id":151,"name":"Denver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80" t="str">
        <f t="shared" si="43"/>
        <v>start /low /b %USERPROFILE%\Documents\GitHub\eaglep3\Utilities\DownloadLogsFromS3.py --loco 4002 --day 2017-01-06</v>
      </c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609</v>
      </c>
      <c r="B120" s="7">
        <v>4001</v>
      </c>
      <c r="C120" s="22" t="s">
        <v>203</v>
      </c>
      <c r="D120" s="22" t="s">
        <v>409</v>
      </c>
      <c r="E120" s="13">
        <v>42741.750659722224</v>
      </c>
      <c r="F120" s="13">
        <v>42741.758020833331</v>
      </c>
      <c r="G120" s="7">
        <v>1</v>
      </c>
      <c r="H120" s="22" t="s">
        <v>209</v>
      </c>
      <c r="I120" s="13">
        <v>42741.786643518521</v>
      </c>
      <c r="J120" s="7">
        <v>0</v>
      </c>
      <c r="K120" s="105" t="str">
        <f t="shared" si="28"/>
        <v>4001/4002</v>
      </c>
      <c r="L120" s="22" t="str">
        <f>VLOOKUP(A120,'Trips&amp;Operators'!$C$1:$G$99999,5,FALSE)</f>
        <v>BRUDER RICHARD</v>
      </c>
      <c r="M120" s="6">
        <f t="shared" si="29"/>
        <v>2.8622685189475305E-2</v>
      </c>
      <c r="N120" s="7">
        <f t="shared" si="49"/>
        <v>41.21666667284444</v>
      </c>
      <c r="O120" s="7"/>
      <c r="P120" s="7"/>
      <c r="Q120" s="23"/>
      <c r="R120" s="23"/>
      <c r="S120" s="32">
        <f t="shared" si="45"/>
        <v>1</v>
      </c>
      <c r="T120" s="47" t="str">
        <f t="shared" si="46"/>
        <v>Southbound</v>
      </c>
      <c r="U120" s="16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17:00:57-700',mode:absolute,to:'2017-01-06 19:52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0" s="49" t="str">
        <f t="shared" si="32"/>
        <v>N</v>
      </c>
      <c r="X120" s="173">
        <f t="shared" si="47"/>
        <v>1</v>
      </c>
      <c r="Y120" s="64">
        <f t="shared" si="34"/>
        <v>23.297899999999998</v>
      </c>
      <c r="Z120" s="64">
        <f t="shared" si="48"/>
        <v>1.4999999999999999E-2</v>
      </c>
      <c r="AA120" s="64">
        <f t="shared" si="36"/>
        <v>23.282899999999998</v>
      </c>
      <c r="AB120" s="61"/>
      <c r="AC120" s="57"/>
      <c r="AD120" s="58" t="str">
        <f t="shared" si="37"/>
        <v>0210-06</v>
      </c>
      <c r="AE120" s="87" t="str">
        <f t="shared" si="38"/>
        <v>aws s3 cp s3://rtdc.mdm.uploadarchive.raw/RTDC4001/ "%USERPROFILE%\AppData\Local\Temp\OnboardLogs"\RTDC4001\2017-01-06 --exclude "*" --recursive --include "*20170106*" &amp; "%USERPROFILE%\Documents\GitHub\mrs-test-scripts\Headless Mode &amp; Sideloading\WalkAndUnGZ.bat" "%USERPROFILE%\AppData\Local\Temp\OnboardLogs"\RTDC4001\2017-01-06 &amp; aws s3 cp s3://rtdc.mdm.uploadarchive.raw/RTDC4001/ "%USERPROFILE%\AppData\Local\Temp\OnboardLogs"\RTDC4001\2017-01-07 --exclude "*" --recursive --include "*20170107*" &amp; "%USERPROFILE%\Documents\GitHub\mrs-test-scripts\Headless Mode &amp; Sideloading\WalkAndUnGZ.bat" "%USERPROFILE%\AppData\Local\Temp\OnboardLogs"\RTDC4001\2017-01-07</v>
      </c>
      <c r="AF120" s="84" t="str">
        <f t="shared" si="39"/>
        <v>"C:\Program Files (x86)\AstroGrep\AstroGrep.exe" /spath="%USERPROFILE%\AppData\Local\Temp\OnboardLogs" /stypes="app*4001*20170107*" /stext=" 01:.+((SYSTEM_STATE.+slice.+state.+changed )|(ment ac)|(multiple cpu faults)|(system.+state.+changed )|(\[timeout)|(PRM\|1\|D)|(kpr)|(kdp)|(\|lc)|(penalty))" /e /r /s</v>
      </c>
      <c r="AG120" s="1" t="str">
        <f t="shared" si="40"/>
        <v>EC</v>
      </c>
      <c r="AH120" s="88" t="str">
        <f t="shared" si="41"/>
        <v>"%USERPROFILE%\Documents\GitHub\eaglep3\Utilities\RefineRTDCRunTimes.py" --tripid 210-06 --locoid 4001 --swversion DE.1.0.8.0 --startMP 204:232979 --initTime 2017-01-06T18:00:57 --startdatetime 2017-01-06T18:11:33 --delay 1 --endMP 204:150 --enddatetime 2017-01-06T18:52:46 --enforcementcount 0 &gt;&gt;C:\Users\stu\Documents\GitHub\eaglep3-reporting\EC\2017-01-06-refined-times.txt</v>
      </c>
      <c r="AI120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{"issue":{"subject":"","project_id":79,"tracker_id":40,"status_id":1,"priority_id":2,"assigned_to_id":23,"start_date":"2017-01-06","description":"","custom_fields":[{"id":1,"name":"Subdivision","value":"EC"},{"id":4,"name":"Milepost","value":"0.015"},{"id":17,"name":"Train ID","value":"210-06"},{"id":16,"name":"Locomotive ID","value":"4001"},{"id":130,"name":"Impact","value":""},{"id":150,"name":"Time of Event (Mountain Time)","value":"18:52:46"},{"id":151,"name":"Denver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80" t="str">
        <f t="shared" si="43"/>
        <v>start /low /b %USERPROFILE%\Documents\GitHub\eaglep3\Utilities\DownloadLogsFromS3.py --loco 4001 --day 2017-01-06</v>
      </c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4" t="s">
        <v>604</v>
      </c>
      <c r="B121" s="7">
        <v>4029</v>
      </c>
      <c r="C121" s="22" t="s">
        <v>203</v>
      </c>
      <c r="D121" s="22" t="s">
        <v>726</v>
      </c>
      <c r="E121" s="13">
        <v>42741.726631944446</v>
      </c>
      <c r="F121" s="13">
        <v>42741.729375000003</v>
      </c>
      <c r="G121" s="7">
        <v>1</v>
      </c>
      <c r="H121" s="22" t="s">
        <v>428</v>
      </c>
      <c r="I121" s="13">
        <v>42741.755509259259</v>
      </c>
      <c r="J121" s="7">
        <v>0</v>
      </c>
      <c r="K121" s="105" t="str">
        <f t="shared" si="28"/>
        <v>4029/4030</v>
      </c>
      <c r="L121" s="22" t="str">
        <f>VLOOKUP(A121,'Trips&amp;Operators'!$C$1:$G$99999,5,FALSE)</f>
        <v>HELVIE ADAM</v>
      </c>
      <c r="M121" s="6">
        <f t="shared" si="29"/>
        <v>2.6134259256650694E-2</v>
      </c>
      <c r="N121" s="7">
        <f t="shared" si="49"/>
        <v>37.633333329576999</v>
      </c>
      <c r="O121" s="7"/>
      <c r="P121" s="7"/>
      <c r="Q121" s="23"/>
      <c r="R121" s="23"/>
      <c r="S121" s="32">
        <f t="shared" si="45"/>
        <v>1</v>
      </c>
      <c r="T121" s="47" t="str">
        <f t="shared" si="46"/>
        <v>NorthBound</v>
      </c>
      <c r="U121" s="16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16:26:21-700',mode:absolute,to:'2017-01-06 19:07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21" s="49" t="str">
        <f t="shared" si="32"/>
        <v>N</v>
      </c>
      <c r="X121" s="173">
        <f t="shared" si="47"/>
        <v>1</v>
      </c>
      <c r="Y121" s="64">
        <f t="shared" si="34"/>
        <v>6.2600000000000003E-2</v>
      </c>
      <c r="Z121" s="64">
        <f t="shared" si="48"/>
        <v>23.327999999999999</v>
      </c>
      <c r="AA121" s="64">
        <f t="shared" si="36"/>
        <v>23.2654</v>
      </c>
      <c r="AB121" s="61"/>
      <c r="AC121" s="57"/>
      <c r="AD121" s="58" t="str">
        <f t="shared" si="37"/>
        <v>0211-06</v>
      </c>
      <c r="AE121" s="87" t="str">
        <f t="shared" si="38"/>
        <v>aws s3 cp s3://rtdc.mdm.uploadarchive.raw/RTDC4029/ "%USERPROFILE%\AppData\Local\Temp\OnboardLogs"\RTDC4029\2017-01-06 --exclude "*" --recursive --include "*20170106*" &amp; "%USERPROFILE%\Documents\GitHub\mrs-test-scripts\Headless Mode &amp; Sideloading\WalkAndUnGZ.bat" "%USERPROFILE%\AppData\Local\Temp\OnboardLogs"\RTDC4029\2017-01-06 &amp; aws s3 cp s3://rtdc.mdm.uploadarchive.raw/RTDC4029/ "%USERPROFILE%\AppData\Local\Temp\OnboardLogs"\RTDC4029\2017-01-07 --exclude "*" --recursive --include "*20170107*" &amp; "%USERPROFILE%\Documents\GitHub\mrs-test-scripts\Headless Mode &amp; Sideloading\WalkAndUnGZ.bat" "%USERPROFILE%\AppData\Local\Temp\OnboardLogs"\RTDC4029\2017-01-07</v>
      </c>
      <c r="AF121" s="84" t="str">
        <f t="shared" si="39"/>
        <v>"C:\Program Files (x86)\AstroGrep\AstroGrep.exe" /spath="%USERPROFILE%\AppData\Local\Temp\OnboardLogs" /stypes="app*4029*20170107*" /stext=" 01:.+((SYSTEM_STATE.+slice.+state.+changed )|(ment ac)|(multiple cpu faults)|(system.+state.+changed )|(\[timeout)|(PRM\|1\|D)|(kpr)|(kdp)|(\|lc)|(penalty))" /e /r /s</v>
      </c>
      <c r="AG121" s="1" t="str">
        <f t="shared" si="40"/>
        <v>EC</v>
      </c>
      <c r="AH121" s="88" t="str">
        <f t="shared" si="41"/>
        <v>"%USERPROFILE%\Documents\GitHub\eaglep3\Utilities\RefineRTDCRunTimes.py" --tripid 211-06 --locoid 4029 --swversion DE.1.0.8.0 --startMP 204:626 --initTime 2017-01-06T17:26:21 --startdatetime 2017-01-06T17:30:18 --delay 1 --endMP 204:233280 --enddatetime 2017-01-06T18:07:56 --enforcementcount 0 &gt;&gt;C:\Users\stu\Documents\GitHub\eaglep3-reporting\EC\2017-01-06-refined-times.txt</v>
      </c>
      <c r="AI121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{"issue":{"subject":"","project_id":79,"tracker_id":40,"status_id":1,"priority_id":2,"assigned_to_id":23,"start_date":"2017-01-06","description":"","custom_fields":[{"id":1,"name":"Subdivision","value":"EC"},{"id":4,"name":"Milepost","value":"23.328"},{"id":17,"name":"Train ID","value":"211-06"},{"id":16,"name":"Locomotive ID","value":"4029"},{"id":130,"name":"Impact","value":""},{"id":150,"name":"Time of Event (Mountain Time)","value":"18:07:56"},{"id":151,"name":"Denver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80" t="str">
        <f t="shared" si="43"/>
        <v>start /low /b %USERPROFILE%\Documents\GitHub\eaglep3\Utilities\DownloadLogsFromS3.py --loco 4029 --day 2017-01-06</v>
      </c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4" t="s">
        <v>617</v>
      </c>
      <c r="B122" s="7">
        <v>4030</v>
      </c>
      <c r="C122" s="22" t="s">
        <v>203</v>
      </c>
      <c r="D122" s="22" t="s">
        <v>727</v>
      </c>
      <c r="E122" s="13">
        <v>42741.766956018517</v>
      </c>
      <c r="F122" s="13">
        <v>42741.76834490741</v>
      </c>
      <c r="G122" s="7">
        <v>1</v>
      </c>
      <c r="H122" s="22" t="s">
        <v>689</v>
      </c>
      <c r="I122" s="13">
        <v>42741.797407407408</v>
      </c>
      <c r="J122" s="7">
        <v>0</v>
      </c>
      <c r="K122" s="105" t="str">
        <f t="shared" si="28"/>
        <v>4029/4030</v>
      </c>
      <c r="L122" s="22" t="str">
        <f>VLOOKUP(A122,'Trips&amp;Operators'!$C$1:$G$99999,5,FALSE)</f>
        <v>HELVIE ADAM</v>
      </c>
      <c r="M122" s="6">
        <f t="shared" si="29"/>
        <v>2.9062499997962732E-2</v>
      </c>
      <c r="N122" s="7">
        <f t="shared" si="49"/>
        <v>41.849999997066334</v>
      </c>
      <c r="O122" s="7"/>
      <c r="P122" s="7"/>
      <c r="Q122" s="23"/>
      <c r="R122" s="23"/>
      <c r="S122" s="32">
        <f t="shared" si="45"/>
        <v>1</v>
      </c>
      <c r="T122" s="47" t="str">
        <f t="shared" si="46"/>
        <v>Southbound</v>
      </c>
      <c r="U122" s="16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17:24:25-700',mode:absolute,to:'2017-01-06 20:08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22" s="49" t="str">
        <f t="shared" si="32"/>
        <v>N</v>
      </c>
      <c r="X122" s="173">
        <f t="shared" si="47"/>
        <v>1</v>
      </c>
      <c r="Y122" s="64">
        <f t="shared" si="34"/>
        <v>23.295300000000001</v>
      </c>
      <c r="Z122" s="64">
        <f t="shared" si="48"/>
        <v>1.61E-2</v>
      </c>
      <c r="AA122" s="64">
        <f t="shared" si="36"/>
        <v>23.279199999999999</v>
      </c>
      <c r="AB122" s="61"/>
      <c r="AC122" s="57"/>
      <c r="AD122" s="58" t="str">
        <f t="shared" si="37"/>
        <v>0212-06</v>
      </c>
      <c r="AE122" s="87" t="str">
        <f t="shared" si="38"/>
        <v>aws s3 cp s3://rtdc.mdm.uploadarchive.raw/RTDC4030/ "%USERPROFILE%\AppData\Local\Temp\OnboardLogs"\RTDC4030\2017-01-06 --exclude "*" --recursive --include "*20170106*" &amp; "%USERPROFILE%\Documents\GitHub\mrs-test-scripts\Headless Mode &amp; Sideloading\WalkAndUnGZ.bat" "%USERPROFILE%\AppData\Local\Temp\OnboardLogs"\RTDC4030\2017-01-06 &amp; aws s3 cp s3://rtdc.mdm.uploadarchive.raw/RTDC4030/ "%USERPROFILE%\AppData\Local\Temp\OnboardLogs"\RTDC4030\2017-01-07 --exclude "*" --recursive --include "*20170107*" &amp; "%USERPROFILE%\Documents\GitHub\mrs-test-scripts\Headless Mode &amp; Sideloading\WalkAndUnGZ.bat" "%USERPROFILE%\AppData\Local\Temp\OnboardLogs"\RTDC4030\2017-01-07</v>
      </c>
      <c r="AF122" s="84" t="str">
        <f t="shared" si="39"/>
        <v>"C:\Program Files (x86)\AstroGrep\AstroGrep.exe" /spath="%USERPROFILE%\AppData\Local\Temp\OnboardLogs" /stypes="app*4030*20170107*" /stext=" 02:.+((SYSTEM_STATE.+slice.+state.+changed )|(ment ac)|(multiple cpu faults)|(system.+state.+changed )|(\[timeout)|(PRM\|1\|D)|(kpr)|(kdp)|(\|lc)|(penalty))" /e /r /s</v>
      </c>
      <c r="AG122" s="1" t="str">
        <f t="shared" si="40"/>
        <v>EC</v>
      </c>
      <c r="AH122" s="88" t="str">
        <f t="shared" si="41"/>
        <v>"%USERPROFILE%\Documents\GitHub\eaglep3\Utilities\RefineRTDCRunTimes.py" --tripid 212-06 --locoid 4030 --swversion DE.1.0.8.0 --startMP 204:232953 --initTime 2017-01-06T18:24:25 --startdatetime 2017-01-06T18:26:25 --delay 1 --endMP 204:161 --enddatetime 2017-01-06T19:08:16 --enforcementcount 0 &gt;&gt;C:\Users\stu\Documents\GitHub\eaglep3-reporting\EC\2017-01-06-refined-times.txt</v>
      </c>
      <c r="AI122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{"issue":{"subject":"","project_id":79,"tracker_id":40,"status_id":1,"priority_id":2,"assigned_to_id":23,"start_date":"2017-01-06","description":"","custom_fields":[{"id":1,"name":"Subdivision","value":"EC"},{"id":4,"name":"Milepost","value":"0.0161"},{"id":17,"name":"Train ID","value":"212-06"},{"id":16,"name":"Locomotive ID","value":"4030"},{"id":130,"name":"Impact","value":""},{"id":150,"name":"Time of Event (Mountain Time)","value":"19:08:16"},{"id":151,"name":"Denver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80" t="str">
        <f t="shared" si="43"/>
        <v>start /low /b %USERPROFILE%\Documents\GitHub\eaglep3\Utilities\DownloadLogsFromS3.py --loco 4030 --day 2017-01-06</v>
      </c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4" t="s">
        <v>463</v>
      </c>
      <c r="B123" s="7">
        <v>4009</v>
      </c>
      <c r="C123" s="22" t="s">
        <v>203</v>
      </c>
      <c r="D123" s="22" t="s">
        <v>728</v>
      </c>
      <c r="E123" s="13">
        <v>42741.743564814817</v>
      </c>
      <c r="F123" s="13">
        <v>42741.745694444442</v>
      </c>
      <c r="G123" s="7">
        <v>2</v>
      </c>
      <c r="H123" s="22" t="s">
        <v>729</v>
      </c>
      <c r="I123" s="13">
        <v>42741.777418981481</v>
      </c>
      <c r="J123" s="7">
        <v>0</v>
      </c>
      <c r="K123" s="105" t="str">
        <f t="shared" si="28"/>
        <v>4009/4010</v>
      </c>
      <c r="L123" s="22" t="str">
        <f>VLOOKUP(A123,'Trips&amp;Operators'!$C$1:$G$99999,5,FALSE)</f>
        <v>DUNCAN SHEILA</v>
      </c>
      <c r="M123" s="6">
        <f t="shared" si="29"/>
        <v>3.1724537038826384E-2</v>
      </c>
      <c r="N123" s="7">
        <f t="shared" si="49"/>
        <v>45.683333335909992</v>
      </c>
      <c r="O123" s="7"/>
      <c r="P123" s="7"/>
      <c r="Q123" s="23"/>
      <c r="R123" s="23"/>
      <c r="S123" s="32">
        <f t="shared" si="45"/>
        <v>1</v>
      </c>
      <c r="T123" s="47" t="str">
        <f t="shared" si="46"/>
        <v>NorthBound</v>
      </c>
      <c r="U123" s="16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16:50:44-700',mode:absolute,to:'2017-01-06 19:39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3" s="49" t="str">
        <f t="shared" si="32"/>
        <v>N</v>
      </c>
      <c r="X123" s="173">
        <f t="shared" si="47"/>
        <v>1</v>
      </c>
      <c r="Y123" s="64">
        <f t="shared" si="34"/>
        <v>0.05</v>
      </c>
      <c r="Z123" s="64">
        <f t="shared" si="48"/>
        <v>23.334700000000002</v>
      </c>
      <c r="AA123" s="64">
        <f t="shared" si="36"/>
        <v>23.284700000000001</v>
      </c>
      <c r="AB123" s="61"/>
      <c r="AC123" s="57"/>
      <c r="AD123" s="58" t="str">
        <f t="shared" si="37"/>
        <v>0213-06</v>
      </c>
      <c r="AE123" s="87" t="str">
        <f t="shared" si="38"/>
        <v>aws s3 cp s3://rtdc.mdm.uploadarchive.raw/RTDC4009/ "%USERPROFILE%\AppData\Local\Temp\OnboardLogs"\RTDC4009\2017-01-06 --exclude "*" --recursive --include "*20170106*" &amp; "%USERPROFILE%\Documents\GitHub\mrs-test-scripts\Headless Mode &amp; Sideloading\WalkAndUnGZ.bat" "%USERPROFILE%\AppData\Local\Temp\OnboardLogs"\RTDC4009\2017-01-06 &amp; aws s3 cp s3://rtdc.mdm.uploadarchive.raw/RTDC4009/ "%USERPROFILE%\AppData\Local\Temp\OnboardLogs"\RTDC4009\2017-01-07 --exclude "*" --recursive --include "*20170107*" &amp; "%USERPROFILE%\Documents\GitHub\mrs-test-scripts\Headless Mode &amp; Sideloading\WalkAndUnGZ.bat" "%USERPROFILE%\AppData\Local\Temp\OnboardLogs"\RTDC4009\2017-01-07</v>
      </c>
      <c r="AF123" s="84" t="str">
        <f t="shared" si="39"/>
        <v>"C:\Program Files (x86)\AstroGrep\AstroGrep.exe" /spath="%USERPROFILE%\AppData\Local\Temp\OnboardLogs" /stypes="app*4009*20170107*" /stext=" 01:.+((SYSTEM_STATE.+slice.+state.+changed )|(ment ac)|(multiple cpu faults)|(system.+state.+changed )|(\[timeout)|(PRM\|1\|D)|(kpr)|(kdp)|(\|lc)|(penalty))" /e /r /s</v>
      </c>
      <c r="AG123" s="1" t="str">
        <f t="shared" si="40"/>
        <v>EC</v>
      </c>
      <c r="AH123" s="88" t="str">
        <f t="shared" si="41"/>
        <v>"%USERPROFILE%\Documents\GitHub\eaglep3\Utilities\RefineRTDCRunTimes.py" --tripid 213-06 --locoid 4009 --swversion DE.1.0.8.0 --startMP 204:500 --initTime 2017-01-06T17:50:44 --startdatetime 2017-01-06T17:53:48 --delay 2 --endMP 204:233347 --enddatetime 2017-01-06T18:39:29 --enforcementcount 0 &gt;&gt;C:\Users\stu\Documents\GitHub\eaglep3-reporting\EC\2017-01-06-refined-times.txt</v>
      </c>
      <c r="AI123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{"issue":{"subject":"","project_id":79,"tracker_id":40,"status_id":1,"priority_id":2,"assigned_to_id":23,"start_date":"2017-01-06","description":"","custom_fields":[{"id":1,"name":"Subdivision","value":"EC"},{"id":4,"name":"Milepost","value":"23.3347"},{"id":17,"name":"Train ID","value":"213-06"},{"id":16,"name":"Locomotive ID","value":"4009"},{"id":130,"name":"Impact","value":""},{"id":150,"name":"Time of Event (Mountain Time)","value":"18:39:29"},{"id":151,"name":"Denver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80" t="str">
        <f t="shared" si="43"/>
        <v>start /low /b %USERPROFILE%\Documents\GitHub\eaglep3\Utilities\DownloadLogsFromS3.py --loco 4009 --day 2017-01-06</v>
      </c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4" t="s">
        <v>621</v>
      </c>
      <c r="B124" s="7">
        <v>4010</v>
      </c>
      <c r="C124" s="22" t="s">
        <v>203</v>
      </c>
      <c r="D124" s="22" t="s">
        <v>730</v>
      </c>
      <c r="E124" s="13">
        <v>42741.779120370367</v>
      </c>
      <c r="F124" s="13">
        <v>42741.781053240738</v>
      </c>
      <c r="G124" s="7">
        <v>2</v>
      </c>
      <c r="H124" s="22" t="s">
        <v>287</v>
      </c>
      <c r="I124" s="13">
        <v>42741.810289351852</v>
      </c>
      <c r="J124" s="7">
        <v>0</v>
      </c>
      <c r="K124" s="105" t="str">
        <f t="shared" si="28"/>
        <v>4009/4010</v>
      </c>
      <c r="L124" s="22" t="str">
        <f>VLOOKUP(A124,'Trips&amp;Operators'!$C$1:$G$99999,5,FALSE)</f>
        <v>DUNCAN SHEILA</v>
      </c>
      <c r="M124" s="6">
        <f t="shared" si="29"/>
        <v>2.923611111327773E-2</v>
      </c>
      <c r="N124" s="7">
        <f t="shared" si="49"/>
        <v>42.100000003119931</v>
      </c>
      <c r="O124" s="7"/>
      <c r="P124" s="7"/>
      <c r="Q124" s="23"/>
      <c r="R124" s="23"/>
      <c r="S124" s="32">
        <f t="shared" si="45"/>
        <v>1</v>
      </c>
      <c r="T124" s="47" t="str">
        <f t="shared" si="46"/>
        <v>Southbound</v>
      </c>
      <c r="U124" s="16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17:41:56-700',mode:absolute,to:'2017-01-06 20:26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4" s="49" t="str">
        <f t="shared" si="32"/>
        <v>N</v>
      </c>
      <c r="X124" s="173">
        <f t="shared" si="47"/>
        <v>1</v>
      </c>
      <c r="Y124" s="64">
        <f t="shared" si="34"/>
        <v>23.3034</v>
      </c>
      <c r="Z124" s="64">
        <f t="shared" si="48"/>
        <v>1.41E-2</v>
      </c>
      <c r="AA124" s="64">
        <f t="shared" si="36"/>
        <v>23.289300000000001</v>
      </c>
      <c r="AB124" s="61"/>
      <c r="AC124" s="57"/>
      <c r="AD124" s="58" t="str">
        <f t="shared" si="37"/>
        <v>0214-06</v>
      </c>
      <c r="AE124" s="87" t="str">
        <f t="shared" si="38"/>
        <v>aws s3 cp s3://rtdc.mdm.uploadarchive.raw/RTDC4010/ "%USERPROFILE%\AppData\Local\Temp\OnboardLogs"\RTDC4010\2017-01-06 --exclude "*" --recursive --include "*20170106*" &amp; "%USERPROFILE%\Documents\GitHub\mrs-test-scripts\Headless Mode &amp; Sideloading\WalkAndUnGZ.bat" "%USERPROFILE%\AppData\Local\Temp\OnboardLogs"\RTDC4010\2017-01-06 &amp; aws s3 cp s3://rtdc.mdm.uploadarchive.raw/RTDC4010/ "%USERPROFILE%\AppData\Local\Temp\OnboardLogs"\RTDC4010\2017-01-07 --exclude "*" --recursive --include "*20170107*" &amp; "%USERPROFILE%\Documents\GitHub\mrs-test-scripts\Headless Mode &amp; Sideloading\WalkAndUnGZ.bat" "%USERPROFILE%\AppData\Local\Temp\OnboardLogs"\RTDC4010\2017-01-07</v>
      </c>
      <c r="AF124" s="84" t="str">
        <f t="shared" si="39"/>
        <v>"C:\Program Files (x86)\AstroGrep\AstroGrep.exe" /spath="%USERPROFILE%\AppData\Local\Temp\OnboardLogs" /stypes="app*4010*20170107*" /stext=" 02:.+((SYSTEM_STATE.+slice.+state.+changed )|(ment ac)|(multiple cpu faults)|(system.+state.+changed )|(\[timeout)|(PRM\|1\|D)|(kpr)|(kdp)|(\|lc)|(penalty))" /e /r /s</v>
      </c>
      <c r="AG124" s="1" t="str">
        <f t="shared" si="40"/>
        <v>EC</v>
      </c>
      <c r="AH124" s="88" t="str">
        <f t="shared" si="41"/>
        <v>"%USERPROFILE%\Documents\GitHub\eaglep3\Utilities\RefineRTDCRunTimes.py" --tripid 214-06 --locoid 4010 --swversion DE.1.0.8.0 --startMP 204:233034 --initTime 2017-01-06T18:41:56 --startdatetime 2017-01-06T18:44:43 --delay 2 --endMP 204:141 --enddatetime 2017-01-06T19:26:49 --enforcementcount 0 &gt;&gt;C:\Users\stu\Documents\GitHub\eaglep3-reporting\EC\2017-01-06-refined-times.txt</v>
      </c>
      <c r="AI124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{"issue":{"subject":"","project_id":79,"tracker_id":40,"status_id":1,"priority_id":2,"assigned_to_id":23,"start_date":"2017-01-06","description":"","custom_fields":[{"id":1,"name":"Subdivision","value":"EC"},{"id":4,"name":"Milepost","value":"0.0141"},{"id":17,"name":"Train ID","value":"214-06"},{"id":16,"name":"Locomotive ID","value":"4010"},{"id":130,"name":"Impact","value":""},{"id":150,"name":"Time of Event (Mountain Time)","value":"19:26:49"},{"id":151,"name":"Denver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80" t="str">
        <f t="shared" si="43"/>
        <v>start /low /b %USERPROFILE%\Documents\GitHub\eaglep3\Utilities\DownloadLogsFromS3.py --loco 4010 --day 2017-01-06</v>
      </c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4" t="s">
        <v>612</v>
      </c>
      <c r="B125" s="7">
        <v>4031</v>
      </c>
      <c r="C125" s="22" t="s">
        <v>203</v>
      </c>
      <c r="D125" s="22" t="s">
        <v>194</v>
      </c>
      <c r="E125" s="13">
        <v>42741.757002314815</v>
      </c>
      <c r="F125" s="13">
        <v>42741.759039351855</v>
      </c>
      <c r="G125" s="7">
        <v>1</v>
      </c>
      <c r="H125" s="22" t="s">
        <v>411</v>
      </c>
      <c r="I125" s="13">
        <v>42741.787615740737</v>
      </c>
      <c r="J125" s="7">
        <v>0</v>
      </c>
      <c r="K125" s="105" t="str">
        <f t="shared" si="28"/>
        <v>4031/4032</v>
      </c>
      <c r="L125" s="22" t="str">
        <f>VLOOKUP(A125,'Trips&amp;Operators'!$C$1:$G$99999,5,FALSE)</f>
        <v>WHITED DUSTIN</v>
      </c>
      <c r="M125" s="6">
        <f t="shared" si="29"/>
        <v>2.8576388882356696E-2</v>
      </c>
      <c r="N125" s="7">
        <f t="shared" si="49"/>
        <v>41.149999990593642</v>
      </c>
      <c r="O125" s="7"/>
      <c r="P125" s="7"/>
      <c r="Q125" s="23"/>
      <c r="R125" s="23"/>
      <c r="S125" s="32">
        <f t="shared" ref="S125:S156" si="50">SUM(U125:U125)/IF(AG125="EC",12,1)</f>
        <v>1</v>
      </c>
      <c r="T125" s="47" t="str">
        <f t="shared" si="46"/>
        <v>NorthBound</v>
      </c>
      <c r="U125" s="16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17:10:05-700',mode:absolute,to:'2017-01-06 19:54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5" s="49" t="str">
        <f t="shared" si="32"/>
        <v>N</v>
      </c>
      <c r="X125" s="173">
        <f t="shared" si="47"/>
        <v>1</v>
      </c>
      <c r="Y125" s="64">
        <f t="shared" si="34"/>
        <v>4.5100000000000001E-2</v>
      </c>
      <c r="Z125" s="64">
        <f t="shared" si="48"/>
        <v>23.3322</v>
      </c>
      <c r="AA125" s="64">
        <f t="shared" si="36"/>
        <v>23.287099999999999</v>
      </c>
      <c r="AB125" s="61"/>
      <c r="AC125" s="57"/>
      <c r="AD125" s="58" t="str">
        <f t="shared" si="37"/>
        <v>0215-06</v>
      </c>
      <c r="AE125" s="87" t="str">
        <f t="shared" si="38"/>
        <v>aws s3 cp s3://rtdc.mdm.uploadarchive.raw/RTDC4031/ "%USERPROFILE%\AppData\Local\Temp\OnboardLogs"\RTDC4031\2017-01-06 --exclude "*" --recursive --include "*20170106*" &amp; "%USERPROFILE%\Documents\GitHub\mrs-test-scripts\Headless Mode &amp; Sideloading\WalkAndUnGZ.bat" "%USERPROFILE%\AppData\Local\Temp\OnboardLogs"\RTDC4031\2017-01-06 &amp; aws s3 cp s3://rtdc.mdm.uploadarchive.raw/RTDC4031/ "%USERPROFILE%\AppData\Local\Temp\OnboardLogs"\RTDC4031\2017-01-07 --exclude "*" --recursive --include "*20170107*" &amp; "%USERPROFILE%\Documents\GitHub\mrs-test-scripts\Headless Mode &amp; Sideloading\WalkAndUnGZ.bat" "%USERPROFILE%\AppData\Local\Temp\OnboardLogs"\RTDC4031\2017-01-07</v>
      </c>
      <c r="AF125" s="84" t="str">
        <f t="shared" si="39"/>
        <v>"C:\Program Files (x86)\AstroGrep\AstroGrep.exe" /spath="%USERPROFILE%\AppData\Local\Temp\OnboardLogs" /stypes="app*4031*20170107*" /stext=" 01:.+((SYSTEM_STATE.+slice.+state.+changed )|(ment ac)|(multiple cpu faults)|(system.+state.+changed )|(\[timeout)|(PRM\|1\|D)|(kpr)|(kdp)|(\|lc)|(penalty))" /e /r /s</v>
      </c>
      <c r="AG125" s="1" t="str">
        <f t="shared" si="40"/>
        <v>EC</v>
      </c>
      <c r="AH125" s="88" t="str">
        <f t="shared" si="41"/>
        <v>"%USERPROFILE%\Documents\GitHub\eaglep3\Utilities\RefineRTDCRunTimes.py" --tripid 215-06 --locoid 4031 --swversion DE.1.0.8.0 --startMP 204:451 --initTime 2017-01-06T18:10:05 --startdatetime 2017-01-06T18:13:01 --delay 1 --endMP 204:233322 --enddatetime 2017-01-06T18:54:10 --enforcementcount 0 &gt;&gt;C:\Users\stu\Documents\GitHub\eaglep3-reporting\EC\2017-01-06-refined-times.txt</v>
      </c>
      <c r="AI125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{"issue":{"subject":"","project_id":79,"tracker_id":40,"status_id":1,"priority_id":2,"assigned_to_id":23,"start_date":"2017-01-06","description":"","custom_fields":[{"id":1,"name":"Subdivision","value":"EC"},{"id":4,"name":"Milepost","value":"23.3322"},{"id":17,"name":"Train ID","value":"215-06"},{"id":16,"name":"Locomotive ID","value":"4031"},{"id":130,"name":"Impact","value":""},{"id":150,"name":"Time of Event (Mountain Time)","value":"18:54:10"},{"id":151,"name":"Denver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80" t="str">
        <f t="shared" si="43"/>
        <v>start /low /b %USERPROFILE%\Documents\GitHub\eaglep3\Utilities\DownloadLogsFromS3.py --loco 4031 --day 2017-01-06</v>
      </c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4" t="s">
        <v>623</v>
      </c>
      <c r="B126" s="7">
        <v>4032</v>
      </c>
      <c r="C126" s="22" t="s">
        <v>203</v>
      </c>
      <c r="D126" s="22" t="s">
        <v>256</v>
      </c>
      <c r="E126" s="13">
        <v>42741.789224537039</v>
      </c>
      <c r="F126" s="13">
        <v>42741.791030092594</v>
      </c>
      <c r="G126" s="7">
        <v>1</v>
      </c>
      <c r="H126" s="22" t="s">
        <v>229</v>
      </c>
      <c r="I126" s="13">
        <v>42741.818449074075</v>
      </c>
      <c r="J126" s="7">
        <v>0</v>
      </c>
      <c r="K126" s="105" t="str">
        <f t="shared" si="28"/>
        <v>4031/4032</v>
      </c>
      <c r="L126" s="22" t="str">
        <f>VLOOKUP(A126,'Trips&amp;Operators'!$C$1:$G$99999,5,FALSE)</f>
        <v>WHITED DUSTIN</v>
      </c>
      <c r="M126" s="6">
        <f t="shared" si="29"/>
        <v>2.7418981480877846E-2</v>
      </c>
      <c r="N126" s="7">
        <f t="shared" si="49"/>
        <v>39.483333332464099</v>
      </c>
      <c r="O126" s="7"/>
      <c r="P126" s="7"/>
      <c r="Q126" s="23"/>
      <c r="R126" s="23"/>
      <c r="S126" s="32">
        <f t="shared" si="50"/>
        <v>1</v>
      </c>
      <c r="T126" s="47" t="str">
        <f t="shared" si="46"/>
        <v>Southbound</v>
      </c>
      <c r="U126" s="16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17:56:29-700',mode:absolute,to:'2017-01-06 20:38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6" s="49" t="str">
        <f t="shared" si="32"/>
        <v>N</v>
      </c>
      <c r="X126" s="173">
        <f t="shared" si="47"/>
        <v>1</v>
      </c>
      <c r="Y126" s="64">
        <f t="shared" si="34"/>
        <v>23.2986</v>
      </c>
      <c r="Z126" s="64">
        <f t="shared" si="48"/>
        <v>1.4500000000000001E-2</v>
      </c>
      <c r="AA126" s="64">
        <f t="shared" si="36"/>
        <v>23.284099999999999</v>
      </c>
      <c r="AB126" s="61"/>
      <c r="AC126" s="57"/>
      <c r="AD126" s="58" t="str">
        <f t="shared" si="37"/>
        <v>0216-06</v>
      </c>
      <c r="AE126" s="87" t="str">
        <f t="shared" si="38"/>
        <v>aws s3 cp s3://rtdc.mdm.uploadarchive.raw/RTDC4032/ "%USERPROFILE%\AppData\Local\Temp\OnboardLogs"\RTDC4032\2017-01-06 --exclude "*" --recursive --include "*20170106*" &amp; "%USERPROFILE%\Documents\GitHub\mrs-test-scripts\Headless Mode &amp; Sideloading\WalkAndUnGZ.bat" "%USERPROFILE%\AppData\Local\Temp\OnboardLogs"\RTDC4032\2017-01-06 &amp; aws s3 cp s3://rtdc.mdm.uploadarchive.raw/RTDC4032/ "%USERPROFILE%\AppData\Local\Temp\OnboardLogs"\RTDC4032\2017-01-07 --exclude "*" --recursive --include "*20170107*" &amp; "%USERPROFILE%\Documents\GitHub\mrs-test-scripts\Headless Mode &amp; Sideloading\WalkAndUnGZ.bat" "%USERPROFILE%\AppData\Local\Temp\OnboardLogs"\RTDC4032\2017-01-07</v>
      </c>
      <c r="AF126" s="84" t="str">
        <f t="shared" si="39"/>
        <v>"C:\Program Files (x86)\AstroGrep\AstroGrep.exe" /spath="%USERPROFILE%\AppData\Local\Temp\OnboardLogs" /stypes="app*4032*20170107*" /stext=" 02:.+((SYSTEM_STATE.+slice.+state.+changed )|(ment ac)|(multiple cpu faults)|(system.+state.+changed )|(\[timeout)|(PRM\|1\|D)|(kpr)|(kdp)|(\|lc)|(penalty))" /e /r /s</v>
      </c>
      <c r="AG126" s="1" t="str">
        <f t="shared" si="40"/>
        <v>EC</v>
      </c>
      <c r="AH126" s="88" t="str">
        <f t="shared" si="41"/>
        <v>"%USERPROFILE%\Documents\GitHub\eaglep3\Utilities\RefineRTDCRunTimes.py" --tripid 216-06 --locoid 4032 --swversion DE.1.0.8.0 --startMP 204:232986 --initTime 2017-01-06T18:56:29 --startdatetime 2017-01-06T18:59:05 --delay 1 --endMP 204:145 --enddatetime 2017-01-06T19:38:34 --enforcementcount 0 &gt;&gt;C:\Users\stu\Documents\GitHub\eaglep3-reporting\EC\2017-01-06-refined-times.txt</v>
      </c>
      <c r="AI126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{"issue":{"subject":"","project_id":79,"tracker_id":40,"status_id":1,"priority_id":2,"assigned_to_id":23,"start_date":"2017-01-06","description":"","custom_fields":[{"id":1,"name":"Subdivision","value":"EC"},{"id":4,"name":"Milepost","value":"0.0145"},{"id":17,"name":"Train ID","value":"216-06"},{"id":16,"name":"Locomotive ID","value":"4032"},{"id":130,"name":"Impact","value":""},{"id":150,"name":"Time of Event (Mountain Time)","value":"19:38:34"},{"id":151,"name":"Denver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80" t="str">
        <f t="shared" si="43"/>
        <v>start /low /b %USERPROFILE%\Documents\GitHub\eaglep3\Utilities\DownloadLogsFromS3.py --loco 4032 --day 2017-01-06</v>
      </c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x14ac:dyDescent="0.25">
      <c r="A127" s="34" t="s">
        <v>616</v>
      </c>
      <c r="B127" s="7">
        <v>4027</v>
      </c>
      <c r="C127" s="22" t="s">
        <v>203</v>
      </c>
      <c r="D127" s="22" t="s">
        <v>719</v>
      </c>
      <c r="E127" s="13">
        <v>42741.761203703703</v>
      </c>
      <c r="F127" s="13">
        <v>42741.763414351852</v>
      </c>
      <c r="G127" s="7">
        <v>1</v>
      </c>
      <c r="H127" s="22" t="s">
        <v>729</v>
      </c>
      <c r="I127" s="13">
        <v>42741.794571759259</v>
      </c>
      <c r="J127" s="7">
        <v>0</v>
      </c>
      <c r="K127" s="105" t="str">
        <f t="shared" si="28"/>
        <v>4027/4028</v>
      </c>
      <c r="L127" s="22" t="str">
        <f>VLOOKUP(A127,'Trips&amp;Operators'!$C$1:$G$99999,5,FALSE)</f>
        <v>STAMBAUGH JAMES</v>
      </c>
      <c r="M127" s="6">
        <f t="shared" si="29"/>
        <v>3.1157407407590654E-2</v>
      </c>
      <c r="N127" s="7">
        <f t="shared" si="49"/>
        <v>44.866666666930541</v>
      </c>
      <c r="O127" s="7"/>
      <c r="P127" s="7"/>
      <c r="Q127" s="23"/>
      <c r="R127" s="23"/>
      <c r="S127" s="32">
        <f t="shared" si="50"/>
        <v>1</v>
      </c>
      <c r="T127" s="47" t="str">
        <f t="shared" si="46"/>
        <v>NorthBound</v>
      </c>
      <c r="U127" s="16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17:16:08-700',mode:absolute,to:'2017-01-06 20:04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27" s="49" t="str">
        <f t="shared" si="32"/>
        <v>N</v>
      </c>
      <c r="X127" s="173">
        <f t="shared" si="47"/>
        <v>1</v>
      </c>
      <c r="Y127" s="64">
        <f t="shared" si="34"/>
        <v>4.7699999999999999E-2</v>
      </c>
      <c r="Z127" s="64">
        <f t="shared" si="48"/>
        <v>23.334700000000002</v>
      </c>
      <c r="AA127" s="64">
        <f t="shared" si="36"/>
        <v>23.287000000000003</v>
      </c>
      <c r="AB127" s="61"/>
      <c r="AC127" s="57"/>
      <c r="AD127" s="58" t="str">
        <f t="shared" si="37"/>
        <v>0217-06</v>
      </c>
      <c r="AE127" s="87" t="str">
        <f t="shared" si="38"/>
        <v>aws s3 cp s3://rtdc.mdm.uploadarchive.raw/RTDC4027/ "%USERPROFILE%\AppData\Local\Temp\OnboardLogs"\RTDC4027\2017-01-06 --exclude "*" --recursive --include "*20170106*" &amp; "%USERPROFILE%\Documents\GitHub\mrs-test-scripts\Headless Mode &amp; Sideloading\WalkAndUnGZ.bat" "%USERPROFILE%\AppData\Local\Temp\OnboardLogs"\RTDC4027\2017-01-06 &amp; aws s3 cp s3://rtdc.mdm.uploadarchive.raw/RTDC4027/ "%USERPROFILE%\AppData\Local\Temp\OnboardLogs"\RTDC4027\2017-01-07 --exclude "*" --recursive --include "*20170107*" &amp; "%USERPROFILE%\Documents\GitHub\mrs-test-scripts\Headless Mode &amp; Sideloading\WalkAndUnGZ.bat" "%USERPROFILE%\AppData\Local\Temp\OnboardLogs"\RTDC4027\2017-01-07</v>
      </c>
      <c r="AF127" s="84" t="str">
        <f t="shared" si="39"/>
        <v>"C:\Program Files (x86)\AstroGrep\AstroGrep.exe" /spath="%USERPROFILE%\AppData\Local\Temp\OnboardLogs" /stypes="app*4027*20170107*" /stext=" 02:.+((SYSTEM_STATE.+slice.+state.+changed )|(ment ac)|(multiple cpu faults)|(system.+state.+changed )|(\[timeout)|(PRM\|1\|D)|(kpr)|(kdp)|(\|lc)|(penalty))" /e /r /s</v>
      </c>
      <c r="AG127" s="1" t="str">
        <f t="shared" si="40"/>
        <v>EC</v>
      </c>
      <c r="AH127" s="88" t="str">
        <f t="shared" si="41"/>
        <v>"%USERPROFILE%\Documents\GitHub\eaglep3\Utilities\RefineRTDCRunTimes.py" --tripid 217-06 --locoid 4027 --swversion DE.1.0.8.0 --startMP 204:477 --initTime 2017-01-06T18:16:08 --startdatetime 2017-01-06T18:19:19 --delay 1 --endMP 204:233347 --enddatetime 2017-01-06T19:04:11 --enforcementcount 0 &gt;&gt;C:\Users\stu\Documents\GitHub\eaglep3-reporting\EC\2017-01-06-refined-times.txt</v>
      </c>
      <c r="AI127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{"issue":{"subject":"","project_id":79,"tracker_id":40,"status_id":1,"priority_id":2,"assigned_to_id":23,"start_date":"2017-01-06","description":"","custom_fields":[{"id":1,"name":"Subdivision","value":"EC"},{"id":4,"name":"Milepost","value":"23.3347"},{"id":17,"name":"Train ID","value":"217-06"},{"id":16,"name":"Locomotive ID","value":"4027"},{"id":130,"name":"Impact","value":""},{"id":150,"name":"Time of Event (Mountain Time)","value":"19:04:11"},{"id":151,"name":"Denver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80" t="str">
        <f t="shared" si="43"/>
        <v>start /low /b %USERPROFILE%\Documents\GitHub\eaglep3\Utilities\DownloadLogsFromS3.py --loco 4027 --day 2017-01-06</v>
      </c>
    </row>
    <row r="128" spans="1:91" s="21" customFormat="1" x14ac:dyDescent="0.25">
      <c r="A128" s="34" t="s">
        <v>465</v>
      </c>
      <c r="B128" s="7">
        <v>4028</v>
      </c>
      <c r="C128" s="22" t="s">
        <v>203</v>
      </c>
      <c r="D128" s="22" t="s">
        <v>731</v>
      </c>
      <c r="E128" s="13">
        <v>42741.796712962961</v>
      </c>
      <c r="F128" s="13">
        <v>42741.799826388888</v>
      </c>
      <c r="G128" s="7">
        <v>1</v>
      </c>
      <c r="H128" s="22" t="s">
        <v>279</v>
      </c>
      <c r="I128" s="13">
        <v>42741.825752314813</v>
      </c>
      <c r="J128" s="7">
        <v>0</v>
      </c>
      <c r="K128" s="105" t="str">
        <f t="shared" si="28"/>
        <v>4027/4028</v>
      </c>
      <c r="L128" s="22" t="str">
        <f>VLOOKUP(A128,'Trips&amp;Operators'!$C$1:$G$99999,5,FALSE)</f>
        <v>STAMBAUGH JAMES</v>
      </c>
      <c r="M128" s="6">
        <f t="shared" si="29"/>
        <v>2.5925925925548654E-2</v>
      </c>
      <c r="N128" s="7">
        <f t="shared" si="49"/>
        <v>37.333333332790062</v>
      </c>
      <c r="O128" s="7"/>
      <c r="P128" s="7"/>
      <c r="Q128" s="23"/>
      <c r="R128" s="23"/>
      <c r="S128" s="32">
        <f t="shared" si="50"/>
        <v>1</v>
      </c>
      <c r="T128" s="47" t="str">
        <f t="shared" si="46"/>
        <v>Southbound</v>
      </c>
      <c r="U128" s="16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18:07:16-700',mode:absolute,to:'2017-01-06 20:49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28" s="49" t="str">
        <f t="shared" si="32"/>
        <v>N</v>
      </c>
      <c r="X128" s="173">
        <f t="shared" si="47"/>
        <v>1</v>
      </c>
      <c r="Y128" s="64">
        <f t="shared" si="34"/>
        <v>23.302800000000001</v>
      </c>
      <c r="Z128" s="64">
        <f t="shared" si="48"/>
        <v>1.52E-2</v>
      </c>
      <c r="AA128" s="64">
        <f t="shared" si="36"/>
        <v>23.287600000000001</v>
      </c>
      <c r="AB128" s="61"/>
      <c r="AC128" s="57"/>
      <c r="AD128" s="58" t="str">
        <f t="shared" si="37"/>
        <v>0218-06</v>
      </c>
      <c r="AE128" s="87" t="str">
        <f t="shared" si="38"/>
        <v>aws s3 cp s3://rtdc.mdm.uploadarchive.raw/RTDC4028/ "%USERPROFILE%\AppData\Local\Temp\OnboardLogs"\RTDC4028\2017-01-06 --exclude "*" --recursive --include "*20170106*" &amp; "%USERPROFILE%\Documents\GitHub\mrs-test-scripts\Headless Mode &amp; Sideloading\WalkAndUnGZ.bat" "%USERPROFILE%\AppData\Local\Temp\OnboardLogs"\RTDC4028\2017-01-06 &amp; aws s3 cp s3://rtdc.mdm.uploadarchive.raw/RTDC4028/ "%USERPROFILE%\AppData\Local\Temp\OnboardLogs"\RTDC4028\2017-01-07 --exclude "*" --recursive --include "*20170107*" &amp; "%USERPROFILE%\Documents\GitHub\mrs-test-scripts\Headless Mode &amp; Sideloading\WalkAndUnGZ.bat" "%USERPROFILE%\AppData\Local\Temp\OnboardLogs"\RTDC4028\2017-01-07</v>
      </c>
      <c r="AF128" s="84" t="str">
        <f t="shared" si="39"/>
        <v>"C:\Program Files (x86)\AstroGrep\AstroGrep.exe" /spath="%USERPROFILE%\AppData\Local\Temp\OnboardLogs" /stypes="app*4028*20170107*" /stext=" 02:.+((SYSTEM_STATE.+slice.+state.+changed )|(ment ac)|(multiple cpu faults)|(system.+state.+changed )|(\[timeout)|(PRM\|1\|D)|(kpr)|(kdp)|(\|lc)|(penalty))" /e /r /s</v>
      </c>
      <c r="AG128" s="1" t="str">
        <f t="shared" si="40"/>
        <v>EC</v>
      </c>
      <c r="AH128" s="88" t="str">
        <f t="shared" si="41"/>
        <v>"%USERPROFILE%\Documents\GitHub\eaglep3\Utilities\RefineRTDCRunTimes.py" --tripid 218-06 --locoid 4028 --swversion DE.1.0.8.0 --startMP 204:233028 --initTime 2017-01-06T19:07:16 --startdatetime 2017-01-06T19:11:45 --delay 1 --endMP 204:152 --enddatetime 2017-01-06T19:49:05 --enforcementcount 0 &gt;&gt;C:\Users\stu\Documents\GitHub\eaglep3-reporting\EC\2017-01-06-refined-times.txt</v>
      </c>
      <c r="AI128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{"issue":{"subject":"","project_id":79,"tracker_id":40,"status_id":1,"priority_id":2,"assigned_to_id":23,"start_date":"2017-01-06","description":"","custom_fields":[{"id":1,"name":"Subdivision","value":"EC"},{"id":4,"name":"Milepost","value":"0.0152"},{"id":17,"name":"Train ID","value":"218-06"},{"id":16,"name":"Locomotive ID","value":"4028"},{"id":130,"name":"Impact","value":""},{"id":150,"name":"Time of Event (Mountain Time)","value":"19:49:05"},{"id":151,"name":"Denver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80" t="str">
        <f t="shared" si="43"/>
        <v>start /low /b %USERPROFILE%\Documents\GitHub\eaglep3\Utilities\DownloadLogsFromS3.py --loco 4028 --day 2017-01-06</v>
      </c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x14ac:dyDescent="0.25">
      <c r="A129" s="34" t="s">
        <v>618</v>
      </c>
      <c r="B129" s="7">
        <v>4018</v>
      </c>
      <c r="C129" s="22" t="s">
        <v>203</v>
      </c>
      <c r="D129" s="22" t="s">
        <v>721</v>
      </c>
      <c r="E129" s="13">
        <v>42741.771828703706</v>
      </c>
      <c r="F129" s="13">
        <v>42741.774363425924</v>
      </c>
      <c r="G129" s="7">
        <v>1</v>
      </c>
      <c r="H129" s="22" t="s">
        <v>732</v>
      </c>
      <c r="I129" s="13">
        <v>42741.804363425923</v>
      </c>
      <c r="J129" s="7">
        <v>0</v>
      </c>
      <c r="K129" s="105" t="str">
        <f t="shared" si="28"/>
        <v>4017/4018</v>
      </c>
      <c r="L129" s="22" t="str">
        <f>VLOOKUP(A129,'Trips&amp;Operators'!$C$1:$G$99999,5,FALSE)</f>
        <v>HILLS DUSTIN</v>
      </c>
      <c r="M129" s="6">
        <f t="shared" si="29"/>
        <v>2.9999999998835847E-2</v>
      </c>
      <c r="N129" s="7">
        <f t="shared" si="49"/>
        <v>43.199999998323619</v>
      </c>
      <c r="O129" s="7"/>
      <c r="P129" s="7"/>
      <c r="Q129" s="23"/>
      <c r="R129" s="23"/>
      <c r="S129" s="32">
        <f t="shared" si="50"/>
        <v>1</v>
      </c>
      <c r="T129" s="47" t="str">
        <f t="shared" si="46"/>
        <v>NorthBound</v>
      </c>
      <c r="U129" s="16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17:31:26-700',mode:absolute,to:'2017-01-06 20:18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9" s="49" t="str">
        <f t="shared" si="32"/>
        <v>N</v>
      </c>
      <c r="X129" s="173">
        <f t="shared" si="47"/>
        <v>1</v>
      </c>
      <c r="Y129" s="64">
        <f t="shared" si="34"/>
        <v>4.7100000000000003E-2</v>
      </c>
      <c r="Z129" s="64">
        <f t="shared" si="48"/>
        <v>23.3385</v>
      </c>
      <c r="AA129" s="64">
        <f t="shared" si="36"/>
        <v>23.291399999999999</v>
      </c>
      <c r="AB129" s="61"/>
      <c r="AC129" s="57"/>
      <c r="AD129" s="58" t="str">
        <f t="shared" si="37"/>
        <v>0219-06</v>
      </c>
      <c r="AE129" s="87" t="str">
        <f t="shared" si="38"/>
        <v>aws s3 cp s3://rtdc.mdm.uploadarchive.raw/RTDC4018/ "%USERPROFILE%\AppData\Local\Temp\OnboardLogs"\RTDC4018\2017-01-06 --exclude "*" --recursive --include "*20170106*" &amp; "%USERPROFILE%\Documents\GitHub\mrs-test-scripts\Headless Mode &amp; Sideloading\WalkAndUnGZ.bat" "%USERPROFILE%\AppData\Local\Temp\OnboardLogs"\RTDC4018\2017-01-06 &amp; aws s3 cp s3://rtdc.mdm.uploadarchive.raw/RTDC4018/ "%USERPROFILE%\AppData\Local\Temp\OnboardLogs"\RTDC4018\2017-01-07 --exclude "*" --recursive --include "*20170107*" &amp; "%USERPROFILE%\Documents\GitHub\mrs-test-scripts\Headless Mode &amp; Sideloading\WalkAndUnGZ.bat" "%USERPROFILE%\AppData\Local\Temp\OnboardLogs"\RTDC4018\2017-01-07</v>
      </c>
      <c r="AF129" s="84" t="str">
        <f t="shared" si="39"/>
        <v>"C:\Program Files (x86)\AstroGrep\AstroGrep.exe" /spath="%USERPROFILE%\AppData\Local\Temp\OnboardLogs" /stypes="app*4018*20170107*" /stext=" 02:.+((SYSTEM_STATE.+slice.+state.+changed )|(ment ac)|(multiple cpu faults)|(system.+state.+changed )|(\[timeout)|(PRM\|1\|D)|(kpr)|(kdp)|(\|lc)|(penalty))" /e /r /s</v>
      </c>
      <c r="AG129" s="1" t="str">
        <f t="shared" si="40"/>
        <v>EC</v>
      </c>
      <c r="AH129" s="88" t="str">
        <f t="shared" si="41"/>
        <v>"%USERPROFILE%\Documents\GitHub\eaglep3\Utilities\RefineRTDCRunTimes.py" --tripid 219-06 --locoid 4018 --swversion DE.1.0.8.0 --startMP 204:471 --initTime 2017-01-06T18:31:26 --startdatetime 2017-01-06T18:35:05 --delay 1 --endMP 204:233385 --enddatetime 2017-01-06T19:18:17 --enforcementcount 0 &gt;&gt;C:\Users\stu\Documents\GitHub\eaglep3-reporting\EC\2017-01-06-refined-times.txt</v>
      </c>
      <c r="AI129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{"issue":{"subject":"","project_id":79,"tracker_id":40,"status_id":1,"priority_id":2,"assigned_to_id":23,"start_date":"2017-01-06","description":"","custom_fields":[{"id":1,"name":"Subdivision","value":"EC"},{"id":4,"name":"Milepost","value":"23.3385"},{"id":17,"name":"Train ID","value":"219-06"},{"id":16,"name":"Locomotive ID","value":"4018"},{"id":130,"name":"Impact","value":""},{"id":150,"name":"Time of Event (Mountain Time)","value":"19:18:17"},{"id":151,"name":"Denver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80" t="str">
        <f t="shared" si="43"/>
        <v>start /low /b %USERPROFILE%\Documents\GitHub\eaglep3\Utilities\DownloadLogsFromS3.py --loco 4018 --day 2017-01-06</v>
      </c>
    </row>
    <row r="130" spans="1:91" s="21" customFormat="1" x14ac:dyDescent="0.25">
      <c r="A130" s="34" t="s">
        <v>467</v>
      </c>
      <c r="B130" s="7">
        <v>4017</v>
      </c>
      <c r="C130" s="22" t="s">
        <v>203</v>
      </c>
      <c r="D130" s="22" t="s">
        <v>733</v>
      </c>
      <c r="E130" s="13">
        <v>42741.805509259262</v>
      </c>
      <c r="F130" s="13">
        <v>42741.810057870367</v>
      </c>
      <c r="G130" s="7">
        <v>1</v>
      </c>
      <c r="H130" s="22" t="s">
        <v>734</v>
      </c>
      <c r="I130" s="13">
        <v>42741.837245370371</v>
      </c>
      <c r="J130" s="7">
        <v>0</v>
      </c>
      <c r="K130" s="105" t="str">
        <f t="shared" si="28"/>
        <v>4017/4018</v>
      </c>
      <c r="L130" s="22" t="str">
        <f>VLOOKUP(A130,'Trips&amp;Operators'!$C$1:$G$99999,5,FALSE)</f>
        <v>HILLS DUSTIN</v>
      </c>
      <c r="M130" s="6">
        <f t="shared" si="29"/>
        <v>2.718750000349246E-2</v>
      </c>
      <c r="N130" s="7">
        <f t="shared" si="49"/>
        <v>39.150000005029142</v>
      </c>
      <c r="O130" s="7"/>
      <c r="P130" s="7"/>
      <c r="Q130" s="23"/>
      <c r="R130" s="23"/>
      <c r="S130" s="32">
        <f t="shared" si="50"/>
        <v>1</v>
      </c>
      <c r="T130" s="47" t="str">
        <f t="shared" si="46"/>
        <v>Southbound</v>
      </c>
      <c r="U130" s="16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18:19:56-700',mode:absolute,to:'2017-01-06 21:05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30" s="49" t="str">
        <f t="shared" si="32"/>
        <v>N</v>
      </c>
      <c r="X130" s="173">
        <f t="shared" si="47"/>
        <v>1</v>
      </c>
      <c r="Y130" s="64">
        <f t="shared" si="34"/>
        <v>23.309000000000001</v>
      </c>
      <c r="Z130" s="64">
        <f t="shared" si="48"/>
        <v>9.1999999999999998E-3</v>
      </c>
      <c r="AA130" s="64">
        <f t="shared" si="36"/>
        <v>23.299800000000001</v>
      </c>
      <c r="AB130" s="61"/>
      <c r="AC130" s="57"/>
      <c r="AD130" s="58" t="str">
        <f t="shared" si="37"/>
        <v>0220-06</v>
      </c>
      <c r="AE130" s="87" t="str">
        <f t="shared" si="38"/>
        <v>aws s3 cp s3://rtdc.mdm.uploadarchive.raw/RTDC4017/ "%USERPROFILE%\AppData\Local\Temp\OnboardLogs"\RTDC4017\2017-01-06 --exclude "*" --recursive --include "*20170106*" &amp; "%USERPROFILE%\Documents\GitHub\mrs-test-scripts\Headless Mode &amp; Sideloading\WalkAndUnGZ.bat" "%USERPROFILE%\AppData\Local\Temp\OnboardLogs"\RTDC4017\2017-01-06 &amp; aws s3 cp s3://rtdc.mdm.uploadarchive.raw/RTDC4017/ "%USERPROFILE%\AppData\Local\Temp\OnboardLogs"\RTDC4017\2017-01-07 --exclude "*" --recursive --include "*20170107*" &amp; "%USERPROFILE%\Documents\GitHub\mrs-test-scripts\Headless Mode &amp; Sideloading\WalkAndUnGZ.bat" "%USERPROFILE%\AppData\Local\Temp\OnboardLogs"\RTDC4017\2017-01-07</v>
      </c>
      <c r="AF130" s="84" t="str">
        <f t="shared" si="39"/>
        <v>"C:\Program Files (x86)\AstroGrep\AstroGrep.exe" /spath="%USERPROFILE%\AppData\Local\Temp\OnboardLogs" /stypes="app*4017*20170107*" /stext=" 03:.+((SYSTEM_STATE.+slice.+state.+changed )|(ment ac)|(multiple cpu faults)|(system.+state.+changed )|(\[timeout)|(PRM\|1\|D)|(kpr)|(kdp)|(\|lc)|(penalty))" /e /r /s</v>
      </c>
      <c r="AG130" s="1" t="str">
        <f t="shared" si="40"/>
        <v>EC</v>
      </c>
      <c r="AH130" s="88" t="str">
        <f t="shared" si="41"/>
        <v>"%USERPROFILE%\Documents\GitHub\eaglep3\Utilities\RefineRTDCRunTimes.py" --tripid 220-06 --locoid 4017 --swversion DE.1.0.8.0 --startMP 204:233090 --initTime 2017-01-06T19:19:56 --startdatetime 2017-01-06T19:26:29 --delay 1 --endMP 204:92 --enddatetime 2017-01-06T20:05:38 --enforcementcount 0 &gt;&gt;C:\Users\stu\Documents\GitHub\eaglep3-reporting\EC\2017-01-06-refined-times.txt</v>
      </c>
      <c r="AI130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{"issue":{"subject":"","project_id":79,"tracker_id":40,"status_id":1,"priority_id":2,"assigned_to_id":23,"start_date":"2017-01-06","description":"","custom_fields":[{"id":1,"name":"Subdivision","value":"EC"},{"id":4,"name":"Milepost","value":"0.0092"},{"id":17,"name":"Train ID","value":"220-06"},{"id":16,"name":"Locomotive ID","value":"4017"},{"id":130,"name":"Impact","value":""},{"id":150,"name":"Time of Event (Mountain Time)","value":"20:05:38"},{"id":151,"name":"Denver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80" t="str">
        <f t="shared" si="43"/>
        <v>start /low /b %USERPROFILE%\Documents\GitHub\eaglep3\Utilities\DownloadLogsFromS3.py --loco 4017 --day 2017-01-06</v>
      </c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4" t="s">
        <v>624</v>
      </c>
      <c r="B131" s="7">
        <v>4002</v>
      </c>
      <c r="C131" s="22" t="s">
        <v>203</v>
      </c>
      <c r="D131" s="22" t="s">
        <v>301</v>
      </c>
      <c r="E131" s="13">
        <v>42741.790150462963</v>
      </c>
      <c r="F131" s="13">
        <v>42741.792719907404</v>
      </c>
      <c r="G131" s="7">
        <v>3</v>
      </c>
      <c r="H131" s="22" t="s">
        <v>420</v>
      </c>
      <c r="I131" s="13">
        <v>42741.818518518521</v>
      </c>
      <c r="J131" s="7">
        <v>0</v>
      </c>
      <c r="K131" s="105" t="str">
        <f t="shared" si="28"/>
        <v>4001/4002</v>
      </c>
      <c r="L131" s="22" t="str">
        <f>VLOOKUP(A131,'Trips&amp;Operators'!$C$1:$G$99999,5,FALSE)</f>
        <v>BROWN JACOB</v>
      </c>
      <c r="M131" s="6">
        <f t="shared" si="29"/>
        <v>2.5798611117352266E-2</v>
      </c>
      <c r="N131" s="7">
        <f t="shared" si="49"/>
        <v>37.150000008987263</v>
      </c>
      <c r="O131" s="7"/>
      <c r="P131" s="7"/>
      <c r="Q131" s="23"/>
      <c r="R131" s="23"/>
      <c r="S131" s="32">
        <f t="shared" si="50"/>
        <v>1</v>
      </c>
      <c r="T131" s="47" t="str">
        <f t="shared" si="46"/>
        <v>NorthBound</v>
      </c>
      <c r="U131" s="16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17:57:49-700',mode:absolute,to:'2017-01-06 20:38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1" s="49" t="str">
        <f t="shared" si="32"/>
        <v>N</v>
      </c>
      <c r="X131" s="173">
        <f t="shared" si="47"/>
        <v>1</v>
      </c>
      <c r="Y131" s="64">
        <f t="shared" si="34"/>
        <v>4.6699999999999998E-2</v>
      </c>
      <c r="Z131" s="64">
        <f t="shared" si="48"/>
        <v>23.333100000000002</v>
      </c>
      <c r="AA131" s="64">
        <f t="shared" si="36"/>
        <v>23.2864</v>
      </c>
      <c r="AB131" s="61"/>
      <c r="AC131" s="57"/>
      <c r="AD131" s="58" t="str">
        <f t="shared" si="37"/>
        <v>0221-06</v>
      </c>
      <c r="AE131" s="87" t="str">
        <f t="shared" si="38"/>
        <v>aws s3 cp s3://rtdc.mdm.uploadarchive.raw/RTDC4002/ "%USERPROFILE%\AppData\Local\Temp\OnboardLogs"\RTDC4002\2017-01-06 --exclude "*" --recursive --include "*20170106*" &amp; "%USERPROFILE%\Documents\GitHub\mrs-test-scripts\Headless Mode &amp; Sideloading\WalkAndUnGZ.bat" "%USERPROFILE%\AppData\Local\Temp\OnboardLogs"\RTDC4002\2017-01-06 &amp; aws s3 cp s3://rtdc.mdm.uploadarchive.raw/RTDC4002/ "%USERPROFILE%\AppData\Local\Temp\OnboardLogs"\RTDC4002\2017-01-07 --exclude "*" --recursive --include "*20170107*" &amp; "%USERPROFILE%\Documents\GitHub\mrs-test-scripts\Headless Mode &amp; Sideloading\WalkAndUnGZ.bat" "%USERPROFILE%\AppData\Local\Temp\OnboardLogs"\RTDC4002\2017-01-07</v>
      </c>
      <c r="AF131" s="84" t="str">
        <f t="shared" si="39"/>
        <v>"C:\Program Files (x86)\AstroGrep\AstroGrep.exe" /spath="%USERPROFILE%\AppData\Local\Temp\OnboardLogs" /stypes="app*4002*20170107*" /stext=" 02:.+((SYSTEM_STATE.+slice.+state.+changed )|(ment ac)|(multiple cpu faults)|(system.+state.+changed )|(\[timeout)|(PRM\|1\|D)|(kpr)|(kdp)|(\|lc)|(penalty))" /e /r /s</v>
      </c>
      <c r="AG131" s="1" t="str">
        <f t="shared" si="40"/>
        <v>EC</v>
      </c>
      <c r="AH131" s="88" t="str">
        <f t="shared" si="41"/>
        <v>"%USERPROFILE%\Documents\GitHub\eaglep3\Utilities\RefineRTDCRunTimes.py" --tripid 221-06 --locoid 4002 --swversion DE.1.0.8.0 --startMP 204:467 --initTime 2017-01-06T18:57:49 --startdatetime 2017-01-06T19:01:31 --delay 3 --endMP 204:233331 --enddatetime 2017-01-06T19:38:40 --enforcementcount 0 &gt;&gt;C:\Users\stu\Documents\GitHub\eaglep3-reporting\EC\2017-01-06-refined-times.txt</v>
      </c>
      <c r="AI131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{"issue":{"subject":"","project_id":79,"tracker_id":40,"status_id":1,"priority_id":2,"assigned_to_id":23,"start_date":"2017-01-06","description":"","custom_fields":[{"id":1,"name":"Subdivision","value":"EC"},{"id":4,"name":"Milepost","value":"23.3331"},{"id":17,"name":"Train ID","value":"221-06"},{"id":16,"name":"Locomotive ID","value":"4002"},{"id":130,"name":"Impact","value":""},{"id":150,"name":"Time of Event (Mountain Time)","value":"19:38:40"},{"id":151,"name":"Denver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80" t="str">
        <f t="shared" si="43"/>
        <v>start /low /b %USERPROFILE%\Documents\GitHub\eaglep3\Utilities\DownloadLogsFromS3.py --loco 4002 --day 2017-01-06</v>
      </c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630</v>
      </c>
      <c r="B132" s="7">
        <v>4001</v>
      </c>
      <c r="C132" s="22" t="s">
        <v>203</v>
      </c>
      <c r="D132" s="22" t="s">
        <v>694</v>
      </c>
      <c r="E132" s="13">
        <v>42741.825810185182</v>
      </c>
      <c r="F132" s="13">
        <v>42741.83085648148</v>
      </c>
      <c r="G132" s="7">
        <v>1</v>
      </c>
      <c r="H132" s="22" t="s">
        <v>229</v>
      </c>
      <c r="I132" s="13">
        <v>42741.858831018515</v>
      </c>
      <c r="J132" s="7">
        <v>0</v>
      </c>
      <c r="K132" s="105" t="str">
        <f t="shared" si="28"/>
        <v>4001/4002</v>
      </c>
      <c r="L132" s="22" t="str">
        <f>VLOOKUP(A132,'Trips&amp;Operators'!$C$1:$G$99999,5,FALSE)</f>
        <v>BROWN JACOB</v>
      </c>
      <c r="M132" s="6">
        <f t="shared" si="29"/>
        <v>2.7974537035333924E-2</v>
      </c>
      <c r="N132" s="7">
        <f t="shared" si="49"/>
        <v>40.283333330880851</v>
      </c>
      <c r="O132" s="7"/>
      <c r="P132" s="7"/>
      <c r="Q132" s="23"/>
      <c r="R132" s="23"/>
      <c r="S132" s="32">
        <f t="shared" si="50"/>
        <v>1</v>
      </c>
      <c r="T132" s="47" t="str">
        <f t="shared" si="46"/>
        <v>Southbound</v>
      </c>
      <c r="U132" s="16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18:49:10-700',mode:absolute,to:'2017-01-06 21:36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2" s="49" t="str">
        <f t="shared" si="32"/>
        <v>N</v>
      </c>
      <c r="X132" s="173">
        <f t="shared" si="47"/>
        <v>1</v>
      </c>
      <c r="Y132" s="64">
        <f t="shared" si="34"/>
        <v>23.299600000000002</v>
      </c>
      <c r="Z132" s="64">
        <f t="shared" si="48"/>
        <v>1.4500000000000001E-2</v>
      </c>
      <c r="AA132" s="64">
        <f t="shared" si="36"/>
        <v>23.2851</v>
      </c>
      <c r="AB132" s="61"/>
      <c r="AC132" s="57"/>
      <c r="AD132" s="58" t="str">
        <f t="shared" si="37"/>
        <v>0222-06</v>
      </c>
      <c r="AE132" s="87" t="str">
        <f t="shared" si="38"/>
        <v>aws s3 cp s3://rtdc.mdm.uploadarchive.raw/RTDC4001/ "%USERPROFILE%\AppData\Local\Temp\OnboardLogs"\RTDC4001\2017-01-06 --exclude "*" --recursive --include "*20170106*" &amp; "%USERPROFILE%\Documents\GitHub\mrs-test-scripts\Headless Mode &amp; Sideloading\WalkAndUnGZ.bat" "%USERPROFILE%\AppData\Local\Temp\OnboardLogs"\RTDC4001\2017-01-06 &amp; aws s3 cp s3://rtdc.mdm.uploadarchive.raw/RTDC4001/ "%USERPROFILE%\AppData\Local\Temp\OnboardLogs"\RTDC4001\2017-01-07 --exclude "*" --recursive --include "*20170107*" &amp; "%USERPROFILE%\Documents\GitHub\mrs-test-scripts\Headless Mode &amp; Sideloading\WalkAndUnGZ.bat" "%USERPROFILE%\AppData\Local\Temp\OnboardLogs"\RTDC4001\2017-01-07</v>
      </c>
      <c r="AF132" s="84" t="str">
        <f t="shared" si="39"/>
        <v>"C:\Program Files (x86)\AstroGrep\AstroGrep.exe" /spath="%USERPROFILE%\AppData\Local\Temp\OnboardLogs" /stypes="app*4001*20170107*" /stext=" 03:.+((SYSTEM_STATE.+slice.+state.+changed )|(ment ac)|(multiple cpu faults)|(system.+state.+changed )|(\[timeout)|(PRM\|1\|D)|(kpr)|(kdp)|(\|lc)|(penalty))" /e /r /s</v>
      </c>
      <c r="AG132" s="1" t="str">
        <f t="shared" si="40"/>
        <v>EC</v>
      </c>
      <c r="AH132" s="88" t="str">
        <f t="shared" si="41"/>
        <v>"%USERPROFILE%\Documents\GitHub\eaglep3\Utilities\RefineRTDCRunTimes.py" --tripid 222-06 --locoid 4001 --swversion DE.1.0.8.0 --startMP 204:232996 --initTime 2017-01-06T19:49:10 --startdatetime 2017-01-06T19:56:26 --delay 1 --endMP 204:145 --enddatetime 2017-01-06T20:36:43 --enforcementcount 0 &gt;&gt;C:\Users\stu\Documents\GitHub\eaglep3-reporting\EC\2017-01-06-refined-times.txt</v>
      </c>
      <c r="AI132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{"issue":{"subject":"","project_id":79,"tracker_id":40,"status_id":1,"priority_id":2,"assigned_to_id":23,"start_date":"2017-01-06","description":"","custom_fields":[{"id":1,"name":"Subdivision","value":"EC"},{"id":4,"name":"Milepost","value":"0.0145"},{"id":17,"name":"Train ID","value":"222-06"},{"id":16,"name":"Locomotive ID","value":"4001"},{"id":130,"name":"Impact","value":""},{"id":150,"name":"Time of Event (Mountain Time)","value":"20:36:43"},{"id":151,"name":"Denver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80" t="str">
        <f t="shared" si="43"/>
        <v>start /low /b %USERPROFILE%\Documents\GitHub\eaglep3\Utilities\DownloadLogsFromS3.py --loco 4001 --day 2017-01-06</v>
      </c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464</v>
      </c>
      <c r="B133" s="7">
        <v>4009</v>
      </c>
      <c r="C133" s="22" t="s">
        <v>203</v>
      </c>
      <c r="D133" s="22" t="s">
        <v>370</v>
      </c>
      <c r="E133" s="13">
        <v>42741.811886574076</v>
      </c>
      <c r="F133" s="13">
        <v>42741.813530092593</v>
      </c>
      <c r="G133" s="7">
        <v>1</v>
      </c>
      <c r="H133" s="22" t="s">
        <v>417</v>
      </c>
      <c r="I133" s="13">
        <v>42741.83898148148</v>
      </c>
      <c r="J133" s="7">
        <v>0</v>
      </c>
      <c r="K133" s="105" t="str">
        <f t="shared" si="28"/>
        <v>4009/4010</v>
      </c>
      <c r="L133" s="22" t="str">
        <f>VLOOKUP(A133,'Trips&amp;Operators'!$C$1:$G$99999,5,FALSE)</f>
        <v>DUNCAN SHEILA</v>
      </c>
      <c r="M133" s="6">
        <f t="shared" si="29"/>
        <v>2.545138888672227E-2</v>
      </c>
      <c r="N133" s="7">
        <f t="shared" si="49"/>
        <v>36.649999996880069</v>
      </c>
      <c r="O133" s="7"/>
      <c r="P133" s="7"/>
      <c r="Q133" s="23"/>
      <c r="R133" s="23"/>
      <c r="S133" s="32">
        <f t="shared" si="50"/>
        <v>1</v>
      </c>
      <c r="T133" s="47" t="str">
        <f t="shared" si="46"/>
        <v>NorthBound</v>
      </c>
      <c r="U133" s="16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18:29:07-700',mode:absolute,to:'2017-01-06 21:08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3" s="49" t="str">
        <f t="shared" si="32"/>
        <v>N</v>
      </c>
      <c r="X133" s="173">
        <f t="shared" ref="X133:X134" si="51">VALUE(LEFT(AD133,4))-VALUE(LEFT(AD132,4))</f>
        <v>1</v>
      </c>
      <c r="Y133" s="64">
        <f t="shared" si="34"/>
        <v>4.3099999999999999E-2</v>
      </c>
      <c r="Z133" s="64">
        <f t="shared" si="48"/>
        <v>23.3324</v>
      </c>
      <c r="AA133" s="64">
        <f t="shared" si="36"/>
        <v>23.289300000000001</v>
      </c>
      <c r="AB133" s="61"/>
      <c r="AC133" s="57"/>
      <c r="AD133" s="58" t="str">
        <f t="shared" si="37"/>
        <v>0223-06</v>
      </c>
      <c r="AE133" s="87" t="str">
        <f t="shared" si="38"/>
        <v>aws s3 cp s3://rtdc.mdm.uploadarchive.raw/RTDC4009/ "%USERPROFILE%\AppData\Local\Temp\OnboardLogs"\RTDC4009\2017-01-06 --exclude "*" --recursive --include "*20170106*" &amp; "%USERPROFILE%\Documents\GitHub\mrs-test-scripts\Headless Mode &amp; Sideloading\WalkAndUnGZ.bat" "%USERPROFILE%\AppData\Local\Temp\OnboardLogs"\RTDC4009\2017-01-06 &amp; aws s3 cp s3://rtdc.mdm.uploadarchive.raw/RTDC4009/ "%USERPROFILE%\AppData\Local\Temp\OnboardLogs"\RTDC4009\2017-01-07 --exclude "*" --recursive --include "*20170107*" &amp; "%USERPROFILE%\Documents\GitHub\mrs-test-scripts\Headless Mode &amp; Sideloading\WalkAndUnGZ.bat" "%USERPROFILE%\AppData\Local\Temp\OnboardLogs"\RTDC4009\2017-01-07</v>
      </c>
      <c r="AF133" s="84" t="str">
        <f t="shared" si="39"/>
        <v>"C:\Program Files (x86)\AstroGrep\AstroGrep.exe" /spath="%USERPROFILE%\AppData\Local\Temp\OnboardLogs" /stypes="app*4009*20170107*" /stext=" 03:.+((SYSTEM_STATE.+slice.+state.+changed )|(ment ac)|(multiple cpu faults)|(system.+state.+changed )|(\[timeout)|(PRM\|1\|D)|(kpr)|(kdp)|(\|lc)|(penalty))" /e /r /s</v>
      </c>
      <c r="AG133" s="1" t="str">
        <f t="shared" si="40"/>
        <v>EC</v>
      </c>
      <c r="AH133" s="88" t="str">
        <f t="shared" si="41"/>
        <v>"%USERPROFILE%\Documents\GitHub\eaglep3\Utilities\RefineRTDCRunTimes.py" --tripid 223-06 --locoid 4009 --swversion DE.1.0.8.0 --startMP 204:431 --initTime 2017-01-06T19:29:07 --startdatetime 2017-01-06T19:31:29 --delay 1 --endMP 204:233324 --enddatetime 2017-01-06T20:08:08 --enforcementcount 0 &gt;&gt;C:\Users\stu\Documents\GitHub\eaglep3-reporting\EC\2017-01-06-refined-times.txt</v>
      </c>
      <c r="AI133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{"issue":{"subject":"","project_id":79,"tracker_id":40,"status_id":1,"priority_id":2,"assigned_to_id":23,"start_date":"2017-01-06","description":"","custom_fields":[{"id":1,"name":"Subdivision","value":"EC"},{"id":4,"name":"Milepost","value":"23.3324"},{"id":17,"name":"Train ID","value":"223-06"},{"id":16,"name":"Locomotive ID","value":"4009"},{"id":130,"name":"Impact","value":""},{"id":150,"name":"Time of Event (Mountain Time)","value":"20:08:08"},{"id":151,"name":"Denver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80" t="str">
        <f t="shared" si="43"/>
        <v>start /low /b %USERPROFILE%\Documents\GitHub\eaglep3\Utilities\DownloadLogsFromS3.py --loco 4009 --day 2017-01-06</v>
      </c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632</v>
      </c>
      <c r="B134" s="7">
        <v>4010</v>
      </c>
      <c r="C134" s="22" t="s">
        <v>203</v>
      </c>
      <c r="D134" s="22" t="s">
        <v>303</v>
      </c>
      <c r="E134" s="13">
        <v>42741.846620370372</v>
      </c>
      <c r="F134" s="13">
        <v>42741.851759259262</v>
      </c>
      <c r="G134" s="7">
        <v>1</v>
      </c>
      <c r="H134" s="22" t="s">
        <v>689</v>
      </c>
      <c r="I134" s="13">
        <v>42741.880347222221</v>
      </c>
      <c r="J134" s="7">
        <v>0</v>
      </c>
      <c r="K134" s="105" t="str">
        <f t="shared" si="28"/>
        <v>4009/4010</v>
      </c>
      <c r="L134" s="22" t="str">
        <f>VLOOKUP(A134,'Trips&amp;Operators'!$C$1:$G$99999,5,FALSE)</f>
        <v>DUNCAN SHEILA</v>
      </c>
      <c r="M134" s="6">
        <f t="shared" si="29"/>
        <v>2.8587962959136348E-2</v>
      </c>
      <c r="N134" s="7">
        <f t="shared" si="49"/>
        <v>41.166666661156341</v>
      </c>
      <c r="O134" s="7"/>
      <c r="P134" s="7"/>
      <c r="Q134" s="23"/>
      <c r="R134" s="23"/>
      <c r="S134" s="32">
        <f t="shared" si="50"/>
        <v>1</v>
      </c>
      <c r="T134" s="47" t="str">
        <f t="shared" si="46"/>
        <v>Southbound</v>
      </c>
      <c r="U134" s="16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19:19:08-700',mode:absolute,to:'2017-01-06 22:07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4" s="49" t="str">
        <f t="shared" si="32"/>
        <v>N</v>
      </c>
      <c r="X134" s="173">
        <f t="shared" si="51"/>
        <v>1</v>
      </c>
      <c r="Y134" s="64">
        <f t="shared" si="34"/>
        <v>23.296700000000001</v>
      </c>
      <c r="Z134" s="64">
        <f t="shared" si="48"/>
        <v>1.61E-2</v>
      </c>
      <c r="AA134" s="64">
        <f t="shared" si="36"/>
        <v>23.2806</v>
      </c>
      <c r="AB134" s="61"/>
      <c r="AC134" s="57"/>
      <c r="AD134" s="58" t="str">
        <f t="shared" si="37"/>
        <v>0224-06</v>
      </c>
      <c r="AE134" s="87" t="str">
        <f t="shared" si="38"/>
        <v>aws s3 cp s3://rtdc.mdm.uploadarchive.raw/RTDC4010/ "%USERPROFILE%\AppData\Local\Temp\OnboardLogs"\RTDC4010\2017-01-06 --exclude "*" --recursive --include "*20170106*" &amp; "%USERPROFILE%\Documents\GitHub\mrs-test-scripts\Headless Mode &amp; Sideloading\WalkAndUnGZ.bat" "%USERPROFILE%\AppData\Local\Temp\OnboardLogs"\RTDC4010\2017-01-06 &amp; aws s3 cp s3://rtdc.mdm.uploadarchive.raw/RTDC4010/ "%USERPROFILE%\AppData\Local\Temp\OnboardLogs"\RTDC4010\2017-01-07 --exclude "*" --recursive --include "*20170107*" &amp; "%USERPROFILE%\Documents\GitHub\mrs-test-scripts\Headless Mode &amp; Sideloading\WalkAndUnGZ.bat" "%USERPROFILE%\AppData\Local\Temp\OnboardLogs"\RTDC4010\2017-01-07</v>
      </c>
      <c r="AF134" s="84" t="str">
        <f t="shared" si="39"/>
        <v>"C:\Program Files (x86)\AstroGrep\AstroGrep.exe" /spath="%USERPROFILE%\AppData\Local\Temp\OnboardLogs" /stypes="app*4010*20170107*" /stext=" 04:.+((SYSTEM_STATE.+slice.+state.+changed )|(ment ac)|(multiple cpu faults)|(system.+state.+changed )|(\[timeout)|(PRM\|1\|D)|(kpr)|(kdp)|(\|lc)|(penalty))" /e /r /s</v>
      </c>
      <c r="AG134" s="1" t="str">
        <f t="shared" si="40"/>
        <v>EC</v>
      </c>
      <c r="AH134" s="88" t="str">
        <f t="shared" si="41"/>
        <v>"%USERPROFILE%\Documents\GitHub\eaglep3\Utilities\RefineRTDCRunTimes.py" --tripid 224-06 --locoid 4010 --swversion DE.1.0.8.0 --startMP 204:232967 --initTime 2017-01-06T20:19:08 --startdatetime 2017-01-06T20:26:32 --delay 1 --endMP 204:161 --enddatetime 2017-01-06T21:07:42 --enforcementcount 0 &gt;&gt;C:\Users\stu\Documents\GitHub\eaglep3-reporting\EC\2017-01-06-refined-times.txt</v>
      </c>
      <c r="AI134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{"issue":{"subject":"","project_id":79,"tracker_id":40,"status_id":1,"priority_id":2,"assigned_to_id":23,"start_date":"2017-01-06","description":"","custom_fields":[{"id":1,"name":"Subdivision","value":"EC"},{"id":4,"name":"Milepost","value":"0.0161"},{"id":17,"name":"Train ID","value":"224-06"},{"id":16,"name":"Locomotive ID","value":"4010"},{"id":130,"name":"Impact","value":""},{"id":150,"name":"Time of Event (Mountain Time)","value":"21:07:42"},{"id":151,"name":"Denver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80" t="str">
        <f t="shared" si="43"/>
        <v>start /low /b %USERPROFILE%\Documents\GitHub\eaglep3\Utilities\DownloadLogsFromS3.py --loco 4010 --day 2017-01-06</v>
      </c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468</v>
      </c>
      <c r="B135" s="7">
        <v>4027</v>
      </c>
      <c r="C135" s="22" t="s">
        <v>203</v>
      </c>
      <c r="D135" s="22" t="s">
        <v>410</v>
      </c>
      <c r="E135" s="13">
        <v>42741.837048611109</v>
      </c>
      <c r="F135" s="13">
        <v>42741.837893518517</v>
      </c>
      <c r="G135" s="7">
        <v>1</v>
      </c>
      <c r="H135" s="22" t="s">
        <v>341</v>
      </c>
      <c r="I135" s="13">
        <v>42741.858935185184</v>
      </c>
      <c r="J135" s="7">
        <v>0</v>
      </c>
      <c r="K135" s="105" t="str">
        <f t="shared" si="28"/>
        <v>4027/4028</v>
      </c>
      <c r="L135" s="22" t="str">
        <f>VLOOKUP(A135,'Trips&amp;Operators'!$C$1:$G$99999,5,FALSE)</f>
        <v>STAMBAUGH JAMES</v>
      </c>
      <c r="M135" s="6">
        <f t="shared" si="29"/>
        <v>2.1041666666860692E-2</v>
      </c>
      <c r="N135" s="7"/>
      <c r="O135" s="7"/>
      <c r="P135" s="7">
        <f>24*60*SUM($M135:$M135)</f>
        <v>30.300000000279397</v>
      </c>
      <c r="Q135" s="23"/>
      <c r="R135" s="23" t="s">
        <v>847</v>
      </c>
      <c r="S135" s="32">
        <f t="shared" si="50"/>
        <v>1</v>
      </c>
      <c r="T135" s="47" t="str">
        <f t="shared" si="46"/>
        <v>NorthBound</v>
      </c>
      <c r="U135" s="16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19:05:21-700',mode:absolute,to:'2017-01-06 21:36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35" s="49" t="str">
        <f t="shared" si="32"/>
        <v>Y</v>
      </c>
      <c r="X135" s="173">
        <f>VALUE(LEFT(AD135,4))-VALUE(LEFT(AD134,4))</f>
        <v>1</v>
      </c>
      <c r="Y135" s="64">
        <f t="shared" si="34"/>
        <v>1.9134</v>
      </c>
      <c r="Z135" s="64">
        <f t="shared" si="48"/>
        <v>23.331399999999999</v>
      </c>
      <c r="AA135" s="64">
        <f t="shared" si="36"/>
        <v>21.417999999999999</v>
      </c>
      <c r="AB135" s="61"/>
      <c r="AC135" s="57"/>
      <c r="AD135" s="58" t="str">
        <f t="shared" si="37"/>
        <v>0225-06</v>
      </c>
      <c r="AE135" s="87" t="str">
        <f t="shared" si="38"/>
        <v>aws s3 cp s3://rtdc.mdm.uploadarchive.raw/RTDC4027/ "%USERPROFILE%\AppData\Local\Temp\OnboardLogs"\RTDC4027\2017-01-06 --exclude "*" --recursive --include "*20170106*" &amp; "%USERPROFILE%\Documents\GitHub\mrs-test-scripts\Headless Mode &amp; Sideloading\WalkAndUnGZ.bat" "%USERPROFILE%\AppData\Local\Temp\OnboardLogs"\RTDC4027\2017-01-06 &amp; aws s3 cp s3://rtdc.mdm.uploadarchive.raw/RTDC4027/ "%USERPROFILE%\AppData\Local\Temp\OnboardLogs"\RTDC4027\2017-01-07 --exclude "*" --recursive --include "*20170107*" &amp; "%USERPROFILE%\Documents\GitHub\mrs-test-scripts\Headless Mode &amp; Sideloading\WalkAndUnGZ.bat" "%USERPROFILE%\AppData\Local\Temp\OnboardLogs"\RTDC4027\2017-01-07</v>
      </c>
      <c r="AF135" s="84" t="str">
        <f t="shared" si="39"/>
        <v>"C:\Program Files (x86)\AstroGrep\AstroGrep.exe" /spath="%USERPROFILE%\AppData\Local\Temp\OnboardLogs" /stypes="app*4027*20170107*" /stext=" 03:.+((SYSTEM_STATE.+slice.+state.+changed )|(ment ac)|(multiple cpu faults)|(system.+state.+changed )|(\[timeout)|(PRM\|1\|D)|(kpr)|(kdp)|(\|lc)|(penalty))" /e /r /s</v>
      </c>
      <c r="AG135" s="1" t="str">
        <f t="shared" si="40"/>
        <v>EC</v>
      </c>
      <c r="AH135" s="88" t="str">
        <f t="shared" si="41"/>
        <v>"%USERPROFILE%\Documents\GitHub\eaglep3\Utilities\RefineRTDCRunTimes.py" --tripid 225-06 --locoid 4027 --swversion DE.1.0.8.0 --startMP 204:19134 --initTime 2017-01-06T20:05:21 --startdatetime 2017-01-06T20:06:34 --delay 1 --endMP 204:233314 --enddatetime 2017-01-06T20:36:52 --enforcementcount 0 &gt;&gt;C:\Users\stu\Documents\GitHub\eaglep3-reporting\EC\2017-01-06-refined-times.txt</v>
      </c>
      <c r="AI135" s="115" t="str">
        <f t="shared" si="42"/>
        <v>echo {"issue":{"subject":"DUS 4N/22N STOP","project_id":79,"tracker_id":40,"status_id":1,"priority_id":2,"assigned_to_id":23,"start_date":"2017-01-06","description":"","custom_fields":[{"id":1,"name":"Subdivision","value":"EC"},{"id":4,"name":"Milepost","value":"23.3314"},{"id":17,"name":"Train ID","value":"225-06"},{"id":16,"name":"Locomotive ID","value":"4027"},{"id":130,"name":"Impact","value":""},{"id":150,"name":"Time of Event (Mountain Time)","value":"20:36:52"},{"id":151,"name":"Denver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80" t="str">
        <f t="shared" si="43"/>
        <v>start /low /b %USERPROFILE%\Documents\GitHub\eaglep3\Utilities\DownloadLogsFromS3.py --loco 4027 --day 2017-01-06</v>
      </c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468</v>
      </c>
      <c r="B136" s="7">
        <v>4027</v>
      </c>
      <c r="C136" s="22" t="s">
        <v>203</v>
      </c>
      <c r="D136" s="22" t="s">
        <v>194</v>
      </c>
      <c r="E136" s="13">
        <v>42741.828067129631</v>
      </c>
      <c r="F136" s="13">
        <v>42741.837893518517</v>
      </c>
      <c r="G136" s="7">
        <v>1</v>
      </c>
      <c r="H136" s="22" t="s">
        <v>735</v>
      </c>
      <c r="I136" s="13">
        <v>42741.858935185184</v>
      </c>
      <c r="J136" s="7">
        <v>0</v>
      </c>
      <c r="K136" s="105" t="str">
        <f t="shared" si="28"/>
        <v>4027/4028</v>
      </c>
      <c r="L136" s="22" t="str">
        <f>VLOOKUP(A136,'Trips&amp;Operators'!$C$1:$G$99999,5,FALSE)</f>
        <v>STAMBAUGH JAMES</v>
      </c>
      <c r="M136" s="6">
        <f t="shared" si="29"/>
        <v>2.1041666666860692E-2</v>
      </c>
      <c r="N136" s="7"/>
      <c r="O136" s="7"/>
      <c r="P136" s="7"/>
      <c r="Q136" s="23"/>
      <c r="R136" s="23"/>
      <c r="S136" s="32">
        <f t="shared" si="50"/>
        <v>0</v>
      </c>
      <c r="T136" s="47" t="str">
        <f t="shared" si="46"/>
        <v>NorthBound</v>
      </c>
      <c r="U136" s="16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0</v>
      </c>
      <c r="V136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18:52:25-700',mode:absolute,to:'2017-01-06 21:36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36" s="49" t="str">
        <f t="shared" si="32"/>
        <v>Y</v>
      </c>
      <c r="X136" s="173">
        <f>VALUE(LEFT(AD136,4))-VALUE(LEFT(AD135,4))</f>
        <v>0</v>
      </c>
      <c r="Y136" s="64">
        <f t="shared" si="34"/>
        <v>4.5100000000000001E-2</v>
      </c>
      <c r="Z136" s="64">
        <f t="shared" si="48"/>
        <v>0.1244</v>
      </c>
      <c r="AA136" s="64">
        <f t="shared" si="36"/>
        <v>7.9299999999999995E-2</v>
      </c>
      <c r="AB136" s="61"/>
      <c r="AC136" s="57"/>
      <c r="AD136" s="58" t="str">
        <f t="shared" si="37"/>
        <v>0225-06</v>
      </c>
      <c r="AE136" s="87" t="str">
        <f t="shared" si="38"/>
        <v>aws s3 cp s3://rtdc.mdm.uploadarchive.raw/RTDC4027/ "%USERPROFILE%\AppData\Local\Temp\OnboardLogs"\RTDC4027\2017-01-06 --exclude "*" --recursive --include "*20170106*" &amp; "%USERPROFILE%\Documents\GitHub\mrs-test-scripts\Headless Mode &amp; Sideloading\WalkAndUnGZ.bat" "%USERPROFILE%\AppData\Local\Temp\OnboardLogs"\RTDC4027\2017-01-06 &amp; aws s3 cp s3://rtdc.mdm.uploadarchive.raw/RTDC4027/ "%USERPROFILE%\AppData\Local\Temp\OnboardLogs"\RTDC4027\2017-01-07 --exclude "*" --recursive --include "*20170107*" &amp; "%USERPROFILE%\Documents\GitHub\mrs-test-scripts\Headless Mode &amp; Sideloading\WalkAndUnGZ.bat" "%USERPROFILE%\AppData\Local\Temp\OnboardLogs"\RTDC4027\2017-01-07</v>
      </c>
      <c r="AF136" s="84" t="str">
        <f t="shared" si="39"/>
        <v>"C:\Program Files (x86)\AstroGrep\AstroGrep.exe" /spath="%USERPROFILE%\AppData\Local\Temp\OnboardLogs" /stypes="app*4027*20170107*" /stext=" 03:.+((SYSTEM_STATE.+slice.+state.+changed )|(ment ac)|(multiple cpu faults)|(system.+state.+changed )|(\[timeout)|(PRM\|1\|D)|(kpr)|(kdp)|(\|lc)|(penalty))" /e /r /s</v>
      </c>
      <c r="AG136" s="1" t="str">
        <f t="shared" si="40"/>
        <v>EC</v>
      </c>
      <c r="AH136" s="88" t="str">
        <f t="shared" si="41"/>
        <v>"%USERPROFILE%\Documents\GitHub\eaglep3\Utilities\RefineRTDCRunTimes.py" --tripid 225-06 --locoid 4027 --swversion DE.1.0.8.0 --startMP 204:451 --initTime 2017-01-06T19:52:25 --startdatetime 2017-01-06T20:06:34 --delay 1 --endMP 204:1244 --enddatetime 2017-01-06T20:36:52 --enforcementcount 0 &gt;&gt;C:\Users\stu\Documents\GitHub\eaglep3-reporting\EC\2017-01-06-refined-times.txt</v>
      </c>
      <c r="AI136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{"issue":{"subject":"","project_id":79,"tracker_id":40,"status_id":1,"priority_id":2,"assigned_to_id":23,"start_date":"2017-01-06","description":"","custom_fields":[{"id":1,"name":"Subdivision","value":"EC"},{"id":4,"name":"Milepost","value":"0.1244"},{"id":17,"name":"Train ID","value":"225-06"},{"id":16,"name":"Locomotive ID","value":"4027"},{"id":130,"name":"Impact","value":""},{"id":150,"name":"Time of Event (Mountain Time)","value":"20:36:52"},{"id":151,"name":"Denver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80" t="str">
        <f t="shared" si="43"/>
        <v>start /low /b %USERPROFILE%\Documents\GitHub\eaglep3\Utilities\DownloadLogsFromS3.py --loco 4027 --day 2017-01-06</v>
      </c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635</v>
      </c>
      <c r="B137" s="7">
        <v>4028</v>
      </c>
      <c r="C137" s="22" t="s">
        <v>203</v>
      </c>
      <c r="D137" s="22" t="s">
        <v>408</v>
      </c>
      <c r="E137" s="13">
        <v>42741.861770833333</v>
      </c>
      <c r="F137" s="13">
        <v>42741.872569444444</v>
      </c>
      <c r="G137" s="7">
        <v>1</v>
      </c>
      <c r="H137" s="22" t="s">
        <v>191</v>
      </c>
      <c r="I137" s="13">
        <v>42741.898946759262</v>
      </c>
      <c r="J137" s="7">
        <v>0</v>
      </c>
      <c r="K137" s="105" t="str">
        <f t="shared" si="28"/>
        <v>4027/4028</v>
      </c>
      <c r="L137" s="22" t="str">
        <f>VLOOKUP(A137,'Trips&amp;Operators'!$C$1:$G$99999,5,FALSE)</f>
        <v>STAMBAUGH JAMES</v>
      </c>
      <c r="M137" s="6">
        <f t="shared" si="29"/>
        <v>2.6377314818091691E-2</v>
      </c>
      <c r="N137" s="7">
        <f t="shared" ref="N137:N145" si="52">24*60*SUM($M137:$M137)</f>
        <v>37.983333338052034</v>
      </c>
      <c r="O137" s="7"/>
      <c r="P137" s="7"/>
      <c r="Q137" s="23"/>
      <c r="R137" s="23"/>
      <c r="S137" s="32">
        <f t="shared" si="50"/>
        <v>1</v>
      </c>
      <c r="T137" s="47" t="str">
        <f t="shared" si="46"/>
        <v>Southbound</v>
      </c>
      <c r="U137" s="16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19:40:57-700',mode:absolute,to:'2017-01-06 22:34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37" s="49" t="str">
        <f t="shared" si="32"/>
        <v>N</v>
      </c>
      <c r="X137" s="173">
        <f>VALUE(LEFT(AD137,4))-VALUE(LEFT(AD136,4))</f>
        <v>1</v>
      </c>
      <c r="Y137" s="64">
        <f t="shared" si="34"/>
        <v>23.299399999999999</v>
      </c>
      <c r="Z137" s="64">
        <f t="shared" si="48"/>
        <v>1.49E-2</v>
      </c>
      <c r="AA137" s="64">
        <f t="shared" si="36"/>
        <v>23.284499999999998</v>
      </c>
      <c r="AB137" s="61"/>
      <c r="AC137" s="57"/>
      <c r="AD137" s="58" t="str">
        <f t="shared" si="37"/>
        <v>0226-06</v>
      </c>
      <c r="AE137" s="87" t="str">
        <f t="shared" si="38"/>
        <v>aws s3 cp s3://rtdc.mdm.uploadarchive.raw/RTDC4028/ "%USERPROFILE%\AppData\Local\Temp\OnboardLogs"\RTDC4028\2017-01-06 --exclude "*" --recursive --include "*20170106*" &amp; "%USERPROFILE%\Documents\GitHub\mrs-test-scripts\Headless Mode &amp; Sideloading\WalkAndUnGZ.bat" "%USERPROFILE%\AppData\Local\Temp\OnboardLogs"\RTDC4028\2017-01-06 &amp; aws s3 cp s3://rtdc.mdm.uploadarchive.raw/RTDC4028/ "%USERPROFILE%\AppData\Local\Temp\OnboardLogs"\RTDC4028\2017-01-07 --exclude "*" --recursive --include "*20170107*" &amp; "%USERPROFILE%\Documents\GitHub\mrs-test-scripts\Headless Mode &amp; Sideloading\WalkAndUnGZ.bat" "%USERPROFILE%\AppData\Local\Temp\OnboardLogs"\RTDC4028\2017-01-07</v>
      </c>
      <c r="AF137" s="84" t="str">
        <f t="shared" si="39"/>
        <v>"C:\Program Files (x86)\AstroGrep\AstroGrep.exe" /spath="%USERPROFILE%\AppData\Local\Temp\OnboardLogs" /stypes="app*4028*20170107*" /stext=" 04:.+((SYSTEM_STATE.+slice.+state.+changed )|(ment ac)|(multiple cpu faults)|(system.+state.+changed )|(\[timeout)|(PRM\|1\|D)|(kpr)|(kdp)|(\|lc)|(penalty))" /e /r /s</v>
      </c>
      <c r="AG137" s="1" t="str">
        <f t="shared" si="40"/>
        <v>EC</v>
      </c>
      <c r="AH137" s="88" t="str">
        <f t="shared" si="41"/>
        <v>"%USERPROFILE%\Documents\GitHub\eaglep3\Utilities\RefineRTDCRunTimes.py" --tripid 226-06 --locoid 4028 --swversion DE.1.0.8.0 --startMP 204:232994 --initTime 2017-01-06T20:40:57 --startdatetime 2017-01-06T20:56:30 --delay 1 --endMP 204:149 --enddatetime 2017-01-06T21:34:29 --enforcementcount 0 &gt;&gt;C:\Users\stu\Documents\GitHub\eaglep3-reporting\EC\2017-01-06-refined-times.txt</v>
      </c>
      <c r="AI137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{"issue":{"subject":"","project_id":79,"tracker_id":40,"status_id":1,"priority_id":2,"assigned_to_id":23,"start_date":"2017-01-06","description":"","custom_fields":[{"id":1,"name":"Subdivision","value":"EC"},{"id":4,"name":"Milepost","value":"0.0149"},{"id":17,"name":"Train ID","value":"226-06"},{"id":16,"name":"Locomotive ID","value":"4028"},{"id":130,"name":"Impact","value":""},{"id":150,"name":"Time of Event (Mountain Time)","value":"21:34:29"},{"id":151,"name":"Denver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80" t="str">
        <f t="shared" si="43"/>
        <v>start /low /b %USERPROFILE%\Documents\GitHub\eaglep3\Utilities\DownloadLogsFromS3.py --loco 4028 --day 2017-01-06</v>
      </c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469</v>
      </c>
      <c r="B138" s="7">
        <v>4018</v>
      </c>
      <c r="C138" s="22" t="s">
        <v>203</v>
      </c>
      <c r="D138" s="22" t="s">
        <v>736</v>
      </c>
      <c r="E138" s="13">
        <v>42741.841608796298</v>
      </c>
      <c r="F138" s="13">
        <v>42741.85429398148</v>
      </c>
      <c r="G138" s="7">
        <v>1</v>
      </c>
      <c r="H138" s="22" t="s">
        <v>737</v>
      </c>
      <c r="I138" s="13">
        <v>42741.880185185182</v>
      </c>
      <c r="J138" s="7">
        <v>0</v>
      </c>
      <c r="K138" s="105" t="str">
        <f t="shared" si="28"/>
        <v>4017/4018</v>
      </c>
      <c r="L138" s="22" t="str">
        <f>VLOOKUP(A138,'Trips&amp;Operators'!$C$1:$G$99999,5,FALSE)</f>
        <v>HILLS DUSTIN</v>
      </c>
      <c r="M138" s="6">
        <f t="shared" si="29"/>
        <v>2.5891203702485655E-2</v>
      </c>
      <c r="N138" s="7">
        <f t="shared" si="52"/>
        <v>37.283333331579342</v>
      </c>
      <c r="O138" s="7"/>
      <c r="P138" s="7"/>
      <c r="Q138" s="23"/>
      <c r="R138" s="23"/>
      <c r="S138" s="32">
        <f t="shared" si="50"/>
        <v>1</v>
      </c>
      <c r="T138" s="47" t="str">
        <f t="shared" si="46"/>
        <v>NorthBound</v>
      </c>
      <c r="U138" s="16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19:11:55-700',mode:absolute,to:'2017-01-06 22:07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38" s="49" t="str">
        <f t="shared" si="32"/>
        <v>N</v>
      </c>
      <c r="X138" s="173">
        <f>VALUE(LEFT(AD138,4))-VALUE(LEFT(AD137,4))</f>
        <v>1</v>
      </c>
      <c r="Y138" s="64">
        <f t="shared" si="34"/>
        <v>3.9800000000000002E-2</v>
      </c>
      <c r="Z138" s="64">
        <f t="shared" si="48"/>
        <v>23.338200000000001</v>
      </c>
      <c r="AA138" s="64">
        <f t="shared" si="36"/>
        <v>23.298400000000001</v>
      </c>
      <c r="AB138" s="61"/>
      <c r="AC138" s="57"/>
      <c r="AD138" s="58" t="str">
        <f t="shared" si="37"/>
        <v>0227-06</v>
      </c>
      <c r="AE138" s="87" t="str">
        <f t="shared" si="38"/>
        <v>aws s3 cp s3://rtdc.mdm.uploadarchive.raw/RTDC4018/ "%USERPROFILE%\AppData\Local\Temp\OnboardLogs"\RTDC4018\2017-01-06 --exclude "*" --recursive --include "*20170106*" &amp; "%USERPROFILE%\Documents\GitHub\mrs-test-scripts\Headless Mode &amp; Sideloading\WalkAndUnGZ.bat" "%USERPROFILE%\AppData\Local\Temp\OnboardLogs"\RTDC4018\2017-01-06 &amp; aws s3 cp s3://rtdc.mdm.uploadarchive.raw/RTDC4018/ "%USERPROFILE%\AppData\Local\Temp\OnboardLogs"\RTDC4018\2017-01-07 --exclude "*" --recursive --include "*20170107*" &amp; "%USERPROFILE%\Documents\GitHub\mrs-test-scripts\Headless Mode &amp; Sideloading\WalkAndUnGZ.bat" "%USERPROFILE%\AppData\Local\Temp\OnboardLogs"\RTDC4018\2017-01-07</v>
      </c>
      <c r="AF138" s="84" t="str">
        <f t="shared" si="39"/>
        <v>"C:\Program Files (x86)\AstroGrep\AstroGrep.exe" /spath="%USERPROFILE%\AppData\Local\Temp\OnboardLogs" /stypes="app*4018*20170107*" /stext=" 04:.+((SYSTEM_STATE.+slice.+state.+changed )|(ment ac)|(multiple cpu faults)|(system.+state.+changed )|(\[timeout)|(PRM\|1\|D)|(kpr)|(kdp)|(\|lc)|(penalty))" /e /r /s</v>
      </c>
      <c r="AG138" s="1" t="str">
        <f t="shared" si="40"/>
        <v>EC</v>
      </c>
      <c r="AH138" s="88" t="str">
        <f t="shared" si="41"/>
        <v>"%USERPROFILE%\Documents\GitHub\eaglep3\Utilities\RefineRTDCRunTimes.py" --tripid 227-06 --locoid 4018 --swversion DE.1.0.8.0 --startMP 204:398 --initTime 2017-01-06T20:11:55 --startdatetime 2017-01-06T20:30:11 --delay 1 --endMP 204:233382 --enddatetime 2017-01-06T21:07:28 --enforcementcount 0 &gt;&gt;C:\Users\stu\Documents\GitHub\eaglep3-reporting\EC\2017-01-06-refined-times.txt</v>
      </c>
      <c r="AI138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{"issue":{"subject":"","project_id":79,"tracker_id":40,"status_id":1,"priority_id":2,"assigned_to_id":23,"start_date":"2017-01-06","description":"","custom_fields":[{"id":1,"name":"Subdivision","value":"EC"},{"id":4,"name":"Milepost","value":"23.3382"},{"id":17,"name":"Train ID","value":"227-06"},{"id":16,"name":"Locomotive ID","value":"4018"},{"id":130,"name":"Impact","value":""},{"id":150,"name":"Time of Event (Mountain Time)","value":"21:07:28"},{"id":151,"name":"Denver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80" t="str">
        <f t="shared" si="43"/>
        <v>start /low /b %USERPROFILE%\Documents\GitHub\eaglep3\Utilities\DownloadLogsFromS3.py --loco 4018 --day 2017-01-06</v>
      </c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638</v>
      </c>
      <c r="B139" s="7">
        <v>4017</v>
      </c>
      <c r="C139" s="22" t="s">
        <v>203</v>
      </c>
      <c r="D139" s="22" t="s">
        <v>738</v>
      </c>
      <c r="E139" s="13">
        <v>42741.882326388892</v>
      </c>
      <c r="F139" s="13">
        <v>42741.893217592595</v>
      </c>
      <c r="G139" s="7">
        <v>1</v>
      </c>
      <c r="H139" s="22" t="s">
        <v>739</v>
      </c>
      <c r="I139" s="13">
        <v>42741.919803240744</v>
      </c>
      <c r="J139" s="7">
        <v>0</v>
      </c>
      <c r="K139" s="105" t="str">
        <f t="shared" si="28"/>
        <v>4017/4018</v>
      </c>
      <c r="L139" s="22" t="str">
        <f>VLOOKUP(A139,'Trips&amp;Operators'!$C$1:$G$99999,5,FALSE)</f>
        <v>HILLS DUSTIN</v>
      </c>
      <c r="M139" s="6">
        <f t="shared" si="29"/>
        <v>2.658564814919373E-2</v>
      </c>
      <c r="N139" s="7">
        <f t="shared" si="52"/>
        <v>38.283333334838971</v>
      </c>
      <c r="O139" s="7"/>
      <c r="P139" s="7"/>
      <c r="Q139" s="23"/>
      <c r="R139" s="23"/>
      <c r="S139" s="32">
        <f t="shared" si="50"/>
        <v>1</v>
      </c>
      <c r="T139" s="47" t="str">
        <f t="shared" si="46"/>
        <v>Southbound</v>
      </c>
      <c r="U139" s="16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20:10:33-700',mode:absolute,to:'2017-01-06 23:04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39" s="49" t="str">
        <f t="shared" si="32"/>
        <v>N</v>
      </c>
      <c r="X139" s="173">
        <f>VALUE(LEFT(AD139,4))-VALUE(LEFT(AD138,4))</f>
        <v>1</v>
      </c>
      <c r="Y139" s="64">
        <f t="shared" si="34"/>
        <v>23.308</v>
      </c>
      <c r="Z139" s="64">
        <f t="shared" si="48"/>
        <v>1.1599999999999999E-2</v>
      </c>
      <c r="AA139" s="64">
        <f t="shared" si="36"/>
        <v>23.296399999999998</v>
      </c>
      <c r="AB139" s="61"/>
      <c r="AC139" s="57"/>
      <c r="AD139" s="58" t="str">
        <f t="shared" si="37"/>
        <v>0228-06</v>
      </c>
      <c r="AE139" s="87" t="str">
        <f t="shared" si="38"/>
        <v>aws s3 cp s3://rtdc.mdm.uploadarchive.raw/RTDC4017/ "%USERPROFILE%\AppData\Local\Temp\OnboardLogs"\RTDC4017\2017-01-06 --exclude "*" --recursive --include "*20170106*" &amp; "%USERPROFILE%\Documents\GitHub\mrs-test-scripts\Headless Mode &amp; Sideloading\WalkAndUnGZ.bat" "%USERPROFILE%\AppData\Local\Temp\OnboardLogs"\RTDC4017\2017-01-06 &amp; aws s3 cp s3://rtdc.mdm.uploadarchive.raw/RTDC4017/ "%USERPROFILE%\AppData\Local\Temp\OnboardLogs"\RTDC4017\2017-01-07 --exclude "*" --recursive --include "*20170107*" &amp; "%USERPROFILE%\Documents\GitHub\mrs-test-scripts\Headless Mode &amp; Sideloading\WalkAndUnGZ.bat" "%USERPROFILE%\AppData\Local\Temp\OnboardLogs"\RTDC4017\2017-01-07</v>
      </c>
      <c r="AF139" s="84" t="str">
        <f t="shared" si="39"/>
        <v>"C:\Program Files (x86)\AstroGrep\AstroGrep.exe" /spath="%USERPROFILE%\AppData\Local\Temp\OnboardLogs" /stypes="app*4017*20170107*" /stext=" 05:.+((SYSTEM_STATE.+slice.+state.+changed )|(ment ac)|(multiple cpu faults)|(system.+state.+changed )|(\[timeout)|(PRM\|1\|D)|(kpr)|(kdp)|(\|lc)|(penalty))" /e /r /s</v>
      </c>
      <c r="AG139" s="1" t="str">
        <f t="shared" si="40"/>
        <v>EC</v>
      </c>
      <c r="AH139" s="88" t="str">
        <f t="shared" si="41"/>
        <v>"%USERPROFILE%\Documents\GitHub\eaglep3\Utilities\RefineRTDCRunTimes.py" --tripid 228-06 --locoid 4017 --swversion DE.1.0.8.0 --startMP 204:233080 --initTime 2017-01-06T21:10:33 --startdatetime 2017-01-06T21:26:14 --delay 1 --endMP 204:116 --enddatetime 2017-01-06T22:04:31 --enforcementcount 0 &gt;&gt;C:\Users\stu\Documents\GitHub\eaglep3-reporting\EC\2017-01-06-refined-times.txt</v>
      </c>
      <c r="AI139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{"issue":{"subject":"","project_id":79,"tracker_id":40,"status_id":1,"priority_id":2,"assigned_to_id":23,"start_date":"2017-01-06","description":"","custom_fields":[{"id":1,"name":"Subdivision","value":"EC"},{"id":4,"name":"Milepost","value":"0.0116"},{"id":17,"name":"Train ID","value":"228-06"},{"id":16,"name":"Locomotive ID","value":"4017"},{"id":130,"name":"Impact","value":""},{"id":150,"name":"Time of Event (Mountain Time)","value":"22:04:31"},{"id":151,"name":"Denver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80" t="str">
        <f t="shared" si="43"/>
        <v>start /low /b %USERPROFILE%\Documents\GitHub\eaglep3\Utilities\DownloadLogsFromS3.py --loco 4017 --day 2017-01-06</v>
      </c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636</v>
      </c>
      <c r="B140" s="7">
        <v>4002</v>
      </c>
      <c r="C140" s="22" t="s">
        <v>203</v>
      </c>
      <c r="D140" s="22" t="s">
        <v>413</v>
      </c>
      <c r="E140" s="13">
        <v>42741.868402777778</v>
      </c>
      <c r="F140" s="13">
        <v>42741.875173611108</v>
      </c>
      <c r="G140" s="7">
        <v>2</v>
      </c>
      <c r="H140" s="22" t="s">
        <v>341</v>
      </c>
      <c r="I140" s="13">
        <v>42741.900740740741</v>
      </c>
      <c r="J140" s="7">
        <v>0</v>
      </c>
      <c r="K140" s="105" t="str">
        <f t="shared" si="28"/>
        <v>4001/4002</v>
      </c>
      <c r="L140" s="22" t="str">
        <f>VLOOKUP(A140,'Trips&amp;Operators'!$C$1:$G$99999,5,FALSE)</f>
        <v>BROWN JACOB</v>
      </c>
      <c r="M140" s="6">
        <f t="shared" si="29"/>
        <v>2.5567129632690921E-2</v>
      </c>
      <c r="N140" s="7">
        <f t="shared" si="52"/>
        <v>36.816666671074927</v>
      </c>
      <c r="O140" s="7"/>
      <c r="P140" s="7"/>
      <c r="Q140" s="23"/>
      <c r="R140" s="23"/>
      <c r="S140" s="32">
        <f t="shared" si="50"/>
        <v>1</v>
      </c>
      <c r="T140" s="47" t="str">
        <f t="shared" si="46"/>
        <v>NorthBound</v>
      </c>
      <c r="U140" s="16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 t="shared" si="31"/>
        <v>https://search-rtdc-monitor-bjffxe2xuh6vdkpspy63sjmuny.us-east-1.es.amazonaws.com/_plugin/kibana/#/discover/Steve-Slow-Train-Analysis-(2080s-and-2083s)?_g=(refreshInterval:(display:Off,section:0,value:0),time:(from:'2017-01-06 19:50:30-700',mode:absolute,to:'2017-01-06 22:37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0" s="49" t="str">
        <f t="shared" si="32"/>
        <v>N</v>
      </c>
      <c r="X140" s="173">
        <f t="shared" ref="X140:X143" si="53">VALUE(LEFT(AD140,4))-VALUE(LEFT(AD139,4))</f>
        <v>1</v>
      </c>
      <c r="Y140" s="64">
        <f t="shared" si="34"/>
        <v>4.3299999999999998E-2</v>
      </c>
      <c r="Z140" s="64">
        <f t="shared" si="48"/>
        <v>23.331399999999999</v>
      </c>
      <c r="AA140" s="64">
        <f t="shared" si="36"/>
        <v>23.2881</v>
      </c>
      <c r="AB140" s="61"/>
      <c r="AC140" s="57"/>
      <c r="AD140" s="58" t="str">
        <f t="shared" si="37"/>
        <v>0229-06</v>
      </c>
      <c r="AE140" s="87" t="str">
        <f t="shared" si="38"/>
        <v>aws s3 cp s3://rtdc.mdm.uploadarchive.raw/RTDC4002/ "%USERPROFILE%\AppData\Local\Temp\OnboardLogs"\RTDC4002\2017-01-06 --exclude "*" --recursive --include "*20170106*" &amp; "%USERPROFILE%\Documents\GitHub\mrs-test-scripts\Headless Mode &amp; Sideloading\WalkAndUnGZ.bat" "%USERPROFILE%\AppData\Local\Temp\OnboardLogs"\RTDC4002\2017-01-06 &amp; aws s3 cp s3://rtdc.mdm.uploadarchive.raw/RTDC4002/ "%USERPROFILE%\AppData\Local\Temp\OnboardLogs"\RTDC4002\2017-01-07 --exclude "*" --recursive --include "*20170107*" &amp; "%USERPROFILE%\Documents\GitHub\mrs-test-scripts\Headless Mode &amp; Sideloading\WalkAndUnGZ.bat" "%USERPROFILE%\AppData\Local\Temp\OnboardLogs"\RTDC4002\2017-01-07</v>
      </c>
      <c r="AF140" s="84" t="str">
        <f t="shared" si="39"/>
        <v>"C:\Program Files (x86)\AstroGrep\AstroGrep.exe" /spath="%USERPROFILE%\AppData\Local\Temp\OnboardLogs" /stypes="app*4002*20170107*" /stext=" 04:.+((SYSTEM_STATE.+slice.+state.+changed )|(ment ac)|(multiple cpu faults)|(system.+state.+changed )|(\[timeout)|(PRM\|1\|D)|(kpr)|(kdp)|(\|lc)|(penalty))" /e /r /s</v>
      </c>
      <c r="AG140" s="1" t="str">
        <f t="shared" si="40"/>
        <v>EC</v>
      </c>
      <c r="AH140" s="88" t="str">
        <f t="shared" si="41"/>
        <v>"%USERPROFILE%\Documents\GitHub\eaglep3\Utilities\RefineRTDCRunTimes.py" --tripid 229-06 --locoid 4002 --swversion DE.1.0.8.0 --startMP 204:433 --initTime 2017-01-06T20:50:30 --startdatetime 2017-01-06T21:00:15 --delay 2 --endMP 204:233314 --enddatetime 2017-01-06T21:37:04 --enforcementcount 0 &gt;&gt;C:\Users\stu\Documents\GitHub\eaglep3-reporting\EC\2017-01-06-refined-times.txt</v>
      </c>
      <c r="AI140" s="115" t="str">
        <f t="shared" si="42"/>
        <v>echo {"issue":{"subject":"","project_id":79,"tracker_id":40,"status_id":1,"priority_id":2,"assigned_to_id":23,"start_date":"2017-01-06","description":"","custom_fields":[{"id":1,"name":"Subdivision","value":"EC"},{"id":4,"name":"Milepost","value":"23.3314"},{"id":17,"name":"Train ID","value":"229-06"},{"id":16,"name":"Locomotive ID","value":"4002"},{"id":130,"name":"Impact","value":""},{"id":150,"name":"Time of Event (Mountain Time)","value":"21:37:04"},{"id":151,"name":"Denver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80" t="str">
        <f t="shared" si="43"/>
        <v>start /low /b %USERPROFILE%\Documents\GitHub\eaglep3\Utilities\DownloadLogsFromS3.py --loco 4002 --day 2017-01-06</v>
      </c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641</v>
      </c>
      <c r="B141" s="7">
        <v>4001</v>
      </c>
      <c r="C141" s="22" t="s">
        <v>203</v>
      </c>
      <c r="D141" s="22" t="s">
        <v>408</v>
      </c>
      <c r="E141" s="13">
        <v>42741.911516203705</v>
      </c>
      <c r="F141" s="13">
        <v>42741.9141087963</v>
      </c>
      <c r="G141" s="7">
        <v>1</v>
      </c>
      <c r="H141" s="22" t="s">
        <v>422</v>
      </c>
      <c r="I141" s="13">
        <v>42741.941504629627</v>
      </c>
      <c r="J141" s="7">
        <v>0</v>
      </c>
      <c r="K141" s="105" t="str">
        <f t="shared" ref="K141:K204" si="54">IF(ISEVEN(B141),(B141-1)&amp;"/"&amp;B141,B141&amp;"/"&amp;(B141+1))</f>
        <v>4001/4002</v>
      </c>
      <c r="L141" s="22" t="str">
        <f>VLOOKUP(A141,'Trips&amp;Operators'!$C$1:$G$99999,5,FALSE)</f>
        <v>BROWN JACOB</v>
      </c>
      <c r="M141" s="6">
        <f t="shared" ref="M141:M204" si="55">I141-F141</f>
        <v>2.7395833327318542E-2</v>
      </c>
      <c r="N141" s="7">
        <f t="shared" si="52"/>
        <v>39.4499999913387</v>
      </c>
      <c r="O141" s="7"/>
      <c r="P141" s="7"/>
      <c r="Q141" s="23"/>
      <c r="R141" s="23"/>
      <c r="S141" s="32">
        <f t="shared" si="50"/>
        <v>1</v>
      </c>
      <c r="T141" s="47" t="str">
        <f t="shared" ref="T141:T172" si="56">IF(ISEVEN(LEFT(AD141,4)),"Southbound","NorthBound")</f>
        <v>Southbound</v>
      </c>
      <c r="U141" s="16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ref="V141:V204" si="57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https://search-rtdc-monitor-bjffxe2xuh6vdkpspy63sjmuny.us-east-1.es.amazonaws.com/_plugin/kibana/#/discover/Steve-Slow-Train-Analysis-(2080s-and-2083s)?_g=(refreshInterval:(display:Off,section:0,value:0),time:(from:'2017-01-06 20:52:35-700',mode:absolute,to:'2017-01-06 23:35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1" s="49" t="str">
        <f t="shared" ref="W141:W204" si="58">IF(AA141&lt;IF(AG141="EC",23,5.65),"Y","N")</f>
        <v>N</v>
      </c>
      <c r="X141" s="173">
        <f t="shared" si="53"/>
        <v>1</v>
      </c>
      <c r="Y141" s="64">
        <f t="shared" ref="Y141:Y204" si="59">RIGHT(D141,LEN(D141)-4)/10000</f>
        <v>23.299399999999999</v>
      </c>
      <c r="Z141" s="64">
        <f t="shared" ref="Z141:Z146" si="60">RIGHT(H141,LEN(H141)-4)/10000</f>
        <v>1.14E-2</v>
      </c>
      <c r="AA141" s="64">
        <f t="shared" ref="AA141:AA204" si="61">ABS(Z141-Y141)</f>
        <v>23.288</v>
      </c>
      <c r="AB141" s="61"/>
      <c r="AC141" s="57"/>
      <c r="AD141" s="58" t="str">
        <f t="shared" ref="AD141:AD204" si="62">IF(LEN(A141)=6,"0"&amp;A141,A141)</f>
        <v>0230-06</v>
      </c>
      <c r="AE141" s="87" t="str">
        <f t="shared" ref="AE141:AE204" si="63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s3://rtdc.mdm.uploadarchive.raw/RTDC4001/ "%USERPROFILE%\AppData\Local\Temp\OnboardLogs"\RTDC4001\2017-01-06 --exclude "*" --recursive --include "*20170106*" &amp; "%USERPROFILE%\Documents\GitHub\mrs-test-scripts\Headless Mode &amp; Sideloading\WalkAndUnGZ.bat" "%USERPROFILE%\AppData\Local\Temp\OnboardLogs"\RTDC4001\2017-01-06 &amp; aws s3 cp s3://rtdc.mdm.uploadarchive.raw/RTDC4001/ "%USERPROFILE%\AppData\Local\Temp\OnboardLogs"\RTDC4001\2017-01-07 --exclude "*" --recursive --include "*20170107*" &amp; "%USERPROFILE%\Documents\GitHub\mrs-test-scripts\Headless Mode &amp; Sideloading\WalkAndUnGZ.bat" "%USERPROFILE%\AppData\Local\Temp\OnboardLogs"\RTDC4001\2017-01-07</v>
      </c>
      <c r="AF141" s="84" t="str">
        <f t="shared" ref="AF141:AF204" si="64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/stypes="app*4001*20170107*" /stext=" 05:.+((SYSTEM_STATE.+slice.+state.+changed )|(ment ac)|(multiple cpu faults)|(system.+state.+changed )|(\[timeout)|(PRM\|1\|D)|(kpr)|(kdp)|(\|lc)|(penalty))" /e /r /s</v>
      </c>
      <c r="AG141" s="1" t="str">
        <f t="shared" ref="AG141:AG204" si="65">IFERROR(IF(VALUE(LEFT(AD141,2))&lt;=2,"EC",IF(OR(VALUE(LEFT(AD141,2))=8,VALUE(LEFT(AD141,2))=18),"NW","Other")),"Other")</f>
        <v>EC</v>
      </c>
      <c r="AH141" s="88" t="str">
        <f t="shared" ref="AH141:AH204" si="66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230-06 --locoid 4001 --swversion DE.1.0.8.0 --startMP 204:232994 --initTime 2017-01-06T21:52:35 --startdatetime 2017-01-06T21:56:19 --delay 1 --endMP 204:114 --enddatetime 2017-01-06T22:35:46 --enforcementcount 0 &gt;&gt;C:\Users\stu\Documents\GitHub\eaglep3-reporting\EC\2017-01-06-refined-times.txt</v>
      </c>
      <c r="AI141" s="115" t="str">
        <f t="shared" ref="AI141:AI204" si="67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{"issue":{"subject":"","project_id":79,"tracker_id":40,"status_id":1,"priority_id":2,"assigned_to_id":23,"start_date":"2017-01-06","description":"","custom_fields":[{"id":1,"name":"Subdivision","value":"EC"},{"id":4,"name":"Milepost","value":"0.0114"},{"id":17,"name":"Train ID","value":"230-06"},{"id":16,"name":"Locomotive ID","value":"4001"},{"id":130,"name":"Impact","value":""},{"id":150,"name":"Time of Event (Mountain Time)","value":"22:35:46"},{"id":151,"name":"Denver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80" t="str">
        <f t="shared" ref="AM141:AM204" si="68">"start /low /b "&amp;dls3logs&amp;" --loco "&amp;B141&amp;" --day "&amp;TEXT(F141,"YYYY-MM-DD")</f>
        <v>start /low /b %USERPROFILE%\Documents\GitHub\eaglep3\Utilities\DownloadLogsFromS3.py --loco 4001 --day 2017-01-06</v>
      </c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639</v>
      </c>
      <c r="B142" s="7">
        <v>4009</v>
      </c>
      <c r="C142" s="22" t="s">
        <v>203</v>
      </c>
      <c r="D142" s="22" t="s">
        <v>259</v>
      </c>
      <c r="E142" s="13">
        <v>42741.886111111111</v>
      </c>
      <c r="F142" s="13">
        <v>42741.935023148151</v>
      </c>
      <c r="G142" s="7">
        <v>4</v>
      </c>
      <c r="H142" s="22" t="s">
        <v>740</v>
      </c>
      <c r="I142" s="13">
        <v>42741.964155092595</v>
      </c>
      <c r="J142" s="7">
        <v>0</v>
      </c>
      <c r="K142" s="105" t="str">
        <f t="shared" si="54"/>
        <v>4009/4010</v>
      </c>
      <c r="L142" s="22" t="str">
        <f>VLOOKUP(A142,'Trips&amp;Operators'!$C$1:$G$99999,5,FALSE)</f>
        <v>DUNCAN SHEILA</v>
      </c>
      <c r="M142" s="6">
        <f t="shared" si="55"/>
        <v>2.9131944444088731E-2</v>
      </c>
      <c r="N142" s="7">
        <f t="shared" si="52"/>
        <v>41.949999999487773</v>
      </c>
      <c r="O142" s="7"/>
      <c r="P142" s="7"/>
      <c r="Q142" s="23"/>
      <c r="R142" s="23"/>
      <c r="S142" s="32">
        <f t="shared" si="50"/>
        <v>1</v>
      </c>
      <c r="T142" s="47" t="str">
        <f t="shared" si="56"/>
        <v>NorthBound</v>
      </c>
      <c r="U142" s="16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20:16:00-700',mode:absolute,to:'2017-01-07 00:08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2" s="49" t="str">
        <f t="shared" si="58"/>
        <v>N</v>
      </c>
      <c r="X142" s="173">
        <f t="shared" si="53"/>
        <v>1</v>
      </c>
      <c r="Y142" s="64">
        <f t="shared" si="59"/>
        <v>4.4900000000000002E-2</v>
      </c>
      <c r="Z142" s="64">
        <f t="shared" si="60"/>
        <v>23.334099999999999</v>
      </c>
      <c r="AA142" s="64">
        <f t="shared" si="61"/>
        <v>23.289200000000001</v>
      </c>
      <c r="AB142" s="61"/>
      <c r="AC142" s="57"/>
      <c r="AD142" s="58" t="str">
        <f t="shared" si="62"/>
        <v>0231-06</v>
      </c>
      <c r="AE142" s="87" t="str">
        <f t="shared" si="63"/>
        <v>aws s3 cp s3://rtdc.mdm.uploadarchive.raw/RTDC4009/ "%USERPROFILE%\AppData\Local\Temp\OnboardLogs"\RTDC4009\2017-01-06 --exclude "*" --recursive --include "*20170106*" &amp; "%USERPROFILE%\Documents\GitHub\mrs-test-scripts\Headless Mode &amp; Sideloading\WalkAndUnGZ.bat" "%USERPROFILE%\AppData\Local\Temp\OnboardLogs"\RTDC4009\2017-01-06 &amp; aws s3 cp s3://rtdc.mdm.uploadarchive.raw/RTDC4009/ "%USERPROFILE%\AppData\Local\Temp\OnboardLogs"\RTDC4009\2017-01-07 --exclude "*" --recursive --include "*20170107*" &amp; "%USERPROFILE%\Documents\GitHub\mrs-test-scripts\Headless Mode &amp; Sideloading\WalkAndUnGZ.bat" "%USERPROFILE%\AppData\Local\Temp\OnboardLogs"\RTDC4009\2017-01-07</v>
      </c>
      <c r="AF142" s="84" t="str">
        <f t="shared" si="64"/>
        <v>"C:\Program Files (x86)\AstroGrep\AstroGrep.exe" /spath="%USERPROFILE%\AppData\Local\Temp\OnboardLogs" /stypes="app*4009*20170107*" /stext=" 06:.+((SYSTEM_STATE.+slice.+state.+changed )|(ment ac)|(multiple cpu faults)|(system.+state.+changed )|(\[timeout)|(PRM\|1\|D)|(kpr)|(kdp)|(\|lc)|(penalty))" /e /r /s</v>
      </c>
      <c r="AG142" s="1" t="str">
        <f t="shared" si="65"/>
        <v>EC</v>
      </c>
      <c r="AH142" s="88" t="str">
        <f t="shared" si="66"/>
        <v>"%USERPROFILE%\Documents\GitHub\eaglep3\Utilities\RefineRTDCRunTimes.py" --tripid 231-06 --locoid 4009 --swversion DE.1.0.8.0 --startMP 204:449 --initTime 2017-01-06T21:16:00 --startdatetime 2017-01-06T22:26:26 --delay 4 --endMP 204:233341 --enddatetime 2017-01-06T23:08:23 --enforcementcount 0 &gt;&gt;C:\Users\stu\Documents\GitHub\eaglep3-reporting\EC\2017-01-06-refined-times.txt</v>
      </c>
      <c r="AI142" s="115" t="str">
        <f t="shared" si="67"/>
        <v>echo {"issue":{"subject":"","project_id":79,"tracker_id":40,"status_id":1,"priority_id":2,"assigned_to_id":23,"start_date":"2017-01-06","description":"","custom_fields":[{"id":1,"name":"Subdivision","value":"EC"},{"id":4,"name":"Milepost","value":"23.3341"},{"id":17,"name":"Train ID","value":"231-06"},{"id":16,"name":"Locomotive ID","value":"4009"},{"id":130,"name":"Impact","value":""},{"id":150,"name":"Time of Event (Mountain Time)","value":"23:08:23"},{"id":151,"name":"Denver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80" t="str">
        <f t="shared" si="68"/>
        <v>start /low /b %USERPROFILE%\Documents\GitHub\eaglep3\Utilities\DownloadLogsFromS3.py --loco 4009 --day 2017-01-06</v>
      </c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644</v>
      </c>
      <c r="B143" s="7">
        <v>4010</v>
      </c>
      <c r="C143" s="22" t="s">
        <v>203</v>
      </c>
      <c r="D143" s="22" t="s">
        <v>741</v>
      </c>
      <c r="E143" s="13">
        <v>42741.927673611113</v>
      </c>
      <c r="F143" s="13">
        <v>42741.935023148151</v>
      </c>
      <c r="G143" s="7">
        <v>1</v>
      </c>
      <c r="H143" s="22" t="s">
        <v>703</v>
      </c>
      <c r="I143" s="13">
        <v>42741.964155092595</v>
      </c>
      <c r="J143" s="7">
        <v>0</v>
      </c>
      <c r="K143" s="105" t="str">
        <f t="shared" si="54"/>
        <v>4009/4010</v>
      </c>
      <c r="L143" s="22" t="str">
        <f>VLOOKUP(A143,'Trips&amp;Operators'!$C$1:$G$99999,5,FALSE)</f>
        <v>DUNCAN SHEILA</v>
      </c>
      <c r="M143" s="6">
        <f t="shared" si="55"/>
        <v>2.9131944444088731E-2</v>
      </c>
      <c r="N143" s="7">
        <f t="shared" si="52"/>
        <v>41.949999999487773</v>
      </c>
      <c r="O143" s="7"/>
      <c r="P143" s="7"/>
      <c r="Q143" s="23"/>
      <c r="R143" s="23"/>
      <c r="S143" s="32">
        <f t="shared" si="50"/>
        <v>1</v>
      </c>
      <c r="T143" s="47" t="str">
        <f t="shared" si="56"/>
        <v>Southbound</v>
      </c>
      <c r="U143" s="16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21:15:51-700',mode:absolute,to:'2017-01-07 00:08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3" s="49" t="str">
        <f t="shared" si="58"/>
        <v>N</v>
      </c>
      <c r="X143" s="173">
        <f t="shared" si="53"/>
        <v>1</v>
      </c>
      <c r="Y143" s="64">
        <f t="shared" si="59"/>
        <v>23.3017</v>
      </c>
      <c r="Z143" s="64">
        <f t="shared" si="60"/>
        <v>1.54E-2</v>
      </c>
      <c r="AA143" s="64">
        <f t="shared" si="61"/>
        <v>23.286300000000001</v>
      </c>
      <c r="AB143" s="61"/>
      <c r="AC143" s="57"/>
      <c r="AD143" s="58" t="str">
        <f t="shared" si="62"/>
        <v>0232-06</v>
      </c>
      <c r="AE143" s="87" t="str">
        <f t="shared" si="63"/>
        <v>aws s3 cp s3://rtdc.mdm.uploadarchive.raw/RTDC4010/ "%USERPROFILE%\AppData\Local\Temp\OnboardLogs"\RTDC4010\2017-01-06 --exclude "*" --recursive --include "*20170106*" &amp; "%USERPROFILE%\Documents\GitHub\mrs-test-scripts\Headless Mode &amp; Sideloading\WalkAndUnGZ.bat" "%USERPROFILE%\AppData\Local\Temp\OnboardLogs"\RTDC4010\2017-01-06 &amp; aws s3 cp s3://rtdc.mdm.uploadarchive.raw/RTDC4010/ "%USERPROFILE%\AppData\Local\Temp\OnboardLogs"\RTDC4010\2017-01-07 --exclude "*" --recursive --include "*20170107*" &amp; "%USERPROFILE%\Documents\GitHub\mrs-test-scripts\Headless Mode &amp; Sideloading\WalkAndUnGZ.bat" "%USERPROFILE%\AppData\Local\Temp\OnboardLogs"\RTDC4010\2017-01-07</v>
      </c>
      <c r="AF143" s="84" t="str">
        <f t="shared" si="64"/>
        <v>"C:\Program Files (x86)\AstroGrep\AstroGrep.exe" /spath="%USERPROFILE%\AppData\Local\Temp\OnboardLogs" /stypes="app*4010*20170107*" /stext=" 06:.+((SYSTEM_STATE.+slice.+state.+changed )|(ment ac)|(multiple cpu faults)|(system.+state.+changed )|(\[timeout)|(PRM\|1\|D)|(kpr)|(kdp)|(\|lc)|(penalty))" /e /r /s</v>
      </c>
      <c r="AG143" s="1" t="str">
        <f t="shared" si="65"/>
        <v>EC</v>
      </c>
      <c r="AH143" s="88" t="str">
        <f t="shared" si="66"/>
        <v>"%USERPROFILE%\Documents\GitHub\eaglep3\Utilities\RefineRTDCRunTimes.py" --tripid 232-06 --locoid 4010 --swversion DE.1.0.8.0 --startMP 204:233017 --initTime 2017-01-06T22:15:51 --startdatetime 2017-01-06T22:26:26 --delay 1 --endMP 204:154 --enddatetime 2017-01-06T23:08:23 --enforcementcount 0 &gt;&gt;C:\Users\stu\Documents\GitHub\eaglep3-reporting\EC\2017-01-06-refined-times.txt</v>
      </c>
      <c r="AI143" s="115" t="str">
        <f t="shared" si="67"/>
        <v>echo {"issue":{"subject":"","project_id":79,"tracker_id":40,"status_id":1,"priority_id":2,"assigned_to_id":23,"start_date":"2017-01-06","description":"","custom_fields":[{"id":1,"name":"Subdivision","value":"EC"},{"id":4,"name":"Milepost","value":"0.0154"},{"id":17,"name":"Train ID","value":"232-06"},{"id":16,"name":"Locomotive ID","value":"4010"},{"id":130,"name":"Impact","value":""},{"id":150,"name":"Time of Event (Mountain Time)","value":"23:08:23"},{"id":151,"name":"Denver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80" t="str">
        <f t="shared" si="68"/>
        <v>start /low /b %USERPROFILE%\Documents\GitHub\eaglep3\Utilities\DownloadLogsFromS3.py --loco 4010 --day 2017-01-06</v>
      </c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470</v>
      </c>
      <c r="B144" s="7">
        <v>4027</v>
      </c>
      <c r="C144" s="22" t="s">
        <v>203</v>
      </c>
      <c r="D144" s="22" t="s">
        <v>291</v>
      </c>
      <c r="E144" s="13">
        <v>42741.900439814817</v>
      </c>
      <c r="F144" s="13">
        <v>42741.916956018518</v>
      </c>
      <c r="G144" s="7">
        <v>1</v>
      </c>
      <c r="H144" s="22" t="s">
        <v>673</v>
      </c>
      <c r="I144" s="13">
        <v>42741.941157407404</v>
      </c>
      <c r="J144" s="7">
        <v>0</v>
      </c>
      <c r="K144" s="105" t="str">
        <f t="shared" si="54"/>
        <v>4027/4028</v>
      </c>
      <c r="L144" s="22" t="str">
        <f>VLOOKUP(A144,'Trips&amp;Operators'!$C$1:$G$99999,5,FALSE)</f>
        <v>STAMBAUGH JAMES</v>
      </c>
      <c r="M144" s="6">
        <f t="shared" si="55"/>
        <v>2.4201388885558117E-2</v>
      </c>
      <c r="N144" s="7">
        <f t="shared" si="52"/>
        <v>34.849999995203689</v>
      </c>
      <c r="O144" s="7"/>
      <c r="P144" s="7"/>
      <c r="Q144" s="23"/>
      <c r="R144" s="23"/>
      <c r="S144" s="32">
        <f t="shared" si="50"/>
        <v>1</v>
      </c>
      <c r="T144" s="47" t="str">
        <f t="shared" si="56"/>
        <v>NorthBound</v>
      </c>
      <c r="U144" s="16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20:36:38-700',mode:absolute,to:'2017-01-06 23:35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44" s="49" t="str">
        <f t="shared" si="58"/>
        <v>N</v>
      </c>
      <c r="X144" s="173">
        <f>VALUE(LEFT(AD144,4))-VALUE(LEFT(AD143,4))</f>
        <v>1</v>
      </c>
      <c r="Y144" s="64">
        <f t="shared" si="59"/>
        <v>4.5699999999999998E-2</v>
      </c>
      <c r="Z144" s="64">
        <f t="shared" si="60"/>
        <v>23.3308</v>
      </c>
      <c r="AA144" s="64">
        <f t="shared" si="61"/>
        <v>23.2851</v>
      </c>
      <c r="AB144" s="61"/>
      <c r="AC144" s="57"/>
      <c r="AD144" s="58" t="str">
        <f t="shared" si="62"/>
        <v>0233-06</v>
      </c>
      <c r="AE144" s="87" t="str">
        <f t="shared" si="63"/>
        <v>aws s3 cp s3://rtdc.mdm.uploadarchive.raw/RTDC4027/ "%USERPROFILE%\AppData\Local\Temp\OnboardLogs"\RTDC4027\2017-01-06 --exclude "*" --recursive --include "*20170106*" &amp; "%USERPROFILE%\Documents\GitHub\mrs-test-scripts\Headless Mode &amp; Sideloading\WalkAndUnGZ.bat" "%USERPROFILE%\AppData\Local\Temp\OnboardLogs"\RTDC4027\2017-01-06 &amp; aws s3 cp s3://rtdc.mdm.uploadarchive.raw/RTDC4027/ "%USERPROFILE%\AppData\Local\Temp\OnboardLogs"\RTDC4027\2017-01-07 --exclude "*" --recursive --include "*20170107*" &amp; "%USERPROFILE%\Documents\GitHub\mrs-test-scripts\Headless Mode &amp; Sideloading\WalkAndUnGZ.bat" "%USERPROFILE%\AppData\Local\Temp\OnboardLogs"\RTDC4027\2017-01-07</v>
      </c>
      <c r="AF144" s="84" t="str">
        <f t="shared" si="64"/>
        <v>"C:\Program Files (x86)\AstroGrep\AstroGrep.exe" /spath="%USERPROFILE%\AppData\Local\Temp\OnboardLogs" /stypes="app*4027*20170107*" /stext=" 05:.+((SYSTEM_STATE.+slice.+state.+changed )|(ment ac)|(multiple cpu faults)|(system.+state.+changed )|(\[timeout)|(PRM\|1\|D)|(kpr)|(kdp)|(\|lc)|(penalty))" /e /r /s</v>
      </c>
      <c r="AG144" s="1" t="str">
        <f t="shared" si="65"/>
        <v>EC</v>
      </c>
      <c r="AH144" s="88" t="str">
        <f t="shared" si="66"/>
        <v>"%USERPROFILE%\Documents\GitHub\eaglep3\Utilities\RefineRTDCRunTimes.py" --tripid 233-06 --locoid 4027 --swversion DE.1.0.8.0 --startMP 204:457 --initTime 2017-01-06T21:36:38 --startdatetime 2017-01-06T22:00:25 --delay 1 --endMP 204:233308 --enddatetime 2017-01-06T22:35:16 --enforcementcount 0 &gt;&gt;C:\Users\stu\Documents\GitHub\eaglep3-reporting\EC\2017-01-06-refined-times.txt</v>
      </c>
      <c r="AI144" s="115" t="str">
        <f t="shared" si="67"/>
        <v>echo {"issue":{"subject":"","project_id":79,"tracker_id":40,"status_id":1,"priority_id":2,"assigned_to_id":23,"start_date":"2017-01-06","description":"","custom_fields":[{"id":1,"name":"Subdivision","value":"EC"},{"id":4,"name":"Milepost","value":"23.3308"},{"id":17,"name":"Train ID","value":"233-06"},{"id":16,"name":"Locomotive ID","value":"4027"},{"id":130,"name":"Impact","value":""},{"id":150,"name":"Time of Event (Mountain Time)","value":"22:35:16"},{"id":151,"name":"Denver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80" t="str">
        <f t="shared" si="68"/>
        <v>start /low /b %USERPROFILE%\Documents\GitHub\eaglep3\Utilities\DownloadLogsFromS3.py --loco 4027 --day 2017-01-06</v>
      </c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645</v>
      </c>
      <c r="B145" s="7">
        <v>4028</v>
      </c>
      <c r="C145" s="22" t="s">
        <v>203</v>
      </c>
      <c r="D145" s="22" t="s">
        <v>742</v>
      </c>
      <c r="E145" s="13">
        <v>42741.944756944446</v>
      </c>
      <c r="F145" s="13">
        <v>42741.955868055556</v>
      </c>
      <c r="G145" s="7">
        <v>1</v>
      </c>
      <c r="H145" s="22" t="s">
        <v>229</v>
      </c>
      <c r="I145" s="13">
        <v>42741.982951388891</v>
      </c>
      <c r="J145" s="7">
        <v>0</v>
      </c>
      <c r="K145" s="105" t="str">
        <f t="shared" si="54"/>
        <v>4027/4028</v>
      </c>
      <c r="L145" s="22" t="str">
        <f>VLOOKUP(A145,'Trips&amp;Operators'!$C$1:$G$99999,5,FALSE)</f>
        <v>STAMBAUGH JAMES</v>
      </c>
      <c r="M145" s="6">
        <f t="shared" si="55"/>
        <v>2.7083333334303461E-2</v>
      </c>
      <c r="N145" s="7">
        <f t="shared" si="52"/>
        <v>39.000000001396984</v>
      </c>
      <c r="O145" s="7"/>
      <c r="P145" s="7"/>
      <c r="Q145" s="23"/>
      <c r="R145" s="23"/>
      <c r="S145" s="32">
        <f t="shared" si="50"/>
        <v>1</v>
      </c>
      <c r="T145" s="47" t="str">
        <f t="shared" si="56"/>
        <v>Southbound</v>
      </c>
      <c r="U145" s="16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21:40:27-700',mode:absolute,to:'2017-01-07 00:35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45" s="49" t="str">
        <f t="shared" si="58"/>
        <v>N</v>
      </c>
      <c r="X145" s="173">
        <f>VALUE(LEFT(AD145,4))-VALUE(LEFT(AD144,4))</f>
        <v>1</v>
      </c>
      <c r="Y145" s="64">
        <f t="shared" si="59"/>
        <v>23.299099999999999</v>
      </c>
      <c r="Z145" s="64">
        <f t="shared" si="60"/>
        <v>1.4500000000000001E-2</v>
      </c>
      <c r="AA145" s="64">
        <f t="shared" si="61"/>
        <v>23.284599999999998</v>
      </c>
      <c r="AB145" s="61"/>
      <c r="AC145" s="57"/>
      <c r="AD145" s="58" t="str">
        <f t="shared" si="62"/>
        <v>0234-06</v>
      </c>
      <c r="AE145" s="87" t="str">
        <f t="shared" si="63"/>
        <v>aws s3 cp s3://rtdc.mdm.uploadarchive.raw/RTDC4028/ "%USERPROFILE%\AppData\Local\Temp\OnboardLogs"\RTDC4028\2017-01-06 --exclude "*" --recursive --include "*20170106*" &amp; "%USERPROFILE%\Documents\GitHub\mrs-test-scripts\Headless Mode &amp; Sideloading\WalkAndUnGZ.bat" "%USERPROFILE%\AppData\Local\Temp\OnboardLogs"\RTDC4028\2017-01-06 &amp; aws s3 cp s3://rtdc.mdm.uploadarchive.raw/RTDC4028/ "%USERPROFILE%\AppData\Local\Temp\OnboardLogs"\RTDC4028\2017-01-07 --exclude "*" --recursive --include "*20170107*" &amp; "%USERPROFILE%\Documents\GitHub\mrs-test-scripts\Headless Mode &amp; Sideloading\WalkAndUnGZ.bat" "%USERPROFILE%\AppData\Local\Temp\OnboardLogs"\RTDC4028\2017-01-07</v>
      </c>
      <c r="AF145" s="84" t="str">
        <f t="shared" si="64"/>
        <v>"C:\Program Files (x86)\AstroGrep\AstroGrep.exe" /spath="%USERPROFILE%\AppData\Local\Temp\OnboardLogs" /stypes="app*4028*20170107*" /stext=" 06:.+((SYSTEM_STATE.+slice.+state.+changed )|(ment ac)|(multiple cpu faults)|(system.+state.+changed )|(\[timeout)|(PRM\|1\|D)|(kpr)|(kdp)|(\|lc)|(penalty))" /e /r /s</v>
      </c>
      <c r="AG145" s="1" t="str">
        <f t="shared" si="65"/>
        <v>EC</v>
      </c>
      <c r="AH145" s="88" t="str">
        <f t="shared" si="66"/>
        <v>"%USERPROFILE%\Documents\GitHub\eaglep3\Utilities\RefineRTDCRunTimes.py" --tripid 234-06 --locoid 4028 --swversion DE.1.0.8.0 --startMP 204:232991 --initTime 2017-01-06T22:40:27 --startdatetime 2017-01-06T22:56:27 --delay 1 --endMP 204:145 --enddatetime 2017-01-06T23:35:27 --enforcementcount 0 &gt;&gt;C:\Users\stu\Documents\GitHub\eaglep3-reporting\EC\2017-01-06-refined-times.txt</v>
      </c>
      <c r="AI145" s="115" t="str">
        <f t="shared" si="67"/>
        <v>echo {"issue":{"subject":"","project_id":79,"tracker_id":40,"status_id":1,"priority_id":2,"assigned_to_id":23,"start_date":"2017-01-06","description":"","custom_fields":[{"id":1,"name":"Subdivision","value":"EC"},{"id":4,"name":"Milepost","value":"0.0145"},{"id":17,"name":"Train ID","value":"234-06"},{"id":16,"name":"Locomotive ID","value":"4028"},{"id":130,"name":"Impact","value":""},{"id":150,"name":"Time of Event (Mountain Time)","value":"23:35:27"},{"id":151,"name":"Denver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80" t="str">
        <f t="shared" si="68"/>
        <v>start /low /b %USERPROFILE%\Documents\GitHub\eaglep3\Utilities\DownloadLogsFromS3.py --loco 4028 --day 2017-01-06</v>
      </c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643</v>
      </c>
      <c r="B146" s="7">
        <v>4017</v>
      </c>
      <c r="C146" s="22" t="s">
        <v>203</v>
      </c>
      <c r="D146" s="22" t="s">
        <v>742</v>
      </c>
      <c r="E146" s="13">
        <v>42741.944756944446</v>
      </c>
      <c r="F146" s="13">
        <v>42741.944444444445</v>
      </c>
      <c r="G146" s="7">
        <v>1</v>
      </c>
      <c r="H146" s="22" t="s">
        <v>229</v>
      </c>
      <c r="I146" s="13">
        <v>42741.944444444445</v>
      </c>
      <c r="J146" s="7">
        <v>0</v>
      </c>
      <c r="K146" s="105" t="str">
        <f t="shared" si="54"/>
        <v>4017/4018</v>
      </c>
      <c r="L146" s="22" t="str">
        <f>VLOOKUP(A146,'Trips&amp;Operators'!$C$1:$G$99999,5,FALSE)</f>
        <v>HILLS DUSTIN</v>
      </c>
      <c r="M146" s="6">
        <f t="shared" si="55"/>
        <v>0</v>
      </c>
      <c r="N146" s="7"/>
      <c r="O146" s="7"/>
      <c r="P146" s="7">
        <v>1</v>
      </c>
      <c r="Q146" s="23"/>
      <c r="R146" s="23" t="s">
        <v>845</v>
      </c>
      <c r="S146" s="32">
        <f t="shared" si="50"/>
        <v>0</v>
      </c>
      <c r="T146" s="47" t="str">
        <f t="shared" si="56"/>
        <v>NorthBound</v>
      </c>
      <c r="U146" s="16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0</v>
      </c>
      <c r="V146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21:40:27-700',mode:absolute,to:'2017-01-06 23:40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6" s="49" t="str">
        <f t="shared" si="58"/>
        <v>N</v>
      </c>
      <c r="X146" s="173">
        <f>VALUE(LEFT(AD146,4))-VALUE(LEFT(AD145,4))</f>
        <v>1</v>
      </c>
      <c r="Y146" s="64">
        <f t="shared" si="59"/>
        <v>23.299099999999999</v>
      </c>
      <c r="Z146" s="64">
        <f t="shared" si="60"/>
        <v>1.4500000000000001E-2</v>
      </c>
      <c r="AA146" s="64">
        <f t="shared" si="61"/>
        <v>23.284599999999998</v>
      </c>
      <c r="AB146" s="61"/>
      <c r="AC146" s="57"/>
      <c r="AD146" s="58" t="str">
        <f t="shared" si="62"/>
        <v>0235-06</v>
      </c>
      <c r="AE146" s="87" t="str">
        <f t="shared" si="63"/>
        <v>aws s3 cp s3://rtdc.mdm.uploadarchive.raw/RTDC4017/ "%USERPROFILE%\AppData\Local\Temp\OnboardLogs"\RTDC4017\2017-01-06 --exclude "*" --recursive --include "*20170106*" &amp; "%USERPROFILE%\Documents\GitHub\mrs-test-scripts\Headless Mode &amp; Sideloading\WalkAndUnGZ.bat" "%USERPROFILE%\AppData\Local\Temp\OnboardLogs"\RTDC4017\2017-01-06 &amp; aws s3 cp s3://rtdc.mdm.uploadarchive.raw/RTDC4017/ "%USERPROFILE%\AppData\Local\Temp\OnboardLogs"\RTDC4017\2017-01-07 --exclude "*" --recursive --include "*20170107*" &amp; "%USERPROFILE%\Documents\GitHub\mrs-test-scripts\Headless Mode &amp; Sideloading\WalkAndUnGZ.bat" "%USERPROFILE%\AppData\Local\Temp\OnboardLogs"\RTDC4017\2017-01-07</v>
      </c>
      <c r="AF146" s="84" t="str">
        <f t="shared" si="64"/>
        <v>"C:\Program Files (x86)\AstroGrep\AstroGrep.exe" /spath="%USERPROFILE%\AppData\Local\Temp\OnboardLogs" /stypes="app*4017*20170107*" /stext=" 05:.+((SYSTEM_STATE.+slice.+state.+changed )|(ment ac)|(multiple cpu faults)|(system.+state.+changed )|(\[timeout)|(PRM\|1\|D)|(kpr)|(kdp)|(\|lc)|(penalty))" /e /r /s</v>
      </c>
      <c r="AG146" s="1" t="str">
        <f t="shared" si="65"/>
        <v>EC</v>
      </c>
      <c r="AH146" s="88" t="str">
        <f t="shared" ref="AH146" si="69"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235-06 --locoid 4017 --swversion DE.1.0.8.0 --startMP 204:232991 --initTime 2017-01-06T22:40:27 --startdatetime 2017-01-06T22:40:00 --delay 1 --endMP 204:145 --enddatetime 2017-01-06T22:40:00 --enforcementcount 0 &gt;&gt;C:\Users\stu\Documents\GitHub\eaglep3-reporting\EC\2017-01-06-refined-times.txt</v>
      </c>
      <c r="AI146" s="115" t="str">
        <f t="shared" ref="AI146" si="70"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Z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failure","project_id":79,"tracker_id":40,"status_id":1,"priority_id":2,"assigned_to_id":23,"start_date":"2017-01-06","description":"","custom_fields":[{"id":1,"name":"Subdivision","value":"EC"},{"id":4,"name":"Milepost","value":"0.0145"},{"id":17,"name":"Train ID","value":"235-06"},{"id":16,"name":"Locomotive ID","value":"4017"},{"id":130,"name":"Impact","value":""},{"id":150,"name":"Time of Event (Mountain Time)","value":"22:40:00"},{"id":151,"name":"Denver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80" t="str">
        <f t="shared" ref="AM146" si="71">"start /low /b "&amp;dls3logs&amp;" --loco "&amp;B146&amp;" --day "&amp;TEXT(F146,"YYYY-MM-DD")</f>
        <v>start /low /b %USERPROFILE%\Documents\GitHub\eaglep3\Utilities\DownloadLogsFromS3.py --loco 4017 --day 2017-01-06</v>
      </c>
    </row>
    <row r="147" spans="1:91" x14ac:dyDescent="0.25">
      <c r="A147" s="34" t="s">
        <v>647</v>
      </c>
      <c r="B147" s="7">
        <v>4017</v>
      </c>
      <c r="C147" s="22" t="s">
        <v>203</v>
      </c>
      <c r="D147" s="22" t="s">
        <v>691</v>
      </c>
      <c r="E147" s="13">
        <v>42741.971365740741</v>
      </c>
      <c r="F147" s="13">
        <v>42741.977048611108</v>
      </c>
      <c r="G147" s="7">
        <v>1</v>
      </c>
      <c r="H147" s="22">
        <v>8.5395833333333329</v>
      </c>
      <c r="I147" s="13">
        <v>42742.00309027778</v>
      </c>
      <c r="J147" s="7">
        <v>0</v>
      </c>
      <c r="K147" s="105" t="str">
        <f t="shared" si="54"/>
        <v>4017/4018</v>
      </c>
      <c r="L147" s="22" t="str">
        <f>VLOOKUP(A147,'Trips&amp;Operators'!$C$1:$G$99999,5,FALSE)</f>
        <v>HILLS DUSTIN</v>
      </c>
      <c r="M147" s="6">
        <f t="shared" si="55"/>
        <v>2.6041666671517305E-2</v>
      </c>
      <c r="N147" s="7">
        <f t="shared" ref="N147:N166" si="72">24*60*SUM($M147:$M147)</f>
        <v>37.500000006984919</v>
      </c>
      <c r="O147" s="7"/>
      <c r="P147" s="7"/>
      <c r="Q147" s="23"/>
      <c r="R147" s="23"/>
      <c r="S147" s="32">
        <f t="shared" si="50"/>
        <v>1</v>
      </c>
      <c r="T147" s="47" t="str">
        <f t="shared" si="56"/>
        <v>Southbound</v>
      </c>
      <c r="U147" s="16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22:18:46-700',mode:absolute,to:'2017-01-07 01:04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7" s="49" t="str">
        <f t="shared" si="58"/>
        <v>N</v>
      </c>
      <c r="X147" s="173">
        <f t="shared" ref="X147:X148" si="73">VALUE(LEFT(AD147,4))-VALUE(LEFT(AD146,4))</f>
        <v>1</v>
      </c>
      <c r="Y147" s="64">
        <f t="shared" si="59"/>
        <v>23.3002</v>
      </c>
      <c r="Z147" s="64">
        <v>6.0000000000000001E-3</v>
      </c>
      <c r="AA147" s="64">
        <f t="shared" si="61"/>
        <v>23.2942</v>
      </c>
      <c r="AB147" s="61"/>
      <c r="AC147" s="57"/>
      <c r="AD147" s="58" t="str">
        <f t="shared" si="62"/>
        <v>0236-06</v>
      </c>
      <c r="AE147" s="87" t="str">
        <f t="shared" si="63"/>
        <v>aws s3 cp s3://rtdc.mdm.uploadarchive.raw/RTDC4017/ "%USERPROFILE%\AppData\Local\Temp\OnboardLogs"\RTDC4017\2017-01-06 --exclude "*" --recursive --include "*20170106*" &amp; "%USERPROFILE%\Documents\GitHub\mrs-test-scripts\Headless Mode &amp; Sideloading\WalkAndUnGZ.bat" "%USERPROFILE%\AppData\Local\Temp\OnboardLogs"\RTDC4017\2017-01-06 &amp; aws s3 cp s3://rtdc.mdm.uploadarchive.raw/RTDC4017/ "%USERPROFILE%\AppData\Local\Temp\OnboardLogs"\RTDC4017\2017-01-07 --exclude "*" --recursive --include "*20170107*" &amp; "%USERPROFILE%\Documents\GitHub\mrs-test-scripts\Headless Mode &amp; Sideloading\WalkAndUnGZ.bat" "%USERPROFILE%\AppData\Local\Temp\OnboardLogs"\RTDC4017\2017-01-07</v>
      </c>
      <c r="AF147" s="84" t="str">
        <f t="shared" si="64"/>
        <v>"C:\Program Files (x86)\AstroGrep\AstroGrep.exe" /spath="%USERPROFILE%\AppData\Local\Temp\OnboardLogs" /stypes="app*4017*20170107*" /stext=" 07:.+((SYSTEM_STATE.+slice.+state.+changed )|(ment ac)|(multiple cpu faults)|(system.+state.+changed )|(\[timeout)|(PRM\|1\|D)|(kpr)|(kdp)|(\|lc)|(penalty))" /e /r /s</v>
      </c>
      <c r="AG147" s="1" t="str">
        <f t="shared" si="65"/>
        <v>EC</v>
      </c>
      <c r="AH147" s="88" t="str">
        <f t="shared" si="66"/>
        <v>"%USERPROFILE%\Documents\GitHub\eaglep3\Utilities\RefineRTDCRunTimes.py" --tripid 236-06 --locoid 4017 --swversion DE.1.0.8.0 --startMP 204:233002 --initTime 2017-01-06T23:18:46 --startdatetime 2017-01-06T23:26:57 --delay 1 --endMP 8.53958333333333 --enddatetime 2017-01-07T00:04:27 --enforcementcount 0 &gt;&gt;C:\Users\stu\Documents\GitHub\eaglep3-reporting\EC\2017-01-06-refined-times.txt</v>
      </c>
      <c r="AI147" s="115" t="str">
        <f t="shared" si="67"/>
        <v>echo {"issue":{"subject":"","project_id":79,"tracker_id":40,"status_id":1,"priority_id":2,"assigned_to_id":23,"start_date":"2017-01-07","description":"","custom_fields":[{"id":1,"name":"Subdivision","value":"EC"},{"id":4,"name":"Milepost","value":"0.006"},{"id":17,"name":"Train ID","value":"236-06"},{"id":16,"name":"Locomotive ID","value":"4017"},{"id":130,"name":"Impact","value":""},{"id":150,"name":"Time of Event (Mountain Time)","value":"00:04:27"},{"id":151,"name":"Denver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80" t="str">
        <f t="shared" si="68"/>
        <v>start /low /b %USERPROFILE%\Documents\GitHub\eaglep3\Utilities\DownloadLogsFromS3.py --loco 4017 --day 2017-01-06</v>
      </c>
    </row>
    <row r="148" spans="1:91" s="21" customFormat="1" x14ac:dyDescent="0.25">
      <c r="A148" s="34" t="s">
        <v>646</v>
      </c>
      <c r="B148" s="7">
        <v>4002</v>
      </c>
      <c r="C148" s="22" t="s">
        <v>203</v>
      </c>
      <c r="D148" s="22" t="s">
        <v>412</v>
      </c>
      <c r="E148" s="13">
        <v>42741.948414351849</v>
      </c>
      <c r="F148" s="13">
        <v>42741.958506944444</v>
      </c>
      <c r="G148" s="7">
        <v>1</v>
      </c>
      <c r="H148" s="22" t="s">
        <v>690</v>
      </c>
      <c r="I148" s="13">
        <v>42741.983819444446</v>
      </c>
      <c r="J148" s="7">
        <v>0</v>
      </c>
      <c r="K148" s="105" t="str">
        <f t="shared" si="54"/>
        <v>4001/4002</v>
      </c>
      <c r="L148" s="22" t="str">
        <f>VLOOKUP(A148,'Trips&amp;Operators'!$C$1:$G$99999,5,FALSE)</f>
        <v>BROWN JACOB</v>
      </c>
      <c r="M148" s="6">
        <f t="shared" si="55"/>
        <v>2.531250000174623E-2</v>
      </c>
      <c r="N148" s="7">
        <f t="shared" si="72"/>
        <v>36.450000002514571</v>
      </c>
      <c r="O148" s="7"/>
      <c r="P148" s="7"/>
      <c r="Q148" s="23"/>
      <c r="R148" s="23"/>
      <c r="S148" s="32">
        <f t="shared" si="50"/>
        <v>1</v>
      </c>
      <c r="T148" s="47" t="str">
        <f t="shared" si="56"/>
        <v>NorthBound</v>
      </c>
      <c r="U148" s="16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21:45:43-700',mode:absolute,to:'2017-01-07 00:36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8" s="49" t="str">
        <f t="shared" si="58"/>
        <v>N</v>
      </c>
      <c r="X148" s="173">
        <f t="shared" si="73"/>
        <v>1</v>
      </c>
      <c r="Y148" s="64">
        <f t="shared" si="59"/>
        <v>4.3999999999999997E-2</v>
      </c>
      <c r="Z148" s="64">
        <f t="shared" ref="Z148:Z179" si="74">RIGHT(H148,LEN(H148)-4)/10000</f>
        <v>23.331499999999998</v>
      </c>
      <c r="AA148" s="64">
        <f t="shared" si="61"/>
        <v>23.287499999999998</v>
      </c>
      <c r="AB148" s="61"/>
      <c r="AC148" s="57"/>
      <c r="AD148" s="58" t="str">
        <f t="shared" si="62"/>
        <v>0237-06</v>
      </c>
      <c r="AE148" s="87" t="str">
        <f t="shared" si="63"/>
        <v>aws s3 cp s3://rtdc.mdm.uploadarchive.raw/RTDC4002/ "%USERPROFILE%\AppData\Local\Temp\OnboardLogs"\RTDC4002\2017-01-06 --exclude "*" --recursive --include "*20170106*" &amp; "%USERPROFILE%\Documents\GitHub\mrs-test-scripts\Headless Mode &amp; Sideloading\WalkAndUnGZ.bat" "%USERPROFILE%\AppData\Local\Temp\OnboardLogs"\RTDC4002\2017-01-06 &amp; aws s3 cp s3://rtdc.mdm.uploadarchive.raw/RTDC4002/ "%USERPROFILE%\AppData\Local\Temp\OnboardLogs"\RTDC4002\2017-01-07 --exclude "*" --recursive --include "*20170107*" &amp; "%USERPROFILE%\Documents\GitHub\mrs-test-scripts\Headless Mode &amp; Sideloading\WalkAndUnGZ.bat" "%USERPROFILE%\AppData\Local\Temp\OnboardLogs"\RTDC4002\2017-01-07</v>
      </c>
      <c r="AF148" s="84" t="str">
        <f t="shared" si="64"/>
        <v>"C:\Program Files (x86)\AstroGrep\AstroGrep.exe" /spath="%USERPROFILE%\AppData\Local\Temp\OnboardLogs" /stypes="app*4002*20170107*" /stext=" 06:.+((SYSTEM_STATE.+slice.+state.+changed )|(ment ac)|(multiple cpu faults)|(system.+state.+changed )|(\[timeout)|(PRM\|1\|D)|(kpr)|(kdp)|(\|lc)|(penalty))" /e /r /s</v>
      </c>
      <c r="AG148" s="1" t="str">
        <f t="shared" si="65"/>
        <v>EC</v>
      </c>
      <c r="AH148" s="88" t="str">
        <f t="shared" si="66"/>
        <v>"%USERPROFILE%\Documents\GitHub\eaglep3\Utilities\RefineRTDCRunTimes.py" --tripid 237-06 --locoid 4002 --swversion DE.1.0.8.0 --startMP 204:440 --initTime 2017-01-06T22:45:43 --startdatetime 2017-01-06T23:00:15 --delay 1 --endMP 204:233315 --enddatetime 2017-01-06T23:36:42 --enforcementcount 0 &gt;&gt;C:\Users\stu\Documents\GitHub\eaglep3-reporting\EC\2017-01-06-refined-times.txt</v>
      </c>
      <c r="AI148" s="115" t="str">
        <f t="shared" si="67"/>
        <v>echo {"issue":{"subject":"","project_id":79,"tracker_id":40,"status_id":1,"priority_id":2,"assigned_to_id":23,"start_date":"2017-01-06","description":"","custom_fields":[{"id":1,"name":"Subdivision","value":"EC"},{"id":4,"name":"Milepost","value":"23.3315"},{"id":17,"name":"Train ID","value":"237-06"},{"id":16,"name":"Locomotive ID","value":"4002"},{"id":130,"name":"Impact","value":""},{"id":150,"name":"Time of Event (Mountain Time)","value":"23:36:42"},{"id":151,"name":"Denver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80" t="str">
        <f t="shared" si="68"/>
        <v>start /low /b %USERPROFILE%\Documents\GitHub\eaglep3\Utilities\DownloadLogsFromS3.py --loco 4002 --day 2017-01-06</v>
      </c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4" t="s">
        <v>649</v>
      </c>
      <c r="B149" s="7">
        <v>4001</v>
      </c>
      <c r="C149" s="22" t="s">
        <v>203</v>
      </c>
      <c r="D149" s="22" t="s">
        <v>408</v>
      </c>
      <c r="E149" s="13">
        <v>42741.988020833334</v>
      </c>
      <c r="F149" s="13">
        <v>42741.997395833336</v>
      </c>
      <c r="G149" s="7">
        <v>4</v>
      </c>
      <c r="H149" s="22" t="s">
        <v>287</v>
      </c>
      <c r="I149" s="13">
        <v>42742.025219907409</v>
      </c>
      <c r="J149" s="7">
        <v>0</v>
      </c>
      <c r="K149" s="105" t="str">
        <f t="shared" si="54"/>
        <v>4001/4002</v>
      </c>
      <c r="L149" s="22" t="str">
        <f>VLOOKUP(A149,'Trips&amp;Operators'!$C$1:$G$99999,5,FALSE)</f>
        <v>BROWN JACOB</v>
      </c>
      <c r="M149" s="6">
        <f t="shared" si="55"/>
        <v>2.7824074073578231E-2</v>
      </c>
      <c r="N149" s="7">
        <f t="shared" si="72"/>
        <v>40.066666665952653</v>
      </c>
      <c r="O149" s="7"/>
      <c r="P149" s="7"/>
      <c r="Q149" s="23"/>
      <c r="R149" s="23"/>
      <c r="S149" s="32">
        <f t="shared" si="50"/>
        <v>1</v>
      </c>
      <c r="T149" s="47" t="str">
        <f t="shared" si="56"/>
        <v>Southbound</v>
      </c>
      <c r="U149" s="16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22:42:45-700',mode:absolute,to:'2017-01-07 01:36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9" s="49" t="str">
        <f t="shared" si="58"/>
        <v>N</v>
      </c>
      <c r="X149" s="173">
        <f t="shared" ref="X149:X180" si="75">VALUE(LEFT(AD149,4))-VALUE(LEFT(AD148,4))</f>
        <v>1</v>
      </c>
      <c r="Y149" s="64">
        <f t="shared" si="59"/>
        <v>23.299399999999999</v>
      </c>
      <c r="Z149" s="64">
        <f t="shared" si="74"/>
        <v>1.41E-2</v>
      </c>
      <c r="AA149" s="64">
        <f t="shared" si="61"/>
        <v>23.285299999999999</v>
      </c>
      <c r="AB149" s="61"/>
      <c r="AC149" s="57"/>
      <c r="AD149" s="58" t="str">
        <f t="shared" si="62"/>
        <v>0238-06</v>
      </c>
      <c r="AE149" s="87" t="str">
        <f t="shared" si="63"/>
        <v>aws s3 cp s3://rtdc.mdm.uploadarchive.raw/RTDC4001/ "%USERPROFILE%\AppData\Local\Temp\OnboardLogs"\RTDC4001\2017-01-06 --exclude "*" --recursive --include "*20170106*" &amp; "%USERPROFILE%\Documents\GitHub\mrs-test-scripts\Headless Mode &amp; Sideloading\WalkAndUnGZ.bat" "%USERPROFILE%\AppData\Local\Temp\OnboardLogs"\RTDC4001\2017-01-06 &amp; aws s3 cp s3://rtdc.mdm.uploadarchive.raw/RTDC4001/ "%USERPROFILE%\AppData\Local\Temp\OnboardLogs"\RTDC4001\2017-01-07 --exclude "*" --recursive --include "*20170107*" &amp; "%USERPROFILE%\Documents\GitHub\mrs-test-scripts\Headless Mode &amp; Sideloading\WalkAndUnGZ.bat" "%USERPROFILE%\AppData\Local\Temp\OnboardLogs"\RTDC4001\2017-01-07</v>
      </c>
      <c r="AF149" s="84" t="str">
        <f t="shared" si="64"/>
        <v>"C:\Program Files (x86)\AstroGrep\AstroGrep.exe" /spath="%USERPROFILE%\AppData\Local\Temp\OnboardLogs" /stypes="app*4001*20170107*" /stext=" 07:.+((SYSTEM_STATE.+slice.+state.+changed )|(ment ac)|(multiple cpu faults)|(system.+state.+changed )|(\[timeout)|(PRM\|1\|D)|(kpr)|(kdp)|(\|lc)|(penalty))" /e /r /s</v>
      </c>
      <c r="AG149" s="1" t="str">
        <f t="shared" si="65"/>
        <v>EC</v>
      </c>
      <c r="AH149" s="88" t="str">
        <f t="shared" si="66"/>
        <v>"%USERPROFILE%\Documents\GitHub\eaglep3\Utilities\RefineRTDCRunTimes.py" --tripid 238-06 --locoid 4001 --swversion DE.1.0.8.0 --startMP 204:232994 --initTime 2017-01-06T23:42:45 --startdatetime 2017-01-06T23:56:15 --delay 4 --endMP 204:141 --enddatetime 2017-01-07T00:36:19 --enforcementcount 0 &gt;&gt;C:\Users\stu\Documents\GitHub\eaglep3-reporting\EC\2017-01-06-refined-times.txt</v>
      </c>
      <c r="AI149" s="115" t="str">
        <f t="shared" si="67"/>
        <v>echo {"issue":{"subject":"","project_id":79,"tracker_id":40,"status_id":1,"priority_id":2,"assigned_to_id":23,"start_date":"2017-01-07","description":"","custom_fields":[{"id":1,"name":"Subdivision","value":"EC"},{"id":4,"name":"Milepost","value":"0.0141"},{"id":17,"name":"Train ID","value":"238-06"},{"id":16,"name":"Locomotive ID","value":"4001"},{"id":130,"name":"Impact","value":""},{"id":150,"name":"Time of Event (Mountain Time)","value":"00:36:19"},{"id":151,"name":"Denver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80" t="str">
        <f t="shared" si="68"/>
        <v>start /low /b %USERPROFILE%\Documents\GitHub\eaglep3\Utilities\DownloadLogsFromS3.py --loco 4001 --day 2017-01-06</v>
      </c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4" t="s">
        <v>648</v>
      </c>
      <c r="B150" s="7">
        <v>4009</v>
      </c>
      <c r="C150" s="22" t="s">
        <v>203</v>
      </c>
      <c r="D150" s="22" t="s">
        <v>291</v>
      </c>
      <c r="E150" s="13">
        <v>42741.974791666667</v>
      </c>
      <c r="F150" s="13">
        <v>42741.979525462964</v>
      </c>
      <c r="G150" s="7">
        <v>1</v>
      </c>
      <c r="H150" s="22" t="s">
        <v>664</v>
      </c>
      <c r="I150" s="13">
        <v>42742.005648148152</v>
      </c>
      <c r="J150" s="7">
        <v>0</v>
      </c>
      <c r="K150" s="105" t="str">
        <f t="shared" si="54"/>
        <v>4009/4010</v>
      </c>
      <c r="L150" s="22" t="str">
        <f>VLOOKUP(A150,'Trips&amp;Operators'!$C$1:$G$99999,5,FALSE)</f>
        <v>DUNCAN SHEILA</v>
      </c>
      <c r="M150" s="6">
        <f t="shared" si="55"/>
        <v>2.6122685187146999E-2</v>
      </c>
      <c r="N150" s="7">
        <f t="shared" si="72"/>
        <v>37.616666669491678</v>
      </c>
      <c r="O150" s="7"/>
      <c r="P150" s="7"/>
      <c r="Q150" s="23"/>
      <c r="R150" s="23"/>
      <c r="S150" s="32">
        <f t="shared" si="50"/>
        <v>1</v>
      </c>
      <c r="T150" s="47" t="str">
        <f t="shared" si="56"/>
        <v>NorthBound</v>
      </c>
      <c r="U150" s="16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22:23:42-700',mode:absolute,to:'2017-01-07 01:08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0" s="49" t="str">
        <f t="shared" si="58"/>
        <v>N</v>
      </c>
      <c r="X150" s="173">
        <f t="shared" si="75"/>
        <v>1</v>
      </c>
      <c r="Y150" s="64">
        <f t="shared" si="59"/>
        <v>4.5699999999999998E-2</v>
      </c>
      <c r="Z150" s="64">
        <f t="shared" si="74"/>
        <v>23.330400000000001</v>
      </c>
      <c r="AA150" s="64">
        <f t="shared" si="61"/>
        <v>23.284700000000001</v>
      </c>
      <c r="AB150" s="61"/>
      <c r="AC150" s="57"/>
      <c r="AD150" s="58" t="str">
        <f t="shared" si="62"/>
        <v>0239-06</v>
      </c>
      <c r="AE150" s="87" t="str">
        <f t="shared" si="63"/>
        <v>aws s3 cp s3://rtdc.mdm.uploadarchive.raw/RTDC4009/ "%USERPROFILE%\AppData\Local\Temp\OnboardLogs"\RTDC4009\2017-01-06 --exclude "*" --recursive --include "*20170106*" &amp; "%USERPROFILE%\Documents\GitHub\mrs-test-scripts\Headless Mode &amp; Sideloading\WalkAndUnGZ.bat" "%USERPROFILE%\AppData\Local\Temp\OnboardLogs"\RTDC4009\2017-01-06 &amp; aws s3 cp s3://rtdc.mdm.uploadarchive.raw/RTDC4009/ "%USERPROFILE%\AppData\Local\Temp\OnboardLogs"\RTDC4009\2017-01-07 --exclude "*" --recursive --include "*20170107*" &amp; "%USERPROFILE%\Documents\GitHub\mrs-test-scripts\Headless Mode &amp; Sideloading\WalkAndUnGZ.bat" "%USERPROFILE%\AppData\Local\Temp\OnboardLogs"\RTDC4009\2017-01-07</v>
      </c>
      <c r="AF150" s="84" t="str">
        <f t="shared" si="64"/>
        <v>"C:\Program Files (x86)\AstroGrep\AstroGrep.exe" /spath="%USERPROFILE%\AppData\Local\Temp\OnboardLogs" /stypes="app*4009*20170107*" /stext=" 07:.+((SYSTEM_STATE.+slice.+state.+changed )|(ment ac)|(multiple cpu faults)|(system.+state.+changed )|(\[timeout)|(PRM\|1\|D)|(kpr)|(kdp)|(\|lc)|(penalty))" /e /r /s</v>
      </c>
      <c r="AG150" s="1" t="str">
        <f t="shared" si="65"/>
        <v>EC</v>
      </c>
      <c r="AH150" s="88" t="str">
        <f t="shared" si="66"/>
        <v>"%USERPROFILE%\Documents\GitHub\eaglep3\Utilities\RefineRTDCRunTimes.py" --tripid 239-06 --locoid 4009 --swversion DE.1.0.8.0 --startMP 204:457 --initTime 2017-01-06T23:23:42 --startdatetime 2017-01-06T23:30:31 --delay 1 --endMP 204:233304 --enddatetime 2017-01-07T00:08:08 --enforcementcount 0 &gt;&gt;C:\Users\stu\Documents\GitHub\eaglep3-reporting\EC\2017-01-06-refined-times.txt</v>
      </c>
      <c r="AI150" s="115" t="str">
        <f t="shared" si="67"/>
        <v>echo {"issue":{"subject":"","project_id":79,"tracker_id":40,"status_id":1,"priority_id":2,"assigned_to_id":23,"start_date":"2017-01-07","description":"","custom_fields":[{"id":1,"name":"Subdivision","value":"EC"},{"id":4,"name":"Milepost","value":"23.3304"},{"id":17,"name":"Train ID","value":"239-06"},{"id":16,"name":"Locomotive ID","value":"4009"},{"id":130,"name":"Impact","value":""},{"id":150,"name":"Time of Event (Mountain Time)","value":"00:08:08"},{"id":151,"name":"Denver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80" t="str">
        <f t="shared" si="68"/>
        <v>start /low /b %USERPROFILE%\Documents\GitHub\eaglep3\Utilities\DownloadLogsFromS3.py --loco 4009 --day 2017-01-06</v>
      </c>
    </row>
    <row r="151" spans="1:91" s="21" customFormat="1" x14ac:dyDescent="0.25">
      <c r="A151" s="34" t="s">
        <v>651</v>
      </c>
      <c r="B151" s="7">
        <v>4010</v>
      </c>
      <c r="C151" s="22" t="s">
        <v>203</v>
      </c>
      <c r="D151" s="22" t="s">
        <v>312</v>
      </c>
      <c r="E151" s="13">
        <v>42742.008333333331</v>
      </c>
      <c r="F151" s="13">
        <v>42742.018449074072</v>
      </c>
      <c r="G151" s="7">
        <v>2</v>
      </c>
      <c r="H151" s="22" t="s">
        <v>743</v>
      </c>
      <c r="I151" s="13">
        <v>42742.047152777777</v>
      </c>
      <c r="J151" s="7">
        <v>0</v>
      </c>
      <c r="K151" s="105" t="str">
        <f t="shared" si="54"/>
        <v>4009/4010</v>
      </c>
      <c r="L151" s="22" t="str">
        <f>VLOOKUP(A151,'Trips&amp;Operators'!$C$1:$G$99999,5,FALSE)</f>
        <v>DUNCAN SHEILA</v>
      </c>
      <c r="M151" s="6">
        <f t="shared" si="55"/>
        <v>2.8703703705104999E-2</v>
      </c>
      <c r="N151" s="7">
        <f t="shared" si="72"/>
        <v>41.333333335351199</v>
      </c>
      <c r="O151" s="7"/>
      <c r="P151" s="7"/>
      <c r="Q151" s="23"/>
      <c r="R151" s="23"/>
      <c r="S151" s="32">
        <f t="shared" si="50"/>
        <v>1</v>
      </c>
      <c r="T151" s="47" t="str">
        <f t="shared" si="56"/>
        <v>Southbound</v>
      </c>
      <c r="U151" s="16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23:12:00-700',mode:absolute,to:'2017-01-07 02:07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1" s="49" t="str">
        <f t="shared" si="58"/>
        <v>N</v>
      </c>
      <c r="X151" s="173">
        <f t="shared" si="75"/>
        <v>1</v>
      </c>
      <c r="Y151" s="64">
        <f t="shared" si="59"/>
        <v>23.298300000000001</v>
      </c>
      <c r="Z151" s="64">
        <f t="shared" si="74"/>
        <v>1.7999999999999999E-2</v>
      </c>
      <c r="AA151" s="64">
        <f t="shared" si="61"/>
        <v>23.2803</v>
      </c>
      <c r="AB151" s="61"/>
      <c r="AC151" s="57"/>
      <c r="AD151" s="58" t="str">
        <f t="shared" si="62"/>
        <v>0240-06</v>
      </c>
      <c r="AE151" s="87" t="str">
        <f t="shared" si="63"/>
        <v>aws s3 cp s3://rtdc.mdm.uploadarchive.raw/RTDC4010/ "%USERPROFILE%\AppData\Local\Temp\OnboardLogs"\RTDC4010\2017-01-07 --exclude "*" --recursive --include "*20170107*" &amp; "%USERPROFILE%\Documents\GitHub\mrs-test-scripts\Headless Mode &amp; Sideloading\WalkAndUnGZ.bat" "%USERPROFILE%\AppData\Local\Temp\OnboardLogs"\RTDC4010\2017-01-07 &amp; aws s3 cp s3://rtdc.mdm.uploadarchive.raw/RTDC4010/ "%USERPROFILE%\AppData\Local\Temp\OnboardLogs"\RTDC4010\2017-01-08 --exclude "*" --recursive --include "*20170108*" &amp; "%USERPROFILE%\Documents\GitHub\mrs-test-scripts\Headless Mode &amp; Sideloading\WalkAndUnGZ.bat" "%USERPROFILE%\AppData\Local\Temp\OnboardLogs"\RTDC4010\2017-01-08</v>
      </c>
      <c r="AF151" s="84" t="str">
        <f t="shared" si="64"/>
        <v>"C:\Program Files (x86)\AstroGrep\AstroGrep.exe" /spath="%USERPROFILE%\AppData\Local\Temp\OnboardLogs" /stypes="app*4010*20170107*" /stext=" 08:.+((SYSTEM_STATE.+slice.+state.+changed )|(ment ac)|(multiple cpu faults)|(system.+state.+changed )|(\[timeout)|(PRM\|1\|D)|(kpr)|(kdp)|(\|lc)|(penalty))" /e /r /s</v>
      </c>
      <c r="AG151" s="1" t="str">
        <f t="shared" si="65"/>
        <v>EC</v>
      </c>
      <c r="AH151" s="88" t="str">
        <f t="shared" si="66"/>
        <v>"%USERPROFILE%\Documents\GitHub\eaglep3\Utilities\RefineRTDCRunTimes.py" --tripid 240-06 --locoid 4010 --swversion DE.1.0.8.0 --startMP 204:232983 --initTime 2017-01-07T00:12:00 --startdatetime 2017-01-07T00:26:34 --delay 2 --endMP 204:180 --enddatetime 2017-01-07T01:07:54 --enforcementcount 0 &gt;&gt;C:\Users\stu\Documents\GitHub\eaglep3-reporting\EC\2017-01-06-refined-times.txt</v>
      </c>
      <c r="AI151" s="115" t="str">
        <f t="shared" si="67"/>
        <v>echo {"issue":{"subject":"","project_id":79,"tracker_id":40,"status_id":1,"priority_id":2,"assigned_to_id":23,"start_date":"2017-01-07","description":"","custom_fields":[{"id":1,"name":"Subdivision","value":"EC"},{"id":4,"name":"Milepost","value":"0.018"},{"id":17,"name":"Train ID","value":"240-06"},{"id":16,"name":"Locomotive ID","value":"4010"},{"id":130,"name":"Impact","value":""},{"id":150,"name":"Time of Event (Mountain Time)","value":"01:07:54"},{"id":151,"name":"Denver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80" t="str">
        <f t="shared" si="68"/>
        <v>start /low /b %USERPROFILE%\Documents\GitHub\eaglep3\Utilities\DownloadLogsFromS3.py --loco 4010 --day 2017-01-07</v>
      </c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4" t="s">
        <v>650</v>
      </c>
      <c r="B152" s="7">
        <v>4027</v>
      </c>
      <c r="C152" s="22" t="s">
        <v>203</v>
      </c>
      <c r="D152" s="22" t="s">
        <v>193</v>
      </c>
      <c r="E152" s="13">
        <v>42741.988495370373</v>
      </c>
      <c r="F152" s="13">
        <v>42742.0003125</v>
      </c>
      <c r="G152" s="7">
        <v>2</v>
      </c>
      <c r="H152" s="22" t="s">
        <v>744</v>
      </c>
      <c r="I152" s="13">
        <v>42742.025648148148</v>
      </c>
      <c r="J152" s="7">
        <v>0</v>
      </c>
      <c r="K152" s="105" t="str">
        <f t="shared" si="54"/>
        <v>4027/4028</v>
      </c>
      <c r="L152" s="22" t="str">
        <f>VLOOKUP(A152,'Trips&amp;Operators'!$C$1:$G$99999,5,FALSE)</f>
        <v>STAMBAUGH JAMES</v>
      </c>
      <c r="M152" s="6">
        <f t="shared" si="55"/>
        <v>2.5335648148029577E-2</v>
      </c>
      <c r="N152" s="7">
        <f t="shared" si="72"/>
        <v>36.483333333162591</v>
      </c>
      <c r="O152" s="7"/>
      <c r="P152" s="7"/>
      <c r="Q152" s="23"/>
      <c r="R152" s="23"/>
      <c r="S152" s="32">
        <f t="shared" si="50"/>
        <v>1</v>
      </c>
      <c r="T152" s="47" t="str">
        <f t="shared" si="56"/>
        <v>NorthBound</v>
      </c>
      <c r="U152" s="16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22:43:26-700',mode:absolute,to:'2017-01-07 01:36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52" s="49" t="str">
        <f t="shared" si="58"/>
        <v>N</v>
      </c>
      <c r="X152" s="173">
        <f t="shared" si="75"/>
        <v>1</v>
      </c>
      <c r="Y152" s="64">
        <f t="shared" si="59"/>
        <v>4.4699999999999997E-2</v>
      </c>
      <c r="Z152" s="64">
        <f t="shared" si="74"/>
        <v>23.330200000000001</v>
      </c>
      <c r="AA152" s="64">
        <f t="shared" si="61"/>
        <v>23.285500000000003</v>
      </c>
      <c r="AB152" s="61"/>
      <c r="AC152" s="57"/>
      <c r="AD152" s="58" t="str">
        <f t="shared" si="62"/>
        <v>0241-06</v>
      </c>
      <c r="AE152" s="87" t="str">
        <f t="shared" si="63"/>
        <v>aws s3 cp s3://rtdc.mdm.uploadarchive.raw/RTDC4027/ "%USERPROFILE%\AppData\Local\Temp\OnboardLogs"\RTDC4027\2017-01-07 --exclude "*" --recursive --include "*20170107*" &amp; "%USERPROFILE%\Documents\GitHub\mrs-test-scripts\Headless Mode &amp; Sideloading\WalkAndUnGZ.bat" "%USERPROFILE%\AppData\Local\Temp\OnboardLogs"\RTDC4027\2017-01-07 &amp; aws s3 cp s3://rtdc.mdm.uploadarchive.raw/RTDC4027/ "%USERPROFILE%\AppData\Local\Temp\OnboardLogs"\RTDC4027\2017-01-08 --exclude "*" --recursive --include "*20170108*" &amp; "%USERPROFILE%\Documents\GitHub\mrs-test-scripts\Headless Mode &amp; Sideloading\WalkAndUnGZ.bat" "%USERPROFILE%\AppData\Local\Temp\OnboardLogs"\RTDC4027\2017-01-08</v>
      </c>
      <c r="AF152" s="84" t="str">
        <f t="shared" si="64"/>
        <v>"C:\Program Files (x86)\AstroGrep\AstroGrep.exe" /spath="%USERPROFILE%\AppData\Local\Temp\OnboardLogs" /stypes="app*4027*20170107*" /stext=" 07:.+((SYSTEM_STATE.+slice.+state.+changed )|(ment ac)|(multiple cpu faults)|(system.+state.+changed )|(\[timeout)|(PRM\|1\|D)|(kpr)|(kdp)|(\|lc)|(penalty))" /e /r /s</v>
      </c>
      <c r="AG152" s="1" t="str">
        <f t="shared" si="65"/>
        <v>EC</v>
      </c>
      <c r="AH152" s="88" t="str">
        <f t="shared" si="66"/>
        <v>"%USERPROFILE%\Documents\GitHub\eaglep3\Utilities\RefineRTDCRunTimes.py" --tripid 241-06 --locoid 4027 --swversion DE.1.0.8.0 --startMP 204:447 --initTime 2017-01-06T23:43:26 --startdatetime 2017-01-07T00:00:27 --delay 2 --endMP 204:233302 --enddatetime 2017-01-07T00:36:56 --enforcementcount 0 &gt;&gt;C:\Users\stu\Documents\GitHub\eaglep3-reporting\EC\2017-01-06-refined-times.txt</v>
      </c>
      <c r="AI152" s="115" t="str">
        <f t="shared" si="67"/>
        <v>echo {"issue":{"subject":"","project_id":79,"tracker_id":40,"status_id":1,"priority_id":2,"assigned_to_id":23,"start_date":"2017-01-07","description":"","custom_fields":[{"id":1,"name":"Subdivision","value":"EC"},{"id":4,"name":"Milepost","value":"23.3302"},{"id":17,"name":"Train ID","value":"241-06"},{"id":16,"name":"Locomotive ID","value":"4027"},{"id":130,"name":"Impact","value":""},{"id":150,"name":"Time of Event (Mountain Time)","value":"00:36:56"},{"id":151,"name":"Denver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80" t="str">
        <f t="shared" si="68"/>
        <v>start /low /b %USERPROFILE%\Documents\GitHub\eaglep3\Utilities\DownloadLogsFromS3.py --loco 4027 --day 2017-01-07</v>
      </c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4" t="s">
        <v>652</v>
      </c>
      <c r="B153" s="7">
        <v>4028</v>
      </c>
      <c r="C153" s="22" t="s">
        <v>203</v>
      </c>
      <c r="D153" s="22" t="s">
        <v>315</v>
      </c>
      <c r="E153" s="13">
        <v>42742.027604166666</v>
      </c>
      <c r="F153" s="13">
        <v>42742.039097222223</v>
      </c>
      <c r="G153" s="7">
        <v>1</v>
      </c>
      <c r="H153" s="22" t="s">
        <v>209</v>
      </c>
      <c r="I153" s="13">
        <v>42742.065347222226</v>
      </c>
      <c r="J153" s="7">
        <v>0</v>
      </c>
      <c r="K153" s="105" t="str">
        <f t="shared" si="54"/>
        <v>4027/4028</v>
      </c>
      <c r="L153" s="22" t="str">
        <f>VLOOKUP(A153,'Trips&amp;Operators'!$C$1:$G$99999,5,FALSE)</f>
        <v>STAMBAUGH JAMES</v>
      </c>
      <c r="M153" s="6">
        <f t="shared" si="55"/>
        <v>2.6250000002619345E-2</v>
      </c>
      <c r="N153" s="7">
        <f t="shared" si="72"/>
        <v>37.800000003771856</v>
      </c>
      <c r="O153" s="7"/>
      <c r="P153" s="7"/>
      <c r="Q153" s="23"/>
      <c r="R153" s="23"/>
      <c r="S153" s="32">
        <f t="shared" si="50"/>
        <v>1</v>
      </c>
      <c r="T153" s="47" t="str">
        <f t="shared" si="56"/>
        <v>Southbound</v>
      </c>
      <c r="U153" s="16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23:39:45-700',mode:absolute,to:'2017-01-07 02:34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53" s="49" t="str">
        <f t="shared" si="58"/>
        <v>N</v>
      </c>
      <c r="X153" s="173">
        <f t="shared" si="75"/>
        <v>1</v>
      </c>
      <c r="Y153" s="64">
        <f t="shared" si="59"/>
        <v>23.298100000000002</v>
      </c>
      <c r="Z153" s="64">
        <f t="shared" si="74"/>
        <v>1.4999999999999999E-2</v>
      </c>
      <c r="AA153" s="64">
        <f t="shared" si="61"/>
        <v>23.283100000000001</v>
      </c>
      <c r="AB153" s="61"/>
      <c r="AC153" s="57"/>
      <c r="AD153" s="58" t="str">
        <f t="shared" si="62"/>
        <v>0242-06</v>
      </c>
      <c r="AE153" s="87" t="str">
        <f t="shared" si="63"/>
        <v>aws s3 cp s3://rtdc.mdm.uploadarchive.raw/RTDC4028/ "%USERPROFILE%\AppData\Local\Temp\OnboardLogs"\RTDC4028\2017-01-07 --exclude "*" --recursive --include "*20170107*" &amp; "%USERPROFILE%\Documents\GitHub\mrs-test-scripts\Headless Mode &amp; Sideloading\WalkAndUnGZ.bat" "%USERPROFILE%\AppData\Local\Temp\OnboardLogs"\RTDC4028\2017-01-07 &amp; aws s3 cp s3://rtdc.mdm.uploadarchive.raw/RTDC4028/ "%USERPROFILE%\AppData\Local\Temp\OnboardLogs"\RTDC4028\2017-01-08 --exclude "*" --recursive --include "*20170108*" &amp; "%USERPROFILE%\Documents\GitHub\mrs-test-scripts\Headless Mode &amp; Sideloading\WalkAndUnGZ.bat" "%USERPROFILE%\AppData\Local\Temp\OnboardLogs"\RTDC4028\2017-01-08</v>
      </c>
      <c r="AF153" s="84" t="str">
        <f t="shared" si="64"/>
        <v>"C:\Program Files (x86)\AstroGrep\AstroGrep.exe" /spath="%USERPROFILE%\AppData\Local\Temp\OnboardLogs" /stypes="app*4028*20170107*" /stext=" 08:.+((SYSTEM_STATE.+slice.+state.+changed )|(ment ac)|(multiple cpu faults)|(system.+state.+changed )|(\[timeout)|(PRM\|1\|D)|(kpr)|(kdp)|(\|lc)|(penalty))" /e /r /s</v>
      </c>
      <c r="AG153" s="1" t="str">
        <f t="shared" si="65"/>
        <v>EC</v>
      </c>
      <c r="AH153" s="88" t="str">
        <f t="shared" si="66"/>
        <v>"%USERPROFILE%\Documents\GitHub\eaglep3\Utilities\RefineRTDCRunTimes.py" --tripid 242-06 --locoid 4028 --swversion DE.1.0.8.0 --startMP 204:232981 --initTime 2017-01-07T00:39:45 --startdatetime 2017-01-07T00:56:18 --delay 1 --endMP 204:150 --enddatetime 2017-01-07T01:34:06 --enforcementcount 0 &gt;&gt;C:\Users\stu\Documents\GitHub\eaglep3-reporting\EC\2017-01-06-refined-times.txt</v>
      </c>
      <c r="AI153" s="115" t="str">
        <f t="shared" si="67"/>
        <v>echo {"issue":{"subject":"","project_id":79,"tracker_id":40,"status_id":1,"priority_id":2,"assigned_to_id":23,"start_date":"2017-01-07","description":"","custom_fields":[{"id":1,"name":"Subdivision","value":"EC"},{"id":4,"name":"Milepost","value":"0.015"},{"id":17,"name":"Train ID","value":"242-06"},{"id":16,"name":"Locomotive ID","value":"4028"},{"id":130,"name":"Impact","value":""},{"id":150,"name":"Time of Event (Mountain Time)","value":"01:34:06"},{"id":151,"name":"Denver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80" t="str">
        <f t="shared" si="68"/>
        <v>start /low /b %USERPROFILE%\Documents\GitHub\eaglep3\Utilities\DownloadLogsFromS3.py --loco 4028 --day 2017-01-07</v>
      </c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4" t="s">
        <v>473</v>
      </c>
      <c r="B154" s="7">
        <v>4018</v>
      </c>
      <c r="C154" s="22" t="s">
        <v>203</v>
      </c>
      <c r="D154" s="22" t="s">
        <v>745</v>
      </c>
      <c r="E154" s="13">
        <v>42742.012997685182</v>
      </c>
      <c r="F154" s="13">
        <v>42742.021238425928</v>
      </c>
      <c r="G154" s="7">
        <v>1</v>
      </c>
      <c r="H154" s="22" t="s">
        <v>746</v>
      </c>
      <c r="I154" s="13">
        <v>42742.045624999999</v>
      </c>
      <c r="J154" s="7">
        <v>0</v>
      </c>
      <c r="K154" s="105" t="str">
        <f t="shared" si="54"/>
        <v>4017/4018</v>
      </c>
      <c r="L154" s="22" t="str">
        <f>VLOOKUP(A154,'Trips&amp;Operators'!$C$1:$G$99999,5,FALSE)</f>
        <v>HILLS DUSTIN</v>
      </c>
      <c r="M154" s="6">
        <f t="shared" si="55"/>
        <v>2.438657407037681E-2</v>
      </c>
      <c r="N154" s="7">
        <f t="shared" si="72"/>
        <v>35.116666661342606</v>
      </c>
      <c r="O154" s="7"/>
      <c r="P154" s="7"/>
      <c r="Q154" s="23"/>
      <c r="R154" s="23"/>
      <c r="S154" s="32">
        <f t="shared" si="50"/>
        <v>1</v>
      </c>
      <c r="T154" s="47" t="str">
        <f t="shared" si="56"/>
        <v>NorthBound</v>
      </c>
      <c r="U154" s="16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23:18:43-700',mode:absolute,to:'2017-01-07 02:05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54" s="49" t="str">
        <f t="shared" si="58"/>
        <v>N</v>
      </c>
      <c r="X154" s="173">
        <f t="shared" si="75"/>
        <v>1</v>
      </c>
      <c r="Y154" s="64">
        <f t="shared" si="59"/>
        <v>3.5999999999999997E-2</v>
      </c>
      <c r="Z154" s="64">
        <f t="shared" si="74"/>
        <v>23.3444</v>
      </c>
      <c r="AA154" s="64">
        <f t="shared" si="61"/>
        <v>23.308399999999999</v>
      </c>
      <c r="AB154" s="61"/>
      <c r="AC154" s="57"/>
      <c r="AD154" s="58" t="str">
        <f t="shared" si="62"/>
        <v>0243-06</v>
      </c>
      <c r="AE154" s="87" t="str">
        <f t="shared" si="63"/>
        <v>aws s3 cp s3://rtdc.mdm.uploadarchive.raw/RTDC4018/ "%USERPROFILE%\AppData\Local\Temp\OnboardLogs"\RTDC4018\2017-01-07 --exclude "*" --recursive --include "*20170107*" &amp; "%USERPROFILE%\Documents\GitHub\mrs-test-scripts\Headless Mode &amp; Sideloading\WalkAndUnGZ.bat" "%USERPROFILE%\AppData\Local\Temp\OnboardLogs"\RTDC4018\2017-01-07 &amp; aws s3 cp s3://rtdc.mdm.uploadarchive.raw/RTDC4018/ "%USERPROFILE%\AppData\Local\Temp\OnboardLogs"\RTDC4018\2017-01-08 --exclude "*" --recursive --include "*20170108*" &amp; "%USERPROFILE%\Documents\GitHub\mrs-test-scripts\Headless Mode &amp; Sideloading\WalkAndUnGZ.bat" "%USERPROFILE%\AppData\Local\Temp\OnboardLogs"\RTDC4018\2017-01-08</v>
      </c>
      <c r="AF154" s="84" t="str">
        <f t="shared" si="64"/>
        <v>"C:\Program Files (x86)\AstroGrep\AstroGrep.exe" /spath="%USERPROFILE%\AppData\Local\Temp\OnboardLogs" /stypes="app*4018*20170107*" /stext=" 08:.+((SYSTEM_STATE.+slice.+state.+changed )|(ment ac)|(multiple cpu faults)|(system.+state.+changed )|(\[timeout)|(PRM\|1\|D)|(kpr)|(kdp)|(\|lc)|(penalty))" /e /r /s</v>
      </c>
      <c r="AG154" s="1" t="str">
        <f t="shared" si="65"/>
        <v>EC</v>
      </c>
      <c r="AH154" s="88" t="str">
        <f t="shared" si="66"/>
        <v>"%USERPROFILE%\Documents\GitHub\eaglep3\Utilities\RefineRTDCRunTimes.py" --tripid 243-06 --locoid 4018 --swversion DE.1.0.8.0 --startMP 204:360 --initTime 2017-01-07T00:18:43 --startdatetime 2017-01-07T00:30:35 --delay 1 --endMP 204:233444 --enddatetime 2017-01-07T01:05:42 --enforcementcount 0 &gt;&gt;C:\Users\stu\Documents\GitHub\eaglep3-reporting\EC\2017-01-06-refined-times.txt</v>
      </c>
      <c r="AI154" s="115" t="str">
        <f t="shared" si="67"/>
        <v>echo {"issue":{"subject":"","project_id":79,"tracker_id":40,"status_id":1,"priority_id":2,"assigned_to_id":23,"start_date":"2017-01-07","description":"","custom_fields":[{"id":1,"name":"Subdivision","value":"EC"},{"id":4,"name":"Milepost","value":"23.3444"},{"id":17,"name":"Train ID","value":"243-06"},{"id":16,"name":"Locomotive ID","value":"4018"},{"id":130,"name":"Impact","value":""},{"id":150,"name":"Time of Event (Mountain Time)","value":"01:05:42"},{"id":151,"name":"Denver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80" t="str">
        <f t="shared" si="68"/>
        <v>start /low /b %USERPROFILE%\Documents\GitHub\eaglep3\Utilities\DownloadLogsFromS3.py --loco 4018 --day 2017-01-07</v>
      </c>
    </row>
    <row r="155" spans="1:91" s="21" customFormat="1" x14ac:dyDescent="0.25">
      <c r="A155" s="34" t="s">
        <v>654</v>
      </c>
      <c r="B155" s="7">
        <v>4017</v>
      </c>
      <c r="C155" s="22" t="s">
        <v>203</v>
      </c>
      <c r="D155" s="22" t="s">
        <v>747</v>
      </c>
      <c r="E155" s="13">
        <v>42742.049571759257</v>
      </c>
      <c r="F155" s="13">
        <v>42742.059907407405</v>
      </c>
      <c r="G155" s="7">
        <v>2</v>
      </c>
      <c r="H155" s="22" t="s">
        <v>688</v>
      </c>
      <c r="I155" s="13">
        <v>42742.086099537039</v>
      </c>
      <c r="J155" s="7">
        <v>0</v>
      </c>
      <c r="K155" s="105" t="str">
        <f t="shared" si="54"/>
        <v>4017/4018</v>
      </c>
      <c r="L155" s="22" t="str">
        <f>VLOOKUP(A155,'Trips&amp;Operators'!$C$1:$G$99999,5,FALSE)</f>
        <v>HILLS DUSTIN</v>
      </c>
      <c r="M155" s="6">
        <f t="shared" si="55"/>
        <v>2.6192129633272998E-2</v>
      </c>
      <c r="N155" s="7">
        <f t="shared" si="72"/>
        <v>37.716666671913117</v>
      </c>
      <c r="O155" s="7"/>
      <c r="P155" s="7"/>
      <c r="Q155" s="23"/>
      <c r="R155" s="23"/>
      <c r="S155" s="32">
        <f t="shared" si="50"/>
        <v>1</v>
      </c>
      <c r="T155" s="47" t="str">
        <f t="shared" si="56"/>
        <v>Southbound</v>
      </c>
      <c r="U155" s="16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https://search-rtdc-monitor-bjffxe2xuh6vdkpspy63sjmuny.us-east-1.es.amazonaws.com/_plugin/kibana/#/discover/Steve-Slow-Train-Analysis-(2080s-and-2083s)?_g=(refreshInterval:(display:Off,section:0,value:0),time:(from:'2017-01-07 00:11:23-700',mode:absolute,to:'2017-01-07 03:03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55" s="49" t="str">
        <f t="shared" si="58"/>
        <v>N</v>
      </c>
      <c r="X155" s="173">
        <f t="shared" si="75"/>
        <v>1</v>
      </c>
      <c r="Y155" s="64">
        <f t="shared" si="59"/>
        <v>23.309799999999999</v>
      </c>
      <c r="Z155" s="64">
        <f t="shared" si="74"/>
        <v>1.29E-2</v>
      </c>
      <c r="AA155" s="64">
        <f t="shared" si="61"/>
        <v>23.296900000000001</v>
      </c>
      <c r="AB155" s="61"/>
      <c r="AC155" s="57"/>
      <c r="AD155" s="58" t="str">
        <f t="shared" si="62"/>
        <v>0244-06</v>
      </c>
      <c r="AE155" s="87" t="str">
        <f t="shared" si="63"/>
        <v>aws s3 cp s3://rtdc.mdm.uploadarchive.raw/RTDC4017/ "%USERPROFILE%\AppData\Local\Temp\OnboardLogs"\RTDC4017\2017-01-07 --exclude "*" --recursive --include "*20170107*" &amp; "%USERPROFILE%\Documents\GitHub\mrs-test-scripts\Headless Mode &amp; Sideloading\WalkAndUnGZ.bat" "%USERPROFILE%\AppData\Local\Temp\OnboardLogs"\RTDC4017\2017-01-07 &amp; aws s3 cp s3://rtdc.mdm.uploadarchive.raw/RTDC4017/ "%USERPROFILE%\AppData\Local\Temp\OnboardLogs"\RTDC4017\2017-01-08 --exclude "*" --recursive --include "*20170108*" &amp; "%USERPROFILE%\Documents\GitHub\mrs-test-scripts\Headless Mode &amp; Sideloading\WalkAndUnGZ.bat" "%USERPROFILE%\AppData\Local\Temp\OnboardLogs"\RTDC4017\2017-01-08</v>
      </c>
      <c r="AF155" s="84" t="str">
        <f t="shared" si="64"/>
        <v>"C:\Program Files (x86)\AstroGrep\AstroGrep.exe" /spath="%USERPROFILE%\AppData\Local\Temp\OnboardLogs" /stypes="app*4017*20170107*" /stext=" 09:.+((SYSTEM_STATE.+slice.+state.+changed )|(ment ac)|(multiple cpu faults)|(system.+state.+changed )|(\[timeout)|(PRM\|1\|D)|(kpr)|(kdp)|(\|lc)|(penalty))" /e /r /s</v>
      </c>
      <c r="AG155" s="1" t="str">
        <f t="shared" si="65"/>
        <v>EC</v>
      </c>
      <c r="AH155" s="88" t="str">
        <f t="shared" si="66"/>
        <v>"%USERPROFILE%\Documents\GitHub\eaglep3\Utilities\RefineRTDCRunTimes.py" --tripid 244-06 --locoid 4017 --swversion DE.1.0.8.0 --startMP 204:233098 --initTime 2017-01-07T01:11:23 --startdatetime 2017-01-07T01:26:16 --delay 2 --endMP 204:129 --enddatetime 2017-01-07T02:03:59 --enforcementcount 0 &gt;&gt;C:\Users\stu\Documents\GitHub\eaglep3-reporting\EC\2017-01-06-refined-times.txt</v>
      </c>
      <c r="AI155" s="115" t="str">
        <f t="shared" si="67"/>
        <v>echo {"issue":{"subject":"","project_id":79,"tracker_id":40,"status_id":1,"priority_id":2,"assigned_to_id":23,"start_date":"2017-01-07","description":"","custom_fields":[{"id":1,"name":"Subdivision","value":"EC"},{"id":4,"name":"Milepost","value":"0.0129"},{"id":17,"name":"Train ID","value":"244-06"},{"id":16,"name":"Locomotive ID","value":"4017"},{"id":130,"name":"Impact","value":""},{"id":150,"name":"Time of Event (Mountain Time)","value":"02:03:59"},{"id":151,"name":"Denver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80" t="str">
        <f t="shared" si="68"/>
        <v>start /low /b %USERPROFILE%\Documents\GitHub\eaglep3\Utilities\DownloadLogsFromS3.py --loco 4017 --day 2017-01-07</v>
      </c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4" t="s">
        <v>474</v>
      </c>
      <c r="B156" s="7">
        <v>4002</v>
      </c>
      <c r="C156" s="22" t="s">
        <v>203</v>
      </c>
      <c r="D156" s="22" t="s">
        <v>243</v>
      </c>
      <c r="E156" s="13">
        <v>42742.035104166665</v>
      </c>
      <c r="F156" s="13">
        <v>42742.041909722226</v>
      </c>
      <c r="G156" s="7">
        <v>2</v>
      </c>
      <c r="H156" s="22" t="s">
        <v>748</v>
      </c>
      <c r="I156" s="13">
        <v>42742.067662037036</v>
      </c>
      <c r="J156" s="7">
        <v>0</v>
      </c>
      <c r="K156" s="105" t="str">
        <f t="shared" si="54"/>
        <v>4001/4002</v>
      </c>
      <c r="L156" s="22" t="str">
        <f>VLOOKUP(A156,'Trips&amp;Operators'!$C$1:$G$99999,5,FALSE)</f>
        <v>BROWN JACOB</v>
      </c>
      <c r="M156" s="6">
        <f t="shared" si="55"/>
        <v>2.5752314810233656E-2</v>
      </c>
      <c r="N156" s="7">
        <f t="shared" si="72"/>
        <v>37.083333326736465</v>
      </c>
      <c r="O156" s="7"/>
      <c r="P156" s="7"/>
      <c r="Q156" s="23"/>
      <c r="R156" s="23"/>
      <c r="S156" s="32">
        <f t="shared" si="50"/>
        <v>1</v>
      </c>
      <c r="T156" s="47" t="str">
        <f t="shared" si="56"/>
        <v>NorthBound</v>
      </c>
      <c r="U156" s="16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23:50:33-700',mode:absolute,to:'2017-01-07 02:37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6" s="49" t="str">
        <f t="shared" si="58"/>
        <v>N</v>
      </c>
      <c r="X156" s="173">
        <f t="shared" si="75"/>
        <v>1</v>
      </c>
      <c r="Y156" s="64">
        <f t="shared" si="59"/>
        <v>4.53E-2</v>
      </c>
      <c r="Z156" s="64">
        <f t="shared" si="74"/>
        <v>23.3249</v>
      </c>
      <c r="AA156" s="64">
        <f t="shared" si="61"/>
        <v>23.279599999999999</v>
      </c>
      <c r="AB156" s="61"/>
      <c r="AC156" s="57"/>
      <c r="AD156" s="58" t="str">
        <f t="shared" si="62"/>
        <v>0245-06</v>
      </c>
      <c r="AE156" s="87" t="str">
        <f t="shared" si="63"/>
        <v>aws s3 cp s3://rtdc.mdm.uploadarchive.raw/RTDC4002/ "%USERPROFILE%\AppData\Local\Temp\OnboardLogs"\RTDC4002\2017-01-07 --exclude "*" --recursive --include "*20170107*" &amp; "%USERPROFILE%\Documents\GitHub\mrs-test-scripts\Headless Mode &amp; Sideloading\WalkAndUnGZ.bat" "%USERPROFILE%\AppData\Local\Temp\OnboardLogs"\RTDC4002\2017-01-07 &amp; aws s3 cp s3://rtdc.mdm.uploadarchive.raw/RTDC4002/ "%USERPROFILE%\AppData\Local\Temp\OnboardLogs"\RTDC4002\2017-01-08 --exclude "*" --recursive --include "*20170108*" &amp; "%USERPROFILE%\Documents\GitHub\mrs-test-scripts\Headless Mode &amp; Sideloading\WalkAndUnGZ.bat" "%USERPROFILE%\AppData\Local\Temp\OnboardLogs"\RTDC4002\2017-01-08</v>
      </c>
      <c r="AF156" s="84" t="str">
        <f t="shared" si="64"/>
        <v>"C:\Program Files (x86)\AstroGrep\AstroGrep.exe" /spath="%USERPROFILE%\AppData\Local\Temp\OnboardLogs" /stypes="app*4002*20170107*" /stext=" 08:.+((SYSTEM_STATE.+slice.+state.+changed )|(ment ac)|(multiple cpu faults)|(system.+state.+changed )|(\[timeout)|(PRM\|1\|D)|(kpr)|(kdp)|(\|lc)|(penalty))" /e /r /s</v>
      </c>
      <c r="AG156" s="1" t="str">
        <f t="shared" si="65"/>
        <v>EC</v>
      </c>
      <c r="AH156" s="88" t="str">
        <f t="shared" si="66"/>
        <v>"%USERPROFILE%\Documents\GitHub\eaglep3\Utilities\RefineRTDCRunTimes.py" --tripid 245-06 --locoid 4002 --swversion DE.1.0.8.0 --startMP 204:453 --initTime 2017-01-07T00:50:33 --startdatetime 2017-01-07T01:00:21 --delay 2 --endMP 204:233249 --enddatetime 2017-01-07T01:37:26 --enforcementcount 0 &gt;&gt;C:\Users\stu\Documents\GitHub\eaglep3-reporting\EC\2017-01-06-refined-times.txt</v>
      </c>
      <c r="AI156" s="115" t="str">
        <f t="shared" si="67"/>
        <v>echo {"issue":{"subject":"","project_id":79,"tracker_id":40,"status_id":1,"priority_id":2,"assigned_to_id":23,"start_date":"2017-01-07","description":"","custom_fields":[{"id":1,"name":"Subdivision","value":"EC"},{"id":4,"name":"Milepost","value":"23.3249"},{"id":17,"name":"Train ID","value":"245-06"},{"id":16,"name":"Locomotive ID","value":"4002"},{"id":130,"name":"Impact","value":""},{"id":150,"name":"Time of Event (Mountain Time)","value":"01:37:26"},{"id":151,"name":"Denver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80" t="str">
        <f t="shared" si="68"/>
        <v>start /low /b %USERPROFILE%\Documents\GitHub\eaglep3\Utilities\DownloadLogsFromS3.py --loco 4002 --day 2017-01-07</v>
      </c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4" t="s">
        <v>656</v>
      </c>
      <c r="B157" s="7">
        <v>4001</v>
      </c>
      <c r="C157" s="22" t="s">
        <v>203</v>
      </c>
      <c r="D157" s="22" t="s">
        <v>749</v>
      </c>
      <c r="E157" s="13">
        <v>42742.076770833337</v>
      </c>
      <c r="F157" s="13">
        <v>42742.080717592595</v>
      </c>
      <c r="G157" s="7">
        <v>1</v>
      </c>
      <c r="H157" s="22" t="s">
        <v>750</v>
      </c>
      <c r="I157" s="13">
        <v>42742.10769675926</v>
      </c>
      <c r="J157" s="7">
        <v>0</v>
      </c>
      <c r="K157" s="105" t="str">
        <f t="shared" si="54"/>
        <v>4001/4002</v>
      </c>
      <c r="L157" s="22" t="str">
        <f>VLOOKUP(A157,'Trips&amp;Operators'!$C$1:$G$99999,5,FALSE)</f>
        <v>BROWN JACOB</v>
      </c>
      <c r="M157" s="6">
        <f t="shared" si="55"/>
        <v>2.6979166665114462E-2</v>
      </c>
      <c r="N157" s="7">
        <f t="shared" si="72"/>
        <v>38.849999997764826</v>
      </c>
      <c r="O157" s="7"/>
      <c r="P157" s="7"/>
      <c r="Q157" s="23"/>
      <c r="R157" s="23"/>
      <c r="S157" s="32">
        <f t="shared" ref="S157:S188" si="76">SUM(U157:U157)/IF(AG157="EC",12,1)</f>
        <v>1</v>
      </c>
      <c r="T157" s="47" t="str">
        <f t="shared" si="56"/>
        <v>Southbound</v>
      </c>
      <c r="U157" s="16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https://search-rtdc-monitor-bjffxe2xuh6vdkpspy63sjmuny.us-east-1.es.amazonaws.com/_plugin/kibana/#/discover/Steve-Slow-Train-Analysis-(2080s-and-2083s)?_g=(refreshInterval:(display:Off,section:0,value:0),time:(from:'2017-01-07 00:50:33-700',mode:absolute,to:'2017-01-07 03:35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7" s="49" t="str">
        <f t="shared" si="58"/>
        <v>N</v>
      </c>
      <c r="X157" s="173">
        <f t="shared" si="75"/>
        <v>1</v>
      </c>
      <c r="Y157" s="64">
        <f t="shared" si="59"/>
        <v>23.294899999999998</v>
      </c>
      <c r="Z157" s="64">
        <f t="shared" si="74"/>
        <v>1.38E-2</v>
      </c>
      <c r="AA157" s="64">
        <f t="shared" si="61"/>
        <v>23.281099999999999</v>
      </c>
      <c r="AB157" s="61"/>
      <c r="AC157" s="57"/>
      <c r="AD157" s="58" t="str">
        <f t="shared" si="62"/>
        <v>0246-06</v>
      </c>
      <c r="AE157" s="87" t="str">
        <f t="shared" si="63"/>
        <v>aws s3 cp s3://rtdc.mdm.uploadarchive.raw/RTDC4001/ "%USERPROFILE%\AppData\Local\Temp\OnboardLogs"\RTDC4001\2017-01-07 --exclude "*" --recursive --include "*20170107*" &amp; "%USERPROFILE%\Documents\GitHub\mrs-test-scripts\Headless Mode &amp; Sideloading\WalkAndUnGZ.bat" "%USERPROFILE%\AppData\Local\Temp\OnboardLogs"\RTDC4001\2017-01-07 &amp; aws s3 cp s3://rtdc.mdm.uploadarchive.raw/RTDC4001/ "%USERPROFILE%\AppData\Local\Temp\OnboardLogs"\RTDC4001\2017-01-08 --exclude "*" --recursive --include "*20170108*" &amp; "%USERPROFILE%\Documents\GitHub\mrs-test-scripts\Headless Mode &amp; Sideloading\WalkAndUnGZ.bat" "%USERPROFILE%\AppData\Local\Temp\OnboardLogs"\RTDC4001\2017-01-08</v>
      </c>
      <c r="AF157" s="84" t="str">
        <f t="shared" si="64"/>
        <v>"C:\Program Files (x86)\AstroGrep\AstroGrep.exe" /spath="%USERPROFILE%\AppData\Local\Temp\OnboardLogs" /stypes="app*4001*20170107*" /stext=" 09:.+((SYSTEM_STATE.+slice.+state.+changed )|(ment ac)|(multiple cpu faults)|(system.+state.+changed )|(\[timeout)|(PRM\|1\|D)|(kpr)|(kdp)|(\|lc)|(penalty))" /e /r /s</v>
      </c>
      <c r="AG157" s="1" t="str">
        <f t="shared" si="65"/>
        <v>EC</v>
      </c>
      <c r="AH157" s="88" t="str">
        <f t="shared" si="66"/>
        <v>"%USERPROFILE%\Documents\GitHub\eaglep3\Utilities\RefineRTDCRunTimes.py" --tripid 246-06 --locoid 4001 --swversion DE.1.0.8.0 --startMP 204:232949 --initTime 2017-01-07T01:50:33 --startdatetime 2017-01-07T01:56:14 --delay 1 --endMP 204:138 --enddatetime 2017-01-07T02:35:05 --enforcementcount 0 &gt;&gt;C:\Users\stu\Documents\GitHub\eaglep3-reporting\EC\2017-01-06-refined-times.txt</v>
      </c>
      <c r="AI157" s="115" t="str">
        <f t="shared" si="67"/>
        <v>echo {"issue":{"subject":"","project_id":79,"tracker_id":40,"status_id":1,"priority_id":2,"assigned_to_id":23,"start_date":"2017-01-07","description":"","custom_fields":[{"id":1,"name":"Subdivision","value":"EC"},{"id":4,"name":"Milepost","value":"0.0138"},{"id":17,"name":"Train ID","value":"246-06"},{"id":16,"name":"Locomotive ID","value":"4001"},{"id":130,"name":"Impact","value":""},{"id":150,"name":"Time of Event (Mountain Time)","value":"02:35:05"},{"id":151,"name":"Denver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80" t="str">
        <f t="shared" si="68"/>
        <v>start /low /b %USERPROFILE%\Documents\GitHub\eaglep3\Utilities\DownloadLogsFromS3.py --loco 4001 --day 2017-01-07</v>
      </c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4" t="s">
        <v>491</v>
      </c>
      <c r="B158" s="7">
        <v>4041</v>
      </c>
      <c r="C158" s="22" t="s">
        <v>203</v>
      </c>
      <c r="D158" s="22" t="s">
        <v>443</v>
      </c>
      <c r="E158" s="13">
        <v>42741.212997685187</v>
      </c>
      <c r="F158" s="13">
        <v>42741.21465277778</v>
      </c>
      <c r="G158" s="7">
        <v>1</v>
      </c>
      <c r="H158" s="22" t="s">
        <v>774</v>
      </c>
      <c r="I158" s="13">
        <v>42741.226099537038</v>
      </c>
      <c r="J158" s="7">
        <v>0</v>
      </c>
      <c r="K158" s="105" t="str">
        <f t="shared" si="54"/>
        <v>4041/4042</v>
      </c>
      <c r="L158" s="22" t="str">
        <f>VLOOKUP(A158,'Trips&amp;Operators'!$C$1:$G$99999,5,FALSE)</f>
        <v>COMELLA JUSTIN</v>
      </c>
      <c r="M158" s="6">
        <f t="shared" si="55"/>
        <v>1.1446759257523809E-2</v>
      </c>
      <c r="N158" s="7">
        <f t="shared" si="72"/>
        <v>16.483333330834284</v>
      </c>
      <c r="O158" s="7"/>
      <c r="P158" s="7"/>
      <c r="Q158" s="23"/>
      <c r="R158" s="23"/>
      <c r="S158" s="32">
        <f t="shared" si="76"/>
        <v>1</v>
      </c>
      <c r="T158" s="47" t="str">
        <f t="shared" si="56"/>
        <v>Southbound</v>
      </c>
      <c r="U158" s="16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04:06:43-700',mode:absolute,to:'2017-01-06 06:25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8" s="49" t="str">
        <f t="shared" si="58"/>
        <v>N</v>
      </c>
      <c r="X158" s="173">
        <f t="shared" si="75"/>
        <v>554</v>
      </c>
      <c r="Y158" s="64">
        <f t="shared" si="59"/>
        <v>5.8654999999999999</v>
      </c>
      <c r="Z158" s="64">
        <f t="shared" si="74"/>
        <v>6.9400000000000003E-2</v>
      </c>
      <c r="AA158" s="64">
        <f t="shared" si="61"/>
        <v>5.7961</v>
      </c>
      <c r="AB158" s="61"/>
      <c r="AC158" s="57"/>
      <c r="AD158" s="58" t="str">
        <f t="shared" si="62"/>
        <v>0800-06</v>
      </c>
      <c r="AE158" s="87" t="str">
        <f t="shared" si="63"/>
        <v>aws s3 cp s3://rtdc.mdm.uploadarchive.raw/RTDC4041/ "%USERPROFILE%\AppData\Local\Temp\OnboardLogs"\RTDC4041\2017-01-06 --exclude "*" --recursive --include "*20170106*" &amp; "%USERPROFILE%\Documents\GitHub\mrs-test-scripts\Headless Mode &amp; Sideloading\WalkAndUnGZ.bat" "%USERPROFILE%\AppData\Local\Temp\OnboardLogs"\RTDC4041\2017-01-06 &amp; 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</v>
      </c>
      <c r="AF158" s="84" t="str">
        <f t="shared" si="64"/>
        <v>"C:\Program Files (x86)\AstroGrep\AstroGrep.exe" /spath="%USERPROFILE%\AppData\Local\Temp\OnboardLogs" /stypes="app*4041*20170106*" /stext=" 12:.+((SYSTEM_STATE.+slice.+state.+changed )|(ment ac)|(multiple cpu faults)|(system.+state.+changed )|(\[timeout)|(PRM\|1\|D)|(kpr)|(kdp)|(\|lc)|(penalty))" /e /r /s</v>
      </c>
      <c r="AG158" s="1" t="str">
        <f t="shared" si="65"/>
        <v>NW</v>
      </c>
      <c r="AH158" s="88" t="str">
        <f t="shared" si="66"/>
        <v>"%USERPROFILE%\Documents\GitHub\eaglep3\Utilities\RefineRTDCRunTimes.py" --tripid 800-06 --locoid 4041 --swversion DE.1.0.8.0 --startMP 300:58655 --initTime 2017-01-06T05:06:43 --startdatetime 2017-01-06T05:09:06 --delay 1 --endMP 204:694 --enddatetime 2017-01-06T05:25:35 --enforcementcount 0 &gt;&gt;C:\Users\stu\Documents\GitHub\eaglep3-reporting\EC\2017-01-06-refined-times.txt</v>
      </c>
      <c r="AI158" s="115" t="str">
        <f t="shared" si="67"/>
        <v>echo {"issue":{"subject":"","project_id":79,"tracker_id":40,"status_id":1,"priority_id":2,"assigned_to_id":23,"start_date":"2017-01-06","description":"","custom_fields":[{"id":1,"name":"Subdivision","value":"NW"},{"id":4,"name":"Milepost","value":"0.0694"},{"id":17,"name":"Train ID","value":"800-06"},{"id":16,"name":"Locomotive ID","value":"4041"},{"id":130,"name":"Impact","value":""},{"id":150,"name":"Time of Event (Mountain Time)","value":"05:25:35"},{"id":151,"name":"Denver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80" t="str">
        <f t="shared" si="68"/>
        <v>start /low /b %USERPROFILE%\Documents\GitHub\eaglep3\Utilities\DownloadLogsFromS3.py --loco 4041 --day 2017-01-06</v>
      </c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496</v>
      </c>
      <c r="B159" s="7">
        <v>4042</v>
      </c>
      <c r="C159" s="22" t="s">
        <v>203</v>
      </c>
      <c r="D159" s="22" t="s">
        <v>775</v>
      </c>
      <c r="E159" s="13">
        <v>42741.237164351849</v>
      </c>
      <c r="F159" s="13">
        <v>42741.243935185186</v>
      </c>
      <c r="G159" s="7">
        <v>1</v>
      </c>
      <c r="H159" s="22" t="s">
        <v>375</v>
      </c>
      <c r="I159" s="13">
        <v>42741.255277777775</v>
      </c>
      <c r="J159" s="7">
        <v>0</v>
      </c>
      <c r="K159" s="105" t="str">
        <f t="shared" si="54"/>
        <v>4041/4042</v>
      </c>
      <c r="L159" s="22" t="str">
        <f>VLOOKUP(A159,'Trips&amp;Operators'!$C$1:$G$99999,5,FALSE)</f>
        <v>COMELLA JUSTIN</v>
      </c>
      <c r="M159" s="6">
        <f t="shared" si="55"/>
        <v>1.134259258833481E-2</v>
      </c>
      <c r="N159" s="7">
        <f t="shared" si="72"/>
        <v>16.333333327202126</v>
      </c>
      <c r="O159" s="7"/>
      <c r="P159" s="7"/>
      <c r="Q159" s="23"/>
      <c r="R159" s="23"/>
      <c r="S159" s="32">
        <f t="shared" si="76"/>
        <v>1</v>
      </c>
      <c r="T159" s="47" t="str">
        <f t="shared" si="56"/>
        <v>NorthBound</v>
      </c>
      <c r="U159" s="16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04:41:31-700',mode:absolute,to:'2017-01-06 07:07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9" s="49" t="str">
        <f t="shared" si="58"/>
        <v>N</v>
      </c>
      <c r="X159" s="173">
        <f t="shared" si="75"/>
        <v>1</v>
      </c>
      <c r="Y159" s="64">
        <f t="shared" si="59"/>
        <v>9.9000000000000005E-2</v>
      </c>
      <c r="Z159" s="64">
        <f t="shared" si="74"/>
        <v>5.8933</v>
      </c>
      <c r="AA159" s="64">
        <f t="shared" si="61"/>
        <v>5.7942999999999998</v>
      </c>
      <c r="AB159" s="61"/>
      <c r="AC159" s="57"/>
      <c r="AD159" s="58" t="str">
        <f t="shared" si="62"/>
        <v>0801-06</v>
      </c>
      <c r="AE159" s="87" t="str">
        <f t="shared" si="63"/>
        <v>aws s3 cp s3://rtdc.mdm.uploadarchive.raw/RTDC4042/ "%USERPROFILE%\AppData\Local\Temp\OnboardLogs"\RTDC4042\2017-01-06 --exclude "*" --recursive --include "*20170106*" &amp; "%USERPROFILE%\Documents\GitHub\mrs-test-scripts\Headless Mode &amp; Sideloading\WalkAndUnGZ.bat" "%USERPROFILE%\AppData\Local\Temp\OnboardLogs"\RTDC4042\2017-01-06 &amp; 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</v>
      </c>
      <c r="AF159" s="84" t="str">
        <f t="shared" si="64"/>
        <v>"C:\Program Files (x86)\AstroGrep\AstroGrep.exe" /spath="%USERPROFILE%\AppData\Local\Temp\OnboardLogs" /stypes="app*4042*20170106*" /stext=" 13:.+((SYSTEM_STATE.+slice.+state.+changed )|(ment ac)|(multiple cpu faults)|(system.+state.+changed )|(\[timeout)|(PRM\|1\|D)|(kpr)|(kdp)|(\|lc)|(penalty))" /e /r /s</v>
      </c>
      <c r="AG159" s="1" t="str">
        <f t="shared" si="65"/>
        <v>NW</v>
      </c>
      <c r="AH159" s="88" t="str">
        <f t="shared" si="66"/>
        <v>"%USERPROFILE%\Documents\GitHub\eaglep3\Utilities\RefineRTDCRunTimes.py" --tripid 801-06 --locoid 4042 --swversion DE.1.0.8.0 --startMP 204:990 --initTime 2017-01-06T05:41:31 --startdatetime 2017-01-06T05:51:16 --delay 1 --endMP 300:58933 --enddatetime 2017-01-06T06:07:36 --enforcementcount 0 &gt;&gt;C:\Users\stu\Documents\GitHub\eaglep3-reporting\EC\2017-01-06-refined-times.txt</v>
      </c>
      <c r="AI159" s="115" t="str">
        <f t="shared" si="67"/>
        <v>echo {"issue":{"subject":"","project_id":79,"tracker_id":40,"status_id":1,"priority_id":2,"assigned_to_id":23,"start_date":"2017-01-06","description":"","custom_fields":[{"id":1,"name":"Subdivision","value":"NW"},{"id":4,"name":"Milepost","value":"5.8933"},{"id":17,"name":"Train ID","value":"801-06"},{"id":16,"name":"Locomotive ID","value":"4042"},{"id":130,"name":"Impact","value":""},{"id":150,"name":"Time of Event (Mountain Time)","value":"06:07:36"},{"id":151,"name":"Denver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80" t="str">
        <f t="shared" si="68"/>
        <v>start /low /b %USERPROFILE%\Documents\GitHub\eaglep3\Utilities\DownloadLogsFromS3.py --loco 4042 --day 2017-01-06</v>
      </c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500</v>
      </c>
      <c r="B160" s="7">
        <v>4041</v>
      </c>
      <c r="C160" s="22" t="s">
        <v>203</v>
      </c>
      <c r="D160" s="22" t="s">
        <v>346</v>
      </c>
      <c r="E160" s="13">
        <v>42741.256238425929</v>
      </c>
      <c r="F160" s="13">
        <v>42741.257581018515</v>
      </c>
      <c r="G160" s="7">
        <v>1</v>
      </c>
      <c r="H160" s="22" t="s">
        <v>776</v>
      </c>
      <c r="I160" s="13">
        <v>42741.271782407406</v>
      </c>
      <c r="J160" s="7">
        <v>0</v>
      </c>
      <c r="K160" s="105" t="str">
        <f t="shared" si="54"/>
        <v>4041/4042</v>
      </c>
      <c r="L160" s="22" t="str">
        <f>VLOOKUP(A160,'Trips&amp;Operators'!$C$1:$G$99999,5,FALSE)</f>
        <v>COMELLA JUSTIN</v>
      </c>
      <c r="M160" s="6">
        <f t="shared" si="55"/>
        <v>1.4201388890796807E-2</v>
      </c>
      <c r="N160" s="7">
        <f t="shared" si="72"/>
        <v>20.450000002747402</v>
      </c>
      <c r="O160" s="7"/>
      <c r="P160" s="7"/>
      <c r="Q160" s="23"/>
      <c r="R160" s="23"/>
      <c r="S160" s="32">
        <f t="shared" si="76"/>
        <v>1</v>
      </c>
      <c r="T160" s="47" t="str">
        <f t="shared" si="56"/>
        <v>Southbound</v>
      </c>
      <c r="U160" s="16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05:08:59-700',mode:absolute,to:'2017-01-06 07:31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60" s="49" t="str">
        <f t="shared" si="58"/>
        <v>N</v>
      </c>
      <c r="X160" s="173">
        <f t="shared" si="75"/>
        <v>1</v>
      </c>
      <c r="Y160" s="64">
        <f t="shared" si="59"/>
        <v>5.8616999999999999</v>
      </c>
      <c r="Z160" s="64">
        <f t="shared" si="74"/>
        <v>6.8000000000000005E-2</v>
      </c>
      <c r="AA160" s="64">
        <f t="shared" si="61"/>
        <v>5.7937000000000003</v>
      </c>
      <c r="AB160" s="61"/>
      <c r="AC160" s="57"/>
      <c r="AD160" s="58" t="str">
        <f t="shared" si="62"/>
        <v>0802-06</v>
      </c>
      <c r="AE160" s="87" t="str">
        <f t="shared" si="63"/>
        <v>aws s3 cp s3://rtdc.mdm.uploadarchive.raw/RTDC4041/ "%USERPROFILE%\AppData\Local\Temp\OnboardLogs"\RTDC4041\2017-01-06 --exclude "*" --recursive --include "*20170106*" &amp; "%USERPROFILE%\Documents\GitHub\mrs-test-scripts\Headless Mode &amp; Sideloading\WalkAndUnGZ.bat" "%USERPROFILE%\AppData\Local\Temp\OnboardLogs"\RTDC4041\2017-01-06 &amp; 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</v>
      </c>
      <c r="AF160" s="84" t="str">
        <f t="shared" si="64"/>
        <v>"C:\Program Files (x86)\AstroGrep\AstroGrep.exe" /spath="%USERPROFILE%\AppData\Local\Temp\OnboardLogs" /stypes="app*4041*20170106*" /stext=" 13:.+((SYSTEM_STATE.+slice.+state.+changed )|(ment ac)|(multiple cpu faults)|(system.+state.+changed )|(\[timeout)|(PRM\|1\|D)|(kpr)|(kdp)|(\|lc)|(penalty))" /e /r /s</v>
      </c>
      <c r="AG160" s="1" t="str">
        <f t="shared" si="65"/>
        <v>NW</v>
      </c>
      <c r="AH160" s="88" t="str">
        <f t="shared" si="66"/>
        <v>"%USERPROFILE%\Documents\GitHub\eaglep3\Utilities\RefineRTDCRunTimes.py" --tripid 802-06 --locoid 4041 --swversion DE.1.0.8.0 --startMP 300:58617 --initTime 2017-01-06T06:08:59 --startdatetime 2017-01-06T06:10:55 --delay 1 --endMP 204:680 --enddatetime 2017-01-06T06:31:22 --enforcementcount 0 &gt;&gt;C:\Users\stu\Documents\GitHub\eaglep3-reporting\EC\2017-01-06-refined-times.txt</v>
      </c>
      <c r="AI160" s="115" t="str">
        <f t="shared" si="67"/>
        <v>echo {"issue":{"subject":"","project_id":79,"tracker_id":40,"status_id":1,"priority_id":2,"assigned_to_id":23,"start_date":"2017-01-06","description":"","custom_fields":[{"id":1,"name":"Subdivision","value":"NW"},{"id":4,"name":"Milepost","value":"0.068"},{"id":17,"name":"Train ID","value":"802-06"},{"id":16,"name":"Locomotive ID","value":"4041"},{"id":130,"name":"Impact","value":""},{"id":150,"name":"Time of Event (Mountain Time)","value":"06:31:22"},{"id":151,"name":"Denver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80" t="str">
        <f t="shared" si="68"/>
        <v>start /low /b %USERPROFILE%\Documents\GitHub\eaglep3\Utilities\DownloadLogsFromS3.py --loco 4041 --day 2017-01-06</v>
      </c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4" t="s">
        <v>503</v>
      </c>
      <c r="B161" s="7">
        <v>4014</v>
      </c>
      <c r="C161" s="22" t="s">
        <v>203</v>
      </c>
      <c r="D161" s="22" t="s">
        <v>777</v>
      </c>
      <c r="E161" s="13">
        <v>42741.262557870374</v>
      </c>
      <c r="F161" s="13">
        <v>42741.268645833334</v>
      </c>
      <c r="G161" s="7">
        <v>1</v>
      </c>
      <c r="H161" s="22" t="s">
        <v>778</v>
      </c>
      <c r="I161" s="13">
        <v>42741.279999999999</v>
      </c>
      <c r="J161" s="7">
        <v>0</v>
      </c>
      <c r="K161" s="105" t="str">
        <f t="shared" si="54"/>
        <v>4013/4014</v>
      </c>
      <c r="L161" s="22" t="str">
        <f>VLOOKUP(A161,'Trips&amp;Operators'!$C$1:$G$99999,5,FALSE)</f>
        <v>SHOOK JOHN</v>
      </c>
      <c r="M161" s="6">
        <f t="shared" si="55"/>
        <v>1.1354166665114462E-2</v>
      </c>
      <c r="N161" s="7">
        <f t="shared" si="72"/>
        <v>16.349999997764826</v>
      </c>
      <c r="O161" s="7"/>
      <c r="P161" s="7"/>
      <c r="Q161" s="23"/>
      <c r="R161" s="23"/>
      <c r="S161" s="32">
        <f t="shared" si="76"/>
        <v>1</v>
      </c>
      <c r="T161" s="47" t="str">
        <f t="shared" si="56"/>
        <v>NorthBound</v>
      </c>
      <c r="U161" s="16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05:18:05-700',mode:absolute,to:'2017-01-06 07:43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1" s="49" t="str">
        <f t="shared" si="58"/>
        <v>N</v>
      </c>
      <c r="X161" s="173">
        <f t="shared" si="75"/>
        <v>1</v>
      </c>
      <c r="Y161" s="64">
        <f t="shared" si="59"/>
        <v>0.10299999999999999</v>
      </c>
      <c r="Z161" s="64">
        <f t="shared" si="74"/>
        <v>5.8993000000000002</v>
      </c>
      <c r="AA161" s="64">
        <f t="shared" si="61"/>
        <v>5.7963000000000005</v>
      </c>
      <c r="AB161" s="61"/>
      <c r="AC161" s="57"/>
      <c r="AD161" s="58" t="str">
        <f t="shared" si="62"/>
        <v>0803-06</v>
      </c>
      <c r="AE161" s="87" t="str">
        <f t="shared" si="63"/>
        <v>aws s3 cp s3://rtdc.mdm.uploadarchive.raw/RTDC4014/ "%USERPROFILE%\AppData\Local\Temp\OnboardLogs"\RTDC4014\2017-01-06 --exclude "*" --recursive --include "*20170106*" &amp; "%USERPROFILE%\Documents\GitHub\mrs-test-scripts\Headless Mode &amp; Sideloading\WalkAndUnGZ.bat" "%USERPROFILE%\AppData\Local\Temp\OnboardLogs"\RTDC4014\2017-01-06 &amp; 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</v>
      </c>
      <c r="AF161" s="84" t="str">
        <f t="shared" si="64"/>
        <v>"C:\Program Files (x86)\AstroGrep\AstroGrep.exe" /spath="%USERPROFILE%\AppData\Local\Temp\OnboardLogs" /stypes="app*4014*20170106*" /stext=" 13:.+((SYSTEM_STATE.+slice.+state.+changed )|(ment ac)|(multiple cpu faults)|(system.+state.+changed )|(\[timeout)|(PRM\|1\|D)|(kpr)|(kdp)|(\|lc)|(penalty))" /e /r /s</v>
      </c>
      <c r="AG161" s="1" t="str">
        <f t="shared" si="65"/>
        <v>NW</v>
      </c>
      <c r="AH161" s="88" t="str">
        <f t="shared" si="66"/>
        <v>"%USERPROFILE%\Documents\GitHub\eaglep3\Utilities\RefineRTDCRunTimes.py" --tripid 803-06 --locoid 4014 --swversion DE.1.0.8.0 --startMP 204:1030 --initTime 2017-01-06T06:18:05 --startdatetime 2017-01-06T06:26:51 --delay 1 --endMP 300:58993 --enddatetime 2017-01-06T06:43:12 --enforcementcount 0 &gt;&gt;C:\Users\stu\Documents\GitHub\eaglep3-reporting\EC\2017-01-06-refined-times.txt</v>
      </c>
      <c r="AI161" s="115" t="str">
        <f t="shared" si="67"/>
        <v>echo {"issue":{"subject":"","project_id":79,"tracker_id":40,"status_id":1,"priority_id":2,"assigned_to_id":23,"start_date":"2017-01-06","description":"","custom_fields":[{"id":1,"name":"Subdivision","value":"NW"},{"id":4,"name":"Milepost","value":"5.8993"},{"id":17,"name":"Train ID","value":"803-06"},{"id":16,"name":"Locomotive ID","value":"4014"},{"id":130,"name":"Impact","value":""},{"id":150,"name":"Time of Event (Mountain Time)","value":"06:43:12"},{"id":151,"name":"Denver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80" t="str">
        <f t="shared" si="68"/>
        <v>start /low /b %USERPROFILE%\Documents\GitHub\eaglep3\Utilities\DownloadLogsFromS3.py --loco 4014 --day 2017-01-06</v>
      </c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4" t="s">
        <v>510</v>
      </c>
      <c r="B162" s="7">
        <v>4013</v>
      </c>
      <c r="C162" s="22" t="s">
        <v>203</v>
      </c>
      <c r="D162" s="22" t="s">
        <v>429</v>
      </c>
      <c r="E162" s="13">
        <v>42741.281030092592</v>
      </c>
      <c r="F162" s="13">
        <v>42741.28224537037</v>
      </c>
      <c r="G162" s="7">
        <v>0</v>
      </c>
      <c r="H162" s="22" t="s">
        <v>779</v>
      </c>
      <c r="I162" s="13">
        <v>42741.293402777781</v>
      </c>
      <c r="J162" s="7">
        <v>0</v>
      </c>
      <c r="K162" s="105" t="str">
        <f t="shared" si="54"/>
        <v>4013/4014</v>
      </c>
      <c r="L162" s="22" t="str">
        <f>VLOOKUP(A162,'Trips&amp;Operators'!$C$1:$G$99999,5,FALSE)</f>
        <v>SHOOK JOHN</v>
      </c>
      <c r="M162" s="6">
        <f t="shared" si="55"/>
        <v>1.1157407410792075E-2</v>
      </c>
      <c r="N162" s="7">
        <f t="shared" si="72"/>
        <v>16.066666671540588</v>
      </c>
      <c r="O162" s="7"/>
      <c r="P162" s="7"/>
      <c r="Q162" s="23"/>
      <c r="R162" s="23"/>
      <c r="S162" s="32">
        <f t="shared" si="76"/>
        <v>1</v>
      </c>
      <c r="T162" s="47" t="str">
        <f t="shared" si="56"/>
        <v>Southbound</v>
      </c>
      <c r="U162" s="16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05:44:41-700',mode:absolute,to:'2017-01-06 08:02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2" s="49" t="str">
        <f t="shared" si="58"/>
        <v>N</v>
      </c>
      <c r="X162" s="173">
        <f t="shared" si="75"/>
        <v>1</v>
      </c>
      <c r="Y162" s="64">
        <f t="shared" si="59"/>
        <v>5.8677000000000001</v>
      </c>
      <c r="Z162" s="64">
        <f t="shared" si="74"/>
        <v>7.4999999999999997E-2</v>
      </c>
      <c r="AA162" s="64">
        <f t="shared" si="61"/>
        <v>5.7927</v>
      </c>
      <c r="AB162" s="61"/>
      <c r="AC162" s="57"/>
      <c r="AD162" s="58" t="str">
        <f t="shared" si="62"/>
        <v>0804-06</v>
      </c>
      <c r="AE162" s="87" t="str">
        <f t="shared" si="63"/>
        <v>aws s3 cp s3://rtdc.mdm.uploadarchive.raw/RTDC4013/ "%USERPROFILE%\AppData\Local\Temp\OnboardLogs"\RTDC4013\2017-01-06 --exclude "*" --recursive --include "*20170106*" &amp; "%USERPROFILE%\Documents\GitHub\mrs-test-scripts\Headless Mode &amp; Sideloading\WalkAndUnGZ.bat" "%USERPROFILE%\AppData\Local\Temp\OnboardLogs"\RTDC4013\2017-01-06 &amp; 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</v>
      </c>
      <c r="AF162" s="84" t="str">
        <f t="shared" si="64"/>
        <v>"C:\Program Files (x86)\AstroGrep\AstroGrep.exe" /spath="%USERPROFILE%\AppData\Local\Temp\OnboardLogs" /stypes="app*4013*20170106*" /stext=" 14:.+((SYSTEM_STATE.+slice.+state.+changed )|(ment ac)|(multiple cpu faults)|(system.+state.+changed )|(\[timeout)|(PRM\|1\|D)|(kpr)|(kdp)|(\|lc)|(penalty))" /e /r /s</v>
      </c>
      <c r="AG162" s="1" t="str">
        <f t="shared" si="65"/>
        <v>NW</v>
      </c>
      <c r="AH162" s="88" t="str">
        <f t="shared" si="66"/>
        <v>"%USERPROFILE%\Documents\GitHub\eaglep3\Utilities\RefineRTDCRunTimes.py" --tripid 804-06 --locoid 4013 --swversion DE.1.0.8.0 --startMP 300:58677 --initTime 2017-01-06T06:44:41 --startdatetime 2017-01-06T06:46:26 --delay 0 --endMP 204:750 --enddatetime 2017-01-06T07:02:30 --enforcementcount 0 &gt;&gt;C:\Users\stu\Documents\GitHub\eaglep3-reporting\EC\2017-01-06-refined-times.txt</v>
      </c>
      <c r="AI162" s="115" t="str">
        <f t="shared" si="67"/>
        <v>echo {"issue":{"subject":"","project_id":79,"tracker_id":40,"status_id":1,"priority_id":2,"assigned_to_id":23,"start_date":"2017-01-06","description":"","custom_fields":[{"id":1,"name":"Subdivision","value":"NW"},{"id":4,"name":"Milepost","value":"0.075"},{"id":17,"name":"Train ID","value":"804-06"},{"id":16,"name":"Locomotive ID","value":"4013"},{"id":130,"name":"Impact","value":""},{"id":150,"name":"Time of Event (Mountain Time)","value":"07:02:30"},{"id":151,"name":"Denver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80" t="str">
        <f t="shared" si="68"/>
        <v>start /low /b %USERPROFILE%\Documents\GitHub\eaglep3\Utilities\DownloadLogsFromS3.py --loco 4013 --day 2017-01-06</v>
      </c>
    </row>
    <row r="163" spans="1:91" x14ac:dyDescent="0.25">
      <c r="A163" s="34" t="s">
        <v>511</v>
      </c>
      <c r="B163" s="7">
        <v>4042</v>
      </c>
      <c r="C163" s="22" t="s">
        <v>203</v>
      </c>
      <c r="D163" s="22" t="s">
        <v>780</v>
      </c>
      <c r="E163" s="13">
        <v>42741.284375000003</v>
      </c>
      <c r="F163" s="13">
        <v>42741.285636574074</v>
      </c>
      <c r="G163" s="7">
        <v>1</v>
      </c>
      <c r="H163" s="22" t="s">
        <v>781</v>
      </c>
      <c r="I163" s="13">
        <v>42741.296585648146</v>
      </c>
      <c r="J163" s="7">
        <v>0</v>
      </c>
      <c r="K163" s="105" t="str">
        <f t="shared" si="54"/>
        <v>4041/4042</v>
      </c>
      <c r="L163" s="22" t="str">
        <f>VLOOKUP(A163,'Trips&amp;Operators'!$C$1:$G$99999,5,FALSE)</f>
        <v>COMELLA JUSTIN</v>
      </c>
      <c r="M163" s="6">
        <f t="shared" si="55"/>
        <v>1.0949074072414078E-2</v>
      </c>
      <c r="N163" s="7">
        <f t="shared" si="72"/>
        <v>15.766666664276272</v>
      </c>
      <c r="O163" s="7"/>
      <c r="P163" s="7"/>
      <c r="Q163" s="23"/>
      <c r="R163" s="23"/>
      <c r="S163" s="32">
        <f t="shared" si="76"/>
        <v>1</v>
      </c>
      <c r="T163" s="47" t="str">
        <f t="shared" si="56"/>
        <v>NorthBound</v>
      </c>
      <c r="U163" s="16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05:49:30-700',mode:absolute,to:'2017-01-06 08:07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63" s="49" t="str">
        <f t="shared" si="58"/>
        <v>N</v>
      </c>
      <c r="X163" s="173">
        <f t="shared" si="75"/>
        <v>1</v>
      </c>
      <c r="Y163" s="64">
        <f t="shared" si="59"/>
        <v>9.8100000000000007E-2</v>
      </c>
      <c r="Z163" s="64">
        <f t="shared" si="74"/>
        <v>5.8948</v>
      </c>
      <c r="AA163" s="64">
        <f t="shared" si="61"/>
        <v>5.7967000000000004</v>
      </c>
      <c r="AB163" s="61"/>
      <c r="AC163" s="57"/>
      <c r="AD163" s="58" t="str">
        <f t="shared" si="62"/>
        <v>0805-06</v>
      </c>
      <c r="AE163" s="87" t="str">
        <f t="shared" si="63"/>
        <v>aws s3 cp s3://rtdc.mdm.uploadarchive.raw/RTDC4042/ "%USERPROFILE%\AppData\Local\Temp\OnboardLogs"\RTDC4042\2017-01-06 --exclude "*" --recursive --include "*20170106*" &amp; "%USERPROFILE%\Documents\GitHub\mrs-test-scripts\Headless Mode &amp; Sideloading\WalkAndUnGZ.bat" "%USERPROFILE%\AppData\Local\Temp\OnboardLogs"\RTDC4042\2017-01-06 &amp; 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</v>
      </c>
      <c r="AF163" s="84" t="str">
        <f t="shared" si="64"/>
        <v>"C:\Program Files (x86)\AstroGrep\AstroGrep.exe" /spath="%USERPROFILE%\AppData\Local\Temp\OnboardLogs" /stypes="app*4042*20170106*" /stext=" 14:.+((SYSTEM_STATE.+slice.+state.+changed )|(ment ac)|(multiple cpu faults)|(system.+state.+changed )|(\[timeout)|(PRM\|1\|D)|(kpr)|(kdp)|(\|lc)|(penalty))" /e /r /s</v>
      </c>
      <c r="AG163" s="1" t="str">
        <f t="shared" si="65"/>
        <v>NW</v>
      </c>
      <c r="AH163" s="88" t="str">
        <f t="shared" si="66"/>
        <v>"%USERPROFILE%\Documents\GitHub\eaglep3\Utilities\RefineRTDCRunTimes.py" --tripid 805-06 --locoid 4042 --swversion DE.1.0.8.0 --startMP 204:981 --initTime 2017-01-06T06:49:30 --startdatetime 2017-01-06T06:51:19 --delay 1 --endMP 300:58948 --enddatetime 2017-01-06T07:07:05 --enforcementcount 0 &gt;&gt;C:\Users\stu\Documents\GitHub\eaglep3-reporting\EC\2017-01-06-refined-times.txt</v>
      </c>
      <c r="AI163" s="115" t="str">
        <f t="shared" si="67"/>
        <v>echo {"issue":{"subject":"","project_id":79,"tracker_id":40,"status_id":1,"priority_id":2,"assigned_to_id":23,"start_date":"2017-01-06","description":"","custom_fields":[{"id":1,"name":"Subdivision","value":"NW"},{"id":4,"name":"Milepost","value":"5.8948"},{"id":17,"name":"Train ID","value":"805-06"},{"id":16,"name":"Locomotive ID","value":"4042"},{"id":130,"name":"Impact","value":""},{"id":150,"name":"Time of Event (Mountain Time)","value":"07:07:05"},{"id":151,"name":"Denver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80" t="str">
        <f t="shared" si="68"/>
        <v>start /low /b %USERPROFILE%\Documents\GitHub\eaglep3\Utilities\DownloadLogsFromS3.py --loco 4042 --day 2017-01-06</v>
      </c>
    </row>
    <row r="164" spans="1:91" x14ac:dyDescent="0.25">
      <c r="A164" s="34" t="s">
        <v>514</v>
      </c>
      <c r="B164" s="7">
        <v>4041</v>
      </c>
      <c r="C164" s="22" t="s">
        <v>203</v>
      </c>
      <c r="D164" s="22" t="s">
        <v>782</v>
      </c>
      <c r="E164" s="13">
        <v>42741.297546296293</v>
      </c>
      <c r="F164" s="13">
        <v>42741.299108796295</v>
      </c>
      <c r="G164" s="7">
        <v>1</v>
      </c>
      <c r="H164" s="22" t="s">
        <v>783</v>
      </c>
      <c r="I164" s="13">
        <v>42741.310578703706</v>
      </c>
      <c r="J164" s="7">
        <v>0</v>
      </c>
      <c r="K164" s="105" t="str">
        <f t="shared" si="54"/>
        <v>4041/4042</v>
      </c>
      <c r="L164" s="22" t="str">
        <f>VLOOKUP(A164,'Trips&amp;Operators'!$C$1:$G$99999,5,FALSE)</f>
        <v>COMELLA JUSTIN</v>
      </c>
      <c r="M164" s="6">
        <f t="shared" si="55"/>
        <v>1.1469907411083113E-2</v>
      </c>
      <c r="N164" s="7">
        <f t="shared" si="72"/>
        <v>16.516666671959683</v>
      </c>
      <c r="O164" s="7"/>
      <c r="P164" s="7"/>
      <c r="Q164" s="23"/>
      <c r="R164" s="23"/>
      <c r="S164" s="32">
        <f t="shared" si="76"/>
        <v>1</v>
      </c>
      <c r="T164" s="47" t="str">
        <f t="shared" si="56"/>
        <v>Southbound</v>
      </c>
      <c r="U164" s="16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06:08:28-700',mode:absolute,to:'2017-01-06 08:27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64" s="49" t="str">
        <f t="shared" si="58"/>
        <v>N</v>
      </c>
      <c r="X164" s="173">
        <f t="shared" si="75"/>
        <v>1</v>
      </c>
      <c r="Y164" s="64">
        <f t="shared" si="59"/>
        <v>5.8634000000000004</v>
      </c>
      <c r="Z164" s="64">
        <f t="shared" si="74"/>
        <v>6.8900000000000003E-2</v>
      </c>
      <c r="AA164" s="64">
        <f t="shared" si="61"/>
        <v>5.7945000000000002</v>
      </c>
      <c r="AB164" s="61"/>
      <c r="AC164" s="57"/>
      <c r="AD164" s="58" t="str">
        <f t="shared" si="62"/>
        <v>0806-06</v>
      </c>
      <c r="AE164" s="87" t="str">
        <f t="shared" si="63"/>
        <v>aws s3 cp s3://rtdc.mdm.uploadarchive.raw/RTDC4041/ "%USERPROFILE%\AppData\Local\Temp\OnboardLogs"\RTDC4041\2017-01-06 --exclude "*" --recursive --include "*20170106*" &amp; "%USERPROFILE%\Documents\GitHub\mrs-test-scripts\Headless Mode &amp; Sideloading\WalkAndUnGZ.bat" "%USERPROFILE%\AppData\Local\Temp\OnboardLogs"\RTDC4041\2017-01-06 &amp; 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</v>
      </c>
      <c r="AF164" s="84" t="str">
        <f t="shared" si="64"/>
        <v>"C:\Program Files (x86)\AstroGrep\AstroGrep.exe" /spath="%USERPROFILE%\AppData\Local\Temp\OnboardLogs" /stypes="app*4041*20170106*" /stext=" 14:.+((SYSTEM_STATE.+slice.+state.+changed )|(ment ac)|(multiple cpu faults)|(system.+state.+changed )|(\[timeout)|(PRM\|1\|D)|(kpr)|(kdp)|(\|lc)|(penalty))" /e /r /s</v>
      </c>
      <c r="AG164" s="1" t="str">
        <f t="shared" si="65"/>
        <v>NW</v>
      </c>
      <c r="AH164" s="88" t="str">
        <f t="shared" si="66"/>
        <v>"%USERPROFILE%\Documents\GitHub\eaglep3\Utilities\RefineRTDCRunTimes.py" --tripid 806-06 --locoid 4041 --swversion DE.1.0.8.0 --startMP 300:58634 --initTime 2017-01-06T07:08:28 --startdatetime 2017-01-06T07:10:43 --delay 1 --endMP 204:689 --enddatetime 2017-01-06T07:27:14 --enforcementcount 0 &gt;&gt;C:\Users\stu\Documents\GitHub\eaglep3-reporting\EC\2017-01-06-refined-times.txt</v>
      </c>
      <c r="AI164" s="115" t="str">
        <f t="shared" si="67"/>
        <v>echo {"issue":{"subject":"","project_id":79,"tracker_id":40,"status_id":1,"priority_id":2,"assigned_to_id":23,"start_date":"2017-01-06","description":"","custom_fields":[{"id":1,"name":"Subdivision","value":"NW"},{"id":4,"name":"Milepost","value":"0.0689"},{"id":17,"name":"Train ID","value":"806-06"},{"id":16,"name":"Locomotive ID","value":"4041"},{"id":130,"name":"Impact","value":""},{"id":150,"name":"Time of Event (Mountain Time)","value":"07:27:14"},{"id":151,"name":"Denver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80" t="str">
        <f t="shared" si="68"/>
        <v>start /low /b %USERPROFILE%\Documents\GitHub\eaglep3\Utilities\DownloadLogsFromS3.py --loco 4041 --day 2017-01-06</v>
      </c>
    </row>
    <row r="165" spans="1:91" x14ac:dyDescent="0.25">
      <c r="A165" s="34" t="s">
        <v>513</v>
      </c>
      <c r="B165" s="7">
        <v>4014</v>
      </c>
      <c r="C165" s="22" t="s">
        <v>203</v>
      </c>
      <c r="D165" s="22" t="s">
        <v>784</v>
      </c>
      <c r="E165" s="13">
        <v>42741.295682870368</v>
      </c>
      <c r="F165" s="13">
        <v>42741.306446759256</v>
      </c>
      <c r="G165" s="7">
        <v>1</v>
      </c>
      <c r="H165" s="22" t="s">
        <v>785</v>
      </c>
      <c r="I165" s="13">
        <v>42741.317037037035</v>
      </c>
      <c r="J165" s="7">
        <v>0</v>
      </c>
      <c r="K165" s="105" t="str">
        <f t="shared" si="54"/>
        <v>4013/4014</v>
      </c>
      <c r="L165" s="22" t="str">
        <f>VLOOKUP(A165,'Trips&amp;Operators'!$C$1:$G$99999,5,FALSE)</f>
        <v>SHOOK JOHN</v>
      </c>
      <c r="M165" s="6">
        <f t="shared" si="55"/>
        <v>1.0590277779556345E-2</v>
      </c>
      <c r="N165" s="7">
        <f t="shared" si="72"/>
        <v>15.250000002561137</v>
      </c>
      <c r="O165" s="7"/>
      <c r="P165" s="7"/>
      <c r="Q165" s="23"/>
      <c r="R165" s="23"/>
      <c r="S165" s="32">
        <f t="shared" si="76"/>
        <v>1</v>
      </c>
      <c r="T165" s="47" t="str">
        <f t="shared" si="56"/>
        <v>NorthBound</v>
      </c>
      <c r="U165" s="16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06:05:47-700',mode:absolute,to:'2017-01-06 08:36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5" s="49" t="str">
        <f t="shared" si="58"/>
        <v>N</v>
      </c>
      <c r="X165" s="173">
        <f t="shared" si="75"/>
        <v>1</v>
      </c>
      <c r="Y165" s="64">
        <f t="shared" si="59"/>
        <v>0.10390000000000001</v>
      </c>
      <c r="Z165" s="64">
        <f t="shared" si="74"/>
        <v>5.8998999999999997</v>
      </c>
      <c r="AA165" s="64">
        <f t="shared" si="61"/>
        <v>5.7959999999999994</v>
      </c>
      <c r="AB165" s="61"/>
      <c r="AC165" s="57"/>
      <c r="AD165" s="58" t="str">
        <f t="shared" si="62"/>
        <v>0807-06</v>
      </c>
      <c r="AE165" s="87" t="str">
        <f t="shared" si="63"/>
        <v>aws s3 cp s3://rtdc.mdm.uploadarchive.raw/RTDC4014/ "%USERPROFILE%\AppData\Local\Temp\OnboardLogs"\RTDC4014\2017-01-06 --exclude "*" --recursive --include "*20170106*" &amp; "%USERPROFILE%\Documents\GitHub\mrs-test-scripts\Headless Mode &amp; Sideloading\WalkAndUnGZ.bat" "%USERPROFILE%\AppData\Local\Temp\OnboardLogs"\RTDC4014\2017-01-06 &amp; 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</v>
      </c>
      <c r="AF165" s="84" t="str">
        <f t="shared" si="64"/>
        <v>"C:\Program Files (x86)\AstroGrep\AstroGrep.exe" /spath="%USERPROFILE%\AppData\Local\Temp\OnboardLogs" /stypes="app*4014*20170106*" /stext=" 14:.+((SYSTEM_STATE.+slice.+state.+changed )|(ment ac)|(multiple cpu faults)|(system.+state.+changed )|(\[timeout)|(PRM\|1\|D)|(kpr)|(kdp)|(\|lc)|(penalty))" /e /r /s</v>
      </c>
      <c r="AG165" s="1" t="str">
        <f t="shared" si="65"/>
        <v>NW</v>
      </c>
      <c r="AH165" s="88" t="str">
        <f t="shared" si="66"/>
        <v>"%USERPROFILE%\Documents\GitHub\eaglep3\Utilities\RefineRTDCRunTimes.py" --tripid 807-06 --locoid 4014 --swversion DE.1.0.8.0 --startMP 204:1039 --initTime 2017-01-06T07:05:47 --startdatetime 2017-01-06T07:21:17 --delay 1 --endMP 300:58999 --enddatetime 2017-01-06T07:36:32 --enforcementcount 0 &gt;&gt;C:\Users\stu\Documents\GitHub\eaglep3-reporting\EC\2017-01-06-refined-times.txt</v>
      </c>
      <c r="AI165" s="115" t="str">
        <f t="shared" si="67"/>
        <v>echo {"issue":{"subject":"","project_id":79,"tracker_id":40,"status_id":1,"priority_id":2,"assigned_to_id":23,"start_date":"2017-01-06","description":"","custom_fields":[{"id":1,"name":"Subdivision","value":"NW"},{"id":4,"name":"Milepost","value":"5.8999"},{"id":17,"name":"Train ID","value":"807-06"},{"id":16,"name":"Locomotive ID","value":"4014"},{"id":130,"name":"Impact","value":""},{"id":150,"name":"Time of Event (Mountain Time)","value":"07:36:32"},{"id":151,"name":"Denver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80" t="str">
        <f t="shared" si="68"/>
        <v>start /low /b %USERPROFILE%\Documents\GitHub\eaglep3\Utilities\DownloadLogsFromS3.py --loco 4014 --day 2017-01-06</v>
      </c>
    </row>
    <row r="166" spans="1:91" s="21" customFormat="1" x14ac:dyDescent="0.25">
      <c r="A166" s="34" t="s">
        <v>521</v>
      </c>
      <c r="B166" s="7">
        <v>4013</v>
      </c>
      <c r="C166" s="22" t="s">
        <v>203</v>
      </c>
      <c r="D166" s="22" t="s">
        <v>373</v>
      </c>
      <c r="E166" s="13">
        <v>42741.318773148145</v>
      </c>
      <c r="F166" s="13">
        <v>42741.320208333331</v>
      </c>
      <c r="G166" s="7">
        <v>1</v>
      </c>
      <c r="H166" s="22" t="s">
        <v>786</v>
      </c>
      <c r="I166" s="13">
        <v>42741.331192129626</v>
      </c>
      <c r="J166" s="7">
        <v>0</v>
      </c>
      <c r="K166" s="105" t="str">
        <f t="shared" si="54"/>
        <v>4013/4014</v>
      </c>
      <c r="L166" s="22" t="str">
        <f>VLOOKUP(A166,'Trips&amp;Operators'!$C$1:$G$99999,5,FALSE)</f>
        <v>SHOOK JOHN</v>
      </c>
      <c r="M166" s="6">
        <f t="shared" si="55"/>
        <v>1.0983796295477077E-2</v>
      </c>
      <c r="N166" s="7">
        <f t="shared" si="72"/>
        <v>15.816666665486991</v>
      </c>
      <c r="O166" s="7"/>
      <c r="P166" s="7"/>
      <c r="Q166" s="23"/>
      <c r="R166" s="23"/>
      <c r="S166" s="32">
        <f t="shared" si="76"/>
        <v>1</v>
      </c>
      <c r="T166" s="47" t="str">
        <f t="shared" si="56"/>
        <v>Southbound</v>
      </c>
      <c r="U166" s="16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06:39:02-700',mode:absolute,to:'2017-01-06 08:56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6" s="49" t="str">
        <f t="shared" si="58"/>
        <v>N</v>
      </c>
      <c r="X166" s="173">
        <f t="shared" si="75"/>
        <v>1</v>
      </c>
      <c r="Y166" s="64">
        <f t="shared" si="59"/>
        <v>5.8688000000000002</v>
      </c>
      <c r="Z166" s="64">
        <f t="shared" si="74"/>
        <v>7.3599999999999999E-2</v>
      </c>
      <c r="AA166" s="64">
        <f t="shared" si="61"/>
        <v>5.7952000000000004</v>
      </c>
      <c r="AB166" s="61"/>
      <c r="AC166" s="57"/>
      <c r="AD166" s="58" t="str">
        <f t="shared" si="62"/>
        <v>0808-06</v>
      </c>
      <c r="AE166" s="87" t="str">
        <f t="shared" si="63"/>
        <v>aws s3 cp s3://rtdc.mdm.uploadarchive.raw/RTDC4013/ "%USERPROFILE%\AppData\Local\Temp\OnboardLogs"\RTDC4013\2017-01-06 --exclude "*" --recursive --include "*20170106*" &amp; "%USERPROFILE%\Documents\GitHub\mrs-test-scripts\Headless Mode &amp; Sideloading\WalkAndUnGZ.bat" "%USERPROFILE%\AppData\Local\Temp\OnboardLogs"\RTDC4013\2017-01-06 &amp; 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</v>
      </c>
      <c r="AF166" s="84" t="str">
        <f t="shared" si="64"/>
        <v>"C:\Program Files (x86)\AstroGrep\AstroGrep.exe" /spath="%USERPROFILE%\AppData\Local\Temp\OnboardLogs" /stypes="app*4013*20170106*" /stext=" 14:.+((SYSTEM_STATE.+slice.+state.+changed )|(ment ac)|(multiple cpu faults)|(system.+state.+changed )|(\[timeout)|(PRM\|1\|D)|(kpr)|(kdp)|(\|lc)|(penalty))" /e /r /s</v>
      </c>
      <c r="AG166" s="1" t="str">
        <f t="shared" si="65"/>
        <v>NW</v>
      </c>
      <c r="AH166" s="88" t="str">
        <f t="shared" si="66"/>
        <v>"%USERPROFILE%\Documents\GitHub\eaglep3\Utilities\RefineRTDCRunTimes.py" --tripid 808-06 --locoid 4013 --swversion DE.1.0.8.0 --startMP 300:58688 --initTime 2017-01-06T07:39:02 --startdatetime 2017-01-06T07:41:06 --delay 1 --endMP 204:736 --enddatetime 2017-01-06T07:56:55 --enforcementcount 0 &gt;&gt;C:\Users\stu\Documents\GitHub\eaglep3-reporting\EC\2017-01-06-refined-times.txt</v>
      </c>
      <c r="AI166" s="115" t="str">
        <f t="shared" si="67"/>
        <v>echo {"issue":{"subject":"","project_id":79,"tracker_id":40,"status_id":1,"priority_id":2,"assigned_to_id":23,"start_date":"2017-01-06","description":"","custom_fields":[{"id":1,"name":"Subdivision","value":"NW"},{"id":4,"name":"Milepost","value":"0.0736"},{"id":17,"name":"Train ID","value":"808-06"},{"id":16,"name":"Locomotive ID","value":"4013"},{"id":130,"name":"Impact","value":""},{"id":150,"name":"Time of Event (Mountain Time)","value":"07:56:55"},{"id":151,"name":"Denver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80" t="str">
        <f t="shared" si="68"/>
        <v>start /low /b %USERPROFILE%\Documents\GitHub\eaglep3\Utilities\DownloadLogsFromS3.py --loco 4013 --day 2017-01-06</v>
      </c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4" t="s">
        <v>519</v>
      </c>
      <c r="B167" s="7">
        <v>4042</v>
      </c>
      <c r="C167" s="22" t="s">
        <v>203</v>
      </c>
      <c r="D167" s="22" t="s">
        <v>326</v>
      </c>
      <c r="E167" s="13">
        <v>42741.312060185184</v>
      </c>
      <c r="F167" s="13">
        <v>42741.312708333331</v>
      </c>
      <c r="G167" s="7">
        <v>0</v>
      </c>
      <c r="H167" s="22" t="s">
        <v>787</v>
      </c>
      <c r="I167" s="13">
        <v>42741.336087962962</v>
      </c>
      <c r="J167" s="7">
        <v>0</v>
      </c>
      <c r="K167" s="105" t="str">
        <f t="shared" si="54"/>
        <v>4041/4042</v>
      </c>
      <c r="L167" s="22" t="str">
        <f>VLOOKUP(A167,'Trips&amp;Operators'!$C$1:$G$99999,5,FALSE)</f>
        <v>COMELLA JUSTIN</v>
      </c>
      <c r="M167" s="6">
        <f t="shared" si="55"/>
        <v>2.3379629630653653E-2</v>
      </c>
      <c r="N167" s="7"/>
      <c r="O167" s="7"/>
      <c r="P167" s="7">
        <f t="shared" ref="P167:P172" si="77">24*60*SUM($M167:$M167)</f>
        <v>33.666666668141261</v>
      </c>
      <c r="Q167" s="23"/>
      <c r="R167" s="23" t="s">
        <v>848</v>
      </c>
      <c r="S167" s="32">
        <f t="shared" si="76"/>
        <v>1</v>
      </c>
      <c r="T167" s="47" t="str">
        <f t="shared" si="56"/>
        <v>NorthBound</v>
      </c>
      <c r="U167" s="16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06:29:22-700',mode:absolute,to:'2017-01-06 09:03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67" s="49" t="str">
        <f t="shared" si="58"/>
        <v>Y</v>
      </c>
      <c r="X167" s="173">
        <f t="shared" si="75"/>
        <v>1</v>
      </c>
      <c r="Y167" s="64">
        <f t="shared" si="59"/>
        <v>9.7199999999999995E-2</v>
      </c>
      <c r="Z167" s="64">
        <f t="shared" si="74"/>
        <v>3.9060000000000001</v>
      </c>
      <c r="AA167" s="64">
        <f t="shared" si="61"/>
        <v>3.8088000000000002</v>
      </c>
      <c r="AB167" s="61"/>
      <c r="AC167" s="57"/>
      <c r="AD167" s="58" t="str">
        <f t="shared" si="62"/>
        <v>0809-06</v>
      </c>
      <c r="AE167" s="87" t="str">
        <f t="shared" si="63"/>
        <v>aws s3 cp s3://rtdc.mdm.uploadarchive.raw/RTDC4042/ "%USERPROFILE%\AppData\Local\Temp\OnboardLogs"\RTDC4042\2017-01-06 --exclude "*" --recursive --include "*20170106*" &amp; "%USERPROFILE%\Documents\GitHub\mrs-test-scripts\Headless Mode &amp; Sideloading\WalkAndUnGZ.bat" "%USERPROFILE%\AppData\Local\Temp\OnboardLogs"\RTDC4042\2017-01-06 &amp; 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</v>
      </c>
      <c r="AF167" s="84" t="str">
        <f t="shared" si="64"/>
        <v>"C:\Program Files (x86)\AstroGrep\AstroGrep.exe" /spath="%USERPROFILE%\AppData\Local\Temp\OnboardLogs" /stypes="app*4042*20170106*" /stext=" 15:.+((SYSTEM_STATE.+slice.+state.+changed )|(ment ac)|(multiple cpu faults)|(system.+state.+changed )|(\[timeout)|(PRM\|1\|D)|(kpr)|(kdp)|(\|lc)|(penalty))" /e /r /s</v>
      </c>
      <c r="AG167" s="1" t="str">
        <f t="shared" si="65"/>
        <v>NW</v>
      </c>
      <c r="AH167" s="88" t="str">
        <f t="shared" si="66"/>
        <v>"%USERPROFILE%\Documents\GitHub\eaglep3\Utilities\RefineRTDCRunTimes.py" --tripid 809-06 --locoid 4042 --swversion DE.1.0.8.0 --startMP 204:972 --initTime 2017-01-06T07:29:22 --startdatetime 2017-01-06T07:30:18 --delay 0 --endMP 300:39060 --enddatetime 2017-01-06T08:03:58 --enforcementcount 0 &gt;&gt;C:\Users\stu\Documents\GitHub\eaglep3-reporting\EC\2017-01-06-refined-times.txt</v>
      </c>
      <c r="AI167" s="115" t="str">
        <f t="shared" si="67"/>
        <v>echo {"issue":{"subject":"Broken rail","project_id":79,"tracker_id":40,"status_id":1,"priority_id":2,"assigned_to_id":23,"start_date":"2017-01-06","description":"","custom_fields":[{"id":1,"name":"Subdivision","value":"NW"},{"id":4,"name":"Milepost","value":"3.906"},{"id":17,"name":"Train ID","value":"809-06"},{"id":16,"name":"Locomotive ID","value":"4042"},{"id":130,"name":"Impact","value":""},{"id":150,"name":"Time of Event (Mountain Time)","value":"08:03:58"},{"id":151,"name":"Denver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80" t="str">
        <f t="shared" si="68"/>
        <v>start /low /b %USERPROFILE%\Documents\GitHub\eaglep3\Utilities\DownloadLogsFromS3.py --loco 4042 --day 2017-01-06</v>
      </c>
    </row>
    <row r="168" spans="1:91" x14ac:dyDescent="0.25">
      <c r="A168" s="34" t="s">
        <v>526</v>
      </c>
      <c r="B168" s="7">
        <v>4014</v>
      </c>
      <c r="C168" s="22" t="s">
        <v>203</v>
      </c>
      <c r="D168" s="22" t="s">
        <v>777</v>
      </c>
      <c r="E168" s="13">
        <v>42741.333136574074</v>
      </c>
      <c r="F168" s="13">
        <v>42741.348136574074</v>
      </c>
      <c r="G168" s="7">
        <v>1</v>
      </c>
      <c r="H168" s="22" t="s">
        <v>788</v>
      </c>
      <c r="I168" s="13">
        <v>42741.353518518517</v>
      </c>
      <c r="J168" s="7">
        <v>0</v>
      </c>
      <c r="K168" s="105" t="str">
        <f t="shared" si="54"/>
        <v>4013/4014</v>
      </c>
      <c r="L168" s="22" t="str">
        <f>VLOOKUP(A168,'Trips&amp;Operators'!$C$1:$G$99999,5,FALSE)</f>
        <v>SHOOK JOHN</v>
      </c>
      <c r="M168" s="6">
        <f t="shared" si="55"/>
        <v>5.3819444437976927E-3</v>
      </c>
      <c r="N168" s="7"/>
      <c r="O168" s="7"/>
      <c r="P168" s="7">
        <f t="shared" si="77"/>
        <v>7.7499999990686774</v>
      </c>
      <c r="Q168" s="23"/>
      <c r="R168" s="23" t="s">
        <v>848</v>
      </c>
      <c r="S168" s="32">
        <f t="shared" si="76"/>
        <v>1</v>
      </c>
      <c r="T168" s="47" t="str">
        <f t="shared" si="56"/>
        <v>NorthBound</v>
      </c>
      <c r="U168" s="16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06:59:43-700',mode:absolute,to:'2017-01-06 09:29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8" s="49" t="str">
        <f t="shared" si="58"/>
        <v>Y</v>
      </c>
      <c r="X168" s="173">
        <f t="shared" si="75"/>
        <v>2</v>
      </c>
      <c r="Y168" s="64">
        <f t="shared" si="59"/>
        <v>0.10299999999999999</v>
      </c>
      <c r="Z168" s="64">
        <f t="shared" si="74"/>
        <v>2.7726000000000002</v>
      </c>
      <c r="AA168" s="64">
        <f t="shared" si="61"/>
        <v>2.6696</v>
      </c>
      <c r="AB168" s="61"/>
      <c r="AC168" s="57"/>
      <c r="AD168" s="58" t="str">
        <f t="shared" si="62"/>
        <v>0811-06</v>
      </c>
      <c r="AE168" s="87" t="str">
        <f t="shared" si="63"/>
        <v>aws s3 cp s3://rtdc.mdm.uploadarchive.raw/RTDC4014/ "%USERPROFILE%\AppData\Local\Temp\OnboardLogs"\RTDC4014\2017-01-06 --exclude "*" --recursive --include "*20170106*" &amp; "%USERPROFILE%\Documents\GitHub\mrs-test-scripts\Headless Mode &amp; Sideloading\WalkAndUnGZ.bat" "%USERPROFILE%\AppData\Local\Temp\OnboardLogs"\RTDC4014\2017-01-06 &amp; 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</v>
      </c>
      <c r="AF168" s="84" t="str">
        <f t="shared" si="64"/>
        <v>"C:\Program Files (x86)\AstroGrep\AstroGrep.exe" /spath="%USERPROFILE%\AppData\Local\Temp\OnboardLogs" /stypes="app*4014*20170106*" /stext=" 15:.+((SYSTEM_STATE.+slice.+state.+changed )|(ment ac)|(multiple cpu faults)|(system.+state.+changed )|(\[timeout)|(PRM\|1\|D)|(kpr)|(kdp)|(\|lc)|(penalty))" /e /r /s</v>
      </c>
      <c r="AG168" s="1" t="str">
        <f t="shared" si="65"/>
        <v>NW</v>
      </c>
      <c r="AH168" s="88" t="str">
        <f t="shared" si="66"/>
        <v>"%USERPROFILE%\Documents\GitHub\eaglep3\Utilities\RefineRTDCRunTimes.py" --tripid 811-06 --locoid 4014 --swversion DE.1.0.8.0 --startMP 204:1030 --initTime 2017-01-06T07:59:43 --startdatetime 2017-01-06T08:21:19 --delay 1 --endMP 300:27726 --enddatetime 2017-01-06T08:29:04 --enforcementcount 0 &gt;&gt;C:\Users\stu\Documents\GitHub\eaglep3-reporting\EC\2017-01-06-refined-times.txt</v>
      </c>
      <c r="AI168" s="115" t="str">
        <f t="shared" si="67"/>
        <v>echo {"issue":{"subject":"Broken rail","project_id":79,"tracker_id":40,"status_id":1,"priority_id":2,"assigned_to_id":23,"start_date":"2017-01-06","description":"","custom_fields":[{"id":1,"name":"Subdivision","value":"NW"},{"id":4,"name":"Milepost","value":"2.7726"},{"id":17,"name":"Train ID","value":"811-06"},{"id":16,"name":"Locomotive ID","value":"4014"},{"id":130,"name":"Impact","value":""},{"id":150,"name":"Time of Event (Mountain Time)","value":"08:29:04"},{"id":151,"name":"Denver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80" t="str">
        <f t="shared" si="68"/>
        <v>start /low /b %USERPROFILE%\Documents\GitHub\eaglep3\Utilities\DownloadLogsFromS3.py --loco 4014 --day 2017-01-06</v>
      </c>
    </row>
    <row r="169" spans="1:91" x14ac:dyDescent="0.25">
      <c r="A169" s="34" t="s">
        <v>449</v>
      </c>
      <c r="B169" s="7">
        <v>4013</v>
      </c>
      <c r="C169" s="22" t="s">
        <v>203</v>
      </c>
      <c r="D169" s="22" t="s">
        <v>789</v>
      </c>
      <c r="E169" s="13">
        <v>42741.357025462959</v>
      </c>
      <c r="F169" s="13">
        <v>42741.35900462963</v>
      </c>
      <c r="G169" s="7">
        <v>1</v>
      </c>
      <c r="H169" s="22" t="s">
        <v>663</v>
      </c>
      <c r="I169" s="13">
        <v>42741.368657407409</v>
      </c>
      <c r="J169" s="7">
        <v>0</v>
      </c>
      <c r="K169" s="105" t="str">
        <f t="shared" si="54"/>
        <v>4013/4014</v>
      </c>
      <c r="L169" s="22" t="str">
        <f>VLOOKUP(A169,'Trips&amp;Operators'!$C$1:$G$99999,5,FALSE)</f>
        <v>SHOOK JOHN</v>
      </c>
      <c r="M169" s="6">
        <f t="shared" si="55"/>
        <v>9.6527777786832303E-3</v>
      </c>
      <c r="N169" s="7"/>
      <c r="O169" s="7"/>
      <c r="P169" s="7">
        <f t="shared" si="77"/>
        <v>13.900000001303852</v>
      </c>
      <c r="Q169" s="23"/>
      <c r="R169" s="23" t="s">
        <v>848</v>
      </c>
      <c r="S169" s="32">
        <f t="shared" si="76"/>
        <v>1</v>
      </c>
      <c r="T169" s="47" t="str">
        <f t="shared" si="56"/>
        <v>Southbound</v>
      </c>
      <c r="U169" s="16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07:34:07-700',mode:absolute,to:'2017-01-06 09:50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9" s="49" t="str">
        <f t="shared" si="58"/>
        <v>Y</v>
      </c>
      <c r="X169" s="173">
        <f t="shared" si="75"/>
        <v>1</v>
      </c>
      <c r="Y169" s="64">
        <f t="shared" si="59"/>
        <v>2.7402000000000002</v>
      </c>
      <c r="Z169" s="64">
        <f t="shared" si="74"/>
        <v>7.4300000000000005E-2</v>
      </c>
      <c r="AA169" s="64">
        <f t="shared" si="61"/>
        <v>2.6659000000000002</v>
      </c>
      <c r="AB169" s="61"/>
      <c r="AC169" s="57"/>
      <c r="AD169" s="58" t="str">
        <f t="shared" si="62"/>
        <v>0812-06</v>
      </c>
      <c r="AE169" s="87" t="str">
        <f t="shared" si="63"/>
        <v>aws s3 cp s3://rtdc.mdm.uploadarchive.raw/RTDC4013/ "%USERPROFILE%\AppData\Local\Temp\OnboardLogs"\RTDC4013\2017-01-06 --exclude "*" --recursive --include "*20170106*" &amp; "%USERPROFILE%\Documents\GitHub\mrs-test-scripts\Headless Mode &amp; Sideloading\WalkAndUnGZ.bat" "%USERPROFILE%\AppData\Local\Temp\OnboardLogs"\RTDC4013\2017-01-06 &amp; 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</v>
      </c>
      <c r="AF169" s="84" t="str">
        <f t="shared" si="64"/>
        <v>"C:\Program Files (x86)\AstroGrep\AstroGrep.exe" /spath="%USERPROFILE%\AppData\Local\Temp\OnboardLogs" /stypes="app*4013*20170106*" /stext=" 15:.+((SYSTEM_STATE.+slice.+state.+changed )|(ment ac)|(multiple cpu faults)|(system.+state.+changed )|(\[timeout)|(PRM\|1\|D)|(kpr)|(kdp)|(\|lc)|(penalty))" /e /r /s</v>
      </c>
      <c r="AG169" s="1" t="str">
        <f t="shared" si="65"/>
        <v>NW</v>
      </c>
      <c r="AH169" s="88" t="str">
        <f t="shared" si="66"/>
        <v>"%USERPROFILE%\Documents\GitHub\eaglep3\Utilities\RefineRTDCRunTimes.py" --tripid 812-06 --locoid 4013 --swversion DE.1.0.8.0 --startMP 300:27402 --initTime 2017-01-06T08:34:07 --startdatetime 2017-01-06T08:36:58 --delay 1 --endMP 204:743 --enddatetime 2017-01-06T08:50:52 --enforcementcount 0 &gt;&gt;C:\Users\stu\Documents\GitHub\eaglep3-reporting\EC\2017-01-06-refined-times.txt</v>
      </c>
      <c r="AI169" s="115" t="str">
        <f t="shared" si="67"/>
        <v>echo {"issue":{"subject":"Broken rail","project_id":79,"tracker_id":40,"status_id":1,"priority_id":2,"assigned_to_id":23,"start_date":"2017-01-06","description":"","custom_fields":[{"id":1,"name":"Subdivision","value":"NW"},{"id":4,"name":"Milepost","value":"0.0743"},{"id":17,"name":"Train ID","value":"812-06"},{"id":16,"name":"Locomotive ID","value":"4013"},{"id":130,"name":"Impact","value":""},{"id":150,"name":"Time of Event (Mountain Time)","value":"08:50:52"},{"id":151,"name":"Denver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80" t="str">
        <f t="shared" si="68"/>
        <v>start /low /b %USERPROFILE%\Documents\GitHub\eaglep3\Utilities\DownloadLogsFromS3.py --loco 4013 --day 2017-01-06</v>
      </c>
    </row>
    <row r="170" spans="1:91" x14ac:dyDescent="0.25">
      <c r="A170" s="34" t="s">
        <v>534</v>
      </c>
      <c r="B170" s="7">
        <v>4014</v>
      </c>
      <c r="C170" s="22" t="s">
        <v>203</v>
      </c>
      <c r="D170" s="22" t="s">
        <v>790</v>
      </c>
      <c r="E170" s="13">
        <v>42741.371412037035</v>
      </c>
      <c r="F170" s="13">
        <v>42741.373159722221</v>
      </c>
      <c r="G170" s="7">
        <v>1</v>
      </c>
      <c r="H170" s="22" t="s">
        <v>791</v>
      </c>
      <c r="I170" s="13">
        <v>42741.380439814813</v>
      </c>
      <c r="J170" s="7">
        <v>0</v>
      </c>
      <c r="K170" s="105" t="str">
        <f t="shared" si="54"/>
        <v>4013/4014</v>
      </c>
      <c r="L170" s="22" t="str">
        <f>VLOOKUP(A170,'Trips&amp;Operators'!$C$1:$G$99999,5,FALSE)</f>
        <v>SHOOK JOHN</v>
      </c>
      <c r="M170" s="6">
        <f t="shared" si="55"/>
        <v>7.2800925918272696E-3</v>
      </c>
      <c r="N170" s="7"/>
      <c r="O170" s="7"/>
      <c r="P170" s="7">
        <f t="shared" si="77"/>
        <v>10.483333332231268</v>
      </c>
      <c r="Q170" s="23"/>
      <c r="R170" s="23" t="s">
        <v>848</v>
      </c>
      <c r="S170" s="32">
        <f t="shared" si="76"/>
        <v>1</v>
      </c>
      <c r="T170" s="47" t="str">
        <f t="shared" si="56"/>
        <v>NorthBound</v>
      </c>
      <c r="U170" s="16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07:54:50-700',mode:absolute,to:'2017-01-06 10:07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0" s="49" t="str">
        <f t="shared" si="58"/>
        <v>Y</v>
      </c>
      <c r="X170" s="173">
        <f t="shared" si="75"/>
        <v>1</v>
      </c>
      <c r="Y170" s="64">
        <f t="shared" si="59"/>
        <v>0.1027</v>
      </c>
      <c r="Z170" s="64">
        <f t="shared" si="74"/>
        <v>3.7949000000000002</v>
      </c>
      <c r="AA170" s="64">
        <f t="shared" si="61"/>
        <v>3.6922000000000001</v>
      </c>
      <c r="AB170" s="61"/>
      <c r="AC170" s="57"/>
      <c r="AD170" s="58" t="str">
        <f t="shared" si="62"/>
        <v>0813-06</v>
      </c>
      <c r="AE170" s="87" t="str">
        <f t="shared" si="63"/>
        <v>aws s3 cp s3://rtdc.mdm.uploadarchive.raw/RTDC4014/ "%USERPROFILE%\AppData\Local\Temp\OnboardLogs"\RTDC4014\2017-01-06 --exclude "*" --recursive --include "*20170106*" &amp; "%USERPROFILE%\Documents\GitHub\mrs-test-scripts\Headless Mode &amp; Sideloading\WalkAndUnGZ.bat" "%USERPROFILE%\AppData\Local\Temp\OnboardLogs"\RTDC4014\2017-01-06 &amp; 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</v>
      </c>
      <c r="AF170" s="84" t="str">
        <f t="shared" si="64"/>
        <v>"C:\Program Files (x86)\AstroGrep\AstroGrep.exe" /spath="%USERPROFILE%\AppData\Local\Temp\OnboardLogs" /stypes="app*4014*20170106*" /stext=" 16:.+((SYSTEM_STATE.+slice.+state.+changed )|(ment ac)|(multiple cpu faults)|(system.+state.+changed )|(\[timeout)|(PRM\|1\|D)|(kpr)|(kdp)|(\|lc)|(penalty))" /e /r /s</v>
      </c>
      <c r="AG170" s="1" t="str">
        <f t="shared" si="65"/>
        <v>NW</v>
      </c>
      <c r="AH170" s="88" t="str">
        <f t="shared" si="66"/>
        <v>"%USERPROFILE%\Documents\GitHub\eaglep3\Utilities\RefineRTDCRunTimes.py" --tripid 813-06 --locoid 4014 --swversion DE.1.0.8.0 --startMP 204:1027 --initTime 2017-01-06T08:54:50 --startdatetime 2017-01-06T08:57:21 --delay 1 --endMP 300:37949 --enddatetime 2017-01-06T09:07:50 --enforcementcount 0 &gt;&gt;C:\Users\stu\Documents\GitHub\eaglep3-reporting\EC\2017-01-06-refined-times.txt</v>
      </c>
      <c r="AI170" s="115" t="str">
        <f t="shared" si="67"/>
        <v>echo {"issue":{"subject":"Broken rail","project_id":79,"tracker_id":40,"status_id":1,"priority_id":2,"assigned_to_id":23,"start_date":"2017-01-06","description":"","custom_fields":[{"id":1,"name":"Subdivision","value":"NW"},{"id":4,"name":"Milepost","value":"3.7949"},{"id":17,"name":"Train ID","value":"813-06"},{"id":16,"name":"Locomotive ID","value":"4014"},{"id":130,"name":"Impact","value":""},{"id":150,"name":"Time of Event (Mountain Time)","value":"09:07:50"},{"id":151,"name":"Denver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80" t="str">
        <f t="shared" si="68"/>
        <v>start /low /b %USERPROFILE%\Documents\GitHub\eaglep3\Utilities\DownloadLogsFromS3.py --loco 4014 --day 2017-01-06</v>
      </c>
    </row>
    <row r="171" spans="1:91" x14ac:dyDescent="0.25">
      <c r="A171" s="34" t="s">
        <v>539</v>
      </c>
      <c r="B171" s="7">
        <v>4013</v>
      </c>
      <c r="C171" s="22" t="s">
        <v>203</v>
      </c>
      <c r="D171" s="22" t="s">
        <v>792</v>
      </c>
      <c r="E171" s="13">
        <v>42741.398796296293</v>
      </c>
      <c r="F171" s="13">
        <v>42741.399930555555</v>
      </c>
      <c r="G171" s="7">
        <v>1</v>
      </c>
      <c r="H171" s="22" t="s">
        <v>793</v>
      </c>
      <c r="I171" s="13">
        <v>42741.407569444447</v>
      </c>
      <c r="J171" s="7">
        <v>0</v>
      </c>
      <c r="K171" s="105" t="str">
        <f t="shared" si="54"/>
        <v>4013/4014</v>
      </c>
      <c r="L171" s="22" t="str">
        <f>VLOOKUP(A171,'Trips&amp;Operators'!$C$1:$G$99999,5,FALSE)</f>
        <v>SHOOK JOHN</v>
      </c>
      <c r="M171" s="6">
        <f t="shared" si="55"/>
        <v>7.6388888919609599E-3</v>
      </c>
      <c r="N171" s="7"/>
      <c r="O171" s="7"/>
      <c r="P171" s="7">
        <f t="shared" si="77"/>
        <v>11.000000004423782</v>
      </c>
      <c r="Q171" s="23"/>
      <c r="R171" s="23" t="s">
        <v>848</v>
      </c>
      <c r="S171" s="32">
        <f t="shared" si="76"/>
        <v>1</v>
      </c>
      <c r="T171" s="47" t="str">
        <f t="shared" si="56"/>
        <v>Southbound</v>
      </c>
      <c r="U171" s="16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08:34:16-700',mode:absolute,to:'2017-01-06 10:46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1" s="49" t="str">
        <f t="shared" si="58"/>
        <v>Y</v>
      </c>
      <c r="X171" s="173">
        <f t="shared" si="75"/>
        <v>1</v>
      </c>
      <c r="Y171" s="64">
        <f t="shared" si="59"/>
        <v>3.0491000000000001</v>
      </c>
      <c r="Z171" s="64">
        <f t="shared" si="74"/>
        <v>7.3400000000000007E-2</v>
      </c>
      <c r="AA171" s="64">
        <f t="shared" si="61"/>
        <v>2.9757000000000002</v>
      </c>
      <c r="AB171" s="61"/>
      <c r="AC171" s="57"/>
      <c r="AD171" s="58" t="str">
        <f t="shared" si="62"/>
        <v>0814-06</v>
      </c>
      <c r="AE171" s="87" t="str">
        <f t="shared" si="63"/>
        <v>aws s3 cp s3://rtdc.mdm.uploadarchive.raw/RTDC4013/ "%USERPROFILE%\AppData\Local\Temp\OnboardLogs"\RTDC4013\2017-01-06 --exclude "*" --recursive --include "*20170106*" &amp; "%USERPROFILE%\Documents\GitHub\mrs-test-scripts\Headless Mode &amp; Sideloading\WalkAndUnGZ.bat" "%USERPROFILE%\AppData\Local\Temp\OnboardLogs"\RTDC4013\2017-01-06 &amp; 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</v>
      </c>
      <c r="AF171" s="84" t="str">
        <f t="shared" si="64"/>
        <v>"C:\Program Files (x86)\AstroGrep\AstroGrep.exe" /spath="%USERPROFILE%\AppData\Local\Temp\OnboardLogs" /stypes="app*4013*20170106*" /stext=" 16:.+((SYSTEM_STATE.+slice.+state.+changed )|(ment ac)|(multiple cpu faults)|(system.+state.+changed )|(\[timeout)|(PRM\|1\|D)|(kpr)|(kdp)|(\|lc)|(penalty))" /e /r /s</v>
      </c>
      <c r="AG171" s="1" t="str">
        <f t="shared" si="65"/>
        <v>NW</v>
      </c>
      <c r="AH171" s="88" t="str">
        <f t="shared" si="66"/>
        <v>"%USERPROFILE%\Documents\GitHub\eaglep3\Utilities\RefineRTDCRunTimes.py" --tripid 814-06 --locoid 4013 --swversion DE.1.0.8.0 --startMP 300:30491 --initTime 2017-01-06T09:34:16 --startdatetime 2017-01-06T09:35:54 --delay 1 --endMP 204:734 --enddatetime 2017-01-06T09:46:54 --enforcementcount 0 &gt;&gt;C:\Users\stu\Documents\GitHub\eaglep3-reporting\EC\2017-01-06-refined-times.txt</v>
      </c>
      <c r="AI171" s="115" t="str">
        <f t="shared" si="67"/>
        <v>echo {"issue":{"subject":"Broken rail","project_id":79,"tracker_id":40,"status_id":1,"priority_id":2,"assigned_to_id":23,"start_date":"2017-01-06","description":"","custom_fields":[{"id":1,"name":"Subdivision","value":"NW"},{"id":4,"name":"Milepost","value":"0.0734"},{"id":17,"name":"Train ID","value":"814-06"},{"id":16,"name":"Locomotive ID","value":"4013"},{"id":130,"name":"Impact","value":""},{"id":150,"name":"Time of Event (Mountain Time)","value":"09:46:54"},{"id":151,"name":"Denver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80" t="str">
        <f t="shared" si="68"/>
        <v>start /low /b %USERPROFILE%\Documents\GitHub\eaglep3\Utilities\DownloadLogsFromS3.py --loco 4013 --day 2017-01-06</v>
      </c>
    </row>
    <row r="172" spans="1:91" s="21" customFormat="1" x14ac:dyDescent="0.25">
      <c r="A172" s="34" t="s">
        <v>539</v>
      </c>
      <c r="B172" s="7">
        <v>4013</v>
      </c>
      <c r="C172" s="22" t="s">
        <v>203</v>
      </c>
      <c r="D172" s="22" t="s">
        <v>794</v>
      </c>
      <c r="E172" s="13">
        <v>42741.392974537041</v>
      </c>
      <c r="F172" s="13">
        <v>42741.399930555555</v>
      </c>
      <c r="G172" s="7">
        <v>1</v>
      </c>
      <c r="H172" s="22" t="s">
        <v>795</v>
      </c>
      <c r="I172" s="13">
        <v>42741.407569444447</v>
      </c>
      <c r="J172" s="7">
        <v>0</v>
      </c>
      <c r="K172" s="105" t="str">
        <f t="shared" si="54"/>
        <v>4013/4014</v>
      </c>
      <c r="L172" s="22" t="str">
        <f>VLOOKUP(A172,'Trips&amp;Operators'!$C$1:$G$99999,5,FALSE)</f>
        <v>SHOOK JOHN</v>
      </c>
      <c r="M172" s="6">
        <f t="shared" si="55"/>
        <v>7.6388888919609599E-3</v>
      </c>
      <c r="N172" s="7"/>
      <c r="O172" s="7"/>
      <c r="P172" s="7">
        <f t="shared" si="77"/>
        <v>11.000000004423782</v>
      </c>
      <c r="Q172" s="23"/>
      <c r="R172" s="23" t="s">
        <v>848</v>
      </c>
      <c r="S172" s="32">
        <f t="shared" si="76"/>
        <v>0</v>
      </c>
      <c r="T172" s="47" t="str">
        <f t="shared" si="56"/>
        <v>Southbound</v>
      </c>
      <c r="U172" s="16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0</v>
      </c>
      <c r="V172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08:25:53-700',mode:absolute,to:'2017-01-06 10:46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2" s="49" t="str">
        <f t="shared" si="58"/>
        <v>Y</v>
      </c>
      <c r="X172" s="173">
        <f t="shared" si="75"/>
        <v>0</v>
      </c>
      <c r="Y172" s="64">
        <f t="shared" si="59"/>
        <v>3.7624</v>
      </c>
      <c r="Z172" s="64">
        <f t="shared" si="74"/>
        <v>3.5102000000000002</v>
      </c>
      <c r="AA172" s="64">
        <f t="shared" si="61"/>
        <v>0.25219999999999976</v>
      </c>
      <c r="AB172" s="61"/>
      <c r="AC172" s="57"/>
      <c r="AD172" s="58" t="str">
        <f t="shared" si="62"/>
        <v>0814-06</v>
      </c>
      <c r="AE172" s="87" t="str">
        <f t="shared" si="63"/>
        <v>aws s3 cp s3://rtdc.mdm.uploadarchive.raw/RTDC4013/ "%USERPROFILE%\AppData\Local\Temp\OnboardLogs"\RTDC4013\2017-01-06 --exclude "*" --recursive --include "*20170106*" &amp; "%USERPROFILE%\Documents\GitHub\mrs-test-scripts\Headless Mode &amp; Sideloading\WalkAndUnGZ.bat" "%USERPROFILE%\AppData\Local\Temp\OnboardLogs"\RTDC4013\2017-01-06 &amp; 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</v>
      </c>
      <c r="AF172" s="84" t="str">
        <f t="shared" si="64"/>
        <v>"C:\Program Files (x86)\AstroGrep\AstroGrep.exe" /spath="%USERPROFILE%\AppData\Local\Temp\OnboardLogs" /stypes="app*4013*20170106*" /stext=" 16:.+((SYSTEM_STATE.+slice.+state.+changed )|(ment ac)|(multiple cpu faults)|(system.+state.+changed )|(\[timeout)|(PRM\|1\|D)|(kpr)|(kdp)|(\|lc)|(penalty))" /e /r /s</v>
      </c>
      <c r="AG172" s="1" t="str">
        <f t="shared" si="65"/>
        <v>NW</v>
      </c>
      <c r="AH172" s="88" t="str">
        <f t="shared" si="66"/>
        <v>"%USERPROFILE%\Documents\GitHub\eaglep3\Utilities\RefineRTDCRunTimes.py" --tripid 814-06 --locoid 4013 --swversion DE.1.0.8.0 --startMP 300:37624 --initTime 2017-01-06T09:25:53 --startdatetime 2017-01-06T09:35:54 --delay 1 --endMP 300:35102 --enddatetime 2017-01-06T09:46:54 --enforcementcount 0 &gt;&gt;C:\Users\stu\Documents\GitHub\eaglep3-reporting\EC\2017-01-06-refined-times.txt</v>
      </c>
      <c r="AI172" s="115" t="str">
        <f t="shared" si="67"/>
        <v>echo {"issue":{"subject":"Broken rail","project_id":79,"tracker_id":40,"status_id":1,"priority_id":2,"assigned_to_id":23,"start_date":"2017-01-06","description":"","custom_fields":[{"id":1,"name":"Subdivision","value":"NW"},{"id":4,"name":"Milepost","value":"3.5102"},{"id":17,"name":"Train ID","value":"814-06"},{"id":16,"name":"Locomotive ID","value":"4013"},{"id":130,"name":"Impact","value":""},{"id":150,"name":"Time of Event (Mountain Time)","value":"09:46:54"},{"id":151,"name":"Denver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80" t="str">
        <f t="shared" si="68"/>
        <v>start /low /b %USERPROFILE%\Documents\GitHub\eaglep3\Utilities\DownloadLogsFromS3.py --loco 4013 --day 2017-01-06</v>
      </c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4" t="s">
        <v>583</v>
      </c>
      <c r="B173" s="7">
        <v>4014</v>
      </c>
      <c r="C173" s="22" t="s">
        <v>203</v>
      </c>
      <c r="D173" s="22" t="s">
        <v>796</v>
      </c>
      <c r="E173" s="13">
        <v>42741.637303240743</v>
      </c>
      <c r="F173" s="13">
        <v>42741.639861111114</v>
      </c>
      <c r="G173" s="7">
        <v>1</v>
      </c>
      <c r="H173" s="22" t="s">
        <v>436</v>
      </c>
      <c r="I173" s="13">
        <v>42741.650277777779</v>
      </c>
      <c r="J173" s="7">
        <v>0</v>
      </c>
      <c r="K173" s="105" t="str">
        <f t="shared" si="54"/>
        <v>4013/4014</v>
      </c>
      <c r="L173" s="22" t="str">
        <f>VLOOKUP(A173,'Trips&amp;Operators'!$C$1:$G$99999,5,FALSE)</f>
        <v>LEVERE CRAIG</v>
      </c>
      <c r="M173" s="6">
        <f t="shared" si="55"/>
        <v>1.0416666664241347E-2</v>
      </c>
      <c r="N173" s="7">
        <f t="shared" ref="N173:N219" si="78">24*60*SUM($M173:$M173)</f>
        <v>14.99999999650754</v>
      </c>
      <c r="O173" s="7"/>
      <c r="P173" s="7"/>
      <c r="Q173" s="23"/>
      <c r="R173" s="23"/>
      <c r="S173" s="32">
        <f t="shared" si="76"/>
        <v>1</v>
      </c>
      <c r="T173" s="47" t="str">
        <f t="shared" ref="T173:T204" si="79">IF(ISEVEN(LEFT(AD173,4)),"Southbound","NorthBound")</f>
        <v>NorthBound</v>
      </c>
      <c r="U173" s="16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14:17:43-700',mode:absolute,to:'2017-01-06 16:36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3" s="49" t="str">
        <f t="shared" si="58"/>
        <v>N</v>
      </c>
      <c r="X173" s="173">
        <f t="shared" si="75"/>
        <v>11</v>
      </c>
      <c r="Y173" s="64">
        <f t="shared" si="59"/>
        <v>0.10059999999999999</v>
      </c>
      <c r="Z173" s="64">
        <f t="shared" si="74"/>
        <v>5.8973000000000004</v>
      </c>
      <c r="AA173" s="64">
        <f t="shared" si="61"/>
        <v>5.7967000000000004</v>
      </c>
      <c r="AB173" s="61"/>
      <c r="AC173" s="57"/>
      <c r="AD173" s="58" t="str">
        <f t="shared" si="62"/>
        <v>0825-06</v>
      </c>
      <c r="AE173" s="87" t="str">
        <f t="shared" si="63"/>
        <v>aws s3 cp s3://rtdc.mdm.uploadarchive.raw/RTDC4014/ "%USERPROFILE%\AppData\Local\Temp\OnboardLogs"\RTDC4014\2017-01-06 --exclude "*" --recursive --include "*20170106*" &amp; "%USERPROFILE%\Documents\GitHub\mrs-test-scripts\Headless Mode &amp; Sideloading\WalkAndUnGZ.bat" "%USERPROFILE%\AppData\Local\Temp\OnboardLogs"\RTDC4014\2017-01-06 &amp; 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</v>
      </c>
      <c r="AF173" s="84" t="str">
        <f t="shared" si="64"/>
        <v>"C:\Program Files (x86)\AstroGrep\AstroGrep.exe" /spath="%USERPROFILE%\AppData\Local\Temp\OnboardLogs" /stypes="app*4014*20170106*" /stext=" 22:.+((SYSTEM_STATE.+slice.+state.+changed )|(ment ac)|(multiple cpu faults)|(system.+state.+changed )|(\[timeout)|(PRM\|1\|D)|(kpr)|(kdp)|(\|lc)|(penalty))" /e /r /s</v>
      </c>
      <c r="AG173" s="1" t="str">
        <f t="shared" si="65"/>
        <v>NW</v>
      </c>
      <c r="AH173" s="88" t="str">
        <f t="shared" si="66"/>
        <v>"%USERPROFILE%\Documents\GitHub\eaglep3\Utilities\RefineRTDCRunTimes.py" --tripid 825-06 --locoid 4014 --swversion DE.1.0.8.0 --startMP 204:1006 --initTime 2017-01-06T15:17:43 --startdatetime 2017-01-06T15:21:24 --delay 1 --endMP 300:58973 --enddatetime 2017-01-06T15:36:24 --enforcementcount 0 &gt;&gt;C:\Users\stu\Documents\GitHub\eaglep3-reporting\EC\2017-01-06-refined-times.txt</v>
      </c>
      <c r="AI173" s="115" t="str">
        <f t="shared" si="67"/>
        <v>echo {"issue":{"subject":"","project_id":79,"tracker_id":40,"status_id":1,"priority_id":2,"assigned_to_id":23,"start_date":"2017-01-06","description":"","custom_fields":[{"id":1,"name":"Subdivision","value":"NW"},{"id":4,"name":"Milepost","value":"5.8973"},{"id":17,"name":"Train ID","value":"825-06"},{"id":16,"name":"Locomotive ID","value":"4014"},{"id":130,"name":"Impact","value":""},{"id":150,"name":"Time of Event (Mountain Time)","value":"15:36:24"},{"id":151,"name":"Denver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80" t="str">
        <f t="shared" si="68"/>
        <v>start /low /b %USERPROFILE%\Documents\GitHub\eaglep3\Utilities\DownloadLogsFromS3.py --loco 4014 --day 2017-01-06</v>
      </c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4" t="s">
        <v>459</v>
      </c>
      <c r="B174" s="7">
        <v>4013</v>
      </c>
      <c r="C174" s="22" t="s">
        <v>203</v>
      </c>
      <c r="D174" s="22" t="s">
        <v>442</v>
      </c>
      <c r="E174" s="13">
        <v>42741.651226851849</v>
      </c>
      <c r="F174" s="13">
        <v>42741.652800925927</v>
      </c>
      <c r="G174" s="7">
        <v>1</v>
      </c>
      <c r="H174" s="22" t="s">
        <v>797</v>
      </c>
      <c r="I174" s="13">
        <v>42741.664710648147</v>
      </c>
      <c r="J174" s="7">
        <v>0</v>
      </c>
      <c r="K174" s="105" t="str">
        <f t="shared" si="54"/>
        <v>4013/4014</v>
      </c>
      <c r="L174" s="22" t="str">
        <f>VLOOKUP(A174,'Trips&amp;Operators'!$C$1:$G$99999,5,FALSE)</f>
        <v>LEVERE CRAIG</v>
      </c>
      <c r="M174" s="6">
        <f t="shared" si="55"/>
        <v>1.190972221957054E-2</v>
      </c>
      <c r="N174" s="7">
        <f t="shared" si="78"/>
        <v>17.149999996181577</v>
      </c>
      <c r="O174" s="7"/>
      <c r="P174" s="7"/>
      <c r="Q174" s="23"/>
      <c r="R174" s="23"/>
      <c r="S174" s="32">
        <f t="shared" si="76"/>
        <v>1</v>
      </c>
      <c r="T174" s="47" t="str">
        <f t="shared" si="79"/>
        <v>Southbound</v>
      </c>
      <c r="U174" s="16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14:37:46-700',mode:absolute,to:'2017-01-06 16:57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4" s="49" t="str">
        <f t="shared" si="58"/>
        <v>N</v>
      </c>
      <c r="X174" s="173">
        <f t="shared" si="75"/>
        <v>1</v>
      </c>
      <c r="Y174" s="64">
        <f t="shared" si="59"/>
        <v>5.8658000000000001</v>
      </c>
      <c r="Z174" s="64">
        <f t="shared" si="74"/>
        <v>6.9199999999999998E-2</v>
      </c>
      <c r="AA174" s="64">
        <f t="shared" si="61"/>
        <v>5.7965999999999998</v>
      </c>
      <c r="AB174" s="61"/>
      <c r="AC174" s="57"/>
      <c r="AD174" s="58" t="str">
        <f t="shared" si="62"/>
        <v>0826-06</v>
      </c>
      <c r="AE174" s="87" t="str">
        <f t="shared" si="63"/>
        <v>aws s3 cp s3://rtdc.mdm.uploadarchive.raw/RTDC4013/ "%USERPROFILE%\AppData\Local\Temp\OnboardLogs"\RTDC4013\2017-01-06 --exclude "*" --recursive --include "*20170106*" &amp; "%USERPROFILE%\Documents\GitHub\mrs-test-scripts\Headless Mode &amp; Sideloading\WalkAndUnGZ.bat" "%USERPROFILE%\AppData\Local\Temp\OnboardLogs"\RTDC4013\2017-01-06 &amp; 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</v>
      </c>
      <c r="AF174" s="84" t="str">
        <f t="shared" si="64"/>
        <v>"C:\Program Files (x86)\AstroGrep\AstroGrep.exe" /spath="%USERPROFILE%\AppData\Local\Temp\OnboardLogs" /stypes="app*4013*20170106*" /stext=" 22:.+((SYSTEM_STATE.+slice.+state.+changed )|(ment ac)|(multiple cpu faults)|(system.+state.+changed )|(\[timeout)|(PRM\|1\|D)|(kpr)|(kdp)|(\|lc)|(penalty))" /e /r /s</v>
      </c>
      <c r="AG174" s="1" t="str">
        <f t="shared" si="65"/>
        <v>NW</v>
      </c>
      <c r="AH174" s="88" t="str">
        <f t="shared" si="66"/>
        <v>"%USERPROFILE%\Documents\GitHub\eaglep3\Utilities\RefineRTDCRunTimes.py" --tripid 826-06 --locoid 4013 --swversion DE.1.0.8.0 --startMP 300:58658 --initTime 2017-01-06T15:37:46 --startdatetime 2017-01-06T15:40:02 --delay 1 --endMP 204:692 --enddatetime 2017-01-06T15:57:11 --enforcementcount 0 &gt;&gt;C:\Users\stu\Documents\GitHub\eaglep3-reporting\EC\2017-01-06-refined-times.txt</v>
      </c>
      <c r="AI174" s="115" t="str">
        <f t="shared" si="67"/>
        <v>echo {"issue":{"subject":"","project_id":79,"tracker_id":40,"status_id":1,"priority_id":2,"assigned_to_id":23,"start_date":"2017-01-06","description":"","custom_fields":[{"id":1,"name":"Subdivision","value":"NW"},{"id":4,"name":"Milepost","value":"0.0692"},{"id":17,"name":"Train ID","value":"826-06"},{"id":16,"name":"Locomotive ID","value":"4013"},{"id":130,"name":"Impact","value":""},{"id":150,"name":"Time of Event (Mountain Time)","value":"15:57:11"},{"id":151,"name":"Denver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80" t="str">
        <f t="shared" si="68"/>
        <v>start /low /b %USERPROFILE%\Documents\GitHub\eaglep3\Utilities\DownloadLogsFromS3.py --loco 4013 --day 2017-01-06</v>
      </c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4" t="s">
        <v>587</v>
      </c>
      <c r="B175" s="7">
        <v>4042</v>
      </c>
      <c r="C175" s="22" t="s">
        <v>203</v>
      </c>
      <c r="D175" s="22" t="s">
        <v>780</v>
      </c>
      <c r="E175" s="13">
        <v>42741.651469907411</v>
      </c>
      <c r="F175" s="13">
        <v>42741.660624999997</v>
      </c>
      <c r="G175" s="7">
        <v>1</v>
      </c>
      <c r="H175" s="22" t="s">
        <v>798</v>
      </c>
      <c r="I175" s="13">
        <v>42741.671956018516</v>
      </c>
      <c r="J175" s="7">
        <v>0</v>
      </c>
      <c r="K175" s="105" t="str">
        <f t="shared" si="54"/>
        <v>4041/4042</v>
      </c>
      <c r="L175" s="22" t="str">
        <f>VLOOKUP(A175,'Trips&amp;Operators'!$C$1:$G$99999,5,FALSE)</f>
        <v>SMITH MICHAEL</v>
      </c>
      <c r="M175" s="6">
        <f t="shared" si="55"/>
        <v>1.1331018518831115E-2</v>
      </c>
      <c r="N175" s="7">
        <f t="shared" si="78"/>
        <v>16.316666667116806</v>
      </c>
      <c r="O175" s="7"/>
      <c r="P175" s="7"/>
      <c r="Q175" s="23"/>
      <c r="R175" s="23"/>
      <c r="S175" s="32">
        <f t="shared" si="76"/>
        <v>1</v>
      </c>
      <c r="T175" s="47" t="str">
        <f t="shared" si="79"/>
        <v>NorthBound</v>
      </c>
      <c r="U175" s="16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14:38:07-700',mode:absolute,to:'2017-01-06 17:07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5" s="49" t="str">
        <f t="shared" si="58"/>
        <v>N</v>
      </c>
      <c r="X175" s="173">
        <f t="shared" si="75"/>
        <v>1</v>
      </c>
      <c r="Y175" s="64">
        <f t="shared" si="59"/>
        <v>9.8100000000000007E-2</v>
      </c>
      <c r="Z175" s="64">
        <f t="shared" si="74"/>
        <v>5.8912000000000004</v>
      </c>
      <c r="AA175" s="64">
        <f t="shared" si="61"/>
        <v>5.7931000000000008</v>
      </c>
      <c r="AB175" s="61"/>
      <c r="AC175" s="57"/>
      <c r="AD175" s="58" t="str">
        <f t="shared" si="62"/>
        <v>0827-06</v>
      </c>
      <c r="AE175" s="87" t="str">
        <f t="shared" si="63"/>
        <v>aws s3 cp s3://rtdc.mdm.uploadarchive.raw/RTDC4042/ "%USERPROFILE%\AppData\Local\Temp\OnboardLogs"\RTDC4042\2017-01-06 --exclude "*" --recursive --include "*20170106*" &amp; "%USERPROFILE%\Documents\GitHub\mrs-test-scripts\Headless Mode &amp; Sideloading\WalkAndUnGZ.bat" "%USERPROFILE%\AppData\Local\Temp\OnboardLogs"\RTDC4042\2017-01-06 &amp; 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</v>
      </c>
      <c r="AF175" s="84" t="str">
        <f t="shared" si="64"/>
        <v>"C:\Program Files (x86)\AstroGrep\AstroGrep.exe" /spath="%USERPROFILE%\AppData\Local\Temp\OnboardLogs" /stypes="app*4042*20170106*" /stext=" 23:.+((SYSTEM_STATE.+slice.+state.+changed )|(ment ac)|(multiple cpu faults)|(system.+state.+changed )|(\[timeout)|(PRM\|1\|D)|(kpr)|(kdp)|(\|lc)|(penalty))" /e /r /s</v>
      </c>
      <c r="AG175" s="1" t="str">
        <f t="shared" si="65"/>
        <v>NW</v>
      </c>
      <c r="AH175" s="88" t="str">
        <f t="shared" si="66"/>
        <v>"%USERPROFILE%\Documents\GitHub\eaglep3\Utilities\RefineRTDCRunTimes.py" --tripid 827-06 --locoid 4042 --swversion DE.1.0.8.0 --startMP 204:981 --initTime 2017-01-06T15:38:07 --startdatetime 2017-01-06T15:51:18 --delay 1 --endMP 300:58912 --enddatetime 2017-01-06T16:07:37 --enforcementcount 0 &gt;&gt;C:\Users\stu\Documents\GitHub\eaglep3-reporting\EC\2017-01-06-refined-times.txt</v>
      </c>
      <c r="AI175" s="115" t="str">
        <f t="shared" si="67"/>
        <v>echo {"issue":{"subject":"","project_id":79,"tracker_id":40,"status_id":1,"priority_id":2,"assigned_to_id":23,"start_date":"2017-01-06","description":"","custom_fields":[{"id":1,"name":"Subdivision","value":"NW"},{"id":4,"name":"Milepost","value":"5.8912"},{"id":17,"name":"Train ID","value":"827-06"},{"id":16,"name":"Locomotive ID","value":"4042"},{"id":130,"name":"Impact","value":""},{"id":150,"name":"Time of Event (Mountain Time)","value":"16:07:37"},{"id":151,"name":"Denver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80" t="str">
        <f t="shared" si="68"/>
        <v>start /low /b %USERPROFILE%\Documents\GitHub\eaglep3\Utilities\DownloadLogsFromS3.py --loco 4042 --day 2017-01-06</v>
      </c>
    </row>
    <row r="176" spans="1:91" x14ac:dyDescent="0.25">
      <c r="A176" s="34" t="s">
        <v>592</v>
      </c>
      <c r="B176" s="7">
        <v>4041</v>
      </c>
      <c r="C176" s="22" t="s">
        <v>203</v>
      </c>
      <c r="D176" s="22" t="s">
        <v>327</v>
      </c>
      <c r="E176" s="13">
        <v>42741.673252314817</v>
      </c>
      <c r="F176" s="13">
        <v>42741.674791666665</v>
      </c>
      <c r="G176" s="7">
        <v>1</v>
      </c>
      <c r="H176" s="22" t="s">
        <v>799</v>
      </c>
      <c r="I176" s="13">
        <v>42741.685694444444</v>
      </c>
      <c r="J176" s="7">
        <v>0</v>
      </c>
      <c r="K176" s="105" t="str">
        <f t="shared" si="54"/>
        <v>4041/4042</v>
      </c>
      <c r="L176" s="22" t="str">
        <f>VLOOKUP(A176,'Trips&amp;Operators'!$C$1:$G$99999,5,FALSE)</f>
        <v>SMITH MICHAEL</v>
      </c>
      <c r="M176" s="6">
        <f t="shared" si="55"/>
        <v>1.0902777779847383E-2</v>
      </c>
      <c r="N176" s="7">
        <f t="shared" si="78"/>
        <v>15.700000002980232</v>
      </c>
      <c r="O176" s="7"/>
      <c r="P176" s="7"/>
      <c r="Q176" s="23"/>
      <c r="R176" s="23"/>
      <c r="S176" s="32">
        <f t="shared" si="76"/>
        <v>1</v>
      </c>
      <c r="T176" s="47" t="str">
        <f t="shared" si="79"/>
        <v>Southbound</v>
      </c>
      <c r="U176" s="16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15:09:29-700',mode:absolute,to:'2017-01-06 17:27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6" s="49" t="str">
        <f t="shared" si="58"/>
        <v>N</v>
      </c>
      <c r="X176" s="173">
        <f t="shared" si="75"/>
        <v>1</v>
      </c>
      <c r="Y176" s="64">
        <f t="shared" si="59"/>
        <v>5.8604000000000003</v>
      </c>
      <c r="Z176" s="64">
        <f t="shared" si="74"/>
        <v>7.0300000000000001E-2</v>
      </c>
      <c r="AA176" s="64">
        <f t="shared" si="61"/>
        <v>5.7901000000000007</v>
      </c>
      <c r="AB176" s="61"/>
      <c r="AC176" s="57"/>
      <c r="AD176" s="58" t="str">
        <f t="shared" si="62"/>
        <v>0828-06</v>
      </c>
      <c r="AE176" s="87" t="str">
        <f t="shared" si="63"/>
        <v>aws s3 cp s3://rtdc.mdm.uploadarchive.raw/RTDC4041/ "%USERPROFILE%\AppData\Local\Temp\OnboardLogs"\RTDC4041\2017-01-06 --exclude "*" --recursive --include "*20170106*" &amp; "%USERPROFILE%\Documents\GitHub\mrs-test-scripts\Headless Mode &amp; Sideloading\WalkAndUnGZ.bat" "%USERPROFILE%\AppData\Local\Temp\OnboardLogs"\RTDC4041\2017-01-06 &amp; 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</v>
      </c>
      <c r="AF176" s="84" t="str">
        <f t="shared" si="64"/>
        <v>"C:\Program Files (x86)\AstroGrep\AstroGrep.exe" /spath="%USERPROFILE%\AppData\Local\Temp\OnboardLogs" /stypes="app*4041*20170106*" /stext=" 23:.+((SYSTEM_STATE.+slice.+state.+changed )|(ment ac)|(multiple cpu faults)|(system.+state.+changed )|(\[timeout)|(PRM\|1\|D)|(kpr)|(kdp)|(\|lc)|(penalty))" /e /r /s</v>
      </c>
      <c r="AG176" s="1" t="str">
        <f t="shared" si="65"/>
        <v>NW</v>
      </c>
      <c r="AH176" s="88" t="str">
        <f t="shared" si="66"/>
        <v>"%USERPROFILE%\Documents\GitHub\eaglep3\Utilities\RefineRTDCRunTimes.py" --tripid 828-06 --locoid 4041 --swversion DE.1.0.8.0 --startMP 300:58604 --initTime 2017-01-06T16:09:29 --startdatetime 2017-01-06T16:11:42 --delay 1 --endMP 204:703 --enddatetime 2017-01-06T16:27:24 --enforcementcount 0 &gt;&gt;C:\Users\stu\Documents\GitHub\eaglep3-reporting\EC\2017-01-06-refined-times.txt</v>
      </c>
      <c r="AI176" s="115" t="str">
        <f t="shared" si="67"/>
        <v>echo {"issue":{"subject":"","project_id":79,"tracker_id":40,"status_id":1,"priority_id":2,"assigned_to_id":23,"start_date":"2017-01-06","description":"","custom_fields":[{"id":1,"name":"Subdivision","value":"NW"},{"id":4,"name":"Milepost","value":"0.0703"},{"id":17,"name":"Train ID","value":"828-06"},{"id":16,"name":"Locomotive ID","value":"4041"},{"id":130,"name":"Impact","value":""},{"id":150,"name":"Time of Event (Mountain Time)","value":"16:27:24"},{"id":151,"name":"Denver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80" t="str">
        <f t="shared" si="68"/>
        <v>start /low /b %USERPROFILE%\Documents\GitHub\eaglep3\Utilities\DownloadLogsFromS3.py --loco 4041 --day 2017-01-06</v>
      </c>
    </row>
    <row r="177" spans="1:91" x14ac:dyDescent="0.25">
      <c r="A177" s="34" t="s">
        <v>590</v>
      </c>
      <c r="B177" s="7">
        <v>4014</v>
      </c>
      <c r="C177" s="22" t="s">
        <v>203</v>
      </c>
      <c r="D177" s="22" t="s">
        <v>775</v>
      </c>
      <c r="E177" s="13">
        <v>42741.66783564815</v>
      </c>
      <c r="F177" s="13">
        <v>42741.681458333333</v>
      </c>
      <c r="G177" s="7">
        <v>1</v>
      </c>
      <c r="H177" s="22" t="s">
        <v>800</v>
      </c>
      <c r="I177" s="13">
        <v>42741.691655092596</v>
      </c>
      <c r="J177" s="7">
        <v>0</v>
      </c>
      <c r="K177" s="105" t="str">
        <f t="shared" si="54"/>
        <v>4013/4014</v>
      </c>
      <c r="L177" s="22" t="str">
        <f>VLOOKUP(A177,'Trips&amp;Operators'!$C$1:$G$99999,5,FALSE)</f>
        <v>LEVERE CRAIG</v>
      </c>
      <c r="M177" s="6">
        <f t="shared" si="55"/>
        <v>1.0196759263635613E-2</v>
      </c>
      <c r="N177" s="7">
        <f t="shared" si="78"/>
        <v>14.683333339635283</v>
      </c>
      <c r="O177" s="7"/>
      <c r="P177" s="7"/>
      <c r="Q177" s="23"/>
      <c r="R177" s="23"/>
      <c r="S177" s="32">
        <f t="shared" si="76"/>
        <v>1</v>
      </c>
      <c r="T177" s="47" t="str">
        <f t="shared" si="79"/>
        <v>NorthBound</v>
      </c>
      <c r="U177" s="16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15:01:41-700',mode:absolute,to:'2017-01-06 17:35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7" s="49" t="str">
        <f t="shared" si="58"/>
        <v>N</v>
      </c>
      <c r="X177" s="173">
        <f t="shared" si="75"/>
        <v>1</v>
      </c>
      <c r="Y177" s="64">
        <f t="shared" si="59"/>
        <v>9.9000000000000005E-2</v>
      </c>
      <c r="Z177" s="64">
        <f t="shared" si="74"/>
        <v>5.8971</v>
      </c>
      <c r="AA177" s="64">
        <f t="shared" si="61"/>
        <v>5.7980999999999998</v>
      </c>
      <c r="AB177" s="61"/>
      <c r="AC177" s="57"/>
      <c r="AD177" s="58" t="str">
        <f t="shared" si="62"/>
        <v>0829-06</v>
      </c>
      <c r="AE177" s="87" t="str">
        <f t="shared" si="63"/>
        <v>aws s3 cp s3://rtdc.mdm.uploadarchive.raw/RTDC4014/ "%USERPROFILE%\AppData\Local\Temp\OnboardLogs"\RTDC4014\2017-01-06 --exclude "*" --recursive --include "*20170106*" &amp; "%USERPROFILE%\Documents\GitHub\mrs-test-scripts\Headless Mode &amp; Sideloading\WalkAndUnGZ.bat" "%USERPROFILE%\AppData\Local\Temp\OnboardLogs"\RTDC4014\2017-01-06 &amp; 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</v>
      </c>
      <c r="AF177" s="84" t="str">
        <f t="shared" si="64"/>
        <v>"C:\Program Files (x86)\AstroGrep\AstroGrep.exe" /spath="%USERPROFILE%\AppData\Local\Temp\OnboardLogs" /stypes="app*4014*20170106*" /stext=" 23:.+((SYSTEM_STATE.+slice.+state.+changed )|(ment ac)|(multiple cpu faults)|(system.+state.+changed )|(\[timeout)|(PRM\|1\|D)|(kpr)|(kdp)|(\|lc)|(penalty))" /e /r /s</v>
      </c>
      <c r="AG177" s="1" t="str">
        <f t="shared" si="65"/>
        <v>NW</v>
      </c>
      <c r="AH177" s="88" t="str">
        <f t="shared" si="66"/>
        <v>"%USERPROFILE%\Documents\GitHub\eaglep3\Utilities\RefineRTDCRunTimes.py" --tripid 829-06 --locoid 4014 --swversion DE.1.0.8.0 --startMP 204:990 --initTime 2017-01-06T16:01:41 --startdatetime 2017-01-06T16:21:18 --delay 1 --endMP 300:58971 --enddatetime 2017-01-06T16:35:59 --enforcementcount 0 &gt;&gt;C:\Users\stu\Documents\GitHub\eaglep3-reporting\EC\2017-01-06-refined-times.txt</v>
      </c>
      <c r="AI177" s="115" t="str">
        <f t="shared" si="67"/>
        <v>echo {"issue":{"subject":"","project_id":79,"tracker_id":40,"status_id":1,"priority_id":2,"assigned_to_id":23,"start_date":"2017-01-06","description":"","custom_fields":[{"id":1,"name":"Subdivision","value":"NW"},{"id":4,"name":"Milepost","value":"5.8971"},{"id":17,"name":"Train ID","value":"829-06"},{"id":16,"name":"Locomotive ID","value":"4014"},{"id":130,"name":"Impact","value":""},{"id":150,"name":"Time of Event (Mountain Time)","value":"16:35:59"},{"id":151,"name":"Denver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80" t="str">
        <f t="shared" si="68"/>
        <v>start /low /b %USERPROFILE%\Documents\GitHub\eaglep3\Utilities\DownloadLogsFromS3.py --loco 4014 --day 2017-01-06</v>
      </c>
    </row>
    <row r="178" spans="1:91" x14ac:dyDescent="0.25">
      <c r="A178" s="34" t="s">
        <v>597</v>
      </c>
      <c r="B178" s="7">
        <v>4013</v>
      </c>
      <c r="C178" s="22" t="s">
        <v>203</v>
      </c>
      <c r="D178" s="22" t="s">
        <v>801</v>
      </c>
      <c r="E178" s="13">
        <v>42741.692465277774</v>
      </c>
      <c r="F178" s="13">
        <v>42741.693692129629</v>
      </c>
      <c r="G178" s="7">
        <v>0</v>
      </c>
      <c r="H178" s="22" t="s">
        <v>802</v>
      </c>
      <c r="I178" s="13">
        <v>42741.706226851849</v>
      </c>
      <c r="J178" s="7">
        <v>0</v>
      </c>
      <c r="K178" s="105" t="str">
        <f t="shared" si="54"/>
        <v>4013/4014</v>
      </c>
      <c r="L178" s="22" t="str">
        <f>VLOOKUP(A178,'Trips&amp;Operators'!$C$1:$G$99999,5,FALSE)</f>
        <v>LEVERE CRAIG</v>
      </c>
      <c r="M178" s="6">
        <f t="shared" si="55"/>
        <v>1.2534722220152617E-2</v>
      </c>
      <c r="N178" s="7">
        <f t="shared" si="78"/>
        <v>18.049999997019768</v>
      </c>
      <c r="O178" s="7"/>
      <c r="P178" s="7"/>
      <c r="Q178" s="23"/>
      <c r="R178" s="23"/>
      <c r="S178" s="32">
        <f t="shared" si="76"/>
        <v>1</v>
      </c>
      <c r="T178" s="47" t="str">
        <f t="shared" si="79"/>
        <v>Southbound</v>
      </c>
      <c r="U178" s="16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15:37:09-700',mode:absolute,to:'2017-01-06 17:56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8" s="49" t="str">
        <f t="shared" si="58"/>
        <v>N</v>
      </c>
      <c r="X178" s="173">
        <f t="shared" si="75"/>
        <v>1</v>
      </c>
      <c r="Y178" s="64">
        <f t="shared" si="59"/>
        <v>5.8659999999999997</v>
      </c>
      <c r="Z178" s="64">
        <f t="shared" si="74"/>
        <v>6.6799999999999998E-2</v>
      </c>
      <c r="AA178" s="64">
        <f t="shared" si="61"/>
        <v>5.7991999999999999</v>
      </c>
      <c r="AB178" s="61"/>
      <c r="AC178" s="57"/>
      <c r="AD178" s="58" t="str">
        <f t="shared" si="62"/>
        <v>0830-06</v>
      </c>
      <c r="AE178" s="87" t="str">
        <f t="shared" si="63"/>
        <v>aws s3 cp s3://rtdc.mdm.uploadarchive.raw/RTDC4013/ "%USERPROFILE%\AppData\Local\Temp\OnboardLogs"\RTDC4013\2017-01-06 --exclude "*" --recursive --include "*20170106*" &amp; "%USERPROFILE%\Documents\GitHub\mrs-test-scripts\Headless Mode &amp; Sideloading\WalkAndUnGZ.bat" "%USERPROFILE%\AppData\Local\Temp\OnboardLogs"\RTDC4013\2017-01-06 &amp; 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</v>
      </c>
      <c r="AF178" s="84" t="str">
        <f t="shared" si="64"/>
        <v>"C:\Program Files (x86)\AstroGrep\AstroGrep.exe" /spath="%USERPROFILE%\AppData\Local\Temp\OnboardLogs" /stypes="app*4013*20170106*" /stext=" 23:.+((SYSTEM_STATE.+slice.+state.+changed )|(ment ac)|(multiple cpu faults)|(system.+state.+changed )|(\[timeout)|(PRM\|1\|D)|(kpr)|(kdp)|(\|lc)|(penalty))" /e /r /s</v>
      </c>
      <c r="AG178" s="1" t="str">
        <f t="shared" si="65"/>
        <v>NW</v>
      </c>
      <c r="AH178" s="88" t="str">
        <f t="shared" si="66"/>
        <v>"%USERPROFILE%\Documents\GitHub\eaglep3\Utilities\RefineRTDCRunTimes.py" --tripid 830-06 --locoid 4013 --swversion DE.1.0.8.0 --startMP 300:58660 --initTime 2017-01-06T16:37:09 --startdatetime 2017-01-06T16:38:55 --delay 0 --endMP 204:668 --enddatetime 2017-01-06T16:56:58 --enforcementcount 0 &gt;&gt;C:\Users\stu\Documents\GitHub\eaglep3-reporting\EC\2017-01-06-refined-times.txt</v>
      </c>
      <c r="AI178" s="115" t="str">
        <f t="shared" si="67"/>
        <v>echo {"issue":{"subject":"","project_id":79,"tracker_id":40,"status_id":1,"priority_id":2,"assigned_to_id":23,"start_date":"2017-01-06","description":"","custom_fields":[{"id":1,"name":"Subdivision","value":"NW"},{"id":4,"name":"Milepost","value":"0.0668"},{"id":17,"name":"Train ID","value":"830-06"},{"id":16,"name":"Locomotive ID","value":"4013"},{"id":130,"name":"Impact","value":""},{"id":150,"name":"Time of Event (Mountain Time)","value":"16:56:58"},{"id":151,"name":"Denver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80" t="str">
        <f t="shared" si="68"/>
        <v>start /low /b %USERPROFILE%\Documents\GitHub\eaglep3\Utilities\DownloadLogsFromS3.py --loco 4013 --day 2017-01-06</v>
      </c>
    </row>
    <row r="179" spans="1:91" x14ac:dyDescent="0.25">
      <c r="A179" s="34" t="s">
        <v>460</v>
      </c>
      <c r="B179" s="7">
        <v>4042</v>
      </c>
      <c r="C179" s="22" t="s">
        <v>203</v>
      </c>
      <c r="D179" s="22" t="s">
        <v>803</v>
      </c>
      <c r="E179" s="13">
        <v>42741.687719907408</v>
      </c>
      <c r="F179" s="13">
        <v>42741.702268518522</v>
      </c>
      <c r="G179" s="7">
        <v>1</v>
      </c>
      <c r="H179" s="22" t="s">
        <v>433</v>
      </c>
      <c r="I179" s="13">
        <v>42741.714050925926</v>
      </c>
      <c r="J179" s="7">
        <v>0</v>
      </c>
      <c r="K179" s="105" t="str">
        <f t="shared" si="54"/>
        <v>4041/4042</v>
      </c>
      <c r="L179" s="22" t="str">
        <f>VLOOKUP(A179,'Trips&amp;Operators'!$C$1:$G$99999,5,FALSE)</f>
        <v>SMITH MICHAEL</v>
      </c>
      <c r="M179" s="6">
        <f t="shared" si="55"/>
        <v>1.1782407404098194E-2</v>
      </c>
      <c r="N179" s="7">
        <f t="shared" si="78"/>
        <v>16.966666661901399</v>
      </c>
      <c r="O179" s="7"/>
      <c r="P179" s="7"/>
      <c r="Q179" s="23"/>
      <c r="R179" s="23"/>
      <c r="S179" s="32">
        <f t="shared" si="76"/>
        <v>1</v>
      </c>
      <c r="T179" s="47" t="str">
        <f t="shared" si="79"/>
        <v>NorthBound</v>
      </c>
      <c r="U179" s="16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15:30:19-700',mode:absolute,to:'2017-01-06 18:08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9" s="49" t="str">
        <f t="shared" si="58"/>
        <v>N</v>
      </c>
      <c r="X179" s="173">
        <f t="shared" si="75"/>
        <v>1</v>
      </c>
      <c r="Y179" s="64">
        <f t="shared" si="59"/>
        <v>9.8500000000000004E-2</v>
      </c>
      <c r="Z179" s="64">
        <f t="shared" si="74"/>
        <v>5.8935000000000004</v>
      </c>
      <c r="AA179" s="64">
        <f t="shared" si="61"/>
        <v>5.7950000000000008</v>
      </c>
      <c r="AB179" s="61"/>
      <c r="AC179" s="57"/>
      <c r="AD179" s="58" t="str">
        <f t="shared" si="62"/>
        <v>0831-06</v>
      </c>
      <c r="AE179" s="87" t="str">
        <f t="shared" si="63"/>
        <v>aws s3 cp s3://rtdc.mdm.uploadarchive.raw/RTDC4042/ "%USERPROFILE%\AppData\Local\Temp\OnboardLogs"\RTDC4042\2017-01-06 --exclude "*" --recursive --include "*20170106*" &amp; "%USERPROFILE%\Documents\GitHub\mrs-test-scripts\Headless Mode &amp; Sideloading\WalkAndUnGZ.bat" "%USERPROFILE%\AppData\Local\Temp\OnboardLogs"\RTDC4042\2017-01-06 &amp; 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</v>
      </c>
      <c r="AF179" s="84" t="str">
        <f t="shared" si="64"/>
        <v>"C:\Program Files (x86)\AstroGrep\AstroGrep.exe" /spath="%USERPROFILE%\AppData\Local\Temp\OnboardLogs" /stypes="app*4042*20170107*" /stext=" 00:.+((SYSTEM_STATE.+slice.+state.+changed )|(ment ac)|(multiple cpu faults)|(system.+state.+changed )|(\[timeout)|(PRM\|1\|D)|(kpr)|(kdp)|(\|lc)|(penalty))" /e /r /s</v>
      </c>
      <c r="AG179" s="1" t="str">
        <f t="shared" si="65"/>
        <v>NW</v>
      </c>
      <c r="AH179" s="88" t="str">
        <f t="shared" si="66"/>
        <v>"%USERPROFILE%\Documents\GitHub\eaglep3\Utilities\RefineRTDCRunTimes.py" --tripid 831-06 --locoid 4042 --swversion DE.1.0.8.0 --startMP 204:985 --initTime 2017-01-06T16:30:19 --startdatetime 2017-01-06T16:51:16 --delay 1 --endMP 300:58935 --enddatetime 2017-01-06T17:08:14 --enforcementcount 0 &gt;&gt;C:\Users\stu\Documents\GitHub\eaglep3-reporting\EC\2017-01-06-refined-times.txt</v>
      </c>
      <c r="AI179" s="115" t="str">
        <f t="shared" si="67"/>
        <v>echo {"issue":{"subject":"","project_id":79,"tracker_id":40,"status_id":1,"priority_id":2,"assigned_to_id":23,"start_date":"2017-01-06","description":"","custom_fields":[{"id":1,"name":"Subdivision","value":"NW"},{"id":4,"name":"Milepost","value":"5.8935"},{"id":17,"name":"Train ID","value":"831-06"},{"id":16,"name":"Locomotive ID","value":"4042"},{"id":130,"name":"Impact","value":""},{"id":150,"name":"Time of Event (Mountain Time)","value":"17:08:14"},{"id":151,"name":"Denver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80" t="str">
        <f t="shared" si="68"/>
        <v>start /low /b %USERPROFILE%\Documents\GitHub\eaglep3\Utilities\DownloadLogsFromS3.py --loco 4042 --day 2017-01-06</v>
      </c>
    </row>
    <row r="180" spans="1:91" x14ac:dyDescent="0.25">
      <c r="A180" s="34" t="s">
        <v>601</v>
      </c>
      <c r="B180" s="7">
        <v>4041</v>
      </c>
      <c r="C180" s="22" t="s">
        <v>203</v>
      </c>
      <c r="D180" s="22" t="s">
        <v>345</v>
      </c>
      <c r="E180" s="13">
        <v>42741.715092592596</v>
      </c>
      <c r="F180" s="13">
        <v>42741.716527777775</v>
      </c>
      <c r="G180" s="7">
        <v>1</v>
      </c>
      <c r="H180" s="22" t="s">
        <v>444</v>
      </c>
      <c r="I180" s="13">
        <v>42741.727164351854</v>
      </c>
      <c r="J180" s="7">
        <v>0</v>
      </c>
      <c r="K180" s="105" t="str">
        <f t="shared" si="54"/>
        <v>4041/4042</v>
      </c>
      <c r="L180" s="22" t="str">
        <f>VLOOKUP(A180,'Trips&amp;Operators'!$C$1:$G$99999,5,FALSE)</f>
        <v>SMITH MICHAEL</v>
      </c>
      <c r="M180" s="6">
        <f t="shared" si="55"/>
        <v>1.0636574079398997E-2</v>
      </c>
      <c r="N180" s="7">
        <f t="shared" si="78"/>
        <v>15.316666674334556</v>
      </c>
      <c r="O180" s="7"/>
      <c r="P180" s="7"/>
      <c r="Q180" s="23"/>
      <c r="R180" s="23"/>
      <c r="S180" s="32">
        <f t="shared" si="76"/>
        <v>1</v>
      </c>
      <c r="T180" s="47" t="str">
        <f t="shared" si="79"/>
        <v>Southbound</v>
      </c>
      <c r="U180" s="16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16:09:44-700',mode:absolute,to:'2017-01-06 18:27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0" s="49" t="str">
        <f t="shared" si="58"/>
        <v>N</v>
      </c>
      <c r="X180" s="173">
        <f t="shared" si="75"/>
        <v>1</v>
      </c>
      <c r="Y180" s="64">
        <f t="shared" si="59"/>
        <v>5.8619000000000003</v>
      </c>
      <c r="Z180" s="64">
        <f t="shared" ref="Z180:Z211" si="80">RIGHT(H180,LEN(H180)-4)/10000</f>
        <v>6.8500000000000005E-2</v>
      </c>
      <c r="AA180" s="64">
        <f t="shared" si="61"/>
        <v>5.7934000000000001</v>
      </c>
      <c r="AB180" s="61"/>
      <c r="AC180" s="57"/>
      <c r="AD180" s="58" t="str">
        <f t="shared" si="62"/>
        <v>0832-06</v>
      </c>
      <c r="AE180" s="87" t="str">
        <f t="shared" si="63"/>
        <v>aws s3 cp s3://rtdc.mdm.uploadarchive.raw/RTDC4041/ "%USERPROFILE%\AppData\Local\Temp\OnboardLogs"\RTDC4041\2017-01-06 --exclude "*" --recursive --include "*20170106*" &amp; "%USERPROFILE%\Documents\GitHub\mrs-test-scripts\Headless Mode &amp; Sideloading\WalkAndUnGZ.bat" "%USERPROFILE%\AppData\Local\Temp\OnboardLogs"\RTDC4041\2017-01-06 &amp; 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</v>
      </c>
      <c r="AF180" s="84" t="str">
        <f t="shared" si="64"/>
        <v>"C:\Program Files (x86)\AstroGrep\AstroGrep.exe" /spath="%USERPROFILE%\AppData\Local\Temp\OnboardLogs" /stypes="app*4041*20170107*" /stext=" 00:.+((SYSTEM_STATE.+slice.+state.+changed )|(ment ac)|(multiple cpu faults)|(system.+state.+changed )|(\[timeout)|(PRM\|1\|D)|(kpr)|(kdp)|(\|lc)|(penalty))" /e /r /s</v>
      </c>
      <c r="AG180" s="1" t="str">
        <f t="shared" si="65"/>
        <v>NW</v>
      </c>
      <c r="AH180" s="88" t="str">
        <f t="shared" si="66"/>
        <v>"%USERPROFILE%\Documents\GitHub\eaglep3\Utilities\RefineRTDCRunTimes.py" --tripid 832-06 --locoid 4041 --swversion DE.1.0.8.0 --startMP 300:58619 --initTime 2017-01-06T17:09:44 --startdatetime 2017-01-06T17:11:48 --delay 1 --endMP 204:685 --enddatetime 2017-01-06T17:27:07 --enforcementcount 0 &gt;&gt;C:\Users\stu\Documents\GitHub\eaglep3-reporting\EC\2017-01-06-refined-times.txt</v>
      </c>
      <c r="AI180" s="115" t="str">
        <f t="shared" si="67"/>
        <v>echo {"issue":{"subject":"","project_id":79,"tracker_id":40,"status_id":1,"priority_id":2,"assigned_to_id":23,"start_date":"2017-01-06","description":"","custom_fields":[{"id":1,"name":"Subdivision","value":"NW"},{"id":4,"name":"Milepost","value":"0.0685"},{"id":17,"name":"Train ID","value":"832-06"},{"id":16,"name":"Locomotive ID","value":"4041"},{"id":130,"name":"Impact","value":""},{"id":150,"name":"Time of Event (Mountain Time)","value":"17:27:07"},{"id":151,"name":"Denver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80" t="str">
        <f t="shared" si="68"/>
        <v>start /low /b %USERPROFILE%\Documents\GitHub\eaglep3\Utilities\DownloadLogsFromS3.py --loco 4041 --day 2017-01-06</v>
      </c>
    </row>
    <row r="181" spans="1:91" x14ac:dyDescent="0.25">
      <c r="A181" s="34" t="s">
        <v>599</v>
      </c>
      <c r="B181" s="7">
        <v>4014</v>
      </c>
      <c r="C181" s="22" t="s">
        <v>203</v>
      </c>
      <c r="D181" s="22" t="s">
        <v>804</v>
      </c>
      <c r="E181" s="13">
        <v>42741.710520833331</v>
      </c>
      <c r="F181" s="13">
        <v>42741.723171296297</v>
      </c>
      <c r="G181" s="7">
        <v>1</v>
      </c>
      <c r="H181" s="22" t="s">
        <v>441</v>
      </c>
      <c r="I181" s="13">
        <v>42741.733958333331</v>
      </c>
      <c r="J181" s="7">
        <v>0</v>
      </c>
      <c r="K181" s="105" t="str">
        <f t="shared" si="54"/>
        <v>4013/4014</v>
      </c>
      <c r="L181" s="22" t="str">
        <f>VLOOKUP(A181,'Trips&amp;Operators'!$C$1:$G$99999,5,FALSE)</f>
        <v>LEVERE CRAIG</v>
      </c>
      <c r="M181" s="6">
        <f t="shared" si="55"/>
        <v>1.0787037033878732E-2</v>
      </c>
      <c r="N181" s="7">
        <f t="shared" si="78"/>
        <v>15.533333328785375</v>
      </c>
      <c r="O181" s="7"/>
      <c r="P181" s="7"/>
      <c r="Q181" s="23"/>
      <c r="R181" s="23"/>
      <c r="S181" s="32">
        <f t="shared" si="76"/>
        <v>1</v>
      </c>
      <c r="T181" s="47" t="str">
        <f t="shared" si="79"/>
        <v>NorthBound</v>
      </c>
      <c r="U181" s="16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16:03:09-700',mode:absolute,to:'2017-01-06 18:36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1" s="49" t="str">
        <f t="shared" si="58"/>
        <v>N</v>
      </c>
      <c r="X181" s="173">
        <f t="shared" ref="X181:X212" si="81">VALUE(LEFT(AD181,4))-VALUE(LEFT(AD180,4))</f>
        <v>1</v>
      </c>
      <c r="Y181" s="64">
        <f t="shared" si="59"/>
        <v>9.64E-2</v>
      </c>
      <c r="Z181" s="64">
        <f t="shared" si="80"/>
        <v>5.8978000000000002</v>
      </c>
      <c r="AA181" s="64">
        <f t="shared" si="61"/>
        <v>5.8014000000000001</v>
      </c>
      <c r="AB181" s="61"/>
      <c r="AC181" s="57"/>
      <c r="AD181" s="58" t="str">
        <f t="shared" si="62"/>
        <v>0833-06</v>
      </c>
      <c r="AE181" s="87" t="str">
        <f t="shared" si="63"/>
        <v>aws s3 cp s3://rtdc.mdm.uploadarchive.raw/RTDC4014/ "%USERPROFILE%\AppData\Local\Temp\OnboardLogs"\RTDC4014\2017-01-06 --exclude "*" --recursive --include "*20170106*" &amp; "%USERPROFILE%\Documents\GitHub\mrs-test-scripts\Headless Mode &amp; Sideloading\WalkAndUnGZ.bat" "%USERPROFILE%\AppData\Local\Temp\OnboardLogs"\RTDC4014\2017-01-06 &amp; 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</v>
      </c>
      <c r="AF181" s="84" t="str">
        <f t="shared" si="64"/>
        <v>"C:\Program Files (x86)\AstroGrep\AstroGrep.exe" /spath="%USERPROFILE%\AppData\Local\Temp\OnboardLogs" /stypes="app*4014*20170107*" /stext=" 00:.+((SYSTEM_STATE.+slice.+state.+changed )|(ment ac)|(multiple cpu faults)|(system.+state.+changed )|(\[timeout)|(PRM\|1\|D)|(kpr)|(kdp)|(\|lc)|(penalty))" /e /r /s</v>
      </c>
      <c r="AG181" s="1" t="str">
        <f t="shared" si="65"/>
        <v>NW</v>
      </c>
      <c r="AH181" s="88" t="str">
        <f t="shared" si="66"/>
        <v>"%USERPROFILE%\Documents\GitHub\eaglep3\Utilities\RefineRTDCRunTimes.py" --tripid 833-06 --locoid 4014 --swversion DE.1.0.8.0 --startMP 204:964 --initTime 2017-01-06T17:03:09 --startdatetime 2017-01-06T17:21:22 --delay 1 --endMP 300:58978 --enddatetime 2017-01-06T17:36:54 --enforcementcount 0 &gt;&gt;C:\Users\stu\Documents\GitHub\eaglep3-reporting\EC\2017-01-06-refined-times.txt</v>
      </c>
      <c r="AI181" s="115" t="str">
        <f t="shared" si="67"/>
        <v>echo {"issue":{"subject":"","project_id":79,"tracker_id":40,"status_id":1,"priority_id":2,"assigned_to_id":23,"start_date":"2017-01-06","description":"","custom_fields":[{"id":1,"name":"Subdivision","value":"NW"},{"id":4,"name":"Milepost","value":"5.8978"},{"id":17,"name":"Train ID","value":"833-06"},{"id":16,"name":"Locomotive ID","value":"4014"},{"id":130,"name":"Impact","value":""},{"id":150,"name":"Time of Event (Mountain Time)","value":"17:36:54"},{"id":151,"name":"Denver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80" t="str">
        <f t="shared" si="68"/>
        <v>start /low /b %USERPROFILE%\Documents\GitHub\eaglep3\Utilities\DownloadLogsFromS3.py --loco 4014 --day 2017-01-06</v>
      </c>
    </row>
    <row r="182" spans="1:91" s="21" customFormat="1" x14ac:dyDescent="0.25">
      <c r="A182" s="34" t="s">
        <v>606</v>
      </c>
      <c r="B182" s="7">
        <v>4013</v>
      </c>
      <c r="C182" s="22" t="s">
        <v>203</v>
      </c>
      <c r="D182" s="22" t="s">
        <v>431</v>
      </c>
      <c r="E182" s="13">
        <v>42741.734791666669</v>
      </c>
      <c r="F182" s="13">
        <v>42741.736076388886</v>
      </c>
      <c r="G182" s="7">
        <v>1</v>
      </c>
      <c r="H182" s="22" t="s">
        <v>434</v>
      </c>
      <c r="I182" s="13">
        <v>42741.748090277775</v>
      </c>
      <c r="J182" s="7">
        <v>0</v>
      </c>
      <c r="K182" s="105" t="str">
        <f t="shared" si="54"/>
        <v>4013/4014</v>
      </c>
      <c r="L182" s="22" t="str">
        <f>VLOOKUP(A182,'Trips&amp;Operators'!$C$1:$G$99999,5,FALSE)</f>
        <v>LEVERE CRAIG</v>
      </c>
      <c r="M182" s="6">
        <f t="shared" si="55"/>
        <v>1.2013888888759539E-2</v>
      </c>
      <c r="N182" s="7">
        <f t="shared" si="78"/>
        <v>17.299999999813735</v>
      </c>
      <c r="O182" s="7"/>
      <c r="P182" s="7"/>
      <c r="Q182" s="23"/>
      <c r="R182" s="23"/>
      <c r="S182" s="32">
        <f t="shared" si="76"/>
        <v>1</v>
      </c>
      <c r="T182" s="47" t="str">
        <f t="shared" si="79"/>
        <v>Southbound</v>
      </c>
      <c r="U182" s="16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16:38:06-700',mode:absolute,to:'2017-01-06 18:57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2" s="49" t="str">
        <f t="shared" si="58"/>
        <v>N</v>
      </c>
      <c r="X182" s="173">
        <f t="shared" si="81"/>
        <v>1</v>
      </c>
      <c r="Y182" s="64">
        <f t="shared" si="59"/>
        <v>5.8648999999999996</v>
      </c>
      <c r="Z182" s="64">
        <f t="shared" si="80"/>
        <v>6.7500000000000004E-2</v>
      </c>
      <c r="AA182" s="64">
        <f t="shared" si="61"/>
        <v>5.7973999999999997</v>
      </c>
      <c r="AB182" s="61"/>
      <c r="AC182" s="57"/>
      <c r="AD182" s="58" t="str">
        <f t="shared" si="62"/>
        <v>0834-06</v>
      </c>
      <c r="AE182" s="87" t="str">
        <f t="shared" si="63"/>
        <v>aws s3 cp s3://rtdc.mdm.uploadarchive.raw/RTDC4013/ "%USERPROFILE%\AppData\Local\Temp\OnboardLogs"\RTDC4013\2017-01-06 --exclude "*" --recursive --include "*20170106*" &amp; "%USERPROFILE%\Documents\GitHub\mrs-test-scripts\Headless Mode &amp; Sideloading\WalkAndUnGZ.bat" "%USERPROFILE%\AppData\Local\Temp\OnboardLogs"\RTDC4013\2017-01-06 &amp; 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</v>
      </c>
      <c r="AF182" s="84" t="str">
        <f t="shared" si="64"/>
        <v>"C:\Program Files (x86)\AstroGrep\AstroGrep.exe" /spath="%USERPROFILE%\AppData\Local\Temp\OnboardLogs" /stypes="app*4013*20170107*" /stext=" 00:.+((SYSTEM_STATE.+slice.+state.+changed )|(ment ac)|(multiple cpu faults)|(system.+state.+changed )|(\[timeout)|(PRM\|1\|D)|(kpr)|(kdp)|(\|lc)|(penalty))" /e /r /s</v>
      </c>
      <c r="AG182" s="1" t="str">
        <f t="shared" si="65"/>
        <v>NW</v>
      </c>
      <c r="AH182" s="88" t="str">
        <f t="shared" si="66"/>
        <v>"%USERPROFILE%\Documents\GitHub\eaglep3\Utilities\RefineRTDCRunTimes.py" --tripid 834-06 --locoid 4013 --swversion DE.1.0.8.0 --startMP 300:58649 --initTime 2017-01-06T17:38:06 --startdatetime 2017-01-06T17:39:57 --delay 1 --endMP 204:675 --enddatetime 2017-01-06T17:57:15 --enforcementcount 0 &gt;&gt;C:\Users\stu\Documents\GitHub\eaglep3-reporting\EC\2017-01-06-refined-times.txt</v>
      </c>
      <c r="AI182" s="115" t="str">
        <f t="shared" si="67"/>
        <v>echo {"issue":{"subject":"","project_id":79,"tracker_id":40,"status_id":1,"priority_id":2,"assigned_to_id":23,"start_date":"2017-01-06","description":"","custom_fields":[{"id":1,"name":"Subdivision","value":"NW"},{"id":4,"name":"Milepost","value":"0.0675"},{"id":17,"name":"Train ID","value":"834-06"},{"id":16,"name":"Locomotive ID","value":"4013"},{"id":130,"name":"Impact","value":""},{"id":150,"name":"Time of Event (Mountain Time)","value":"17:57:15"},{"id":151,"name":"Denver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80" t="str">
        <f t="shared" si="68"/>
        <v>start /low /b %USERPROFILE%\Documents\GitHub\eaglep3\Utilities\DownloadLogsFromS3.py --loco 4013 --day 2017-01-06</v>
      </c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4" t="s">
        <v>462</v>
      </c>
      <c r="B183" s="7">
        <v>4042</v>
      </c>
      <c r="C183" s="22" t="s">
        <v>203</v>
      </c>
      <c r="D183" s="22" t="s">
        <v>347</v>
      </c>
      <c r="E183" s="13">
        <v>42741.731215277781</v>
      </c>
      <c r="F183" s="13">
        <v>42741.743993055556</v>
      </c>
      <c r="G183" s="7">
        <v>1</v>
      </c>
      <c r="H183" s="22" t="s">
        <v>293</v>
      </c>
      <c r="I183" s="13">
        <v>42741.755219907405</v>
      </c>
      <c r="J183" s="7">
        <v>0</v>
      </c>
      <c r="K183" s="105" t="str">
        <f t="shared" si="54"/>
        <v>4041/4042</v>
      </c>
      <c r="L183" s="22" t="str">
        <f>VLOOKUP(A183,'Trips&amp;Operators'!$C$1:$G$99999,5,FALSE)</f>
        <v>SMITH MICHAEL</v>
      </c>
      <c r="M183" s="6">
        <f t="shared" si="55"/>
        <v>1.1226851849642117E-2</v>
      </c>
      <c r="N183" s="7">
        <f t="shared" si="78"/>
        <v>16.166666663484648</v>
      </c>
      <c r="O183" s="7"/>
      <c r="P183" s="7"/>
      <c r="Q183" s="23"/>
      <c r="R183" s="23"/>
      <c r="S183" s="32">
        <f t="shared" si="76"/>
        <v>1</v>
      </c>
      <c r="T183" s="47" t="str">
        <f t="shared" si="79"/>
        <v>NorthBound</v>
      </c>
      <c r="U183" s="16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16:32:57-700',mode:absolute,to:'2017-01-06 19:07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83" s="49" t="str">
        <f t="shared" si="58"/>
        <v>N</v>
      </c>
      <c r="X183" s="173">
        <f t="shared" si="81"/>
        <v>1</v>
      </c>
      <c r="Y183" s="64">
        <f t="shared" si="59"/>
        <v>9.8599999999999993E-2</v>
      </c>
      <c r="Z183" s="64">
        <f t="shared" si="80"/>
        <v>5.8930999999999996</v>
      </c>
      <c r="AA183" s="64">
        <f t="shared" si="61"/>
        <v>5.7944999999999993</v>
      </c>
      <c r="AB183" s="61"/>
      <c r="AC183" s="57"/>
      <c r="AD183" s="58" t="str">
        <f t="shared" si="62"/>
        <v>0835-06</v>
      </c>
      <c r="AE183" s="87" t="str">
        <f t="shared" si="63"/>
        <v>aws s3 cp s3://rtdc.mdm.uploadarchive.raw/RTDC4042/ "%USERPROFILE%\AppData\Local\Temp\OnboardLogs"\RTDC4042\2017-01-06 --exclude "*" --recursive --include "*20170106*" &amp; "%USERPROFILE%\Documents\GitHub\mrs-test-scripts\Headless Mode &amp; Sideloading\WalkAndUnGZ.bat" "%USERPROFILE%\AppData\Local\Temp\OnboardLogs"\RTDC4042\2017-01-06 &amp; 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</v>
      </c>
      <c r="AF183" s="84" t="str">
        <f t="shared" si="64"/>
        <v>"C:\Program Files (x86)\AstroGrep\AstroGrep.exe" /spath="%USERPROFILE%\AppData\Local\Temp\OnboardLogs" /stypes="app*4042*20170107*" /stext=" 01:.+((SYSTEM_STATE.+slice.+state.+changed )|(ment ac)|(multiple cpu faults)|(system.+state.+changed )|(\[timeout)|(PRM\|1\|D)|(kpr)|(kdp)|(\|lc)|(penalty))" /e /r /s</v>
      </c>
      <c r="AG183" s="1" t="str">
        <f t="shared" si="65"/>
        <v>NW</v>
      </c>
      <c r="AH183" s="88" t="str">
        <f t="shared" si="66"/>
        <v>"%USERPROFILE%\Documents\GitHub\eaglep3\Utilities\RefineRTDCRunTimes.py" --tripid 835-06 --locoid 4042 --swversion DE.1.0.8.0 --startMP 204:986 --initTime 2017-01-06T17:32:57 --startdatetime 2017-01-06T17:51:21 --delay 1 --endMP 300:58931 --enddatetime 2017-01-06T18:07:31 --enforcementcount 0 &gt;&gt;C:\Users\stu\Documents\GitHub\eaglep3-reporting\EC\2017-01-06-refined-times.txt</v>
      </c>
      <c r="AI183" s="115" t="str">
        <f t="shared" si="67"/>
        <v>echo {"issue":{"subject":"","project_id":79,"tracker_id":40,"status_id":1,"priority_id":2,"assigned_to_id":23,"start_date":"2017-01-06","description":"","custom_fields":[{"id":1,"name":"Subdivision","value":"NW"},{"id":4,"name":"Milepost","value":"5.8931"},{"id":17,"name":"Train ID","value":"835-06"},{"id":16,"name":"Locomotive ID","value":"4042"},{"id":130,"name":"Impact","value":""},{"id":150,"name":"Time of Event (Mountain Time)","value":"18:07:31"},{"id":151,"name":"Denver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80" t="str">
        <f t="shared" si="68"/>
        <v>start /low /b %USERPROFILE%\Documents\GitHub\eaglep3\Utilities\DownloadLogsFromS3.py --loco 4042 --day 2017-01-06</v>
      </c>
    </row>
    <row r="184" spans="1:91" s="21" customFormat="1" x14ac:dyDescent="0.25">
      <c r="A184" s="34" t="s">
        <v>611</v>
      </c>
      <c r="B184" s="7">
        <v>4041</v>
      </c>
      <c r="C184" s="22" t="s">
        <v>203</v>
      </c>
      <c r="D184" s="22" t="s">
        <v>805</v>
      </c>
      <c r="E184" s="13">
        <v>42741.756701388891</v>
      </c>
      <c r="F184" s="13">
        <v>42741.758171296293</v>
      </c>
      <c r="G184" s="7">
        <v>1</v>
      </c>
      <c r="H184" s="22" t="s">
        <v>806</v>
      </c>
      <c r="I184" s="13">
        <v>42741.772546296299</v>
      </c>
      <c r="J184" s="7">
        <v>0</v>
      </c>
      <c r="K184" s="105" t="str">
        <f t="shared" si="54"/>
        <v>4041/4042</v>
      </c>
      <c r="L184" s="22" t="str">
        <f>VLOOKUP(A184,'Trips&amp;Operators'!$C$1:$G$99999,5,FALSE)</f>
        <v>SMITH MICHAEL</v>
      </c>
      <c r="M184" s="6">
        <f t="shared" si="55"/>
        <v>1.4375000006111804E-2</v>
      </c>
      <c r="N184" s="7">
        <f t="shared" si="78"/>
        <v>20.700000008800998</v>
      </c>
      <c r="O184" s="7"/>
      <c r="P184" s="7"/>
      <c r="Q184" s="23"/>
      <c r="R184" s="23"/>
      <c r="S184" s="32">
        <f t="shared" si="76"/>
        <v>1</v>
      </c>
      <c r="T184" s="47" t="str">
        <f t="shared" si="79"/>
        <v>Southbound</v>
      </c>
      <c r="U184" s="16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17:09:39-700',mode:absolute,to:'2017-01-06 19:32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4" s="49" t="str">
        <f t="shared" si="58"/>
        <v>N</v>
      </c>
      <c r="X184" s="173">
        <f t="shared" si="81"/>
        <v>1</v>
      </c>
      <c r="Y184" s="64">
        <f t="shared" si="59"/>
        <v>5.8608000000000002</v>
      </c>
      <c r="Z184" s="64">
        <f t="shared" si="80"/>
        <v>6.8199999999999997E-2</v>
      </c>
      <c r="AA184" s="64">
        <f t="shared" si="61"/>
        <v>5.7926000000000002</v>
      </c>
      <c r="AB184" s="61"/>
      <c r="AC184" s="57"/>
      <c r="AD184" s="58" t="str">
        <f t="shared" si="62"/>
        <v>0836-06</v>
      </c>
      <c r="AE184" s="87" t="str">
        <f t="shared" si="63"/>
        <v>aws s3 cp s3://rtdc.mdm.uploadarchive.raw/RTDC4041/ "%USERPROFILE%\AppData\Local\Temp\OnboardLogs"\RTDC4041\2017-01-06 --exclude "*" --recursive --include "*20170106*" &amp; "%USERPROFILE%\Documents\GitHub\mrs-test-scripts\Headless Mode &amp; Sideloading\WalkAndUnGZ.bat" "%USERPROFILE%\AppData\Local\Temp\OnboardLogs"\RTDC4041\2017-01-06 &amp; 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</v>
      </c>
      <c r="AF184" s="84" t="str">
        <f t="shared" si="64"/>
        <v>"C:\Program Files (x86)\AstroGrep\AstroGrep.exe" /spath="%USERPROFILE%\AppData\Local\Temp\OnboardLogs" /stypes="app*4041*20170107*" /stext=" 01:.+((SYSTEM_STATE.+slice.+state.+changed )|(ment ac)|(multiple cpu faults)|(system.+state.+changed )|(\[timeout)|(PRM\|1\|D)|(kpr)|(kdp)|(\|lc)|(penalty))" /e /r /s</v>
      </c>
      <c r="AG184" s="1" t="str">
        <f t="shared" si="65"/>
        <v>NW</v>
      </c>
      <c r="AH184" s="88" t="str">
        <f t="shared" si="66"/>
        <v>"%USERPROFILE%\Documents\GitHub\eaglep3\Utilities\RefineRTDCRunTimes.py" --tripid 836-06 --locoid 4041 --swversion DE.1.0.8.0 --startMP 300:58608 --initTime 2017-01-06T18:09:39 --startdatetime 2017-01-06T18:11:46 --delay 1 --endMP 204:682 --enddatetime 2017-01-06T18:32:28 --enforcementcount 0 &gt;&gt;C:\Users\stu\Documents\GitHub\eaglep3-reporting\EC\2017-01-06-refined-times.txt</v>
      </c>
      <c r="AI184" s="115" t="str">
        <f t="shared" si="67"/>
        <v>echo {"issue":{"subject":"","project_id":79,"tracker_id":40,"status_id":1,"priority_id":2,"assigned_to_id":23,"start_date":"2017-01-06","description":"","custom_fields":[{"id":1,"name":"Subdivision","value":"NW"},{"id":4,"name":"Milepost","value":"0.0682"},{"id":17,"name":"Train ID","value":"836-06"},{"id":16,"name":"Locomotive ID","value":"4041"},{"id":130,"name":"Impact","value":""},{"id":150,"name":"Time of Event (Mountain Time)","value":"18:32:28"},{"id":151,"name":"Denver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80" t="str">
        <f t="shared" si="68"/>
        <v>start /low /b %USERPROFILE%\Documents\GitHub\eaglep3\Utilities\DownloadLogsFromS3.py --loco 4041 --day 2017-01-06</v>
      </c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4" t="s">
        <v>610</v>
      </c>
      <c r="B185" s="7">
        <v>4014</v>
      </c>
      <c r="C185" s="22" t="s">
        <v>203</v>
      </c>
      <c r="D185" s="22" t="s">
        <v>347</v>
      </c>
      <c r="E185" s="13">
        <v>42741.751168981478</v>
      </c>
      <c r="F185" s="13">
        <v>42741.764837962961</v>
      </c>
      <c r="G185" s="7">
        <v>1</v>
      </c>
      <c r="H185" s="22" t="s">
        <v>438</v>
      </c>
      <c r="I185" s="13">
        <v>42741.775717592594</v>
      </c>
      <c r="J185" s="7">
        <v>0</v>
      </c>
      <c r="K185" s="105" t="str">
        <f t="shared" si="54"/>
        <v>4013/4014</v>
      </c>
      <c r="L185" s="22" t="str">
        <f>VLOOKUP(A185,'Trips&amp;Operators'!$C$1:$G$99999,5,FALSE)</f>
        <v>LEVERE CRAIG</v>
      </c>
      <c r="M185" s="6">
        <f t="shared" si="55"/>
        <v>1.0879629633564036E-2</v>
      </c>
      <c r="N185" s="7">
        <f t="shared" si="78"/>
        <v>15.666666672332212</v>
      </c>
      <c r="O185" s="7"/>
      <c r="P185" s="7"/>
      <c r="Q185" s="23"/>
      <c r="R185" s="23"/>
      <c r="S185" s="32">
        <f t="shared" si="76"/>
        <v>1</v>
      </c>
      <c r="T185" s="47" t="str">
        <f t="shared" si="79"/>
        <v>NorthBound</v>
      </c>
      <c r="U185" s="16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17:01:41-700',mode:absolute,to:'2017-01-06 19:37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5" s="49" t="str">
        <f t="shared" si="58"/>
        <v>N</v>
      </c>
      <c r="X185" s="173">
        <f t="shared" si="81"/>
        <v>1</v>
      </c>
      <c r="Y185" s="64">
        <f t="shared" si="59"/>
        <v>9.8599999999999993E-2</v>
      </c>
      <c r="Z185" s="64">
        <f t="shared" si="80"/>
        <v>5.8967000000000001</v>
      </c>
      <c r="AA185" s="64">
        <f t="shared" si="61"/>
        <v>5.7980999999999998</v>
      </c>
      <c r="AB185" s="61"/>
      <c r="AC185" s="57"/>
      <c r="AD185" s="58" t="str">
        <f t="shared" si="62"/>
        <v>0837-06</v>
      </c>
      <c r="AE185" s="87" t="str">
        <f t="shared" si="63"/>
        <v>aws s3 cp s3://rtdc.mdm.uploadarchive.raw/RTDC4014/ "%USERPROFILE%\AppData\Local\Temp\OnboardLogs"\RTDC4014\2017-01-06 --exclude "*" --recursive --include "*20170106*" &amp; "%USERPROFILE%\Documents\GitHub\mrs-test-scripts\Headless Mode &amp; Sideloading\WalkAndUnGZ.bat" "%USERPROFILE%\AppData\Local\Temp\OnboardLogs"\RTDC4014\2017-01-06 &amp; 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</v>
      </c>
      <c r="AF185" s="84" t="str">
        <f t="shared" si="64"/>
        <v>"C:\Program Files (x86)\AstroGrep\AstroGrep.exe" /spath="%USERPROFILE%\AppData\Local\Temp\OnboardLogs" /stypes="app*4014*20170107*" /stext=" 01:.+((SYSTEM_STATE.+slice.+state.+changed )|(ment ac)|(multiple cpu faults)|(system.+state.+changed )|(\[timeout)|(PRM\|1\|D)|(kpr)|(kdp)|(\|lc)|(penalty))" /e /r /s</v>
      </c>
      <c r="AG185" s="1" t="str">
        <f t="shared" si="65"/>
        <v>NW</v>
      </c>
      <c r="AH185" s="88" t="str">
        <f t="shared" si="66"/>
        <v>"%USERPROFILE%\Documents\GitHub\eaglep3\Utilities\RefineRTDCRunTimes.py" --tripid 837-06 --locoid 4014 --swversion DE.1.0.8.0 --startMP 204:986 --initTime 2017-01-06T18:01:41 --startdatetime 2017-01-06T18:21:22 --delay 1 --endMP 300:58967 --enddatetime 2017-01-06T18:37:02 --enforcementcount 0 &gt;&gt;C:\Users\stu\Documents\GitHub\eaglep3-reporting\EC\2017-01-06-refined-times.txt</v>
      </c>
      <c r="AI185" s="115" t="str">
        <f t="shared" si="67"/>
        <v>echo {"issue":{"subject":"","project_id":79,"tracker_id":40,"status_id":1,"priority_id":2,"assigned_to_id":23,"start_date":"2017-01-06","description":"","custom_fields":[{"id":1,"name":"Subdivision","value":"NW"},{"id":4,"name":"Milepost","value":"5.8967"},{"id":17,"name":"Train ID","value":"837-06"},{"id":16,"name":"Locomotive ID","value":"4014"},{"id":130,"name":"Impact","value":""},{"id":150,"name":"Time of Event (Mountain Time)","value":"18:37:02"},{"id":151,"name":"Denver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80" t="str">
        <f t="shared" si="68"/>
        <v>start /low /b %USERPROFILE%\Documents\GitHub\eaglep3\Utilities\DownloadLogsFromS3.py --loco 4014 --day 2017-01-06</v>
      </c>
    </row>
    <row r="186" spans="1:91" x14ac:dyDescent="0.25">
      <c r="A186" s="34" t="s">
        <v>620</v>
      </c>
      <c r="B186" s="7">
        <v>4013</v>
      </c>
      <c r="C186" s="22" t="s">
        <v>203</v>
      </c>
      <c r="D186" s="22" t="s">
        <v>807</v>
      </c>
      <c r="E186" s="13">
        <v>42741.776689814818</v>
      </c>
      <c r="F186" s="13">
        <v>42741.779224537036</v>
      </c>
      <c r="G186" s="7">
        <v>1</v>
      </c>
      <c r="H186" s="22" t="s">
        <v>439</v>
      </c>
      <c r="I186" s="13">
        <v>42741.790196759262</v>
      </c>
      <c r="J186" s="7">
        <v>0</v>
      </c>
      <c r="K186" s="105" t="str">
        <f t="shared" si="54"/>
        <v>4013/4014</v>
      </c>
      <c r="L186" s="22" t="str">
        <f>VLOOKUP(A186,'Trips&amp;Operators'!$C$1:$G$99999,5,FALSE)</f>
        <v>LEVERE CRAIG</v>
      </c>
      <c r="M186" s="6">
        <f t="shared" si="55"/>
        <v>1.0972222225973383E-2</v>
      </c>
      <c r="N186" s="7">
        <f t="shared" si="78"/>
        <v>15.800000005401671</v>
      </c>
      <c r="O186" s="7"/>
      <c r="P186" s="7"/>
      <c r="Q186" s="23"/>
      <c r="R186" s="23"/>
      <c r="S186" s="32">
        <f t="shared" si="76"/>
        <v>1</v>
      </c>
      <c r="T186" s="47" t="str">
        <f t="shared" si="79"/>
        <v>Southbound</v>
      </c>
      <c r="U186" s="16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17:38:26-700',mode:absolute,to:'2017-01-06 19:57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6" s="49" t="str">
        <f t="shared" si="58"/>
        <v>N</v>
      </c>
      <c r="X186" s="173">
        <f t="shared" si="81"/>
        <v>1</v>
      </c>
      <c r="Y186" s="64">
        <f t="shared" si="59"/>
        <v>5.8640999999999996</v>
      </c>
      <c r="Z186" s="64">
        <f t="shared" si="80"/>
        <v>6.9900000000000004E-2</v>
      </c>
      <c r="AA186" s="64">
        <f t="shared" si="61"/>
        <v>5.7942</v>
      </c>
      <c r="AB186" s="61"/>
      <c r="AC186" s="57"/>
      <c r="AD186" s="58" t="str">
        <f t="shared" si="62"/>
        <v>0838-06</v>
      </c>
      <c r="AE186" s="87" t="str">
        <f t="shared" si="63"/>
        <v>aws s3 cp s3://rtdc.mdm.uploadarchive.raw/RTDC4013/ "%USERPROFILE%\AppData\Local\Temp\OnboardLogs"\RTDC4013\2017-01-06 --exclude "*" --recursive --include "*20170106*" &amp; "%USERPROFILE%\Documents\GitHub\mrs-test-scripts\Headless Mode &amp; Sideloading\WalkAndUnGZ.bat" "%USERPROFILE%\AppData\Local\Temp\OnboardLogs"\RTDC4013\2017-01-06 &amp; 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</v>
      </c>
      <c r="AF186" s="84" t="str">
        <f t="shared" si="64"/>
        <v>"C:\Program Files (x86)\AstroGrep\AstroGrep.exe" /spath="%USERPROFILE%\AppData\Local\Temp\OnboardLogs" /stypes="app*4013*20170107*" /stext=" 01:.+((SYSTEM_STATE.+slice.+state.+changed )|(ment ac)|(multiple cpu faults)|(system.+state.+changed )|(\[timeout)|(PRM\|1\|D)|(kpr)|(kdp)|(\|lc)|(penalty))" /e /r /s</v>
      </c>
      <c r="AG186" s="1" t="str">
        <f t="shared" si="65"/>
        <v>NW</v>
      </c>
      <c r="AH186" s="88" t="str">
        <f t="shared" si="66"/>
        <v>"%USERPROFILE%\Documents\GitHub\eaglep3\Utilities\RefineRTDCRunTimes.py" --tripid 838-06 --locoid 4013 --swversion DE.1.0.8.0 --startMP 300:58641 --initTime 2017-01-06T18:38:26 --startdatetime 2017-01-06T18:42:05 --delay 1 --endMP 204:699 --enddatetime 2017-01-06T18:57:53 --enforcementcount 0 &gt;&gt;C:\Users\stu\Documents\GitHub\eaglep3-reporting\EC\2017-01-06-refined-times.txt</v>
      </c>
      <c r="AI186" s="115" t="str">
        <f t="shared" si="67"/>
        <v>echo {"issue":{"subject":"","project_id":79,"tracker_id":40,"status_id":1,"priority_id":2,"assigned_to_id":23,"start_date":"2017-01-06","description":"","custom_fields":[{"id":1,"name":"Subdivision","value":"NW"},{"id":4,"name":"Milepost","value":"0.0699"},{"id":17,"name":"Train ID","value":"838-06"},{"id":16,"name":"Locomotive ID","value":"4013"},{"id":130,"name":"Impact","value":""},{"id":150,"name":"Time of Event (Mountain Time)","value":"18:57:53"},{"id":151,"name":"Denver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80" t="str">
        <f t="shared" si="68"/>
        <v>start /low /b %USERPROFILE%\Documents\GitHub\eaglep3\Utilities\DownloadLogsFromS3.py --loco 4013 --day 2017-01-06</v>
      </c>
    </row>
    <row r="187" spans="1:91" x14ac:dyDescent="0.25">
      <c r="A187" s="34" t="s">
        <v>619</v>
      </c>
      <c r="B187" s="7">
        <v>4042</v>
      </c>
      <c r="C187" s="22" t="s">
        <v>203</v>
      </c>
      <c r="D187" s="22" t="s">
        <v>804</v>
      </c>
      <c r="E187" s="13">
        <v>42741.774317129632</v>
      </c>
      <c r="F187" s="13">
        <v>42741.78570601852</v>
      </c>
      <c r="G187" s="7">
        <v>1</v>
      </c>
      <c r="H187" s="22" t="s">
        <v>808</v>
      </c>
      <c r="I187" s="13">
        <v>42741.797071759262</v>
      </c>
      <c r="J187" s="7">
        <v>0</v>
      </c>
      <c r="K187" s="105" t="str">
        <f t="shared" si="54"/>
        <v>4041/4042</v>
      </c>
      <c r="L187" s="22" t="str">
        <f>VLOOKUP(A187,'Trips&amp;Operators'!$C$1:$G$99999,5,FALSE)</f>
        <v>SMITH MICHAEL</v>
      </c>
      <c r="M187" s="6">
        <f t="shared" si="55"/>
        <v>1.1365740741894115E-2</v>
      </c>
      <c r="N187" s="7">
        <f t="shared" si="78"/>
        <v>16.366666668327525</v>
      </c>
      <c r="O187" s="7"/>
      <c r="P187" s="7"/>
      <c r="Q187" s="23"/>
      <c r="R187" s="23"/>
      <c r="S187" s="32">
        <f t="shared" si="76"/>
        <v>1</v>
      </c>
      <c r="T187" s="47" t="str">
        <f t="shared" si="79"/>
        <v>NorthBound</v>
      </c>
      <c r="U187" s="16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17:35:01-700',mode:absolute,to:'2017-01-06 20:07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87" s="49" t="str">
        <f t="shared" si="58"/>
        <v>N</v>
      </c>
      <c r="X187" s="173">
        <f t="shared" si="81"/>
        <v>1</v>
      </c>
      <c r="Y187" s="64">
        <f t="shared" si="59"/>
        <v>9.64E-2</v>
      </c>
      <c r="Z187" s="64">
        <f t="shared" si="80"/>
        <v>5.8921999999999999</v>
      </c>
      <c r="AA187" s="64">
        <f t="shared" si="61"/>
        <v>5.7957999999999998</v>
      </c>
      <c r="AB187" s="61"/>
      <c r="AC187" s="57"/>
      <c r="AD187" s="58" t="str">
        <f t="shared" si="62"/>
        <v>0839-06</v>
      </c>
      <c r="AE187" s="87" t="str">
        <f t="shared" si="63"/>
        <v>aws s3 cp s3://rtdc.mdm.uploadarchive.raw/RTDC4042/ "%USERPROFILE%\AppData\Local\Temp\OnboardLogs"\RTDC4042\2017-01-06 --exclude "*" --recursive --include "*20170106*" &amp; "%USERPROFILE%\Documents\GitHub\mrs-test-scripts\Headless Mode &amp; Sideloading\WalkAndUnGZ.bat" "%USERPROFILE%\AppData\Local\Temp\OnboardLogs"\RTDC4042\2017-01-06 &amp; 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</v>
      </c>
      <c r="AF187" s="84" t="str">
        <f t="shared" si="64"/>
        <v>"C:\Program Files (x86)\AstroGrep\AstroGrep.exe" /spath="%USERPROFILE%\AppData\Local\Temp\OnboardLogs" /stypes="app*4042*20170107*" /stext=" 02:.+((SYSTEM_STATE.+slice.+state.+changed )|(ment ac)|(multiple cpu faults)|(system.+state.+changed )|(\[timeout)|(PRM\|1\|D)|(kpr)|(kdp)|(\|lc)|(penalty))" /e /r /s</v>
      </c>
      <c r="AG187" s="1" t="str">
        <f t="shared" si="65"/>
        <v>NW</v>
      </c>
      <c r="AH187" s="88" t="str">
        <f t="shared" si="66"/>
        <v>"%USERPROFILE%\Documents\GitHub\eaglep3\Utilities\RefineRTDCRunTimes.py" --tripid 839-06 --locoid 4042 --swversion DE.1.0.8.0 --startMP 204:964 --initTime 2017-01-06T18:35:01 --startdatetime 2017-01-06T18:51:25 --delay 1 --endMP 300:58922 --enddatetime 2017-01-06T19:07:47 --enforcementcount 0 &gt;&gt;C:\Users\stu\Documents\GitHub\eaglep3-reporting\EC\2017-01-06-refined-times.txt</v>
      </c>
      <c r="AI187" s="115" t="str">
        <f t="shared" si="67"/>
        <v>echo {"issue":{"subject":"","project_id":79,"tracker_id":40,"status_id":1,"priority_id":2,"assigned_to_id":23,"start_date":"2017-01-06","description":"","custom_fields":[{"id":1,"name":"Subdivision","value":"NW"},{"id":4,"name":"Milepost","value":"5.8922"},{"id":17,"name":"Train ID","value":"839-06"},{"id":16,"name":"Locomotive ID","value":"4042"},{"id":130,"name":"Impact","value":""},{"id":150,"name":"Time of Event (Mountain Time)","value":"19:07:47"},{"id":151,"name":"Denver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80" t="str">
        <f t="shared" si="68"/>
        <v>start /low /b %USERPROFILE%\Documents\GitHub\eaglep3\Utilities\DownloadLogsFromS3.py --loco 4042 --day 2017-01-06</v>
      </c>
    </row>
    <row r="188" spans="1:91" s="21" customFormat="1" x14ac:dyDescent="0.25">
      <c r="A188" s="34" t="s">
        <v>628</v>
      </c>
      <c r="B188" s="7">
        <v>4013</v>
      </c>
      <c r="C188" s="22" t="s">
        <v>203</v>
      </c>
      <c r="D188" s="22" t="s">
        <v>807</v>
      </c>
      <c r="E188" s="13">
        <v>42741.81827546296</v>
      </c>
      <c r="F188" s="13">
        <v>42741.819803240738</v>
      </c>
      <c r="G188" s="7">
        <v>1</v>
      </c>
      <c r="H188" s="22" t="s">
        <v>776</v>
      </c>
      <c r="I188" s="13">
        <v>42741.831030092595</v>
      </c>
      <c r="J188" s="7">
        <v>0</v>
      </c>
      <c r="K188" s="105" t="str">
        <f t="shared" si="54"/>
        <v>4013/4014</v>
      </c>
      <c r="L188" s="22" t="str">
        <f>VLOOKUP(A188,'Trips&amp;Operators'!$C$1:$G$99999,5,FALSE)</f>
        <v>LEVERE CRAIG</v>
      </c>
      <c r="M188" s="6">
        <f t="shared" si="55"/>
        <v>1.1226851856918074E-2</v>
      </c>
      <c r="N188" s="7">
        <f t="shared" si="78"/>
        <v>16.166666673962027</v>
      </c>
      <c r="O188" s="7"/>
      <c r="P188" s="7"/>
      <c r="Q188" s="23"/>
      <c r="R188" s="23"/>
      <c r="S188" s="32">
        <f t="shared" si="76"/>
        <v>1</v>
      </c>
      <c r="T188" s="47" t="str">
        <f t="shared" si="79"/>
        <v>Southbound</v>
      </c>
      <c r="U188" s="16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18:38:19-700',mode:absolute,to:'2017-01-06 20:56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8" s="49" t="str">
        <f t="shared" si="58"/>
        <v>N</v>
      </c>
      <c r="X188" s="173">
        <f t="shared" si="81"/>
        <v>1</v>
      </c>
      <c r="Y188" s="64">
        <f t="shared" si="59"/>
        <v>5.8640999999999996</v>
      </c>
      <c r="Z188" s="64">
        <f t="shared" si="80"/>
        <v>6.8000000000000005E-2</v>
      </c>
      <c r="AA188" s="64">
        <f t="shared" si="61"/>
        <v>5.7961</v>
      </c>
      <c r="AB188" s="61"/>
      <c r="AC188" s="57"/>
      <c r="AD188" s="58" t="str">
        <f t="shared" si="62"/>
        <v>0840-06</v>
      </c>
      <c r="AE188" s="87" t="str">
        <f t="shared" si="63"/>
        <v>aws s3 cp s3://rtdc.mdm.uploadarchive.raw/RTDC4013/ "%USERPROFILE%\AppData\Local\Temp\OnboardLogs"\RTDC4013\2017-01-06 --exclude "*" --recursive --include "*20170106*" &amp; "%USERPROFILE%\Documents\GitHub\mrs-test-scripts\Headless Mode &amp; Sideloading\WalkAndUnGZ.bat" "%USERPROFILE%\AppData\Local\Temp\OnboardLogs"\RTDC4013\2017-01-06 &amp; 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</v>
      </c>
      <c r="AF188" s="84" t="str">
        <f t="shared" si="64"/>
        <v>"C:\Program Files (x86)\AstroGrep\AstroGrep.exe" /spath="%USERPROFILE%\AppData\Local\Temp\OnboardLogs" /stypes="app*4013*20170107*" /stext=" 02:.+((SYSTEM_STATE.+slice.+state.+changed )|(ment ac)|(multiple cpu faults)|(system.+state.+changed )|(\[timeout)|(PRM\|1\|D)|(kpr)|(kdp)|(\|lc)|(penalty))" /e /r /s</v>
      </c>
      <c r="AG188" s="1" t="str">
        <f t="shared" si="65"/>
        <v>NW</v>
      </c>
      <c r="AH188" s="88" t="str">
        <f t="shared" si="66"/>
        <v>"%USERPROFILE%\Documents\GitHub\eaglep3\Utilities\RefineRTDCRunTimes.py" --tripid 840-06 --locoid 4013 --swversion DE.1.0.8.0 --startMP 300:58641 --initTime 2017-01-06T19:38:19 --startdatetime 2017-01-06T19:40:31 --delay 1 --endMP 204:680 --enddatetime 2017-01-06T19:56:41 --enforcementcount 0 &gt;&gt;C:\Users\stu\Documents\GitHub\eaglep3-reporting\EC\2017-01-06-refined-times.txt</v>
      </c>
      <c r="AI188" s="115" t="str">
        <f t="shared" si="67"/>
        <v>echo {"issue":{"subject":"","project_id":79,"tracker_id":40,"status_id":1,"priority_id":2,"assigned_to_id":23,"start_date":"2017-01-06","description":"","custom_fields":[{"id":1,"name":"Subdivision","value":"NW"},{"id":4,"name":"Milepost","value":"0.068"},{"id":17,"name":"Train ID","value":"840-06"},{"id":16,"name":"Locomotive ID","value":"4013"},{"id":130,"name":"Impact","value":""},{"id":150,"name":"Time of Event (Mountain Time)","value":"19:56:41"},{"id":151,"name":"Denver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80" t="str">
        <f t="shared" si="68"/>
        <v>start /low /b %USERPROFILE%\Documents\GitHub\eaglep3\Utilities\DownloadLogsFromS3.py --loco 4013 --day 2017-01-06</v>
      </c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4" t="s">
        <v>627</v>
      </c>
      <c r="B189" s="7">
        <v>4014</v>
      </c>
      <c r="C189" s="22" t="s">
        <v>203</v>
      </c>
      <c r="D189" s="22" t="s">
        <v>326</v>
      </c>
      <c r="E189" s="13">
        <v>42741.802951388891</v>
      </c>
      <c r="F189" s="13">
        <v>42741.806458333333</v>
      </c>
      <c r="G189" s="7">
        <v>1</v>
      </c>
      <c r="H189" s="22" t="s">
        <v>809</v>
      </c>
      <c r="I189" s="13">
        <v>42741.817430555559</v>
      </c>
      <c r="J189" s="7">
        <v>0</v>
      </c>
      <c r="K189" s="105" t="str">
        <f t="shared" si="54"/>
        <v>4013/4014</v>
      </c>
      <c r="L189" s="22" t="str">
        <f>VLOOKUP(A189,'Trips&amp;Operators'!$C$1:$G$99999,5,FALSE)</f>
        <v>LEVERE CRAIG</v>
      </c>
      <c r="M189" s="6">
        <f t="shared" si="55"/>
        <v>1.0972222225973383E-2</v>
      </c>
      <c r="N189" s="7">
        <f t="shared" si="78"/>
        <v>15.800000005401671</v>
      </c>
      <c r="O189" s="7"/>
      <c r="P189" s="7"/>
      <c r="Q189" s="23"/>
      <c r="R189" s="23"/>
      <c r="S189" s="32">
        <f t="shared" ref="S189:S219" si="82">SUM(U189:U189)/IF(AG189="EC",12,1)</f>
        <v>1</v>
      </c>
      <c r="T189" s="47" t="str">
        <f t="shared" si="79"/>
        <v>NorthBound</v>
      </c>
      <c r="U189" s="16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18:16:15-700',mode:absolute,to:'2017-01-06 20:37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9" s="49" t="str">
        <f t="shared" si="58"/>
        <v>N</v>
      </c>
      <c r="X189" s="173">
        <f t="shared" si="81"/>
        <v>1</v>
      </c>
      <c r="Y189" s="64">
        <f t="shared" si="59"/>
        <v>9.7199999999999995E-2</v>
      </c>
      <c r="Z189" s="64">
        <f t="shared" si="80"/>
        <v>5.8949999999999996</v>
      </c>
      <c r="AA189" s="64">
        <f t="shared" si="61"/>
        <v>5.7977999999999996</v>
      </c>
      <c r="AB189" s="61"/>
      <c r="AC189" s="57"/>
      <c r="AD189" s="58" t="str">
        <f t="shared" si="62"/>
        <v>0841-06</v>
      </c>
      <c r="AE189" s="87" t="str">
        <f t="shared" si="63"/>
        <v>aws s3 cp s3://rtdc.mdm.uploadarchive.raw/RTDC4014/ "%USERPROFILE%\AppData\Local\Temp\OnboardLogs"\RTDC4014\2017-01-06 --exclude "*" --recursive --include "*20170106*" &amp; "%USERPROFILE%\Documents\GitHub\mrs-test-scripts\Headless Mode &amp; Sideloading\WalkAndUnGZ.bat" "%USERPROFILE%\AppData\Local\Temp\OnboardLogs"\RTDC4014\2017-01-06 &amp; 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</v>
      </c>
      <c r="AF189" s="84" t="str">
        <f t="shared" si="64"/>
        <v>"C:\Program Files (x86)\AstroGrep\AstroGrep.exe" /spath="%USERPROFILE%\AppData\Local\Temp\OnboardLogs" /stypes="app*4014*20170107*" /stext=" 02:.+((SYSTEM_STATE.+slice.+state.+changed )|(ment ac)|(multiple cpu faults)|(system.+state.+changed )|(\[timeout)|(PRM\|1\|D)|(kpr)|(kdp)|(\|lc)|(penalty))" /e /r /s</v>
      </c>
      <c r="AG189" s="1" t="str">
        <f t="shared" si="65"/>
        <v>NW</v>
      </c>
      <c r="AH189" s="88" t="str">
        <f t="shared" si="66"/>
        <v>"%USERPROFILE%\Documents\GitHub\eaglep3\Utilities\RefineRTDCRunTimes.py" --tripid 841-06 --locoid 4014 --swversion DE.1.0.8.0 --startMP 204:972 --initTime 2017-01-06T19:16:15 --startdatetime 2017-01-06T19:21:18 --delay 1 --endMP 300:58950 --enddatetime 2017-01-06T19:37:06 --enforcementcount 0 &gt;&gt;C:\Users\stu\Documents\GitHub\eaglep3-reporting\EC\2017-01-06-refined-times.txt</v>
      </c>
      <c r="AI189" s="115" t="str">
        <f t="shared" si="67"/>
        <v>echo {"issue":{"subject":"","project_id":79,"tracker_id":40,"status_id":1,"priority_id":2,"assigned_to_id":23,"start_date":"2017-01-06","description":"","custom_fields":[{"id":1,"name":"Subdivision","value":"NW"},{"id":4,"name":"Milepost","value":"5.895"},{"id":17,"name":"Train ID","value":"841-06"},{"id":16,"name":"Locomotive ID","value":"4014"},{"id":130,"name":"Impact","value":""},{"id":150,"name":"Time of Event (Mountain Time)","value":"19:37:06"},{"id":151,"name":"Denver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80" t="str">
        <f t="shared" si="68"/>
        <v>start /low /b %USERPROFILE%\Documents\GitHub\eaglep3\Utilities\DownloadLogsFromS3.py --loco 4014 --day 2017-01-06</v>
      </c>
    </row>
    <row r="190" spans="1:91" x14ac:dyDescent="0.25">
      <c r="A190" s="34" t="s">
        <v>634</v>
      </c>
      <c r="B190" s="7">
        <v>4013</v>
      </c>
      <c r="C190" s="22" t="s">
        <v>203</v>
      </c>
      <c r="D190" s="22" t="s">
        <v>437</v>
      </c>
      <c r="E190" s="13">
        <v>42741.860844907409</v>
      </c>
      <c r="F190" s="13">
        <v>42741.862175925926</v>
      </c>
      <c r="G190" s="7">
        <v>1</v>
      </c>
      <c r="H190" s="22" t="s">
        <v>430</v>
      </c>
      <c r="I190" s="13">
        <v>42741.875243055554</v>
      </c>
      <c r="J190" s="7">
        <v>0</v>
      </c>
      <c r="K190" s="105" t="str">
        <f t="shared" si="54"/>
        <v>4013/4014</v>
      </c>
      <c r="L190" s="22" t="str">
        <f>VLOOKUP(A190,'Trips&amp;Operators'!$C$1:$G$99999,5,FALSE)</f>
        <v>LEVERE CRAIG</v>
      </c>
      <c r="M190" s="6">
        <f t="shared" si="55"/>
        <v>1.3067129628325347E-2</v>
      </c>
      <c r="N190" s="7">
        <f t="shared" si="78"/>
        <v>18.816666664788499</v>
      </c>
      <c r="O190" s="7"/>
      <c r="P190" s="7"/>
      <c r="Q190" s="23"/>
      <c r="R190" s="23"/>
      <c r="S190" s="32">
        <f t="shared" si="82"/>
        <v>1</v>
      </c>
      <c r="T190" s="47" t="str">
        <f t="shared" si="79"/>
        <v>Southbound</v>
      </c>
      <c r="U190" s="16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19:39:37-700',mode:absolute,to:'2017-01-06 22:00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0" s="49" t="str">
        <f t="shared" si="58"/>
        <v>N</v>
      </c>
      <c r="X190" s="173">
        <f t="shared" si="81"/>
        <v>1</v>
      </c>
      <c r="Y190" s="64">
        <f t="shared" si="59"/>
        <v>5.8653000000000004</v>
      </c>
      <c r="Z190" s="64">
        <f t="shared" si="80"/>
        <v>7.0999999999999994E-2</v>
      </c>
      <c r="AA190" s="64">
        <f t="shared" si="61"/>
        <v>5.7943000000000007</v>
      </c>
      <c r="AB190" s="61"/>
      <c r="AC190" s="57"/>
      <c r="AD190" s="58" t="str">
        <f t="shared" si="62"/>
        <v>0842-06</v>
      </c>
      <c r="AE190" s="87" t="str">
        <f t="shared" si="63"/>
        <v>aws s3 cp s3://rtdc.mdm.uploadarchive.raw/RTDC4013/ "%USERPROFILE%\AppData\Local\Temp\OnboardLogs"\RTDC4013\2017-01-06 --exclude "*" --recursive --include "*20170106*" &amp; "%USERPROFILE%\Documents\GitHub\mrs-test-scripts\Headless Mode &amp; Sideloading\WalkAndUnGZ.bat" "%USERPROFILE%\AppData\Local\Temp\OnboardLogs"\RTDC4013\2017-01-06 &amp; 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</v>
      </c>
      <c r="AF190" s="84" t="str">
        <f t="shared" si="64"/>
        <v>"C:\Program Files (x86)\AstroGrep\AstroGrep.exe" /spath="%USERPROFILE%\AppData\Local\Temp\OnboardLogs" /stypes="app*4013*20170107*" /stext=" 04:.+((SYSTEM_STATE.+slice.+state.+changed )|(ment ac)|(multiple cpu faults)|(system.+state.+changed )|(\[timeout)|(PRM\|1\|D)|(kpr)|(kdp)|(\|lc)|(penalty))" /e /r /s</v>
      </c>
      <c r="AG190" s="1" t="str">
        <f t="shared" si="65"/>
        <v>NW</v>
      </c>
      <c r="AH190" s="88" t="str">
        <f t="shared" si="66"/>
        <v>"%USERPROFILE%\Documents\GitHub\eaglep3\Utilities\RefineRTDCRunTimes.py" --tripid 842-06 --locoid 4013 --swversion DE.1.0.8.0 --startMP 300:58653 --initTime 2017-01-06T20:39:37 --startdatetime 2017-01-06T20:41:32 --delay 1 --endMP 204:710 --enddatetime 2017-01-06T21:00:21 --enforcementcount 0 &gt;&gt;C:\Users\stu\Documents\GitHub\eaglep3-reporting\EC\2017-01-06-refined-times.txt</v>
      </c>
      <c r="AI190" s="115" t="str">
        <f t="shared" si="67"/>
        <v>echo {"issue":{"subject":"","project_id":79,"tracker_id":40,"status_id":1,"priority_id":2,"assigned_to_id":23,"start_date":"2017-01-06","description":"","custom_fields":[{"id":1,"name":"Subdivision","value":"NW"},{"id":4,"name":"Milepost","value":"0.071"},{"id":17,"name":"Train ID","value":"842-06"},{"id":16,"name":"Locomotive ID","value":"4013"},{"id":130,"name":"Impact","value":""},{"id":150,"name":"Time of Event (Mountain Time)","value":"21:00:21"},{"id":151,"name":"Denver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80" t="str">
        <f t="shared" si="68"/>
        <v>start /low /b %USERPROFILE%\Documents\GitHub\eaglep3\Utilities\DownloadLogsFromS3.py --loco 4013 --day 2017-01-06</v>
      </c>
    </row>
    <row r="191" spans="1:91" x14ac:dyDescent="0.25">
      <c r="A191" s="34" t="s">
        <v>631</v>
      </c>
      <c r="B191" s="7">
        <v>4014</v>
      </c>
      <c r="C191" s="22" t="s">
        <v>203</v>
      </c>
      <c r="D191" s="22" t="s">
        <v>326</v>
      </c>
      <c r="E191" s="13">
        <v>42741.834699074076</v>
      </c>
      <c r="F191" s="13">
        <v>42741.848217592589</v>
      </c>
      <c r="G191" s="7">
        <v>1</v>
      </c>
      <c r="H191" s="22" t="s">
        <v>800</v>
      </c>
      <c r="I191" s="13">
        <v>42741.859467592592</v>
      </c>
      <c r="J191" s="7">
        <v>0</v>
      </c>
      <c r="K191" s="105" t="str">
        <f t="shared" si="54"/>
        <v>4013/4014</v>
      </c>
      <c r="L191" s="22" t="str">
        <f>VLOOKUP(A191,'Trips&amp;Operators'!$C$1:$G$99999,5,FALSE)</f>
        <v>LEVERE CRAIG</v>
      </c>
      <c r="M191" s="6">
        <f t="shared" si="55"/>
        <v>1.1250000003201421E-2</v>
      </c>
      <c r="N191" s="7">
        <f t="shared" si="78"/>
        <v>16.200000004610047</v>
      </c>
      <c r="O191" s="7"/>
      <c r="P191" s="7"/>
      <c r="Q191" s="23"/>
      <c r="R191" s="23"/>
      <c r="S191" s="32">
        <f t="shared" si="82"/>
        <v>1</v>
      </c>
      <c r="T191" s="47" t="str">
        <f t="shared" si="79"/>
        <v>NorthBound</v>
      </c>
      <c r="U191" s="16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19:01:58-700',mode:absolute,to:'2017-01-06 21:37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1" s="49" t="str">
        <f t="shared" si="58"/>
        <v>N</v>
      </c>
      <c r="X191" s="173">
        <f t="shared" si="81"/>
        <v>1</v>
      </c>
      <c r="Y191" s="64">
        <f t="shared" si="59"/>
        <v>9.7199999999999995E-2</v>
      </c>
      <c r="Z191" s="64">
        <f t="shared" si="80"/>
        <v>5.8971</v>
      </c>
      <c r="AA191" s="64">
        <f t="shared" si="61"/>
        <v>5.7999000000000001</v>
      </c>
      <c r="AB191" s="61"/>
      <c r="AC191" s="57"/>
      <c r="AD191" s="58" t="str">
        <f t="shared" si="62"/>
        <v>0843-06</v>
      </c>
      <c r="AE191" s="87" t="str">
        <f t="shared" si="63"/>
        <v>aws s3 cp s3://rtdc.mdm.uploadarchive.raw/RTDC4014/ "%USERPROFILE%\AppData\Local\Temp\OnboardLogs"\RTDC4014\2017-01-06 --exclude "*" --recursive --include "*20170106*" &amp; "%USERPROFILE%\Documents\GitHub\mrs-test-scripts\Headless Mode &amp; Sideloading\WalkAndUnGZ.bat" "%USERPROFILE%\AppData\Local\Temp\OnboardLogs"\RTDC4014\2017-01-06 &amp; 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</v>
      </c>
      <c r="AF191" s="84" t="str">
        <f t="shared" si="64"/>
        <v>"C:\Program Files (x86)\AstroGrep\AstroGrep.exe" /spath="%USERPROFILE%\AppData\Local\Temp\OnboardLogs" /stypes="app*4014*20170107*" /stext=" 03:.+((SYSTEM_STATE.+slice.+state.+changed )|(ment ac)|(multiple cpu faults)|(system.+state.+changed )|(\[timeout)|(PRM\|1\|D)|(kpr)|(kdp)|(\|lc)|(penalty))" /e /r /s</v>
      </c>
      <c r="AG191" s="1" t="str">
        <f t="shared" si="65"/>
        <v>NW</v>
      </c>
      <c r="AH191" s="88" t="str">
        <f t="shared" si="66"/>
        <v>"%USERPROFILE%\Documents\GitHub\eaglep3\Utilities\RefineRTDCRunTimes.py" --tripid 843-06 --locoid 4014 --swversion DE.1.0.8.0 --startMP 204:972 --initTime 2017-01-06T20:01:58 --startdatetime 2017-01-06T20:21:26 --delay 1 --endMP 300:58971 --enddatetime 2017-01-06T20:37:38 --enforcementcount 0 &gt;&gt;C:\Users\stu\Documents\GitHub\eaglep3-reporting\EC\2017-01-06-refined-times.txt</v>
      </c>
      <c r="AI191" s="115" t="str">
        <f t="shared" si="67"/>
        <v>echo {"issue":{"subject":"","project_id":79,"tracker_id":40,"status_id":1,"priority_id":2,"assigned_to_id":23,"start_date":"2017-01-06","description":"","custom_fields":[{"id":1,"name":"Subdivision","value":"NW"},{"id":4,"name":"Milepost","value":"5.8971"},{"id":17,"name":"Train ID","value":"843-06"},{"id":16,"name":"Locomotive ID","value":"4014"},{"id":130,"name":"Impact","value":""},{"id":150,"name":"Time of Event (Mountain Time)","value":"20:37:38"},{"id":151,"name":"Denver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80" t="str">
        <f t="shared" si="68"/>
        <v>start /low /b %USERPROFILE%\Documents\GitHub\eaglep3\Utilities\DownloadLogsFromS3.py --loco 4014 --day 2017-01-06</v>
      </c>
    </row>
    <row r="192" spans="1:91" x14ac:dyDescent="0.25">
      <c r="A192" s="34" t="s">
        <v>640</v>
      </c>
      <c r="B192" s="7">
        <v>4013</v>
      </c>
      <c r="C192" s="22" t="s">
        <v>203</v>
      </c>
      <c r="D192" s="22" t="s">
        <v>810</v>
      </c>
      <c r="E192" s="13">
        <v>42741.901666666665</v>
      </c>
      <c r="F192" s="13">
        <v>42741.903483796297</v>
      </c>
      <c r="G192" s="7">
        <v>1</v>
      </c>
      <c r="H192" s="22" t="s">
        <v>776</v>
      </c>
      <c r="I192" s="13">
        <v>42741.914363425924</v>
      </c>
      <c r="J192" s="7">
        <v>0</v>
      </c>
      <c r="K192" s="105" t="str">
        <f t="shared" si="54"/>
        <v>4013/4014</v>
      </c>
      <c r="L192" s="22" t="str">
        <f>VLOOKUP(A192,'Trips&amp;Operators'!$C$1:$G$99999,5,FALSE)</f>
        <v>SMITH MICHAEL</v>
      </c>
      <c r="M192" s="6">
        <f t="shared" si="55"/>
        <v>1.0879629626288079E-2</v>
      </c>
      <c r="N192" s="7">
        <f t="shared" si="78"/>
        <v>15.666666661854833</v>
      </c>
      <c r="O192" s="7"/>
      <c r="P192" s="7"/>
      <c r="Q192" s="23"/>
      <c r="R192" s="23"/>
      <c r="S192" s="32">
        <f t="shared" si="82"/>
        <v>1</v>
      </c>
      <c r="T192" s="47" t="str">
        <f t="shared" si="79"/>
        <v>Southbound</v>
      </c>
      <c r="U192" s="16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20:38:24-700',mode:absolute,to:'2017-01-06 22:56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2" s="49" t="str">
        <f t="shared" si="58"/>
        <v>N</v>
      </c>
      <c r="X192" s="173">
        <f t="shared" si="81"/>
        <v>1</v>
      </c>
      <c r="Y192" s="64">
        <f t="shared" si="59"/>
        <v>5.8609</v>
      </c>
      <c r="Z192" s="64">
        <f t="shared" si="80"/>
        <v>6.8000000000000005E-2</v>
      </c>
      <c r="AA192" s="64">
        <f t="shared" si="61"/>
        <v>5.7929000000000004</v>
      </c>
      <c r="AB192" s="61"/>
      <c r="AC192" s="57"/>
      <c r="AD192" s="58" t="str">
        <f t="shared" si="62"/>
        <v>0844-06</v>
      </c>
      <c r="AE192" s="87" t="str">
        <f t="shared" si="63"/>
        <v>aws s3 cp s3://rtdc.mdm.uploadarchive.raw/RTDC4013/ "%USERPROFILE%\AppData\Local\Temp\OnboardLogs"\RTDC4013\2017-01-06 --exclude "*" --recursive --include "*20170106*" &amp; "%USERPROFILE%\Documents\GitHub\mrs-test-scripts\Headless Mode &amp; Sideloading\WalkAndUnGZ.bat" "%USERPROFILE%\AppData\Local\Temp\OnboardLogs"\RTDC4013\2017-01-06 &amp; 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</v>
      </c>
      <c r="AF192" s="84" t="str">
        <f t="shared" si="64"/>
        <v>"C:\Program Files (x86)\AstroGrep\AstroGrep.exe" /spath="%USERPROFILE%\AppData\Local\Temp\OnboardLogs" /stypes="app*4013*20170107*" /stext=" 04:.+((SYSTEM_STATE.+slice.+state.+changed )|(ment ac)|(multiple cpu faults)|(system.+state.+changed )|(\[timeout)|(PRM\|1\|D)|(kpr)|(kdp)|(\|lc)|(penalty))" /e /r /s</v>
      </c>
      <c r="AG192" s="1" t="str">
        <f t="shared" si="65"/>
        <v>NW</v>
      </c>
      <c r="AH192" s="88" t="str">
        <f t="shared" si="66"/>
        <v>"%USERPROFILE%\Documents\GitHub\eaglep3\Utilities\RefineRTDCRunTimes.py" --tripid 844-06 --locoid 4013 --swversion DE.1.0.8.0 --startMP 300:58609 --initTime 2017-01-06T21:38:24 --startdatetime 2017-01-06T21:41:01 --delay 1 --endMP 204:680 --enddatetime 2017-01-06T21:56:41 --enforcementcount 0 &gt;&gt;C:\Users\stu\Documents\GitHub\eaglep3-reporting\EC\2017-01-06-refined-times.txt</v>
      </c>
      <c r="AI192" s="115" t="str">
        <f t="shared" si="67"/>
        <v>echo {"issue":{"subject":"","project_id":79,"tracker_id":40,"status_id":1,"priority_id":2,"assigned_to_id":23,"start_date":"2017-01-06","description":"","custom_fields":[{"id":1,"name":"Subdivision","value":"NW"},{"id":4,"name":"Milepost","value":"0.068"},{"id":17,"name":"Train ID","value":"844-06"},{"id":16,"name":"Locomotive ID","value":"4013"},{"id":130,"name":"Impact","value":""},{"id":150,"name":"Time of Event (Mountain Time)","value":"21:56:41"},{"id":151,"name":"Denver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80" t="str">
        <f t="shared" si="68"/>
        <v>start /low /b %USERPROFILE%\Documents\GitHub\eaglep3\Utilities\DownloadLogsFromS3.py --loco 4013 --day 2017-01-06</v>
      </c>
    </row>
    <row r="193" spans="1:91" s="21" customFormat="1" x14ac:dyDescent="0.25">
      <c r="A193" s="34" t="s">
        <v>637</v>
      </c>
      <c r="B193" s="7">
        <v>4014</v>
      </c>
      <c r="C193" s="22" t="s">
        <v>203</v>
      </c>
      <c r="D193" s="22" t="s">
        <v>372</v>
      </c>
      <c r="E193" s="13">
        <v>42741.877476851849</v>
      </c>
      <c r="F193" s="13">
        <v>42741.889814814815</v>
      </c>
      <c r="G193" s="7">
        <v>2</v>
      </c>
      <c r="H193" s="22" t="s">
        <v>374</v>
      </c>
      <c r="I193" s="13">
        <v>42741.900625000002</v>
      </c>
      <c r="J193" s="7">
        <v>0</v>
      </c>
      <c r="K193" s="105" t="str">
        <f t="shared" si="54"/>
        <v>4013/4014</v>
      </c>
      <c r="L193" s="22" t="str">
        <f>VLOOKUP(A193,'Trips&amp;Operators'!$C$1:$G$99999,5,FALSE)</f>
        <v>SMITH MICHAEL</v>
      </c>
      <c r="M193" s="6">
        <f t="shared" si="55"/>
        <v>1.0810185187438037E-2</v>
      </c>
      <c r="N193" s="7">
        <f t="shared" si="78"/>
        <v>15.566666669910774</v>
      </c>
      <c r="O193" s="7"/>
      <c r="P193" s="7"/>
      <c r="Q193" s="23"/>
      <c r="R193" s="23"/>
      <c r="S193" s="32">
        <f t="shared" si="82"/>
        <v>1</v>
      </c>
      <c r="T193" s="47" t="str">
        <f t="shared" si="79"/>
        <v>NorthBound</v>
      </c>
      <c r="U193" s="16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20:03:34-700',mode:absolute,to:'2017-01-06 22:36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3" s="49" t="str">
        <f t="shared" si="58"/>
        <v>N</v>
      </c>
      <c r="X193" s="173">
        <f t="shared" si="81"/>
        <v>1</v>
      </c>
      <c r="Y193" s="64">
        <f t="shared" si="59"/>
        <v>9.7600000000000006E-2</v>
      </c>
      <c r="Z193" s="64">
        <f t="shared" si="80"/>
        <v>5.8925999999999998</v>
      </c>
      <c r="AA193" s="64">
        <f t="shared" si="61"/>
        <v>5.7949999999999999</v>
      </c>
      <c r="AB193" s="61"/>
      <c r="AC193" s="57"/>
      <c r="AD193" s="58" t="str">
        <f t="shared" si="62"/>
        <v>0845-06</v>
      </c>
      <c r="AE193" s="87" t="str">
        <f t="shared" si="63"/>
        <v>aws s3 cp s3://rtdc.mdm.uploadarchive.raw/RTDC4014/ "%USERPROFILE%\AppData\Local\Temp\OnboardLogs"\RTDC4014\2017-01-06 --exclude "*" --recursive --include "*20170106*" &amp; "%USERPROFILE%\Documents\GitHub\mrs-test-scripts\Headless Mode &amp; Sideloading\WalkAndUnGZ.bat" "%USERPROFILE%\AppData\Local\Temp\OnboardLogs"\RTDC4014\2017-01-06 &amp; 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</v>
      </c>
      <c r="AF193" s="84" t="str">
        <f t="shared" si="64"/>
        <v>"C:\Program Files (x86)\AstroGrep\AstroGrep.exe" /spath="%USERPROFILE%\AppData\Local\Temp\OnboardLogs" /stypes="app*4014*20170107*" /stext=" 04:.+((SYSTEM_STATE.+slice.+state.+changed )|(ment ac)|(multiple cpu faults)|(system.+state.+changed )|(\[timeout)|(PRM\|1\|D)|(kpr)|(kdp)|(\|lc)|(penalty))" /e /r /s</v>
      </c>
      <c r="AG193" s="1" t="str">
        <f t="shared" si="65"/>
        <v>NW</v>
      </c>
      <c r="AH193" s="88" t="str">
        <f t="shared" si="66"/>
        <v>"%USERPROFILE%\Documents\GitHub\eaglep3\Utilities\RefineRTDCRunTimes.py" --tripid 845-06 --locoid 4014 --swversion DE.1.0.8.0 --startMP 204:976 --initTime 2017-01-06T21:03:34 --startdatetime 2017-01-06T21:21:20 --delay 2 --endMP 300:58926 --enddatetime 2017-01-06T21:36:54 --enforcementcount 0 &gt;&gt;C:\Users\stu\Documents\GitHub\eaglep3-reporting\EC\2017-01-06-refined-times.txt</v>
      </c>
      <c r="AI193" s="115" t="str">
        <f t="shared" si="67"/>
        <v>echo {"issue":{"subject":"","project_id":79,"tracker_id":40,"status_id":1,"priority_id":2,"assigned_to_id":23,"start_date":"2017-01-06","description":"","custom_fields":[{"id":1,"name":"Subdivision","value":"NW"},{"id":4,"name":"Milepost","value":"5.8926"},{"id":17,"name":"Train ID","value":"845-06"},{"id":16,"name":"Locomotive ID","value":"4014"},{"id":130,"name":"Impact","value":""},{"id":150,"name":"Time of Event (Mountain Time)","value":"21:36:54"},{"id":151,"name":"Denver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80" t="str">
        <f t="shared" si="68"/>
        <v>start /low /b %USERPROFILE%\Documents\GitHub\eaglep3\Utilities\DownloadLogsFromS3.py --loco 4014 --day 2017-01-06</v>
      </c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4" t="s">
        <v>642</v>
      </c>
      <c r="B194" s="7">
        <v>4014</v>
      </c>
      <c r="C194" s="22" t="s">
        <v>203</v>
      </c>
      <c r="D194" s="22" t="s">
        <v>372</v>
      </c>
      <c r="E194" s="13">
        <v>42741.919594907406</v>
      </c>
      <c r="F194" s="13">
        <v>42741.931469907409</v>
      </c>
      <c r="G194" s="7">
        <v>1</v>
      </c>
      <c r="H194" s="22" t="s">
        <v>811</v>
      </c>
      <c r="I194" s="13">
        <v>42741.941793981481</v>
      </c>
      <c r="J194" s="7">
        <v>0</v>
      </c>
      <c r="K194" s="105" t="str">
        <f t="shared" si="54"/>
        <v>4013/4014</v>
      </c>
      <c r="L194" s="22" t="str">
        <f>VLOOKUP(A194,'Trips&amp;Operators'!$C$1:$G$99999,5,FALSE)</f>
        <v>SMITH MICHAEL</v>
      </c>
      <c r="M194" s="6">
        <f t="shared" si="55"/>
        <v>1.0324074071832001E-2</v>
      </c>
      <c r="N194" s="7">
        <f t="shared" si="78"/>
        <v>14.866666663438082</v>
      </c>
      <c r="O194" s="7"/>
      <c r="P194" s="7"/>
      <c r="Q194" s="23"/>
      <c r="R194" s="23"/>
      <c r="S194" s="32">
        <f t="shared" si="82"/>
        <v>1</v>
      </c>
      <c r="T194" s="47" t="str">
        <f t="shared" si="79"/>
        <v>NorthBound</v>
      </c>
      <c r="U194" s="16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21:04:13-700',mode:absolute,to:'2017-01-06 23:36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4" s="49" t="str">
        <f t="shared" si="58"/>
        <v>N</v>
      </c>
      <c r="X194" s="173">
        <f t="shared" si="81"/>
        <v>2</v>
      </c>
      <c r="Y194" s="64">
        <f t="shared" si="59"/>
        <v>9.7600000000000006E-2</v>
      </c>
      <c r="Z194" s="64">
        <f t="shared" si="80"/>
        <v>5.8929</v>
      </c>
      <c r="AA194" s="64">
        <f t="shared" si="61"/>
        <v>5.7953000000000001</v>
      </c>
      <c r="AB194" s="61"/>
      <c r="AC194" s="57"/>
      <c r="AD194" s="58" t="str">
        <f t="shared" si="62"/>
        <v>0847-06</v>
      </c>
      <c r="AE194" s="87" t="str">
        <f t="shared" si="63"/>
        <v>aws s3 cp s3://rtdc.mdm.uploadarchive.raw/RTDC4014/ "%USERPROFILE%\AppData\Local\Temp\OnboardLogs"\RTDC4014\2017-01-06 --exclude "*" --recursive --include "*20170106*" &amp; "%USERPROFILE%\Documents\GitHub\mrs-test-scripts\Headless Mode &amp; Sideloading\WalkAndUnGZ.bat" "%USERPROFILE%\AppData\Local\Temp\OnboardLogs"\RTDC4014\2017-01-06 &amp; 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</v>
      </c>
      <c r="AF194" s="84" t="str">
        <f t="shared" si="64"/>
        <v>"C:\Program Files (x86)\AstroGrep\AstroGrep.exe" /spath="%USERPROFILE%\AppData\Local\Temp\OnboardLogs" /stypes="app*4014*20170107*" /stext=" 05:.+((SYSTEM_STATE.+slice.+state.+changed )|(ment ac)|(multiple cpu faults)|(system.+state.+changed )|(\[timeout)|(PRM\|1\|D)|(kpr)|(kdp)|(\|lc)|(penalty))" /e /r /s</v>
      </c>
      <c r="AG194" s="1" t="str">
        <f t="shared" si="65"/>
        <v>NW</v>
      </c>
      <c r="AH194" s="88" t="str">
        <f t="shared" si="66"/>
        <v>"%USERPROFILE%\Documents\GitHub\eaglep3\Utilities\RefineRTDCRunTimes.py" --tripid 847-06 --locoid 4014 --swversion DE.1.0.8.0 --startMP 204:976 --initTime 2017-01-06T22:04:13 --startdatetime 2017-01-06T22:21:19 --delay 1 --endMP 300:58929 --enddatetime 2017-01-06T22:36:11 --enforcementcount 0 &gt;&gt;C:\Users\stu\Documents\GitHub\eaglep3-reporting\EC\2017-01-06-refined-times.txt</v>
      </c>
      <c r="AI194" s="115" t="str">
        <f t="shared" si="67"/>
        <v>echo {"issue":{"subject":"","project_id":79,"tracker_id":40,"status_id":1,"priority_id":2,"assigned_to_id":23,"start_date":"2017-01-06","description":"","custom_fields":[{"id":1,"name":"Subdivision","value":"NW"},{"id":4,"name":"Milepost","value":"5.8929"},{"id":17,"name":"Train ID","value":"847-06"},{"id":16,"name":"Locomotive ID","value":"4014"},{"id":130,"name":"Impact","value":""},{"id":150,"name":"Time of Event (Mountain Time)","value":"22:36:11"},{"id":151,"name":"Denver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80" t="str">
        <f t="shared" si="68"/>
        <v>start /low /b %USERPROFILE%\Documents\GitHub\eaglep3\Utilities\DownloadLogsFromS3.py --loco 4014 --day 2017-01-06</v>
      </c>
    </row>
    <row r="195" spans="1:91" s="21" customFormat="1" x14ac:dyDescent="0.25">
      <c r="A195" s="34" t="s">
        <v>475</v>
      </c>
      <c r="B195" s="7">
        <v>4010</v>
      </c>
      <c r="C195" s="22" t="s">
        <v>203</v>
      </c>
      <c r="D195" s="22" t="s">
        <v>751</v>
      </c>
      <c r="E195" s="13">
        <v>42741.114479166667</v>
      </c>
      <c r="F195" s="13">
        <v>42741.115682870368</v>
      </c>
      <c r="G195" s="7">
        <v>1</v>
      </c>
      <c r="H195" s="22" t="s">
        <v>192</v>
      </c>
      <c r="I195" s="13">
        <v>42741.12232638889</v>
      </c>
      <c r="J195" s="7">
        <v>0</v>
      </c>
      <c r="K195" s="105" t="str">
        <f t="shared" si="54"/>
        <v>4009/4010</v>
      </c>
      <c r="L195" s="22" t="str">
        <f>VLOOKUP(A195,'Trips&amp;Operators'!$C$1:$G$99999,5,FALSE)</f>
        <v>ISHMAEL JOSEPH</v>
      </c>
      <c r="M195" s="6">
        <f t="shared" si="55"/>
        <v>6.6435185217414983E-3</v>
      </c>
      <c r="N195" s="7">
        <f t="shared" si="78"/>
        <v>9.5666666713077575</v>
      </c>
      <c r="O195" s="7"/>
      <c r="P195" s="7"/>
      <c r="Q195" s="23"/>
      <c r="R195" s="23"/>
      <c r="S195" s="32">
        <f t="shared" si="82"/>
        <v>1</v>
      </c>
      <c r="T195" s="47" t="str">
        <f t="shared" si="79"/>
        <v>Southbound</v>
      </c>
      <c r="U195" s="16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01:44:51-700',mode:absolute,to:'2017-01-06 03:56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5" s="49" t="str">
        <f t="shared" si="58"/>
        <v>Y</v>
      </c>
      <c r="X195" s="173">
        <f t="shared" si="81"/>
        <v>-545</v>
      </c>
      <c r="Y195" s="64">
        <f t="shared" si="59"/>
        <v>2.3062999999999998</v>
      </c>
      <c r="Z195" s="64">
        <f t="shared" si="80"/>
        <v>1.43E-2</v>
      </c>
      <c r="AA195" s="64">
        <f t="shared" si="61"/>
        <v>2.2919999999999998</v>
      </c>
      <c r="AB195" s="61"/>
      <c r="AC195" s="57"/>
      <c r="AD195" s="58" t="str">
        <f t="shared" si="62"/>
        <v>0302-06</v>
      </c>
      <c r="AE195" s="87" t="str">
        <f t="shared" si="63"/>
        <v>aws s3 cp s3://rtdc.mdm.uploadarchive.raw/RTDC4010/ "%USERPROFILE%\AppData\Local\Temp\OnboardLogs"\RTDC4010\2017-01-06 --exclude "*" --recursive --include "*20170106*" &amp; "%USERPROFILE%\Documents\GitHub\mrs-test-scripts\Headless Mode &amp; Sideloading\WalkAndUnGZ.bat" "%USERPROFILE%\AppData\Local\Temp\OnboardLogs"\RTDC4010\2017-01-06 &amp; aws s3 cp s3://rtdc.mdm.uploadarchive.raw/RTDC4010/ "%USERPROFILE%\AppData\Local\Temp\OnboardLogs"\RTDC4010\2017-01-07 --exclude "*" --recursive --include "*20170107*" &amp; "%USERPROFILE%\Documents\GitHub\mrs-test-scripts\Headless Mode &amp; Sideloading\WalkAndUnGZ.bat" "%USERPROFILE%\AppData\Local\Temp\OnboardLogs"\RTDC4010\2017-01-07</v>
      </c>
      <c r="AF195" s="84" t="str">
        <f t="shared" si="64"/>
        <v>"C:\Program Files (x86)\AstroGrep\AstroGrep.exe" /spath="%USERPROFILE%\AppData\Local\Temp\OnboardLogs" /stypes="app*4010*20170106*" /stext=" 09:.+((SYSTEM_STATE.+slice.+state.+changed )|(ment ac)|(multiple cpu faults)|(system.+state.+changed )|(\[timeout)|(PRM\|1\|D)|(kpr)|(kdp)|(\|lc)|(penalty))" /e /r /s</v>
      </c>
      <c r="AG195" s="1" t="str">
        <f t="shared" si="65"/>
        <v>Other</v>
      </c>
      <c r="AH195" s="88" t="str">
        <f t="shared" si="66"/>
        <v>"%USERPROFILE%\Documents\GitHub\eaglep3\Utilities\RefineRTDCRunTimes.py" --tripid 302-06 --locoid 4010 --swversion DE.1.0.8.0 --startMP 300:23063 --initTime 2017-01-06T02:44:51 --startdatetime 2017-01-06T02:46:35 --delay 1 --endMP 204:143 --enddatetime 2017-01-06T02:56:09 --enforcementcount 0 &gt;&gt;C:\Users\stu\Documents\GitHub\eaglep3-reporting\EC\2017-01-06-refined-times.txt</v>
      </c>
      <c r="AI195" s="115" t="str">
        <f t="shared" si="67"/>
        <v>echo {"issue":{"subject":"","project_id":79,"tracker_id":40,"status_id":1,"priority_id":2,"assigned_to_id":23,"start_date":"2017-01-06","description":"","custom_fields":[{"id":1,"name":"Subdivision","value":"Other"},{"id":4,"name":"Milepost","value":"0.0143"},{"id":17,"name":"Train ID","value":"302-06"},{"id":16,"name":"Locomotive ID","value":"4010"},{"id":130,"name":"Impact","value":""},{"id":150,"name":"Time of Event (Mountain Time)","value":"02:56:09"},{"id":151,"name":"Denver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80" t="str">
        <f t="shared" si="68"/>
        <v>start /low /b %USERPROFILE%\Documents\GitHub\eaglep3\Utilities\DownloadLogsFromS3.py --loco 4010 --day 2017-01-06</v>
      </c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4" t="s">
        <v>622</v>
      </c>
      <c r="B196" s="7">
        <v>4044</v>
      </c>
      <c r="C196" s="22" t="s">
        <v>203</v>
      </c>
      <c r="D196" s="22" t="s">
        <v>244</v>
      </c>
      <c r="E196" s="13">
        <v>42741.788923611108</v>
      </c>
      <c r="F196" s="13">
        <v>42741.791574074072</v>
      </c>
      <c r="G196" s="7">
        <v>1</v>
      </c>
      <c r="H196" s="22" t="s">
        <v>432</v>
      </c>
      <c r="I196" s="13">
        <v>42741.798946759256</v>
      </c>
      <c r="J196" s="7">
        <v>0</v>
      </c>
      <c r="K196" s="105" t="str">
        <f t="shared" si="54"/>
        <v>4043/4044</v>
      </c>
      <c r="L196" s="22" t="str">
        <f>VLOOKUP(A196,'Trips&amp;Operators'!$C$1:$G$99999,5,FALSE)</f>
        <v>CLARK KATHLEEN</v>
      </c>
      <c r="M196" s="6">
        <f t="shared" si="55"/>
        <v>7.3726851842366159E-3</v>
      </c>
      <c r="N196" s="7">
        <f t="shared" si="78"/>
        <v>10.616666665300727</v>
      </c>
      <c r="O196" s="7"/>
      <c r="P196" s="7"/>
      <c r="Q196" s="23"/>
      <c r="R196" s="23"/>
      <c r="S196" s="32">
        <f t="shared" si="82"/>
        <v>1</v>
      </c>
      <c r="T196" s="47" t="str">
        <f t="shared" si="79"/>
        <v>NorthBound</v>
      </c>
      <c r="U196" s="16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17:56:03-700',mode:absolute,to:'2017-01-06 20:10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6" s="49" t="str">
        <f t="shared" si="58"/>
        <v>Y</v>
      </c>
      <c r="X196" s="173">
        <f t="shared" si="81"/>
        <v>1</v>
      </c>
      <c r="Y196" s="64">
        <f t="shared" si="59"/>
        <v>4.6399999999999997E-2</v>
      </c>
      <c r="Z196" s="64">
        <f t="shared" si="80"/>
        <v>2.3346</v>
      </c>
      <c r="AA196" s="64">
        <f t="shared" si="61"/>
        <v>2.2881999999999998</v>
      </c>
      <c r="AB196" s="61"/>
      <c r="AC196" s="57"/>
      <c r="AD196" s="58" t="str">
        <f t="shared" si="62"/>
        <v>0303-06</v>
      </c>
      <c r="AE196" s="87" t="str">
        <f t="shared" si="63"/>
        <v>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 &amp; aws s3 cp s3://rtdc.mdm.uploadarchive.raw/RTDC4044/ "%USERPROFILE%\AppData\Local\Temp\OnboardLogs"\RTDC4044\2017-01-07 --exclude "*" --recursive --include "*20170107*" &amp; "%USERPROFILE%\Documents\GitHub\mrs-test-scripts\Headless Mode &amp; Sideloading\WalkAndUnGZ.bat" "%USERPROFILE%\AppData\Local\Temp\OnboardLogs"\RTDC4044\2017-01-07</v>
      </c>
      <c r="AF196" s="84" t="str">
        <f t="shared" si="64"/>
        <v>"C:\Program Files (x86)\AstroGrep\AstroGrep.exe" /spath="%USERPROFILE%\AppData\Local\Temp\OnboardLogs" /stypes="app*4044*20170107*" /stext=" 02:.+((SYSTEM_STATE.+slice.+state.+changed )|(ment ac)|(multiple cpu faults)|(system.+state.+changed )|(\[timeout)|(PRM\|1\|D)|(kpr)|(kdp)|(\|lc)|(penalty))" /e /r /s</v>
      </c>
      <c r="AG196" s="1" t="str">
        <f t="shared" si="65"/>
        <v>Other</v>
      </c>
      <c r="AH196" s="88" t="str">
        <f t="shared" si="66"/>
        <v>"%USERPROFILE%\Documents\GitHub\eaglep3\Utilities\RefineRTDCRunTimes.py" --tripid 303-06 --locoid 4044 --swversion DE.1.0.8.0 --startMP 204:464 --initTime 2017-01-06T18:56:03 --startdatetime 2017-01-06T18:59:52 --delay 1 --endMP 300:23346 --enddatetime 2017-01-06T19:10:29 --enforcementcount 0 &gt;&gt;C:\Users\stu\Documents\GitHub\eaglep3-reporting\EC\2017-01-06-refined-times.txt</v>
      </c>
      <c r="AI196" s="115" t="str">
        <f t="shared" si="67"/>
        <v>echo {"issue":{"subject":"","project_id":79,"tracker_id":40,"status_id":1,"priority_id":2,"assigned_to_id":23,"start_date":"2017-01-06","description":"","custom_fields":[{"id":1,"name":"Subdivision","value":"Other"},{"id":4,"name":"Milepost","value":"2.3346"},{"id":17,"name":"Train ID","value":"303-06"},{"id":16,"name":"Locomotive ID","value":"4044"},{"id":130,"name":"Impact","value":""},{"id":150,"name":"Time of Event (Mountain Time)","value":"19:10:29"},{"id":151,"name":"Denver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80" t="str">
        <f t="shared" si="68"/>
        <v>start /low /b %USERPROFILE%\Documents\GitHub\eaglep3\Utilities\DownloadLogsFromS3.py --loco 4044 --day 2017-01-06</v>
      </c>
    </row>
    <row r="197" spans="1:91" x14ac:dyDescent="0.25">
      <c r="A197" s="34" t="s">
        <v>477</v>
      </c>
      <c r="B197" s="7">
        <v>4028</v>
      </c>
      <c r="C197" s="22" t="s">
        <v>203</v>
      </c>
      <c r="D197" s="22" t="s">
        <v>752</v>
      </c>
      <c r="E197" s="13">
        <v>42741.140833333331</v>
      </c>
      <c r="F197" s="13">
        <v>42741.142025462963</v>
      </c>
      <c r="G197" s="7">
        <v>1</v>
      </c>
      <c r="H197" s="22" t="s">
        <v>209</v>
      </c>
      <c r="I197" s="13">
        <v>42741.149259259262</v>
      </c>
      <c r="J197" s="7">
        <v>0</v>
      </c>
      <c r="K197" s="105" t="str">
        <f t="shared" si="54"/>
        <v>4027/4028</v>
      </c>
      <c r="L197" s="22" t="str">
        <f>VLOOKUP(A197,'Trips&amp;Operators'!$C$1:$G$99999,5,FALSE)</f>
        <v>ACKERMAN JARED</v>
      </c>
      <c r="M197" s="6">
        <f t="shared" si="55"/>
        <v>7.2337962992605753E-3</v>
      </c>
      <c r="N197" s="7">
        <f t="shared" si="78"/>
        <v>10.416666670935228</v>
      </c>
      <c r="O197" s="7"/>
      <c r="P197" s="7"/>
      <c r="Q197" s="23"/>
      <c r="R197" s="23"/>
      <c r="S197" s="32">
        <f t="shared" si="82"/>
        <v>1</v>
      </c>
      <c r="T197" s="47" t="str">
        <f t="shared" si="79"/>
        <v>Southbound</v>
      </c>
      <c r="U197" s="16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02:22:48-700',mode:absolute,to:'2017-01-06 04:34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97" s="49" t="str">
        <f t="shared" si="58"/>
        <v>Y</v>
      </c>
      <c r="X197" s="173">
        <f t="shared" si="81"/>
        <v>1</v>
      </c>
      <c r="Y197" s="64">
        <f t="shared" si="59"/>
        <v>2.2342</v>
      </c>
      <c r="Z197" s="64">
        <f t="shared" si="80"/>
        <v>1.4999999999999999E-2</v>
      </c>
      <c r="AA197" s="64">
        <f t="shared" si="61"/>
        <v>2.2191999999999998</v>
      </c>
      <c r="AB197" s="61"/>
      <c r="AC197" s="57"/>
      <c r="AD197" s="58" t="str">
        <f t="shared" si="62"/>
        <v>0304-06</v>
      </c>
      <c r="AE197" s="87" t="str">
        <f t="shared" si="63"/>
        <v>aws s3 cp s3://rtdc.mdm.uploadarchive.raw/RTDC4028/ "%USERPROFILE%\AppData\Local\Temp\OnboardLogs"\RTDC4028\2017-01-06 --exclude "*" --recursive --include "*20170106*" &amp; "%USERPROFILE%\Documents\GitHub\mrs-test-scripts\Headless Mode &amp; Sideloading\WalkAndUnGZ.bat" "%USERPROFILE%\AppData\Local\Temp\OnboardLogs"\RTDC4028\2017-01-06 &amp; aws s3 cp s3://rtdc.mdm.uploadarchive.raw/RTDC4028/ "%USERPROFILE%\AppData\Local\Temp\OnboardLogs"\RTDC4028\2017-01-07 --exclude "*" --recursive --include "*20170107*" &amp; "%USERPROFILE%\Documents\GitHub\mrs-test-scripts\Headless Mode &amp; Sideloading\WalkAndUnGZ.bat" "%USERPROFILE%\AppData\Local\Temp\OnboardLogs"\RTDC4028\2017-01-07</v>
      </c>
      <c r="AF197" s="84" t="str">
        <f t="shared" si="64"/>
        <v>"C:\Program Files (x86)\AstroGrep\AstroGrep.exe" /spath="%USERPROFILE%\AppData\Local\Temp\OnboardLogs" /stypes="app*4028*20170106*" /stext=" 10:.+((SYSTEM_STATE.+slice.+state.+changed )|(ment ac)|(multiple cpu faults)|(system.+state.+changed )|(\[timeout)|(PRM\|1\|D)|(kpr)|(kdp)|(\|lc)|(penalty))" /e /r /s</v>
      </c>
      <c r="AG197" s="1" t="str">
        <f t="shared" si="65"/>
        <v>Other</v>
      </c>
      <c r="AH197" s="88" t="str">
        <f t="shared" si="66"/>
        <v>"%USERPROFILE%\Documents\GitHub\eaglep3\Utilities\RefineRTDCRunTimes.py" --tripid 304-06 --locoid 4028 --swversion DE.1.0.8.0 --startMP 300:22342 --initTime 2017-01-06T03:22:48 --startdatetime 2017-01-06T03:24:31 --delay 1 --endMP 204:150 --enddatetime 2017-01-06T03:34:56 --enforcementcount 0 &gt;&gt;C:\Users\stu\Documents\GitHub\eaglep3-reporting\EC\2017-01-06-refined-times.txt</v>
      </c>
      <c r="AI197" s="115" t="str">
        <f t="shared" si="67"/>
        <v>echo {"issue":{"subject":"","project_id":79,"tracker_id":40,"status_id":1,"priority_id":2,"assigned_to_id":23,"start_date":"2017-01-06","description":"","custom_fields":[{"id":1,"name":"Subdivision","value":"Other"},{"id":4,"name":"Milepost","value":"0.015"},{"id":17,"name":"Train ID","value":"304-06"},{"id":16,"name":"Locomotive ID","value":"4028"},{"id":130,"name":"Impact","value":""},{"id":150,"name":"Time of Event (Mountain Time)","value":"03:34:56"},{"id":151,"name":"Denver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80" t="str">
        <f t="shared" si="68"/>
        <v>start /low /b %USERPROFILE%\Documents\GitHub\eaglep3\Utilities\DownloadLogsFromS3.py --loco 4028 --day 2017-01-06</v>
      </c>
    </row>
    <row r="198" spans="1:91" x14ac:dyDescent="0.25">
      <c r="A198" s="34" t="s">
        <v>626</v>
      </c>
      <c r="B198" s="7">
        <v>4029</v>
      </c>
      <c r="C198" s="22" t="s">
        <v>203</v>
      </c>
      <c r="D198" s="22" t="s">
        <v>692</v>
      </c>
      <c r="E198" s="13">
        <v>42741.79954861111</v>
      </c>
      <c r="F198" s="13">
        <v>25568.708333333332</v>
      </c>
      <c r="G198" s="7">
        <v>1</v>
      </c>
      <c r="H198" s="22" t="s">
        <v>753</v>
      </c>
      <c r="I198" s="13">
        <v>25568.708333333332</v>
      </c>
      <c r="J198" s="7">
        <v>0</v>
      </c>
      <c r="K198" s="105" t="str">
        <f t="shared" si="54"/>
        <v>4029/4030</v>
      </c>
      <c r="L198" s="22" t="str">
        <f>VLOOKUP(A198,'Trips&amp;Operators'!$C$1:$G$99999,5,FALSE)</f>
        <v>HELVIE ADAM</v>
      </c>
      <c r="M198" s="6">
        <f t="shared" si="55"/>
        <v>0</v>
      </c>
      <c r="N198" s="7">
        <f t="shared" si="78"/>
        <v>0</v>
      </c>
      <c r="O198" s="7"/>
      <c r="P198" s="7"/>
      <c r="Q198" s="23"/>
      <c r="R198" s="23"/>
      <c r="S198" s="32">
        <f t="shared" si="82"/>
        <v>1</v>
      </c>
      <c r="T198" s="47" t="str">
        <f t="shared" si="79"/>
        <v>NorthBound</v>
      </c>
      <c r="U198" s="16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18:11:21-700',mode:absolute,to:'1969-12-31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8" s="49" t="str">
        <f t="shared" si="58"/>
        <v>Y</v>
      </c>
      <c r="X198" s="173">
        <f t="shared" si="81"/>
        <v>1</v>
      </c>
      <c r="Y198" s="64">
        <f t="shared" si="59"/>
        <v>4.7300000000000002E-2</v>
      </c>
      <c r="Z198" s="64">
        <f t="shared" si="80"/>
        <v>2.3283999999999998</v>
      </c>
      <c r="AA198" s="64">
        <f t="shared" si="61"/>
        <v>2.2810999999999999</v>
      </c>
      <c r="AB198" s="61"/>
      <c r="AC198" s="57"/>
      <c r="AD198" s="58" t="str">
        <f t="shared" si="62"/>
        <v>0305-06</v>
      </c>
      <c r="AE198" s="87" t="str">
        <f t="shared" si="63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198" s="84" t="str">
        <f t="shared" si="64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198" s="1" t="str">
        <f t="shared" si="65"/>
        <v>Other</v>
      </c>
      <c r="AH198" s="88" t="str">
        <f t="shared" si="66"/>
        <v>"%USERPROFILE%\Documents\GitHub\eaglep3\Utilities\RefineRTDCRunTimes.py" --tripid 305-06 --locoid 4029 --swversion DE.1.0.8.0 --startMP 204:473 --initTime 2017-01-06T19:11:21 --startdatetime 1969-12-31T17:00:00 --delay 1 --endMP 300:23284 --enddatetime 1969-12-31T17:00:00 --enforcementcount 0 &gt;&gt;C:\Users\stu\Documents\GitHub\eaglep3-reporting\EC\2017-01-06-refined-times.txt</v>
      </c>
      <c r="AI198" s="115" t="str">
        <f t="shared" si="67"/>
        <v>echo {"issue":{"subject":"","project_id":79,"tracker_id":40,"status_id":1,"priority_id":2,"assigned_to_id":23,"start_date":"1969-12-31","description":"","custom_fields":[{"id":1,"name":"Subdivision","value":"Other"},{"id":4,"name":"Milepost","value":"2.3284"},{"id":17,"name":"Train ID","value":"305-06"},{"id":16,"name":"Locomotive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80" t="str">
        <f t="shared" si="68"/>
        <v>start /low /b %USERPROFILE%\Documents\GitHub\eaglep3\Utilities\DownloadLogsFromS3.py --loco 4029 --day 1969-12-31</v>
      </c>
    </row>
    <row r="199" spans="1:91" x14ac:dyDescent="0.25">
      <c r="A199" s="34" t="s">
        <v>481</v>
      </c>
      <c r="B199" s="7">
        <v>4032</v>
      </c>
      <c r="C199" s="22" t="s">
        <v>203</v>
      </c>
      <c r="D199" s="22" t="s">
        <v>754</v>
      </c>
      <c r="E199" s="13">
        <v>42741.157870370371</v>
      </c>
      <c r="F199" s="13">
        <v>42741.159155092595</v>
      </c>
      <c r="G199" s="7">
        <v>1</v>
      </c>
      <c r="H199" s="22" t="s">
        <v>755</v>
      </c>
      <c r="I199" s="13">
        <v>42741.165844907409</v>
      </c>
      <c r="J199" s="7">
        <v>0</v>
      </c>
      <c r="K199" s="105" t="str">
        <f t="shared" si="54"/>
        <v>4031/4032</v>
      </c>
      <c r="L199" s="22" t="str">
        <f>VLOOKUP(A199,'Trips&amp;Operators'!$C$1:$G$99999,5,FALSE)</f>
        <v>ROBINSON KADDIBA</v>
      </c>
      <c r="M199" s="6">
        <f t="shared" si="55"/>
        <v>6.6898148143081926E-3</v>
      </c>
      <c r="N199" s="7">
        <f t="shared" si="78"/>
        <v>9.6333333326037973</v>
      </c>
      <c r="O199" s="7"/>
      <c r="P199" s="7"/>
      <c r="Q199" s="23"/>
      <c r="R199" s="23"/>
      <c r="S199" s="32">
        <f t="shared" si="82"/>
        <v>1</v>
      </c>
      <c r="T199" s="47" t="str">
        <f t="shared" si="79"/>
        <v>Southbound</v>
      </c>
      <c r="U199" s="16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02:47:20-700',mode:absolute,to:'2017-01-06 04:58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9" s="49" t="str">
        <f t="shared" si="58"/>
        <v>Y</v>
      </c>
      <c r="X199" s="173">
        <f t="shared" si="81"/>
        <v>1</v>
      </c>
      <c r="Y199" s="64">
        <f t="shared" si="59"/>
        <v>2.2029999999999998</v>
      </c>
      <c r="Z199" s="64">
        <f t="shared" si="80"/>
        <v>1.32E-2</v>
      </c>
      <c r="AA199" s="64">
        <f t="shared" si="61"/>
        <v>2.1898</v>
      </c>
      <c r="AB199" s="61"/>
      <c r="AC199" s="57"/>
      <c r="AD199" s="58" t="str">
        <f t="shared" si="62"/>
        <v>0306-06</v>
      </c>
      <c r="AE199" s="87" t="str">
        <f t="shared" si="63"/>
        <v>aws s3 cp s3://rtdc.mdm.uploadarchive.raw/RTDC4032/ "%USERPROFILE%\AppData\Local\Temp\OnboardLogs"\RTDC4032\2017-01-06 --exclude "*" --recursive --include "*20170106*" &amp; "%USERPROFILE%\Documents\GitHub\mrs-test-scripts\Headless Mode &amp; Sideloading\WalkAndUnGZ.bat" "%USERPROFILE%\AppData\Local\Temp\OnboardLogs"\RTDC4032\2017-01-06 &amp; aws s3 cp s3://rtdc.mdm.uploadarchive.raw/RTDC4032/ "%USERPROFILE%\AppData\Local\Temp\OnboardLogs"\RTDC4032\2017-01-07 --exclude "*" --recursive --include "*20170107*" &amp; "%USERPROFILE%\Documents\GitHub\mrs-test-scripts\Headless Mode &amp; Sideloading\WalkAndUnGZ.bat" "%USERPROFILE%\AppData\Local\Temp\OnboardLogs"\RTDC4032\2017-01-07</v>
      </c>
      <c r="AF199" s="84" t="str">
        <f t="shared" si="64"/>
        <v>"C:\Program Files (x86)\AstroGrep\AstroGrep.exe" /spath="%USERPROFILE%\AppData\Local\Temp\OnboardLogs" /stypes="app*4032*20170106*" /stext=" 10:.+((SYSTEM_STATE.+slice.+state.+changed )|(ment ac)|(multiple cpu faults)|(system.+state.+changed )|(\[timeout)|(PRM\|1\|D)|(kpr)|(kdp)|(\|lc)|(penalty))" /e /r /s</v>
      </c>
      <c r="AG199" s="1" t="str">
        <f t="shared" si="65"/>
        <v>Other</v>
      </c>
      <c r="AH199" s="88" t="str">
        <f t="shared" si="66"/>
        <v>"%USERPROFILE%\Documents\GitHub\eaglep3\Utilities\RefineRTDCRunTimes.py" --tripid 306-06 --locoid 4032 --swversion DE.1.0.8.0 --startMP 300:22030 --initTime 2017-01-06T03:47:20 --startdatetime 2017-01-06T03:49:11 --delay 1 --endMP 204:132 --enddatetime 2017-01-06T03:58:49 --enforcementcount 0 &gt;&gt;C:\Users\stu\Documents\GitHub\eaglep3-reporting\EC\2017-01-06-refined-times.txt</v>
      </c>
      <c r="AI199" s="115" t="str">
        <f t="shared" si="67"/>
        <v>echo {"issue":{"subject":"","project_id":79,"tracker_id":40,"status_id":1,"priority_id":2,"assigned_to_id":23,"start_date":"2017-01-06","description":"","custom_fields":[{"id":1,"name":"Subdivision","value":"Other"},{"id":4,"name":"Milepost","value":"0.0132"},{"id":17,"name":"Train ID","value":"306-06"},{"id":16,"name":"Locomotive ID","value":"4032"},{"id":130,"name":"Impact","value":""},{"id":150,"name":"Time of Event (Mountain Time)","value":"03:58:49"},{"id":151,"name":"Denver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80" t="str">
        <f t="shared" si="68"/>
        <v>start /low /b %USERPROFILE%\Documents\GitHub\eaglep3\Utilities\DownloadLogsFromS3.py --loco 4032 --day 2017-01-06</v>
      </c>
    </row>
    <row r="200" spans="1:91" x14ac:dyDescent="0.25">
      <c r="A200" s="34" t="s">
        <v>629</v>
      </c>
      <c r="B200" s="7">
        <v>4031</v>
      </c>
      <c r="C200" s="22" t="s">
        <v>203</v>
      </c>
      <c r="D200" s="22" t="s">
        <v>721</v>
      </c>
      <c r="E200" s="13">
        <v>42741.821782407409</v>
      </c>
      <c r="F200" s="13">
        <v>25568.708333333332</v>
      </c>
      <c r="G200" s="7">
        <v>2</v>
      </c>
      <c r="H200" s="22" t="s">
        <v>344</v>
      </c>
      <c r="I200" s="13">
        <v>25568.708333333332</v>
      </c>
      <c r="J200" s="7">
        <v>0</v>
      </c>
      <c r="K200" s="105" t="str">
        <f t="shared" si="54"/>
        <v>4031/4032</v>
      </c>
      <c r="L200" s="22" t="str">
        <f>VLOOKUP(A200,'Trips&amp;Operators'!$C$1:$G$99999,5,FALSE)</f>
        <v>WHITED DUSTIN</v>
      </c>
      <c r="M200" s="6">
        <f t="shared" si="55"/>
        <v>0</v>
      </c>
      <c r="N200" s="7">
        <f t="shared" si="78"/>
        <v>0</v>
      </c>
      <c r="O200" s="7"/>
      <c r="P200" s="7"/>
      <c r="Q200" s="23"/>
      <c r="R200" s="23"/>
      <c r="S200" s="32">
        <f t="shared" si="82"/>
        <v>1</v>
      </c>
      <c r="T200" s="47" t="str">
        <f t="shared" si="79"/>
        <v>NorthBound</v>
      </c>
      <c r="U200" s="16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18:43:22-700',mode:absolute,to:'1969-12-31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0" s="49" t="str">
        <f t="shared" si="58"/>
        <v>Y</v>
      </c>
      <c r="X200" s="173">
        <f t="shared" si="81"/>
        <v>1</v>
      </c>
      <c r="Y200" s="64">
        <f t="shared" si="59"/>
        <v>4.7100000000000003E-2</v>
      </c>
      <c r="Z200" s="64">
        <f t="shared" si="80"/>
        <v>2.3313999999999999</v>
      </c>
      <c r="AA200" s="64">
        <f t="shared" si="61"/>
        <v>2.2843</v>
      </c>
      <c r="AB200" s="61"/>
      <c r="AC200" s="57"/>
      <c r="AD200" s="58" t="str">
        <f t="shared" si="62"/>
        <v>0307-06</v>
      </c>
      <c r="AE200" s="87" t="str">
        <f t="shared" si="63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00" s="84" t="str">
        <f t="shared" si="64"/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200" s="1" t="str">
        <f t="shared" si="65"/>
        <v>Other</v>
      </c>
      <c r="AH200" s="88" t="str">
        <f t="shared" si="66"/>
        <v>"%USERPROFILE%\Documents\GitHub\eaglep3\Utilities\RefineRTDCRunTimes.py" --tripid 307-06 --locoid 4031 --swversion DE.1.0.8.0 --startMP 204:471 --initTime 2017-01-06T19:43:22 --startdatetime 1969-12-31T17:00:00 --delay 2 --endMP 300:23314 --enddatetime 1969-12-31T17:00:00 --enforcementcount 0 &gt;&gt;C:\Users\stu\Documents\GitHub\eaglep3-reporting\EC\2017-01-06-refined-times.txt</v>
      </c>
      <c r="AI200" s="115" t="str">
        <f t="shared" si="67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ID","value":"307-06"},{"id":16,"name":"Locomotive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80" t="str">
        <f t="shared" si="68"/>
        <v>start /low /b %USERPROFILE%\Documents\GitHub\eaglep3\Utilities\DownloadLogsFromS3.py --loco 4031 --day 1969-12-31</v>
      </c>
    </row>
    <row r="201" spans="1:91" x14ac:dyDescent="0.25">
      <c r="A201" s="34" t="s">
        <v>484</v>
      </c>
      <c r="B201" s="7">
        <v>4043</v>
      </c>
      <c r="C201" s="22" t="s">
        <v>203</v>
      </c>
      <c r="D201" s="22" t="s">
        <v>756</v>
      </c>
      <c r="E201" s="13">
        <v>42741.168865740743</v>
      </c>
      <c r="F201" s="13">
        <v>42741.174560185187</v>
      </c>
      <c r="G201" s="7">
        <v>2</v>
      </c>
      <c r="H201" s="22" t="s">
        <v>689</v>
      </c>
      <c r="I201" s="13">
        <v>42741.181932870371</v>
      </c>
      <c r="J201" s="7">
        <v>0</v>
      </c>
      <c r="K201" s="105" t="str">
        <f t="shared" si="54"/>
        <v>4043/4044</v>
      </c>
      <c r="L201" s="22" t="str">
        <f>VLOOKUP(A201,'Trips&amp;Operators'!$C$1:$G$99999,5,FALSE)</f>
        <v>STARKS ANGELINA</v>
      </c>
      <c r="M201" s="6">
        <f t="shared" si="55"/>
        <v>7.3726851842366159E-3</v>
      </c>
      <c r="N201" s="7">
        <f t="shared" si="78"/>
        <v>10.616666665300727</v>
      </c>
      <c r="O201" s="7"/>
      <c r="P201" s="7"/>
      <c r="Q201" s="23"/>
      <c r="R201" s="23"/>
      <c r="S201" s="32">
        <f t="shared" si="82"/>
        <v>1</v>
      </c>
      <c r="T201" s="47" t="str">
        <f t="shared" si="79"/>
        <v>Southbound</v>
      </c>
      <c r="U201" s="16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03:03:10-700',mode:absolute,to:'2017-01-06 05:21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1" s="49" t="str">
        <f t="shared" si="58"/>
        <v>Y</v>
      </c>
      <c r="X201" s="173">
        <f t="shared" si="81"/>
        <v>1</v>
      </c>
      <c r="Y201" s="64">
        <f t="shared" si="59"/>
        <v>2.5777000000000001</v>
      </c>
      <c r="Z201" s="64">
        <f t="shared" si="80"/>
        <v>1.61E-2</v>
      </c>
      <c r="AA201" s="64">
        <f t="shared" si="61"/>
        <v>2.5616000000000003</v>
      </c>
      <c r="AB201" s="61"/>
      <c r="AC201" s="57"/>
      <c r="AD201" s="58" t="str">
        <f t="shared" si="62"/>
        <v>0308-06</v>
      </c>
      <c r="AE201" s="87" t="str">
        <f t="shared" si="63"/>
        <v>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 &amp; aws s3 cp s3://rtdc.mdm.uploadarchive.raw/RTDC4043/ "%USERPROFILE%\AppData\Local\Temp\OnboardLogs"\RTDC4043\2017-01-07 --exclude "*" --recursive --include "*20170107*" &amp; "%USERPROFILE%\Documents\GitHub\mrs-test-scripts\Headless Mode &amp; Sideloading\WalkAndUnGZ.bat" "%USERPROFILE%\AppData\Local\Temp\OnboardLogs"\RTDC4043\2017-01-07</v>
      </c>
      <c r="AF201" s="84" t="str">
        <f t="shared" si="64"/>
        <v>"C:\Program Files (x86)\AstroGrep\AstroGrep.exe" /spath="%USERPROFILE%\AppData\Local\Temp\OnboardLogs" /stypes="app*4043*20170106*" /stext=" 11:.+((SYSTEM_STATE.+slice.+state.+changed )|(ment ac)|(multiple cpu faults)|(system.+state.+changed )|(\[timeout)|(PRM\|1\|D)|(kpr)|(kdp)|(\|lc)|(penalty))" /e /r /s</v>
      </c>
      <c r="AG201" s="1" t="str">
        <f t="shared" si="65"/>
        <v>Other</v>
      </c>
      <c r="AH201" s="88" t="str">
        <f t="shared" si="66"/>
        <v>"%USERPROFILE%\Documents\GitHub\eaglep3\Utilities\RefineRTDCRunTimes.py" --tripid 308-06 --locoid 4043 --swversion DE.1.0.8.0 --startMP 300:25777 --initTime 2017-01-06T04:03:10 --startdatetime 2017-01-06T04:11:22 --delay 2 --endMP 204:161 --enddatetime 2017-01-06T04:21:59 --enforcementcount 0 &gt;&gt;C:\Users\stu\Documents\GitHub\eaglep3-reporting\EC\2017-01-06-refined-times.txt</v>
      </c>
      <c r="AI201" s="115" t="str">
        <f t="shared" si="67"/>
        <v>echo {"issue":{"subject":"","project_id":79,"tracker_id":40,"status_id":1,"priority_id":2,"assigned_to_id":23,"start_date":"2017-01-06","description":"","custom_fields":[{"id":1,"name":"Subdivision","value":"Other"},{"id":4,"name":"Milepost","value":"0.0161"},{"id":17,"name":"Train ID","value":"308-06"},{"id":16,"name":"Locomotive ID","value":"4043"},{"id":130,"name":"Impact","value":""},{"id":150,"name":"Time of Event (Mountain Time)","value":"04:21:59"},{"id":151,"name":"Denver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80" t="str">
        <f t="shared" si="68"/>
        <v>start /low /b %USERPROFILE%\Documents\GitHub\eaglep3\Utilities\DownloadLogsFromS3.py --loco 4043 --day 2017-01-06</v>
      </c>
    </row>
    <row r="202" spans="1:91" x14ac:dyDescent="0.25">
      <c r="A202" s="34" t="s">
        <v>653</v>
      </c>
      <c r="B202" s="7">
        <v>4009</v>
      </c>
      <c r="C202" s="22" t="s">
        <v>203</v>
      </c>
      <c r="D202" s="22" t="s">
        <v>369</v>
      </c>
      <c r="E202" s="13">
        <v>42742.048877314817</v>
      </c>
      <c r="F202" s="13">
        <v>25568.708333333332</v>
      </c>
      <c r="G202" s="7">
        <v>1</v>
      </c>
      <c r="H202" s="22" t="s">
        <v>757</v>
      </c>
      <c r="I202" s="13">
        <v>25568.708333333332</v>
      </c>
      <c r="J202" s="7">
        <v>0</v>
      </c>
      <c r="K202" s="105" t="str">
        <f t="shared" si="54"/>
        <v>4009/4010</v>
      </c>
      <c r="L202" s="22" t="str">
        <f>VLOOKUP(A202,'Trips&amp;Operators'!$C$1:$G$99999,5,FALSE)</f>
        <v>DUNCAN SHEILA</v>
      </c>
      <c r="M202" s="6">
        <f t="shared" si="55"/>
        <v>0</v>
      </c>
      <c r="N202" s="7">
        <f t="shared" si="78"/>
        <v>0</v>
      </c>
      <c r="O202" s="7"/>
      <c r="P202" s="7"/>
      <c r="Q202" s="23"/>
      <c r="R202" s="23"/>
      <c r="S202" s="32">
        <f t="shared" si="82"/>
        <v>1</v>
      </c>
      <c r="T202" s="47" t="str">
        <f t="shared" si="79"/>
        <v>NorthBound</v>
      </c>
      <c r="U202" s="16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https://search-rtdc-monitor-bjffxe2xuh6vdkpspy63sjmuny.us-east-1.es.amazonaws.com/_plugin/kibana/#/discover/Steve-Slow-Train-Analysis-(2080s-and-2083s)?_g=(refreshInterval:(display:Off,section:0,value:0),time:(from:'2017-01-07 00:10:23-700',mode:absolute,to:'1969-12-31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02" s="49" t="str">
        <f t="shared" si="58"/>
        <v>Y</v>
      </c>
      <c r="X202" s="173">
        <f t="shared" si="81"/>
        <v>1</v>
      </c>
      <c r="Y202" s="64">
        <f t="shared" si="59"/>
        <v>4.8399999999999999E-2</v>
      </c>
      <c r="Z202" s="64">
        <f t="shared" si="80"/>
        <v>2.4220000000000002</v>
      </c>
      <c r="AA202" s="64">
        <f t="shared" si="61"/>
        <v>2.3736000000000002</v>
      </c>
      <c r="AB202" s="61"/>
      <c r="AC202" s="57"/>
      <c r="AD202" s="58" t="str">
        <f t="shared" si="62"/>
        <v>0309-06</v>
      </c>
      <c r="AE202" s="87" t="str">
        <f t="shared" si="63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02" s="84" t="str">
        <f t="shared" si="64"/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02" s="1" t="str">
        <f t="shared" si="65"/>
        <v>Other</v>
      </c>
      <c r="AH202" s="88" t="str">
        <f t="shared" si="66"/>
        <v>"%USERPROFILE%\Documents\GitHub\eaglep3\Utilities\RefineRTDCRunTimes.py" --tripid 309-06 --locoid 4009 --swversion DE.1.0.8.0 --startMP 204:484 --initTime 2017-01-07T01:10:23 --startdatetime 1969-12-31T17:00:00 --delay 1 --endMP 300:24220 --enddatetime 1969-12-31T17:00:00 --enforcementcount 0 &gt;&gt;C:\Users\stu\Documents\GitHub\eaglep3-reporting\EC\2017-01-06-refined-times.txt</v>
      </c>
      <c r="AI202" s="115" t="str">
        <f t="shared" si="67"/>
        <v>echo {"issue":{"subject":"","project_id":79,"tracker_id":40,"status_id":1,"priority_id":2,"assigned_to_id":23,"start_date":"1969-12-31","description":"","custom_fields":[{"id":1,"name":"Subdivision","value":"Other"},{"id":4,"name":"Milepost","value":"2.422"},{"id":17,"name":"Train ID","value":"309-06"},{"id":16,"name":"Locomotive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80" t="str">
        <f t="shared" si="68"/>
        <v>start /low /b %USERPROFILE%\Documents\GitHub\eaglep3\Utilities\DownloadLogsFromS3.py --loco 4009 --day 1969-12-31</v>
      </c>
    </row>
    <row r="203" spans="1:91" x14ac:dyDescent="0.25">
      <c r="A203" s="34" t="s">
        <v>487</v>
      </c>
      <c r="B203" s="7">
        <v>4001</v>
      </c>
      <c r="C203" s="22" t="s">
        <v>203</v>
      </c>
      <c r="D203" s="22" t="s">
        <v>758</v>
      </c>
      <c r="E203" s="13">
        <v>42741.186643518522</v>
      </c>
      <c r="F203" s="13">
        <v>42741.187939814816</v>
      </c>
      <c r="G203" s="7">
        <v>1</v>
      </c>
      <c r="H203" s="22" t="s">
        <v>750</v>
      </c>
      <c r="I203" s="13">
        <v>42741.193611111114</v>
      </c>
      <c r="J203" s="7">
        <v>0</v>
      </c>
      <c r="K203" s="105" t="str">
        <f t="shared" si="54"/>
        <v>4001/4002</v>
      </c>
      <c r="L203" s="22" t="str">
        <f>VLOOKUP(A203,'Trips&amp;Operators'!$C$1:$G$99999,5,FALSE)</f>
        <v>SIMMONS SHYHESHA</v>
      </c>
      <c r="M203" s="6">
        <f t="shared" si="55"/>
        <v>5.6712962978053838E-3</v>
      </c>
      <c r="N203" s="7">
        <f t="shared" si="78"/>
        <v>8.1666666688397527</v>
      </c>
      <c r="O203" s="7"/>
      <c r="P203" s="7"/>
      <c r="Q203" s="23"/>
      <c r="R203" s="23"/>
      <c r="S203" s="32">
        <f t="shared" si="82"/>
        <v>1</v>
      </c>
      <c r="T203" s="47" t="str">
        <f t="shared" si="79"/>
        <v>Southbound</v>
      </c>
      <c r="U203" s="16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https://search-rtdc-monitor-bjffxe2xuh6vdkpspy63sjmuny.us-east-1.es.amazonaws.com/_plugin/kibana/#/discover/Steve-Slow-Train-Analysis-(2080s-and-2083s)?_g=(refreshInterval:(display:Off,section:0,value:0),time:(from:'2017-01-06 03:28:46-700',mode:absolute,to:'2017-01-06 05:38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03" s="49" t="str">
        <f t="shared" si="58"/>
        <v>Y</v>
      </c>
      <c r="X203" s="173">
        <f t="shared" si="81"/>
        <v>1</v>
      </c>
      <c r="Y203" s="64">
        <f t="shared" si="59"/>
        <v>2.3361999999999998</v>
      </c>
      <c r="Z203" s="64">
        <f t="shared" si="80"/>
        <v>1.38E-2</v>
      </c>
      <c r="AA203" s="64">
        <f t="shared" si="61"/>
        <v>2.3224</v>
      </c>
      <c r="AB203" s="61"/>
      <c r="AC203" s="57"/>
      <c r="AD203" s="58" t="str">
        <f t="shared" si="62"/>
        <v>0310-06</v>
      </c>
      <c r="AE203" s="87" t="str">
        <f t="shared" si="63"/>
        <v>aws s3 cp s3://rtdc.mdm.uploadarchive.raw/RTDC4001/ "%USERPROFILE%\AppData\Local\Temp\OnboardLogs"\RTDC4001\2017-01-06 --exclude "*" --recursive --include "*20170106*" &amp; "%USERPROFILE%\Documents\GitHub\mrs-test-scripts\Headless Mode &amp; Sideloading\WalkAndUnGZ.bat" "%USERPROFILE%\AppData\Local\Temp\OnboardLogs"\RTDC4001\2017-01-06 &amp; aws s3 cp s3://rtdc.mdm.uploadarchive.raw/RTDC4001/ "%USERPROFILE%\AppData\Local\Temp\OnboardLogs"\RTDC4001\2017-01-07 --exclude "*" --recursive --include "*20170107*" &amp; "%USERPROFILE%\Documents\GitHub\mrs-test-scripts\Headless Mode &amp; Sideloading\WalkAndUnGZ.bat" "%USERPROFILE%\AppData\Local\Temp\OnboardLogs"\RTDC4001\2017-01-07</v>
      </c>
      <c r="AF203" s="84" t="str">
        <f t="shared" si="64"/>
        <v>"C:\Program Files (x86)\AstroGrep\AstroGrep.exe" /spath="%USERPROFILE%\AppData\Local\Temp\OnboardLogs" /stypes="app*4001*20170106*" /stext=" 11:.+((SYSTEM_STATE.+slice.+state.+changed )|(ment ac)|(multiple cpu faults)|(system.+state.+changed )|(\[timeout)|(PRM\|1\|D)|(kpr)|(kdp)|(\|lc)|(penalty))" /e /r /s</v>
      </c>
      <c r="AG203" s="1" t="str">
        <f t="shared" si="65"/>
        <v>Other</v>
      </c>
      <c r="AH203" s="88" t="str">
        <f t="shared" si="66"/>
        <v>"%USERPROFILE%\Documents\GitHub\eaglep3\Utilities\RefineRTDCRunTimes.py" --tripid 310-06 --locoid 4001 --swversion DE.1.0.8.0 --startMP 300:23362 --initTime 2017-01-06T04:28:46 --startdatetime 2017-01-06T04:30:38 --delay 1 --endMP 204:138 --enddatetime 2017-01-06T04:38:48 --enforcementcount 0 &gt;&gt;C:\Users\stu\Documents\GitHub\eaglep3-reporting\EC\2017-01-06-refined-times.txt</v>
      </c>
      <c r="AI203" s="115" t="str">
        <f t="shared" si="67"/>
        <v>echo {"issue":{"subject":"","project_id":79,"tracker_id":40,"status_id":1,"priority_id":2,"assigned_to_id":23,"start_date":"2017-01-06","description":"","custom_fields":[{"id":1,"name":"Subdivision","value":"Other"},{"id":4,"name":"Milepost","value":"0.0138"},{"id":17,"name":"Train ID","value":"310-06"},{"id":16,"name":"Locomotive ID","value":"4001"},{"id":130,"name":"Impact","value":""},{"id":150,"name":"Time of Event (Mountain Time)","value":"04:38:48"},{"id":151,"name":"Denver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80" t="str">
        <f t="shared" si="68"/>
        <v>start /low /b %USERPROFILE%\Documents\GitHub\eaglep3\Utilities\DownloadLogsFromS3.py --loco 4001 --day 2017-01-06</v>
      </c>
    </row>
    <row r="204" spans="1:91" x14ac:dyDescent="0.25">
      <c r="A204" s="34" t="s">
        <v>655</v>
      </c>
      <c r="B204" s="7">
        <v>4027</v>
      </c>
      <c r="C204" s="22" t="s">
        <v>203</v>
      </c>
      <c r="D204" s="22" t="s">
        <v>759</v>
      </c>
      <c r="E204" s="13">
        <v>42742.069537037038</v>
      </c>
      <c r="F204" s="13">
        <v>42742.0705787037</v>
      </c>
      <c r="G204" s="7">
        <v>1</v>
      </c>
      <c r="H204" s="22" t="s">
        <v>760</v>
      </c>
      <c r="I204" s="13">
        <v>42742.079930555556</v>
      </c>
      <c r="J204" s="7">
        <v>0</v>
      </c>
      <c r="K204" s="105" t="str">
        <f t="shared" si="54"/>
        <v>4027/4028</v>
      </c>
      <c r="L204" s="22" t="str">
        <f>VLOOKUP(A204,'Trips&amp;Operators'!$C$1:$G$99999,5,FALSE)</f>
        <v>STAMBAUGH JAMES</v>
      </c>
      <c r="M204" s="6">
        <f t="shared" si="55"/>
        <v>9.3518518551718444E-3</v>
      </c>
      <c r="N204" s="7">
        <f t="shared" si="78"/>
        <v>13.466666671447456</v>
      </c>
      <c r="O204" s="7"/>
      <c r="P204" s="7"/>
      <c r="Q204" s="23"/>
      <c r="R204" s="23"/>
      <c r="S204" s="32">
        <f t="shared" si="82"/>
        <v>1</v>
      </c>
      <c r="T204" s="47" t="str">
        <f t="shared" si="79"/>
        <v>NorthBound</v>
      </c>
      <c r="U204" s="16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https://search-rtdc-monitor-bjffxe2xuh6vdkpspy63sjmuny.us-east-1.es.amazonaws.com/_plugin/kibana/#/discover/Steve-Slow-Train-Analysis-(2080s-and-2083s)?_g=(refreshInterval:(display:Off,section:0,value:0),time:(from:'2017-01-07 00:40:08-700',mode:absolute,to:'2017-01-07 02:55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04" s="49" t="str">
        <f t="shared" si="58"/>
        <v>Y</v>
      </c>
      <c r="X204" s="173">
        <f t="shared" si="81"/>
        <v>1</v>
      </c>
      <c r="Y204" s="64">
        <f t="shared" si="59"/>
        <v>4.8000000000000001E-2</v>
      </c>
      <c r="Z204" s="64">
        <f t="shared" si="80"/>
        <v>2.4260000000000002</v>
      </c>
      <c r="AA204" s="64">
        <f t="shared" si="61"/>
        <v>2.3780000000000001</v>
      </c>
      <c r="AB204" s="61"/>
      <c r="AC204" s="57"/>
      <c r="AD204" s="58" t="str">
        <f t="shared" si="62"/>
        <v>0311-06</v>
      </c>
      <c r="AE204" s="87" t="str">
        <f t="shared" si="63"/>
        <v>aws s3 cp s3://rtdc.mdm.uploadarchive.raw/RTDC4027/ "%USERPROFILE%\AppData\Local\Temp\OnboardLogs"\RTDC4027\2017-01-07 --exclude "*" --recursive --include "*20170107*" &amp; "%USERPROFILE%\Documents\GitHub\mrs-test-scripts\Headless Mode &amp; Sideloading\WalkAndUnGZ.bat" "%USERPROFILE%\AppData\Local\Temp\OnboardLogs"\RTDC4027\2017-01-07 &amp; aws s3 cp s3://rtdc.mdm.uploadarchive.raw/RTDC4027/ "%USERPROFILE%\AppData\Local\Temp\OnboardLogs"\RTDC4027\2017-01-08 --exclude "*" --recursive --include "*20170108*" &amp; "%USERPROFILE%\Documents\GitHub\mrs-test-scripts\Headless Mode &amp; Sideloading\WalkAndUnGZ.bat" "%USERPROFILE%\AppData\Local\Temp\OnboardLogs"\RTDC4027\2017-01-08</v>
      </c>
      <c r="AF204" s="84" t="str">
        <f t="shared" si="64"/>
        <v>"C:\Program Files (x86)\AstroGrep\AstroGrep.exe" /spath="%USERPROFILE%\AppData\Local\Temp\OnboardLogs" /stypes="app*4027*20170107*" /stext=" 08:.+((SYSTEM_STATE.+slice.+state.+changed )|(ment ac)|(multiple cpu faults)|(system.+state.+changed )|(\[timeout)|(PRM\|1\|D)|(kpr)|(kdp)|(\|lc)|(penalty))" /e /r /s</v>
      </c>
      <c r="AG204" s="1" t="str">
        <f t="shared" si="65"/>
        <v>Other</v>
      </c>
      <c r="AH204" s="88" t="str">
        <f t="shared" si="66"/>
        <v>"%USERPROFILE%\Documents\GitHub\eaglep3\Utilities\RefineRTDCRunTimes.py" --tripid 311-06 --locoid 4027 --swversion DE.1.0.8.0 --startMP 204:480 --initTime 2017-01-07T01:40:08 --startdatetime 2017-01-07T01:41:38 --delay 1 --endMP 300:24260 --enddatetime 2017-01-07T01:55:06 --enforcementcount 0 &gt;&gt;C:\Users\stu\Documents\GitHub\eaglep3-reporting\EC\2017-01-06-refined-times.txt</v>
      </c>
      <c r="AI204" s="115" t="str">
        <f t="shared" si="67"/>
        <v>echo {"issue":{"subject":"","project_id":79,"tracker_id":40,"status_id":1,"priority_id":2,"assigned_to_id":23,"start_date":"2017-01-07","description":"","custom_fields":[{"id":1,"name":"Subdivision","value":"Other"},{"id":4,"name":"Milepost","value":"2.426"},{"id":17,"name":"Train ID","value":"311-06"},{"id":16,"name":"Locomotive ID","value":"4027"},{"id":130,"name":"Impact","value":""},{"id":150,"name":"Time of Event (Mountain Time)","value":"01:55:06"},{"id":151,"name":"Denver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80" t="str">
        <f t="shared" si="68"/>
        <v>start /low /b %USERPROFILE%\Documents\GitHub\eaglep3\Utilities\DownloadLogsFromS3.py --loco 4027 --day 2017-01-07</v>
      </c>
    </row>
    <row r="205" spans="1:91" x14ac:dyDescent="0.25">
      <c r="A205" s="34" t="s">
        <v>657</v>
      </c>
      <c r="B205" s="7">
        <v>4018</v>
      </c>
      <c r="C205" s="22" t="s">
        <v>203</v>
      </c>
      <c r="D205" s="22" t="s">
        <v>194</v>
      </c>
      <c r="E205" s="13">
        <v>42742.088541666664</v>
      </c>
      <c r="F205" s="13">
        <v>25568.708333333332</v>
      </c>
      <c r="G205" s="7">
        <v>1</v>
      </c>
      <c r="H205" s="22" t="s">
        <v>761</v>
      </c>
      <c r="I205" s="13">
        <v>25568.708333333332</v>
      </c>
      <c r="J205" s="7">
        <v>0</v>
      </c>
      <c r="K205" s="105" t="str">
        <f t="shared" ref="K205:K219" si="83">IF(ISEVEN(B205),(B205-1)&amp;"/"&amp;B205,B205&amp;"/"&amp;(B205+1))</f>
        <v>4017/4018</v>
      </c>
      <c r="L205" s="22" t="str">
        <f>VLOOKUP(A205,'Trips&amp;Operators'!$C$1:$G$99999,5,FALSE)</f>
        <v>HILLS DUSTIN</v>
      </c>
      <c r="M205" s="6">
        <f t="shared" ref="M205:M219" si="84">I205-F205</f>
        <v>0</v>
      </c>
      <c r="N205" s="7">
        <f t="shared" si="78"/>
        <v>0</v>
      </c>
      <c r="O205" s="7"/>
      <c r="P205" s="7"/>
      <c r="Q205" s="23"/>
      <c r="R205" s="23"/>
      <c r="S205" s="32">
        <f t="shared" si="82"/>
        <v>1</v>
      </c>
      <c r="T205" s="47" t="str">
        <f t="shared" ref="T205:T212" si="85">IF(ISEVEN(LEFT(AD205,4)),"Southbound","NorthBound")</f>
        <v>NorthBound</v>
      </c>
      <c r="U205" s="16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 t="shared" ref="V205:V219" si="86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https://search-rtdc-monitor-bjffxe2xuh6vdkpspy63sjmuny.us-east-1.es.amazonaws.com/_plugin/kibana/#/discover/Steve-Slow-Train-Analysis-(2080s-and-2083s)?_g=(refreshInterval:(display:Off,section:0,value:0),time:(from:'2017-01-07 01:07:30-700',mode:absolute,to:'1969-12-31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5" s="49" t="str">
        <f t="shared" ref="W205:W219" si="87">IF(AA205&lt;IF(AG205="EC",23,5.65),"Y","N")</f>
        <v>Y</v>
      </c>
      <c r="X205" s="173">
        <f t="shared" si="81"/>
        <v>2</v>
      </c>
      <c r="Y205" s="64">
        <f t="shared" ref="Y205:Y219" si="88">RIGHT(D205,LEN(D205)-4)/10000</f>
        <v>4.5100000000000001E-2</v>
      </c>
      <c r="Z205" s="64">
        <f t="shared" si="80"/>
        <v>2.4214000000000002</v>
      </c>
      <c r="AA205" s="64">
        <f t="shared" ref="AA205:AA219" si="89">ABS(Z205-Y205)</f>
        <v>2.3763000000000001</v>
      </c>
      <c r="AB205" s="61"/>
      <c r="AC205" s="57"/>
      <c r="AD205" s="58" t="str">
        <f t="shared" ref="AD205:AD219" si="90">IF(LEN(A205)=6,"0"&amp;A205,A205)</f>
        <v>0313-06</v>
      </c>
      <c r="AE205" s="87" t="str">
        <f t="shared" ref="AE205:AE219" si="9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05" s="84" t="str">
        <f t="shared" ref="AF205:AF219" si="92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05" s="1" t="str">
        <f t="shared" ref="AG205:AG219" si="93">IFERROR(IF(VALUE(LEFT(AD205,2))&lt;=2,"EC",IF(OR(VALUE(LEFT(AD205,2))=8,VALUE(LEFT(AD205,2))=18),"NW","Other")),"Other")</f>
        <v>Other</v>
      </c>
      <c r="AH205" s="88" t="str">
        <f t="shared" ref="AH205:AH219" si="94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313-06 --locoid 4018 --swversion DE.1.0.8.0 --startMP 204:451 --initTime 2017-01-07T02:07:30 --startdatetime 1969-12-31T17:00:00 --delay 1 --endMP 300:24214 --enddatetime 1969-12-31T17:00:00 --enforcementcount 0 &gt;&gt;C:\Users\stu\Documents\GitHub\eaglep3-reporting\EC\2017-01-06-refined-times.txt</v>
      </c>
      <c r="AI205" s="115" t="str">
        <f t="shared" ref="AI205:AI219" si="95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{"issue":{"subject":"","project_id":79,"tracker_id":40,"status_id":1,"priority_id":2,"assigned_to_id":23,"start_date":"1969-12-31","description":"","custom_fields":[{"id":1,"name":"Subdivision","value":"Other"},{"id":4,"name":"Milepost","value":"2.4214"},{"id":17,"name":"Train ID","value":"313-06"},{"id":16,"name":"Locomotive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80" t="str">
        <f t="shared" ref="AM205:AM219" si="96">"start /low /b "&amp;dls3logs&amp;" --loco "&amp;B205&amp;" --day "&amp;TEXT(F205,"YYYY-MM-DD")</f>
        <v>start /low /b %USERPROFILE%\Documents\GitHub\eaglep3\Utilities\DownloadLogsFromS3.py --loco 4018 --day 1969-12-31</v>
      </c>
    </row>
    <row r="206" spans="1:91" x14ac:dyDescent="0.25">
      <c r="A206" s="34" t="s">
        <v>403</v>
      </c>
      <c r="B206" s="7">
        <v>4022</v>
      </c>
      <c r="C206" s="22" t="s">
        <v>203</v>
      </c>
      <c r="D206" s="22" t="s">
        <v>423</v>
      </c>
      <c r="E206" s="13">
        <v>42741.089236111111</v>
      </c>
      <c r="F206" s="13">
        <v>25568.708333333332</v>
      </c>
      <c r="G206" s="7">
        <v>1</v>
      </c>
      <c r="H206" s="22" t="s">
        <v>424</v>
      </c>
      <c r="I206" s="13">
        <v>25568.708333333332</v>
      </c>
      <c r="J206" s="7">
        <v>0</v>
      </c>
      <c r="K206" s="105" t="str">
        <f t="shared" si="83"/>
        <v>4021/4022</v>
      </c>
      <c r="L206" s="22" t="str">
        <f>VLOOKUP(A206,'Trips&amp;Operators'!$C$1:$G$99999,5,FALSE)</f>
        <v>HILLS DUSTIN</v>
      </c>
      <c r="M206" s="6">
        <f t="shared" si="84"/>
        <v>0</v>
      </c>
      <c r="N206" s="7">
        <f t="shared" si="78"/>
        <v>0</v>
      </c>
      <c r="O206" s="7"/>
      <c r="P206" s="7"/>
      <c r="Q206" s="23"/>
      <c r="R206" s="23"/>
      <c r="S206" s="32">
        <f t="shared" si="82"/>
        <v>1</v>
      </c>
      <c r="T206" s="47" t="str">
        <f t="shared" si="85"/>
        <v>NorthBound</v>
      </c>
      <c r="U206" s="16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4" t="str">
        <f t="shared" si="86"/>
        <v>https://search-rtdc-monitor-bjffxe2xuh6vdkpspy63sjmuny.us-east-1.es.amazonaws.com/_plugin/kibana/#/discover/Steve-Slow-Train-Analysis-(2080s-and-2083s)?_g=(refreshInterval:(display:Off,section:0,value:0),time:(from:'2017-01-06 01:08:30-700',mode:absolute,to:'1969-12-31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06" s="49" t="str">
        <f t="shared" si="87"/>
        <v>Y</v>
      </c>
      <c r="X206" s="173">
        <f t="shared" si="81"/>
        <v>2</v>
      </c>
      <c r="Y206" s="64">
        <f t="shared" si="88"/>
        <v>3.7999999999999999E-2</v>
      </c>
      <c r="Z206" s="64">
        <f t="shared" si="80"/>
        <v>2.3296999999999999</v>
      </c>
      <c r="AA206" s="64">
        <f t="shared" si="89"/>
        <v>2.2917000000000001</v>
      </c>
      <c r="AB206" s="61"/>
      <c r="AC206" s="57"/>
      <c r="AD206" s="58" t="str">
        <f t="shared" si="90"/>
        <v>0315-05</v>
      </c>
      <c r="AE206" s="87" t="str">
        <f t="shared" si="91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06" s="84" t="str">
        <f t="shared" si="92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06" s="1" t="str">
        <f t="shared" si="93"/>
        <v>Other</v>
      </c>
      <c r="AH206" s="88" t="str">
        <f t="shared" si="94"/>
        <v>"%USERPROFILE%\Documents\GitHub\eaglep3\Utilities\RefineRTDCRunTimes.py" --tripid 315-05 --locoid 4022 --swversion DE.1.0.8.0 --startMP 204:380 --initTime 2017-01-06T02:08:30 --startdatetime 1969-12-31T17:00:00 --delay 1 --endMP 300:23297 --enddatetime 1969-12-31T17:00:00 --enforcementcount 0 &gt;&gt;C:\Users\stu\Documents\GitHub\eaglep3-reporting\EC\2017-01-06-refined-times.txt</v>
      </c>
      <c r="AI206" s="115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{"issue":{"subject":"","project_id":79,"tracker_id":40,"status_id":1,"priority_id":2,"assigned_to_id":23,"start_date":"1969-12-31","description":"","custom_fields":[{"id":1,"name":"Subdivision","value":"Other"},{"id":4,"name":"Milepost","value":"2.3297"},{"id":17,"name":"Train ID","value":"315-05"},{"id":16,"name":"Locomotive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80" t="str">
        <f t="shared" si="96"/>
        <v>start /low /b %USERPROFILE%\Documents\GitHub\eaglep3\Utilities\DownloadLogsFromS3.py --loco 4022 --day 1969-12-31</v>
      </c>
    </row>
    <row r="207" spans="1:91" x14ac:dyDescent="0.25">
      <c r="A207" s="34" t="s">
        <v>403</v>
      </c>
      <c r="B207" s="7">
        <v>4022</v>
      </c>
      <c r="C207" s="22" t="s">
        <v>203</v>
      </c>
      <c r="D207" s="22" t="s">
        <v>425</v>
      </c>
      <c r="E207" s="13">
        <v>42741.091574074075</v>
      </c>
      <c r="F207" s="13">
        <v>25568.708333333332</v>
      </c>
      <c r="G207" s="7">
        <v>1</v>
      </c>
      <c r="H207" s="22" t="s">
        <v>424</v>
      </c>
      <c r="I207" s="13">
        <v>25568.708333333332</v>
      </c>
      <c r="J207" s="7">
        <v>0</v>
      </c>
      <c r="K207" s="105" t="str">
        <f t="shared" si="83"/>
        <v>4021/4022</v>
      </c>
      <c r="L207" s="22" t="str">
        <f>VLOOKUP(A207,'Trips&amp;Operators'!$C$1:$G$99999,5,FALSE)</f>
        <v>HILLS DUSTIN</v>
      </c>
      <c r="M207" s="6">
        <f t="shared" si="84"/>
        <v>0</v>
      </c>
      <c r="N207" s="7">
        <f t="shared" si="78"/>
        <v>0</v>
      </c>
      <c r="O207" s="7"/>
      <c r="P207" s="7"/>
      <c r="Q207" s="23"/>
      <c r="R207" s="23"/>
      <c r="S207" s="32">
        <f t="shared" si="82"/>
        <v>1</v>
      </c>
      <c r="T207" s="47" t="str">
        <f t="shared" si="85"/>
        <v>NorthBound</v>
      </c>
      <c r="U207" s="16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4" t="str">
        <f t="shared" si="86"/>
        <v>https://search-rtdc-monitor-bjffxe2xuh6vdkpspy63sjmuny.us-east-1.es.amazonaws.com/_plugin/kibana/#/discover/Steve-Slow-Train-Analysis-(2080s-and-2083s)?_g=(refreshInterval:(display:Off,section:0,value:0),time:(from:'2017-01-06 01:11:52-700',mode:absolute,to:'1969-12-31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07" s="49" t="str">
        <f t="shared" si="87"/>
        <v>Y</v>
      </c>
      <c r="X207" s="173">
        <f t="shared" si="81"/>
        <v>0</v>
      </c>
      <c r="Y207" s="64">
        <f t="shared" si="88"/>
        <v>3.8399999999999997E-2</v>
      </c>
      <c r="Z207" s="64">
        <f t="shared" si="80"/>
        <v>2.3296999999999999</v>
      </c>
      <c r="AA207" s="64">
        <f t="shared" si="89"/>
        <v>2.2912999999999997</v>
      </c>
      <c r="AB207" s="61"/>
      <c r="AC207" s="57"/>
      <c r="AD207" s="58" t="str">
        <f t="shared" si="90"/>
        <v>0315-05</v>
      </c>
      <c r="AE207" s="87" t="str">
        <f t="shared" si="91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07" s="84" t="str">
        <f t="shared" si="92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07" s="1" t="str">
        <f t="shared" si="93"/>
        <v>Other</v>
      </c>
      <c r="AH207" s="88" t="str">
        <f t="shared" si="94"/>
        <v>"%USERPROFILE%\Documents\GitHub\eaglep3\Utilities\RefineRTDCRunTimes.py" --tripid 315-05 --locoid 4022 --swversion DE.1.0.8.0 --startMP 204:384 --initTime 2017-01-06T02:11:52 --startdatetime 1969-12-31T17:00:00 --delay 1 --endMP 300:23297 --enddatetime 1969-12-31T17:00:00 --enforcementcount 0 &gt;&gt;C:\Users\stu\Documents\GitHub\eaglep3-reporting\EC\2017-01-06-refined-times.txt</v>
      </c>
      <c r="AI207" s="115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{"issue":{"subject":"","project_id":79,"tracker_id":40,"status_id":1,"priority_id":2,"assigned_to_id":23,"start_date":"1969-12-31","description":"","custom_fields":[{"id":1,"name":"Subdivision","value":"Other"},{"id":4,"name":"Milepost","value":"2.3297"},{"id":17,"name":"Train ID","value":"315-05"},{"id":16,"name":"Locomotive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80" t="str">
        <f t="shared" si="96"/>
        <v>start /low /b %USERPROFILE%\Documents\GitHub\eaglep3\Utilities\DownloadLogsFromS3.py --loco 4022 --day 1969-12-31</v>
      </c>
    </row>
    <row r="208" spans="1:91" x14ac:dyDescent="0.25">
      <c r="A208" s="34" t="s">
        <v>446</v>
      </c>
      <c r="B208" s="7">
        <v>4042</v>
      </c>
      <c r="C208" s="22" t="s">
        <v>203</v>
      </c>
      <c r="D208" s="22" t="s">
        <v>812</v>
      </c>
      <c r="E208" s="13">
        <v>42741.204664351855</v>
      </c>
      <c r="F208" s="13">
        <v>42741.206053240741</v>
      </c>
      <c r="G208" s="7">
        <v>1</v>
      </c>
      <c r="H208" s="22" t="s">
        <v>813</v>
      </c>
      <c r="I208" s="13">
        <v>42741.211527777778</v>
      </c>
      <c r="J208" s="7">
        <v>0</v>
      </c>
      <c r="K208" s="105" t="str">
        <f t="shared" si="83"/>
        <v>4041/4042</v>
      </c>
      <c r="L208" s="22" t="str">
        <f>VLOOKUP(A208,'Trips&amp;Operators'!$C$1:$G$99999,5,FALSE)</f>
        <v>COMELLA JUSTIN</v>
      </c>
      <c r="M208" s="6">
        <f t="shared" si="84"/>
        <v>5.4745370362070389E-3</v>
      </c>
      <c r="N208" s="7">
        <f t="shared" si="78"/>
        <v>7.883333332138136</v>
      </c>
      <c r="O208" s="7"/>
      <c r="P208" s="7"/>
      <c r="Q208" s="23"/>
      <c r="R208" s="23"/>
      <c r="S208" s="32">
        <f t="shared" si="82"/>
        <v>0</v>
      </c>
      <c r="T208" s="47" t="str">
        <f t="shared" si="85"/>
        <v>NorthBound</v>
      </c>
      <c r="U208" s="16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4" t="str">
        <f t="shared" si="86"/>
        <v>https://search-rtdc-monitor-bjffxe2xuh6vdkpspy63sjmuny.us-east-1.es.amazonaws.com/_plugin/kibana/#/discover/Steve-Slow-Train-Analysis-(2080s-and-2083s)?_g=(refreshInterval:(display:Off,section:0,value:0),time:(from:'2017-01-06 03:54:43-700',mode:absolute,to:'2017-01-06 06:04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8" s="49" t="str">
        <f t="shared" si="87"/>
        <v>Y</v>
      </c>
      <c r="X208" s="173">
        <f t="shared" si="81"/>
        <v>586</v>
      </c>
      <c r="Y208" s="64">
        <f t="shared" si="88"/>
        <v>2.9992999999999999</v>
      </c>
      <c r="Z208" s="64">
        <f t="shared" si="80"/>
        <v>5.8982000000000001</v>
      </c>
      <c r="AA208" s="64">
        <f t="shared" si="89"/>
        <v>2.8989000000000003</v>
      </c>
      <c r="AB208" s="61"/>
      <c r="AC208" s="57"/>
      <c r="AD208" s="58" t="str">
        <f t="shared" si="90"/>
        <v>0901-06</v>
      </c>
      <c r="AE208" s="87" t="str">
        <f t="shared" si="91"/>
        <v>aws s3 cp s3://rtdc.mdm.uploadarchive.raw/RTDC4042/ "%USERPROFILE%\AppData\Local\Temp\OnboardLogs"\RTDC4042\2017-01-06 --exclude "*" --recursive --include "*20170106*" &amp; "%USERPROFILE%\Documents\GitHub\mrs-test-scripts\Headless Mode &amp; Sideloading\WalkAndUnGZ.bat" "%USERPROFILE%\AppData\Local\Temp\OnboardLogs"\RTDC4042\2017-01-06 &amp; 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</v>
      </c>
      <c r="AF208" s="84" t="str">
        <f t="shared" si="92"/>
        <v>"C:\Program Files (x86)\AstroGrep\AstroGrep.exe" /spath="%USERPROFILE%\AppData\Local\Temp\OnboardLogs" /stypes="app*4042*20170106*" /stext=" 12:.+((SYSTEM_STATE.+slice.+state.+changed )|(ment ac)|(multiple cpu faults)|(system.+state.+changed )|(\[timeout)|(PRM\|1\|D)|(kpr)|(kdp)|(\|lc)|(penalty))" /e /r /s</v>
      </c>
      <c r="AG208" s="1" t="str">
        <f t="shared" si="93"/>
        <v>Other</v>
      </c>
      <c r="AH208" s="88" t="str">
        <f t="shared" si="94"/>
        <v>"%USERPROFILE%\Documents\GitHub\eaglep3\Utilities\RefineRTDCRunTimes.py" --tripid 901-06 --locoid 4042 --swversion DE.1.0.8.0 --startMP 300:29993 --initTime 2017-01-06T04:54:43 --startdatetime 2017-01-06T04:56:43 --delay 1 --endMP 300:58982 --enddatetime 2017-01-06T05:04:36 --enforcementcount 0 &gt;&gt;C:\Users\stu\Documents\GitHub\eaglep3-reporting\EC\2017-01-06-refined-times.txt</v>
      </c>
      <c r="AI208" s="115" t="str">
        <f t="shared" si="95"/>
        <v>echo {"issue":{"subject":"","project_id":79,"tracker_id":40,"status_id":1,"priority_id":2,"assigned_to_id":23,"start_date":"2017-01-06","description":"","custom_fields":[{"id":1,"name":"Subdivision","value":"Other"},{"id":4,"name":"Milepost","value":"5.8982"},{"id":17,"name":"Train ID","value":"901-06"},{"id":16,"name":"Locomotive ID","value":"4042"},{"id":130,"name":"Impact","value":""},{"id":150,"name":"Time of Event (Mountain Time)","value":"05:04:36"},{"id":151,"name":"Denver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80" t="str">
        <f t="shared" si="96"/>
        <v>start /low /b %USERPROFILE%\Documents\GitHub\eaglep3\Utilities\DownloadLogsFromS3.py --loco 4042 --day 2017-01-06</v>
      </c>
    </row>
    <row r="209" spans="1:39" x14ac:dyDescent="0.25">
      <c r="A209" s="34" t="s">
        <v>498</v>
      </c>
      <c r="B209" s="7">
        <v>4013</v>
      </c>
      <c r="C209" s="22" t="s">
        <v>203</v>
      </c>
      <c r="D209" s="22" t="s">
        <v>814</v>
      </c>
      <c r="E209" s="13">
        <v>42741.249062499999</v>
      </c>
      <c r="F209" s="13">
        <v>42741.250358796293</v>
      </c>
      <c r="G209" s="7">
        <v>1</v>
      </c>
      <c r="H209" s="22" t="s">
        <v>663</v>
      </c>
      <c r="I209" s="13">
        <v>42741.257222222222</v>
      </c>
      <c r="J209" s="7">
        <v>0</v>
      </c>
      <c r="K209" s="105" t="str">
        <f t="shared" si="83"/>
        <v>4013/4014</v>
      </c>
      <c r="L209" s="22" t="str">
        <f>VLOOKUP(A209,'Trips&amp;Operators'!$C$1:$G$99999,5,FALSE)</f>
        <v>SHOOK JOHN</v>
      </c>
      <c r="M209" s="6">
        <f t="shared" si="84"/>
        <v>6.8634259296231903E-3</v>
      </c>
      <c r="N209" s="7">
        <f t="shared" si="78"/>
        <v>9.8833333386573941</v>
      </c>
      <c r="O209" s="7"/>
      <c r="P209" s="7"/>
      <c r="Q209" s="23"/>
      <c r="R209" s="23"/>
      <c r="S209" s="32">
        <f t="shared" si="82"/>
        <v>1</v>
      </c>
      <c r="T209" s="47" t="str">
        <f t="shared" si="85"/>
        <v>Southbound</v>
      </c>
      <c r="U209" s="16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4" t="str">
        <f t="shared" si="86"/>
        <v>https://search-rtdc-monitor-bjffxe2xuh6vdkpspy63sjmuny.us-east-1.es.amazonaws.com/_plugin/kibana/#/discover/Steve-Slow-Train-Analysis-(2080s-and-2083s)?_g=(refreshInterval:(display:Off,section:0,value:0),time:(from:'2017-01-06 04:58:39-700',mode:absolute,to:'2017-01-06 07:10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9" s="49" t="str">
        <f t="shared" si="87"/>
        <v>Y</v>
      </c>
      <c r="X209" s="173">
        <f t="shared" si="81"/>
        <v>1</v>
      </c>
      <c r="Y209" s="64">
        <f t="shared" si="88"/>
        <v>2.2783000000000002</v>
      </c>
      <c r="Z209" s="64">
        <f t="shared" si="80"/>
        <v>7.4300000000000005E-2</v>
      </c>
      <c r="AA209" s="64">
        <f t="shared" si="89"/>
        <v>2.2040000000000002</v>
      </c>
      <c r="AB209" s="61"/>
      <c r="AC209" s="57"/>
      <c r="AD209" s="58" t="str">
        <f t="shared" si="90"/>
        <v>0902-06</v>
      </c>
      <c r="AE209" s="87" t="str">
        <f t="shared" si="91"/>
        <v>aws s3 cp s3://rtdc.mdm.uploadarchive.raw/RTDC4013/ "%USERPROFILE%\AppData\Local\Temp\OnboardLogs"\RTDC4013\2017-01-06 --exclude "*" --recursive --include "*20170106*" &amp; "%USERPROFILE%\Documents\GitHub\mrs-test-scripts\Headless Mode &amp; Sideloading\WalkAndUnGZ.bat" "%USERPROFILE%\AppData\Local\Temp\OnboardLogs"\RTDC4013\2017-01-06 &amp; 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</v>
      </c>
      <c r="AF209" s="84" t="str">
        <f t="shared" si="92"/>
        <v>"C:\Program Files (x86)\AstroGrep\AstroGrep.exe" /spath="%USERPROFILE%\AppData\Local\Temp\OnboardLogs" /stypes="app*4013*20170106*" /stext=" 13:.+((SYSTEM_STATE.+slice.+state.+changed )|(ment ac)|(multiple cpu faults)|(system.+state.+changed )|(\[timeout)|(PRM\|1\|D)|(kpr)|(kdp)|(\|lc)|(penalty))" /e /r /s</v>
      </c>
      <c r="AG209" s="1" t="str">
        <f t="shared" si="93"/>
        <v>Other</v>
      </c>
      <c r="AH209" s="88" t="str">
        <f t="shared" si="94"/>
        <v>"%USERPROFILE%\Documents\GitHub\eaglep3\Utilities\RefineRTDCRunTimes.py" --tripid 902-06 --locoid 4013 --swversion DE.1.0.8.0 --startMP 300:22783 --initTime 2017-01-06T05:58:39 --startdatetime 2017-01-06T06:00:31 --delay 1 --endMP 204:743 --enddatetime 2017-01-06T06:10:24 --enforcementcount 0 &gt;&gt;C:\Users\stu\Documents\GitHub\eaglep3-reporting\EC\2017-01-06-refined-times.txt</v>
      </c>
      <c r="AI209" s="115" t="str">
        <f t="shared" si="95"/>
        <v>echo {"issue":{"subject":"","project_id":79,"tracker_id":40,"status_id":1,"priority_id":2,"assigned_to_id":23,"start_date":"2017-01-06","description":"","custom_fields":[{"id":1,"name":"Subdivision","value":"Other"},{"id":4,"name":"Milepost","value":"0.0743"},{"id":17,"name":"Train ID","value":"902-06"},{"id":16,"name":"Locomotive ID","value":"4013"},{"id":130,"name":"Impact","value":""},{"id":150,"name":"Time of Event (Mountain Time)","value":"06:10:24"},{"id":151,"name":"Denver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80" t="str">
        <f t="shared" si="96"/>
        <v>start /low /b %USERPROFILE%\Documents\GitHub\eaglep3\Utilities\DownloadLogsFromS3.py --loco 4013 --day 2017-01-06</v>
      </c>
    </row>
    <row r="210" spans="1:39" x14ac:dyDescent="0.25">
      <c r="A210" s="34" t="s">
        <v>625</v>
      </c>
      <c r="B210" s="7">
        <v>4041</v>
      </c>
      <c r="C210" s="22" t="s">
        <v>203</v>
      </c>
      <c r="D210" s="22" t="s">
        <v>805</v>
      </c>
      <c r="E210" s="13">
        <v>42741.79928240741</v>
      </c>
      <c r="F210" s="13">
        <v>42741.800717592596</v>
      </c>
      <c r="G210" s="7">
        <v>1</v>
      </c>
      <c r="H210" s="22" t="s">
        <v>815</v>
      </c>
      <c r="I210" s="13">
        <v>42741.810034722221</v>
      </c>
      <c r="J210" s="7">
        <v>0</v>
      </c>
      <c r="K210" s="105" t="str">
        <f t="shared" si="83"/>
        <v>4041/4042</v>
      </c>
      <c r="L210" s="22" t="str">
        <f>VLOOKUP(A210,'Trips&amp;Operators'!$C$1:$G$99999,5,FALSE)</f>
        <v>SMITH MICHAEL</v>
      </c>
      <c r="M210" s="6">
        <f t="shared" si="84"/>
        <v>9.3171296248328872E-3</v>
      </c>
      <c r="N210" s="7">
        <f t="shared" si="78"/>
        <v>13.416666659759358</v>
      </c>
      <c r="O210" s="7"/>
      <c r="P210" s="7"/>
      <c r="Q210" s="23"/>
      <c r="R210" s="23"/>
      <c r="S210" s="32">
        <f t="shared" si="82"/>
        <v>0</v>
      </c>
      <c r="T210" s="47" t="str">
        <f t="shared" si="85"/>
        <v>Southbound</v>
      </c>
      <c r="U210" s="16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4" t="str">
        <f t="shared" si="86"/>
        <v>https://search-rtdc-monitor-bjffxe2xuh6vdkpspy63sjmuny.us-east-1.es.amazonaws.com/_plugin/kibana/#/discover/Steve-Slow-Train-Analysis-(2080s-and-2083s)?_g=(refreshInterval:(display:Off,section:0,value:0),time:(from:'2017-01-06 18:10:58-700',mode:absolute,to:'2017-01-06 20:26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10" s="49" t="str">
        <f t="shared" si="87"/>
        <v>Y</v>
      </c>
      <c r="X210" s="173">
        <f t="shared" si="81"/>
        <v>4</v>
      </c>
      <c r="Y210" s="64">
        <f t="shared" si="88"/>
        <v>5.8608000000000002</v>
      </c>
      <c r="Z210" s="64">
        <f t="shared" si="80"/>
        <v>2.9009</v>
      </c>
      <c r="AA210" s="64">
        <f t="shared" si="89"/>
        <v>2.9599000000000002</v>
      </c>
      <c r="AB210" s="61"/>
      <c r="AC210" s="57"/>
      <c r="AD210" s="58" t="str">
        <f t="shared" si="90"/>
        <v>0906-06</v>
      </c>
      <c r="AE210" s="87" t="str">
        <f t="shared" si="91"/>
        <v>aws s3 cp s3://rtdc.mdm.uploadarchive.raw/RTDC4041/ "%USERPROFILE%\AppData\Local\Temp\OnboardLogs"\RTDC4041\2017-01-06 --exclude "*" --recursive --include "*20170106*" &amp; "%USERPROFILE%\Documents\GitHub\mrs-test-scripts\Headless Mode &amp; Sideloading\WalkAndUnGZ.bat" "%USERPROFILE%\AppData\Local\Temp\OnboardLogs"\RTDC4041\2017-01-06 &amp; 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</v>
      </c>
      <c r="AF210" s="84" t="str">
        <f t="shared" si="92"/>
        <v>"C:\Program Files (x86)\AstroGrep\AstroGrep.exe" /spath="%USERPROFILE%\AppData\Local\Temp\OnboardLogs" /stypes="app*4041*20170107*" /stext=" 02:.+((SYSTEM_STATE.+slice.+state.+changed )|(ment ac)|(multiple cpu faults)|(system.+state.+changed )|(\[timeout)|(PRM\|1\|D)|(kpr)|(kdp)|(\|lc)|(penalty))" /e /r /s</v>
      </c>
      <c r="AG210" s="1" t="str">
        <f t="shared" si="93"/>
        <v>Other</v>
      </c>
      <c r="AH210" s="88" t="str">
        <f t="shared" si="94"/>
        <v>"%USERPROFILE%\Documents\GitHub\eaglep3\Utilities\RefineRTDCRunTimes.py" --tripid 906-06 --locoid 4041 --swversion DE.1.0.8.0 --startMP 300:58608 --initTime 2017-01-06T19:10:58 --startdatetime 2017-01-06T19:13:02 --delay 1 --endMP 300:29009 --enddatetime 2017-01-06T19:26:27 --enforcementcount 0 &gt;&gt;C:\Users\stu\Documents\GitHub\eaglep3-reporting\EC\2017-01-06-refined-times.txt</v>
      </c>
      <c r="AI210" s="115" t="str">
        <f t="shared" si="95"/>
        <v>echo {"issue":{"subject":"","project_id":79,"tracker_id":40,"status_id":1,"priority_id":2,"assigned_to_id":23,"start_date":"2017-01-06","description":"","custom_fields":[{"id":1,"name":"Subdivision","value":"Other"},{"id":4,"name":"Milepost","value":"2.9009"},{"id":17,"name":"Train ID","value":"906-06"},{"id":16,"name":"Locomotive ID","value":"4041"},{"id":130,"name":"Impact","value":""},{"id":150,"name":"Time of Event (Mountain Time)","value":"19:26:27"},{"id":151,"name":"Denver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80" t="str">
        <f t="shared" si="96"/>
        <v>start /low /b %USERPROFILE%\Documents\GitHub\eaglep3\Utilities\DownloadLogsFromS3.py --loco 4041 --day 2017-01-06</v>
      </c>
    </row>
    <row r="211" spans="1:39" x14ac:dyDescent="0.25">
      <c r="A211" s="34" t="s">
        <v>471</v>
      </c>
      <c r="B211" s="7">
        <v>4013</v>
      </c>
      <c r="C211" s="22" t="s">
        <v>203</v>
      </c>
      <c r="D211" s="22" t="s">
        <v>816</v>
      </c>
      <c r="E211" s="13">
        <v>42741.946666666663</v>
      </c>
      <c r="F211" s="13">
        <v>42741.947581018518</v>
      </c>
      <c r="G211" s="7">
        <v>1</v>
      </c>
      <c r="H211" s="22" t="s">
        <v>817</v>
      </c>
      <c r="I211" s="13">
        <v>42741.947708333333</v>
      </c>
      <c r="J211" s="7">
        <v>0</v>
      </c>
      <c r="K211" s="105" t="str">
        <f t="shared" si="83"/>
        <v>4013/4014</v>
      </c>
      <c r="L211" s="22" t="str">
        <f>VLOOKUP(A211,'Trips&amp;Operators'!$C$1:$G$99999,5,FALSE)</f>
        <v>SMITH MICHAEL</v>
      </c>
      <c r="M211" s="6">
        <f t="shared" si="84"/>
        <v>1.273148154723458E-4</v>
      </c>
      <c r="N211" s="7">
        <f t="shared" si="78"/>
        <v>0.18333333428017795</v>
      </c>
      <c r="O211" s="7"/>
      <c r="P211" s="7"/>
      <c r="Q211" s="23"/>
      <c r="R211" s="23"/>
      <c r="S211" s="32">
        <f t="shared" si="82"/>
        <v>0</v>
      </c>
      <c r="T211" s="47" t="str">
        <f t="shared" si="85"/>
        <v>Southbound</v>
      </c>
      <c r="U211" s="16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4" t="str">
        <f t="shared" si="86"/>
        <v>https://search-rtdc-monitor-bjffxe2xuh6vdkpspy63sjmuny.us-east-1.es.amazonaws.com/_plugin/kibana/#/discover/Steve-Slow-Train-Analysis-(2080s-and-2083s)?_g=(refreshInterval:(display:Off,section:0,value:0),time:(from:'2017-01-06 21:43:12-700',mode:absolute,to:'2017-01-06 23:44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11" s="49" t="str">
        <f t="shared" si="87"/>
        <v>Y</v>
      </c>
      <c r="X211" s="173">
        <f t="shared" si="81"/>
        <v>2</v>
      </c>
      <c r="Y211" s="64">
        <f t="shared" si="88"/>
        <v>5.8396999999999997</v>
      </c>
      <c r="Z211" s="64">
        <f t="shared" si="80"/>
        <v>5.8118999999999996</v>
      </c>
      <c r="AA211" s="64">
        <f t="shared" si="89"/>
        <v>2.7800000000000047E-2</v>
      </c>
      <c r="AB211" s="61"/>
      <c r="AC211" s="57"/>
      <c r="AD211" s="58" t="str">
        <f t="shared" si="90"/>
        <v>0908-06</v>
      </c>
      <c r="AE211" s="87" t="str">
        <f t="shared" si="91"/>
        <v>aws s3 cp s3://rtdc.mdm.uploadarchive.raw/RTDC4013/ "%USERPROFILE%\AppData\Local\Temp\OnboardLogs"\RTDC4013\2017-01-06 --exclude "*" --recursive --include "*20170106*" &amp; "%USERPROFILE%\Documents\GitHub\mrs-test-scripts\Headless Mode &amp; Sideloading\WalkAndUnGZ.bat" "%USERPROFILE%\AppData\Local\Temp\OnboardLogs"\RTDC4013\2017-01-06 &amp; 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</v>
      </c>
      <c r="AF211" s="84" t="str">
        <f t="shared" si="92"/>
        <v>"C:\Program Files (x86)\AstroGrep\AstroGrep.exe" /spath="%USERPROFILE%\AppData\Local\Temp\OnboardLogs" /stypes="app*4013*20170107*" /stext=" 05:.+((SYSTEM_STATE.+slice.+state.+changed )|(ment ac)|(multiple cpu faults)|(system.+state.+changed )|(\[timeout)|(PRM\|1\|D)|(kpr)|(kdp)|(\|lc)|(penalty))" /e /r /s</v>
      </c>
      <c r="AG211" s="1" t="str">
        <f t="shared" si="93"/>
        <v>Other</v>
      </c>
      <c r="AH211" s="88" t="str">
        <f t="shared" si="94"/>
        <v>"%USERPROFILE%\Documents\GitHub\eaglep3\Utilities\RefineRTDCRunTimes.py" --tripid 908-06 --locoid 4013 --swversion DE.1.0.8.0 --startMP 300:58397 --initTime 2017-01-06T22:43:12 --startdatetime 2017-01-06T22:44:31 --delay 1 --endMP 300:58119 --enddatetime 2017-01-06T22:44:42 --enforcementcount 0 &gt;&gt;C:\Users\stu\Documents\GitHub\eaglep3-reporting\EC\2017-01-06-refined-times.txt</v>
      </c>
      <c r="AI211" s="115" t="str">
        <f t="shared" si="95"/>
        <v>echo {"issue":{"subject":"","project_id":79,"tracker_id":40,"status_id":1,"priority_id":2,"assigned_to_id":23,"start_date":"2017-01-06","description":"","custom_fields":[{"id":1,"name":"Subdivision","value":"Other"},{"id":4,"name":"Milepost","value":"5.8119"},{"id":17,"name":"Train ID","value":"908-06"},{"id":16,"name":"Locomotive ID","value":"4013"},{"id":130,"name":"Impact","value":""},{"id":150,"name":"Time of Event (Mountain Time)","value":"22:44:42"},{"id":151,"name":"Denver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80" t="str">
        <f t="shared" si="96"/>
        <v>start /low /b %USERPROFILE%\Documents\GitHub\eaglep3\Utilities\DownloadLogsFromS3.py --loco 4013 --day 2017-01-06</v>
      </c>
    </row>
    <row r="212" spans="1:39" x14ac:dyDescent="0.25">
      <c r="A212" s="34" t="s">
        <v>471</v>
      </c>
      <c r="B212" s="7">
        <v>4013</v>
      </c>
      <c r="C212" s="22" t="s">
        <v>203</v>
      </c>
      <c r="D212" s="22" t="s">
        <v>818</v>
      </c>
      <c r="E212" s="13">
        <v>42741.943344907406</v>
      </c>
      <c r="F212" s="13">
        <v>42741.947581018518</v>
      </c>
      <c r="G212" s="7">
        <v>1</v>
      </c>
      <c r="H212" s="22" t="s">
        <v>819</v>
      </c>
      <c r="I212" s="13">
        <v>42741.947708333333</v>
      </c>
      <c r="J212" s="7">
        <v>0</v>
      </c>
      <c r="K212" s="105" t="str">
        <f t="shared" si="83"/>
        <v>4013/4014</v>
      </c>
      <c r="L212" s="22" t="str">
        <f>VLOOKUP(A212,'Trips&amp;Operators'!$C$1:$G$99999,5,FALSE)</f>
        <v>SMITH MICHAEL</v>
      </c>
      <c r="M212" s="6">
        <f t="shared" si="84"/>
        <v>1.273148154723458E-4</v>
      </c>
      <c r="N212" s="7">
        <f t="shared" si="78"/>
        <v>0.18333333428017795</v>
      </c>
      <c r="O212" s="7"/>
      <c r="P212" s="7"/>
      <c r="Q212" s="23"/>
      <c r="R212" s="23"/>
      <c r="S212" s="32">
        <f t="shared" si="82"/>
        <v>0</v>
      </c>
      <c r="T212" s="47" t="str">
        <f t="shared" si="85"/>
        <v>Southbound</v>
      </c>
      <c r="U212" s="16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4" t="str">
        <f t="shared" si="86"/>
        <v>https://search-rtdc-monitor-bjffxe2xuh6vdkpspy63sjmuny.us-east-1.es.amazonaws.com/_plugin/kibana/#/discover/Steve-Slow-Train-Analysis-(2080s-and-2083s)?_g=(refreshInterval:(display:Off,section:0,value:0),time:(from:'2017-01-06 21:38:25-700',mode:absolute,to:'2017-01-06 23:44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12" s="49" t="str">
        <f t="shared" si="87"/>
        <v>Y</v>
      </c>
      <c r="X212" s="173">
        <f t="shared" si="81"/>
        <v>0</v>
      </c>
      <c r="Y212" s="64">
        <f t="shared" si="88"/>
        <v>5.8624000000000001</v>
      </c>
      <c r="Z212" s="64">
        <f t="shared" ref="Z212:Z219" si="97">RIGHT(H212,LEN(H212)-4)/10000</f>
        <v>5.8372999999999999</v>
      </c>
      <c r="AA212" s="64">
        <f t="shared" si="89"/>
        <v>2.5100000000000122E-2</v>
      </c>
      <c r="AB212" s="61"/>
      <c r="AC212" s="57"/>
      <c r="AD212" s="58" t="str">
        <f t="shared" si="90"/>
        <v>0908-06</v>
      </c>
      <c r="AE212" s="87" t="str">
        <f t="shared" si="91"/>
        <v>aws s3 cp s3://rtdc.mdm.uploadarchive.raw/RTDC4013/ "%USERPROFILE%\AppData\Local\Temp\OnboardLogs"\RTDC4013\2017-01-06 --exclude "*" --recursive --include "*20170106*" &amp; "%USERPROFILE%\Documents\GitHub\mrs-test-scripts\Headless Mode &amp; Sideloading\WalkAndUnGZ.bat" "%USERPROFILE%\AppData\Local\Temp\OnboardLogs"\RTDC4013\2017-01-06 &amp; 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</v>
      </c>
      <c r="AF212" s="84" t="str">
        <f t="shared" si="92"/>
        <v>"C:\Program Files (x86)\AstroGrep\AstroGrep.exe" /spath="%USERPROFILE%\AppData\Local\Temp\OnboardLogs" /stypes="app*4013*20170107*" /stext=" 05:.+((SYSTEM_STATE.+slice.+state.+changed )|(ment ac)|(multiple cpu faults)|(system.+state.+changed )|(\[timeout)|(PRM\|1\|D)|(kpr)|(kdp)|(\|lc)|(penalty))" /e /r /s</v>
      </c>
      <c r="AG212" s="1" t="str">
        <f t="shared" si="93"/>
        <v>Other</v>
      </c>
      <c r="AH212" s="88" t="str">
        <f t="shared" si="94"/>
        <v>"%USERPROFILE%\Documents\GitHub\eaglep3\Utilities\RefineRTDCRunTimes.py" --tripid 908-06 --locoid 4013 --swversion DE.1.0.8.0 --startMP 300:58624 --initTime 2017-01-06T22:38:25 --startdatetime 2017-01-06T22:44:31 --delay 1 --endMP 300:58373 --enddatetime 2017-01-06T22:44:42 --enforcementcount 0 &gt;&gt;C:\Users\stu\Documents\GitHub\eaglep3-reporting\EC\2017-01-06-refined-times.txt</v>
      </c>
      <c r="AI212" s="115" t="str">
        <f t="shared" si="95"/>
        <v>echo {"issue":{"subject":"","project_id":79,"tracker_id":40,"status_id":1,"priority_id":2,"assigned_to_id":23,"start_date":"2017-01-06","description":"","custom_fields":[{"id":1,"name":"Subdivision","value":"Other"},{"id":4,"name":"Milepost","value":"5.8373"},{"id":17,"name":"Train ID","value":"908-06"},{"id":16,"name":"Locomotive ID","value":"4013"},{"id":130,"name":"Impact","value":""},{"id":150,"name":"Time of Event (Mountain Time)","value":"22:44:42"},{"id":151,"name":"Denver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80" t="str">
        <f t="shared" si="96"/>
        <v>start /low /b %USERPROFILE%\Documents\GitHub\eaglep3\Utilities\DownloadLogsFromS3.py --loco 4013 --day 2017-01-06</v>
      </c>
    </row>
    <row r="213" spans="1:39" x14ac:dyDescent="0.25">
      <c r="A213" s="34" t="s">
        <v>552</v>
      </c>
      <c r="B213" s="7">
        <v>4021</v>
      </c>
      <c r="C213" s="22" t="s">
        <v>203</v>
      </c>
      <c r="D213" s="22" t="s">
        <v>762</v>
      </c>
      <c r="E213" s="13">
        <v>42741.465370370373</v>
      </c>
      <c r="F213" s="13">
        <v>42741.466574074075</v>
      </c>
      <c r="G213" s="7">
        <v>1</v>
      </c>
      <c r="H213" s="22" t="s">
        <v>763</v>
      </c>
      <c r="I213" s="13">
        <v>42741.47246527778</v>
      </c>
      <c r="J213" s="7">
        <v>0</v>
      </c>
      <c r="K213" s="105" t="str">
        <f t="shared" si="83"/>
        <v>4021/4022</v>
      </c>
      <c r="L213" s="22" t="str">
        <f>VLOOKUP(A213,'Trips&amp;Operators'!$C$1:$G$99999,5,FALSE)</f>
        <v>BRUDER RICHARD</v>
      </c>
      <c r="M213" s="6">
        <f t="shared" si="84"/>
        <v>5.8912037056870759E-3</v>
      </c>
      <c r="N213" s="7">
        <f t="shared" si="78"/>
        <v>8.4833333361893892</v>
      </c>
      <c r="O213" s="7"/>
      <c r="P213" s="7"/>
      <c r="Q213" s="23"/>
      <c r="R213" s="23"/>
      <c r="S213" s="32">
        <f t="shared" si="82"/>
        <v>1</v>
      </c>
      <c r="T213" s="47"/>
      <c r="U213" s="16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4" t="str">
        <f t="shared" si="86"/>
        <v>https://search-rtdc-monitor-bjffxe2xuh6vdkpspy63sjmuny.us-east-1.es.amazonaws.com/_plugin/kibana/#/discover/Steve-Slow-Train-Analysis-(2080s-and-2083s)?_g=(refreshInterval:(display:Off,section:0,value:0),time:(from:'2017-01-06 10:10:08-700',mode:absolute,to:'2017-01-06 12:20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13" s="49" t="str">
        <f t="shared" si="87"/>
        <v>Y</v>
      </c>
      <c r="X213" s="173"/>
      <c r="Y213" s="64">
        <f t="shared" si="88"/>
        <v>2.2046999999999999</v>
      </c>
      <c r="Z213" s="64">
        <f t="shared" si="97"/>
        <v>1.0999999999999999E-2</v>
      </c>
      <c r="AA213" s="64">
        <f t="shared" si="89"/>
        <v>2.1936999999999998</v>
      </c>
      <c r="AB213" s="61"/>
      <c r="AC213" s="57"/>
      <c r="AD213" s="58" t="str">
        <f t="shared" si="90"/>
        <v>52-06</v>
      </c>
      <c r="AE213" s="87" t="str">
        <f t="shared" si="91"/>
        <v>aws s3 cp s3://rtdc.mdm.uploadarchive.raw/RTDC4021/ "%USERPROFILE%\AppData\Local\Temp\OnboardLogs"\RTDC4021\2017-01-06 --exclude "*" --recursive --include "*20170106*" &amp; "%USERPROFILE%\Documents\GitHub\mrs-test-scripts\Headless Mode &amp; Sideloading\WalkAndUnGZ.bat" "%USERPROFILE%\AppData\Local\Temp\OnboardLogs"\RTDC4021\2017-01-06 &amp; aws s3 cp s3://rtdc.mdm.uploadarchive.raw/RTDC4021/ "%USERPROFILE%\AppData\Local\Temp\OnboardLogs"\RTDC4021\2017-01-07 --exclude "*" --recursive --include "*20170107*" &amp; "%USERPROFILE%\Documents\GitHub\mrs-test-scripts\Headless Mode &amp; Sideloading\WalkAndUnGZ.bat" "%USERPROFILE%\AppData\Local\Temp\OnboardLogs"\RTDC4021\2017-01-07</v>
      </c>
      <c r="AF213" s="84" t="str">
        <f t="shared" si="92"/>
        <v>"C:\Program Files (x86)\AstroGrep\AstroGrep.exe" /spath="%USERPROFILE%\AppData\Local\Temp\OnboardLogs" /stypes="app*4021*20170106*" /stext=" 18:.+((SYSTEM_STATE.+slice.+state.+changed )|(ment ac)|(multiple cpu faults)|(system.+state.+changed )|(\[timeout)|(PRM\|1\|D)|(kpr)|(kdp)|(\|lc)|(penalty))" /e /r /s</v>
      </c>
      <c r="AG213" s="1" t="str">
        <f t="shared" si="93"/>
        <v>Other</v>
      </c>
      <c r="AH213" s="88" t="str">
        <f t="shared" si="94"/>
        <v>"%USERPROFILE%\Documents\GitHub\eaglep3\Utilities\RefineRTDCRunTimes.py" --tripid 52-06 --locoid 4021 --swversion DE.1.0.8.0 --startMP 300:22047 --initTime 2017-01-06T11:10:08 --startdatetime 2017-01-06T11:11:52 --delay 1 --endMP 204:110 --enddatetime 2017-01-06T11:20:21 --enforcementcount 0 &gt;&gt;C:\Users\stu\Documents\GitHub\eaglep3-reporting\EC\2017-01-06-refined-times.txt</v>
      </c>
      <c r="AI213" s="115" t="str">
        <f t="shared" si="95"/>
        <v>echo {"issue":{"subject":"","project_id":79,"tracker_id":40,"status_id":1,"priority_id":2,"assigned_to_id":23,"start_date":"2017-01-06","description":"","custom_fields":[{"id":1,"name":"Subdivision","value":"Other"},{"id":4,"name":"Milepost","value":"0.011"},{"id":17,"name":"Train ID","value":"52-06"},{"id":16,"name":"Locomotive ID","value":"4021"},{"id":130,"name":"Impact","value":""},{"id":150,"name":"Time of Event (Mountain Time)","value":"11:20:21"},{"id":151,"name":"Denver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80" t="str">
        <f t="shared" si="96"/>
        <v>start /low /b %USERPROFILE%\Documents\GitHub\eaglep3\Utilities\DownloadLogsFromS3.py --loco 4021 --day 2017-01-06</v>
      </c>
    </row>
    <row r="214" spans="1:39" x14ac:dyDescent="0.25">
      <c r="A214" s="34" t="s">
        <v>555</v>
      </c>
      <c r="B214" s="7">
        <v>4022</v>
      </c>
      <c r="C214" s="22" t="s">
        <v>203</v>
      </c>
      <c r="D214" s="22" t="s">
        <v>764</v>
      </c>
      <c r="E214" s="13">
        <v>42741.489965277775</v>
      </c>
      <c r="F214" s="13">
        <v>42741.49150462963</v>
      </c>
      <c r="G214" s="7">
        <v>1</v>
      </c>
      <c r="H214" s="22" t="s">
        <v>765</v>
      </c>
      <c r="I214" s="13">
        <v>42741.497824074075</v>
      </c>
      <c r="J214" s="7">
        <v>0</v>
      </c>
      <c r="K214" s="105" t="str">
        <f t="shared" si="83"/>
        <v>4021/4022</v>
      </c>
      <c r="L214" s="22" t="str">
        <f>VLOOKUP(A214,'Trips&amp;Operators'!$C$1:$G$99999,5,FALSE)</f>
        <v>LOZA FIDEL</v>
      </c>
      <c r="M214" s="6">
        <f t="shared" si="84"/>
        <v>6.3194444446708076E-3</v>
      </c>
      <c r="N214" s="7">
        <f t="shared" si="78"/>
        <v>9.1000000003259629</v>
      </c>
      <c r="O214" s="7"/>
      <c r="P214" s="7"/>
      <c r="Q214" s="23"/>
      <c r="R214" s="23"/>
      <c r="S214" s="32">
        <f t="shared" si="82"/>
        <v>0</v>
      </c>
      <c r="T214" s="47"/>
      <c r="U214" s="16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4" t="str">
        <f t="shared" si="86"/>
        <v>https://search-rtdc-monitor-bjffxe2xuh6vdkpspy63sjmuny.us-east-1.es.amazonaws.com/_plugin/kibana/#/discover/Steve-Slow-Train-Analysis-(2080s-and-2083s)?_g=(refreshInterval:(display:Off,section:0,value:0),time:(from:'2017-01-06 10:45:33-700',mode:absolute,to:'2017-01-06 12:56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4" s="49" t="str">
        <f t="shared" si="87"/>
        <v>Y</v>
      </c>
      <c r="X214" s="173"/>
      <c r="Y214" s="64">
        <f t="shared" si="88"/>
        <v>3.85E-2</v>
      </c>
      <c r="Z214" s="64">
        <f t="shared" si="97"/>
        <v>2.4262000000000001</v>
      </c>
      <c r="AA214" s="64">
        <f t="shared" si="89"/>
        <v>2.3877000000000002</v>
      </c>
      <c r="AB214" s="61"/>
      <c r="AC214" s="57"/>
      <c r="AD214" s="58" t="str">
        <f t="shared" si="90"/>
        <v>53-06</v>
      </c>
      <c r="AE214" s="87" t="str">
        <f t="shared" si="91"/>
        <v>aws s3 cp s3://rtdc.mdm.uploadarchive.raw/RTDC4022/ "%USERPROFILE%\AppData\Local\Temp\OnboardLogs"\RTDC4022\2017-01-06 --exclude "*" --recursive --include "*20170106*" &amp; "%USERPROFILE%\Documents\GitHub\mrs-test-scripts\Headless Mode &amp; Sideloading\WalkAndUnGZ.bat" "%USERPROFILE%\AppData\Local\Temp\OnboardLogs"\RTDC4022\2017-01-06 &amp; aws s3 cp s3://rtdc.mdm.uploadarchive.raw/RTDC4022/ "%USERPROFILE%\AppData\Local\Temp\OnboardLogs"\RTDC4022\2017-01-07 --exclude "*" --recursive --include "*20170107*" &amp; "%USERPROFILE%\Documents\GitHub\mrs-test-scripts\Headless Mode &amp; Sideloading\WalkAndUnGZ.bat" "%USERPROFILE%\AppData\Local\Temp\OnboardLogs"\RTDC4022\2017-01-07</v>
      </c>
      <c r="AF214" s="84" t="str">
        <f t="shared" si="92"/>
        <v>"C:\Program Files (x86)\AstroGrep\AstroGrep.exe" /spath="%USERPROFILE%\AppData\Local\Temp\OnboardLogs" /stypes="app*4022*20170106*" /stext=" 18:.+((SYSTEM_STATE.+slice.+state.+changed )|(ment ac)|(multiple cpu faults)|(system.+state.+changed )|(\[timeout)|(PRM\|1\|D)|(kpr)|(kdp)|(\|lc)|(penalty))" /e /r /s</v>
      </c>
      <c r="AG214" s="1" t="str">
        <f t="shared" si="93"/>
        <v>Other</v>
      </c>
      <c r="AH214" s="88" t="str">
        <f t="shared" si="94"/>
        <v>"%USERPROFILE%\Documents\GitHub\eaglep3\Utilities\RefineRTDCRunTimes.py" --tripid 53-06 --locoid 4022 --swversion DE.1.0.8.0 --startMP 204:385 --initTime 2017-01-06T11:45:33 --startdatetime 2017-01-06T11:47:46 --delay 1 --endMP 300:24262 --enddatetime 2017-01-06T11:56:52 --enforcementcount 0 &gt;&gt;C:\Users\stu\Documents\GitHub\eaglep3-reporting\EC\2017-01-06-refined-times.txt</v>
      </c>
      <c r="AI214" s="115" t="str">
        <f t="shared" si="95"/>
        <v>echo {"issue":{"subject":"","project_id":79,"tracker_id":40,"status_id":1,"priority_id":2,"assigned_to_id":23,"start_date":"2017-01-06","description":"","custom_fields":[{"id":1,"name":"Subdivision","value":"Other"},{"id":4,"name":"Milepost","value":"2.4262"},{"id":17,"name":"Train ID","value":"53-06"},{"id":16,"name":"Locomotive ID","value":"4022"},{"id":130,"name":"Impact","value":""},{"id":150,"name":"Time of Event (Mountain Time)","value":"11:56:52"},{"id":151,"name":"Denver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80" t="str">
        <f t="shared" si="96"/>
        <v>start /low /b %USERPROFILE%\Documents\GitHub\eaglep3\Utilities\DownloadLogsFromS3.py --loco 4022 --day 2017-01-06</v>
      </c>
    </row>
    <row r="215" spans="1:39" x14ac:dyDescent="0.25">
      <c r="A215" s="34" t="s">
        <v>402</v>
      </c>
      <c r="B215" s="7">
        <v>4030</v>
      </c>
      <c r="C215" s="22" t="s">
        <v>203</v>
      </c>
      <c r="D215" s="22" t="s">
        <v>426</v>
      </c>
      <c r="E215" s="13">
        <v>42741.086168981485</v>
      </c>
      <c r="F215" s="13">
        <v>42741.09107638889</v>
      </c>
      <c r="G215" s="7">
        <v>3</v>
      </c>
      <c r="H215" s="22" t="s">
        <v>427</v>
      </c>
      <c r="I215" s="13">
        <v>42741.112164351849</v>
      </c>
      <c r="J215" s="7">
        <v>0</v>
      </c>
      <c r="K215" s="105" t="str">
        <f t="shared" si="83"/>
        <v>4029/4030</v>
      </c>
      <c r="L215" s="22" t="str">
        <f>VLOOKUP(A215,'Trips&amp;Operators'!$C$1:$G$99999,5,FALSE)</f>
        <v>MACDONALD THOMAS</v>
      </c>
      <c r="M215" s="6">
        <f t="shared" si="84"/>
        <v>2.1087962959427387E-2</v>
      </c>
      <c r="N215" s="7">
        <f t="shared" si="78"/>
        <v>30.366666661575437</v>
      </c>
      <c r="O215" s="7"/>
      <c r="P215" s="7"/>
      <c r="Q215" s="23"/>
      <c r="R215" s="23"/>
      <c r="S215" s="32">
        <f t="shared" si="82"/>
        <v>1</v>
      </c>
      <c r="T215" s="47"/>
      <c r="U215" s="16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4" t="str">
        <f t="shared" si="86"/>
        <v>https://search-rtdc-monitor-bjffxe2xuh6vdkpspy63sjmuny.us-east-1.es.amazonaws.com/_plugin/kibana/#/discover/Steve-Slow-Train-Analysis-(2080s-and-2083s)?_g=(refreshInterval:(display:Off,section:0,value:0),time:(from:'2017-01-06 01:04:05-700',mode:absolute,to:'2017-01-06 03:41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15" s="49" t="str">
        <f t="shared" si="87"/>
        <v>N</v>
      </c>
      <c r="X215" s="173"/>
      <c r="Y215" s="64">
        <f t="shared" si="88"/>
        <v>12.8001</v>
      </c>
      <c r="Z215" s="64">
        <f t="shared" si="97"/>
        <v>0.16070000000000001</v>
      </c>
      <c r="AA215" s="64">
        <f t="shared" si="89"/>
        <v>12.6394</v>
      </c>
      <c r="AB215" s="61"/>
      <c r="AC215" s="57"/>
      <c r="AD215" s="58" t="str">
        <f t="shared" si="90"/>
        <v>60-06</v>
      </c>
      <c r="AE215" s="87" t="str">
        <f t="shared" si="91"/>
        <v>aws s3 cp s3://rtdc.mdm.uploadarchive.raw/RTDC4030/ "%USERPROFILE%\AppData\Local\Temp\OnboardLogs"\RTDC4030\2017-01-06 --exclude "*" --recursive --include "*20170106*" &amp; "%USERPROFILE%\Documents\GitHub\mrs-test-scripts\Headless Mode &amp; Sideloading\WalkAndUnGZ.bat" "%USERPROFILE%\AppData\Local\Temp\OnboardLogs"\RTDC4030\2017-01-06 &amp; aws s3 cp s3://rtdc.mdm.uploadarchive.raw/RTDC4030/ "%USERPROFILE%\AppData\Local\Temp\OnboardLogs"\RTDC4030\2017-01-07 --exclude "*" --recursive --include "*20170107*" &amp; "%USERPROFILE%\Documents\GitHub\mrs-test-scripts\Headless Mode &amp; Sideloading\WalkAndUnGZ.bat" "%USERPROFILE%\AppData\Local\Temp\OnboardLogs"\RTDC4030\2017-01-07</v>
      </c>
      <c r="AF215" s="84" t="str">
        <f t="shared" si="92"/>
        <v>"C:\Program Files (x86)\AstroGrep\AstroGrep.exe" /spath="%USERPROFILE%\AppData\Local\Temp\OnboardLogs" /stypes="app*4030*20170106*" /stext=" 09:.+((SYSTEM_STATE.+slice.+state.+changed )|(ment ac)|(multiple cpu faults)|(system.+state.+changed )|(\[timeout)|(PRM\|1\|D)|(kpr)|(kdp)|(\|lc)|(penalty))" /e /r /s</v>
      </c>
      <c r="AG215" s="1" t="str">
        <f t="shared" si="93"/>
        <v>Other</v>
      </c>
      <c r="AH215" s="88" t="str">
        <f t="shared" si="94"/>
        <v>"%USERPROFILE%\Documents\GitHub\eaglep3\Utilities\RefineRTDCRunTimes.py" --tripid 60-06 --locoid 4030 --swversion DE.1.0.8.0 --startMP 204:128001 --initTime 2017-01-06T02:04:05 --startdatetime 2017-01-06T02:11:09 --delay 3 --endMP 204:1607 --enddatetime 2017-01-06T02:41:31 --enforcementcount 0 &gt;&gt;C:\Users\stu\Documents\GitHub\eaglep3-reporting\EC\2017-01-06-refined-times.txt</v>
      </c>
      <c r="AI215" s="115" t="str">
        <f t="shared" si="95"/>
        <v>echo {"issue":{"subject":"","project_id":79,"tracker_id":40,"status_id":1,"priority_id":2,"assigned_to_id":23,"start_date":"2017-01-06","description":"","custom_fields":[{"id":1,"name":"Subdivision","value":"Other"},{"id":4,"name":"Milepost","value":"0.1607"},{"id":17,"name":"Train ID","value":"60-06"},{"id":16,"name":"Locomotive ID","value":"4030"},{"id":130,"name":"Impact","value":""},{"id":150,"name":"Time of Event (Mountain Time)","value":"02:41:31"},{"id":151,"name":"Denver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80" t="str">
        <f t="shared" si="96"/>
        <v>start /low /b %USERPROFILE%\Documents\GitHub\eaglep3\Utilities\DownloadLogsFromS3.py --loco 4030 --day 2017-01-06</v>
      </c>
    </row>
    <row r="216" spans="1:39" x14ac:dyDescent="0.25">
      <c r="A216" s="34" t="s">
        <v>580</v>
      </c>
      <c r="B216" s="7">
        <v>4041</v>
      </c>
      <c r="C216" s="22" t="s">
        <v>203</v>
      </c>
      <c r="D216" s="22" t="s">
        <v>766</v>
      </c>
      <c r="E216" s="13">
        <v>42741.627476851849</v>
      </c>
      <c r="F216" s="13">
        <v>42741.633217592593</v>
      </c>
      <c r="G216" s="7">
        <v>2</v>
      </c>
      <c r="H216" s="22" t="s">
        <v>767</v>
      </c>
      <c r="I216" s="13">
        <v>42741.64471064815</v>
      </c>
      <c r="J216" s="7">
        <v>0</v>
      </c>
      <c r="K216" s="105" t="str">
        <f t="shared" si="83"/>
        <v>4041/4042</v>
      </c>
      <c r="L216" s="22" t="str">
        <f>VLOOKUP(A216,'Trips&amp;Operators'!$C$1:$G$99999,5,FALSE)</f>
        <v>DE LA ROSA ALEX</v>
      </c>
      <c r="M216" s="6">
        <f t="shared" si="84"/>
        <v>1.1493055557366461E-2</v>
      </c>
      <c r="N216" s="7">
        <f t="shared" si="78"/>
        <v>16.550000002607703</v>
      </c>
      <c r="O216" s="7"/>
      <c r="P216" s="7"/>
      <c r="Q216" s="23"/>
      <c r="R216" s="23"/>
      <c r="S216" s="32">
        <f t="shared" si="82"/>
        <v>1</v>
      </c>
      <c r="T216" s="47"/>
      <c r="U216" s="16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4" t="str">
        <f t="shared" si="86"/>
        <v>https://search-rtdc-monitor-bjffxe2xuh6vdkpspy63sjmuny.us-east-1.es.amazonaws.com/_plugin/kibana/#/discover/Steve-Slow-Train-Analysis-(2080s-and-2083s)?_g=(refreshInterval:(display:Off,section:0,value:0),time:(from:'2017-01-06 14:03:34-700',mode:absolute,to:'2017-01-06 16:28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16" s="49" t="str">
        <f t="shared" si="87"/>
        <v>N</v>
      </c>
      <c r="X216" s="173"/>
      <c r="Y216" s="64">
        <f t="shared" si="88"/>
        <v>5.8689999999999998</v>
      </c>
      <c r="Z216" s="64">
        <f t="shared" si="97"/>
        <v>6.9599999999999995E-2</v>
      </c>
      <c r="AA216" s="64">
        <f t="shared" si="89"/>
        <v>5.7993999999999994</v>
      </c>
      <c r="AB216" s="61"/>
      <c r="AC216" s="57"/>
      <c r="AD216" s="58" t="str">
        <f t="shared" si="90"/>
        <v>62-06</v>
      </c>
      <c r="AE216" s="87" t="str">
        <f t="shared" si="91"/>
        <v>aws s3 cp s3://rtdc.mdm.uploadarchive.raw/RTDC4041/ "%USERPROFILE%\AppData\Local\Temp\OnboardLogs"\RTDC4041\2017-01-06 --exclude "*" --recursive --include "*20170106*" &amp; "%USERPROFILE%\Documents\GitHub\mrs-test-scripts\Headless Mode &amp; Sideloading\WalkAndUnGZ.bat" "%USERPROFILE%\AppData\Local\Temp\OnboardLogs"\RTDC4041\2017-01-06 &amp; 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</v>
      </c>
      <c r="AF216" s="84" t="str">
        <f t="shared" si="92"/>
        <v>"C:\Program Files (x86)\AstroGrep\AstroGrep.exe" /spath="%USERPROFILE%\AppData\Local\Temp\OnboardLogs" /stypes="app*4041*20170106*" /stext=" 22:.+((SYSTEM_STATE.+slice.+state.+changed )|(ment ac)|(multiple cpu faults)|(system.+state.+changed )|(\[timeout)|(PRM\|1\|D)|(kpr)|(kdp)|(\|lc)|(penalty))" /e /r /s</v>
      </c>
      <c r="AG216" s="1" t="str">
        <f t="shared" si="93"/>
        <v>Other</v>
      </c>
      <c r="AH216" s="88" t="str">
        <f t="shared" si="94"/>
        <v>"%USERPROFILE%\Documents\GitHub\eaglep3\Utilities\RefineRTDCRunTimes.py" --tripid 62-06 --locoid 4041 --swversion DE.1.0.8.0 --startMP 300:58690 --initTime 2017-01-06T15:03:34 --startdatetime 2017-01-06T15:11:50 --delay 2 --endMP 204:696 --enddatetime 2017-01-06T15:28:23 --enforcementcount 0 &gt;&gt;C:\Users\stu\Documents\GitHub\eaglep3-reporting\EC\2017-01-06-refined-times.txt</v>
      </c>
      <c r="AI216" s="115" t="str">
        <f t="shared" si="95"/>
        <v>echo {"issue":{"subject":"","project_id":79,"tracker_id":40,"status_id":1,"priority_id":2,"assigned_to_id":23,"start_date":"2017-01-06","description":"","custom_fields":[{"id":1,"name":"Subdivision","value":"Other"},{"id":4,"name":"Milepost","value":"0.0696"},{"id":17,"name":"Train ID","value":"62-06"},{"id":16,"name":"Locomotive ID","value":"4041"},{"id":130,"name":"Impact","value":""},{"id":150,"name":"Time of Event (Mountain Time)","value":"15:28:23"},{"id":151,"name":"Denver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80" t="str">
        <f t="shared" si="96"/>
        <v>start /low /b %USERPROFILE%\Documents\GitHub\eaglep3\Utilities\DownloadLogsFromS3.py --loco 4041 --day 2017-01-06</v>
      </c>
    </row>
    <row r="217" spans="1:39" x14ac:dyDescent="0.25">
      <c r="A217" s="34" t="s">
        <v>607</v>
      </c>
      <c r="B217" s="7">
        <v>4021</v>
      </c>
      <c r="C217" s="22" t="s">
        <v>203</v>
      </c>
      <c r="D217" s="22" t="s">
        <v>768</v>
      </c>
      <c r="E217" s="13">
        <v>42741.737141203703</v>
      </c>
      <c r="F217" s="13">
        <v>42741.738182870373</v>
      </c>
      <c r="G217" s="7">
        <v>1</v>
      </c>
      <c r="H217" s="22" t="s">
        <v>769</v>
      </c>
      <c r="I217" s="13">
        <v>42741.744340277779</v>
      </c>
      <c r="J217" s="7">
        <v>0</v>
      </c>
      <c r="K217" s="105" t="str">
        <f t="shared" si="83"/>
        <v>4021/4022</v>
      </c>
      <c r="L217" s="22" t="str">
        <f>VLOOKUP(A217,'Trips&amp;Operators'!$C$1:$G$99999,5,FALSE)</f>
        <v>STAMBAUGH JAMES</v>
      </c>
      <c r="M217" s="6">
        <f t="shared" si="84"/>
        <v>6.1574074061354622E-3</v>
      </c>
      <c r="N217" s="7">
        <f t="shared" si="78"/>
        <v>8.8666666648350656</v>
      </c>
      <c r="O217" s="7"/>
      <c r="P217" s="7"/>
      <c r="Q217" s="23"/>
      <c r="R217" s="23"/>
      <c r="S217" s="32">
        <f t="shared" si="82"/>
        <v>1</v>
      </c>
      <c r="T217" s="47"/>
      <c r="U217" s="16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4" t="str">
        <f t="shared" si="86"/>
        <v>https://search-rtdc-monitor-bjffxe2xuh6vdkpspy63sjmuny.us-east-1.es.amazonaws.com/_plugin/kibana/#/discover/Steve-Slow-Train-Analysis-(2080s-and-2083s)?_g=(refreshInterval:(display:Off,section:0,value:0),time:(from:'2017-01-06 16:41:29-700',mode:absolute,to:'2017-01-06 18:51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17" s="49" t="str">
        <f t="shared" si="87"/>
        <v>Y</v>
      </c>
      <c r="X217" s="173"/>
      <c r="Y217" s="64">
        <f t="shared" si="88"/>
        <v>2.3184</v>
      </c>
      <c r="Z217" s="64">
        <f t="shared" si="97"/>
        <v>1.2200000000000001E-2</v>
      </c>
      <c r="AA217" s="64">
        <f t="shared" si="89"/>
        <v>2.3062</v>
      </c>
      <c r="AB217" s="61"/>
      <c r="AC217" s="57"/>
      <c r="AD217" s="58" t="str">
        <f t="shared" si="90"/>
        <v>68-06</v>
      </c>
      <c r="AE217" s="87" t="str">
        <f t="shared" si="91"/>
        <v>aws s3 cp s3://rtdc.mdm.uploadarchive.raw/RTDC4021/ "%USERPROFILE%\AppData\Local\Temp\OnboardLogs"\RTDC4021\2017-01-06 --exclude "*" --recursive --include "*20170106*" &amp; "%USERPROFILE%\Documents\GitHub\mrs-test-scripts\Headless Mode &amp; Sideloading\WalkAndUnGZ.bat" "%USERPROFILE%\AppData\Local\Temp\OnboardLogs"\RTDC4021\2017-01-06 &amp; aws s3 cp s3://rtdc.mdm.uploadarchive.raw/RTDC4021/ "%USERPROFILE%\AppData\Local\Temp\OnboardLogs"\RTDC4021\2017-01-07 --exclude "*" --recursive --include "*20170107*" &amp; "%USERPROFILE%\Documents\GitHub\mrs-test-scripts\Headless Mode &amp; Sideloading\WalkAndUnGZ.bat" "%USERPROFILE%\AppData\Local\Temp\OnboardLogs"\RTDC4021\2017-01-07</v>
      </c>
      <c r="AF217" s="84" t="str">
        <f t="shared" si="92"/>
        <v>"C:\Program Files (x86)\AstroGrep\AstroGrep.exe" /spath="%USERPROFILE%\AppData\Local\Temp\OnboardLogs" /stypes="app*4021*20170107*" /stext=" 00:.+((SYSTEM_STATE.+slice.+state.+changed )|(ment ac)|(multiple cpu faults)|(system.+state.+changed )|(\[timeout)|(PRM\|1\|D)|(kpr)|(kdp)|(\|lc)|(penalty))" /e /r /s</v>
      </c>
      <c r="AG217" s="1" t="str">
        <f t="shared" si="93"/>
        <v>Other</v>
      </c>
      <c r="AH217" s="88" t="str">
        <f t="shared" si="94"/>
        <v>"%USERPROFILE%\Documents\GitHub\eaglep3\Utilities\RefineRTDCRunTimes.py" --tripid 68-06 --locoid 4021 --swversion DE.1.0.8.0 --startMP 300:23184 --initTime 2017-01-06T17:41:29 --startdatetime 2017-01-06T17:42:59 --delay 1 --endMP 204:122 --enddatetime 2017-01-06T17:51:51 --enforcementcount 0 &gt;&gt;C:\Users\stu\Documents\GitHub\eaglep3-reporting\EC\2017-01-06-refined-times.txt</v>
      </c>
      <c r="AI217" s="115" t="str">
        <f t="shared" si="95"/>
        <v>echo {"issue":{"subject":"","project_id":79,"tracker_id":40,"status_id":1,"priority_id":2,"assigned_to_id":23,"start_date":"2017-01-06","description":"","custom_fields":[{"id":1,"name":"Subdivision","value":"Other"},{"id":4,"name":"Milepost","value":"0.0122"},{"id":17,"name":"Train ID","value":"68-06"},{"id":16,"name":"Locomotive ID","value":"4021"},{"id":130,"name":"Impact","value":""},{"id":150,"name":"Time of Event (Mountain Time)","value":"17:51:51"},{"id":151,"name":"Denver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80" t="str">
        <f t="shared" si="96"/>
        <v>start /low /b %USERPROFILE%\Documents\GitHub\eaglep3\Utilities\DownloadLogsFromS3.py --loco 4021 --day 2017-01-06</v>
      </c>
    </row>
    <row r="218" spans="1:39" x14ac:dyDescent="0.25">
      <c r="A218" s="34" t="s">
        <v>613</v>
      </c>
      <c r="B218" s="7">
        <v>4012</v>
      </c>
      <c r="C218" s="22" t="s">
        <v>203</v>
      </c>
      <c r="D218" s="22" t="s">
        <v>770</v>
      </c>
      <c r="E218" s="13">
        <v>42741.762280092589</v>
      </c>
      <c r="F218" s="13">
        <v>42741.763321759259</v>
      </c>
      <c r="G218" s="7">
        <v>0</v>
      </c>
      <c r="H218" s="22" t="s">
        <v>771</v>
      </c>
      <c r="I218" s="13">
        <v>42741.770324074074</v>
      </c>
      <c r="J218" s="7">
        <v>0</v>
      </c>
      <c r="K218" s="105" t="str">
        <f t="shared" si="83"/>
        <v>4011/4012</v>
      </c>
      <c r="L218" s="22" t="str">
        <f>VLOOKUP(A218,'Trips&amp;Operators'!$C$1:$G$99999,5,FALSE)</f>
        <v>MAGEE KENYA</v>
      </c>
      <c r="M218" s="6">
        <f t="shared" si="84"/>
        <v>7.0023148145992309E-3</v>
      </c>
      <c r="N218" s="7">
        <f t="shared" si="78"/>
        <v>10.083333333022892</v>
      </c>
      <c r="O218" s="7"/>
      <c r="P218" s="7"/>
      <c r="Q218" s="23"/>
      <c r="R218" s="23"/>
      <c r="S218" s="32">
        <f t="shared" si="82"/>
        <v>1</v>
      </c>
      <c r="T218" s="47"/>
      <c r="U218" s="16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4" t="str">
        <f t="shared" si="86"/>
        <v>https://search-rtdc-monitor-bjffxe2xuh6vdkpspy63sjmuny.us-east-1.es.amazonaws.com/_plugin/kibana/#/discover/Steve-Slow-Train-Analysis-(2080s-and-2083s)?_g=(refreshInterval:(display:Off,section:0,value:0),time:(from:'2017-01-06 17:17:41-700',mode:absolute,to:'2017-01-06 19:29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18" s="49" t="str">
        <f t="shared" si="87"/>
        <v>Y</v>
      </c>
      <c r="X218" s="173"/>
      <c r="Y218" s="64">
        <f t="shared" si="88"/>
        <v>2.1966000000000001</v>
      </c>
      <c r="Z218" s="64">
        <f t="shared" si="97"/>
        <v>0.09</v>
      </c>
      <c r="AA218" s="64">
        <f t="shared" si="89"/>
        <v>2.1066000000000003</v>
      </c>
      <c r="AB218" s="61"/>
      <c r="AC218" s="57"/>
      <c r="AD218" s="58" t="str">
        <f t="shared" si="90"/>
        <v>72-06</v>
      </c>
      <c r="AE218" s="87" t="str">
        <f t="shared" si="91"/>
        <v>aws s3 cp s3://rtdc.mdm.uploadarchive.raw/RTDC4012/ "%USERPROFILE%\AppData\Local\Temp\OnboardLogs"\RTDC4012\2017-01-06 --exclude "*" --recursive --include "*20170106*" &amp; "%USERPROFILE%\Documents\GitHub\mrs-test-scripts\Headless Mode &amp; Sideloading\WalkAndUnGZ.bat" "%USERPROFILE%\AppData\Local\Temp\OnboardLogs"\RTDC4012\2017-01-06 &amp; aws s3 cp s3://rtdc.mdm.uploadarchive.raw/RTDC4012/ "%USERPROFILE%\AppData\Local\Temp\OnboardLogs"\RTDC4012\2017-01-07 --exclude "*" --recursive --include "*20170107*" &amp; "%USERPROFILE%\Documents\GitHub\mrs-test-scripts\Headless Mode &amp; Sideloading\WalkAndUnGZ.bat" "%USERPROFILE%\AppData\Local\Temp\OnboardLogs"\RTDC4012\2017-01-07</v>
      </c>
      <c r="AF218" s="84" t="str">
        <f t="shared" si="92"/>
        <v>"C:\Program Files (x86)\AstroGrep\AstroGrep.exe" /spath="%USERPROFILE%\AppData\Local\Temp\OnboardLogs" /stypes="app*4012*20170107*" /stext=" 01:.+((SYSTEM_STATE.+slice.+state.+changed )|(ment ac)|(multiple cpu faults)|(system.+state.+changed )|(\[timeout)|(PRM\|1\|D)|(kpr)|(kdp)|(\|lc)|(penalty))" /e /r /s</v>
      </c>
      <c r="AG218" s="1" t="str">
        <f t="shared" si="93"/>
        <v>Other</v>
      </c>
      <c r="AH218" s="88" t="str">
        <f t="shared" si="94"/>
        <v>"%USERPROFILE%\Documents\GitHub\eaglep3\Utilities\RefineRTDCRunTimes.py" --tripid 72-06 --locoid 4012 --swversion DE.1.0.8.0 --startMP 300:21966 --initTime 2017-01-06T18:17:41 --startdatetime 2017-01-06T18:19:11 --delay 0 --endMP 204:900 --enddatetime 2017-01-06T18:29:16 --enforcementcount 0 &gt;&gt;C:\Users\stu\Documents\GitHub\eaglep3-reporting\EC\2017-01-06-refined-times.txt</v>
      </c>
      <c r="AI218" s="115" t="str">
        <f t="shared" si="95"/>
        <v>echo {"issue":{"subject":"","project_id":79,"tracker_id":40,"status_id":1,"priority_id":2,"assigned_to_id":23,"start_date":"2017-01-06","description":"","custom_fields":[{"id":1,"name":"Subdivision","value":"Other"},{"id":4,"name":"Milepost","value":"0.09"},{"id":17,"name":"Train ID","value":"72-06"},{"id":16,"name":"Locomotive ID","value":"4012"},{"id":130,"name":"Impact","value":""},{"id":150,"name":"Time of Event (Mountain Time)","value":"18:29:16"},{"id":151,"name":"Denver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80" t="str">
        <f t="shared" si="96"/>
        <v>start /low /b %USERPROFILE%\Documents\GitHub\eaglep3\Utilities\DownloadLogsFromS3.py --loco 4012 --day 2017-01-06</v>
      </c>
    </row>
    <row r="219" spans="1:39" x14ac:dyDescent="0.25">
      <c r="A219" s="34" t="s">
        <v>633</v>
      </c>
      <c r="B219" s="7">
        <v>4022</v>
      </c>
      <c r="C219" s="22" t="s">
        <v>203</v>
      </c>
      <c r="D219" s="22" t="s">
        <v>772</v>
      </c>
      <c r="E219" s="13">
        <v>42741.851041666669</v>
      </c>
      <c r="F219" s="13">
        <v>25568.708333333332</v>
      </c>
      <c r="G219" s="7">
        <v>1</v>
      </c>
      <c r="H219" s="22" t="s">
        <v>773</v>
      </c>
      <c r="I219" s="13">
        <v>25568.708333333332</v>
      </c>
      <c r="J219" s="7">
        <v>0</v>
      </c>
      <c r="K219" s="105" t="str">
        <f t="shared" si="83"/>
        <v>4021/4022</v>
      </c>
      <c r="L219" s="22" t="str">
        <f>VLOOKUP(A219,'Trips&amp;Operators'!$C$1:$G$99999,5,FALSE)</f>
        <v>DAVIDSON DAVID</v>
      </c>
      <c r="M219" s="6">
        <f t="shared" si="84"/>
        <v>0</v>
      </c>
      <c r="N219" s="7">
        <f t="shared" si="78"/>
        <v>0</v>
      </c>
      <c r="O219" s="7"/>
      <c r="P219" s="7"/>
      <c r="Q219" s="23"/>
      <c r="R219" s="23"/>
      <c r="S219" s="32">
        <f t="shared" si="82"/>
        <v>0</v>
      </c>
      <c r="T219" s="47"/>
      <c r="U219" s="16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4" t="str">
        <f t="shared" si="86"/>
        <v>https://search-rtdc-monitor-bjffxe2xuh6vdkpspy63sjmuny.us-east-1.es.amazonaws.com/_plugin/kibana/#/discover/Steve-Slow-Train-Analysis-(2080s-and-2083s)?_g=(refreshInterval:(display:Off,section:0,value:0),time:(from:'2017-01-06 19:25:30-700',mode:absolute,to:'1969-12-31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9" s="49" t="str">
        <f t="shared" si="87"/>
        <v>Y</v>
      </c>
      <c r="X219" s="173"/>
      <c r="Y219" s="64">
        <f t="shared" si="88"/>
        <v>4.2299999999999997E-2</v>
      </c>
      <c r="Z219" s="64">
        <f t="shared" si="97"/>
        <v>2.3300999999999998</v>
      </c>
      <c r="AA219" s="64">
        <f t="shared" si="89"/>
        <v>2.2877999999999998</v>
      </c>
      <c r="AB219" s="61"/>
      <c r="AC219" s="57"/>
      <c r="AD219" s="58" t="str">
        <f t="shared" si="90"/>
        <v>73-06</v>
      </c>
      <c r="AE219" s="87" t="str">
        <f t="shared" si="91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19" s="84" t="str">
        <f t="shared" si="92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19" s="1" t="str">
        <f t="shared" si="93"/>
        <v>Other</v>
      </c>
      <c r="AH219" s="88" t="str">
        <f t="shared" si="94"/>
        <v>"%USERPROFILE%\Documents\GitHub\eaglep3\Utilities\RefineRTDCRunTimes.py" --tripid 73-06 --locoid 4022 --swversion DE.1.0.8.0 --startMP 204:423 --initTime 2017-01-06T20:25:30 --startdatetime 1969-12-31T17:00:00 --delay 1 --endMP 300:23301 --enddatetime 1969-12-31T17:00:00 --enforcementcount 0 &gt;&gt;C:\Users\stu\Documents\GitHub\eaglep3-reporting\EC\2017-01-06-refined-times.txt</v>
      </c>
      <c r="AI219" s="115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ID","value":"73-06"},{"id":16,"name":"Locomotive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80" t="str">
        <f t="shared" si="96"/>
        <v>start /low /b %USERPROFILE%\Documents\GitHub\eaglep3\Utilities\DownloadLogsFromS3.py --loco 4022 --day 1969-12-31</v>
      </c>
    </row>
    <row r="220" spans="1:39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</row>
    <row r="221" spans="1:39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  <c r="AM221"/>
    </row>
    <row r="222" spans="1:39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39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39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</sheetData>
  <autoFilter ref="A12:AG218">
    <sortState ref="A13:AG220">
      <sortCondition ref="AG13:AG220"/>
      <sortCondition ref="AD13:AD220"/>
    </sortState>
  </autoFilter>
  <sortState ref="A13:AH200">
    <sortCondition ref="AG13:AG200"/>
    <sortCondition ref="AD13:AD200"/>
  </sortState>
  <mergeCells count="1">
    <mergeCell ref="A11:P11"/>
  </mergeCells>
  <conditionalFormatting sqref="W11:W12 W235:X1048576 W13:X219">
    <cfRule type="cellIs" dxfId="10" priority="352" operator="equal">
      <formula>"Y"</formula>
    </cfRule>
  </conditionalFormatting>
  <conditionalFormatting sqref="X235:X1048576 X13:X219">
    <cfRule type="cellIs" dxfId="9" priority="335" operator="greaterThan">
      <formula>1</formula>
    </cfRule>
  </conditionalFormatting>
  <conditionalFormatting sqref="X235:X1048576 X12:X219">
    <cfRule type="cellIs" dxfId="8" priority="332" operator="equal">
      <formula>0</formula>
    </cfRule>
  </conditionalFormatting>
  <conditionalFormatting sqref="A13:S219">
    <cfRule type="expression" dxfId="7" priority="326" stopIfTrue="1">
      <formula>$P13&gt;0</formula>
    </cfRule>
    <cfRule type="expression" dxfId="6" priority="327" stopIfTrue="1">
      <formula>$O13&gt;0</formula>
    </cfRule>
  </conditionalFormatting>
  <pageMargins left="0.7" right="0.7" top="0.75" bottom="0.75" header="0.3" footer="0.3"/>
  <pageSetup orientation="portrait" r:id="rId1"/>
  <ignoredErrors>
    <ignoredError sqref="X13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AK13:AK219</xm:sqref>
        </x14:dataValidation>
        <x14:dataValidation type="list" allowBlank="1" showInputMessage="1" showErrorMessage="1">
          <x14:formula1>
            <xm:f>'Redmine List Values'!$C$2:$C$15</xm:f>
          </x14:formula1>
          <xm:sqref>AL13:AL219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71"/>
  <sheetViews>
    <sheetView topLeftCell="A2" zoomScaleNormal="100" workbookViewId="0">
      <selection activeCell="P12" sqref="P1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5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80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5"/>
      <c r="P1" s="132"/>
      <c r="R1" s="85"/>
      <c r="S1" s="97"/>
      <c r="T1" s="82"/>
      <c r="V1" s="45"/>
      <c r="AC1" s="134"/>
      <c r="AE1" s="180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6">
        <f>COUNTIF($O$7:$O$330,"=Y")</f>
        <v>4</v>
      </c>
      <c r="P2" s="129"/>
      <c r="R2" s="85"/>
      <c r="S2" s="97"/>
      <c r="T2" s="82"/>
      <c r="V2" s="45"/>
      <c r="AC2" s="135"/>
      <c r="AE2" s="180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7">
        <f>COUNTA($O$7:$O$330)-O2</f>
        <v>24</v>
      </c>
      <c r="P3" s="129"/>
      <c r="R3" s="85"/>
      <c r="S3" s="97"/>
      <c r="T3" s="82"/>
      <c r="V3" s="45"/>
      <c r="AC3" s="135"/>
      <c r="AE3" s="180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5"/>
      <c r="P4" s="132"/>
      <c r="R4" s="85"/>
      <c r="S4" s="97"/>
      <c r="T4" s="82"/>
      <c r="V4" s="45"/>
      <c r="AC4" s="135"/>
      <c r="AE4" s="180"/>
    </row>
    <row r="5" spans="1:31" s="10" customFormat="1" ht="15" customHeight="1" x14ac:dyDescent="0.25">
      <c r="A5" s="189" t="str">
        <f>"Eagle P3 Braking Events - "&amp;TEXT(Variables!$A$2,"YYYY-mm-dd")</f>
        <v>Eagle P3 Braking Events - 2017-01-06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47"/>
      <c r="R5" s="95"/>
      <c r="S5" s="98"/>
      <c r="T5" s="100"/>
      <c r="V5" s="46"/>
      <c r="AC5" s="136"/>
      <c r="AE5" s="182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156</v>
      </c>
      <c r="J6" s="133" t="s">
        <v>30</v>
      </c>
      <c r="K6" s="133" t="s">
        <v>29</v>
      </c>
      <c r="L6" s="133" t="s">
        <v>28</v>
      </c>
      <c r="M6" s="118" t="s">
        <v>157</v>
      </c>
      <c r="N6" s="148" t="s">
        <v>47</v>
      </c>
      <c r="O6" s="178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148</v>
      </c>
      <c r="Z6" s="125" t="s">
        <v>149</v>
      </c>
      <c r="AA6" s="125" t="s">
        <v>122</v>
      </c>
      <c r="AB6" s="125" t="s">
        <v>150</v>
      </c>
      <c r="AC6" s="137" t="s">
        <v>176</v>
      </c>
      <c r="AD6" s="126" t="s">
        <v>223</v>
      </c>
      <c r="AE6" s="181" t="s">
        <v>304</v>
      </c>
    </row>
    <row r="7" spans="1:31" s="1" customFormat="1" x14ac:dyDescent="0.25">
      <c r="A7" s="33">
        <v>42741.820937500001</v>
      </c>
      <c r="B7" s="31" t="s">
        <v>183</v>
      </c>
      <c r="C7" s="31" t="s">
        <v>464</v>
      </c>
      <c r="D7" s="31" t="s">
        <v>49</v>
      </c>
      <c r="E7" s="31" t="s">
        <v>237</v>
      </c>
      <c r="F7" s="44">
        <v>470</v>
      </c>
      <c r="G7" s="44">
        <v>546</v>
      </c>
      <c r="H7" s="44">
        <v>41654</v>
      </c>
      <c r="I7" s="44">
        <v>43919</v>
      </c>
      <c r="J7" s="31" t="s">
        <v>238</v>
      </c>
      <c r="K7" s="44">
        <v>42779</v>
      </c>
      <c r="L7" s="150" t="s">
        <v>50</v>
      </c>
      <c r="M7" s="151">
        <f t="shared" ref="M7:M34" si="0">CONVERT((I7-K7)/10000,"mi","ft")*IF(L7="Increasing Mileposts (1)",-1,1)</f>
        <v>-601.91999999999996</v>
      </c>
      <c r="N7" s="152" t="str">
        <f>VLOOKUP(C7,'Trips&amp;Operators'!$C$1:$G$99999,5,FALSE)</f>
        <v>DUNCAN SHEILA</v>
      </c>
      <c r="O7" s="179" t="s">
        <v>195</v>
      </c>
      <c r="P7" s="153" t="s">
        <v>328</v>
      </c>
      <c r="Q7" s="31"/>
      <c r="R7" s="96" t="str">
        <f>VLOOKUP(C7,'Train Runs'!$A$13:$AE$9962,31,0)</f>
        <v>aws s3 cp s3://rtdc.mdm.uploadarchive.raw/RTDC4009/ "%USERPROFILE%\AppData\Local\Temp\OnboardLogs"\RTDC4009\2017-01-06 --exclude "*" --recursive --include "*20170106*" &amp; "%USERPROFILE%\Documents\GitHub\mrs-test-scripts\Headless Mode &amp; Sideloading\WalkAndUnGZ.bat" "%USERPROFILE%\AppData\Local\Temp\OnboardLogs"\RTDC4009\2017-01-06 &amp; aws s3 cp s3://rtdc.mdm.uploadarchive.raw/RTDC4009/ "%USERPROFILE%\AppData\Local\Temp\OnboardLogs"\RTDC4009\2017-01-07 --exclude "*" --recursive --include "*20170107*" &amp; "%USERPROFILE%\Documents\GitHub\mrs-test-scripts\Headless Mode &amp; Sideloading\WalkAndUnGZ.bat" "%USERPROFILE%\AppData\Local\Temp\OnboardLogs"\RTDC4009\2017-01-07</v>
      </c>
      <c r="S7" s="99" t="str">
        <f>VLOOKUP(C7,'Train Runs'!$A$13:$AE$9962,22,0)</f>
        <v>https://search-rtdc-monitor-bjffxe2xuh6vdkpspy63sjmuny.us-east-1.es.amazonaws.com/_plugin/kibana/#/discover/Steve-Slow-Train-Analysis-(2080s-and-2083s)?_g=(refreshInterval:(display:Off,section:0,value:0),time:(from:'2017-01-06 18:29:07-700',mode:absolute,to:'2017-01-06 21:08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7" s="101" t="str">
        <f t="shared" ref="T7:T34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/stypes="*4009*201701070*" /stext=" 02:.+((SYSTEM_STATE.+slice.+state.+changed )|(ment ac)|(multiple cpu faults)|(system.+state.+changed )|(\[timeout)|(PRM\|1\|D)|(kpr)|(kdp)|(\|lc)|(penalty))" /e /r /s</v>
      </c>
      <c r="U7" s="9" t="str">
        <f t="shared" ref="U7:U34" si="2">MID(B7,13,4)</f>
        <v>4009</v>
      </c>
      <c r="V7" s="33">
        <f t="shared" ref="V7:V34" si="3">A7-utc_offset/24</f>
        <v>42742.112604166665</v>
      </c>
      <c r="W7" s="47" t="str">
        <f t="shared" ref="W7:W34" si="4">IF(VALUE(LEFT(IF(LEN(C7)=6,"0"&amp;C7,C7),2))&lt;=2,"EC",IF(OR(VALUE(LEFT(IF(LEN(C7)=6,"0"&amp;C7,C7),2))=8,VALUE(LEFT(IF(LEN(C7)=6,"0"&amp;C7,C7),2))=18),"NW","Other"))</f>
        <v>EC</v>
      </c>
      <c r="X7" s="47" t="str">
        <f t="shared" ref="X7:X34" si="5">IF(AND(E7="TRACK WARRANT AUTHORITY",G7&lt;10),"OMIT","KEEP")</f>
        <v>KEEP</v>
      </c>
      <c r="Y7" s="115" t="str">
        <f t="shared" ref="Y7:Y34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arrival","project_id":79,"tracker_id":40,"status_id":1,"priority_id":2,"assigned_to_id":23,"start_date":"2017-01-06","description":"","custom_fields":[{"id":1,"name":"Subdivision","value":"EC"},{"id":4,"name":"Milepost","value":"4.2779"},{"id":17,"name":"Train ID","value":"223-06"},{"id":16,"name":"Locomotive ID","value":"4009"},{"id":130,"name":"Impact","value":""},{"id":150,"name":"Time of Event (Mountain Time)","value":"19:42:09"},{"id":151,"name":"Denver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34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"%USERPROFILE%\AppData\Local\Temp\OnboardLogs"\RTDC4009\*4009*201701070*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"%USERPROFILE%\AppData\Local\Temp\OnboardLogs"\RTDC4009\*4009*201701070* &gt;&gt; 42741-slicedisagreementcheck.txt</v>
      </c>
      <c r="AE7" s="183" t="str">
        <f t="shared" ref="AE7:AE34" si="8">"start /low /b "&amp;dls3logs&amp;" --loco "&amp;U7&amp;" --day "&amp;TEXT(V7,"YYYY-MM-DD")</f>
        <v>start /low /b %USERPROFILE%\Documents\GitHub\eaglep3\Utilities\DownloadLogsFromS3.py --loco 4009 --day 2017-01-07</v>
      </c>
    </row>
    <row r="8" spans="1:31" s="1" customFormat="1" x14ac:dyDescent="0.25">
      <c r="A8" s="33">
        <v>42741.446562500001</v>
      </c>
      <c r="B8" s="31" t="s">
        <v>381</v>
      </c>
      <c r="C8" s="31" t="s">
        <v>452</v>
      </c>
      <c r="D8" s="31" t="s">
        <v>49</v>
      </c>
      <c r="E8" s="31" t="s">
        <v>330</v>
      </c>
      <c r="F8" s="44">
        <v>300</v>
      </c>
      <c r="G8" s="44">
        <v>413</v>
      </c>
      <c r="H8" s="44">
        <v>23323</v>
      </c>
      <c r="I8" s="44">
        <v>22149</v>
      </c>
      <c r="J8" s="31" t="s">
        <v>331</v>
      </c>
      <c r="K8" s="44">
        <v>21848</v>
      </c>
      <c r="L8" s="150" t="s">
        <v>51</v>
      </c>
      <c r="M8" s="151">
        <f t="shared" si="0"/>
        <v>158.928</v>
      </c>
      <c r="N8" s="152" t="str">
        <f>VLOOKUP(C8,'Trips&amp;Operators'!$C$1:$G$99999,5,FALSE)</f>
        <v>ACKERMAN JARED</v>
      </c>
      <c r="O8" s="179" t="s">
        <v>195</v>
      </c>
      <c r="P8" s="153"/>
      <c r="Q8" s="31"/>
      <c r="R8" s="96" t="str">
        <f>VLOOKUP(C8,'Train Runs'!$A$13:$AE$9962,31,0)</f>
        <v>aws s3 cp s3://rtdc.mdm.uploadarchive.raw/RTDC4028/ "%USERPROFILE%\AppData\Local\Temp\OnboardLogs"\RTDC4028\2017-01-06 --exclude "*" --recursive --include "*20170106*" &amp; "%USERPROFILE%\Documents\GitHub\mrs-test-scripts\Headless Mode &amp; Sideloading\WalkAndUnGZ.bat" "%USERPROFILE%\AppData\Local\Temp\OnboardLogs"\RTDC4028\2017-01-06 &amp; aws s3 cp s3://rtdc.mdm.uploadarchive.raw/RTDC4028/ "%USERPROFILE%\AppData\Local\Temp\OnboardLogs"\RTDC4028\2017-01-07 --exclude "*" --recursive --include "*20170107*" &amp; "%USERPROFILE%\Documents\GitHub\mrs-test-scripts\Headless Mode &amp; Sideloading\WalkAndUnGZ.bat" "%USERPROFILE%\AppData\Local\Temp\OnboardLogs"\RTDC4028\2017-01-07</v>
      </c>
      <c r="S8" s="99" t="str">
        <f>VLOOKUP(C8,'Train Runs'!$A$13:$AE$9962,22,0)</f>
        <v>https://search-rtdc-monitor-bjffxe2xuh6vdkpspy63sjmuny.us-east-1.es.amazonaws.com/_plugin/kibana/#/discover/Steve-Slow-Train-Analysis-(2080s-and-2083s)?_g=(refreshInterval:(display:Off,section:0,value:0),time:(from:'2017-01-06 09:03:44-700',mode:absolute,to:'2017-01-06 11:50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8" s="101" t="str">
        <f t="shared" si="1"/>
        <v>"C:\Program Files (x86)\AstroGrep\AstroGrep.exe" /spath="%USERPROFILE%\AppData\Local\Temp\OnboardLogs" /stypes="*4028*201701061*" /stext=" 17:.+((SYSTEM_STATE.+slice.+state.+changed )|(ment ac)|(multiple cpu faults)|(system.+state.+changed )|(\[timeout)|(PRM\|1\|D)|(kpr)|(kdp)|(\|lc)|(penalty))" /e /r /s</v>
      </c>
      <c r="U8" s="9" t="str">
        <f t="shared" si="2"/>
        <v>4028</v>
      </c>
      <c r="V8" s="33">
        <f t="shared" si="3"/>
        <v>42741.738229166665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{"issue":{"subject":"","project_id":79,"tracker_id":40,"status_id":1,"priority_id":2,"assigned_to_id":23,"start_date":"2017-01-06","description":"","custom_fields":[{"id":1,"name":"Subdivision","value":"EC"},{"id":4,"name":"Milepost","value":"2.1848"},{"id":17,"name":"Train ID","value":"146-06"},{"id":16,"name":"Locomotive ID","value":"4028"},{"id":130,"name":"Impact","value":""},{"id":150,"name":"Time of Event (Mountain Time)","value":"10:43:03"},{"id":151,"name":"Denver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"%USERPROFILE%\AppData\Local\Temp\OnboardLogs"\RTDC4028\*4028*201701061*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"%USERPROFILE%\AppData\Local\Temp\OnboardLogs"\RTDC4028\*4028*201701061* &gt;&gt; 42741-slicedisagreementcheck.txt</v>
      </c>
      <c r="AE8" s="183" t="str">
        <f t="shared" si="8"/>
        <v>start /low /b %USERPROFILE%\Documents\GitHub\eaglep3\Utilities\DownloadLogsFromS3.py --loco 4028 --day 2017-01-06</v>
      </c>
    </row>
    <row r="9" spans="1:31" s="1" customFormat="1" x14ac:dyDescent="0.25">
      <c r="A9" s="33">
        <v>42741.860532407409</v>
      </c>
      <c r="B9" s="31" t="s">
        <v>294</v>
      </c>
      <c r="C9" s="31" t="s">
        <v>469</v>
      </c>
      <c r="D9" s="31" t="s">
        <v>98</v>
      </c>
      <c r="E9" s="31" t="s">
        <v>330</v>
      </c>
      <c r="F9" s="44">
        <v>200</v>
      </c>
      <c r="G9" s="44">
        <v>251</v>
      </c>
      <c r="H9" s="44">
        <v>30383</v>
      </c>
      <c r="I9" s="44">
        <v>30913</v>
      </c>
      <c r="J9" s="31" t="s">
        <v>331</v>
      </c>
      <c r="K9" s="44">
        <v>27333</v>
      </c>
      <c r="L9" s="150" t="s">
        <v>50</v>
      </c>
      <c r="M9" s="151">
        <f t="shared" si="0"/>
        <v>-1890.24</v>
      </c>
      <c r="N9" s="152" t="str">
        <f>VLOOKUP(C9,'Trips&amp;Operators'!$C$1:$G$99999,5,FALSE)</f>
        <v>HILLS DUSTIN</v>
      </c>
      <c r="O9" s="179" t="s">
        <v>195</v>
      </c>
      <c r="P9" s="153"/>
      <c r="Q9" s="31"/>
      <c r="R9" s="96" t="str">
        <f>VLOOKUP(C9,'Train Runs'!$A$13:$AE$9962,31,0)</f>
        <v>aws s3 cp s3://rtdc.mdm.uploadarchive.raw/RTDC4018/ "%USERPROFILE%\AppData\Local\Temp\OnboardLogs"\RTDC4018\2017-01-06 --exclude "*" --recursive --include "*20170106*" &amp; "%USERPROFILE%\Documents\GitHub\mrs-test-scripts\Headless Mode &amp; Sideloading\WalkAndUnGZ.bat" "%USERPROFILE%\AppData\Local\Temp\OnboardLogs"\RTDC4018\2017-01-06 &amp; aws s3 cp s3://rtdc.mdm.uploadarchive.raw/RTDC4018/ "%USERPROFILE%\AppData\Local\Temp\OnboardLogs"\RTDC4018\2017-01-07 --exclude "*" --recursive --include "*20170107*" &amp; "%USERPROFILE%\Documents\GitHub\mrs-test-scripts\Headless Mode &amp; Sideloading\WalkAndUnGZ.bat" "%USERPROFILE%\AppData\Local\Temp\OnboardLogs"\RTDC4018\2017-01-07</v>
      </c>
      <c r="S9" s="99" t="str">
        <f>VLOOKUP(C9,'Train Runs'!$A$13:$AE$9962,22,0)</f>
        <v>https://search-rtdc-monitor-bjffxe2xuh6vdkpspy63sjmuny.us-east-1.es.amazonaws.com/_plugin/kibana/#/discover/Steve-Slow-Train-Analysis-(2080s-and-2083s)?_g=(refreshInterval:(display:Off,section:0,value:0),time:(from:'2017-01-06 19:11:55-700',mode:absolute,to:'2017-01-06 22:07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9" s="101" t="str">
        <f t="shared" si="1"/>
        <v>"C:\Program Files (x86)\AstroGrep\AstroGrep.exe" /spath="%USERPROFILE%\AppData\Local\Temp\OnboardLogs" /stypes="*4018*201701070*" /stext=" 03:.+((SYSTEM_STATE.+slice.+state.+changed )|(ment ac)|(multiple cpu faults)|(system.+state.+changed )|(\[timeout)|(PRM\|1\|D)|(kpr)|(kdp)|(\|lc)|(penalty))" /e /r /s</v>
      </c>
      <c r="U9" s="9" t="str">
        <f t="shared" si="2"/>
        <v>4018</v>
      </c>
      <c r="V9" s="33">
        <f t="shared" si="3"/>
        <v>42742.152199074073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{"issue":{"subject":"","project_id":79,"tracker_id":40,"status_id":1,"priority_id":2,"assigned_to_id":23,"start_date":"2017-01-06","description":"","custom_fields":[{"id":1,"name":"Subdivision","value":"EC"},{"id":4,"name":"Milepost","value":"2.7333"},{"id":17,"name":"Train ID","value":"227-06"},{"id":16,"name":"Locomotive ID","value":"4018"},{"id":130,"name":"Impact","value":""},{"id":150,"name":"Time of Event (Mountain Time)","value":"20:39:10"},{"id":151,"name":"Denver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"%USERPROFILE%\AppData\Local\Temp\OnboardLogs"\RTDC4018\*4018*201701070*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"%USERPROFILE%\AppData\Local\Temp\OnboardLogs"\RTDC4018\*4018*201701070* &gt;&gt; 42741-slicedisagreementcheck.txt</v>
      </c>
      <c r="AE9" s="183" t="str">
        <f t="shared" si="8"/>
        <v>start /low /b %USERPROFILE%\Documents\GitHub\eaglep3\Utilities\DownloadLogsFromS3.py --loco 4018 --day 2017-01-07</v>
      </c>
    </row>
    <row r="10" spans="1:31" s="1" customFormat="1" x14ac:dyDescent="0.25">
      <c r="A10" s="33">
        <v>42741.41474537037</v>
      </c>
      <c r="B10" s="31" t="s">
        <v>329</v>
      </c>
      <c r="C10" s="31" t="s">
        <v>450</v>
      </c>
      <c r="D10" s="31" t="s">
        <v>49</v>
      </c>
      <c r="E10" s="31" t="s">
        <v>330</v>
      </c>
      <c r="F10" s="44">
        <v>400</v>
      </c>
      <c r="G10" s="44">
        <v>573</v>
      </c>
      <c r="H10" s="44">
        <v>122478</v>
      </c>
      <c r="I10" s="44">
        <v>120454</v>
      </c>
      <c r="J10" s="31" t="s">
        <v>331</v>
      </c>
      <c r="K10" s="44">
        <v>119716</v>
      </c>
      <c r="L10" s="150" t="s">
        <v>51</v>
      </c>
      <c r="M10" s="151">
        <f t="shared" si="0"/>
        <v>389.66399999999999</v>
      </c>
      <c r="N10" s="152" t="str">
        <f>VLOOKUP(C10,'Trips&amp;Operators'!$C$1:$G$99999,5,FALSE)</f>
        <v>ISHMAEL JOSEPH</v>
      </c>
      <c r="O10" s="179" t="s">
        <v>195</v>
      </c>
      <c r="P10" s="153"/>
      <c r="Q10" s="31"/>
      <c r="R10" s="96" t="str">
        <f>VLOOKUP(C10,'Train Runs'!$A$13:$AE$9962,31,0)</f>
        <v>aws s3 cp s3://rtdc.mdm.uploadarchive.raw/RTDC4010/ "%USERPROFILE%\AppData\Local\Temp\OnboardLogs"\RTDC4010\2017-01-06 --exclude "*" --recursive --include "*20170106*" &amp; "%USERPROFILE%\Documents\GitHub\mrs-test-scripts\Headless Mode &amp; Sideloading\WalkAndUnGZ.bat" "%USERPROFILE%\AppData\Local\Temp\OnboardLogs"\RTDC4010\2017-01-06 &amp; aws s3 cp s3://rtdc.mdm.uploadarchive.raw/RTDC4010/ "%USERPROFILE%\AppData\Local\Temp\OnboardLogs"\RTDC4010\2017-01-07 --exclude "*" --recursive --include "*20170107*" &amp; "%USERPROFILE%\Documents\GitHub\mrs-test-scripts\Headless Mode &amp; Sideloading\WalkAndUnGZ.bat" "%USERPROFILE%\AppData\Local\Temp\OnboardLogs"\RTDC4010\2017-01-07</v>
      </c>
      <c r="S10" s="99" t="str">
        <f>VLOOKUP(C10,'Train Runs'!$A$13:$AE$9962,22,0)</f>
        <v>https://search-rtdc-monitor-bjffxe2xuh6vdkpspy63sjmuny.us-east-1.es.amazonaws.com/_plugin/kibana/#/discover/Steve-Slow-Train-Analysis-(2080s-and-2083s)?_g=(refreshInterval:(display:Off,section:0,value:0),time:(from:'2017-01-06 08:37:21-700',mode:absolute,to:'2017-01-06 11:20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10" s="101" t="str">
        <f t="shared" si="1"/>
        <v>"C:\Program Files (x86)\AstroGrep\AstroGrep.exe" /spath="%USERPROFILE%\AppData\Local\Temp\OnboardLogs" /stypes="*4010*201701061*" /stext=" 16:.+((SYSTEM_STATE.+slice.+state.+changed )|(ment ac)|(multiple cpu faults)|(system.+state.+changed )|(\[timeout)|(PRM\|1\|D)|(kpr)|(kdp)|(\|lc)|(penalty))" /e /r /s</v>
      </c>
      <c r="U10" s="9" t="str">
        <f t="shared" si="2"/>
        <v>4010</v>
      </c>
      <c r="V10" s="33">
        <f t="shared" si="3"/>
        <v>42741.706412037034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{"issue":{"subject":"","project_id":79,"tracker_id":40,"status_id":1,"priority_id":2,"assigned_to_id":23,"start_date":"2017-01-06","description":"","custom_fields":[{"id":1,"name":"Subdivision","value":"EC"},{"id":4,"name":"Milepost","value":"11.9716"},{"id":17,"name":"Train ID","value":"142-06"},{"id":16,"name":"Locomotive ID","value":"4010"},{"id":130,"name":"Impact","value":""},{"id":150,"name":"Time of Event (Mountain Time)","value":"09:57:14"},{"id":151,"name":"Denver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"%USERPROFILE%\AppData\Local\Temp\OnboardLogs"\RTDC4010\*4010*201701061*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"%USERPROFILE%\AppData\Local\Temp\OnboardLogs"\RTDC4010\*4010*201701061* &gt;&gt; 42741-slicedisagreementcheck.txt</v>
      </c>
      <c r="AE10" s="183" t="str">
        <f t="shared" si="8"/>
        <v>start /low /b %USERPROFILE%\Documents\GitHub\eaglep3\Utilities\DownloadLogsFromS3.py --loco 4010 --day 2017-01-06</v>
      </c>
    </row>
    <row r="11" spans="1:31" s="1" customFormat="1" x14ac:dyDescent="0.25">
      <c r="A11" s="33">
        <v>42741.500856481478</v>
      </c>
      <c r="B11" s="31" t="s">
        <v>210</v>
      </c>
      <c r="C11" s="31" t="s">
        <v>455</v>
      </c>
      <c r="D11" s="31" t="s">
        <v>49</v>
      </c>
      <c r="E11" s="31" t="s">
        <v>196</v>
      </c>
      <c r="F11" s="44">
        <v>0</v>
      </c>
      <c r="G11" s="44">
        <v>645</v>
      </c>
      <c r="H11" s="44">
        <v>75088</v>
      </c>
      <c r="I11" s="44">
        <v>78047</v>
      </c>
      <c r="J11" s="31" t="s">
        <v>197</v>
      </c>
      <c r="K11" s="44">
        <v>75566</v>
      </c>
      <c r="L11" s="150" t="s">
        <v>50</v>
      </c>
      <c r="M11" s="151">
        <f t="shared" si="0"/>
        <v>-1309.9680000000001</v>
      </c>
      <c r="N11" s="152" t="str">
        <f>VLOOKUP(C11,'Trips&amp;Operators'!$C$1:$G$99999,5,FALSE)</f>
        <v>BRUDER RICHARD</v>
      </c>
      <c r="O11" s="179" t="s">
        <v>332</v>
      </c>
      <c r="P11" s="153" t="s">
        <v>348</v>
      </c>
      <c r="Q11" s="31"/>
      <c r="R11" s="96" t="str">
        <f>VLOOKUP(C11,'Train Runs'!$A$13:$AE$9962,31,0)</f>
        <v>aws s3 cp s3://rtdc.mdm.uploadarchive.raw/RTDC4002/ "%USERPROFILE%\AppData\Local\Temp\OnboardLogs"\RTDC4002\2017-01-06 --exclude "*" --recursive --include "*20170106*" &amp; "%USERPROFILE%\Documents\GitHub\mrs-test-scripts\Headless Mode &amp; Sideloading\WalkAndUnGZ.bat" "%USERPROFILE%\AppData\Local\Temp\OnboardLogs"\RTDC4002\2017-01-06 &amp; aws s3 cp s3://rtdc.mdm.uploadarchive.raw/RTDC4002/ "%USERPROFILE%\AppData\Local\Temp\OnboardLogs"\RTDC4002\2017-01-07 --exclude "*" --recursive --include "*20170107*" &amp; "%USERPROFILE%\Documents\GitHub\mrs-test-scripts\Headless Mode &amp; Sideloading\WalkAndUnGZ.bat" "%USERPROFILE%\AppData\Local\Temp\OnboardLogs"\RTDC4002\2017-01-07</v>
      </c>
      <c r="S11" s="99" t="str">
        <f>VLOOKUP(C11,'Train Runs'!$A$13:$AE$9962,22,0)</f>
        <v>https://search-rtdc-monitor-bjffxe2xuh6vdkpspy63sjmuny.us-east-1.es.amazonaws.com/_plugin/kibana/#/discover/Steve-Slow-Train-Analysis-(2080s-and-2083s)?_g=(refreshInterval:(display:Off,section:0,value:0),time:(from:'2017-01-06 10:42:02-700',mode:absolute,to:'2017-01-06 13:24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11" s="101" t="str">
        <f t="shared" si="1"/>
        <v>"C:\Program Files (x86)\AstroGrep\AstroGrep.exe" /spath="%USERPROFILE%\AppData\Local\Temp\OnboardLogs" /stypes="*4002*201701061*" /stext=" 19:.+((SYSTEM_STATE.+slice.+state.+changed )|(ment ac)|(multiple cpu faults)|(system.+state.+changed )|(\[timeout)|(PRM\|1\|D)|(kpr)|(kdp)|(\|lc)|(penalty))" /e /r /s</v>
      </c>
      <c r="U11" s="9" t="str">
        <f t="shared" si="2"/>
        <v>4002</v>
      </c>
      <c r="V11" s="33">
        <f t="shared" si="3"/>
        <v>42741.792523148142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{"issue":{"subject":"Wi-MAX data drop","project_id":79,"tracker_id":40,"status_id":1,"priority_id":2,"assigned_to_id":23,"start_date":"2017-01-06","description":"","custom_fields":[{"id":1,"name":"Subdivision","value":"EC"},{"id":4,"name":"Milepost","value":"7.5566"},{"id":17,"name":"Train ID","value":"165-06"},{"id":16,"name":"Locomotive ID","value":"4002"},{"id":130,"name":"Impact","value":""},{"id":150,"name":"Time of Event (Mountain Time)","value":"12:01:14"},{"id":151,"name":"Denver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-A400 "Enforcement Action" "%USERPROFILE%\AppData\Local\Temp\OnboardLogs"\RTDC4002\*4002*201701061*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"%USERPROFILE%\AppData\Local\Temp\OnboardLogs"\RTDC4002\*4002*201701061* &gt;&gt; 42741-slicedisagreementcheck.txt</v>
      </c>
      <c r="AE11" s="183" t="str">
        <f t="shared" si="8"/>
        <v>start /low /b %USERPROFILE%\Documents\GitHub\eaglep3\Utilities\DownloadLogsFromS3.py --loco 4002 --day 2017-01-06</v>
      </c>
    </row>
    <row r="12" spans="1:31" s="1" customFormat="1" x14ac:dyDescent="0.25">
      <c r="A12" s="33">
        <v>42741.760127314818</v>
      </c>
      <c r="B12" s="31" t="s">
        <v>183</v>
      </c>
      <c r="C12" s="31" t="s">
        <v>463</v>
      </c>
      <c r="D12" s="31" t="s">
        <v>49</v>
      </c>
      <c r="E12" s="31" t="s">
        <v>196</v>
      </c>
      <c r="F12" s="44">
        <v>0</v>
      </c>
      <c r="G12" s="44">
        <v>679</v>
      </c>
      <c r="H12" s="44">
        <v>70951</v>
      </c>
      <c r="I12" s="44">
        <v>73987</v>
      </c>
      <c r="J12" s="31" t="s">
        <v>197</v>
      </c>
      <c r="K12" s="44">
        <v>75566</v>
      </c>
      <c r="L12" s="150" t="s">
        <v>50</v>
      </c>
      <c r="M12" s="151">
        <f t="shared" si="0"/>
        <v>833.71199999999999</v>
      </c>
      <c r="N12" s="152" t="str">
        <f>VLOOKUP(C12,'Trips&amp;Operators'!$C$1:$G$99999,5,FALSE)</f>
        <v>DUNCAN SHEILA</v>
      </c>
      <c r="O12" s="179" t="s">
        <v>332</v>
      </c>
      <c r="P12" s="153" t="s">
        <v>348</v>
      </c>
      <c r="Q12" s="31"/>
      <c r="R12" s="96" t="str">
        <f>VLOOKUP(C12,'Train Runs'!$A$13:$AE$9962,31,0)</f>
        <v>aws s3 cp s3://rtdc.mdm.uploadarchive.raw/RTDC4009/ "%USERPROFILE%\AppData\Local\Temp\OnboardLogs"\RTDC4009\2017-01-06 --exclude "*" --recursive --include "*20170106*" &amp; "%USERPROFILE%\Documents\GitHub\mrs-test-scripts\Headless Mode &amp; Sideloading\WalkAndUnGZ.bat" "%USERPROFILE%\AppData\Local\Temp\OnboardLogs"\RTDC4009\2017-01-06 &amp; aws s3 cp s3://rtdc.mdm.uploadarchive.raw/RTDC4009/ "%USERPROFILE%\AppData\Local\Temp\OnboardLogs"\RTDC4009\2017-01-07 --exclude "*" --recursive --include "*20170107*" &amp; "%USERPROFILE%\Documents\GitHub\mrs-test-scripts\Headless Mode &amp; Sideloading\WalkAndUnGZ.bat" "%USERPROFILE%\AppData\Local\Temp\OnboardLogs"\RTDC4009\2017-01-07</v>
      </c>
      <c r="S12" s="99" t="str">
        <f>VLOOKUP(C12,'Train Runs'!$A$13:$AE$9962,22,0)</f>
        <v>https://search-rtdc-monitor-bjffxe2xuh6vdkpspy63sjmuny.us-east-1.es.amazonaws.com/_plugin/kibana/#/discover/Steve-Slow-Train-Analysis-(2080s-and-2083s)?_g=(refreshInterval:(display:Off,section:0,value:0),time:(from:'2017-01-06 16:50:44-700',mode:absolute,to:'2017-01-06 19:39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12" s="101" t="str">
        <f t="shared" si="1"/>
        <v>"C:\Program Files (x86)\AstroGrep\AstroGrep.exe" /spath="%USERPROFILE%\AppData\Local\Temp\OnboardLogs" /stypes="*4009*201701070*" /stext=" 01:.+((SYSTEM_STATE.+slice.+state.+changed )|(ment ac)|(multiple cpu faults)|(system.+state.+changed )|(\[timeout)|(PRM\|1\|D)|(kpr)|(kdp)|(\|lc)|(penalty))" /e /r /s</v>
      </c>
      <c r="U12" s="9" t="str">
        <f t="shared" si="2"/>
        <v>4009</v>
      </c>
      <c r="V12" s="33">
        <f t="shared" si="3"/>
        <v>42742.051793981482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{"issue":{"subject":"Wi-MAX data drop","project_id":79,"tracker_id":40,"status_id":1,"priority_id":2,"assigned_to_id":23,"start_date":"2017-01-06","description":"","custom_fields":[{"id":1,"name":"Subdivision","value":"EC"},{"id":4,"name":"Milepost","value":"7.5566"},{"id":17,"name":"Train ID","value":"213-06"},{"id":16,"name":"Locomotive ID","value":"4009"},{"id":130,"name":"Impact","value":""},{"id":150,"name":"Time of Event (Mountain Time)","value":"18:14:35"},{"id":151,"name":"Denver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"%USERPROFILE%\AppData\Local\Temp\OnboardLogs"\RTDC4009\*4009*201701070*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"%USERPROFILE%\AppData\Local\Temp\OnboardLogs"\RTDC4009\*4009*201701070* &gt;&gt; 42741-slicedisagreementcheck.txt</v>
      </c>
      <c r="AE12" s="183" t="str">
        <f t="shared" si="8"/>
        <v>start /low /b %USERPROFILE%\Documents\GitHub\eaglep3\Utilities\DownloadLogsFromS3.py --loco 4009 --day 2017-01-07</v>
      </c>
    </row>
    <row r="13" spans="1:31" s="1" customFormat="1" x14ac:dyDescent="0.25">
      <c r="A13" s="33">
        <v>42741.542592592596</v>
      </c>
      <c r="B13" s="31" t="s">
        <v>391</v>
      </c>
      <c r="C13" s="31" t="s">
        <v>456</v>
      </c>
      <c r="D13" s="31" t="s">
        <v>49</v>
      </c>
      <c r="E13" s="31" t="s">
        <v>196</v>
      </c>
      <c r="F13" s="44">
        <v>0</v>
      </c>
      <c r="G13" s="44">
        <v>771</v>
      </c>
      <c r="H13" s="44">
        <v>77244</v>
      </c>
      <c r="I13" s="44">
        <v>81285</v>
      </c>
      <c r="J13" s="31" t="s">
        <v>197</v>
      </c>
      <c r="K13" s="44">
        <v>81738</v>
      </c>
      <c r="L13" s="150" t="s">
        <v>50</v>
      </c>
      <c r="M13" s="151">
        <f t="shared" si="0"/>
        <v>239.184</v>
      </c>
      <c r="N13" s="152" t="str">
        <f>VLOOKUP(C13,'Trips&amp;Operators'!$C$1:$G$99999,5,FALSE)</f>
        <v>STEWART MICHAEL</v>
      </c>
      <c r="O13" s="179" t="s">
        <v>332</v>
      </c>
      <c r="P13" s="153" t="s">
        <v>348</v>
      </c>
      <c r="Q13" s="31"/>
      <c r="R13" s="96" t="str">
        <f>VLOOKUP(C13,'Train Runs'!$A$13:$AE$9962,31,0)</f>
        <v>aws s3 cp s3://rtdc.mdm.uploadarchive.raw/RTDC4027/ "%USERPROFILE%\AppData\Local\Temp\OnboardLogs"\RTDC4027\2017-01-06 --exclude "*" --recursive --include "*20170106*" &amp; "%USERPROFILE%\Documents\GitHub\mrs-test-scripts\Headless Mode &amp; Sideloading\WalkAndUnGZ.bat" "%USERPROFILE%\AppData\Local\Temp\OnboardLogs"\RTDC4027\2017-01-06 &amp; aws s3 cp s3://rtdc.mdm.uploadarchive.raw/RTDC4027/ "%USERPROFILE%\AppData\Local\Temp\OnboardLogs"\RTDC4027\2017-01-07 --exclude "*" --recursive --include "*20170107*" &amp; "%USERPROFILE%\Documents\GitHub\mrs-test-scripts\Headless Mode &amp; Sideloading\WalkAndUnGZ.bat" "%USERPROFILE%\AppData\Local\Temp\OnboardLogs"\RTDC4027\2017-01-07</v>
      </c>
      <c r="S13" s="99" t="str">
        <f>VLOOKUP(C13,'Train Runs'!$A$13:$AE$9962,22,0)</f>
        <v>https://search-rtdc-monitor-bjffxe2xuh6vdkpspy63sjmuny.us-east-1.es.amazonaws.com/_plugin/kibana/#/discover/Steve-Slow-Train-Analysis-(2080s-and-2083s)?_g=(refreshInterval:(display:Off,section:0,value:0),time:(from:'2017-01-06 11:40:27-700',mode:absolute,to:'2017-01-06 14:23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13" s="101" t="str">
        <f t="shared" si="1"/>
        <v>"C:\Program Files (x86)\AstroGrep\AstroGrep.exe" /spath="%USERPROFILE%\AppData\Local\Temp\OnboardLogs" /stypes="*4027*201701062*" /stext=" 20:.+((SYSTEM_STATE.+slice.+state.+changed )|(ment ac)|(multiple cpu faults)|(system.+state.+changed )|(\[timeout)|(PRM\|1\|D)|(kpr)|(kdp)|(\|lc)|(penalty))" /e /r /s</v>
      </c>
      <c r="U13" s="9" t="str">
        <f t="shared" si="2"/>
        <v>4027</v>
      </c>
      <c r="V13" s="33">
        <f t="shared" si="3"/>
        <v>42741.83425925926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{"issue":{"subject":"Wi-MAX data drop","project_id":79,"tracker_id":40,"status_id":1,"priority_id":2,"assigned_to_id":23,"start_date":"2017-01-06","description":"","custom_fields":[{"id":1,"name":"Subdivision","value":"EC"},{"id":4,"name":"Milepost","value":"8.1738"},{"id":17,"name":"Train ID","value":"173-06"},{"id":16,"name":"Locomotive ID","value":"4027"},{"id":130,"name":"Impact","value":""},{"id":150,"name":"Time of Event (Mountain Time)","value":"13:01:20"},{"id":151,"name":"Denver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-A400 "Enforcement Action" "%USERPROFILE%\AppData\Local\Temp\OnboardLogs"\RTDC4027\*4027*201701062*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"%USERPROFILE%\AppData\Local\Temp\OnboardLogs"\RTDC4027\*4027*201701062* &gt;&gt; 42741-slicedisagreementcheck.txt</v>
      </c>
      <c r="AE13" s="183" t="str">
        <f t="shared" si="8"/>
        <v>start /low /b %USERPROFILE%\Documents\GitHub\eaglep3\Utilities\DownloadLogsFromS3.py --loco 4027 --day 2017-01-06</v>
      </c>
    </row>
    <row r="14" spans="1:31" s="1" customFormat="1" x14ac:dyDescent="0.25">
      <c r="A14" s="33">
        <v>42741.246655092589</v>
      </c>
      <c r="B14" s="31" t="s">
        <v>316</v>
      </c>
      <c r="C14" s="31" t="s">
        <v>447</v>
      </c>
      <c r="D14" s="31" t="s">
        <v>49</v>
      </c>
      <c r="E14" s="31" t="s">
        <v>198</v>
      </c>
      <c r="F14" s="44">
        <v>0</v>
      </c>
      <c r="G14" s="44">
        <v>27</v>
      </c>
      <c r="H14" s="44">
        <v>123</v>
      </c>
      <c r="I14" s="44">
        <v>110</v>
      </c>
      <c r="J14" s="31" t="s">
        <v>199</v>
      </c>
      <c r="K14" s="44">
        <v>1</v>
      </c>
      <c r="L14" s="150" t="s">
        <v>51</v>
      </c>
      <c r="M14" s="151">
        <f t="shared" si="0"/>
        <v>57.552</v>
      </c>
      <c r="N14" s="152" t="str">
        <f>VLOOKUP(C14,'Trips&amp;Operators'!$C$1:$G$99999,5,FALSE)</f>
        <v>ROBINSON KADDIBA</v>
      </c>
      <c r="O14" s="179" t="s">
        <v>195</v>
      </c>
      <c r="P14" s="153"/>
      <c r="Q14" s="31"/>
      <c r="R14" s="96" t="str">
        <f>VLOOKUP(C14,'Train Runs'!$A$13:$AE$9962,31,0)</f>
        <v>aws s3 cp s3://rtdc.mdm.uploadarchive.raw/RTDC4032/ "%USERPROFILE%\AppData\Local\Temp\OnboardLogs"\RTDC4032\2017-01-06 --exclude "*" --recursive --include "*20170106*" &amp; "%USERPROFILE%\Documents\GitHub\mrs-test-scripts\Headless Mode &amp; Sideloading\WalkAndUnGZ.bat" "%USERPROFILE%\AppData\Local\Temp\OnboardLogs"\RTDC4032\2017-01-06 &amp; aws s3 cp s3://rtdc.mdm.uploadarchive.raw/RTDC4032/ "%USERPROFILE%\AppData\Local\Temp\OnboardLogs"\RTDC4032\2017-01-07 --exclude "*" --recursive --include "*20170107*" &amp; "%USERPROFILE%\Documents\GitHub\mrs-test-scripts\Headless Mode &amp; Sideloading\WalkAndUnGZ.bat" "%USERPROFILE%\AppData\Local\Temp\OnboardLogs"\RTDC4032\2017-01-07</v>
      </c>
      <c r="S14" s="99" t="str">
        <f>VLOOKUP(C14,'Train Runs'!$A$13:$AE$9962,22,0)</f>
        <v>https://search-rtdc-monitor-bjffxe2xuh6vdkpspy63sjmuny.us-east-1.es.amazonaws.com/_plugin/kibana/#/discover/Steve-Slow-Train-Analysis-(2080s-and-2083s)?_g=(refreshInterval:(display:Off,section:0,value:0),time:(from:'2017-01-06 04:04:53-700',mode:absolute,to:'2017-01-06 06:55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4" s="101" t="str">
        <f t="shared" si="1"/>
        <v>"C:\Program Files (x86)\AstroGrep\AstroGrep.exe" /spath="%USERPROFILE%\AppData\Local\Temp\OnboardLogs" /stypes="*4032*201701061*" /stext=" 12:.+((SYSTEM_STATE.+slice.+state.+changed )|(ment ac)|(multiple cpu faults)|(system.+state.+changed )|(\[timeout)|(PRM\|1\|D)|(kpr)|(kdp)|(\|lc)|(penalty))" /e /r /s</v>
      </c>
      <c r="U14" s="9" t="str">
        <f t="shared" si="2"/>
        <v>4032</v>
      </c>
      <c r="V14" s="33">
        <f t="shared" si="3"/>
        <v>42741.538321759253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{"issue":{"subject":"","project_id":79,"tracker_id":40,"status_id":1,"priority_id":2,"assigned_to_id":23,"start_date":"2017-01-06","description":"","custom_fields":[{"id":1,"name":"Subdivision","value":"EC"},{"id":4,"name":"Milepost","value":"0.0001"},{"id":17,"name":"Train ID","value":"106-06"},{"id":16,"name":"Locomotive ID","value":"4032"},{"id":130,"name":"Impact","value":""},{"id":150,"name":"Time of Event (Mountain Time)","value":"05:55:11"},{"id":151,"name":"Denver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"%USERPROFILE%\AppData\Local\Temp\OnboardLogs"\RTDC4032\*4032*201701061*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"%USERPROFILE%\AppData\Local\Temp\OnboardLogs"\RTDC4032\*4032*201701061* &gt;&gt; 42741-slicedisagreementcheck.txt</v>
      </c>
      <c r="AE14" s="183" t="str">
        <f t="shared" si="8"/>
        <v>start /low /b %USERPROFILE%\Documents\GitHub\eaglep3\Utilities\DownloadLogsFromS3.py --loco 4032 --day 2017-01-06</v>
      </c>
    </row>
    <row r="15" spans="1:31" s="1" customFormat="1" x14ac:dyDescent="0.25">
      <c r="A15" s="33">
        <v>42741.264270833337</v>
      </c>
      <c r="B15" s="31" t="s">
        <v>349</v>
      </c>
      <c r="C15" s="31" t="s">
        <v>448</v>
      </c>
      <c r="D15" s="31" t="s">
        <v>49</v>
      </c>
      <c r="E15" s="31" t="s">
        <v>198</v>
      </c>
      <c r="F15" s="44">
        <v>0</v>
      </c>
      <c r="G15" s="44">
        <v>67</v>
      </c>
      <c r="H15" s="44">
        <v>236</v>
      </c>
      <c r="I15" s="44">
        <v>156</v>
      </c>
      <c r="J15" s="31" t="s">
        <v>199</v>
      </c>
      <c r="K15" s="44">
        <v>1</v>
      </c>
      <c r="L15" s="150" t="s">
        <v>51</v>
      </c>
      <c r="M15" s="151">
        <f t="shared" si="0"/>
        <v>81.84</v>
      </c>
      <c r="N15" s="152" t="str">
        <f>VLOOKUP(C15,'Trips&amp;Operators'!$C$1:$G$99999,5,FALSE)</f>
        <v>SIMMONS SHYHESHA</v>
      </c>
      <c r="O15" s="179" t="s">
        <v>195</v>
      </c>
      <c r="P15" s="153"/>
      <c r="Q15" s="31"/>
      <c r="R15" s="96" t="str">
        <f>VLOOKUP(C15,'Train Runs'!$A$13:$AE$9962,31,0)</f>
        <v>aws s3 cp s3://rtdc.mdm.uploadarchive.raw/RTDC4001/ "%USERPROFILE%\AppData\Local\Temp\OnboardLogs"\RTDC4001\2017-01-06 --exclude "*" --recursive --include "*20170106*" &amp; "%USERPROFILE%\Documents\GitHub\mrs-test-scripts\Headless Mode &amp; Sideloading\WalkAndUnGZ.bat" "%USERPROFILE%\AppData\Local\Temp\OnboardLogs"\RTDC4001\2017-01-06 &amp; aws s3 cp s3://rtdc.mdm.uploadarchive.raw/RTDC4001/ "%USERPROFILE%\AppData\Local\Temp\OnboardLogs"\RTDC4001\2017-01-07 --exclude "*" --recursive --include "*20170107*" &amp; "%USERPROFILE%\Documents\GitHub\mrs-test-scripts\Headless Mode &amp; Sideloading\WalkAndUnGZ.bat" "%USERPROFILE%\AppData\Local\Temp\OnboardLogs"\RTDC4001\2017-01-07</v>
      </c>
      <c r="S15" s="99" t="str">
        <f>VLOOKUP(C15,'Train Runs'!$A$13:$AE$9962,22,0)</f>
        <v>https://search-rtdc-monitor-bjffxe2xuh6vdkpspy63sjmuny.us-east-1.es.amazonaws.com/_plugin/kibana/#/discover/Steve-Slow-Train-Analysis-(2080s-and-2083s)?_g=(refreshInterval:(display:Off,section:0,value:0),time:(from:'2017-01-06 04:36:55-700',mode:absolute,to:'2017-01-06 07:20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5" s="101" t="str">
        <f t="shared" si="1"/>
        <v>"C:\Program Files (x86)\AstroGrep\AstroGrep.exe" /spath="%USERPROFILE%\AppData\Local\Temp\OnboardLogs" /stypes="*4001*201701061*" /stext=" 13:.+((SYSTEM_STATE.+slice.+state.+changed )|(ment ac)|(multiple cpu faults)|(system.+state.+changed )|(\[timeout)|(PRM\|1\|D)|(kpr)|(kdp)|(\|lc)|(penalty))" /e /r /s</v>
      </c>
      <c r="U15" s="9" t="str">
        <f t="shared" si="2"/>
        <v>4001</v>
      </c>
      <c r="V15" s="33">
        <f t="shared" si="3"/>
        <v>42741.555937500001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{"issue":{"subject":"","project_id":79,"tracker_id":40,"status_id":1,"priority_id":2,"assigned_to_id":23,"start_date":"2017-01-06","description":"","custom_fields":[{"id":1,"name":"Subdivision","value":"EC"},{"id":4,"name":"Milepost","value":"0.0001"},{"id":17,"name":"Train ID","value":"110-06"},{"id":16,"name":"Locomotive ID","value":"4001"},{"id":130,"name":"Impact","value":""},{"id":150,"name":"Time of Event (Mountain Time)","value":"06:20:33"},{"id":151,"name":"Denver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 t="shared" si="7"/>
        <v>grep -hSE -A400 "Enforcement Action" "%USERPROFILE%\AppData\Local\Temp\OnboardLogs"\RTDC4001\*4001*201701061*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"%USERPROFILE%\AppData\Local\Temp\OnboardLogs"\RTDC4001\*4001*201701061* &gt;&gt; 42741-slicedisagreementcheck.txt</v>
      </c>
      <c r="AE15" s="183" t="str">
        <f t="shared" si="8"/>
        <v>start /low /b %USERPROFILE%\Documents\GitHub\eaglep3\Utilities\DownloadLogsFromS3.py --loco 4001 --day 2017-01-06</v>
      </c>
    </row>
    <row r="16" spans="1:31" s="1" customFormat="1" x14ac:dyDescent="0.25">
      <c r="A16" s="33">
        <v>42741.597337962965</v>
      </c>
      <c r="B16" s="31" t="s">
        <v>381</v>
      </c>
      <c r="C16" s="31" t="s">
        <v>457</v>
      </c>
      <c r="D16" s="31" t="s">
        <v>49</v>
      </c>
      <c r="E16" s="31" t="s">
        <v>198</v>
      </c>
      <c r="F16" s="44">
        <v>0</v>
      </c>
      <c r="G16" s="44">
        <v>56</v>
      </c>
      <c r="H16" s="44">
        <v>174</v>
      </c>
      <c r="I16" s="44">
        <v>130</v>
      </c>
      <c r="J16" s="31" t="s">
        <v>199</v>
      </c>
      <c r="K16" s="44">
        <v>1</v>
      </c>
      <c r="L16" s="150" t="s">
        <v>51</v>
      </c>
      <c r="M16" s="151">
        <f t="shared" si="0"/>
        <v>68.111999999999995</v>
      </c>
      <c r="N16" s="152" t="str">
        <f>VLOOKUP(C16,'Trips&amp;Operators'!$C$1:$G$99999,5,FALSE)</f>
        <v>STEWART MICHAEL</v>
      </c>
      <c r="O16" s="179" t="s">
        <v>195</v>
      </c>
      <c r="P16" s="153"/>
      <c r="Q16" s="31"/>
      <c r="R16" s="96" t="str">
        <f>VLOOKUP(C16,'Train Runs'!$A$13:$AE$9962,31,0)</f>
        <v>aws s3 cp s3://rtdc.mdm.uploadarchive.raw/RTDC4028/ "%USERPROFILE%\AppData\Local\Temp\OnboardLogs"\RTDC4028\2017-01-06 --exclude "*" --recursive --include "*20170106*" &amp; "%USERPROFILE%\Documents\GitHub\mrs-test-scripts\Headless Mode &amp; Sideloading\WalkAndUnGZ.bat" "%USERPROFILE%\AppData\Local\Temp\OnboardLogs"\RTDC4028\2017-01-06 &amp; aws s3 cp s3://rtdc.mdm.uploadarchive.raw/RTDC4028/ "%USERPROFILE%\AppData\Local\Temp\OnboardLogs"\RTDC4028\2017-01-07 --exclude "*" --recursive --include "*20170107*" &amp; "%USERPROFILE%\Documents\GitHub\mrs-test-scripts\Headless Mode &amp; Sideloading\WalkAndUnGZ.bat" "%USERPROFILE%\AppData\Local\Temp\OnboardLogs"\RTDC4028\2017-01-07</v>
      </c>
      <c r="S16" s="99" t="str">
        <f>VLOOKUP(C16,'Train Runs'!$A$13:$AE$9962,22,0)</f>
        <v>https://search-rtdc-monitor-bjffxe2xuh6vdkpspy63sjmuny.us-east-1.es.amazonaws.com/_plugin/kibana/#/discover/Steve-Slow-Train-Analysis-(2080s-and-2083s)?_g=(refreshInterval:(display:Off,section:0,value:0),time:(from:'2017-01-06 12:39:06-700',mode:absolute,to:'2017-01-06 15:20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6" s="101" t="str">
        <f t="shared" si="1"/>
        <v>"C:\Program Files (x86)\AstroGrep\AstroGrep.exe" /spath="%USERPROFILE%\AppData\Local\Temp\OnboardLogs" /stypes="*4028*201701062*" /stext=" 21:.+((SYSTEM_STATE.+slice.+state.+changed )|(ment ac)|(multiple cpu faults)|(system.+state.+changed )|(\[timeout)|(PRM\|1\|D)|(kpr)|(kdp)|(\|lc)|(penalty))" /e /r /s</v>
      </c>
      <c r="U16" s="9" t="str">
        <f t="shared" si="2"/>
        <v>4028</v>
      </c>
      <c r="V16" s="33">
        <f t="shared" si="3"/>
        <v>42741.889004629629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{"issue":{"subject":"","project_id":79,"tracker_id":40,"status_id":1,"priority_id":2,"assigned_to_id":23,"start_date":"2017-01-06","description":"","custom_fields":[{"id":1,"name":"Subdivision","value":"EC"},{"id":4,"name":"Milepost","value":"0.0001"},{"id":17,"name":"Train ID","value":"174-06"},{"id":16,"name":"Locomotive ID","value":"4028"},{"id":130,"name":"Impact","value":""},{"id":150,"name":"Time of Event (Mountain Time)","value":"14:20:10"},{"id":151,"name":"Denver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-A400 "Enforcement Action" "%USERPROFILE%\AppData\Local\Temp\OnboardLogs"\RTDC4028\*4028*201701062*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"%USERPROFILE%\AppData\Local\Temp\OnboardLogs"\RTDC4028\*4028*201701062* &gt;&gt; 42741-slicedisagreementcheck.txt</v>
      </c>
      <c r="AE16" s="183" t="str">
        <f t="shared" si="8"/>
        <v>start /low /b %USERPROFILE%\Documents\GitHub\eaglep3\Utilities\DownloadLogsFromS3.py --loco 4028 --day 2017-01-06</v>
      </c>
    </row>
    <row r="17" spans="1:32" s="1" customFormat="1" x14ac:dyDescent="0.25">
      <c r="A17" s="33">
        <v>42741.739479166667</v>
      </c>
      <c r="B17" s="31" t="s">
        <v>329</v>
      </c>
      <c r="C17" s="31" t="s">
        <v>461</v>
      </c>
      <c r="D17" s="31" t="s">
        <v>49</v>
      </c>
      <c r="E17" s="31" t="s">
        <v>198</v>
      </c>
      <c r="F17" s="44">
        <v>0</v>
      </c>
      <c r="G17" s="44">
        <v>61</v>
      </c>
      <c r="H17" s="44">
        <v>242</v>
      </c>
      <c r="I17" s="44">
        <v>180</v>
      </c>
      <c r="J17" s="31" t="s">
        <v>199</v>
      </c>
      <c r="K17" s="44">
        <v>1</v>
      </c>
      <c r="L17" s="150" t="s">
        <v>51</v>
      </c>
      <c r="M17" s="151">
        <f t="shared" si="0"/>
        <v>94.512</v>
      </c>
      <c r="N17" s="152" t="str">
        <f>VLOOKUP(C17,'Trips&amp;Operators'!$C$1:$G$99999,5,FALSE)</f>
        <v>BRANDNER MELINDA</v>
      </c>
      <c r="O17" s="179" t="s">
        <v>195</v>
      </c>
      <c r="P17" s="153"/>
      <c r="Q17" s="31"/>
      <c r="R17" s="96" t="str">
        <f>VLOOKUP(C17,'Train Runs'!$A$13:$AE$9962,31,0)</f>
        <v>aws s3 cp s3://rtdc.mdm.uploadarchive.raw/RTDC4010/ "%USERPROFILE%\AppData\Local\Temp\OnboardLogs"\RTDC4010\2017-01-06 --exclude "*" --recursive --include "*20170106*" &amp; "%USERPROFILE%\Documents\GitHub\mrs-test-scripts\Headless Mode &amp; Sideloading\WalkAndUnGZ.bat" "%USERPROFILE%\AppData\Local\Temp\OnboardLogs"\RTDC4010\2017-01-06 &amp; aws s3 cp s3://rtdc.mdm.uploadarchive.raw/RTDC4010/ "%USERPROFILE%\AppData\Local\Temp\OnboardLogs"\RTDC4010\2017-01-07 --exclude "*" --recursive --include "*20170107*" &amp; "%USERPROFILE%\Documents\GitHub\mrs-test-scripts\Headless Mode &amp; Sideloading\WalkAndUnGZ.bat" "%USERPROFILE%\AppData\Local\Temp\OnboardLogs"\RTDC4010\2017-01-07</v>
      </c>
      <c r="S17" s="99" t="str">
        <f>VLOOKUP(C17,'Train Runs'!$A$13:$AE$9962,22,0)</f>
        <v>https://search-rtdc-monitor-bjffxe2xuh6vdkpspy63sjmuny.us-east-1.es.amazonaws.com/_plugin/kibana/#/discover/Steve-Slow-Train-Analysis-(2080s-and-2083s)?_g=(refreshInterval:(display:Off,section:0,value:0),time:(from:'2017-01-06 15:53:14-700',mode:absolute,to:'2017-01-06 18:44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17" s="101" t="str">
        <f t="shared" si="1"/>
        <v>"C:\Program Files (x86)\AstroGrep\AstroGrep.exe" /spath="%USERPROFILE%\AppData\Local\Temp\OnboardLogs" /stypes="*4010*201701070*" /stext=" 00:.+((SYSTEM_STATE.+slice.+state.+changed )|(ment ac)|(multiple cpu faults)|(system.+state.+changed )|(\[timeout)|(PRM\|1\|D)|(kpr)|(kdp)|(\|lc)|(penalty))" /e /r /s</v>
      </c>
      <c r="U17" s="9" t="str">
        <f t="shared" si="2"/>
        <v>4010</v>
      </c>
      <c r="V17" s="33">
        <f t="shared" si="3"/>
        <v>42742.031145833331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{"issue":{"subject":"","project_id":79,"tracker_id":40,"status_id":1,"priority_id":2,"assigned_to_id":23,"start_date":"2017-01-06","description":"","custom_fields":[{"id":1,"name":"Subdivision","value":"EC"},{"id":4,"name":"Milepost","value":"0.0001"},{"id":17,"name":"Train ID","value":"200-06"},{"id":16,"name":"Locomotive ID","value":"4010"},{"id":130,"name":"Impact","value":""},{"id":150,"name":"Time of Event (Mountain Time)","value":"17:44:51"},{"id":151,"name":"Denver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"%USERPROFILE%\AppData\Local\Temp\OnboardLogs"\RTDC4010\*4010*201701070*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"%USERPROFILE%\AppData\Local\Temp\OnboardLogs"\RTDC4010\*4010*201701070* &gt;&gt; 42741-slicedisagreementcheck.txt</v>
      </c>
      <c r="AE17" s="183" t="str">
        <f t="shared" si="8"/>
        <v>start /low /b %USERPROFILE%\Documents\GitHub\eaglep3\Utilities\DownloadLogsFromS3.py --loco 4010 --day 2017-01-07</v>
      </c>
    </row>
    <row r="18" spans="1:32" x14ac:dyDescent="0.25">
      <c r="A18" s="33">
        <v>42741.825752314813</v>
      </c>
      <c r="B18" s="31" t="s">
        <v>381</v>
      </c>
      <c r="C18" s="31" t="s">
        <v>465</v>
      </c>
      <c r="D18" s="31" t="s">
        <v>49</v>
      </c>
      <c r="E18" s="31" t="s">
        <v>198</v>
      </c>
      <c r="F18" s="44">
        <v>0</v>
      </c>
      <c r="G18" s="44">
        <v>41</v>
      </c>
      <c r="H18" s="44">
        <v>138</v>
      </c>
      <c r="I18" s="44">
        <v>116</v>
      </c>
      <c r="J18" s="31" t="s">
        <v>199</v>
      </c>
      <c r="K18" s="44">
        <v>1</v>
      </c>
      <c r="L18" s="150" t="s">
        <v>51</v>
      </c>
      <c r="M18" s="151">
        <f t="shared" si="0"/>
        <v>60.72</v>
      </c>
      <c r="N18" s="152" t="str">
        <f>VLOOKUP(C18,'Trips&amp;Operators'!$C$1:$G$99999,5,FALSE)</f>
        <v>STAMBAUGH JAMES</v>
      </c>
      <c r="O18" s="179" t="s">
        <v>195</v>
      </c>
      <c r="P18" s="153"/>
      <c r="Q18" s="31"/>
      <c r="R18" s="96" t="str">
        <f>VLOOKUP(C18,'Train Runs'!$A$13:$AE$9962,31,0)</f>
        <v>aws s3 cp s3://rtdc.mdm.uploadarchive.raw/RTDC4028/ "%USERPROFILE%\AppData\Local\Temp\OnboardLogs"\RTDC4028\2017-01-06 --exclude "*" --recursive --include "*20170106*" &amp; "%USERPROFILE%\Documents\GitHub\mrs-test-scripts\Headless Mode &amp; Sideloading\WalkAndUnGZ.bat" "%USERPROFILE%\AppData\Local\Temp\OnboardLogs"\RTDC4028\2017-01-06 &amp; aws s3 cp s3://rtdc.mdm.uploadarchive.raw/RTDC4028/ "%USERPROFILE%\AppData\Local\Temp\OnboardLogs"\RTDC4028\2017-01-07 --exclude "*" --recursive --include "*20170107*" &amp; "%USERPROFILE%\Documents\GitHub\mrs-test-scripts\Headless Mode &amp; Sideloading\WalkAndUnGZ.bat" "%USERPROFILE%\AppData\Local\Temp\OnboardLogs"\RTDC4028\2017-01-07</v>
      </c>
      <c r="S18" s="99" t="str">
        <f>VLOOKUP(C18,'Train Runs'!$A$13:$AE$9962,22,0)</f>
        <v>https://search-rtdc-monitor-bjffxe2xuh6vdkpspy63sjmuny.us-east-1.es.amazonaws.com/_plugin/kibana/#/discover/Steve-Slow-Train-Analysis-(2080s-and-2083s)?_g=(refreshInterval:(display:Off,section:0,value:0),time:(from:'2017-01-06 18:07:16-700',mode:absolute,to:'2017-01-06 20:49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8" s="101" t="str">
        <f t="shared" si="1"/>
        <v>"C:\Program Files (x86)\AstroGrep\AstroGrep.exe" /spath="%USERPROFILE%\AppData\Local\Temp\OnboardLogs" /stypes="*4028*201701070*" /stext=" 02:.+((SYSTEM_STATE.+slice.+state.+changed )|(ment ac)|(multiple cpu faults)|(system.+state.+changed )|(\[timeout)|(PRM\|1\|D)|(kpr)|(kdp)|(\|lc)|(penalty))" /e /r /s</v>
      </c>
      <c r="U18" s="9" t="str">
        <f t="shared" si="2"/>
        <v>4028</v>
      </c>
      <c r="V18" s="33">
        <f t="shared" si="3"/>
        <v>42742.117418981477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{"issue":{"subject":"","project_id":79,"tracker_id":40,"status_id":1,"priority_id":2,"assigned_to_id":23,"start_date":"2017-01-06","description":"","custom_fields":[{"id":1,"name":"Subdivision","value":"EC"},{"id":4,"name":"Milepost","value":"0.0001"},{"id":17,"name":"Train ID","value":"218-06"},{"id":16,"name":"Locomotive ID","value":"4028"},{"id":130,"name":"Impact","value":""},{"id":150,"name":"Time of Event (Mountain Time)","value":"19:49:05"},{"id":151,"name":"Denver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-A400 "Enforcement Action" "%USERPROFILE%\AppData\Local\Temp\OnboardLogs"\RTDC4028\*4028*201701070*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"%USERPROFILE%\AppData\Local\Temp\OnboardLogs"\RTDC4028\*4028*201701070* &gt;&gt; 42741-slicedisagreementcheck.txt</v>
      </c>
      <c r="AE18" s="183" t="str">
        <f t="shared" si="8"/>
        <v>start /low /b %USERPROFILE%\Documents\GitHub\eaglep3\Utilities\DownloadLogsFromS3.py --loco 4028 --day 2017-01-07</v>
      </c>
      <c r="AF18" s="1"/>
    </row>
    <row r="19" spans="1:32" x14ac:dyDescent="0.25">
      <c r="A19" s="33">
        <v>42741.837245370371</v>
      </c>
      <c r="B19" s="31" t="s">
        <v>466</v>
      </c>
      <c r="C19" s="31" t="s">
        <v>467</v>
      </c>
      <c r="D19" s="31" t="s">
        <v>49</v>
      </c>
      <c r="E19" s="31" t="s">
        <v>198</v>
      </c>
      <c r="F19" s="44">
        <v>0</v>
      </c>
      <c r="G19" s="44">
        <v>35</v>
      </c>
      <c r="H19" s="44">
        <v>90</v>
      </c>
      <c r="I19" s="44">
        <v>59</v>
      </c>
      <c r="J19" s="31" t="s">
        <v>199</v>
      </c>
      <c r="K19" s="44">
        <v>1</v>
      </c>
      <c r="L19" s="150" t="s">
        <v>51</v>
      </c>
      <c r="M19" s="151">
        <f t="shared" si="0"/>
        <v>30.623999999999999</v>
      </c>
      <c r="N19" s="152" t="str">
        <f>VLOOKUP(C19,'Trips&amp;Operators'!$C$1:$G$99999,5,FALSE)</f>
        <v>HILLS DUSTIN</v>
      </c>
      <c r="O19" s="179" t="s">
        <v>195</v>
      </c>
      <c r="P19" s="153"/>
      <c r="Q19" s="31"/>
      <c r="R19" s="96" t="str">
        <f>VLOOKUP(C19,'Train Runs'!$A$13:$AE$9962,31,0)</f>
        <v>aws s3 cp s3://rtdc.mdm.uploadarchive.raw/RTDC4017/ "%USERPROFILE%\AppData\Local\Temp\OnboardLogs"\RTDC4017\2017-01-06 --exclude "*" --recursive --include "*20170106*" &amp; "%USERPROFILE%\Documents\GitHub\mrs-test-scripts\Headless Mode &amp; Sideloading\WalkAndUnGZ.bat" "%USERPROFILE%\AppData\Local\Temp\OnboardLogs"\RTDC4017\2017-01-06 &amp; aws s3 cp s3://rtdc.mdm.uploadarchive.raw/RTDC4017/ "%USERPROFILE%\AppData\Local\Temp\OnboardLogs"\RTDC4017\2017-01-07 --exclude "*" --recursive --include "*20170107*" &amp; "%USERPROFILE%\Documents\GitHub\mrs-test-scripts\Headless Mode &amp; Sideloading\WalkAndUnGZ.bat" "%USERPROFILE%\AppData\Local\Temp\OnboardLogs"\RTDC4017\2017-01-07</v>
      </c>
      <c r="S19" s="99" t="str">
        <f>VLOOKUP(C19,'Train Runs'!$A$13:$AE$9962,22,0)</f>
        <v>https://search-rtdc-monitor-bjffxe2xuh6vdkpspy63sjmuny.us-east-1.es.amazonaws.com/_plugin/kibana/#/discover/Steve-Slow-Train-Analysis-(2080s-and-2083s)?_g=(refreshInterval:(display:Off,section:0,value:0),time:(from:'2017-01-06 18:19:56-700',mode:absolute,to:'2017-01-06 21:05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9" s="101" t="str">
        <f t="shared" si="1"/>
        <v>"C:\Program Files (x86)\AstroGrep\AstroGrep.exe" /spath="%USERPROFILE%\AppData\Local\Temp\OnboardLogs" /stypes="*4017*201701070*" /stext=" 03:.+((SYSTEM_STATE.+slice.+state.+changed )|(ment ac)|(multiple cpu faults)|(system.+state.+changed )|(\[timeout)|(PRM\|1\|D)|(kpr)|(kdp)|(\|lc)|(penalty))" /e /r /s</v>
      </c>
      <c r="U19" s="9" t="str">
        <f t="shared" si="2"/>
        <v>4017</v>
      </c>
      <c r="V19" s="33">
        <f t="shared" si="3"/>
        <v>42742.128912037035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{"issue":{"subject":"","project_id":79,"tracker_id":40,"status_id":1,"priority_id":2,"assigned_to_id":23,"start_date":"2017-01-06","description":"","custom_fields":[{"id":1,"name":"Subdivision","value":"EC"},{"id":4,"name":"Milepost","value":"0.0001"},{"id":17,"name":"Train ID","value":"220-06"},{"id":16,"name":"Locomotive ID","value":"4017"},{"id":130,"name":"Impact","value":""},{"id":150,"name":"Time of Event (Mountain Time)","value":"20:05:38"},{"id":151,"name":"Denver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-A400 "Enforcement Action" "%USERPROFILE%\AppData\Local\Temp\OnboardLogs"\RTDC4017\*4017*201701070*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"%USERPROFILE%\AppData\Local\Temp\OnboardLogs"\RTDC4017\*4017*201701070* &gt;&gt; 42741-slicedisagreementcheck.txt</v>
      </c>
      <c r="AE19" s="183" t="str">
        <f t="shared" si="8"/>
        <v>start /low /b %USERPROFILE%\Documents\GitHub\eaglep3\Utilities\DownloadLogsFromS3.py --loco 4017 --day 2017-01-07</v>
      </c>
      <c r="AF19" s="1"/>
    </row>
    <row r="20" spans="1:32" ht="15" customHeight="1" x14ac:dyDescent="0.25">
      <c r="A20" s="33">
        <v>42741.433055555557</v>
      </c>
      <c r="B20" s="31" t="s">
        <v>261</v>
      </c>
      <c r="C20" s="31" t="s">
        <v>451</v>
      </c>
      <c r="D20" s="31" t="s">
        <v>49</v>
      </c>
      <c r="E20" s="31" t="s">
        <v>198</v>
      </c>
      <c r="F20" s="44">
        <v>0</v>
      </c>
      <c r="G20" s="44">
        <v>57</v>
      </c>
      <c r="H20" s="44">
        <v>233227</v>
      </c>
      <c r="I20" s="44">
        <v>233283</v>
      </c>
      <c r="J20" s="31" t="s">
        <v>199</v>
      </c>
      <c r="K20" s="44">
        <v>233491</v>
      </c>
      <c r="L20" s="150" t="s">
        <v>50</v>
      </c>
      <c r="M20" s="151">
        <f t="shared" si="0"/>
        <v>109.824</v>
      </c>
      <c r="N20" s="152" t="str">
        <f>VLOOKUP(C20,'Trips&amp;Operators'!$C$1:$G$99999,5,FALSE)</f>
        <v>STARKS ANGELINA</v>
      </c>
      <c r="O20" s="179" t="s">
        <v>195</v>
      </c>
      <c r="P20" s="153"/>
      <c r="Q20" s="31"/>
      <c r="R20" s="96" t="str">
        <f>VLOOKUP(C20,'Train Runs'!$A$13:$AE$9962,31,0)</f>
        <v>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 &amp; aws s3 cp s3://rtdc.mdm.uploadarchive.raw/RTDC4044/ "%USERPROFILE%\AppData\Local\Temp\OnboardLogs"\RTDC4044\2017-01-07 --exclude "*" --recursive --include "*20170107*" &amp; "%USERPROFILE%\Documents\GitHub\mrs-test-scripts\Headless Mode &amp; Sideloading\WalkAndUnGZ.bat" "%USERPROFILE%\AppData\Local\Temp\OnboardLogs"\RTDC4044\2017-01-07</v>
      </c>
      <c r="S20" s="99" t="str">
        <f>VLOOKUP(C20,'Train Runs'!$A$13:$AE$9962,22,0)</f>
        <v>https://search-rtdc-monitor-bjffxe2xuh6vdkpspy63sjmuny.us-east-1.es.amazonaws.com/_plugin/kibana/#/discover/Steve-Slow-Train-Analysis-(2080s-and-2083s)?_g=(refreshInterval:(display:Off,section:0,value:0),time:(from:'2017-01-06 08:40:31-700',mode:absolute,to:'2017-01-06 11:23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0" s="101" t="str">
        <f t="shared" si="1"/>
        <v>"C:\Program Files (x86)\AstroGrep\AstroGrep.exe" /spath="%USERPROFILE%\AppData\Local\Temp\OnboardLogs" /stypes="*4044*201701061*" /stext=" 17:.+((SYSTEM_STATE.+slice.+state.+changed )|(ment ac)|(multiple cpu faults)|(system.+state.+changed )|(\[timeout)|(PRM\|1\|D)|(kpr)|(kdp)|(\|lc)|(penalty))" /e /r /s</v>
      </c>
      <c r="U20" s="9" t="str">
        <f t="shared" si="2"/>
        <v>4044</v>
      </c>
      <c r="V20" s="33">
        <f t="shared" si="3"/>
        <v>42741.724722222221</v>
      </c>
      <c r="W20" s="47" t="str">
        <f t="shared" si="4"/>
        <v>EC</v>
      </c>
      <c r="X20" s="47" t="str">
        <f t="shared" si="5"/>
        <v>KEEP</v>
      </c>
      <c r="Y20" s="115" t="str">
        <f t="shared" si="6"/>
        <v>echo {"issue":{"subject":"","project_id":79,"tracker_id":40,"status_id":1,"priority_id":2,"assigned_to_id":23,"start_date":"2017-01-06","description":"","custom_fields":[{"id":1,"name":"Subdivision","value":"EC"},{"id":4,"name":"Milepost","value":"23.3491"},{"id":17,"name":"Train ID","value":"149-06"},{"id":16,"name":"Locomotive ID","value":"4044"},{"id":130,"name":"Impact","value":""},{"id":150,"name":"Time of Event (Mountain Time)","value":"10:23:36"},{"id":151,"name":"Denver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"%USERPROFILE%\AppData\Local\Temp\OnboardLogs"\RTDC4044\*4044*201701061*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"%USERPROFILE%\AppData\Local\Temp\OnboardLogs"\RTDC4044\*4044*201701061* &gt;&gt; 42741-slicedisagreementcheck.txt</v>
      </c>
      <c r="AE20" s="183" t="str">
        <f t="shared" si="8"/>
        <v>start /low /b %USERPROFILE%\Documents\GitHub\eaglep3\Utilities\DownloadLogsFromS3.py --loco 4044 --day 2017-01-06</v>
      </c>
      <c r="AF20" s="1"/>
    </row>
    <row r="21" spans="1:32" x14ac:dyDescent="0.25">
      <c r="A21" s="33">
        <v>42741.453576388885</v>
      </c>
      <c r="B21" s="31" t="s">
        <v>300</v>
      </c>
      <c r="C21" s="31" t="s">
        <v>453</v>
      </c>
      <c r="D21" s="31" t="s">
        <v>49</v>
      </c>
      <c r="E21" s="31" t="s">
        <v>198</v>
      </c>
      <c r="F21" s="44">
        <v>0</v>
      </c>
      <c r="G21" s="44">
        <v>171</v>
      </c>
      <c r="H21" s="44">
        <v>232541</v>
      </c>
      <c r="I21" s="44">
        <v>232823</v>
      </c>
      <c r="J21" s="31" t="s">
        <v>199</v>
      </c>
      <c r="K21" s="44">
        <v>233491</v>
      </c>
      <c r="L21" s="150" t="s">
        <v>50</v>
      </c>
      <c r="M21" s="151">
        <f t="shared" si="0"/>
        <v>352.70400000000001</v>
      </c>
      <c r="N21" s="152" t="str">
        <f>VLOOKUP(C21,'Trips&amp;Operators'!$C$1:$G$99999,5,FALSE)</f>
        <v>BONDS REYNALDO</v>
      </c>
      <c r="O21" s="179" t="s">
        <v>332</v>
      </c>
      <c r="P21" s="153" t="s">
        <v>919</v>
      </c>
      <c r="Q21" s="31"/>
      <c r="R21" s="96" t="str">
        <f>VLOOKUP(C21,'Train Runs'!$A$13:$AE$9962,31,0)</f>
        <v>aws s3 cp s3://rtdc.mdm.uploadarchive.raw/RTDC4029/ "%USERPROFILE%\AppData\Local\Temp\OnboardLogs"\RTDC4029\2017-01-06 --exclude "*" --recursive --include "*20170106*" &amp; "%USERPROFILE%\Documents\GitHub\mrs-test-scripts\Headless Mode &amp; Sideloading\WalkAndUnGZ.bat" "%USERPROFILE%\AppData\Local\Temp\OnboardLogs"\RTDC4029\2017-01-06 &amp; aws s3 cp s3://rtdc.mdm.uploadarchive.raw/RTDC4029/ "%USERPROFILE%\AppData\Local\Temp\OnboardLogs"\RTDC4029\2017-01-07 --exclude "*" --recursive --include "*20170107*" &amp; "%USERPROFILE%\Documents\GitHub\mrs-test-scripts\Headless Mode &amp; Sideloading\WalkAndUnGZ.bat" "%USERPROFILE%\AppData\Local\Temp\OnboardLogs"\RTDC4029\2017-01-07</v>
      </c>
      <c r="S21" s="99" t="str">
        <f>VLOOKUP(C21,'Train Runs'!$A$13:$AE$9962,22,0)</f>
        <v>https://search-rtdc-monitor-bjffxe2xuh6vdkpspy63sjmuny.us-east-1.es.amazonaws.com/_plugin/kibana/#/discover/Steve-Slow-Train-Analysis-(2080s-and-2083s)?_g=(refreshInterval:(display:Off,section:0,value:0),time:(from:'2017-01-06 09:07:19-700',mode:absolute,to:'2017-01-06 11:53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21" s="101" t="str">
        <f t="shared" si="1"/>
        <v>"C:\Program Files (x86)\AstroGrep\AstroGrep.exe" /spath="%USERPROFILE%\AppData\Local\Temp\OnboardLogs" /stypes="*4029*201701061*" /stext=" 17:.+((SYSTEM_STATE.+slice.+state.+changed )|(ment ac)|(multiple cpu faults)|(system.+state.+changed )|(\[timeout)|(PRM\|1\|D)|(kpr)|(kdp)|(\|lc)|(penalty))" /e /r /s</v>
      </c>
      <c r="U21" s="9" t="str">
        <f t="shared" si="2"/>
        <v>4029</v>
      </c>
      <c r="V21" s="33">
        <f t="shared" si="3"/>
        <v>42741.74524305555</v>
      </c>
      <c r="W21" s="47" t="str">
        <f t="shared" si="4"/>
        <v>EC</v>
      </c>
      <c r="X21" s="47" t="str">
        <f t="shared" si="5"/>
        <v>KEEP</v>
      </c>
      <c r="Y21" s="115" t="str">
        <f t="shared" si="6"/>
        <v>echo {"issue":{"subject":"Banner without braking","project_id":79,"tracker_id":40,"status_id":1,"priority_id":2,"assigned_to_id":23,"start_date":"2017-01-06","description":"","custom_fields":[{"id":1,"name":"Subdivision","value":"EC"},{"id":4,"name":"Milepost","value":"23.3491"},{"id":17,"name":"Train ID","value":"153-06"},{"id":16,"name":"Locomotive ID","value":"4029"},{"id":130,"name":"Impact","value":""},{"id":150,"name":"Time of Event (Mountain Time)","value":"10:53:09"},{"id":151,"name":"Denver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-A400 "Enforcement Action" "%USERPROFILE%\AppData\Local\Temp\OnboardLogs"\RTDC4029\*4029*201701061*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"%USERPROFILE%\AppData\Local\Temp\OnboardLogs"\RTDC4029\*4029*201701061* &gt;&gt; 42741-slicedisagreementcheck.txt</v>
      </c>
      <c r="AE21" s="183" t="str">
        <f t="shared" si="8"/>
        <v>start /low /b %USERPROFILE%\Documents\GitHub\eaglep3\Utilities\DownloadLogsFromS3.py --loco 4029 --day 2017-01-06</v>
      </c>
      <c r="AF21" s="1"/>
    </row>
    <row r="22" spans="1:32" x14ac:dyDescent="0.25">
      <c r="A22" s="33">
        <v>42741.495266203703</v>
      </c>
      <c r="B22" s="31" t="s">
        <v>294</v>
      </c>
      <c r="C22" s="31" t="s">
        <v>454</v>
      </c>
      <c r="D22" s="31" t="s">
        <v>49</v>
      </c>
      <c r="E22" s="31" t="s">
        <v>198</v>
      </c>
      <c r="F22" s="44">
        <v>0</v>
      </c>
      <c r="G22" s="44">
        <v>158</v>
      </c>
      <c r="H22" s="44">
        <v>232513</v>
      </c>
      <c r="I22" s="44">
        <v>232734</v>
      </c>
      <c r="J22" s="31" t="s">
        <v>199</v>
      </c>
      <c r="K22" s="44">
        <v>233491</v>
      </c>
      <c r="L22" s="150" t="s">
        <v>50</v>
      </c>
      <c r="M22" s="151">
        <f t="shared" si="0"/>
        <v>399.69600000000003</v>
      </c>
      <c r="N22" s="152" t="str">
        <f>VLOOKUP(C22,'Trips&amp;Operators'!$C$1:$G$99999,5,FALSE)</f>
        <v>DELGADO DIANAH</v>
      </c>
      <c r="O22" s="179" t="s">
        <v>195</v>
      </c>
      <c r="P22" s="153"/>
      <c r="Q22" s="31"/>
      <c r="R22" s="96" t="str">
        <f>VLOOKUP(C22,'Train Runs'!$A$13:$AE$9962,31,0)</f>
        <v>aws s3 cp s3://rtdc.mdm.uploadarchive.raw/RTDC4018/ "%USERPROFILE%\AppData\Local\Temp\OnboardLogs"\RTDC4018\2017-01-06 --exclude "*" --recursive --include "*20170106*" &amp; "%USERPROFILE%\Documents\GitHub\mrs-test-scripts\Headless Mode &amp; Sideloading\WalkAndUnGZ.bat" "%USERPROFILE%\AppData\Local\Temp\OnboardLogs"\RTDC4018\2017-01-06 &amp; aws s3 cp s3://rtdc.mdm.uploadarchive.raw/RTDC4018/ "%USERPROFILE%\AppData\Local\Temp\OnboardLogs"\RTDC4018\2017-01-07 --exclude "*" --recursive --include "*20170107*" &amp; "%USERPROFILE%\Documents\GitHub\mrs-test-scripts\Headless Mode &amp; Sideloading\WalkAndUnGZ.bat" "%USERPROFILE%\AppData\Local\Temp\OnboardLogs"\RTDC4018\2017-01-07</v>
      </c>
      <c r="S22" s="99" t="str">
        <f>VLOOKUP(C22,'Train Runs'!$A$13:$AE$9962,22,0)</f>
        <v>https://search-rtdc-monitor-bjffxe2xuh6vdkpspy63sjmuny.us-east-1.es.amazonaws.com/_plugin/kibana/#/discover/Steve-Slow-Train-Analysis-(2080s-and-2083s)?_g=(refreshInterval:(display:Off,section:0,value:0),time:(from:'2017-01-06 10:09:20-700',mode:absolute,to:'2017-01-06 12:54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22" s="101" t="str">
        <f t="shared" si="1"/>
        <v>"C:\Program Files (x86)\AstroGrep\AstroGrep.exe" /spath="%USERPROFILE%\AppData\Local\Temp\OnboardLogs" /stypes="*4018*201701061*" /stext=" 18:.+((SYSTEM_STATE.+slice.+state.+changed )|(ment ac)|(multiple cpu faults)|(system.+state.+changed )|(\[timeout)|(PRM\|1\|D)|(kpr)|(kdp)|(\|lc)|(penalty))" /e /r /s</v>
      </c>
      <c r="U22" s="9" t="str">
        <f t="shared" si="2"/>
        <v>4018</v>
      </c>
      <c r="V22" s="33">
        <f t="shared" si="3"/>
        <v>42741.786932870367</v>
      </c>
      <c r="W22" s="47" t="str">
        <f t="shared" si="4"/>
        <v>EC</v>
      </c>
      <c r="X22" s="47" t="str">
        <f t="shared" si="5"/>
        <v>KEEP</v>
      </c>
      <c r="Y22" s="115" t="str">
        <f t="shared" si="6"/>
        <v>echo {"issue":{"subject":"","project_id":79,"tracker_id":40,"status_id":1,"priority_id":2,"assigned_to_id":23,"start_date":"2017-01-06","description":"","custom_fields":[{"id":1,"name":"Subdivision","value":"EC"},{"id":4,"name":"Milepost","value":"23.3491"},{"id":17,"name":"Train ID","value":"161-06"},{"id":16,"name":"Locomotive ID","value":"4018"},{"id":130,"name":"Impact","value":""},{"id":150,"name":"Time of Event (Mountain Time)","value":"11:53:11"},{"id":151,"name":"Denver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"%USERPROFILE%\AppData\Local\Temp\OnboardLogs"\RTDC4018\*4018*201701061*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"%USERPROFILE%\AppData\Local\Temp\OnboardLogs"\RTDC4018\*4018*201701061* &gt;&gt; 42741-slicedisagreementcheck.txt</v>
      </c>
      <c r="AE22" s="183" t="str">
        <f t="shared" si="8"/>
        <v>start /low /b %USERPROFILE%\Documents\GitHub\eaglep3\Utilities\DownloadLogsFromS3.py --loco 4018 --day 2017-01-06</v>
      </c>
      <c r="AF22" s="1"/>
    </row>
    <row r="23" spans="1:32" x14ac:dyDescent="0.25">
      <c r="A23" s="33">
        <v>42741.608900462961</v>
      </c>
      <c r="B23" s="31" t="s">
        <v>183</v>
      </c>
      <c r="C23" s="31" t="s">
        <v>458</v>
      </c>
      <c r="D23" s="31" t="s">
        <v>49</v>
      </c>
      <c r="E23" s="31" t="s">
        <v>198</v>
      </c>
      <c r="F23" s="44">
        <v>0</v>
      </c>
      <c r="G23" s="44">
        <v>46</v>
      </c>
      <c r="H23" s="44">
        <v>233351</v>
      </c>
      <c r="I23" s="44">
        <v>233387</v>
      </c>
      <c r="J23" s="31" t="s">
        <v>199</v>
      </c>
      <c r="K23" s="44">
        <v>233491</v>
      </c>
      <c r="L23" s="150" t="s">
        <v>50</v>
      </c>
      <c r="M23" s="151">
        <f t="shared" si="0"/>
        <v>54.911999999999999</v>
      </c>
      <c r="N23" s="152" t="str">
        <f>VLOOKUP(C23,'Trips&amp;Operators'!$C$1:$G$99999,5,FALSE)</f>
        <v>BRANDNER MELINDA</v>
      </c>
      <c r="O23" s="179" t="s">
        <v>195</v>
      </c>
      <c r="P23" s="153"/>
      <c r="Q23" s="31"/>
      <c r="R23" s="96" t="str">
        <f>VLOOKUP(C23,'Train Runs'!$A$13:$AE$9962,31,0)</f>
        <v>aws s3 cp s3://rtdc.mdm.uploadarchive.raw/RTDC4009/ "%USERPROFILE%\AppData\Local\Temp\OnboardLogs"\RTDC4009\2017-01-06 --exclude "*" --recursive --include "*20170106*" &amp; "%USERPROFILE%\Documents\GitHub\mrs-test-scripts\Headless Mode &amp; Sideloading\WalkAndUnGZ.bat" "%USERPROFILE%\AppData\Local\Temp\OnboardLogs"\RTDC4009\2017-01-06 &amp; aws s3 cp s3://rtdc.mdm.uploadarchive.raw/RTDC4009/ "%USERPROFILE%\AppData\Local\Temp\OnboardLogs"\RTDC4009\2017-01-07 --exclude "*" --recursive --include "*20170107*" &amp; "%USERPROFILE%\Documents\GitHub\mrs-test-scripts\Headless Mode &amp; Sideloading\WalkAndUnGZ.bat" "%USERPROFILE%\AppData\Local\Temp\OnboardLogs"\RTDC4009\2017-01-07</v>
      </c>
      <c r="S23" s="99" t="str">
        <f>VLOOKUP(C23,'Train Runs'!$A$13:$AE$9962,22,0)</f>
        <v>https://search-rtdc-monitor-bjffxe2xuh6vdkpspy63sjmuny.us-east-1.es.amazonaws.com/_plugin/kibana/#/discover/Steve-Slow-Train-Analysis-(2080s-and-2083s)?_g=(refreshInterval:(display:Off,section:0,value:0),time:(from:'2017-01-06 12:55:56-700',mode:absolute,to:'2017-01-06 15:36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23" s="101" t="str">
        <f t="shared" si="1"/>
        <v>"C:\Program Files (x86)\AstroGrep\AstroGrep.exe" /spath="%USERPROFILE%\AppData\Local\Temp\OnboardLogs" /stypes="*4009*201701062*" /stext=" 21:.+((SYSTEM_STATE.+slice.+state.+changed )|(ment ac)|(multiple cpu faults)|(system.+state.+changed )|(\[timeout)|(PRM\|1\|D)|(kpr)|(kdp)|(\|lc)|(penalty))" /e /r /s</v>
      </c>
      <c r="U23" s="9" t="str">
        <f t="shared" si="2"/>
        <v>4009</v>
      </c>
      <c r="V23" s="33">
        <f t="shared" si="3"/>
        <v>42741.900567129625</v>
      </c>
      <c r="W23" s="47" t="str">
        <f t="shared" si="4"/>
        <v>EC</v>
      </c>
      <c r="X23" s="47" t="str">
        <f t="shared" si="5"/>
        <v>KEEP</v>
      </c>
      <c r="Y23" s="115" t="str">
        <f t="shared" si="6"/>
        <v>echo {"issue":{"subject":"","project_id":79,"tracker_id":40,"status_id":1,"priority_id":2,"assigned_to_id":23,"start_date":"2017-01-06","description":"","custom_fields":[{"id":1,"name":"Subdivision","value":"EC"},{"id":4,"name":"Milepost","value":"23.3491"},{"id":17,"name":"Train ID","value":"183-06"},{"id":16,"name":"Locomotive ID","value":"4009"},{"id":130,"name":"Impact","value":""},{"id":150,"name":"Time of Event (Mountain Time)","value":"14:36:49"},{"id":151,"name":"Denver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"%USERPROFILE%\AppData\Local\Temp\OnboardLogs"\RTDC4009\*4009*201701062*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"%USERPROFILE%\AppData\Local\Temp\OnboardLogs"\RTDC4009\*4009*201701062* &gt;&gt; 42741-slicedisagreementcheck.txt</v>
      </c>
      <c r="AE23" s="183" t="str">
        <f t="shared" si="8"/>
        <v>start /low /b %USERPROFILE%\Documents\GitHub\eaglep3\Utilities\DownloadLogsFromS3.py --loco 4009 --day 2017-01-06</v>
      </c>
      <c r="AF23" s="1"/>
    </row>
    <row r="24" spans="1:32" x14ac:dyDescent="0.25">
      <c r="A24" s="33">
        <v>42741.859247685185</v>
      </c>
      <c r="B24" s="31" t="s">
        <v>391</v>
      </c>
      <c r="C24" s="31" t="s">
        <v>468</v>
      </c>
      <c r="D24" s="31" t="s">
        <v>49</v>
      </c>
      <c r="E24" s="31" t="s">
        <v>198</v>
      </c>
      <c r="F24" s="44">
        <v>0</v>
      </c>
      <c r="G24" s="44">
        <v>140</v>
      </c>
      <c r="H24" s="44">
        <v>232598</v>
      </c>
      <c r="I24" s="44">
        <v>232813</v>
      </c>
      <c r="J24" s="31" t="s">
        <v>199</v>
      </c>
      <c r="K24" s="44">
        <v>233491</v>
      </c>
      <c r="L24" s="150" t="s">
        <v>50</v>
      </c>
      <c r="M24" s="151">
        <f t="shared" si="0"/>
        <v>357.98399999999998</v>
      </c>
      <c r="N24" s="152" t="str">
        <f>VLOOKUP(C24,'Trips&amp;Operators'!$C$1:$G$99999,5,FALSE)</f>
        <v>STAMBAUGH JAMES</v>
      </c>
      <c r="O24" s="179" t="s">
        <v>195</v>
      </c>
      <c r="P24" s="153"/>
      <c r="Q24" s="31"/>
      <c r="R24" s="96" t="str">
        <f>VLOOKUP(C24,'Train Runs'!$A$13:$AE$9962,31,0)</f>
        <v>aws s3 cp s3://rtdc.mdm.uploadarchive.raw/RTDC4027/ "%USERPROFILE%\AppData\Local\Temp\OnboardLogs"\RTDC4027\2017-01-06 --exclude "*" --recursive --include "*20170106*" &amp; "%USERPROFILE%\Documents\GitHub\mrs-test-scripts\Headless Mode &amp; Sideloading\WalkAndUnGZ.bat" "%USERPROFILE%\AppData\Local\Temp\OnboardLogs"\RTDC4027\2017-01-06 &amp; aws s3 cp s3://rtdc.mdm.uploadarchive.raw/RTDC4027/ "%USERPROFILE%\AppData\Local\Temp\OnboardLogs"\RTDC4027\2017-01-07 --exclude "*" --recursive --include "*20170107*" &amp; "%USERPROFILE%\Documents\GitHub\mrs-test-scripts\Headless Mode &amp; Sideloading\WalkAndUnGZ.bat" "%USERPROFILE%\AppData\Local\Temp\OnboardLogs"\RTDC4027\2017-01-07</v>
      </c>
      <c r="S24" s="99" t="str">
        <f>VLOOKUP(C24,'Train Runs'!$A$13:$AE$9962,22,0)</f>
        <v>https://search-rtdc-monitor-bjffxe2xuh6vdkpspy63sjmuny.us-east-1.es.amazonaws.com/_plugin/kibana/#/discover/Steve-Slow-Train-Analysis-(2080s-and-2083s)?_g=(refreshInterval:(display:Off,section:0,value:0),time:(from:'2017-01-06 19:05:21-700',mode:absolute,to:'2017-01-06 21:36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24" s="101" t="str">
        <f t="shared" si="1"/>
        <v>"C:\Program Files (x86)\AstroGrep\AstroGrep.exe" /spath="%USERPROFILE%\AppData\Local\Temp\OnboardLogs" /stypes="*4027*201701070*" /stext=" 03:.+((SYSTEM_STATE.+slice.+state.+changed )|(ment ac)|(multiple cpu faults)|(system.+state.+changed )|(\[timeout)|(PRM\|1\|D)|(kpr)|(kdp)|(\|lc)|(penalty))" /e /r /s</v>
      </c>
      <c r="U24" s="9" t="str">
        <f t="shared" si="2"/>
        <v>4027</v>
      </c>
      <c r="V24" s="33">
        <f t="shared" si="3"/>
        <v>42742.150914351849</v>
      </c>
      <c r="W24" s="47" t="str">
        <f t="shared" si="4"/>
        <v>EC</v>
      </c>
      <c r="X24" s="47" t="str">
        <f t="shared" si="5"/>
        <v>KEEP</v>
      </c>
      <c r="Y24" s="115" t="str">
        <f t="shared" si="6"/>
        <v>echo {"issue":{"subject":"","project_id":79,"tracker_id":40,"status_id":1,"priority_id":2,"assigned_to_id":23,"start_date":"2017-01-06","description":"","custom_fields":[{"id":1,"name":"Subdivision","value":"EC"},{"id":4,"name":"Milepost","value":"23.3491"},{"id":17,"name":"Train ID","value":"225-06"},{"id":16,"name":"Locomotive ID","value":"4027"},{"id":130,"name":"Impact","value":""},{"id":150,"name":"Time of Event (Mountain Time)","value":"20:37:19"},{"id":151,"name":"Denver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-A400 "Enforcement Action" "%USERPROFILE%\AppData\Local\Temp\OnboardLogs"\RTDC4027\*4027*201701070*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"%USERPROFILE%\AppData\Local\Temp\OnboardLogs"\RTDC4027\*4027*201701070* &gt;&gt; 42741-slicedisagreementcheck.txt</v>
      </c>
      <c r="AE24" s="183" t="str">
        <f t="shared" si="8"/>
        <v>start /low /b %USERPROFILE%\Documents\GitHub\eaglep3\Utilities\DownloadLogsFromS3.py --loco 4027 --day 2017-01-07</v>
      </c>
      <c r="AF24" s="1"/>
    </row>
    <row r="25" spans="1:32" x14ac:dyDescent="0.25">
      <c r="A25" s="33">
        <v>42741.94158564815</v>
      </c>
      <c r="B25" s="31" t="s">
        <v>391</v>
      </c>
      <c r="C25" s="31" t="s">
        <v>470</v>
      </c>
      <c r="D25" s="31" t="s">
        <v>49</v>
      </c>
      <c r="E25" s="31" t="s">
        <v>198</v>
      </c>
      <c r="F25" s="44">
        <v>0</v>
      </c>
      <c r="G25" s="44">
        <v>140</v>
      </c>
      <c r="H25" s="44">
        <v>232753</v>
      </c>
      <c r="I25" s="44">
        <v>232957</v>
      </c>
      <c r="J25" s="31" t="s">
        <v>199</v>
      </c>
      <c r="K25" s="44">
        <v>233491</v>
      </c>
      <c r="L25" s="150" t="s">
        <v>50</v>
      </c>
      <c r="M25" s="151">
        <f t="shared" si="0"/>
        <v>281.952</v>
      </c>
      <c r="N25" s="152" t="str">
        <f>VLOOKUP(C25,'Trips&amp;Operators'!$C$1:$G$99999,5,FALSE)</f>
        <v>STAMBAUGH JAMES</v>
      </c>
      <c r="O25" s="179" t="s">
        <v>195</v>
      </c>
      <c r="P25" s="153"/>
      <c r="Q25" s="31"/>
      <c r="R25" s="96" t="str">
        <f>VLOOKUP(C25,'Train Runs'!$A$13:$AE$9962,31,0)</f>
        <v>aws s3 cp s3://rtdc.mdm.uploadarchive.raw/RTDC4027/ "%USERPROFILE%\AppData\Local\Temp\OnboardLogs"\RTDC4027\2017-01-06 --exclude "*" --recursive --include "*20170106*" &amp; "%USERPROFILE%\Documents\GitHub\mrs-test-scripts\Headless Mode &amp; Sideloading\WalkAndUnGZ.bat" "%USERPROFILE%\AppData\Local\Temp\OnboardLogs"\RTDC4027\2017-01-06 &amp; aws s3 cp s3://rtdc.mdm.uploadarchive.raw/RTDC4027/ "%USERPROFILE%\AppData\Local\Temp\OnboardLogs"\RTDC4027\2017-01-07 --exclude "*" --recursive --include "*20170107*" &amp; "%USERPROFILE%\Documents\GitHub\mrs-test-scripts\Headless Mode &amp; Sideloading\WalkAndUnGZ.bat" "%USERPROFILE%\AppData\Local\Temp\OnboardLogs"\RTDC4027\2017-01-07</v>
      </c>
      <c r="S25" s="99" t="str">
        <f>VLOOKUP(C25,'Train Runs'!$A$13:$AE$9962,22,0)</f>
        <v>https://search-rtdc-monitor-bjffxe2xuh6vdkpspy63sjmuny.us-east-1.es.amazonaws.com/_plugin/kibana/#/discover/Steve-Slow-Train-Analysis-(2080s-and-2083s)?_g=(refreshInterval:(display:Off,section:0,value:0),time:(from:'2017-01-06 20:36:38-700',mode:absolute,to:'2017-01-06 23:35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25" s="101" t="str">
        <f t="shared" si="1"/>
        <v>"C:\Program Files (x86)\AstroGrep\AstroGrep.exe" /spath="%USERPROFILE%\AppData\Local\Temp\OnboardLogs" /stypes="*4027*201701070*" /stext=" 05:.+((SYSTEM_STATE.+slice.+state.+changed )|(ment ac)|(multiple cpu faults)|(system.+state.+changed )|(\[timeout)|(PRM\|1\|D)|(kpr)|(kdp)|(\|lc)|(penalty))" /e /r /s</v>
      </c>
      <c r="U25" s="9" t="str">
        <f t="shared" si="2"/>
        <v>4027</v>
      </c>
      <c r="V25" s="33">
        <f t="shared" si="3"/>
        <v>42742.233252314814</v>
      </c>
      <c r="W25" s="47" t="str">
        <f t="shared" si="4"/>
        <v>EC</v>
      </c>
      <c r="X25" s="47" t="str">
        <f t="shared" si="5"/>
        <v>KEEP</v>
      </c>
      <c r="Y25" s="115" t="str">
        <f t="shared" si="6"/>
        <v>echo {"issue":{"subject":"","project_id":79,"tracker_id":40,"status_id":1,"priority_id":2,"assigned_to_id":23,"start_date":"2017-01-06","description":"","custom_fields":[{"id":1,"name":"Subdivision","value":"EC"},{"id":4,"name":"Milepost","value":"23.3491"},{"id":17,"name":"Train ID","value":"233-06"},{"id":16,"name":"Locomotive ID","value":"4027"},{"id":130,"name":"Impact","value":""},{"id":150,"name":"Time of Event (Mountain Time)","value":"22:35:53"},{"id":151,"name":"Denver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"%USERPROFILE%\AppData\Local\Temp\OnboardLogs"\RTDC4027\*4027*201701070*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"%USERPROFILE%\AppData\Local\Temp\OnboardLogs"\RTDC4027\*4027*201701070* &gt;&gt; 42741-slicedisagreementcheck.txt</v>
      </c>
      <c r="AE25" s="183" t="str">
        <f t="shared" si="8"/>
        <v>start /low /b %USERPROFILE%\Documents\GitHub\eaglep3\Utilities\DownloadLogsFromS3.py --loco 4027 --day 2017-01-07</v>
      </c>
      <c r="AF25" s="1"/>
    </row>
    <row r="26" spans="1:32" ht="15" customHeight="1" x14ac:dyDescent="0.25">
      <c r="A26" s="33">
        <v>42742.046284722222</v>
      </c>
      <c r="B26" s="31" t="s">
        <v>294</v>
      </c>
      <c r="C26" s="31" t="s">
        <v>473</v>
      </c>
      <c r="D26" s="31" t="s">
        <v>49</v>
      </c>
      <c r="E26" s="31" t="s">
        <v>198</v>
      </c>
      <c r="F26" s="44">
        <v>0</v>
      </c>
      <c r="G26" s="44">
        <v>28</v>
      </c>
      <c r="H26" s="44">
        <v>233395</v>
      </c>
      <c r="I26" s="44">
        <v>233412</v>
      </c>
      <c r="J26" s="31" t="s">
        <v>199</v>
      </c>
      <c r="K26" s="44">
        <v>233491</v>
      </c>
      <c r="L26" s="150" t="s">
        <v>50</v>
      </c>
      <c r="M26" s="151">
        <f t="shared" si="0"/>
        <v>41.712000000000003</v>
      </c>
      <c r="N26" s="152" t="str">
        <f>VLOOKUP(C26,'Trips&amp;Operators'!$C$1:$G$99999,5,FALSE)</f>
        <v>HILLS DUSTIN</v>
      </c>
      <c r="O26" s="179" t="s">
        <v>195</v>
      </c>
      <c r="P26" s="153"/>
      <c r="Q26" s="31"/>
      <c r="R26" s="96" t="str">
        <f>VLOOKUP(C26,'Train Runs'!$A$13:$AE$9962,31,0)</f>
        <v>aws s3 cp s3://rtdc.mdm.uploadarchive.raw/RTDC4018/ "%USERPROFILE%\AppData\Local\Temp\OnboardLogs"\RTDC4018\2017-01-07 --exclude "*" --recursive --include "*20170107*" &amp; "%USERPROFILE%\Documents\GitHub\mrs-test-scripts\Headless Mode &amp; Sideloading\WalkAndUnGZ.bat" "%USERPROFILE%\AppData\Local\Temp\OnboardLogs"\RTDC4018\2017-01-07 &amp; aws s3 cp s3://rtdc.mdm.uploadarchive.raw/RTDC4018/ "%USERPROFILE%\AppData\Local\Temp\OnboardLogs"\RTDC4018\2017-01-08 --exclude "*" --recursive --include "*20170108*" &amp; "%USERPROFILE%\Documents\GitHub\mrs-test-scripts\Headless Mode &amp; Sideloading\WalkAndUnGZ.bat" "%USERPROFILE%\AppData\Local\Temp\OnboardLogs"\RTDC4018\2017-01-08</v>
      </c>
      <c r="S26" s="99" t="str">
        <f>VLOOKUP(C26,'Train Runs'!$A$13:$AE$9962,22,0)</f>
        <v>https://search-rtdc-monitor-bjffxe2xuh6vdkpspy63sjmuny.us-east-1.es.amazonaws.com/_plugin/kibana/#/discover/Steve-Slow-Train-Analysis-(2080s-and-2083s)?_g=(refreshInterval:(display:Off,section:0,value:0),time:(from:'2017-01-06 23:18:43-700',mode:absolute,to:'2017-01-07 02:05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26" s="101" t="str">
        <f t="shared" si="1"/>
        <v>"C:\Program Files (x86)\AstroGrep\AstroGrep.exe" /spath="%USERPROFILE%\AppData\Local\Temp\OnboardLogs" /stypes="*4018*201701070*" /stext=" 08:.+((SYSTEM_STATE.+slice.+state.+changed )|(ment ac)|(multiple cpu faults)|(system.+state.+changed )|(\[timeout)|(PRM\|1\|D)|(kpr)|(kdp)|(\|lc)|(penalty))" /e /r /s</v>
      </c>
      <c r="U26" s="9" t="str">
        <f t="shared" si="2"/>
        <v>4018</v>
      </c>
      <c r="V26" s="33">
        <f t="shared" si="3"/>
        <v>42742.337951388887</v>
      </c>
      <c r="W26" s="47" t="str">
        <f t="shared" si="4"/>
        <v>EC</v>
      </c>
      <c r="X26" s="47" t="str">
        <f t="shared" si="5"/>
        <v>KEEP</v>
      </c>
      <c r="Y26" s="115" t="str">
        <f t="shared" si="6"/>
        <v>echo {"issue":{"subject":"","project_id":79,"tracker_id":40,"status_id":1,"priority_id":2,"assigned_to_id":23,"start_date":"2017-01-07","description":"","custom_fields":[{"id":1,"name":"Subdivision","value":"EC"},{"id":4,"name":"Milepost","value":"23.3491"},{"id":17,"name":"Train ID","value":"243-06"},{"id":16,"name":"Locomotive ID","value":"4018"},{"id":130,"name":"Impact","value":""},{"id":150,"name":"Time of Event (Mountain Time)","value":"01:06:39"},{"id":151,"name":"Denver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"%USERPROFILE%\AppData\Local\Temp\OnboardLogs"\RTDC4018\*4018*201701070*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"%USERPROFILE%\AppData\Local\Temp\OnboardLogs"\RTDC4018\*4018*201701070* &gt;&gt; 42741-slicedisagreementcheck.txt</v>
      </c>
      <c r="AE26" s="183" t="str">
        <f t="shared" si="8"/>
        <v>start /low /b %USERPROFILE%\Documents\GitHub\eaglep3\Utilities\DownloadLogsFromS3.py --loco 4018 --day 2017-01-07</v>
      </c>
      <c r="AF26" s="1"/>
    </row>
    <row r="27" spans="1:32" ht="15" customHeight="1" x14ac:dyDescent="0.25">
      <c r="A27" s="33">
        <v>42742.066874999997</v>
      </c>
      <c r="B27" s="31" t="s">
        <v>210</v>
      </c>
      <c r="C27" s="31" t="s">
        <v>474</v>
      </c>
      <c r="D27" s="31" t="s">
        <v>49</v>
      </c>
      <c r="E27" s="31" t="s">
        <v>198</v>
      </c>
      <c r="F27" s="44">
        <v>0</v>
      </c>
      <c r="G27" s="44">
        <v>155</v>
      </c>
      <c r="H27" s="44">
        <v>232517</v>
      </c>
      <c r="I27" s="44">
        <v>232743</v>
      </c>
      <c r="J27" s="31" t="s">
        <v>199</v>
      </c>
      <c r="K27" s="44">
        <v>233491</v>
      </c>
      <c r="L27" s="150" t="s">
        <v>50</v>
      </c>
      <c r="M27" s="151">
        <f t="shared" si="0"/>
        <v>394.94400000000002</v>
      </c>
      <c r="N27" s="152" t="str">
        <f>VLOOKUP(C27,'Trips&amp;Operators'!$C$1:$G$99999,5,FALSE)</f>
        <v>BROWN JACOB</v>
      </c>
      <c r="O27" s="179" t="s">
        <v>195</v>
      </c>
      <c r="P27" s="153"/>
      <c r="Q27" s="31"/>
      <c r="R27" s="96" t="str">
        <f>VLOOKUP(C27,'Train Runs'!$A$13:$AE$9962,31,0)</f>
        <v>aws s3 cp s3://rtdc.mdm.uploadarchive.raw/RTDC4002/ "%USERPROFILE%\AppData\Local\Temp\OnboardLogs"\RTDC4002\2017-01-07 --exclude "*" --recursive --include "*20170107*" &amp; "%USERPROFILE%\Documents\GitHub\mrs-test-scripts\Headless Mode &amp; Sideloading\WalkAndUnGZ.bat" "%USERPROFILE%\AppData\Local\Temp\OnboardLogs"\RTDC4002\2017-01-07 &amp; aws s3 cp s3://rtdc.mdm.uploadarchive.raw/RTDC4002/ "%USERPROFILE%\AppData\Local\Temp\OnboardLogs"\RTDC4002\2017-01-08 --exclude "*" --recursive --include "*20170108*" &amp; "%USERPROFILE%\Documents\GitHub\mrs-test-scripts\Headless Mode &amp; Sideloading\WalkAndUnGZ.bat" "%USERPROFILE%\AppData\Local\Temp\OnboardLogs"\RTDC4002\2017-01-08</v>
      </c>
      <c r="S27" s="99" t="str">
        <f>VLOOKUP(C27,'Train Runs'!$A$13:$AE$9962,22,0)</f>
        <v>https://search-rtdc-monitor-bjffxe2xuh6vdkpspy63sjmuny.us-east-1.es.amazonaws.com/_plugin/kibana/#/discover/Steve-Slow-Train-Analysis-(2080s-and-2083s)?_g=(refreshInterval:(display:Off,section:0,value:0),time:(from:'2017-01-06 23:50:33-700',mode:absolute,to:'2017-01-07 02:37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27" s="101" t="str">
        <f t="shared" si="1"/>
        <v>"C:\Program Files (x86)\AstroGrep\AstroGrep.exe" /spath="%USERPROFILE%\AppData\Local\Temp\OnboardLogs" /stypes="*4002*201701070*" /stext=" 08:.+((SYSTEM_STATE.+slice.+state.+changed )|(ment ac)|(multiple cpu faults)|(system.+state.+changed )|(\[timeout)|(PRM\|1\|D)|(kpr)|(kdp)|(\|lc)|(penalty))" /e /r /s</v>
      </c>
      <c r="U27" s="9" t="str">
        <f t="shared" si="2"/>
        <v>4002</v>
      </c>
      <c r="V27" s="33">
        <f t="shared" si="3"/>
        <v>42742.358541666661</v>
      </c>
      <c r="W27" s="47" t="str">
        <f t="shared" si="4"/>
        <v>EC</v>
      </c>
      <c r="X27" s="47" t="str">
        <f t="shared" si="5"/>
        <v>KEEP</v>
      </c>
      <c r="Y27" s="115" t="str">
        <f t="shared" si="6"/>
        <v>echo {"issue":{"subject":"","project_id":79,"tracker_id":40,"status_id":1,"priority_id":2,"assigned_to_id":23,"start_date":"2017-01-07","description":"","custom_fields":[{"id":1,"name":"Subdivision","value":"EC"},{"id":4,"name":"Milepost","value":"23.3491"},{"id":17,"name":"Train ID","value":"245-06"},{"id":16,"name":"Locomotive ID","value":"4002"},{"id":130,"name":"Impact","value":""},{"id":150,"name":"Time of Event (Mountain Time)","value":"01:36:18"},{"id":151,"name":"Denver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"%USERPROFILE%\AppData\Local\Temp\OnboardLogs"\RTDC4002\*4002*201701070*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"%USERPROFILE%\AppData\Local\Temp\OnboardLogs"\RTDC4002\*4002*201701070* &gt;&gt; 42741-slicedisagreementcheck.txt</v>
      </c>
      <c r="AE27" s="183" t="str">
        <f t="shared" si="8"/>
        <v>start /low /b %USERPROFILE%\Documents\GitHub\eaglep3\Utilities\DownloadLogsFromS3.py --loco 4002 --day 2017-01-07</v>
      </c>
      <c r="AF27" s="1"/>
    </row>
    <row r="28" spans="1:32" x14ac:dyDescent="0.25">
      <c r="A28" s="33">
        <v>42741.359166666669</v>
      </c>
      <c r="B28" s="31" t="s">
        <v>252</v>
      </c>
      <c r="C28" s="31" t="s">
        <v>449</v>
      </c>
      <c r="D28" s="31" t="s">
        <v>49</v>
      </c>
      <c r="E28" s="31" t="s">
        <v>196</v>
      </c>
      <c r="F28" s="44">
        <v>0</v>
      </c>
      <c r="G28" s="44">
        <v>73</v>
      </c>
      <c r="H28" s="44">
        <v>27006</v>
      </c>
      <c r="I28" s="44">
        <v>26901</v>
      </c>
      <c r="J28" s="31" t="s">
        <v>197</v>
      </c>
      <c r="K28" s="44">
        <v>26955</v>
      </c>
      <c r="L28" s="150" t="s">
        <v>51</v>
      </c>
      <c r="M28" s="151">
        <f t="shared" si="0"/>
        <v>-28.512</v>
      </c>
      <c r="N28" s="152" t="str">
        <f>VLOOKUP(C28,'Trips&amp;Operators'!$C$1:$G$99999,5,FALSE)</f>
        <v>SHOOK JOHN</v>
      </c>
      <c r="O28" s="179" t="s">
        <v>195</v>
      </c>
      <c r="P28" s="153" t="s">
        <v>849</v>
      </c>
      <c r="Q28" s="31"/>
      <c r="R28" s="96" t="str">
        <f>VLOOKUP(C28,'Train Runs'!$A$13:$AE$9962,31,0)</f>
        <v>aws s3 cp s3://rtdc.mdm.uploadarchive.raw/RTDC4013/ "%USERPROFILE%\AppData\Local\Temp\OnboardLogs"\RTDC4013\2017-01-06 --exclude "*" --recursive --include "*20170106*" &amp; "%USERPROFILE%\Documents\GitHub\mrs-test-scripts\Headless Mode &amp; Sideloading\WalkAndUnGZ.bat" "%USERPROFILE%\AppData\Local\Temp\OnboardLogs"\RTDC4013\2017-01-06 &amp; 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</v>
      </c>
      <c r="S28" s="99" t="str">
        <f>VLOOKUP(C28,'Train Runs'!$A$13:$AE$9962,22,0)</f>
        <v>https://search-rtdc-monitor-bjffxe2xuh6vdkpspy63sjmuny.us-east-1.es.amazonaws.com/_plugin/kibana/#/discover/Steve-Slow-Train-Analysis-(2080s-and-2083s)?_g=(refreshInterval:(display:Off,section:0,value:0),time:(from:'2017-01-06 07:34:07-700',mode:absolute,to:'2017-01-06 09:50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8" s="101" t="str">
        <f t="shared" si="1"/>
        <v>"C:\Program Files (x86)\AstroGrep\AstroGrep.exe" /spath="%USERPROFILE%\AppData\Local\Temp\OnboardLogs" /stypes="*4013*201701061*" /stext=" 15:.+((SYSTEM_STATE.+slice.+state.+changed )|(ment ac)|(multiple cpu faults)|(system.+state.+changed )|(\[timeout)|(PRM\|1\|D)|(kpr)|(kdp)|(\|lc)|(penalty))" /e /r /s</v>
      </c>
      <c r="U28" s="9" t="str">
        <f t="shared" si="2"/>
        <v>4013</v>
      </c>
      <c r="V28" s="33">
        <f t="shared" si="3"/>
        <v>42741.650833333333</v>
      </c>
      <c r="W28" s="47" t="str">
        <f t="shared" si="4"/>
        <v>NW</v>
      </c>
      <c r="X28" s="47" t="str">
        <f t="shared" si="5"/>
        <v>KEEP</v>
      </c>
      <c r="Y28" s="115" t="str">
        <f t="shared" si="6"/>
        <v>echo {"issue":{"subject":"CRMF POCKET 30-2T 2S STOP, cleared afterward","project_id":79,"tracker_id":40,"status_id":1,"priority_id":2,"assigned_to_id":23,"start_date":"2017-01-06","description":"","custom_fields":[{"id":1,"name":"Subdivision","value":"NW"},{"id":4,"name":"Milepost","value":"2.6955"},{"id":17,"name":"Train ID","value":"812-06"},{"id":16,"name":"Locomotive ID","value":"4013"},{"id":130,"name":"Impact","value":""},{"id":150,"name":"Time of Event (Mountain Time)","value":"08:37:12"},{"id":151,"name":"Denver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"%USERPROFILE%\AppData\Local\Temp\OnboardLogs"\RTDC4013\*4013*201701061*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"%USERPROFILE%\AppData\Local\Temp\OnboardLogs"\RTDC4013\*4013*201701061* &gt;&gt; 42741-slicedisagreementcheck.txt</v>
      </c>
      <c r="AE28" s="183" t="str">
        <f t="shared" si="8"/>
        <v>start /low /b %USERPROFILE%\Documents\GitHub\eaglep3\Utilities\DownloadLogsFromS3.py --loco 4013 --day 2017-01-06</v>
      </c>
      <c r="AF28" s="1"/>
    </row>
    <row r="29" spans="1:32" x14ac:dyDescent="0.25">
      <c r="A29" s="33">
        <v>42741.664722222224</v>
      </c>
      <c r="B29" s="31" t="s">
        <v>252</v>
      </c>
      <c r="C29" s="31" t="s">
        <v>459</v>
      </c>
      <c r="D29" s="31" t="s">
        <v>49</v>
      </c>
      <c r="E29" s="31" t="s">
        <v>198</v>
      </c>
      <c r="F29" s="44">
        <v>0</v>
      </c>
      <c r="G29" s="44">
        <v>28</v>
      </c>
      <c r="H29" s="44">
        <v>689</v>
      </c>
      <c r="I29" s="44">
        <v>664</v>
      </c>
      <c r="J29" s="31" t="s">
        <v>199</v>
      </c>
      <c r="K29" s="44">
        <v>575</v>
      </c>
      <c r="L29" s="150" t="s">
        <v>51</v>
      </c>
      <c r="M29" s="151">
        <f t="shared" si="0"/>
        <v>46.991999999999997</v>
      </c>
      <c r="N29" s="152" t="str">
        <f>VLOOKUP(C29,'Trips&amp;Operators'!$C$1:$G$99999,5,FALSE)</f>
        <v>LEVERE CRAIG</v>
      </c>
      <c r="O29" s="179" t="s">
        <v>195</v>
      </c>
      <c r="P29" s="153"/>
      <c r="Q29" s="31"/>
      <c r="R29" s="96" t="str">
        <f>VLOOKUP(C29,'Train Runs'!$A$13:$AE$9962,31,0)</f>
        <v>aws s3 cp s3://rtdc.mdm.uploadarchive.raw/RTDC4013/ "%USERPROFILE%\AppData\Local\Temp\OnboardLogs"\RTDC4013\2017-01-06 --exclude "*" --recursive --include "*20170106*" &amp; "%USERPROFILE%\Documents\GitHub\mrs-test-scripts\Headless Mode &amp; Sideloading\WalkAndUnGZ.bat" "%USERPROFILE%\AppData\Local\Temp\OnboardLogs"\RTDC4013\2017-01-06 &amp; 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</v>
      </c>
      <c r="S29" s="99" t="str">
        <f>VLOOKUP(C29,'Train Runs'!$A$13:$AE$9962,22,0)</f>
        <v>https://search-rtdc-monitor-bjffxe2xuh6vdkpspy63sjmuny.us-east-1.es.amazonaws.com/_plugin/kibana/#/discover/Steve-Slow-Train-Analysis-(2080s-and-2083s)?_g=(refreshInterval:(display:Off,section:0,value:0),time:(from:'2017-01-06 14:37:46-700',mode:absolute,to:'2017-01-06 16:57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9" s="101" t="str">
        <f t="shared" si="1"/>
        <v>"C:\Program Files (x86)\AstroGrep\AstroGrep.exe" /spath="%USERPROFILE%\AppData\Local\Temp\OnboardLogs" /stypes="*4013*201701062*" /stext=" 22:.+((SYSTEM_STATE.+slice.+state.+changed )|(ment ac)|(multiple cpu faults)|(system.+state.+changed )|(\[timeout)|(PRM\|1\|D)|(kpr)|(kdp)|(\|lc)|(penalty))" /e /r /s</v>
      </c>
      <c r="U29" s="9" t="str">
        <f t="shared" si="2"/>
        <v>4013</v>
      </c>
      <c r="V29" s="33">
        <f t="shared" si="3"/>
        <v>42741.956388888888</v>
      </c>
      <c r="W29" s="47" t="str">
        <f t="shared" si="4"/>
        <v>NW</v>
      </c>
      <c r="X29" s="47" t="str">
        <f t="shared" si="5"/>
        <v>KEEP</v>
      </c>
      <c r="Y29" s="115" t="str">
        <f t="shared" si="6"/>
        <v>echo {"issue":{"subject":"","project_id":79,"tracker_id":40,"status_id":1,"priority_id":2,"assigned_to_id":23,"start_date":"2017-01-06","description":"","custom_fields":[{"id":1,"name":"Subdivision","value":"NW"},{"id":4,"name":"Milepost","value":"0.0575"},{"id":17,"name":"Train ID","value":"826-06"},{"id":16,"name":"Locomotive ID","value":"4013"},{"id":130,"name":"Impact","value":""},{"id":150,"name":"Time of Event (Mountain Time)","value":"15:57:12"},{"id":151,"name":"Denver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 t="shared" si="7"/>
        <v>grep -hSE -A400 "Enforcement Action" "%USERPROFILE%\AppData\Local\Temp\OnboardLogs"\RTDC4013\*4013*201701062*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"%USERPROFILE%\AppData\Local\Temp\OnboardLogs"\RTDC4013\*4013*201701062* &gt;&gt; 42741-slicedisagreementcheck.txt</v>
      </c>
      <c r="AE29" s="183" t="str">
        <f t="shared" si="8"/>
        <v>start /low /b %USERPROFILE%\Documents\GitHub\eaglep3\Utilities\DownloadLogsFromS3.py --loco 4013 --day 2017-01-06</v>
      </c>
      <c r="AF29" s="1"/>
    </row>
    <row r="30" spans="1:32" x14ac:dyDescent="0.25">
      <c r="A30" s="33">
        <v>42741.712905092594</v>
      </c>
      <c r="B30" s="31" t="s">
        <v>227</v>
      </c>
      <c r="C30" s="31" t="s">
        <v>460</v>
      </c>
      <c r="D30" s="31" t="s">
        <v>49</v>
      </c>
      <c r="E30" s="31" t="s">
        <v>198</v>
      </c>
      <c r="F30" s="44">
        <v>0</v>
      </c>
      <c r="G30" s="44">
        <v>148</v>
      </c>
      <c r="H30" s="44">
        <v>57857</v>
      </c>
      <c r="I30" s="44">
        <v>58143</v>
      </c>
      <c r="J30" s="31" t="s">
        <v>199</v>
      </c>
      <c r="K30" s="44">
        <v>59048</v>
      </c>
      <c r="L30" s="150" t="s">
        <v>50</v>
      </c>
      <c r="M30" s="151">
        <f t="shared" si="0"/>
        <v>477.84</v>
      </c>
      <c r="N30" s="152" t="str">
        <f>VLOOKUP(C30,'Trips&amp;Operators'!$C$1:$G$99999,5,FALSE)</f>
        <v>SMITH MICHAEL</v>
      </c>
      <c r="O30" s="179" t="s">
        <v>195</v>
      </c>
      <c r="P30" s="153"/>
      <c r="Q30" s="31"/>
      <c r="R30" s="96" t="str">
        <f>VLOOKUP(C30,'Train Runs'!$A$13:$AE$9962,31,0)</f>
        <v>aws s3 cp s3://rtdc.mdm.uploadarchive.raw/RTDC4042/ "%USERPROFILE%\AppData\Local\Temp\OnboardLogs"\RTDC4042\2017-01-06 --exclude "*" --recursive --include "*20170106*" &amp; "%USERPROFILE%\Documents\GitHub\mrs-test-scripts\Headless Mode &amp; Sideloading\WalkAndUnGZ.bat" "%USERPROFILE%\AppData\Local\Temp\OnboardLogs"\RTDC4042\2017-01-06 &amp; 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</v>
      </c>
      <c r="S30" s="99" t="str">
        <f>VLOOKUP(C30,'Train Runs'!$A$13:$AE$9962,22,0)</f>
        <v>https://search-rtdc-monitor-bjffxe2xuh6vdkpspy63sjmuny.us-east-1.es.amazonaws.com/_plugin/kibana/#/discover/Steve-Slow-Train-Analysis-(2080s-and-2083s)?_g=(refreshInterval:(display:Off,section:0,value:0),time:(from:'2017-01-06 15:30:19-700',mode:absolute,to:'2017-01-06 18:08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0" s="101" t="str">
        <f t="shared" si="1"/>
        <v>"C:\Program Files (x86)\AstroGrep\AstroGrep.exe" /spath="%USERPROFILE%\AppData\Local\Temp\OnboardLogs" /stypes="*4042*201701070*" /stext=" 00:.+((SYSTEM_STATE.+slice.+state.+changed )|(ment ac)|(multiple cpu faults)|(system.+state.+changed )|(\[timeout)|(PRM\|1\|D)|(kpr)|(kdp)|(\|lc)|(penalty))" /e /r /s</v>
      </c>
      <c r="U30" s="9" t="str">
        <f t="shared" si="2"/>
        <v>4042</v>
      </c>
      <c r="V30" s="33">
        <f t="shared" si="3"/>
        <v>42742.004571759258</v>
      </c>
      <c r="W30" s="47" t="str">
        <f t="shared" si="4"/>
        <v>NW</v>
      </c>
      <c r="X30" s="47" t="str">
        <f t="shared" si="5"/>
        <v>KEEP</v>
      </c>
      <c r="Y30" s="115" t="str">
        <f t="shared" si="6"/>
        <v>echo {"issue":{"subject":"","project_id":79,"tracker_id":40,"status_id":1,"priority_id":2,"assigned_to_id":23,"start_date":"2017-01-06","description":"","custom_fields":[{"id":1,"name":"Subdivision","value":"NW"},{"id":4,"name":"Milepost","value":"5.9048"},{"id":17,"name":"Train ID","value":"831-06"},{"id":16,"name":"Locomotive ID","value":"4042"},{"id":130,"name":"Impact","value":""},{"id":150,"name":"Time of Event (Mountain Time)","value":"17:06:35"},{"id":151,"name":"Denver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 t="shared" si="7"/>
        <v>grep -hSE -A400 "Enforcement Action" "%USERPROFILE%\AppData\Local\Temp\OnboardLogs"\RTDC4042\*4042*201701070*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"%USERPROFILE%\AppData\Local\Temp\OnboardLogs"\RTDC4042\*4042*201701070* &gt;&gt; 42741-slicedisagreementcheck.txt</v>
      </c>
      <c r="AE30" s="183" t="str">
        <f t="shared" si="8"/>
        <v>start /low /b %USERPROFILE%\Documents\GitHub\eaglep3\Utilities\DownloadLogsFromS3.py --loco 4042 --day 2017-01-07</v>
      </c>
      <c r="AF30" s="1"/>
    </row>
    <row r="31" spans="1:32" x14ac:dyDescent="0.25">
      <c r="A31" s="33">
        <v>42741.754432870373</v>
      </c>
      <c r="B31" s="31" t="s">
        <v>227</v>
      </c>
      <c r="C31" s="31" t="s">
        <v>462</v>
      </c>
      <c r="D31" s="31" t="s">
        <v>49</v>
      </c>
      <c r="E31" s="31" t="s">
        <v>198</v>
      </c>
      <c r="F31" s="44">
        <v>0</v>
      </c>
      <c r="G31" s="44">
        <v>96</v>
      </c>
      <c r="H31" s="44">
        <v>58609</v>
      </c>
      <c r="I31" s="44">
        <v>58673</v>
      </c>
      <c r="J31" s="31" t="s">
        <v>199</v>
      </c>
      <c r="K31" s="44">
        <v>59048</v>
      </c>
      <c r="L31" s="150" t="s">
        <v>50</v>
      </c>
      <c r="M31" s="151">
        <f t="shared" si="0"/>
        <v>198</v>
      </c>
      <c r="N31" s="152" t="str">
        <f>VLOOKUP(C31,'Trips&amp;Operators'!$C$1:$G$99999,5,FALSE)</f>
        <v>SMITH MICHAEL</v>
      </c>
      <c r="O31" s="179" t="s">
        <v>195</v>
      </c>
      <c r="P31" s="153"/>
      <c r="Q31" s="31"/>
      <c r="R31" s="96" t="str">
        <f>VLOOKUP(C31,'Train Runs'!$A$13:$AE$9962,31,0)</f>
        <v>aws s3 cp s3://rtdc.mdm.uploadarchive.raw/RTDC4042/ "%USERPROFILE%\AppData\Local\Temp\OnboardLogs"\RTDC4042\2017-01-06 --exclude "*" --recursive --include "*20170106*" &amp; "%USERPROFILE%\Documents\GitHub\mrs-test-scripts\Headless Mode &amp; Sideloading\WalkAndUnGZ.bat" "%USERPROFILE%\AppData\Local\Temp\OnboardLogs"\RTDC4042\2017-01-06 &amp; 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</v>
      </c>
      <c r="S31" s="99" t="str">
        <f>VLOOKUP(C31,'Train Runs'!$A$13:$AE$9962,22,0)</f>
        <v>https://search-rtdc-monitor-bjffxe2xuh6vdkpspy63sjmuny.us-east-1.es.amazonaws.com/_plugin/kibana/#/discover/Steve-Slow-Train-Analysis-(2080s-and-2083s)?_g=(refreshInterval:(display:Off,section:0,value:0),time:(from:'2017-01-06 16:32:57-700',mode:absolute,to:'2017-01-06 19:07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1" s="101" t="str">
        <f t="shared" si="1"/>
        <v>"C:\Program Files (x86)\AstroGrep\AstroGrep.exe" /spath="%USERPROFILE%\AppData\Local\Temp\OnboardLogs" /stypes="*4042*201701070*" /stext=" 01:.+((SYSTEM_STATE.+slice.+state.+changed )|(ment ac)|(multiple cpu faults)|(system.+state.+changed )|(\[timeout)|(PRM\|1\|D)|(kpr)|(kdp)|(\|lc)|(penalty))" /e /r /s</v>
      </c>
      <c r="U31" s="9" t="str">
        <f t="shared" si="2"/>
        <v>4042</v>
      </c>
      <c r="V31" s="33">
        <f t="shared" si="3"/>
        <v>42742.046099537038</v>
      </c>
      <c r="W31" s="47" t="str">
        <f t="shared" si="4"/>
        <v>NW</v>
      </c>
      <c r="X31" s="47" t="str">
        <f t="shared" si="5"/>
        <v>KEEP</v>
      </c>
      <c r="Y31" s="115" t="str">
        <f t="shared" si="6"/>
        <v>echo {"issue":{"subject":"","project_id":79,"tracker_id":40,"status_id":1,"priority_id":2,"assigned_to_id":23,"start_date":"2017-01-06","description":"","custom_fields":[{"id":1,"name":"Subdivision","value":"NW"},{"id":4,"name":"Milepost","value":"5.9048"},{"id":17,"name":"Train ID","value":"835-06"},{"id":16,"name":"Locomotive ID","value":"4042"},{"id":130,"name":"Impact","value":""},{"id":150,"name":"Time of Event (Mountain Time)","value":"18:06:23"},{"id":151,"name":"Denver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 t="shared" si="7"/>
        <v>grep -hSE -A400 "Enforcement Action" "%USERPROFILE%\AppData\Local\Temp\OnboardLogs"\RTDC4042\*4042*201701070*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"%USERPROFILE%\AppData\Local\Temp\OnboardLogs"\RTDC4042\*4042*201701070* &gt;&gt; 42741-slicedisagreementcheck.txt</v>
      </c>
      <c r="AE31" s="183" t="str">
        <f t="shared" si="8"/>
        <v>start /low /b %USERPROFILE%\Documents\GitHub\eaglep3\Utilities\DownloadLogsFromS3.py --loco 4042 --day 2017-01-07</v>
      </c>
      <c r="AF31" s="1"/>
    </row>
    <row r="32" spans="1:32" x14ac:dyDescent="0.25">
      <c r="A32" s="33">
        <v>42741.945034722223</v>
      </c>
      <c r="B32" s="31" t="s">
        <v>252</v>
      </c>
      <c r="C32" s="31" t="s">
        <v>471</v>
      </c>
      <c r="D32" s="31" t="s">
        <v>98</v>
      </c>
      <c r="E32" s="31" t="s">
        <v>196</v>
      </c>
      <c r="F32" s="44">
        <v>0</v>
      </c>
      <c r="G32" s="44">
        <v>54</v>
      </c>
      <c r="H32" s="44">
        <v>58401</v>
      </c>
      <c r="I32" s="44">
        <v>58348</v>
      </c>
      <c r="J32" s="31" t="s">
        <v>197</v>
      </c>
      <c r="K32" s="44">
        <v>58472</v>
      </c>
      <c r="L32" s="150" t="s">
        <v>51</v>
      </c>
      <c r="M32" s="151">
        <f t="shared" si="0"/>
        <v>-65.471999999999994</v>
      </c>
      <c r="N32" s="152" t="str">
        <f>VLOOKUP(C32,'Trips&amp;Operators'!$C$1:$G$99999,5,FALSE)</f>
        <v>SMITH MICHAEL</v>
      </c>
      <c r="O32" s="179" t="s">
        <v>195</v>
      </c>
      <c r="P32" s="153"/>
      <c r="Q32" s="31"/>
      <c r="R32" s="96" t="str">
        <f>VLOOKUP(C32,'Train Runs'!$A$13:$AE$9962,31,0)</f>
        <v>aws s3 cp s3://rtdc.mdm.uploadarchive.raw/RTDC4013/ "%USERPROFILE%\AppData\Local\Temp\OnboardLogs"\RTDC4013\2017-01-06 --exclude "*" --recursive --include "*20170106*" &amp; "%USERPROFILE%\Documents\GitHub\mrs-test-scripts\Headless Mode &amp; Sideloading\WalkAndUnGZ.bat" "%USERPROFILE%\AppData\Local\Temp\OnboardLogs"\RTDC4013\2017-01-06 &amp; 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</v>
      </c>
      <c r="S32" s="99" t="str">
        <f>VLOOKUP(C32,'Train Runs'!$A$13:$AE$9962,22,0)</f>
        <v>https://search-rtdc-monitor-bjffxe2xuh6vdkpspy63sjmuny.us-east-1.es.amazonaws.com/_plugin/kibana/#/discover/Steve-Slow-Train-Analysis-(2080s-and-2083s)?_g=(refreshInterval:(display:Off,section:0,value:0),time:(from:'2017-01-06 21:43:12-700',mode:absolute,to:'2017-01-06 23:44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2" s="101" t="str">
        <f t="shared" si="1"/>
        <v>"C:\Program Files (x86)\AstroGrep\AstroGrep.exe" /spath="%USERPROFILE%\AppData\Local\Temp\OnboardLogs" /stypes="*4013*201701070*" /stext=" 05:.+((SYSTEM_STATE.+slice.+state.+changed )|(ment ac)|(multiple cpu faults)|(system.+state.+changed )|(\[timeout)|(PRM\|1\|D)|(kpr)|(kdp)|(\|lc)|(penalty))" /e /r /s</v>
      </c>
      <c r="U32" s="9" t="str">
        <f t="shared" si="2"/>
        <v>4013</v>
      </c>
      <c r="V32" s="33">
        <f t="shared" si="3"/>
        <v>42742.236701388887</v>
      </c>
      <c r="W32" s="47" t="str">
        <f t="shared" si="4"/>
        <v>Other</v>
      </c>
      <c r="X32" s="47" t="str">
        <f t="shared" si="5"/>
        <v>KEEP</v>
      </c>
      <c r="Y32" s="115" t="str">
        <f t="shared" si="6"/>
        <v>echo {"issue":{"subject":"","project_id":79,"tracker_id":40,"status_id":1,"priority_id":2,"assigned_to_id":23,"start_date":"2017-01-06","description":"","custom_fields":[{"id":1,"name":"Subdivision","value":"Other"},{"id":4,"name":"Milepost","value":"5.8472"},{"id":17,"name":"Train ID","value":"908-06"},{"id":16,"name":"Locomotive ID","value":"4013"},{"id":130,"name":"Impact","value":""},{"id":150,"name":"Time of Event (Mountain Time)","value":"22:40:51"},{"id":151,"name":"Denver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 t="shared" si="7"/>
        <v>grep -hSE -A400 "Enforcement Action" "%USERPROFILE%\AppData\Local\Temp\OnboardLogs"\RTDC4013\*4013*201701070*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"%USERPROFILE%\AppData\Local\Temp\OnboardLogs"\RTDC4013\*4013*201701070* &gt;&gt; 42741-slicedisagreementcheck.txt</v>
      </c>
      <c r="AE32" s="183" t="str">
        <f t="shared" si="8"/>
        <v>start /low /b %USERPROFILE%\Documents\GitHub\eaglep3\Utilities\DownloadLogsFromS3.py --loco 4013 --day 2017-01-07</v>
      </c>
      <c r="AF32" s="1"/>
    </row>
    <row r="33" spans="1:32" x14ac:dyDescent="0.25">
      <c r="A33" s="33">
        <v>42741.94771990741</v>
      </c>
      <c r="B33" s="31" t="s">
        <v>252</v>
      </c>
      <c r="C33" s="31" t="s">
        <v>471</v>
      </c>
      <c r="D33" s="31" t="s">
        <v>98</v>
      </c>
      <c r="E33" s="31" t="s">
        <v>472</v>
      </c>
      <c r="F33" s="44">
        <v>0</v>
      </c>
      <c r="G33" s="44">
        <v>72</v>
      </c>
      <c r="H33" s="44">
        <v>58152</v>
      </c>
      <c r="I33" s="44">
        <v>58090</v>
      </c>
      <c r="J33" s="31" t="s">
        <v>376</v>
      </c>
      <c r="K33" s="44">
        <v>58472</v>
      </c>
      <c r="L33" s="150" t="s">
        <v>51</v>
      </c>
      <c r="M33" s="151">
        <f t="shared" si="0"/>
        <v>-201.696</v>
      </c>
      <c r="N33" s="152" t="str">
        <f>VLOOKUP(C33,'Trips&amp;Operators'!$C$1:$G$99999,5,FALSE)</f>
        <v>SMITH MICHAEL</v>
      </c>
      <c r="O33" s="179" t="s">
        <v>195</v>
      </c>
      <c r="P33" s="153"/>
      <c r="Q33" s="31"/>
      <c r="R33" s="96" t="str">
        <f>VLOOKUP(C33,'Train Runs'!$A$13:$AE$9962,31,0)</f>
        <v>aws s3 cp s3://rtdc.mdm.uploadarchive.raw/RTDC4013/ "%USERPROFILE%\AppData\Local\Temp\OnboardLogs"\RTDC4013\2017-01-06 --exclude "*" --recursive --include "*20170106*" &amp; "%USERPROFILE%\Documents\GitHub\mrs-test-scripts\Headless Mode &amp; Sideloading\WalkAndUnGZ.bat" "%USERPROFILE%\AppData\Local\Temp\OnboardLogs"\RTDC4013\2017-01-06 &amp; 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</v>
      </c>
      <c r="S33" s="99" t="str">
        <f>VLOOKUP(C33,'Train Runs'!$A$13:$AE$9962,22,0)</f>
        <v>https://search-rtdc-monitor-bjffxe2xuh6vdkpspy63sjmuny.us-east-1.es.amazonaws.com/_plugin/kibana/#/discover/Steve-Slow-Train-Analysis-(2080s-and-2083s)?_g=(refreshInterval:(display:Off,section:0,value:0),time:(from:'2017-01-06 21:43:12-700',mode:absolute,to:'2017-01-06 23:44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3" s="101" t="str">
        <f t="shared" si="1"/>
        <v>"C:\Program Files (x86)\AstroGrep\AstroGrep.exe" /spath="%USERPROFILE%\AppData\Local\Temp\OnboardLogs" /stypes="*4013*201701070*" /stext=" 05:.+((SYSTEM_STATE.+slice.+state.+changed )|(ment ac)|(multiple cpu faults)|(system.+state.+changed )|(\[timeout)|(PRM\|1\|D)|(kpr)|(kdp)|(\|lc)|(penalty))" /e /r /s</v>
      </c>
      <c r="U33" s="9" t="str">
        <f t="shared" si="2"/>
        <v>4013</v>
      </c>
      <c r="V33" s="33">
        <f t="shared" si="3"/>
        <v>42742.239386574074</v>
      </c>
      <c r="W33" s="47" t="str">
        <f t="shared" si="4"/>
        <v>Other</v>
      </c>
      <c r="X33" s="47" t="str">
        <f t="shared" si="5"/>
        <v>KEEP</v>
      </c>
      <c r="Y33" s="115" t="str">
        <f t="shared" si="6"/>
        <v>echo {"issue":{"subject":"","project_id":79,"tracker_id":40,"status_id":1,"priority_id":2,"assigned_to_id":23,"start_date":"2017-01-06","description":"","custom_fields":[{"id":1,"name":"Subdivision","value":"Other"},{"id":4,"name":"Milepost","value":"5.8472"},{"id":17,"name":"Train ID","value":"908-06"},{"id":16,"name":"Locomotive ID","value":"4013"},{"id":130,"name":"Impact","value":""},{"id":150,"name":"Time of Event (Mountain Time)","value":"22:44:43"},{"id":151,"name":"Denver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0"/>
      <c r="AA33" s="50"/>
      <c r="AB33" s="50"/>
      <c r="AC33" s="134" t="str">
        <f t="shared" si="7"/>
        <v>grep -hSE -A400 "Enforcement Action" "%USERPROFILE%\AppData\Local\Temp\OnboardLogs"\RTDC4013\*4013*201701070*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"%USERPROFILE%\AppData\Local\Temp\OnboardLogs"\RTDC4013\*4013*201701070* &gt;&gt; 42741-slicedisagreementcheck.txt</v>
      </c>
      <c r="AE33" s="183" t="str">
        <f t="shared" si="8"/>
        <v>start /low /b %USERPROFILE%\Documents\GitHub\eaglep3\Utilities\DownloadLogsFromS3.py --loco 4013 --day 2017-01-07</v>
      </c>
      <c r="AF33" s="1"/>
    </row>
    <row r="34" spans="1:32" x14ac:dyDescent="0.25">
      <c r="A34" s="33">
        <v>42741.211527777778</v>
      </c>
      <c r="B34" s="31" t="s">
        <v>227</v>
      </c>
      <c r="C34" s="31" t="s">
        <v>446</v>
      </c>
      <c r="D34" s="31" t="s">
        <v>49</v>
      </c>
      <c r="E34" s="31" t="s">
        <v>198</v>
      </c>
      <c r="F34" s="44">
        <v>0</v>
      </c>
      <c r="G34" s="44">
        <v>25</v>
      </c>
      <c r="H34" s="44">
        <v>58984</v>
      </c>
      <c r="I34" s="44">
        <v>59014</v>
      </c>
      <c r="J34" s="31" t="s">
        <v>199</v>
      </c>
      <c r="K34" s="44">
        <v>59048</v>
      </c>
      <c r="L34" s="150" t="s">
        <v>50</v>
      </c>
      <c r="M34" s="151">
        <f t="shared" si="0"/>
        <v>17.952000000000002</v>
      </c>
      <c r="N34" s="152" t="str">
        <f>VLOOKUP(C34,'Trips&amp;Operators'!$C$1:$G$99999,5,FALSE)</f>
        <v>COMELLA JUSTIN</v>
      </c>
      <c r="O34" s="179" t="s">
        <v>195</v>
      </c>
      <c r="P34" s="153"/>
      <c r="Q34" s="31"/>
      <c r="R34" s="96" t="str">
        <f>VLOOKUP(C34,'Train Runs'!$A$13:$AE$9962,31,0)</f>
        <v>aws s3 cp s3://rtdc.mdm.uploadarchive.raw/RTDC4042/ "%USERPROFILE%\AppData\Local\Temp\OnboardLogs"\RTDC4042\2017-01-06 --exclude "*" --recursive --include "*20170106*" &amp; "%USERPROFILE%\Documents\GitHub\mrs-test-scripts\Headless Mode &amp; Sideloading\WalkAndUnGZ.bat" "%USERPROFILE%\AppData\Local\Temp\OnboardLogs"\RTDC4042\2017-01-06 &amp; 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</v>
      </c>
      <c r="S34" s="99" t="str">
        <f>VLOOKUP(C34,'Train Runs'!$A$13:$AE$9962,22,0)</f>
        <v>https://search-rtdc-monitor-bjffxe2xuh6vdkpspy63sjmuny.us-east-1.es.amazonaws.com/_plugin/kibana/#/discover/Steve-Slow-Train-Analysis-(2080s-and-2083s)?_g=(refreshInterval:(display:Off,section:0,value:0),time:(from:'2017-01-06 03:54:43-700',mode:absolute,to:'2017-01-06 06:04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4" s="101" t="str">
        <f t="shared" si="1"/>
        <v>"C:\Program Files (x86)\AstroGrep\AstroGrep.exe" /spath="%USERPROFILE%\AppData\Local\Temp\OnboardLogs" /stypes="*4042*201701061*" /stext=" 12:.+((SYSTEM_STATE.+slice.+state.+changed )|(ment ac)|(multiple cpu faults)|(system.+state.+changed )|(\[timeout)|(PRM\|1\|D)|(kpr)|(kdp)|(\|lc)|(penalty))" /e /r /s</v>
      </c>
      <c r="U34" s="9" t="str">
        <f t="shared" si="2"/>
        <v>4042</v>
      </c>
      <c r="V34" s="33">
        <f t="shared" si="3"/>
        <v>42741.503194444442</v>
      </c>
      <c r="W34" s="47" t="str">
        <f t="shared" si="4"/>
        <v>Other</v>
      </c>
      <c r="X34" s="47" t="str">
        <f t="shared" si="5"/>
        <v>KEEP</v>
      </c>
      <c r="Y34" s="115" t="str">
        <f t="shared" si="6"/>
        <v>echo {"issue":{"subject":"","project_id":79,"tracker_id":40,"status_id":1,"priority_id":2,"assigned_to_id":23,"start_date":"2017-01-06","description":"","custom_fields":[{"id":1,"name":"Subdivision","value":"Other"},{"id":4,"name":"Milepost","value":"5.9048"},{"id":17,"name":"Train ID","value":"901-06"},{"id":16,"name":"Locomotive ID","value":"4042"},{"id":130,"name":"Impact","value":""},{"id":150,"name":"Time of Event (Mountain Time)","value":"05:04:36"},{"id":151,"name":"Denver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0"/>
      <c r="AA34" s="50"/>
      <c r="AB34" s="50"/>
      <c r="AC34" s="134" t="str">
        <f t="shared" si="7"/>
        <v>grep -hSE -A400 "Enforcement Action" "%USERPROFILE%\AppData\Local\Temp\OnboardLogs"\RTDC4042\*4042*201701061*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"%USERPROFILE%\AppData\Local\Temp\OnboardLogs"\RTDC4042\*4042*201701061* &gt;&gt; 42741-slicedisagreementcheck.txt</v>
      </c>
      <c r="AE34" s="183" t="str">
        <f t="shared" si="8"/>
        <v>start /low /b %USERPROFILE%\Documents\GitHub\eaglep3\Utilities\DownloadLogsFromS3.py --loco 4042 --day 2017-01-06</v>
      </c>
      <c r="AF34" s="1"/>
    </row>
    <row r="35" spans="1:32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AC35"/>
      <c r="AE35"/>
    </row>
    <row r="36" spans="1:32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  <c r="AE36"/>
    </row>
    <row r="37" spans="1:32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  <c r="AE37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  <c r="AE71"/>
    </row>
  </sheetData>
  <autoFilter ref="A6:AC42">
    <sortState ref="A7:AC42">
      <sortCondition ref="V6:V42"/>
    </sortState>
  </autoFilter>
  <sortState ref="A7:AE34">
    <sortCondition ref="W7:W34"/>
    <sortCondition ref="E7:E34"/>
    <sortCondition ref="K7:K34"/>
    <sortCondition ref="C7:C34"/>
    <sortCondition ref="F7:F34"/>
  </sortState>
  <mergeCells count="1">
    <mergeCell ref="A5:O5"/>
  </mergeCells>
  <conditionalFormatting sqref="O6:P6 R6 O72:O1048576 O7:O34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4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AA7:AA34</xm:sqref>
        </x14:dataValidation>
        <x14:dataValidation type="list" allowBlank="1" showInputMessage="1" showErrorMessage="1">
          <x14:formula1>
            <xm:f>'Redmine List Values'!$C$2:$C$15</xm:f>
          </x14:formula1>
          <xm:sqref>AB7:AB34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"/>
  <sheetViews>
    <sheetView workbookViewId="0">
      <selection activeCell="J15" sqref="J15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4" bestFit="1" customWidth="1"/>
    <col min="4" max="4" width="9.85546875" style="15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90" t="str">
        <f>"Trips that did not appear in PTC Data "&amp;TEXT(Variables!$A$2,"YYYY-mm-dd")</f>
        <v>Trips that did not appear in PTC Data 2017-01-06</v>
      </c>
      <c r="C1" s="190"/>
      <c r="D1" s="190"/>
      <c r="E1" s="190"/>
      <c r="F1" s="190"/>
    </row>
    <row r="2" spans="1:11" s="24" customFormat="1" ht="45" x14ac:dyDescent="0.25">
      <c r="A2" s="174" t="s">
        <v>153</v>
      </c>
      <c r="B2" s="106" t="s">
        <v>58</v>
      </c>
      <c r="C2" s="103" t="s">
        <v>59</v>
      </c>
      <c r="D2" s="158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67">
        <v>113</v>
      </c>
      <c r="B3" s="44" t="str">
        <f>A3&amp;"-"&amp;IF(DAY(Variables!$A$2)&lt;10,0,"")&amp;DAY(Variables!$A$2)</f>
        <v>113-06</v>
      </c>
      <c r="C3" s="154"/>
      <c r="D3" s="159"/>
      <c r="E3" s="31" t="s">
        <v>844</v>
      </c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47" t="str">
        <f t="shared" ref="I3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22113-06%22)),sort:!(Time,asc))</v>
      </c>
      <c r="J3" s="31" t="e">
        <f>VLOOKUP(B3,'Train Runs'!$A$13:$A$99959,1,FALSE)</f>
        <v>#N/A</v>
      </c>
    </row>
    <row r="4" spans="1:11" s="21" customFormat="1" x14ac:dyDescent="0.25">
      <c r="A4" s="167">
        <v>114</v>
      </c>
      <c r="B4" s="44" t="str">
        <f>A4&amp;"-"&amp;IF(DAY(Variables!$A$2)&lt;10,0,"")&amp;DAY(Variables!$A$2)</f>
        <v>114-06</v>
      </c>
      <c r="C4" s="154"/>
      <c r="D4" s="159"/>
      <c r="E4" s="31" t="s">
        <v>844</v>
      </c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ref="I4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22114-06%22)),sort:!(Time,asc))</v>
      </c>
      <c r="J4" s="31" t="e">
        <f>VLOOKUP(B4,'Train Runs'!$A$13:$A$99959,1,FALSE)</f>
        <v>#N/A</v>
      </c>
    </row>
    <row r="5" spans="1:11" x14ac:dyDescent="0.25">
      <c r="A5" s="167">
        <v>197</v>
      </c>
      <c r="B5" s="44" t="str">
        <f>A5&amp;"-"&amp;IF(DAY(Variables!$A$2)&lt;10,0,"")&amp;DAY(Variables!$A$2)</f>
        <v>197-06</v>
      </c>
      <c r="C5" s="154"/>
      <c r="D5" s="159"/>
      <c r="E5" s="31" t="s">
        <v>846</v>
      </c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ref="I5:I10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22197-06%22)),sort:!(Time,asc))</v>
      </c>
      <c r="J5" s="31" t="e">
        <f>VLOOKUP(B5,'Train Runs'!$A$13:$A$99959,1,FALSE)</f>
        <v>#N/A</v>
      </c>
      <c r="K5" s="21"/>
    </row>
    <row r="6" spans="1:11" x14ac:dyDescent="0.25">
      <c r="A6" s="167">
        <v>198</v>
      </c>
      <c r="B6" s="44" t="str">
        <f>A6&amp;"-"&amp;IF(DAY(Variables!$A$2)&lt;10,0,"")&amp;DAY(Variables!$A$2)</f>
        <v>198-06</v>
      </c>
      <c r="C6" s="154"/>
      <c r="D6" s="159"/>
      <c r="E6" s="31" t="s">
        <v>846</v>
      </c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22198-06%22)),sort:!(Time,asc))</v>
      </c>
      <c r="J6" s="31" t="e">
        <f>VLOOKUP(B6,'Train Runs'!$A$13:$A$99959,1,FALSE)</f>
        <v>#N/A</v>
      </c>
      <c r="K6" s="21"/>
    </row>
    <row r="7" spans="1:11" x14ac:dyDescent="0.25">
      <c r="A7" s="167"/>
      <c r="B7" s="44" t="str">
        <f>A7&amp;"-"&amp;IF(DAY(Variables!$A$2)&lt;10,0,"")&amp;DAY(Variables!$A$2)</f>
        <v>-06</v>
      </c>
      <c r="C7" s="154"/>
      <c r="D7" s="159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7" s="31" t="e">
        <f>VLOOKUP(B7,'Train Runs'!$A$13:$A$99959,1,FALSE)</f>
        <v>#N/A</v>
      </c>
      <c r="K7" s="21"/>
    </row>
    <row r="8" spans="1:11" x14ac:dyDescent="0.25">
      <c r="A8" s="167"/>
      <c r="B8" s="44" t="str">
        <f>A8&amp;"-"&amp;IF(DAY(Variables!$A$2)&lt;10,0,"")&amp;DAY(Variables!$A$2)</f>
        <v>-06</v>
      </c>
      <c r="C8" s="154"/>
      <c r="D8" s="159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8" s="31" t="e">
        <f>VLOOKUP(B8,'Train Runs'!$A$13:$A$99959,1,FALSE)</f>
        <v>#N/A</v>
      </c>
      <c r="K8" s="21"/>
    </row>
    <row r="9" spans="1:11" x14ac:dyDescent="0.25">
      <c r="A9" s="167"/>
      <c r="B9" s="44" t="str">
        <f>A9&amp;"-"&amp;IF(DAY(Variables!$A$2)&lt;10,0,"")&amp;DAY(Variables!$A$2)</f>
        <v>-06</v>
      </c>
      <c r="C9" s="154"/>
      <c r="D9" s="159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9" s="31" t="e">
        <f>VLOOKUP(B9,'Train Runs'!$A$13:$A$99959,1,FALSE)</f>
        <v>#N/A</v>
      </c>
      <c r="K9" s="21"/>
    </row>
    <row r="10" spans="1:11" x14ac:dyDescent="0.25">
      <c r="A10" s="167"/>
      <c r="B10" s="44" t="str">
        <f>A10&amp;"-"&amp;IF(DAY(Variables!$A$2)&lt;10,0,"")&amp;DAY(Variables!$A$2)</f>
        <v>-06</v>
      </c>
      <c r="C10" s="154"/>
      <c r="D10" s="159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10" s="31" t="e">
        <f>VLOOKUP(B10,'Train Runs'!$A$13:$A$99959,1,FALSE)</f>
        <v>#N/A</v>
      </c>
      <c r="K10" s="21"/>
    </row>
  </sheetData>
  <autoFilter ref="B2:I2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77" workbookViewId="0">
      <selection sqref="A1:F23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0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0" t="s">
        <v>179</v>
      </c>
      <c r="E1" s="21" t="s">
        <v>180</v>
      </c>
      <c r="F1" s="21" t="s">
        <v>241</v>
      </c>
      <c r="G1" s="8" t="s">
        <v>240</v>
      </c>
    </row>
    <row r="2" spans="1:7" x14ac:dyDescent="0.25">
      <c r="A2" s="8">
        <v>42741.033402777779</v>
      </c>
      <c r="B2" s="21" t="s">
        <v>245</v>
      </c>
      <c r="C2" s="21" t="s">
        <v>398</v>
      </c>
      <c r="D2" s="160">
        <v>2270000</v>
      </c>
      <c r="E2" s="21" t="s">
        <v>283</v>
      </c>
      <c r="F2" s="21" t="s">
        <v>284</v>
      </c>
      <c r="G2" s="8" t="str">
        <f>E2&amp;" "&amp;F2</f>
        <v>BROWN JACOB</v>
      </c>
    </row>
    <row r="3" spans="1:7" x14ac:dyDescent="0.25">
      <c r="A3" s="8">
        <v>42741.046944444446</v>
      </c>
      <c r="B3" s="21" t="s">
        <v>202</v>
      </c>
      <c r="C3" s="21" t="s">
        <v>399</v>
      </c>
      <c r="D3" s="160">
        <v>1810000</v>
      </c>
      <c r="E3" s="21" t="s">
        <v>258</v>
      </c>
      <c r="F3" s="21" t="s">
        <v>239</v>
      </c>
      <c r="G3" s="8" t="str">
        <f t="shared" ref="G3:G66" si="0">E3&amp;" "&amp;F3</f>
        <v>NEWELL JAMES</v>
      </c>
    </row>
    <row r="4" spans="1:7" x14ac:dyDescent="0.25">
      <c r="A4" s="8">
        <v>42741.048819444448</v>
      </c>
      <c r="B4" s="21" t="s">
        <v>308</v>
      </c>
      <c r="C4" s="21" t="s">
        <v>400</v>
      </c>
      <c r="D4" s="160">
        <v>2220000</v>
      </c>
      <c r="E4" s="21" t="s">
        <v>281</v>
      </c>
      <c r="F4" s="21" t="s">
        <v>282</v>
      </c>
      <c r="G4" s="8" t="str">
        <f t="shared" si="0"/>
        <v>HILLS DUSTIN</v>
      </c>
    </row>
    <row r="5" spans="1:7" x14ac:dyDescent="0.25">
      <c r="A5" s="8">
        <v>42741.071840277778</v>
      </c>
      <c r="B5" s="21" t="s">
        <v>225</v>
      </c>
      <c r="C5" s="21" t="s">
        <v>401</v>
      </c>
      <c r="D5" s="160">
        <v>2270000</v>
      </c>
      <c r="E5" s="21" t="s">
        <v>283</v>
      </c>
      <c r="F5" s="21" t="s">
        <v>284</v>
      </c>
      <c r="G5" s="8" t="str">
        <f t="shared" si="0"/>
        <v>BROWN JACOB</v>
      </c>
    </row>
    <row r="6" spans="1:7" x14ac:dyDescent="0.25">
      <c r="A6" s="8">
        <v>42741.087812500002</v>
      </c>
      <c r="B6" s="21" t="s">
        <v>299</v>
      </c>
      <c r="C6" s="21" t="s">
        <v>402</v>
      </c>
      <c r="D6" s="160">
        <v>2560000</v>
      </c>
      <c r="E6" s="21" t="s">
        <v>396</v>
      </c>
      <c r="F6" s="21" t="s">
        <v>397</v>
      </c>
      <c r="G6" s="8" t="str">
        <f t="shared" si="0"/>
        <v>MACDONALD THOMAS</v>
      </c>
    </row>
    <row r="7" spans="1:7" x14ac:dyDescent="0.25">
      <c r="A7" s="8">
        <v>42741.089606481481</v>
      </c>
      <c r="B7" s="21" t="s">
        <v>212</v>
      </c>
      <c r="C7" s="21" t="s">
        <v>403</v>
      </c>
      <c r="D7" s="160">
        <v>2220000</v>
      </c>
      <c r="E7" s="21" t="s">
        <v>281</v>
      </c>
      <c r="F7" s="21" t="s">
        <v>282</v>
      </c>
      <c r="G7" s="8" t="str">
        <f t="shared" si="0"/>
        <v>HILLS DUSTIN</v>
      </c>
    </row>
    <row r="8" spans="1:7" x14ac:dyDescent="0.25">
      <c r="A8" s="8">
        <v>42741.092245370368</v>
      </c>
      <c r="B8" s="21" t="s">
        <v>212</v>
      </c>
      <c r="C8" s="21" t="s">
        <v>403</v>
      </c>
      <c r="D8" s="160">
        <v>2220000</v>
      </c>
      <c r="E8" s="21" t="s">
        <v>281</v>
      </c>
      <c r="F8" s="21" t="s">
        <v>282</v>
      </c>
      <c r="G8" s="8" t="str">
        <f t="shared" si="0"/>
        <v>HILLS DUSTIN</v>
      </c>
    </row>
    <row r="9" spans="1:7" ht="15.75" thickBot="1" x14ac:dyDescent="0.3">
      <c r="A9" s="25">
        <v>42741.114942129629</v>
      </c>
      <c r="B9" s="21" t="s">
        <v>329</v>
      </c>
      <c r="C9" s="21" t="s">
        <v>475</v>
      </c>
      <c r="D9" s="160">
        <v>2100000</v>
      </c>
      <c r="E9" s="21" t="s">
        <v>350</v>
      </c>
      <c r="F9" s="21" t="s">
        <v>351</v>
      </c>
      <c r="G9" s="8" t="str">
        <f t="shared" si="0"/>
        <v>ISHMAEL JOSEPH</v>
      </c>
    </row>
    <row r="10" spans="1:7" x14ac:dyDescent="0.25">
      <c r="A10" s="8">
        <v>42741.125439814816</v>
      </c>
      <c r="B10" s="21" t="s">
        <v>236</v>
      </c>
      <c r="C10" s="21" t="s">
        <v>476</v>
      </c>
      <c r="D10" s="160">
        <v>2100000</v>
      </c>
      <c r="E10" s="21" t="s">
        <v>350</v>
      </c>
      <c r="F10" s="21" t="s">
        <v>351</v>
      </c>
      <c r="G10" s="8" t="str">
        <f t="shared" si="0"/>
        <v>ISHMAEL JOSEPH</v>
      </c>
    </row>
    <row r="11" spans="1:7" x14ac:dyDescent="0.25">
      <c r="A11" s="8">
        <v>42741.141388888886</v>
      </c>
      <c r="B11" s="21" t="s">
        <v>381</v>
      </c>
      <c r="C11" s="21" t="s">
        <v>477</v>
      </c>
      <c r="D11" s="160">
        <v>1260000</v>
      </c>
      <c r="E11" s="21" t="s">
        <v>478</v>
      </c>
      <c r="F11" s="21" t="s">
        <v>479</v>
      </c>
      <c r="G11" s="8" t="str">
        <f t="shared" si="0"/>
        <v>ACKERMAN JARED</v>
      </c>
    </row>
    <row r="12" spans="1:7" x14ac:dyDescent="0.25">
      <c r="A12" s="8">
        <v>42741.152430555558</v>
      </c>
      <c r="B12" s="21" t="s">
        <v>254</v>
      </c>
      <c r="C12" s="21" t="s">
        <v>480</v>
      </c>
      <c r="D12" s="160">
        <v>1260000</v>
      </c>
      <c r="E12" s="21" t="s">
        <v>478</v>
      </c>
      <c r="F12" s="21" t="s">
        <v>479</v>
      </c>
      <c r="G12" s="8" t="str">
        <f t="shared" si="0"/>
        <v>ACKERMAN JARED</v>
      </c>
    </row>
    <row r="13" spans="1:7" x14ac:dyDescent="0.25">
      <c r="A13" s="8">
        <v>42741.158402777779</v>
      </c>
      <c r="B13" s="21" t="s">
        <v>316</v>
      </c>
      <c r="C13" s="21" t="s">
        <v>481</v>
      </c>
      <c r="D13" s="160">
        <v>2140000</v>
      </c>
      <c r="E13" s="21" t="s">
        <v>378</v>
      </c>
      <c r="F13" s="21" t="s">
        <v>379</v>
      </c>
      <c r="G13" s="8" t="str">
        <f t="shared" si="0"/>
        <v>ROBINSON KADDIBA</v>
      </c>
    </row>
    <row r="14" spans="1:7" x14ac:dyDescent="0.25">
      <c r="A14" s="8">
        <v>42741.165127314816</v>
      </c>
      <c r="B14" s="21" t="s">
        <v>329</v>
      </c>
      <c r="C14" s="21" t="s">
        <v>482</v>
      </c>
      <c r="D14" s="160">
        <v>2100000</v>
      </c>
      <c r="E14" s="21" t="s">
        <v>350</v>
      </c>
      <c r="F14" s="21" t="s">
        <v>351</v>
      </c>
      <c r="G14" s="8" t="str">
        <f t="shared" si="0"/>
        <v>ISHMAEL JOSEPH</v>
      </c>
    </row>
    <row r="15" spans="1:7" x14ac:dyDescent="0.25">
      <c r="A15" s="8">
        <v>42741.16951388889</v>
      </c>
      <c r="B15" s="21" t="s">
        <v>294</v>
      </c>
      <c r="C15" s="21" t="s">
        <v>483</v>
      </c>
      <c r="D15" s="160">
        <v>2140000</v>
      </c>
      <c r="E15" s="21" t="s">
        <v>378</v>
      </c>
      <c r="F15" s="21" t="s">
        <v>379</v>
      </c>
      <c r="G15" s="8" t="str">
        <f t="shared" si="0"/>
        <v>ROBINSON KADDIBA</v>
      </c>
    </row>
    <row r="16" spans="1:7" x14ac:dyDescent="0.25">
      <c r="A16" s="8">
        <v>42741.170439814814</v>
      </c>
      <c r="B16" s="21" t="s">
        <v>262</v>
      </c>
      <c r="C16" s="21" t="s">
        <v>484</v>
      </c>
      <c r="D16" s="160">
        <v>1110000</v>
      </c>
      <c r="E16" s="21" t="s">
        <v>485</v>
      </c>
      <c r="F16" s="21" t="s">
        <v>486</v>
      </c>
      <c r="G16" s="8" t="str">
        <f t="shared" si="0"/>
        <v>STARKS ANGELINA</v>
      </c>
    </row>
    <row r="17" spans="1:7" x14ac:dyDescent="0.25">
      <c r="A17" s="8">
        <v>42741.183287037034</v>
      </c>
      <c r="B17" s="21" t="s">
        <v>349</v>
      </c>
      <c r="C17" s="21" t="s">
        <v>487</v>
      </c>
      <c r="D17" s="160">
        <v>2710000</v>
      </c>
      <c r="E17" s="21" t="s">
        <v>382</v>
      </c>
      <c r="F17" s="21" t="s">
        <v>383</v>
      </c>
      <c r="G17" s="8" t="str">
        <f t="shared" si="0"/>
        <v>SIMMONS SHYHESHA</v>
      </c>
    </row>
    <row r="18" spans="1:7" x14ac:dyDescent="0.25">
      <c r="A18" s="8">
        <v>42741.184479166666</v>
      </c>
      <c r="B18" s="21" t="s">
        <v>261</v>
      </c>
      <c r="C18" s="21" t="s">
        <v>488</v>
      </c>
      <c r="D18" s="160">
        <v>1110000</v>
      </c>
      <c r="E18" s="21" t="s">
        <v>485</v>
      </c>
      <c r="F18" s="21" t="s">
        <v>486</v>
      </c>
      <c r="G18" s="8" t="str">
        <f t="shared" si="0"/>
        <v>STARKS ANGELINA</v>
      </c>
    </row>
    <row r="19" spans="1:7" x14ac:dyDescent="0.25">
      <c r="A19" s="8">
        <v>42741.185601851852</v>
      </c>
      <c r="B19" s="21" t="s">
        <v>349</v>
      </c>
      <c r="C19" s="21" t="s">
        <v>487</v>
      </c>
      <c r="D19" s="160">
        <v>2710000</v>
      </c>
      <c r="E19" s="21" t="s">
        <v>382</v>
      </c>
      <c r="F19" s="21" t="s">
        <v>383</v>
      </c>
      <c r="G19" s="8" t="str">
        <f t="shared" si="0"/>
        <v>SIMMONS SHYHESHA</v>
      </c>
    </row>
    <row r="20" spans="1:7" x14ac:dyDescent="0.25">
      <c r="A20" s="8">
        <v>42741.186944444446</v>
      </c>
      <c r="B20" s="21" t="s">
        <v>349</v>
      </c>
      <c r="C20" s="21" t="s">
        <v>487</v>
      </c>
      <c r="D20" s="160">
        <v>2710000</v>
      </c>
      <c r="E20" s="21" t="s">
        <v>382</v>
      </c>
      <c r="F20" s="21" t="s">
        <v>383</v>
      </c>
      <c r="G20" s="8" t="str">
        <f t="shared" si="0"/>
        <v>SIMMONS SHYHESHA</v>
      </c>
    </row>
    <row r="21" spans="1:7" x14ac:dyDescent="0.25">
      <c r="A21" s="8">
        <v>42741.190347222226</v>
      </c>
      <c r="B21" s="21" t="s">
        <v>381</v>
      </c>
      <c r="C21" s="21" t="s">
        <v>489</v>
      </c>
      <c r="D21" s="160">
        <v>1260000</v>
      </c>
      <c r="E21" s="21" t="s">
        <v>478</v>
      </c>
      <c r="F21" s="21" t="s">
        <v>479</v>
      </c>
      <c r="G21" s="8" t="str">
        <f t="shared" si="0"/>
        <v>ACKERMAN JARED</v>
      </c>
    </row>
    <row r="22" spans="1:7" x14ac:dyDescent="0.25">
      <c r="A22" s="27">
        <v>42741.196180555555</v>
      </c>
      <c r="B22" s="21" t="s">
        <v>210</v>
      </c>
      <c r="C22" s="21" t="s">
        <v>490</v>
      </c>
      <c r="D22" s="160">
        <v>2710000</v>
      </c>
      <c r="E22" s="21" t="s">
        <v>382</v>
      </c>
      <c r="F22" s="21" t="s">
        <v>383</v>
      </c>
      <c r="G22" s="8" t="str">
        <f t="shared" si="0"/>
        <v>SIMMONS SHYHESHA</v>
      </c>
    </row>
    <row r="23" spans="1:7" x14ac:dyDescent="0.25">
      <c r="A23" s="8">
        <v>42741.198020833333</v>
      </c>
      <c r="B23" s="21" t="s">
        <v>210</v>
      </c>
      <c r="C23" s="21" t="s">
        <v>490</v>
      </c>
      <c r="D23" s="160">
        <v>2710000</v>
      </c>
      <c r="E23" s="21" t="s">
        <v>382</v>
      </c>
      <c r="F23" s="21" t="s">
        <v>383</v>
      </c>
      <c r="G23" s="8" t="str">
        <f t="shared" si="0"/>
        <v>SIMMONS SHYHESHA</v>
      </c>
    </row>
    <row r="24" spans="1:7" x14ac:dyDescent="0.25">
      <c r="A24" s="8">
        <v>42741.199328703704</v>
      </c>
      <c r="B24" s="21" t="s">
        <v>227</v>
      </c>
      <c r="C24" s="21" t="s">
        <v>446</v>
      </c>
      <c r="D24" s="160">
        <v>2670000</v>
      </c>
      <c r="E24" s="21" t="s">
        <v>317</v>
      </c>
      <c r="F24" s="21" t="s">
        <v>318</v>
      </c>
      <c r="G24" s="8" t="str">
        <f t="shared" si="0"/>
        <v>COMELLA JUSTIN</v>
      </c>
    </row>
    <row r="25" spans="1:7" x14ac:dyDescent="0.25">
      <c r="A25" s="8">
        <v>42741.203148148146</v>
      </c>
      <c r="B25" s="21" t="s">
        <v>227</v>
      </c>
      <c r="C25" s="21" t="s">
        <v>446</v>
      </c>
      <c r="D25" s="160">
        <v>2670000</v>
      </c>
      <c r="E25" s="21" t="s">
        <v>317</v>
      </c>
      <c r="F25" s="21" t="s">
        <v>318</v>
      </c>
      <c r="G25" s="8" t="str">
        <f t="shared" si="0"/>
        <v>COMELLA JUSTIN</v>
      </c>
    </row>
    <row r="26" spans="1:7" x14ac:dyDescent="0.25">
      <c r="A26" s="8">
        <v>42741.203796296293</v>
      </c>
      <c r="B26" s="21" t="s">
        <v>227</v>
      </c>
      <c r="C26" s="21" t="s">
        <v>446</v>
      </c>
      <c r="D26" s="160">
        <v>2670000</v>
      </c>
      <c r="E26" s="21" t="s">
        <v>317</v>
      </c>
      <c r="F26" s="21" t="s">
        <v>318</v>
      </c>
      <c r="G26" s="8" t="str">
        <f t="shared" si="0"/>
        <v>COMELLA JUSTIN</v>
      </c>
    </row>
    <row r="27" spans="1:7" x14ac:dyDescent="0.25">
      <c r="A27" s="8">
        <v>42741.205011574071</v>
      </c>
      <c r="B27" s="21" t="s">
        <v>227</v>
      </c>
      <c r="C27" s="21" t="s">
        <v>446</v>
      </c>
      <c r="D27" s="160">
        <v>2670000</v>
      </c>
      <c r="E27" s="21" t="s">
        <v>317</v>
      </c>
      <c r="F27" s="21" t="s">
        <v>318</v>
      </c>
      <c r="G27" s="8" t="str">
        <f t="shared" si="0"/>
        <v>COMELLA JUSTIN</v>
      </c>
    </row>
    <row r="28" spans="1:7" x14ac:dyDescent="0.25">
      <c r="A28" s="8">
        <v>42741.212048611109</v>
      </c>
      <c r="B28" s="21" t="s">
        <v>316</v>
      </c>
      <c r="C28" s="21" t="s">
        <v>447</v>
      </c>
      <c r="D28" s="160">
        <v>2140000</v>
      </c>
      <c r="E28" s="21" t="s">
        <v>378</v>
      </c>
      <c r="F28" s="21" t="s">
        <v>379</v>
      </c>
      <c r="G28" s="8" t="str">
        <f t="shared" si="0"/>
        <v>ROBINSON KADDIBA</v>
      </c>
    </row>
    <row r="29" spans="1:7" x14ac:dyDescent="0.25">
      <c r="A29" s="8">
        <v>42741.213587962964</v>
      </c>
      <c r="B29" s="21" t="s">
        <v>296</v>
      </c>
      <c r="C29" s="21" t="s">
        <v>491</v>
      </c>
      <c r="D29" s="160">
        <v>2670000</v>
      </c>
      <c r="E29" s="21" t="s">
        <v>317</v>
      </c>
      <c r="F29" s="21" t="s">
        <v>318</v>
      </c>
      <c r="G29" s="8" t="str">
        <f t="shared" si="0"/>
        <v>COMELLA JUSTIN</v>
      </c>
    </row>
    <row r="30" spans="1:7" x14ac:dyDescent="0.25">
      <c r="A30" s="8">
        <v>42741.215138888889</v>
      </c>
      <c r="B30" s="21" t="s">
        <v>300</v>
      </c>
      <c r="C30" s="21" t="s">
        <v>492</v>
      </c>
      <c r="D30" s="160">
        <v>1230000</v>
      </c>
      <c r="E30" s="21" t="s">
        <v>384</v>
      </c>
      <c r="F30" s="21" t="s">
        <v>385</v>
      </c>
      <c r="G30" s="8" t="str">
        <f t="shared" si="0"/>
        <v>YANAI IAN</v>
      </c>
    </row>
    <row r="31" spans="1:7" x14ac:dyDescent="0.25">
      <c r="A31" s="8">
        <v>42741.223946759259</v>
      </c>
      <c r="B31" s="21" t="s">
        <v>262</v>
      </c>
      <c r="C31" s="21" t="s">
        <v>493</v>
      </c>
      <c r="D31" s="160">
        <v>1110000</v>
      </c>
      <c r="E31" s="21" t="s">
        <v>485</v>
      </c>
      <c r="F31" s="21" t="s">
        <v>486</v>
      </c>
      <c r="G31" s="8" t="str">
        <f t="shared" si="0"/>
        <v>STARKS ANGELINA</v>
      </c>
    </row>
    <row r="32" spans="1:7" x14ac:dyDescent="0.25">
      <c r="A32" s="8">
        <v>42741.2265625</v>
      </c>
      <c r="B32" s="21" t="s">
        <v>254</v>
      </c>
      <c r="C32" s="21" t="s">
        <v>494</v>
      </c>
      <c r="D32" s="160">
        <v>2730000</v>
      </c>
      <c r="E32" s="21" t="s">
        <v>352</v>
      </c>
      <c r="F32" s="21" t="s">
        <v>353</v>
      </c>
      <c r="G32" s="8" t="str">
        <f t="shared" si="0"/>
        <v>YANG JAN</v>
      </c>
    </row>
    <row r="33" spans="1:7" x14ac:dyDescent="0.25">
      <c r="A33" s="8">
        <v>42741.231979166667</v>
      </c>
      <c r="B33" s="21" t="s">
        <v>391</v>
      </c>
      <c r="C33" s="21" t="s">
        <v>495</v>
      </c>
      <c r="D33" s="160">
        <v>1260000</v>
      </c>
      <c r="E33" s="21" t="s">
        <v>478</v>
      </c>
      <c r="F33" s="21" t="s">
        <v>479</v>
      </c>
      <c r="G33" s="8" t="str">
        <f t="shared" si="0"/>
        <v>ACKERMAN JARED</v>
      </c>
    </row>
    <row r="34" spans="1:7" x14ac:dyDescent="0.25">
      <c r="A34" s="8">
        <v>42741.234490740739</v>
      </c>
      <c r="B34" s="21" t="s">
        <v>349</v>
      </c>
      <c r="C34" s="21" t="s">
        <v>448</v>
      </c>
      <c r="D34" s="160">
        <v>2710000</v>
      </c>
      <c r="E34" s="21" t="s">
        <v>382</v>
      </c>
      <c r="F34" s="21" t="s">
        <v>383</v>
      </c>
      <c r="G34" s="8" t="str">
        <f t="shared" si="0"/>
        <v>SIMMONS SHYHESHA</v>
      </c>
    </row>
    <row r="35" spans="1:7" x14ac:dyDescent="0.25">
      <c r="A35" s="8">
        <v>42741.237685185188</v>
      </c>
      <c r="B35" s="21" t="s">
        <v>227</v>
      </c>
      <c r="C35" s="21" t="s">
        <v>496</v>
      </c>
      <c r="D35" s="160">
        <v>2670000</v>
      </c>
      <c r="E35" s="21" t="s">
        <v>317</v>
      </c>
      <c r="F35" s="21" t="s">
        <v>318</v>
      </c>
      <c r="G35" s="8" t="str">
        <f t="shared" si="0"/>
        <v>COMELLA JUSTIN</v>
      </c>
    </row>
    <row r="36" spans="1:7" x14ac:dyDescent="0.25">
      <c r="A36" s="8">
        <v>42741.245243055557</v>
      </c>
      <c r="B36" s="21" t="s">
        <v>299</v>
      </c>
      <c r="C36" s="21" t="s">
        <v>497</v>
      </c>
      <c r="D36" s="160">
        <v>1230000</v>
      </c>
      <c r="E36" s="21" t="s">
        <v>384</v>
      </c>
      <c r="F36" s="21" t="s">
        <v>385</v>
      </c>
      <c r="G36" s="8" t="str">
        <f t="shared" si="0"/>
        <v>YANAI IAN</v>
      </c>
    </row>
    <row r="37" spans="1:7" x14ac:dyDescent="0.25">
      <c r="A37" s="8">
        <v>42741.249606481484</v>
      </c>
      <c r="B37" s="21" t="s">
        <v>252</v>
      </c>
      <c r="C37" s="21" t="s">
        <v>498</v>
      </c>
      <c r="D37" s="160">
        <v>2020000</v>
      </c>
      <c r="E37" s="21" t="s">
        <v>380</v>
      </c>
      <c r="F37" s="21" t="s">
        <v>377</v>
      </c>
      <c r="G37" s="8" t="str">
        <f t="shared" si="0"/>
        <v>SHOOK JOHN</v>
      </c>
    </row>
    <row r="38" spans="1:7" x14ac:dyDescent="0.25">
      <c r="A38" s="8">
        <v>42741.250856481478</v>
      </c>
      <c r="B38" s="21" t="s">
        <v>294</v>
      </c>
      <c r="C38" s="21" t="s">
        <v>499</v>
      </c>
      <c r="D38" s="160">
        <v>2140000</v>
      </c>
      <c r="E38" s="21" t="s">
        <v>378</v>
      </c>
      <c r="F38" s="21" t="s">
        <v>379</v>
      </c>
      <c r="G38" s="8" t="str">
        <f t="shared" si="0"/>
        <v>ROBINSON KADDIBA</v>
      </c>
    </row>
    <row r="39" spans="1:7" x14ac:dyDescent="0.25">
      <c r="A39" s="8">
        <v>42741.256539351853</v>
      </c>
      <c r="B39" s="21" t="s">
        <v>296</v>
      </c>
      <c r="C39" s="21" t="s">
        <v>500</v>
      </c>
      <c r="D39" s="160">
        <v>2670000</v>
      </c>
      <c r="E39" s="21" t="s">
        <v>317</v>
      </c>
      <c r="F39" s="21" t="s">
        <v>318</v>
      </c>
      <c r="G39" s="8" t="str">
        <f t="shared" si="0"/>
        <v>COMELLA JUSTIN</v>
      </c>
    </row>
    <row r="40" spans="1:7" x14ac:dyDescent="0.25">
      <c r="A40" s="8">
        <v>42741.256874999999</v>
      </c>
      <c r="B40" s="26" t="s">
        <v>253</v>
      </c>
      <c r="C40" s="21" t="s">
        <v>501</v>
      </c>
      <c r="D40" s="160">
        <v>2730000</v>
      </c>
      <c r="E40" s="21" t="s">
        <v>352</v>
      </c>
      <c r="F40" s="21" t="s">
        <v>353</v>
      </c>
      <c r="G40" s="8" t="str">
        <f t="shared" si="0"/>
        <v>YANG JAN</v>
      </c>
    </row>
    <row r="41" spans="1:7" x14ac:dyDescent="0.25">
      <c r="A41" s="8">
        <v>42741.258715277778</v>
      </c>
      <c r="B41" s="21" t="s">
        <v>261</v>
      </c>
      <c r="C41" s="21" t="s">
        <v>502</v>
      </c>
      <c r="D41" s="160">
        <v>1110000</v>
      </c>
      <c r="E41" s="21" t="s">
        <v>485</v>
      </c>
      <c r="F41" s="21" t="s">
        <v>486</v>
      </c>
      <c r="G41" s="8" t="str">
        <f t="shared" si="0"/>
        <v>STARKS ANGELINA</v>
      </c>
    </row>
    <row r="42" spans="1:7" x14ac:dyDescent="0.25">
      <c r="A42" s="8">
        <v>42741.263229166667</v>
      </c>
      <c r="B42" s="21" t="s">
        <v>222</v>
      </c>
      <c r="C42" s="21" t="s">
        <v>503</v>
      </c>
      <c r="D42" s="160">
        <v>2020000</v>
      </c>
      <c r="E42" s="21" t="s">
        <v>380</v>
      </c>
      <c r="F42" s="21" t="s">
        <v>377</v>
      </c>
      <c r="G42" s="8" t="str">
        <f t="shared" si="0"/>
        <v>SHOOK JOHN</v>
      </c>
    </row>
    <row r="43" spans="1:7" x14ac:dyDescent="0.25">
      <c r="A43" s="8">
        <v>42741.265613425923</v>
      </c>
      <c r="B43" s="21" t="s">
        <v>299</v>
      </c>
      <c r="C43" s="21" t="s">
        <v>497</v>
      </c>
      <c r="D43" s="160">
        <v>1230000</v>
      </c>
      <c r="E43" s="21" t="s">
        <v>384</v>
      </c>
      <c r="F43" s="21" t="s">
        <v>385</v>
      </c>
      <c r="G43" s="8" t="str">
        <f t="shared" si="0"/>
        <v>YANAI IAN</v>
      </c>
    </row>
    <row r="44" spans="1:7" x14ac:dyDescent="0.25">
      <c r="A44" s="8">
        <v>42741.268993055557</v>
      </c>
      <c r="B44" s="21" t="s">
        <v>210</v>
      </c>
      <c r="C44" s="21" t="s">
        <v>504</v>
      </c>
      <c r="D44" s="160">
        <v>2710000</v>
      </c>
      <c r="E44" s="21" t="s">
        <v>382</v>
      </c>
      <c r="F44" s="21" t="s">
        <v>383</v>
      </c>
      <c r="G44" s="8" t="str">
        <f t="shared" si="0"/>
        <v>SIMMONS SHYHESHA</v>
      </c>
    </row>
    <row r="45" spans="1:7" x14ac:dyDescent="0.25">
      <c r="A45" s="8">
        <v>42741.271574074075</v>
      </c>
      <c r="B45" s="21" t="s">
        <v>183</v>
      </c>
      <c r="C45" s="21" t="s">
        <v>505</v>
      </c>
      <c r="D45" s="160">
        <v>2100000</v>
      </c>
      <c r="E45" s="21" t="s">
        <v>350</v>
      </c>
      <c r="F45" s="21" t="s">
        <v>351</v>
      </c>
      <c r="G45" s="8" t="str">
        <f t="shared" si="0"/>
        <v>ISHMAEL JOSEPH</v>
      </c>
    </row>
    <row r="46" spans="1:7" x14ac:dyDescent="0.25">
      <c r="A46" s="8">
        <v>42741.273726851854</v>
      </c>
      <c r="B46" s="21" t="s">
        <v>381</v>
      </c>
      <c r="C46" s="21" t="s">
        <v>506</v>
      </c>
      <c r="D46" s="160">
        <v>1260000</v>
      </c>
      <c r="E46" s="21" t="s">
        <v>478</v>
      </c>
      <c r="F46" s="21" t="s">
        <v>479</v>
      </c>
      <c r="G46" s="8" t="str">
        <f t="shared" si="0"/>
        <v>ACKERMAN JARED</v>
      </c>
    </row>
    <row r="47" spans="1:7" x14ac:dyDescent="0.25">
      <c r="A47" s="8">
        <v>42741.278090277781</v>
      </c>
      <c r="B47" s="21" t="s">
        <v>300</v>
      </c>
      <c r="C47" s="21" t="s">
        <v>507</v>
      </c>
      <c r="D47" s="160">
        <v>940000</v>
      </c>
      <c r="E47" s="21" t="s">
        <v>508</v>
      </c>
      <c r="F47" s="21" t="s">
        <v>509</v>
      </c>
      <c r="G47" s="8" t="str">
        <f t="shared" si="0"/>
        <v>BONDS REYNALDO</v>
      </c>
    </row>
    <row r="48" spans="1:7" x14ac:dyDescent="0.25">
      <c r="A48" s="8">
        <v>42741.281365740739</v>
      </c>
      <c r="B48" s="21" t="s">
        <v>252</v>
      </c>
      <c r="C48" s="21" t="s">
        <v>510</v>
      </c>
      <c r="D48" s="160">
        <v>2020000</v>
      </c>
      <c r="E48" s="21" t="s">
        <v>380</v>
      </c>
      <c r="F48" s="21" t="s">
        <v>377</v>
      </c>
      <c r="G48" s="8" t="str">
        <f t="shared" si="0"/>
        <v>SHOOK JOHN</v>
      </c>
    </row>
    <row r="49" spans="1:7" x14ac:dyDescent="0.25">
      <c r="A49" s="8">
        <v>42741.282592592594</v>
      </c>
      <c r="B49" s="21" t="s">
        <v>227</v>
      </c>
      <c r="C49" s="21" t="s">
        <v>511</v>
      </c>
      <c r="D49" s="160">
        <v>2670000</v>
      </c>
      <c r="E49" s="21" t="s">
        <v>317</v>
      </c>
      <c r="F49" s="21" t="s">
        <v>318</v>
      </c>
      <c r="G49" s="8" t="str">
        <f t="shared" si="0"/>
        <v>COMELLA JUSTIN</v>
      </c>
    </row>
    <row r="50" spans="1:7" x14ac:dyDescent="0.25">
      <c r="A50" s="8">
        <v>42741.283368055556</v>
      </c>
      <c r="B50" s="21" t="s">
        <v>227</v>
      </c>
      <c r="C50" s="21" t="s">
        <v>511</v>
      </c>
      <c r="D50" s="160">
        <v>2670000</v>
      </c>
      <c r="E50" s="21" t="s">
        <v>317</v>
      </c>
      <c r="F50" s="21" t="s">
        <v>318</v>
      </c>
      <c r="G50" s="8" t="str">
        <f t="shared" si="0"/>
        <v>COMELLA JUSTIN</v>
      </c>
    </row>
    <row r="51" spans="1:7" x14ac:dyDescent="0.25">
      <c r="A51" s="8">
        <v>42741.283796296295</v>
      </c>
      <c r="B51" s="21" t="s">
        <v>466</v>
      </c>
      <c r="C51" s="21" t="s">
        <v>512</v>
      </c>
      <c r="D51" s="160">
        <v>2140000</v>
      </c>
      <c r="E51" s="21" t="s">
        <v>378</v>
      </c>
      <c r="F51" s="21" t="s">
        <v>379</v>
      </c>
      <c r="G51" s="8" t="str">
        <f t="shared" si="0"/>
        <v>ROBINSON KADDIBA</v>
      </c>
    </row>
    <row r="52" spans="1:7" x14ac:dyDescent="0.25">
      <c r="A52" s="8">
        <v>42741.284699074073</v>
      </c>
      <c r="B52" s="21" t="s">
        <v>227</v>
      </c>
      <c r="C52" s="21" t="s">
        <v>511</v>
      </c>
      <c r="D52" s="160">
        <v>2670000</v>
      </c>
      <c r="E52" s="21" t="s">
        <v>317</v>
      </c>
      <c r="F52" s="21" t="s">
        <v>318</v>
      </c>
      <c r="G52" s="8" t="str">
        <f t="shared" si="0"/>
        <v>COMELLA JUSTIN</v>
      </c>
    </row>
    <row r="53" spans="1:7" x14ac:dyDescent="0.25">
      <c r="A53" s="8">
        <v>42741.288738425923</v>
      </c>
      <c r="B53" s="21" t="s">
        <v>253</v>
      </c>
      <c r="C53" s="21" t="s">
        <v>501</v>
      </c>
      <c r="D53" s="160">
        <v>2730000</v>
      </c>
      <c r="E53" s="21" t="s">
        <v>352</v>
      </c>
      <c r="F53" s="21" t="s">
        <v>353</v>
      </c>
      <c r="G53" s="8" t="str">
        <f t="shared" si="0"/>
        <v>YANG JAN</v>
      </c>
    </row>
    <row r="54" spans="1:7" x14ac:dyDescent="0.25">
      <c r="A54" s="8">
        <v>42741.296030092592</v>
      </c>
      <c r="B54" s="21" t="s">
        <v>222</v>
      </c>
      <c r="C54" s="21" t="s">
        <v>513</v>
      </c>
      <c r="D54" s="160">
        <v>2020000</v>
      </c>
      <c r="E54" s="21" t="s">
        <v>380</v>
      </c>
      <c r="F54" s="21" t="s">
        <v>377</v>
      </c>
      <c r="G54" s="8" t="str">
        <f t="shared" si="0"/>
        <v>SHOOK JOHN</v>
      </c>
    </row>
    <row r="55" spans="1:7" x14ac:dyDescent="0.25">
      <c r="A55" s="8">
        <v>42741.29792824074</v>
      </c>
      <c r="B55" s="21" t="s">
        <v>296</v>
      </c>
      <c r="C55" s="21" t="s">
        <v>514</v>
      </c>
      <c r="D55" s="160">
        <v>2670000</v>
      </c>
      <c r="E55" s="21" t="s">
        <v>317</v>
      </c>
      <c r="F55" s="21" t="s">
        <v>318</v>
      </c>
      <c r="G55" s="8" t="str">
        <f t="shared" si="0"/>
        <v>COMELLA JUSTIN</v>
      </c>
    </row>
    <row r="56" spans="1:7" x14ac:dyDescent="0.25">
      <c r="A56" s="8">
        <v>42741.298032407409</v>
      </c>
      <c r="B56" s="21" t="s">
        <v>262</v>
      </c>
      <c r="C56" s="21" t="s">
        <v>515</v>
      </c>
      <c r="D56" s="160">
        <v>1110000</v>
      </c>
      <c r="E56" s="21" t="s">
        <v>485</v>
      </c>
      <c r="F56" s="21" t="s">
        <v>486</v>
      </c>
      <c r="G56" s="8" t="str">
        <f t="shared" si="0"/>
        <v>STARKS ANGELINA</v>
      </c>
    </row>
    <row r="57" spans="1:7" x14ac:dyDescent="0.25">
      <c r="A57" s="8">
        <v>42741.301874999997</v>
      </c>
      <c r="B57" s="21" t="s">
        <v>254</v>
      </c>
      <c r="C57" s="21" t="s">
        <v>516</v>
      </c>
      <c r="D57" s="160">
        <v>2730000</v>
      </c>
      <c r="E57" s="21" t="s">
        <v>352</v>
      </c>
      <c r="F57" s="21" t="s">
        <v>353</v>
      </c>
      <c r="G57" s="8" t="str">
        <f t="shared" si="0"/>
        <v>YANG JAN</v>
      </c>
    </row>
    <row r="58" spans="1:7" x14ac:dyDescent="0.25">
      <c r="A58" s="8">
        <v>42741.303194444445</v>
      </c>
      <c r="B58" s="21" t="s">
        <v>349</v>
      </c>
      <c r="C58" s="21" t="s">
        <v>517</v>
      </c>
      <c r="D58" s="160">
        <v>2710000</v>
      </c>
      <c r="E58" s="21" t="s">
        <v>382</v>
      </c>
      <c r="F58" s="21" t="s">
        <v>383</v>
      </c>
      <c r="G58" s="8" t="str">
        <f t="shared" si="0"/>
        <v>SIMMONS SHYHESHA</v>
      </c>
    </row>
    <row r="59" spans="1:7" x14ac:dyDescent="0.25">
      <c r="A59" s="8">
        <v>42741.309293981481</v>
      </c>
      <c r="B59" s="21" t="s">
        <v>391</v>
      </c>
      <c r="C59" s="21" t="s">
        <v>518</v>
      </c>
      <c r="D59" s="160">
        <v>1260000</v>
      </c>
      <c r="E59" s="21" t="s">
        <v>478</v>
      </c>
      <c r="F59" s="21" t="s">
        <v>479</v>
      </c>
      <c r="G59" s="8" t="str">
        <f t="shared" si="0"/>
        <v>ACKERMAN JARED</v>
      </c>
    </row>
    <row r="60" spans="1:7" x14ac:dyDescent="0.25">
      <c r="A60" s="8">
        <v>42741.312395833331</v>
      </c>
      <c r="B60" s="21" t="s">
        <v>227</v>
      </c>
      <c r="C60" s="21" t="s">
        <v>519</v>
      </c>
      <c r="D60" s="160">
        <v>2670000</v>
      </c>
      <c r="E60" s="21" t="s">
        <v>317</v>
      </c>
      <c r="F60" s="21" t="s">
        <v>318</v>
      </c>
      <c r="G60" s="8" t="str">
        <f t="shared" si="0"/>
        <v>COMELLA JUSTIN</v>
      </c>
    </row>
    <row r="61" spans="1:7" x14ac:dyDescent="0.25">
      <c r="A61" s="8">
        <v>42741.313622685186</v>
      </c>
      <c r="B61" s="21" t="s">
        <v>299</v>
      </c>
      <c r="C61" s="21" t="s">
        <v>520</v>
      </c>
      <c r="D61" s="160">
        <v>940000</v>
      </c>
      <c r="E61" s="21" t="s">
        <v>508</v>
      </c>
      <c r="F61" s="21" t="s">
        <v>509</v>
      </c>
      <c r="G61" s="8" t="str">
        <f t="shared" si="0"/>
        <v>BONDS REYNALDO</v>
      </c>
    </row>
    <row r="62" spans="1:7" x14ac:dyDescent="0.25">
      <c r="A62" s="8">
        <v>42741.319143518522</v>
      </c>
      <c r="B62" s="21" t="s">
        <v>252</v>
      </c>
      <c r="C62" s="21" t="s">
        <v>521</v>
      </c>
      <c r="D62" s="160">
        <v>2020000</v>
      </c>
      <c r="E62" s="21" t="s">
        <v>380</v>
      </c>
      <c r="F62" s="21" t="s">
        <v>377</v>
      </c>
      <c r="G62" s="8" t="str">
        <f t="shared" si="0"/>
        <v>SHOOK JOHN</v>
      </c>
    </row>
    <row r="63" spans="1:7" x14ac:dyDescent="0.25">
      <c r="A63" s="8">
        <v>42741.32135416667</v>
      </c>
      <c r="B63" s="21" t="s">
        <v>294</v>
      </c>
      <c r="C63" s="21" t="s">
        <v>522</v>
      </c>
      <c r="D63" s="160">
        <v>2140000</v>
      </c>
      <c r="E63" s="21" t="s">
        <v>378</v>
      </c>
      <c r="F63" s="21" t="s">
        <v>379</v>
      </c>
      <c r="G63" s="8" t="str">
        <f t="shared" si="0"/>
        <v>ROBINSON KADDIBA</v>
      </c>
    </row>
    <row r="64" spans="1:7" x14ac:dyDescent="0.25">
      <c r="A64" s="27">
        <v>42741.321388888886</v>
      </c>
      <c r="B64" s="21" t="s">
        <v>329</v>
      </c>
      <c r="C64" s="21" t="s">
        <v>523</v>
      </c>
      <c r="D64" s="160">
        <v>2100000</v>
      </c>
      <c r="E64" s="21" t="s">
        <v>350</v>
      </c>
      <c r="F64" s="21" t="s">
        <v>351</v>
      </c>
      <c r="G64" s="8" t="str">
        <f t="shared" si="0"/>
        <v>ISHMAEL JOSEPH</v>
      </c>
    </row>
    <row r="65" spans="1:7" x14ac:dyDescent="0.25">
      <c r="A65" s="8">
        <v>42741.330289351848</v>
      </c>
      <c r="B65" s="21" t="s">
        <v>261</v>
      </c>
      <c r="C65" s="21" t="s">
        <v>524</v>
      </c>
      <c r="D65" s="160">
        <v>1110000</v>
      </c>
      <c r="E65" s="21" t="s">
        <v>485</v>
      </c>
      <c r="F65" s="21" t="s">
        <v>486</v>
      </c>
      <c r="G65" s="8" t="str">
        <f t="shared" si="0"/>
        <v>STARKS ANGELINA</v>
      </c>
    </row>
    <row r="66" spans="1:7" x14ac:dyDescent="0.25">
      <c r="A66" s="8">
        <v>42741.332719907405</v>
      </c>
      <c r="B66" s="21" t="s">
        <v>253</v>
      </c>
      <c r="C66" s="21" t="s">
        <v>525</v>
      </c>
      <c r="D66" s="160">
        <v>2730000</v>
      </c>
      <c r="E66" s="21" t="s">
        <v>352</v>
      </c>
      <c r="F66" s="21" t="s">
        <v>353</v>
      </c>
      <c r="G66" s="8" t="str">
        <f t="shared" si="0"/>
        <v>YANG JAN</v>
      </c>
    </row>
    <row r="67" spans="1:7" x14ac:dyDescent="0.25">
      <c r="A67" s="8">
        <v>42741.333518518521</v>
      </c>
      <c r="B67" s="21" t="s">
        <v>222</v>
      </c>
      <c r="C67" s="21" t="s">
        <v>526</v>
      </c>
      <c r="D67" s="160">
        <v>2020000</v>
      </c>
      <c r="E67" s="21" t="s">
        <v>380</v>
      </c>
      <c r="F67" s="21" t="s">
        <v>377</v>
      </c>
      <c r="G67" s="8" t="str">
        <f t="shared" ref="G67:G130" si="1">E67&amp;" "&amp;F67</f>
        <v>SHOOK JOHN</v>
      </c>
    </row>
    <row r="68" spans="1:7" x14ac:dyDescent="0.25">
      <c r="A68" s="8">
        <v>42741.340879629628</v>
      </c>
      <c r="B68" s="21" t="s">
        <v>210</v>
      </c>
      <c r="C68" s="21" t="s">
        <v>527</v>
      </c>
      <c r="D68" s="160">
        <v>2710000</v>
      </c>
      <c r="E68" s="21" t="s">
        <v>382</v>
      </c>
      <c r="F68" s="21" t="s">
        <v>383</v>
      </c>
      <c r="G68" s="8" t="str">
        <f t="shared" si="1"/>
        <v>SIMMONS SHYHESHA</v>
      </c>
    </row>
    <row r="69" spans="1:7" x14ac:dyDescent="0.25">
      <c r="A69" s="8">
        <v>42741.344560185185</v>
      </c>
      <c r="B69" s="21" t="s">
        <v>227</v>
      </c>
      <c r="C69" s="21" t="s">
        <v>519</v>
      </c>
      <c r="D69" s="160">
        <v>2670000</v>
      </c>
      <c r="E69" s="21" t="s">
        <v>317</v>
      </c>
      <c r="F69" s="21" t="s">
        <v>318</v>
      </c>
      <c r="G69" s="8" t="str">
        <f t="shared" si="1"/>
        <v>COMELLA JUSTIN</v>
      </c>
    </row>
    <row r="70" spans="1:7" x14ac:dyDescent="0.25">
      <c r="A70" s="8">
        <v>42741.345439814817</v>
      </c>
      <c r="B70" s="21" t="s">
        <v>296</v>
      </c>
      <c r="C70" s="21" t="s">
        <v>528</v>
      </c>
      <c r="D70" s="160">
        <v>2670000</v>
      </c>
      <c r="E70" s="21" t="s">
        <v>317</v>
      </c>
      <c r="F70" s="21" t="s">
        <v>318</v>
      </c>
      <c r="G70" s="8" t="str">
        <f t="shared" si="1"/>
        <v>COMELLA JUSTIN</v>
      </c>
    </row>
    <row r="71" spans="1:7" x14ac:dyDescent="0.25">
      <c r="A71" s="8">
        <v>42741.345532407409</v>
      </c>
      <c r="B71" s="21" t="s">
        <v>381</v>
      </c>
      <c r="C71" s="21" t="s">
        <v>529</v>
      </c>
      <c r="D71" s="160">
        <v>1260000</v>
      </c>
      <c r="E71" s="21" t="s">
        <v>478</v>
      </c>
      <c r="F71" s="21" t="s">
        <v>479</v>
      </c>
      <c r="G71" s="8" t="str">
        <f t="shared" si="1"/>
        <v>ACKERMAN JARED</v>
      </c>
    </row>
    <row r="72" spans="1:7" x14ac:dyDescent="0.25">
      <c r="A72" s="8">
        <v>42741.351631944446</v>
      </c>
      <c r="B72" s="21" t="s">
        <v>300</v>
      </c>
      <c r="C72" s="21" t="s">
        <v>530</v>
      </c>
      <c r="D72" s="160">
        <v>940000</v>
      </c>
      <c r="E72" s="21" t="s">
        <v>508</v>
      </c>
      <c r="F72" s="21" t="s">
        <v>509</v>
      </c>
      <c r="G72" s="8" t="str">
        <f t="shared" si="1"/>
        <v>BONDS REYNALDO</v>
      </c>
    </row>
    <row r="73" spans="1:7" x14ac:dyDescent="0.25">
      <c r="A73" s="8">
        <v>42741.356400462966</v>
      </c>
      <c r="B73" s="21" t="s">
        <v>466</v>
      </c>
      <c r="C73" s="21" t="s">
        <v>531</v>
      </c>
      <c r="D73" s="160">
        <v>2140000</v>
      </c>
      <c r="E73" s="21" t="s">
        <v>378</v>
      </c>
      <c r="F73" s="21" t="s">
        <v>379</v>
      </c>
      <c r="G73" s="8" t="str">
        <f t="shared" si="1"/>
        <v>ROBINSON KADDIBA</v>
      </c>
    </row>
    <row r="74" spans="1:7" x14ac:dyDescent="0.25">
      <c r="A74" s="8">
        <v>42741.357534722221</v>
      </c>
      <c r="B74" s="21" t="s">
        <v>252</v>
      </c>
      <c r="C74" s="21" t="s">
        <v>449</v>
      </c>
      <c r="D74" s="160">
        <v>2020000</v>
      </c>
      <c r="E74" s="21" t="s">
        <v>380</v>
      </c>
      <c r="F74" s="21" t="s">
        <v>377</v>
      </c>
      <c r="G74" s="8" t="str">
        <f t="shared" si="1"/>
        <v>SHOOK JOHN</v>
      </c>
    </row>
    <row r="75" spans="1:7" x14ac:dyDescent="0.25">
      <c r="A75" s="8">
        <v>42741.360405092593</v>
      </c>
      <c r="B75" s="21" t="s">
        <v>183</v>
      </c>
      <c r="C75" s="21" t="s">
        <v>532</v>
      </c>
      <c r="D75" s="160">
        <v>2100000</v>
      </c>
      <c r="E75" s="21" t="s">
        <v>350</v>
      </c>
      <c r="F75" s="21" t="s">
        <v>351</v>
      </c>
      <c r="G75" s="8" t="str">
        <f t="shared" si="1"/>
        <v>ISHMAEL JOSEPH</v>
      </c>
    </row>
    <row r="76" spans="1:7" x14ac:dyDescent="0.25">
      <c r="A76" s="8">
        <v>42741.369409722225</v>
      </c>
      <c r="B76" s="21" t="s">
        <v>262</v>
      </c>
      <c r="C76" s="21" t="s">
        <v>533</v>
      </c>
      <c r="D76" s="160">
        <v>1110000</v>
      </c>
      <c r="E76" s="21" t="s">
        <v>485</v>
      </c>
      <c r="F76" s="21" t="s">
        <v>486</v>
      </c>
      <c r="G76" s="8" t="str">
        <f t="shared" si="1"/>
        <v>STARKS ANGELINA</v>
      </c>
    </row>
    <row r="77" spans="1:7" x14ac:dyDescent="0.25">
      <c r="A77" s="8">
        <v>42741.371863425928</v>
      </c>
      <c r="B77" s="21" t="s">
        <v>222</v>
      </c>
      <c r="C77" s="21" t="s">
        <v>534</v>
      </c>
      <c r="D77" s="160">
        <v>2020000</v>
      </c>
      <c r="E77" s="21" t="s">
        <v>380</v>
      </c>
      <c r="F77" s="21" t="s">
        <v>377</v>
      </c>
      <c r="G77" s="8" t="str">
        <f t="shared" si="1"/>
        <v>SHOOK JOHN</v>
      </c>
    </row>
    <row r="78" spans="1:7" x14ac:dyDescent="0.25">
      <c r="A78" s="8">
        <v>42741.375023148146</v>
      </c>
      <c r="B78" s="21" t="s">
        <v>254</v>
      </c>
      <c r="C78" s="21" t="s">
        <v>535</v>
      </c>
      <c r="D78" s="160">
        <v>2730000</v>
      </c>
      <c r="E78" s="21" t="s">
        <v>352</v>
      </c>
      <c r="F78" s="21" t="s">
        <v>353</v>
      </c>
      <c r="G78" s="8" t="str">
        <f t="shared" si="1"/>
        <v>YANG JAN</v>
      </c>
    </row>
    <row r="79" spans="1:7" x14ac:dyDescent="0.25">
      <c r="A79" s="8">
        <v>42741.380578703705</v>
      </c>
      <c r="B79" s="21" t="s">
        <v>349</v>
      </c>
      <c r="C79" s="21" t="s">
        <v>536</v>
      </c>
      <c r="D79" s="160">
        <v>2710000</v>
      </c>
      <c r="E79" s="21" t="s">
        <v>382</v>
      </c>
      <c r="F79" s="21" t="s">
        <v>383</v>
      </c>
      <c r="G79" s="8" t="str">
        <f t="shared" si="1"/>
        <v>SIMMONS SHYHESHA</v>
      </c>
    </row>
    <row r="80" spans="1:7" x14ac:dyDescent="0.25">
      <c r="A80" s="8">
        <v>42741.38417824074</v>
      </c>
      <c r="B80" s="21" t="s">
        <v>299</v>
      </c>
      <c r="C80" s="21" t="s">
        <v>537</v>
      </c>
      <c r="D80" s="160">
        <v>940000</v>
      </c>
      <c r="E80" s="21" t="s">
        <v>508</v>
      </c>
      <c r="F80" s="21" t="s">
        <v>509</v>
      </c>
      <c r="G80" s="8" t="str">
        <f t="shared" si="1"/>
        <v>BONDS REYNALDO</v>
      </c>
    </row>
    <row r="81" spans="1:7" x14ac:dyDescent="0.25">
      <c r="A81" s="8">
        <v>42741.384351851855</v>
      </c>
      <c r="B81" s="21" t="s">
        <v>391</v>
      </c>
      <c r="C81" s="21" t="s">
        <v>538</v>
      </c>
      <c r="D81" s="160">
        <v>1260000</v>
      </c>
      <c r="E81" s="21" t="s">
        <v>478</v>
      </c>
      <c r="F81" s="21" t="s">
        <v>479</v>
      </c>
      <c r="G81" s="8" t="str">
        <f t="shared" si="1"/>
        <v>ACKERMAN JARED</v>
      </c>
    </row>
    <row r="82" spans="1:7" x14ac:dyDescent="0.25">
      <c r="A82" s="8">
        <v>42741.393541666665</v>
      </c>
      <c r="B82" s="21" t="s">
        <v>252</v>
      </c>
      <c r="C82" s="21" t="s">
        <v>539</v>
      </c>
      <c r="D82" s="160">
        <v>2020000</v>
      </c>
      <c r="E82" s="21" t="s">
        <v>380</v>
      </c>
      <c r="F82" s="21" t="s">
        <v>377</v>
      </c>
      <c r="G82" s="8" t="str">
        <f t="shared" si="1"/>
        <v>SHOOK JOHN</v>
      </c>
    </row>
    <row r="83" spans="1:7" x14ac:dyDescent="0.25">
      <c r="A83" s="8">
        <v>42741.39434027778</v>
      </c>
      <c r="B83" s="21" t="s">
        <v>294</v>
      </c>
      <c r="C83" s="21" t="s">
        <v>540</v>
      </c>
      <c r="D83" s="160">
        <v>2140000</v>
      </c>
      <c r="E83" s="21" t="s">
        <v>378</v>
      </c>
      <c r="F83" s="21" t="s">
        <v>379</v>
      </c>
      <c r="G83" s="8" t="str">
        <f t="shared" si="1"/>
        <v>ROBINSON KADDIBA</v>
      </c>
    </row>
    <row r="84" spans="1:7" x14ac:dyDescent="0.25">
      <c r="A84" s="8">
        <v>42741.398969907408</v>
      </c>
      <c r="B84" s="21" t="s">
        <v>252</v>
      </c>
      <c r="C84" s="21" t="s">
        <v>539</v>
      </c>
      <c r="D84" s="160">
        <v>2020000</v>
      </c>
      <c r="E84" s="21" t="s">
        <v>380</v>
      </c>
      <c r="F84" s="21" t="s">
        <v>377</v>
      </c>
      <c r="G84" s="8" t="str">
        <f t="shared" si="1"/>
        <v>SHOOK JOHN</v>
      </c>
    </row>
    <row r="85" spans="1:7" x14ac:dyDescent="0.25">
      <c r="A85" s="8">
        <v>42741.401238425926</v>
      </c>
      <c r="B85" s="21" t="s">
        <v>329</v>
      </c>
      <c r="C85" s="21" t="s">
        <v>450</v>
      </c>
      <c r="D85" s="160">
        <v>2100000</v>
      </c>
      <c r="E85" s="21" t="s">
        <v>350</v>
      </c>
      <c r="F85" s="21" t="s">
        <v>351</v>
      </c>
      <c r="G85" s="8" t="str">
        <f t="shared" si="1"/>
        <v>ISHMAEL JOSEPH</v>
      </c>
    </row>
    <row r="86" spans="1:7" x14ac:dyDescent="0.25">
      <c r="A86" s="8">
        <v>42741.403657407405</v>
      </c>
      <c r="B86" s="21" t="s">
        <v>261</v>
      </c>
      <c r="C86" s="21" t="s">
        <v>451</v>
      </c>
      <c r="D86" s="160">
        <v>1110000</v>
      </c>
      <c r="E86" s="21" t="s">
        <v>485</v>
      </c>
      <c r="F86" s="21" t="s">
        <v>486</v>
      </c>
      <c r="G86" s="8" t="str">
        <f t="shared" si="1"/>
        <v>STARKS ANGELINA</v>
      </c>
    </row>
    <row r="87" spans="1:7" x14ac:dyDescent="0.25">
      <c r="A87" s="8">
        <v>42741.412928240738</v>
      </c>
      <c r="B87" s="21" t="s">
        <v>253</v>
      </c>
      <c r="C87" s="21" t="s">
        <v>541</v>
      </c>
      <c r="D87" s="160">
        <v>2730000</v>
      </c>
      <c r="E87" s="21" t="s">
        <v>352</v>
      </c>
      <c r="F87" s="21" t="s">
        <v>353</v>
      </c>
      <c r="G87" s="8" t="str">
        <f t="shared" si="1"/>
        <v>YANG JAN</v>
      </c>
    </row>
    <row r="88" spans="1:7" x14ac:dyDescent="0.25">
      <c r="A88" s="8">
        <v>42741.413715277777</v>
      </c>
      <c r="B88" s="21" t="s">
        <v>210</v>
      </c>
      <c r="C88" s="21" t="s">
        <v>542</v>
      </c>
      <c r="D88" s="160">
        <v>2710000</v>
      </c>
      <c r="E88" s="21" t="s">
        <v>382</v>
      </c>
      <c r="F88" s="21" t="s">
        <v>383</v>
      </c>
      <c r="G88" s="8" t="str">
        <f t="shared" si="1"/>
        <v>SIMMONS SHYHESHA</v>
      </c>
    </row>
    <row r="89" spans="1:7" x14ac:dyDescent="0.25">
      <c r="A89" s="8">
        <v>42741.420115740744</v>
      </c>
      <c r="B89" s="21" t="s">
        <v>381</v>
      </c>
      <c r="C89" s="21" t="s">
        <v>452</v>
      </c>
      <c r="D89" s="160">
        <v>1260000</v>
      </c>
      <c r="E89" s="21" t="s">
        <v>478</v>
      </c>
      <c r="F89" s="21" t="s">
        <v>479</v>
      </c>
      <c r="G89" s="8" t="str">
        <f t="shared" si="1"/>
        <v>ACKERMAN JARED</v>
      </c>
    </row>
    <row r="90" spans="1:7" x14ac:dyDescent="0.25">
      <c r="A90" s="8">
        <v>42741.422060185185</v>
      </c>
      <c r="B90" s="21" t="s">
        <v>300</v>
      </c>
      <c r="C90" s="21" t="s">
        <v>453</v>
      </c>
      <c r="D90" s="160">
        <v>940000</v>
      </c>
      <c r="E90" s="21" t="s">
        <v>508</v>
      </c>
      <c r="F90" s="21" t="s">
        <v>509</v>
      </c>
      <c r="G90" s="8" t="str">
        <f t="shared" si="1"/>
        <v>BONDS REYNALDO</v>
      </c>
    </row>
    <row r="91" spans="1:7" x14ac:dyDescent="0.25">
      <c r="A91" s="8">
        <v>42741.427395833336</v>
      </c>
      <c r="B91" s="21" t="s">
        <v>466</v>
      </c>
      <c r="C91" s="21" t="s">
        <v>543</v>
      </c>
      <c r="D91" s="160">
        <v>2140000</v>
      </c>
      <c r="E91" s="21" t="s">
        <v>378</v>
      </c>
      <c r="F91" s="21" t="s">
        <v>379</v>
      </c>
      <c r="G91" s="8" t="str">
        <f t="shared" si="1"/>
        <v>ROBINSON KADDIBA</v>
      </c>
    </row>
    <row r="92" spans="1:7" x14ac:dyDescent="0.25">
      <c r="A92" s="8">
        <v>42741.434201388889</v>
      </c>
      <c r="B92" s="21" t="s">
        <v>183</v>
      </c>
      <c r="C92" s="21" t="s">
        <v>544</v>
      </c>
      <c r="D92" s="160">
        <v>1230000</v>
      </c>
      <c r="E92" s="21" t="s">
        <v>384</v>
      </c>
      <c r="F92" s="21" t="s">
        <v>385</v>
      </c>
      <c r="G92" s="8" t="str">
        <f t="shared" si="1"/>
        <v>YANAI IAN</v>
      </c>
    </row>
    <row r="93" spans="1:7" x14ac:dyDescent="0.25">
      <c r="A93" s="8">
        <v>42741.441319444442</v>
      </c>
      <c r="B93" s="21" t="s">
        <v>262</v>
      </c>
      <c r="C93" s="21" t="s">
        <v>545</v>
      </c>
      <c r="D93" s="160">
        <v>1110000</v>
      </c>
      <c r="E93" s="21" t="s">
        <v>485</v>
      </c>
      <c r="F93" s="21" t="s">
        <v>486</v>
      </c>
      <c r="G93" s="8" t="str">
        <f t="shared" si="1"/>
        <v>STARKS ANGELINA</v>
      </c>
    </row>
    <row r="94" spans="1:7" x14ac:dyDescent="0.25">
      <c r="A94" s="8">
        <v>42741.443298611113</v>
      </c>
      <c r="B94" s="21" t="s">
        <v>254</v>
      </c>
      <c r="C94" s="21" t="s">
        <v>546</v>
      </c>
      <c r="D94" s="160">
        <v>2730000</v>
      </c>
      <c r="E94" s="21" t="s">
        <v>352</v>
      </c>
      <c r="F94" s="21" t="s">
        <v>353</v>
      </c>
      <c r="G94" s="8" t="str">
        <f t="shared" si="1"/>
        <v>YANG JAN</v>
      </c>
    </row>
    <row r="95" spans="1:7" x14ac:dyDescent="0.25">
      <c r="A95" s="8">
        <v>42741.452256944445</v>
      </c>
      <c r="B95" s="21" t="s">
        <v>349</v>
      </c>
      <c r="C95" s="21" t="s">
        <v>547</v>
      </c>
      <c r="D95" s="160">
        <v>2710000</v>
      </c>
      <c r="E95" s="21" t="s">
        <v>382</v>
      </c>
      <c r="F95" s="21" t="s">
        <v>383</v>
      </c>
      <c r="G95" s="8" t="str">
        <f t="shared" si="1"/>
        <v>SIMMONS SHYHESHA</v>
      </c>
    </row>
    <row r="96" spans="1:7" x14ac:dyDescent="0.25">
      <c r="A96" s="8">
        <v>42741.45516203704</v>
      </c>
      <c r="B96" s="21" t="s">
        <v>391</v>
      </c>
      <c r="C96" s="21" t="s">
        <v>548</v>
      </c>
      <c r="D96" s="160">
        <v>880000</v>
      </c>
      <c r="E96" s="21" t="s">
        <v>549</v>
      </c>
      <c r="F96" s="21" t="s">
        <v>248</v>
      </c>
      <c r="G96" s="8" t="str">
        <f t="shared" si="1"/>
        <v>STEWART MICHAEL</v>
      </c>
    </row>
    <row r="97" spans="1:7" x14ac:dyDescent="0.25">
      <c r="A97" s="8">
        <v>42741.461168981485</v>
      </c>
      <c r="B97" s="21" t="s">
        <v>299</v>
      </c>
      <c r="C97" s="21" t="s">
        <v>550</v>
      </c>
      <c r="D97" s="160">
        <v>940000</v>
      </c>
      <c r="E97" s="21" t="s">
        <v>508</v>
      </c>
      <c r="F97" s="21" t="s">
        <v>509</v>
      </c>
      <c r="G97" s="8" t="str">
        <f t="shared" si="1"/>
        <v>BONDS REYNALDO</v>
      </c>
    </row>
    <row r="98" spans="1:7" x14ac:dyDescent="0.25">
      <c r="A98" s="8">
        <v>42741.463831018518</v>
      </c>
      <c r="B98" s="21" t="s">
        <v>329</v>
      </c>
      <c r="C98" s="21" t="s">
        <v>551</v>
      </c>
      <c r="D98" s="160">
        <v>1230000</v>
      </c>
      <c r="E98" s="21" t="s">
        <v>384</v>
      </c>
      <c r="F98" s="21" t="s">
        <v>385</v>
      </c>
      <c r="G98" s="8" t="str">
        <f t="shared" si="1"/>
        <v>YANAI IAN</v>
      </c>
    </row>
    <row r="99" spans="1:7" x14ac:dyDescent="0.25">
      <c r="A99" s="8">
        <v>42741.465416666666</v>
      </c>
      <c r="B99" s="21" t="s">
        <v>294</v>
      </c>
      <c r="C99" s="21" t="s">
        <v>454</v>
      </c>
      <c r="D99" s="160">
        <v>2370000</v>
      </c>
      <c r="E99" s="21" t="s">
        <v>389</v>
      </c>
      <c r="F99" s="21" t="s">
        <v>390</v>
      </c>
      <c r="G99" s="8" t="str">
        <f t="shared" si="1"/>
        <v>DELGADO DIANAH</v>
      </c>
    </row>
    <row r="100" spans="1:7" x14ac:dyDescent="0.25">
      <c r="A100" s="8">
        <v>42741.465810185182</v>
      </c>
      <c r="B100" s="21" t="s">
        <v>308</v>
      </c>
      <c r="C100" s="21" t="s">
        <v>552</v>
      </c>
      <c r="D100" s="160">
        <v>1770000</v>
      </c>
      <c r="E100" s="21" t="s">
        <v>358</v>
      </c>
      <c r="F100" s="21" t="s">
        <v>359</v>
      </c>
      <c r="G100" s="8" t="str">
        <f t="shared" si="1"/>
        <v>BRUDER RICHARD</v>
      </c>
    </row>
    <row r="101" spans="1:7" x14ac:dyDescent="0.25">
      <c r="A101" s="8">
        <v>42741.47587962963</v>
      </c>
      <c r="B101" s="21" t="s">
        <v>261</v>
      </c>
      <c r="C101" s="21" t="s">
        <v>553</v>
      </c>
      <c r="D101" s="160">
        <v>930000</v>
      </c>
      <c r="E101" s="21" t="s">
        <v>319</v>
      </c>
      <c r="F101" s="21" t="s">
        <v>320</v>
      </c>
      <c r="G101" s="8" t="str">
        <f t="shared" si="1"/>
        <v>CLARK KATHLEEN</v>
      </c>
    </row>
    <row r="102" spans="1:7" x14ac:dyDescent="0.25">
      <c r="A102" s="8">
        <v>42741.476666666669</v>
      </c>
      <c r="B102" s="21" t="s">
        <v>253</v>
      </c>
      <c r="C102" s="21" t="s">
        <v>554</v>
      </c>
      <c r="D102" s="160">
        <v>2730000</v>
      </c>
      <c r="E102" s="21" t="s">
        <v>352</v>
      </c>
      <c r="F102" s="21" t="s">
        <v>353</v>
      </c>
      <c r="G102" s="8" t="str">
        <f t="shared" si="1"/>
        <v>YANG JAN</v>
      </c>
    </row>
    <row r="103" spans="1:7" x14ac:dyDescent="0.25">
      <c r="A103" s="8">
        <v>42741.488298611112</v>
      </c>
      <c r="B103" s="21" t="s">
        <v>210</v>
      </c>
      <c r="C103" s="21" t="s">
        <v>455</v>
      </c>
      <c r="D103" s="160">
        <v>1770000</v>
      </c>
      <c r="E103" s="21" t="s">
        <v>358</v>
      </c>
      <c r="F103" s="21" t="s">
        <v>359</v>
      </c>
      <c r="G103" s="8" t="str">
        <f t="shared" si="1"/>
        <v>BRUDER RICHARD</v>
      </c>
    </row>
    <row r="104" spans="1:7" x14ac:dyDescent="0.25">
      <c r="A104" s="8">
        <v>42741.490451388891</v>
      </c>
      <c r="B104" s="21" t="s">
        <v>212</v>
      </c>
      <c r="C104" s="21" t="s">
        <v>555</v>
      </c>
      <c r="D104" s="160">
        <v>890000</v>
      </c>
      <c r="E104" s="21" t="s">
        <v>333</v>
      </c>
      <c r="F104" s="21" t="s">
        <v>334</v>
      </c>
      <c r="G104" s="8" t="str">
        <f t="shared" si="1"/>
        <v>LOZA FIDEL</v>
      </c>
    </row>
    <row r="105" spans="1:7" x14ac:dyDescent="0.25">
      <c r="A105" s="8">
        <v>42741.495381944442</v>
      </c>
      <c r="B105" s="21" t="s">
        <v>381</v>
      </c>
      <c r="C105" s="21" t="s">
        <v>556</v>
      </c>
      <c r="D105" s="160">
        <v>880000</v>
      </c>
      <c r="E105" s="21" t="s">
        <v>549</v>
      </c>
      <c r="F105" s="21" t="s">
        <v>248</v>
      </c>
      <c r="G105" s="8" t="str">
        <f t="shared" si="1"/>
        <v>STEWART MICHAEL</v>
      </c>
    </row>
    <row r="106" spans="1:7" x14ac:dyDescent="0.25">
      <c r="A106" s="8">
        <v>42741.496898148151</v>
      </c>
      <c r="B106" s="21" t="s">
        <v>300</v>
      </c>
      <c r="C106" s="21" t="s">
        <v>557</v>
      </c>
      <c r="D106" s="160">
        <v>1540000</v>
      </c>
      <c r="E106" s="21" t="s">
        <v>356</v>
      </c>
      <c r="F106" s="21" t="s">
        <v>357</v>
      </c>
      <c r="G106" s="8" t="str">
        <f t="shared" si="1"/>
        <v>HELVIE ADAM</v>
      </c>
    </row>
    <row r="107" spans="1:7" x14ac:dyDescent="0.25">
      <c r="A107" s="8">
        <v>42741.501608796294</v>
      </c>
      <c r="B107" s="21" t="s">
        <v>466</v>
      </c>
      <c r="C107" s="21" t="s">
        <v>558</v>
      </c>
      <c r="D107" s="160">
        <v>2370000</v>
      </c>
      <c r="E107" s="21" t="s">
        <v>389</v>
      </c>
      <c r="F107" s="21" t="s">
        <v>390</v>
      </c>
      <c r="G107" s="8" t="str">
        <f t="shared" si="1"/>
        <v>DELGADO DIANAH</v>
      </c>
    </row>
    <row r="108" spans="1:7" x14ac:dyDescent="0.25">
      <c r="A108" s="8">
        <v>42741.506608796299</v>
      </c>
      <c r="B108" s="21" t="s">
        <v>183</v>
      </c>
      <c r="C108" s="21" t="s">
        <v>559</v>
      </c>
      <c r="D108" s="160">
        <v>2360000</v>
      </c>
      <c r="E108" s="21" t="s">
        <v>387</v>
      </c>
      <c r="F108" s="21" t="s">
        <v>388</v>
      </c>
      <c r="G108" s="8" t="str">
        <f t="shared" si="1"/>
        <v>BRANDNER MELINDA</v>
      </c>
    </row>
    <row r="109" spans="1:7" x14ac:dyDescent="0.25">
      <c r="A109" s="8">
        <v>42741.512349537035</v>
      </c>
      <c r="B109" s="21" t="s">
        <v>262</v>
      </c>
      <c r="C109" s="21" t="s">
        <v>560</v>
      </c>
      <c r="D109" s="160">
        <v>930000</v>
      </c>
      <c r="E109" s="21" t="s">
        <v>319</v>
      </c>
      <c r="F109" s="21" t="s">
        <v>320</v>
      </c>
      <c r="G109" s="8" t="str">
        <f t="shared" si="1"/>
        <v>CLARK KATHLEEN</v>
      </c>
    </row>
    <row r="110" spans="1:7" x14ac:dyDescent="0.25">
      <c r="A110" s="8">
        <v>42741.517418981479</v>
      </c>
      <c r="B110" s="21" t="s">
        <v>254</v>
      </c>
      <c r="C110" s="21" t="s">
        <v>561</v>
      </c>
      <c r="D110" s="160">
        <v>1190000</v>
      </c>
      <c r="E110" s="21" t="s">
        <v>335</v>
      </c>
      <c r="F110" s="21" t="s">
        <v>336</v>
      </c>
      <c r="G110" s="8" t="str">
        <f t="shared" si="1"/>
        <v>BRANNON JEFFREY</v>
      </c>
    </row>
    <row r="111" spans="1:7" x14ac:dyDescent="0.25">
      <c r="A111" s="8">
        <v>42741.525011574071</v>
      </c>
      <c r="B111" s="21" t="s">
        <v>349</v>
      </c>
      <c r="C111" s="21" t="s">
        <v>562</v>
      </c>
      <c r="D111" s="160">
        <v>1770000</v>
      </c>
      <c r="E111" s="21" t="s">
        <v>358</v>
      </c>
      <c r="F111" s="21" t="s">
        <v>359</v>
      </c>
      <c r="G111" s="8" t="str">
        <f t="shared" si="1"/>
        <v>BRUDER RICHARD</v>
      </c>
    </row>
    <row r="112" spans="1:7" x14ac:dyDescent="0.25">
      <c r="A112" s="8">
        <v>42741.528784722221</v>
      </c>
      <c r="B112" s="21" t="s">
        <v>391</v>
      </c>
      <c r="C112" s="21" t="s">
        <v>456</v>
      </c>
      <c r="D112" s="160">
        <v>880000</v>
      </c>
      <c r="E112" s="21" t="s">
        <v>549</v>
      </c>
      <c r="F112" s="21" t="s">
        <v>248</v>
      </c>
      <c r="G112" s="8" t="str">
        <f t="shared" si="1"/>
        <v>STEWART MICHAEL</v>
      </c>
    </row>
    <row r="113" spans="1:7" x14ac:dyDescent="0.25">
      <c r="A113" s="8">
        <v>42741.537245370368</v>
      </c>
      <c r="B113" s="21" t="s">
        <v>299</v>
      </c>
      <c r="C113" s="21" t="s">
        <v>563</v>
      </c>
      <c r="D113" s="160">
        <v>1540000</v>
      </c>
      <c r="E113" s="21" t="s">
        <v>356</v>
      </c>
      <c r="F113" s="21" t="s">
        <v>357</v>
      </c>
      <c r="G113" s="8" t="str">
        <f t="shared" si="1"/>
        <v>HELVIE ADAM</v>
      </c>
    </row>
    <row r="114" spans="1:7" x14ac:dyDescent="0.25">
      <c r="A114" s="8">
        <v>42741.538599537038</v>
      </c>
      <c r="B114" s="21" t="s">
        <v>294</v>
      </c>
      <c r="C114" s="21" t="s">
        <v>564</v>
      </c>
      <c r="D114" s="160">
        <v>2370000</v>
      </c>
      <c r="E114" s="21" t="s">
        <v>389</v>
      </c>
      <c r="F114" s="21" t="s">
        <v>390</v>
      </c>
      <c r="G114" s="8" t="str">
        <f t="shared" si="1"/>
        <v>DELGADO DIANAH</v>
      </c>
    </row>
    <row r="115" spans="1:7" x14ac:dyDescent="0.25">
      <c r="A115" s="8">
        <v>42741.544537037036</v>
      </c>
      <c r="B115" s="21" t="s">
        <v>329</v>
      </c>
      <c r="C115" s="21" t="s">
        <v>565</v>
      </c>
      <c r="D115" s="160">
        <v>2360000</v>
      </c>
      <c r="E115" s="21" t="s">
        <v>387</v>
      </c>
      <c r="F115" s="21" t="s">
        <v>388</v>
      </c>
      <c r="G115" s="8" t="str">
        <f t="shared" si="1"/>
        <v>BRANDNER MELINDA</v>
      </c>
    </row>
    <row r="116" spans="1:7" x14ac:dyDescent="0.25">
      <c r="A116" s="8">
        <v>42741.547789351855</v>
      </c>
      <c r="B116" s="21" t="s">
        <v>253</v>
      </c>
      <c r="C116" s="21" t="s">
        <v>566</v>
      </c>
      <c r="D116" s="160">
        <v>1190000</v>
      </c>
      <c r="E116" s="21" t="s">
        <v>335</v>
      </c>
      <c r="F116" s="21" t="s">
        <v>336</v>
      </c>
      <c r="G116" s="8" t="str">
        <f t="shared" si="1"/>
        <v>BRANNON JEFFREY</v>
      </c>
    </row>
    <row r="117" spans="1:7" x14ac:dyDescent="0.25">
      <c r="A117" s="8">
        <v>42741.548738425925</v>
      </c>
      <c r="B117" s="21" t="s">
        <v>261</v>
      </c>
      <c r="C117" s="21" t="s">
        <v>567</v>
      </c>
      <c r="D117" s="160">
        <v>930000</v>
      </c>
      <c r="E117" s="21" t="s">
        <v>319</v>
      </c>
      <c r="F117" s="21" t="s">
        <v>320</v>
      </c>
      <c r="G117" s="8" t="str">
        <f t="shared" si="1"/>
        <v>CLARK KATHLEEN</v>
      </c>
    </row>
    <row r="118" spans="1:7" x14ac:dyDescent="0.25">
      <c r="A118" s="8">
        <v>42741.55741898148</v>
      </c>
      <c r="B118" s="21" t="s">
        <v>210</v>
      </c>
      <c r="C118" s="21" t="s">
        <v>568</v>
      </c>
      <c r="D118" s="160">
        <v>1770000</v>
      </c>
      <c r="E118" s="21" t="s">
        <v>358</v>
      </c>
      <c r="F118" s="21" t="s">
        <v>359</v>
      </c>
      <c r="G118" s="8" t="str">
        <f t="shared" si="1"/>
        <v>BRUDER RICHARD</v>
      </c>
    </row>
    <row r="119" spans="1:7" x14ac:dyDescent="0.25">
      <c r="A119" s="8">
        <v>42741.569398148145</v>
      </c>
      <c r="B119" s="21" t="s">
        <v>381</v>
      </c>
      <c r="C119" s="21" t="s">
        <v>457</v>
      </c>
      <c r="D119" s="160">
        <v>880000</v>
      </c>
      <c r="E119" s="21" t="s">
        <v>549</v>
      </c>
      <c r="F119" s="21" t="s">
        <v>248</v>
      </c>
      <c r="G119" s="8" t="str">
        <f t="shared" si="1"/>
        <v>STEWART MICHAEL</v>
      </c>
    </row>
    <row r="120" spans="1:7" x14ac:dyDescent="0.25">
      <c r="A120" s="8">
        <v>42741.569780092592</v>
      </c>
      <c r="B120" s="21" t="s">
        <v>300</v>
      </c>
      <c r="C120" s="21" t="s">
        <v>569</v>
      </c>
      <c r="D120" s="160">
        <v>1540000</v>
      </c>
      <c r="E120" s="21" t="s">
        <v>356</v>
      </c>
      <c r="F120" s="21" t="s">
        <v>357</v>
      </c>
      <c r="G120" s="8" t="str">
        <f t="shared" si="1"/>
        <v>HELVIE ADAM</v>
      </c>
    </row>
    <row r="121" spans="1:7" x14ac:dyDescent="0.25">
      <c r="A121" s="8">
        <v>42741.574236111112</v>
      </c>
      <c r="B121" s="21" t="s">
        <v>466</v>
      </c>
      <c r="C121" s="21" t="s">
        <v>570</v>
      </c>
      <c r="D121" s="160">
        <v>2370000</v>
      </c>
      <c r="E121" s="21" t="s">
        <v>389</v>
      </c>
      <c r="F121" s="21" t="s">
        <v>390</v>
      </c>
      <c r="G121" s="8" t="str">
        <f t="shared" si="1"/>
        <v>DELGADO DIANAH</v>
      </c>
    </row>
    <row r="122" spans="1:7" x14ac:dyDescent="0.25">
      <c r="A122" s="8">
        <v>42741.581145833334</v>
      </c>
      <c r="B122" s="26" t="s">
        <v>183</v>
      </c>
      <c r="C122" s="21" t="s">
        <v>458</v>
      </c>
      <c r="D122" s="160">
        <v>2360000</v>
      </c>
      <c r="E122" s="21" t="s">
        <v>387</v>
      </c>
      <c r="F122" s="21" t="s">
        <v>388</v>
      </c>
      <c r="G122" s="8" t="str">
        <f t="shared" si="1"/>
        <v>BRANDNER MELINDA</v>
      </c>
    </row>
    <row r="123" spans="1:7" x14ac:dyDescent="0.25">
      <c r="A123" s="8">
        <v>42741.587488425925</v>
      </c>
      <c r="B123" s="21" t="s">
        <v>262</v>
      </c>
      <c r="C123" s="21" t="s">
        <v>571</v>
      </c>
      <c r="D123" s="160">
        <v>930000</v>
      </c>
      <c r="E123" s="21" t="s">
        <v>319</v>
      </c>
      <c r="F123" s="21" t="s">
        <v>320</v>
      </c>
      <c r="G123" s="8" t="str">
        <f t="shared" si="1"/>
        <v>CLARK KATHLEEN</v>
      </c>
    </row>
    <row r="124" spans="1:7" x14ac:dyDescent="0.25">
      <c r="A124" s="8">
        <v>42741.589594907404</v>
      </c>
      <c r="B124" s="21" t="s">
        <v>254</v>
      </c>
      <c r="C124" s="21" t="s">
        <v>572</v>
      </c>
      <c r="D124" s="160">
        <v>1190000</v>
      </c>
      <c r="E124" s="21" t="s">
        <v>335</v>
      </c>
      <c r="F124" s="21" t="s">
        <v>336</v>
      </c>
      <c r="G124" s="8" t="str">
        <f t="shared" si="1"/>
        <v>BRANNON JEFFREY</v>
      </c>
    </row>
    <row r="125" spans="1:7" x14ac:dyDescent="0.25">
      <c r="A125" s="8">
        <v>42741.59584490741</v>
      </c>
      <c r="B125" s="21" t="s">
        <v>349</v>
      </c>
      <c r="C125" s="21" t="s">
        <v>573</v>
      </c>
      <c r="D125" s="160">
        <v>1770000</v>
      </c>
      <c r="E125" s="21" t="s">
        <v>358</v>
      </c>
      <c r="F125" s="21" t="s">
        <v>359</v>
      </c>
      <c r="G125" s="8" t="str">
        <f t="shared" si="1"/>
        <v>BRUDER RICHARD</v>
      </c>
    </row>
    <row r="126" spans="1:7" x14ac:dyDescent="0.25">
      <c r="A126" s="8">
        <v>42741.600381944445</v>
      </c>
      <c r="B126" s="21" t="s">
        <v>391</v>
      </c>
      <c r="C126" s="21" t="s">
        <v>574</v>
      </c>
      <c r="D126" s="160">
        <v>880000</v>
      </c>
      <c r="E126" s="21" t="s">
        <v>549</v>
      </c>
      <c r="F126" s="21" t="s">
        <v>248</v>
      </c>
      <c r="G126" s="8" t="str">
        <f t="shared" si="1"/>
        <v>STEWART MICHAEL</v>
      </c>
    </row>
    <row r="127" spans="1:7" x14ac:dyDescent="0.25">
      <c r="A127" s="8">
        <v>42741.608344907407</v>
      </c>
      <c r="B127" s="21" t="s">
        <v>299</v>
      </c>
      <c r="C127" s="21" t="s">
        <v>575</v>
      </c>
      <c r="D127" s="160">
        <v>1540000</v>
      </c>
      <c r="E127" s="21" t="s">
        <v>356</v>
      </c>
      <c r="F127" s="21" t="s">
        <v>357</v>
      </c>
      <c r="G127" s="8" t="str">
        <f t="shared" si="1"/>
        <v>HELVIE ADAM</v>
      </c>
    </row>
    <row r="128" spans="1:7" x14ac:dyDescent="0.25">
      <c r="A128" s="8">
        <v>42741.610532407409</v>
      </c>
      <c r="B128" s="21" t="s">
        <v>294</v>
      </c>
      <c r="C128" s="21" t="s">
        <v>576</v>
      </c>
      <c r="D128" s="160">
        <v>2370000</v>
      </c>
      <c r="E128" s="21" t="s">
        <v>389</v>
      </c>
      <c r="F128" s="21" t="s">
        <v>390</v>
      </c>
      <c r="G128" s="8" t="str">
        <f t="shared" si="1"/>
        <v>DELGADO DIANAH</v>
      </c>
    </row>
    <row r="129" spans="1:7" x14ac:dyDescent="0.25">
      <c r="A129" s="8">
        <v>42741.616956018515</v>
      </c>
      <c r="B129" s="21" t="s">
        <v>329</v>
      </c>
      <c r="C129" s="21" t="s">
        <v>577</v>
      </c>
      <c r="D129" s="160">
        <v>2480000</v>
      </c>
      <c r="E129" s="21" t="s">
        <v>578</v>
      </c>
      <c r="F129" s="21" t="s">
        <v>282</v>
      </c>
      <c r="G129" s="8" t="str">
        <f t="shared" si="1"/>
        <v>WHITED DUSTIN</v>
      </c>
    </row>
    <row r="130" spans="1:7" x14ac:dyDescent="0.25">
      <c r="A130" s="8">
        <v>42741.622037037036</v>
      </c>
      <c r="B130" s="21" t="s">
        <v>261</v>
      </c>
      <c r="C130" s="21" t="s">
        <v>579</v>
      </c>
      <c r="D130" s="160">
        <v>930000</v>
      </c>
      <c r="E130" s="21" t="s">
        <v>319</v>
      </c>
      <c r="F130" s="21" t="s">
        <v>320</v>
      </c>
      <c r="G130" s="8" t="str">
        <f t="shared" si="1"/>
        <v>CLARK KATHLEEN</v>
      </c>
    </row>
    <row r="131" spans="1:7" x14ac:dyDescent="0.25">
      <c r="A131" s="8">
        <v>42741.628495370373</v>
      </c>
      <c r="B131" s="21" t="s">
        <v>296</v>
      </c>
      <c r="C131" s="21" t="s">
        <v>580</v>
      </c>
      <c r="D131" s="160">
        <v>1780000</v>
      </c>
      <c r="E131" s="21" t="s">
        <v>354</v>
      </c>
      <c r="F131" s="21" t="s">
        <v>355</v>
      </c>
      <c r="G131" s="8" t="str">
        <f t="shared" ref="G131:G194" si="2">E131&amp;" "&amp;F131</f>
        <v>DE LA ROSA ALEX</v>
      </c>
    </row>
    <row r="132" spans="1:7" x14ac:dyDescent="0.25">
      <c r="A132" s="8">
        <v>42741.630347222221</v>
      </c>
      <c r="B132" s="21" t="s">
        <v>253</v>
      </c>
      <c r="C132" s="21" t="s">
        <v>581</v>
      </c>
      <c r="D132" s="160">
        <v>1190000</v>
      </c>
      <c r="E132" s="21" t="s">
        <v>335</v>
      </c>
      <c r="F132" s="21" t="s">
        <v>336</v>
      </c>
      <c r="G132" s="8" t="str">
        <f t="shared" si="2"/>
        <v>BRANNON JEFFREY</v>
      </c>
    </row>
    <row r="133" spans="1:7" x14ac:dyDescent="0.25">
      <c r="A133" s="8">
        <v>42741.636643518519</v>
      </c>
      <c r="B133" s="21" t="s">
        <v>210</v>
      </c>
      <c r="C133" s="21" t="s">
        <v>582</v>
      </c>
      <c r="D133" s="160">
        <v>1770000</v>
      </c>
      <c r="E133" s="21" t="s">
        <v>358</v>
      </c>
      <c r="F133" s="21" t="s">
        <v>359</v>
      </c>
      <c r="G133" s="8" t="str">
        <f t="shared" si="2"/>
        <v>BRUDER RICHARD</v>
      </c>
    </row>
    <row r="134" spans="1:7" x14ac:dyDescent="0.25">
      <c r="A134" s="8">
        <v>42741.637881944444</v>
      </c>
      <c r="B134" s="21" t="s">
        <v>222</v>
      </c>
      <c r="C134" s="21" t="s">
        <v>583</v>
      </c>
      <c r="D134" s="160">
        <v>1180000</v>
      </c>
      <c r="E134" s="21" t="s">
        <v>321</v>
      </c>
      <c r="F134" s="21" t="s">
        <v>322</v>
      </c>
      <c r="G134" s="8" t="str">
        <f t="shared" si="2"/>
        <v>LEVERE CRAIG</v>
      </c>
    </row>
    <row r="135" spans="1:7" x14ac:dyDescent="0.25">
      <c r="A135" s="8">
        <v>42741.640173611115</v>
      </c>
      <c r="B135" s="21" t="s">
        <v>381</v>
      </c>
      <c r="C135" s="21" t="s">
        <v>584</v>
      </c>
      <c r="D135" s="160">
        <v>880000</v>
      </c>
      <c r="E135" s="21" t="s">
        <v>549</v>
      </c>
      <c r="F135" s="21" t="s">
        <v>248</v>
      </c>
      <c r="G135" s="8" t="str">
        <f t="shared" si="2"/>
        <v>STEWART MICHAEL</v>
      </c>
    </row>
    <row r="136" spans="1:7" x14ac:dyDescent="0.25">
      <c r="A136" s="8">
        <v>42741.645902777775</v>
      </c>
      <c r="B136" s="21" t="s">
        <v>300</v>
      </c>
      <c r="C136" s="21" t="s">
        <v>585</v>
      </c>
      <c r="D136" s="160">
        <v>1540000</v>
      </c>
      <c r="E136" s="21" t="s">
        <v>356</v>
      </c>
      <c r="F136" s="21" t="s">
        <v>357</v>
      </c>
      <c r="G136" s="8" t="str">
        <f t="shared" si="2"/>
        <v>HELVIE ADAM</v>
      </c>
    </row>
    <row r="137" spans="1:7" x14ac:dyDescent="0.25">
      <c r="A137" s="8">
        <v>42741.651388888888</v>
      </c>
      <c r="B137" s="21" t="s">
        <v>466</v>
      </c>
      <c r="C137" s="21" t="s">
        <v>586</v>
      </c>
      <c r="D137" s="160">
        <v>2370000</v>
      </c>
      <c r="E137" s="21" t="s">
        <v>389</v>
      </c>
      <c r="F137" s="21" t="s">
        <v>390</v>
      </c>
      <c r="G137" s="8" t="str">
        <f t="shared" si="2"/>
        <v>DELGADO DIANAH</v>
      </c>
    </row>
    <row r="138" spans="1:7" x14ac:dyDescent="0.25">
      <c r="A138" s="8">
        <v>42741.651759259257</v>
      </c>
      <c r="B138" s="21" t="s">
        <v>252</v>
      </c>
      <c r="C138" s="21" t="s">
        <v>459</v>
      </c>
      <c r="D138" s="160">
        <v>1180000</v>
      </c>
      <c r="E138" s="21" t="s">
        <v>321</v>
      </c>
      <c r="F138" s="21" t="s">
        <v>322</v>
      </c>
      <c r="G138" s="8" t="str">
        <f t="shared" si="2"/>
        <v>LEVERE CRAIG</v>
      </c>
    </row>
    <row r="139" spans="1:7" x14ac:dyDescent="0.25">
      <c r="A139" s="8">
        <v>42741.65221064815</v>
      </c>
      <c r="B139" s="21" t="s">
        <v>227</v>
      </c>
      <c r="C139" s="21" t="s">
        <v>587</v>
      </c>
      <c r="D139" s="160">
        <v>2230000</v>
      </c>
      <c r="E139" s="21" t="s">
        <v>257</v>
      </c>
      <c r="F139" s="21" t="s">
        <v>248</v>
      </c>
      <c r="G139" s="8" t="str">
        <f t="shared" si="2"/>
        <v>SMITH MICHAEL</v>
      </c>
    </row>
    <row r="140" spans="1:7" x14ac:dyDescent="0.25">
      <c r="A140" s="8">
        <v>42741.662199074075</v>
      </c>
      <c r="B140" s="21" t="s">
        <v>262</v>
      </c>
      <c r="C140" s="21" t="s">
        <v>588</v>
      </c>
      <c r="D140" s="160">
        <v>930000</v>
      </c>
      <c r="E140" s="21" t="s">
        <v>319</v>
      </c>
      <c r="F140" s="21" t="s">
        <v>320</v>
      </c>
      <c r="G140" s="8" t="str">
        <f t="shared" si="2"/>
        <v>CLARK KATHLEEN</v>
      </c>
    </row>
    <row r="141" spans="1:7" x14ac:dyDescent="0.25">
      <c r="A141" s="8">
        <v>42741.666655092595</v>
      </c>
      <c r="B141" s="21" t="s">
        <v>183</v>
      </c>
      <c r="C141" s="21" t="s">
        <v>589</v>
      </c>
      <c r="D141" s="160">
        <v>2360000</v>
      </c>
      <c r="E141" s="21" t="s">
        <v>387</v>
      </c>
      <c r="F141" s="21" t="s">
        <v>388</v>
      </c>
      <c r="G141" s="8" t="str">
        <f t="shared" si="2"/>
        <v>BRANDNER MELINDA</v>
      </c>
    </row>
    <row r="142" spans="1:7" x14ac:dyDescent="0.25">
      <c r="A142" s="8">
        <v>42741.668252314812</v>
      </c>
      <c r="B142" s="21" t="s">
        <v>222</v>
      </c>
      <c r="C142" s="21" t="s">
        <v>590</v>
      </c>
      <c r="D142" s="160">
        <v>1180000</v>
      </c>
      <c r="E142" s="21" t="s">
        <v>321</v>
      </c>
      <c r="F142" s="21" t="s">
        <v>322</v>
      </c>
      <c r="G142" s="8" t="str">
        <f t="shared" si="2"/>
        <v>LEVERE CRAIG</v>
      </c>
    </row>
    <row r="143" spans="1:7" x14ac:dyDescent="0.25">
      <c r="A143" s="8">
        <v>42741.672025462962</v>
      </c>
      <c r="B143" s="21" t="s">
        <v>254</v>
      </c>
      <c r="C143" s="21" t="s">
        <v>591</v>
      </c>
      <c r="D143" s="160">
        <v>1190000</v>
      </c>
      <c r="E143" s="21" t="s">
        <v>335</v>
      </c>
      <c r="F143" s="21" t="s">
        <v>336</v>
      </c>
      <c r="G143" s="8" t="str">
        <f t="shared" si="2"/>
        <v>BRANNON JEFFREY</v>
      </c>
    </row>
    <row r="144" spans="1:7" x14ac:dyDescent="0.25">
      <c r="A144" s="8">
        <v>42741.673784722225</v>
      </c>
      <c r="B144" s="21" t="s">
        <v>296</v>
      </c>
      <c r="C144" s="21" t="s">
        <v>592</v>
      </c>
      <c r="D144" s="160">
        <v>2230000</v>
      </c>
      <c r="E144" s="21" t="s">
        <v>257</v>
      </c>
      <c r="F144" s="21" t="s">
        <v>248</v>
      </c>
      <c r="G144" s="8" t="str">
        <f t="shared" si="2"/>
        <v>SMITH MICHAEL</v>
      </c>
    </row>
    <row r="145" spans="1:7" x14ac:dyDescent="0.25">
      <c r="A145" s="8">
        <v>42741.679722222223</v>
      </c>
      <c r="B145" s="21" t="s">
        <v>349</v>
      </c>
      <c r="C145" s="21" t="s">
        <v>593</v>
      </c>
      <c r="D145" s="160">
        <v>1770000</v>
      </c>
      <c r="E145" s="21" t="s">
        <v>358</v>
      </c>
      <c r="F145" s="21" t="s">
        <v>359</v>
      </c>
      <c r="G145" s="8" t="str">
        <f t="shared" si="2"/>
        <v>BRUDER RICHARD</v>
      </c>
    </row>
    <row r="146" spans="1:7" x14ac:dyDescent="0.25">
      <c r="A146" s="8">
        <v>42741.681701388887</v>
      </c>
      <c r="B146" s="21" t="s">
        <v>391</v>
      </c>
      <c r="C146" s="21" t="s">
        <v>594</v>
      </c>
      <c r="D146" s="160">
        <v>880000</v>
      </c>
      <c r="E146" s="21" t="s">
        <v>549</v>
      </c>
      <c r="F146" s="21" t="s">
        <v>248</v>
      </c>
      <c r="G146" s="8" t="str">
        <f t="shared" si="2"/>
        <v>STEWART MICHAEL</v>
      </c>
    </row>
    <row r="147" spans="1:7" x14ac:dyDescent="0.25">
      <c r="A147" s="8">
        <v>42741.686145833337</v>
      </c>
      <c r="B147" s="21" t="s">
        <v>299</v>
      </c>
      <c r="C147" s="21" t="s">
        <v>595</v>
      </c>
      <c r="D147" s="160">
        <v>1540000</v>
      </c>
      <c r="E147" s="21" t="s">
        <v>356</v>
      </c>
      <c r="F147" s="21" t="s">
        <v>357</v>
      </c>
      <c r="G147" s="8" t="str">
        <f t="shared" si="2"/>
        <v>HELVIE ADAM</v>
      </c>
    </row>
    <row r="148" spans="1:7" x14ac:dyDescent="0.25">
      <c r="A148" s="8">
        <v>42741.688379629632</v>
      </c>
      <c r="B148" s="21" t="s">
        <v>227</v>
      </c>
      <c r="C148" s="21" t="s">
        <v>460</v>
      </c>
      <c r="D148" s="160">
        <v>2230000</v>
      </c>
      <c r="E148" s="21" t="s">
        <v>257</v>
      </c>
      <c r="F148" s="21" t="s">
        <v>248</v>
      </c>
      <c r="G148" s="8" t="str">
        <f t="shared" si="2"/>
        <v>SMITH MICHAEL</v>
      </c>
    </row>
    <row r="149" spans="1:7" x14ac:dyDescent="0.25">
      <c r="A149" s="8">
        <v>42741.691805555558</v>
      </c>
      <c r="B149" s="21" t="s">
        <v>294</v>
      </c>
      <c r="C149" s="21" t="s">
        <v>596</v>
      </c>
      <c r="D149" s="160">
        <v>2370000</v>
      </c>
      <c r="E149" s="21" t="s">
        <v>389</v>
      </c>
      <c r="F149" s="21" t="s">
        <v>390</v>
      </c>
      <c r="G149" s="8" t="str">
        <f t="shared" si="2"/>
        <v>DELGADO DIANAH</v>
      </c>
    </row>
    <row r="150" spans="1:7" x14ac:dyDescent="0.25">
      <c r="A150" s="8">
        <v>42741.692812499998</v>
      </c>
      <c r="B150" s="21" t="s">
        <v>252</v>
      </c>
      <c r="C150" s="21" t="s">
        <v>597</v>
      </c>
      <c r="D150" s="160">
        <v>1180000</v>
      </c>
      <c r="E150" s="21" t="s">
        <v>321</v>
      </c>
      <c r="F150" s="21" t="s">
        <v>322</v>
      </c>
      <c r="G150" s="8" t="str">
        <f t="shared" si="2"/>
        <v>LEVERE CRAIG</v>
      </c>
    </row>
    <row r="151" spans="1:7" x14ac:dyDescent="0.25">
      <c r="A151" s="8">
        <v>42741.704444444447</v>
      </c>
      <c r="B151" s="21" t="s">
        <v>329</v>
      </c>
      <c r="C151" s="21" t="s">
        <v>461</v>
      </c>
      <c r="D151" s="160">
        <v>2360000</v>
      </c>
      <c r="E151" s="21" t="s">
        <v>387</v>
      </c>
      <c r="F151" s="21" t="s">
        <v>388</v>
      </c>
      <c r="G151" s="8" t="str">
        <f t="shared" si="2"/>
        <v>BRANDNER MELINDA</v>
      </c>
    </row>
    <row r="152" spans="1:7" x14ac:dyDescent="0.25">
      <c r="A152" s="8">
        <v>42741.705243055556</v>
      </c>
      <c r="B152" s="21" t="s">
        <v>261</v>
      </c>
      <c r="C152" s="21" t="s">
        <v>598</v>
      </c>
      <c r="D152" s="160">
        <v>930000</v>
      </c>
      <c r="E152" s="21" t="s">
        <v>319</v>
      </c>
      <c r="F152" s="21" t="s">
        <v>320</v>
      </c>
      <c r="G152" s="8" t="str">
        <f t="shared" si="2"/>
        <v>CLARK KATHLEEN</v>
      </c>
    </row>
    <row r="153" spans="1:7" x14ac:dyDescent="0.25">
      <c r="A153" s="8">
        <v>42741.710925925923</v>
      </c>
      <c r="B153" s="21" t="s">
        <v>222</v>
      </c>
      <c r="C153" s="21" t="s">
        <v>599</v>
      </c>
      <c r="D153" s="160">
        <v>1180000</v>
      </c>
      <c r="E153" s="21" t="s">
        <v>321</v>
      </c>
      <c r="F153" s="21" t="s">
        <v>322</v>
      </c>
      <c r="G153" s="8" t="str">
        <f t="shared" si="2"/>
        <v>LEVERE CRAIG</v>
      </c>
    </row>
    <row r="154" spans="1:7" x14ac:dyDescent="0.25">
      <c r="A154" s="8">
        <v>42741.713310185187</v>
      </c>
      <c r="B154" s="21" t="s">
        <v>210</v>
      </c>
      <c r="C154" s="21" t="s">
        <v>600</v>
      </c>
      <c r="D154" s="160">
        <v>1770000</v>
      </c>
      <c r="E154" s="21" t="s">
        <v>358</v>
      </c>
      <c r="F154" s="21" t="s">
        <v>359</v>
      </c>
      <c r="G154" s="8" t="str">
        <f t="shared" si="2"/>
        <v>BRUDER RICHARD</v>
      </c>
    </row>
    <row r="155" spans="1:7" x14ac:dyDescent="0.25">
      <c r="A155" s="8">
        <v>42741.715462962966</v>
      </c>
      <c r="B155" s="21" t="s">
        <v>296</v>
      </c>
      <c r="C155" s="21" t="s">
        <v>601</v>
      </c>
      <c r="D155" s="160">
        <v>2230000</v>
      </c>
      <c r="E155" s="21" t="s">
        <v>257</v>
      </c>
      <c r="F155" s="21" t="s">
        <v>248</v>
      </c>
      <c r="G155" s="8" t="str">
        <f t="shared" si="2"/>
        <v>SMITH MICHAEL</v>
      </c>
    </row>
    <row r="156" spans="1:7" x14ac:dyDescent="0.25">
      <c r="A156" s="8">
        <v>42741.717187499999</v>
      </c>
      <c r="B156" s="21" t="s">
        <v>253</v>
      </c>
      <c r="C156" s="21" t="s">
        <v>602</v>
      </c>
      <c r="D156" s="160">
        <v>1190000</v>
      </c>
      <c r="E156" s="21" t="s">
        <v>335</v>
      </c>
      <c r="F156" s="21" t="s">
        <v>336</v>
      </c>
      <c r="G156" s="8" t="str">
        <f t="shared" si="2"/>
        <v>BRANNON JEFFREY</v>
      </c>
    </row>
    <row r="157" spans="1:7" x14ac:dyDescent="0.25">
      <c r="A157" s="8">
        <v>42741.724606481483</v>
      </c>
      <c r="B157" s="21" t="s">
        <v>381</v>
      </c>
      <c r="C157" s="21" t="s">
        <v>603</v>
      </c>
      <c r="D157" s="160">
        <v>880000</v>
      </c>
      <c r="E157" s="21" t="s">
        <v>549</v>
      </c>
      <c r="F157" s="21" t="s">
        <v>248</v>
      </c>
      <c r="G157" s="8" t="str">
        <f t="shared" si="2"/>
        <v>STEWART MICHAEL</v>
      </c>
    </row>
    <row r="158" spans="1:7" x14ac:dyDescent="0.25">
      <c r="A158" s="8">
        <v>42741.726956018516</v>
      </c>
      <c r="B158" s="21" t="s">
        <v>300</v>
      </c>
      <c r="C158" s="21" t="s">
        <v>604</v>
      </c>
      <c r="D158" s="160">
        <v>1540000</v>
      </c>
      <c r="E158" s="21" t="s">
        <v>356</v>
      </c>
      <c r="F158" s="21" t="s">
        <v>357</v>
      </c>
      <c r="G158" s="8" t="str">
        <f t="shared" si="2"/>
        <v>HELVIE ADAM</v>
      </c>
    </row>
    <row r="159" spans="1:7" x14ac:dyDescent="0.25">
      <c r="A159" s="8">
        <v>42741.731828703705</v>
      </c>
      <c r="B159" s="21" t="s">
        <v>227</v>
      </c>
      <c r="C159" s="21" t="s">
        <v>462</v>
      </c>
      <c r="D159" s="160">
        <v>2230000</v>
      </c>
      <c r="E159" s="21" t="s">
        <v>257</v>
      </c>
      <c r="F159" s="21" t="s">
        <v>248</v>
      </c>
      <c r="G159" s="8" t="str">
        <f t="shared" si="2"/>
        <v>SMITH MICHAEL</v>
      </c>
    </row>
    <row r="160" spans="1:7" x14ac:dyDescent="0.25">
      <c r="A160" s="8">
        <v>42741.73332175926</v>
      </c>
      <c r="B160" s="21" t="s">
        <v>466</v>
      </c>
      <c r="C160" s="21" t="s">
        <v>605</v>
      </c>
      <c r="D160" s="160">
        <v>2370000</v>
      </c>
      <c r="E160" s="21" t="s">
        <v>389</v>
      </c>
      <c r="F160" s="21" t="s">
        <v>390</v>
      </c>
      <c r="G160" s="8" t="str">
        <f t="shared" si="2"/>
        <v>DELGADO DIANAH</v>
      </c>
    </row>
    <row r="161" spans="1:7" x14ac:dyDescent="0.25">
      <c r="A161" s="8">
        <v>42741.735162037039</v>
      </c>
      <c r="B161" s="21" t="s">
        <v>252</v>
      </c>
      <c r="C161" s="21" t="s">
        <v>606</v>
      </c>
      <c r="D161" s="160">
        <v>1180000</v>
      </c>
      <c r="E161" s="21" t="s">
        <v>321</v>
      </c>
      <c r="F161" s="21" t="s">
        <v>322</v>
      </c>
      <c r="G161" s="8" t="str">
        <f t="shared" si="2"/>
        <v>LEVERE CRAIG</v>
      </c>
    </row>
    <row r="162" spans="1:7" x14ac:dyDescent="0.25">
      <c r="A162" s="8">
        <v>42741.737557870372</v>
      </c>
      <c r="B162" s="21" t="s">
        <v>308</v>
      </c>
      <c r="C162" s="21" t="s">
        <v>607</v>
      </c>
      <c r="D162" s="160">
        <v>2000000</v>
      </c>
      <c r="E162" s="21" t="s">
        <v>207</v>
      </c>
      <c r="F162" s="21" t="s">
        <v>239</v>
      </c>
      <c r="G162" s="8" t="str">
        <f t="shared" si="2"/>
        <v>STAMBAUGH JAMES</v>
      </c>
    </row>
    <row r="163" spans="1:7" x14ac:dyDescent="0.25">
      <c r="A163" s="8">
        <v>42741.74490740741</v>
      </c>
      <c r="B163" s="21" t="s">
        <v>183</v>
      </c>
      <c r="C163" s="21" t="s">
        <v>463</v>
      </c>
      <c r="D163" s="160">
        <v>2680000</v>
      </c>
      <c r="E163" s="21" t="s">
        <v>337</v>
      </c>
      <c r="F163" s="21" t="s">
        <v>338</v>
      </c>
      <c r="G163" s="8" t="str">
        <f t="shared" si="2"/>
        <v>DUNCAN SHEILA</v>
      </c>
    </row>
    <row r="164" spans="1:7" x14ac:dyDescent="0.25">
      <c r="A164" s="8">
        <v>42741.745798611111</v>
      </c>
      <c r="B164" s="21" t="s">
        <v>262</v>
      </c>
      <c r="C164" s="21" t="s">
        <v>608</v>
      </c>
      <c r="D164" s="160">
        <v>930000</v>
      </c>
      <c r="E164" s="21" t="s">
        <v>319</v>
      </c>
      <c r="F164" s="21" t="s">
        <v>320</v>
      </c>
      <c r="G164" s="8" t="str">
        <f t="shared" si="2"/>
        <v>CLARK KATHLEEN</v>
      </c>
    </row>
    <row r="165" spans="1:7" x14ac:dyDescent="0.25">
      <c r="A165" s="8">
        <v>42741.751064814816</v>
      </c>
      <c r="B165" s="21" t="s">
        <v>349</v>
      </c>
      <c r="C165" s="21" t="s">
        <v>609</v>
      </c>
      <c r="D165" s="160">
        <v>1770000</v>
      </c>
      <c r="E165" s="21" t="s">
        <v>358</v>
      </c>
      <c r="F165" s="21" t="s">
        <v>359</v>
      </c>
      <c r="G165" s="8" t="str">
        <f t="shared" si="2"/>
        <v>BRUDER RICHARD</v>
      </c>
    </row>
    <row r="166" spans="1:7" x14ac:dyDescent="0.25">
      <c r="A166" s="8">
        <v>42741.751620370371</v>
      </c>
      <c r="B166" s="21" t="s">
        <v>222</v>
      </c>
      <c r="C166" s="21" t="s">
        <v>610</v>
      </c>
      <c r="D166" s="160">
        <v>1180000</v>
      </c>
      <c r="E166" s="21" t="s">
        <v>321</v>
      </c>
      <c r="F166" s="21" t="s">
        <v>322</v>
      </c>
      <c r="G166" s="8" t="str">
        <f t="shared" si="2"/>
        <v>LEVERE CRAIG</v>
      </c>
    </row>
    <row r="167" spans="1:7" x14ac:dyDescent="0.25">
      <c r="A167" s="8">
        <v>42741.757094907407</v>
      </c>
      <c r="B167" s="21" t="s">
        <v>296</v>
      </c>
      <c r="C167" s="21" t="s">
        <v>611</v>
      </c>
      <c r="D167" s="160">
        <v>2230000</v>
      </c>
      <c r="E167" s="21" t="s">
        <v>257</v>
      </c>
      <c r="F167" s="21" t="s">
        <v>248</v>
      </c>
      <c r="G167" s="8" t="str">
        <f t="shared" si="2"/>
        <v>SMITH MICHAEL</v>
      </c>
    </row>
    <row r="168" spans="1:7" x14ac:dyDescent="0.25">
      <c r="A168" s="8">
        <v>42741.757523148146</v>
      </c>
      <c r="B168" s="21" t="s">
        <v>309</v>
      </c>
      <c r="C168" s="21" t="s">
        <v>612</v>
      </c>
      <c r="D168" s="160">
        <v>2480000</v>
      </c>
      <c r="E168" s="21" t="s">
        <v>578</v>
      </c>
      <c r="F168" s="21" t="s">
        <v>282</v>
      </c>
      <c r="G168" s="8" t="str">
        <f t="shared" si="2"/>
        <v>WHITED DUSTIN</v>
      </c>
    </row>
    <row r="169" spans="1:7" x14ac:dyDescent="0.25">
      <c r="A169" s="8">
        <v>42741.758090277777</v>
      </c>
      <c r="B169" s="21" t="s">
        <v>208</v>
      </c>
      <c r="C169" s="21" t="s">
        <v>613</v>
      </c>
      <c r="D169" s="160">
        <v>2610000</v>
      </c>
      <c r="E169" s="21" t="s">
        <v>614</v>
      </c>
      <c r="F169" s="21" t="s">
        <v>615</v>
      </c>
      <c r="G169" s="8" t="str">
        <f t="shared" si="2"/>
        <v>MAGEE KENYA</v>
      </c>
    </row>
    <row r="170" spans="1:7" x14ac:dyDescent="0.25">
      <c r="A170" s="8">
        <v>42741.758750000001</v>
      </c>
      <c r="B170" s="21" t="s">
        <v>208</v>
      </c>
      <c r="C170" s="21" t="s">
        <v>613</v>
      </c>
      <c r="D170" s="160">
        <v>2610000</v>
      </c>
      <c r="E170" s="21" t="s">
        <v>614</v>
      </c>
      <c r="F170" s="21" t="s">
        <v>615</v>
      </c>
      <c r="G170" s="8" t="str">
        <f t="shared" si="2"/>
        <v>MAGEE KENYA</v>
      </c>
    </row>
    <row r="171" spans="1:7" x14ac:dyDescent="0.25">
      <c r="A171" s="8">
        <v>42741.759965277779</v>
      </c>
      <c r="B171" s="21" t="s">
        <v>208</v>
      </c>
      <c r="C171" s="21" t="s">
        <v>613</v>
      </c>
      <c r="D171" s="160">
        <v>2610000</v>
      </c>
      <c r="E171" s="21" t="s">
        <v>614</v>
      </c>
      <c r="F171" s="21" t="s">
        <v>615</v>
      </c>
      <c r="G171" s="8" t="str">
        <f t="shared" si="2"/>
        <v>MAGEE KENYA</v>
      </c>
    </row>
    <row r="172" spans="1:7" x14ac:dyDescent="0.25">
      <c r="A172" s="8">
        <v>42741.760798611111</v>
      </c>
      <c r="B172" s="21" t="s">
        <v>208</v>
      </c>
      <c r="C172" s="21" t="s">
        <v>613</v>
      </c>
      <c r="D172" s="160">
        <v>2610000</v>
      </c>
      <c r="E172" s="21" t="s">
        <v>614</v>
      </c>
      <c r="F172" s="21" t="s">
        <v>615</v>
      </c>
      <c r="G172" s="8" t="str">
        <f t="shared" si="2"/>
        <v>MAGEE KENYA</v>
      </c>
    </row>
    <row r="173" spans="1:7" x14ac:dyDescent="0.25">
      <c r="A173" s="8">
        <v>42741.761655092596</v>
      </c>
      <c r="B173" s="21" t="s">
        <v>391</v>
      </c>
      <c r="C173" s="21" t="s">
        <v>616</v>
      </c>
      <c r="D173" s="160">
        <v>2000000</v>
      </c>
      <c r="E173" s="21" t="s">
        <v>207</v>
      </c>
      <c r="F173" s="21" t="s">
        <v>239</v>
      </c>
      <c r="G173" s="8" t="str">
        <f t="shared" si="2"/>
        <v>STAMBAUGH JAMES</v>
      </c>
    </row>
    <row r="174" spans="1:7" x14ac:dyDescent="0.25">
      <c r="A174" s="8">
        <v>42741.76258101852</v>
      </c>
      <c r="B174" s="21" t="s">
        <v>208</v>
      </c>
      <c r="C174" s="21" t="s">
        <v>613</v>
      </c>
      <c r="D174" s="160">
        <v>2610000</v>
      </c>
      <c r="E174" s="21" t="s">
        <v>614</v>
      </c>
      <c r="F174" s="21" t="s">
        <v>615</v>
      </c>
      <c r="G174" s="8" t="str">
        <f t="shared" si="2"/>
        <v>MAGEE KENYA</v>
      </c>
    </row>
    <row r="175" spans="1:7" x14ac:dyDescent="0.25">
      <c r="A175" s="8">
        <v>42741.76730324074</v>
      </c>
      <c r="B175" s="21" t="s">
        <v>299</v>
      </c>
      <c r="C175" s="21" t="s">
        <v>617</v>
      </c>
      <c r="D175" s="160">
        <v>1540000</v>
      </c>
      <c r="E175" s="21" t="s">
        <v>356</v>
      </c>
      <c r="F175" s="21" t="s">
        <v>357</v>
      </c>
      <c r="G175" s="8" t="str">
        <f t="shared" si="2"/>
        <v>HELVIE ADAM</v>
      </c>
    </row>
    <row r="176" spans="1:7" x14ac:dyDescent="0.25">
      <c r="A176" s="8">
        <v>42741.772361111114</v>
      </c>
      <c r="B176" s="21" t="s">
        <v>294</v>
      </c>
      <c r="C176" s="21" t="s">
        <v>618</v>
      </c>
      <c r="D176" s="160">
        <v>2220000</v>
      </c>
      <c r="E176" s="21" t="s">
        <v>281</v>
      </c>
      <c r="F176" s="21" t="s">
        <v>282</v>
      </c>
      <c r="G176" s="8" t="str">
        <f t="shared" si="2"/>
        <v>HILLS DUSTIN</v>
      </c>
    </row>
    <row r="177" spans="1:7" x14ac:dyDescent="0.25">
      <c r="A177" s="8">
        <v>42741.774756944447</v>
      </c>
      <c r="B177" s="21" t="s">
        <v>227</v>
      </c>
      <c r="C177" s="21" t="s">
        <v>619</v>
      </c>
      <c r="D177" s="160">
        <v>2230000</v>
      </c>
      <c r="E177" s="21" t="s">
        <v>257</v>
      </c>
      <c r="F177" s="21" t="s">
        <v>248</v>
      </c>
      <c r="G177" s="8" t="str">
        <f t="shared" si="2"/>
        <v>SMITH MICHAEL</v>
      </c>
    </row>
    <row r="178" spans="1:7" x14ac:dyDescent="0.25">
      <c r="A178" s="8">
        <v>42741.777118055557</v>
      </c>
      <c r="B178" s="21" t="s">
        <v>252</v>
      </c>
      <c r="C178" s="21" t="s">
        <v>620</v>
      </c>
      <c r="D178" s="160">
        <v>1180000</v>
      </c>
      <c r="E178" s="21" t="s">
        <v>321</v>
      </c>
      <c r="F178" s="21" t="s">
        <v>322</v>
      </c>
      <c r="G178" s="8" t="str">
        <f t="shared" si="2"/>
        <v>LEVERE CRAIG</v>
      </c>
    </row>
    <row r="179" spans="1:7" x14ac:dyDescent="0.25">
      <c r="A179" s="8">
        <v>42741.780057870368</v>
      </c>
      <c r="B179" s="21" t="s">
        <v>329</v>
      </c>
      <c r="C179" s="21" t="s">
        <v>621</v>
      </c>
      <c r="D179" s="160">
        <v>2680000</v>
      </c>
      <c r="E179" s="21" t="s">
        <v>337</v>
      </c>
      <c r="F179" s="21" t="s">
        <v>338</v>
      </c>
      <c r="G179" s="8" t="str">
        <f t="shared" si="2"/>
        <v>DUNCAN SHEILA</v>
      </c>
    </row>
    <row r="180" spans="1:7" x14ac:dyDescent="0.25">
      <c r="A180" s="8">
        <v>42741.789467592593</v>
      </c>
      <c r="B180" s="21" t="s">
        <v>261</v>
      </c>
      <c r="C180" s="21" t="s">
        <v>622</v>
      </c>
      <c r="D180" s="160">
        <v>930000</v>
      </c>
      <c r="E180" s="21" t="s">
        <v>319</v>
      </c>
      <c r="F180" s="21" t="s">
        <v>320</v>
      </c>
      <c r="G180" s="8" t="str">
        <f t="shared" si="2"/>
        <v>CLARK KATHLEEN</v>
      </c>
    </row>
    <row r="181" spans="1:7" x14ac:dyDescent="0.25">
      <c r="A181" s="8">
        <v>42741.789814814816</v>
      </c>
      <c r="B181" s="21" t="s">
        <v>316</v>
      </c>
      <c r="C181" s="21" t="s">
        <v>623</v>
      </c>
      <c r="D181" s="160">
        <v>2480000</v>
      </c>
      <c r="E181" s="21" t="s">
        <v>578</v>
      </c>
      <c r="F181" s="21" t="s">
        <v>282</v>
      </c>
      <c r="G181" s="8" t="str">
        <f t="shared" si="2"/>
        <v>WHITED DUSTIN</v>
      </c>
    </row>
    <row r="182" spans="1:7" x14ac:dyDescent="0.25">
      <c r="A182" s="8">
        <v>42741.790659722225</v>
      </c>
      <c r="B182" s="21" t="s">
        <v>210</v>
      </c>
      <c r="C182" s="21" t="s">
        <v>624</v>
      </c>
      <c r="D182" s="160">
        <v>2270000</v>
      </c>
      <c r="E182" s="21" t="s">
        <v>283</v>
      </c>
      <c r="F182" s="21" t="s">
        <v>284</v>
      </c>
      <c r="G182" s="8" t="str">
        <f t="shared" si="2"/>
        <v>BROWN JACOB</v>
      </c>
    </row>
    <row r="183" spans="1:7" x14ac:dyDescent="0.25">
      <c r="A183" s="8">
        <v>42741.797349537039</v>
      </c>
      <c r="B183" s="21" t="s">
        <v>381</v>
      </c>
      <c r="C183" s="21" t="s">
        <v>465</v>
      </c>
      <c r="D183" s="160">
        <v>2000000</v>
      </c>
      <c r="E183" s="21" t="s">
        <v>207</v>
      </c>
      <c r="F183" s="21" t="s">
        <v>239</v>
      </c>
      <c r="G183" s="8" t="str">
        <f t="shared" si="2"/>
        <v>STAMBAUGH JAMES</v>
      </c>
    </row>
    <row r="184" spans="1:7" x14ac:dyDescent="0.25">
      <c r="A184" s="8">
        <v>42741.799699074072</v>
      </c>
      <c r="B184" s="21" t="s">
        <v>296</v>
      </c>
      <c r="C184" s="21" t="s">
        <v>625</v>
      </c>
      <c r="D184" s="160">
        <v>2230000</v>
      </c>
      <c r="E184" s="21" t="s">
        <v>257</v>
      </c>
      <c r="F184" s="21" t="s">
        <v>248</v>
      </c>
      <c r="G184" s="8" t="str">
        <f t="shared" si="2"/>
        <v>SMITH MICHAEL</v>
      </c>
    </row>
    <row r="185" spans="1:7" x14ac:dyDescent="0.25">
      <c r="A185" s="8">
        <v>42741.799953703703</v>
      </c>
      <c r="B185" s="21" t="s">
        <v>300</v>
      </c>
      <c r="C185" s="21" t="s">
        <v>626</v>
      </c>
      <c r="D185" s="160">
        <v>1540000</v>
      </c>
      <c r="E185" s="21" t="s">
        <v>356</v>
      </c>
      <c r="F185" s="21" t="s">
        <v>357</v>
      </c>
      <c r="G185" s="8" t="str">
        <f t="shared" si="2"/>
        <v>HELVIE ADAM</v>
      </c>
    </row>
    <row r="186" spans="1:7" x14ac:dyDescent="0.25">
      <c r="A186" s="8">
        <v>42741.803564814814</v>
      </c>
      <c r="B186" s="21" t="s">
        <v>222</v>
      </c>
      <c r="C186" s="21" t="s">
        <v>627</v>
      </c>
      <c r="D186" s="160">
        <v>1180000</v>
      </c>
      <c r="E186" s="21" t="s">
        <v>321</v>
      </c>
      <c r="F186" s="21" t="s">
        <v>322</v>
      </c>
      <c r="G186" s="8" t="str">
        <f t="shared" si="2"/>
        <v>LEVERE CRAIG</v>
      </c>
    </row>
    <row r="187" spans="1:7" x14ac:dyDescent="0.25">
      <c r="A187" s="8">
        <v>42741.805983796294</v>
      </c>
      <c r="B187" s="21" t="s">
        <v>466</v>
      </c>
      <c r="C187" s="21" t="s">
        <v>467</v>
      </c>
      <c r="D187" s="160">
        <v>2220000</v>
      </c>
      <c r="E187" s="21" t="s">
        <v>281</v>
      </c>
      <c r="F187" s="21" t="s">
        <v>282</v>
      </c>
      <c r="G187" s="8" t="str">
        <f t="shared" si="2"/>
        <v>HILLS DUSTIN</v>
      </c>
    </row>
    <row r="188" spans="1:7" x14ac:dyDescent="0.25">
      <c r="A188" s="8">
        <v>42741.812337962961</v>
      </c>
      <c r="B188" s="21" t="s">
        <v>183</v>
      </c>
      <c r="C188" s="21" t="s">
        <v>464</v>
      </c>
      <c r="D188" s="160">
        <v>2680000</v>
      </c>
      <c r="E188" s="21" t="s">
        <v>337</v>
      </c>
      <c r="F188" s="21" t="s">
        <v>338</v>
      </c>
      <c r="G188" s="8" t="str">
        <f t="shared" si="2"/>
        <v>DUNCAN SHEILA</v>
      </c>
    </row>
    <row r="189" spans="1:7" x14ac:dyDescent="0.25">
      <c r="A189" s="8">
        <v>42741.818796296298</v>
      </c>
      <c r="B189" s="21" t="s">
        <v>252</v>
      </c>
      <c r="C189" s="21" t="s">
        <v>628</v>
      </c>
      <c r="D189" s="160">
        <v>1180000</v>
      </c>
      <c r="E189" s="21" t="s">
        <v>321</v>
      </c>
      <c r="F189" s="21" t="s">
        <v>322</v>
      </c>
      <c r="G189" s="8" t="str">
        <f t="shared" si="2"/>
        <v>LEVERE CRAIG</v>
      </c>
    </row>
    <row r="190" spans="1:7" x14ac:dyDescent="0.25">
      <c r="A190" s="8">
        <v>42741.822604166664</v>
      </c>
      <c r="B190" s="21" t="s">
        <v>309</v>
      </c>
      <c r="C190" s="21" t="s">
        <v>629</v>
      </c>
      <c r="D190" s="160">
        <v>2480000</v>
      </c>
      <c r="E190" s="21" t="s">
        <v>578</v>
      </c>
      <c r="F190" s="21" t="s">
        <v>282</v>
      </c>
      <c r="G190" s="8" t="str">
        <f t="shared" si="2"/>
        <v>WHITED DUSTIN</v>
      </c>
    </row>
    <row r="191" spans="1:7" x14ac:dyDescent="0.25">
      <c r="A191" s="8">
        <v>42741.826423611114</v>
      </c>
      <c r="B191" s="21" t="s">
        <v>349</v>
      </c>
      <c r="C191" s="21" t="s">
        <v>630</v>
      </c>
      <c r="D191" s="160">
        <v>2270000</v>
      </c>
      <c r="E191" s="21" t="s">
        <v>283</v>
      </c>
      <c r="F191" s="21" t="s">
        <v>284</v>
      </c>
      <c r="G191" s="8" t="str">
        <f t="shared" si="2"/>
        <v>BROWN JACOB</v>
      </c>
    </row>
    <row r="192" spans="1:7" x14ac:dyDescent="0.25">
      <c r="A192" s="8">
        <v>42741.828472222223</v>
      </c>
      <c r="B192" s="21" t="s">
        <v>391</v>
      </c>
      <c r="C192" s="21" t="s">
        <v>468</v>
      </c>
      <c r="D192" s="160">
        <v>2000000</v>
      </c>
      <c r="E192" s="21" t="s">
        <v>207</v>
      </c>
      <c r="F192" s="21" t="s">
        <v>239</v>
      </c>
      <c r="G192" s="8" t="str">
        <f t="shared" si="2"/>
        <v>STAMBAUGH JAMES</v>
      </c>
    </row>
    <row r="193" spans="1:7" x14ac:dyDescent="0.25">
      <c r="A193" s="8">
        <v>42741.835358796299</v>
      </c>
      <c r="B193" s="21" t="s">
        <v>222</v>
      </c>
      <c r="C193" s="21" t="s">
        <v>631</v>
      </c>
      <c r="D193" s="160">
        <v>1180000</v>
      </c>
      <c r="E193" s="21" t="s">
        <v>321</v>
      </c>
      <c r="F193" s="21" t="s">
        <v>322</v>
      </c>
      <c r="G193" s="8" t="str">
        <f t="shared" si="2"/>
        <v>LEVERE CRAIG</v>
      </c>
    </row>
    <row r="194" spans="1:7" x14ac:dyDescent="0.25">
      <c r="A194" s="8">
        <v>42741.837222222224</v>
      </c>
      <c r="B194" s="21" t="s">
        <v>391</v>
      </c>
      <c r="C194" s="21" t="s">
        <v>468</v>
      </c>
      <c r="D194" s="160">
        <v>2000000</v>
      </c>
      <c r="E194" s="21" t="s">
        <v>207</v>
      </c>
      <c r="F194" s="21" t="s">
        <v>239</v>
      </c>
      <c r="G194" s="8" t="str">
        <f t="shared" si="2"/>
        <v>STAMBAUGH JAMES</v>
      </c>
    </row>
    <row r="195" spans="1:7" x14ac:dyDescent="0.25">
      <c r="A195" s="8">
        <v>42741.842199074075</v>
      </c>
      <c r="B195" s="21" t="s">
        <v>294</v>
      </c>
      <c r="C195" s="21" t="s">
        <v>469</v>
      </c>
      <c r="D195" s="160">
        <v>2220000</v>
      </c>
      <c r="E195" s="21" t="s">
        <v>281</v>
      </c>
      <c r="F195" s="21" t="s">
        <v>282</v>
      </c>
      <c r="G195" s="8" t="str">
        <f t="shared" ref="G195:G258" si="3">E195&amp;" "&amp;F195</f>
        <v>HILLS DUSTIN</v>
      </c>
    </row>
    <row r="196" spans="1:7" x14ac:dyDescent="0.25">
      <c r="A196" s="8">
        <v>42741.847349537034</v>
      </c>
      <c r="B196" s="21" t="s">
        <v>329</v>
      </c>
      <c r="C196" s="21" t="s">
        <v>632</v>
      </c>
      <c r="D196" s="160">
        <v>2680000</v>
      </c>
      <c r="E196" s="21" t="s">
        <v>337</v>
      </c>
      <c r="F196" s="21" t="s">
        <v>338</v>
      </c>
      <c r="G196" s="8" t="str">
        <f t="shared" si="3"/>
        <v>DUNCAN SHEILA</v>
      </c>
    </row>
    <row r="197" spans="1:7" x14ac:dyDescent="0.25">
      <c r="A197" s="8">
        <v>42741.851550925923</v>
      </c>
      <c r="B197" s="21" t="s">
        <v>212</v>
      </c>
      <c r="C197" s="21" t="s">
        <v>633</v>
      </c>
      <c r="D197" s="160">
        <v>2600000</v>
      </c>
      <c r="E197" s="21" t="s">
        <v>228</v>
      </c>
      <c r="F197" s="21" t="s">
        <v>386</v>
      </c>
      <c r="G197" s="8" t="str">
        <f t="shared" si="3"/>
        <v>DAVIDSON DAVID</v>
      </c>
    </row>
    <row r="198" spans="1:7" x14ac:dyDescent="0.25">
      <c r="A198" s="8">
        <v>42741.861226851855</v>
      </c>
      <c r="B198" s="21" t="s">
        <v>252</v>
      </c>
      <c r="C198" s="21" t="s">
        <v>634</v>
      </c>
      <c r="D198" s="160">
        <v>1180000</v>
      </c>
      <c r="E198" s="21" t="s">
        <v>321</v>
      </c>
      <c r="F198" s="21" t="s">
        <v>322</v>
      </c>
      <c r="G198" s="8" t="str">
        <f t="shared" si="3"/>
        <v>LEVERE CRAIG</v>
      </c>
    </row>
    <row r="199" spans="1:7" x14ac:dyDescent="0.25">
      <c r="A199" s="8">
        <v>42741.86210648148</v>
      </c>
      <c r="B199" s="21" t="s">
        <v>381</v>
      </c>
      <c r="C199" s="21" t="s">
        <v>635</v>
      </c>
      <c r="D199" s="160">
        <v>2000000</v>
      </c>
      <c r="E199" s="21" t="s">
        <v>207</v>
      </c>
      <c r="F199" s="21" t="s">
        <v>239</v>
      </c>
      <c r="G199" s="8" t="str">
        <f t="shared" si="3"/>
        <v>STAMBAUGH JAMES</v>
      </c>
    </row>
    <row r="200" spans="1:7" x14ac:dyDescent="0.25">
      <c r="A200" s="8">
        <v>42741.869375000002</v>
      </c>
      <c r="B200" s="21" t="s">
        <v>210</v>
      </c>
      <c r="C200" s="21" t="s">
        <v>636</v>
      </c>
      <c r="D200" s="160">
        <v>2270000</v>
      </c>
      <c r="E200" s="21" t="s">
        <v>283</v>
      </c>
      <c r="F200" s="21" t="s">
        <v>284</v>
      </c>
      <c r="G200" s="8" t="str">
        <f t="shared" si="3"/>
        <v>BROWN JACOB</v>
      </c>
    </row>
    <row r="201" spans="1:7" x14ac:dyDescent="0.25">
      <c r="A201" s="8">
        <v>42741.878761574073</v>
      </c>
      <c r="B201" s="21" t="s">
        <v>222</v>
      </c>
      <c r="C201" s="21" t="s">
        <v>637</v>
      </c>
      <c r="D201" s="160">
        <v>2230000</v>
      </c>
      <c r="E201" s="21" t="s">
        <v>257</v>
      </c>
      <c r="F201" s="21" t="s">
        <v>248</v>
      </c>
      <c r="G201" s="8" t="str">
        <f t="shared" si="3"/>
        <v>SMITH MICHAEL</v>
      </c>
    </row>
    <row r="202" spans="1:7" x14ac:dyDescent="0.25">
      <c r="A202" s="27">
        <v>42741.882662037038</v>
      </c>
      <c r="B202" s="21" t="s">
        <v>466</v>
      </c>
      <c r="C202" s="21" t="s">
        <v>638</v>
      </c>
      <c r="D202" s="160">
        <v>2220000</v>
      </c>
      <c r="E202" s="21" t="s">
        <v>281</v>
      </c>
      <c r="F202" s="21" t="s">
        <v>282</v>
      </c>
      <c r="G202" s="8" t="str">
        <f t="shared" si="3"/>
        <v>HILLS DUSTIN</v>
      </c>
    </row>
    <row r="203" spans="1:7" x14ac:dyDescent="0.25">
      <c r="A203" s="8">
        <v>42741.887743055559</v>
      </c>
      <c r="B203" s="21" t="s">
        <v>183</v>
      </c>
      <c r="C203" s="21" t="s">
        <v>639</v>
      </c>
      <c r="D203" s="160">
        <v>2680000</v>
      </c>
      <c r="E203" s="21" t="s">
        <v>337</v>
      </c>
      <c r="F203" s="21" t="s">
        <v>338</v>
      </c>
      <c r="G203" s="8" t="str">
        <f t="shared" si="3"/>
        <v>DUNCAN SHEILA</v>
      </c>
    </row>
    <row r="204" spans="1:7" x14ac:dyDescent="0.25">
      <c r="A204" s="8">
        <v>42741.90079861111</v>
      </c>
      <c r="B204" s="21" t="s">
        <v>391</v>
      </c>
      <c r="C204" s="21" t="s">
        <v>470</v>
      </c>
      <c r="D204" s="160">
        <v>2000000</v>
      </c>
      <c r="E204" s="21" t="s">
        <v>207</v>
      </c>
      <c r="F204" s="21" t="s">
        <v>239</v>
      </c>
      <c r="G204" s="8" t="str">
        <f t="shared" si="3"/>
        <v>STAMBAUGH JAMES</v>
      </c>
    </row>
    <row r="205" spans="1:7" x14ac:dyDescent="0.25">
      <c r="A205" s="8">
        <v>42741.902268518519</v>
      </c>
      <c r="B205" s="21" t="s">
        <v>252</v>
      </c>
      <c r="C205" s="21" t="s">
        <v>640</v>
      </c>
      <c r="D205" s="160">
        <v>2230000</v>
      </c>
      <c r="E205" s="21" t="s">
        <v>257</v>
      </c>
      <c r="F205" s="21" t="s">
        <v>248</v>
      </c>
      <c r="G205" s="8" t="str">
        <f t="shared" si="3"/>
        <v>SMITH MICHAEL</v>
      </c>
    </row>
    <row r="206" spans="1:7" x14ac:dyDescent="0.25">
      <c r="A206" s="8">
        <v>42741.911817129629</v>
      </c>
      <c r="B206" s="21" t="s">
        <v>349</v>
      </c>
      <c r="C206" s="21" t="s">
        <v>641</v>
      </c>
      <c r="D206" s="160">
        <v>2270000</v>
      </c>
      <c r="E206" s="21" t="s">
        <v>283</v>
      </c>
      <c r="F206" s="21" t="s">
        <v>284</v>
      </c>
      <c r="G206" s="8" t="str">
        <f t="shared" si="3"/>
        <v>BROWN JACOB</v>
      </c>
    </row>
    <row r="207" spans="1:7" x14ac:dyDescent="0.25">
      <c r="A207" s="8">
        <v>42741.92019675926</v>
      </c>
      <c r="B207" s="21" t="s">
        <v>222</v>
      </c>
      <c r="C207" s="21" t="s">
        <v>642</v>
      </c>
      <c r="D207" s="160">
        <v>2230000</v>
      </c>
      <c r="E207" s="21" t="s">
        <v>257</v>
      </c>
      <c r="F207" s="21" t="s">
        <v>248</v>
      </c>
      <c r="G207" s="8" t="str">
        <f t="shared" si="3"/>
        <v>SMITH MICHAEL</v>
      </c>
    </row>
    <row r="208" spans="1:7" x14ac:dyDescent="0.25">
      <c r="A208" s="8">
        <v>42741.924814814818</v>
      </c>
      <c r="B208" s="21" t="s">
        <v>294</v>
      </c>
      <c r="C208" s="21" t="s">
        <v>643</v>
      </c>
      <c r="D208" s="160">
        <v>2220000</v>
      </c>
      <c r="E208" s="21" t="s">
        <v>281</v>
      </c>
      <c r="F208" s="21" t="s">
        <v>282</v>
      </c>
      <c r="G208" s="8" t="str">
        <f t="shared" si="3"/>
        <v>HILLS DUSTIN</v>
      </c>
    </row>
    <row r="209" spans="1:7" x14ac:dyDescent="0.25">
      <c r="A209" s="8">
        <v>42741.927349537036</v>
      </c>
      <c r="B209" s="21" t="s">
        <v>329</v>
      </c>
      <c r="C209" s="21" t="s">
        <v>639</v>
      </c>
      <c r="D209" s="160">
        <v>2680000</v>
      </c>
      <c r="E209" s="21" t="s">
        <v>337</v>
      </c>
      <c r="F209" s="21" t="s">
        <v>338</v>
      </c>
      <c r="G209" s="8" t="str">
        <f t="shared" si="3"/>
        <v>DUNCAN SHEILA</v>
      </c>
    </row>
    <row r="210" spans="1:7" x14ac:dyDescent="0.25">
      <c r="A210" s="8">
        <v>42741.928078703706</v>
      </c>
      <c r="B210" s="21" t="s">
        <v>329</v>
      </c>
      <c r="C210" s="21" t="s">
        <v>644</v>
      </c>
      <c r="D210" s="160">
        <v>2680000</v>
      </c>
      <c r="E210" s="21" t="s">
        <v>337</v>
      </c>
      <c r="F210" s="21" t="s">
        <v>338</v>
      </c>
      <c r="G210" s="8" t="str">
        <f t="shared" si="3"/>
        <v>DUNCAN SHEILA</v>
      </c>
    </row>
    <row r="211" spans="1:7" x14ac:dyDescent="0.25">
      <c r="A211" s="8">
        <v>42741.943831018521</v>
      </c>
      <c r="B211" s="21" t="s">
        <v>252</v>
      </c>
      <c r="C211" s="21" t="s">
        <v>471</v>
      </c>
      <c r="D211" s="160">
        <v>2230000</v>
      </c>
      <c r="E211" s="21" t="s">
        <v>257</v>
      </c>
      <c r="F211" s="21" t="s">
        <v>248</v>
      </c>
      <c r="G211" s="8" t="str">
        <f t="shared" si="3"/>
        <v>SMITH MICHAEL</v>
      </c>
    </row>
    <row r="212" spans="1:7" x14ac:dyDescent="0.25">
      <c r="A212" s="8">
        <v>42741.945081018515</v>
      </c>
      <c r="B212" s="21" t="s">
        <v>381</v>
      </c>
      <c r="C212" s="21" t="s">
        <v>645</v>
      </c>
      <c r="D212" s="160">
        <v>2000000</v>
      </c>
      <c r="E212" s="21" t="s">
        <v>207</v>
      </c>
      <c r="F212" s="21" t="s">
        <v>239</v>
      </c>
      <c r="G212" s="8" t="str">
        <f t="shared" si="3"/>
        <v>STAMBAUGH JAMES</v>
      </c>
    </row>
    <row r="213" spans="1:7" x14ac:dyDescent="0.25">
      <c r="A213" s="8">
        <v>42741.946875000001</v>
      </c>
      <c r="B213" s="21" t="s">
        <v>252</v>
      </c>
      <c r="C213" s="21" t="s">
        <v>471</v>
      </c>
      <c r="D213" s="160">
        <v>2230000</v>
      </c>
      <c r="E213" s="21" t="s">
        <v>257</v>
      </c>
      <c r="F213" s="21" t="s">
        <v>248</v>
      </c>
      <c r="G213" s="8" t="str">
        <f t="shared" si="3"/>
        <v>SMITH MICHAEL</v>
      </c>
    </row>
    <row r="214" spans="1:7" x14ac:dyDescent="0.25">
      <c r="A214" s="8">
        <v>42741.948842592596</v>
      </c>
      <c r="B214" s="21" t="s">
        <v>210</v>
      </c>
      <c r="C214" s="21" t="s">
        <v>646</v>
      </c>
      <c r="D214" s="160">
        <v>2270000</v>
      </c>
      <c r="E214" s="21" t="s">
        <v>283</v>
      </c>
      <c r="F214" s="21" t="s">
        <v>284</v>
      </c>
      <c r="G214" s="8" t="str">
        <f t="shared" si="3"/>
        <v>BROWN JACOB</v>
      </c>
    </row>
    <row r="215" spans="1:7" x14ac:dyDescent="0.25">
      <c r="A215" s="8">
        <v>42741.970937500002</v>
      </c>
      <c r="B215" s="21" t="s">
        <v>466</v>
      </c>
      <c r="C215" s="21" t="s">
        <v>647</v>
      </c>
      <c r="D215" s="160">
        <v>2220000</v>
      </c>
      <c r="E215" s="21" t="s">
        <v>281</v>
      </c>
      <c r="F215" s="21" t="s">
        <v>282</v>
      </c>
      <c r="G215" s="8" t="str">
        <f t="shared" si="3"/>
        <v>HILLS DUSTIN</v>
      </c>
    </row>
    <row r="216" spans="1:7" x14ac:dyDescent="0.25">
      <c r="A216" s="8">
        <v>42741.971909722219</v>
      </c>
      <c r="B216" s="21" t="s">
        <v>466</v>
      </c>
      <c r="C216" s="21" t="s">
        <v>647</v>
      </c>
      <c r="D216" s="160">
        <v>2220000</v>
      </c>
      <c r="E216" s="21" t="s">
        <v>281</v>
      </c>
      <c r="F216" s="21" t="s">
        <v>282</v>
      </c>
      <c r="G216" s="8" t="str">
        <f t="shared" si="3"/>
        <v>HILLS DUSTIN</v>
      </c>
    </row>
    <row r="217" spans="1:7" x14ac:dyDescent="0.25">
      <c r="A217" s="8">
        <v>42741.975393518522</v>
      </c>
      <c r="B217" s="21" t="s">
        <v>183</v>
      </c>
      <c r="C217" s="21" t="s">
        <v>648</v>
      </c>
      <c r="D217" s="160">
        <v>2680000</v>
      </c>
      <c r="E217" s="21" t="s">
        <v>337</v>
      </c>
      <c r="F217" s="21" t="s">
        <v>338</v>
      </c>
      <c r="G217" s="8" t="str">
        <f t="shared" si="3"/>
        <v>DUNCAN SHEILA</v>
      </c>
    </row>
    <row r="218" spans="1:7" x14ac:dyDescent="0.25">
      <c r="A218" s="8">
        <v>42741.987476851849</v>
      </c>
      <c r="B218" s="21" t="s">
        <v>349</v>
      </c>
      <c r="C218" s="21" t="s">
        <v>649</v>
      </c>
      <c r="D218" s="160">
        <v>2270000</v>
      </c>
      <c r="E218" s="21" t="s">
        <v>283</v>
      </c>
      <c r="F218" s="21" t="s">
        <v>284</v>
      </c>
      <c r="G218" s="8" t="str">
        <f t="shared" si="3"/>
        <v>BROWN JACOB</v>
      </c>
    </row>
    <row r="219" spans="1:7" x14ac:dyDescent="0.25">
      <c r="A219" s="8">
        <v>42741.988796296297</v>
      </c>
      <c r="B219" s="21" t="s">
        <v>349</v>
      </c>
      <c r="C219" s="21" t="s">
        <v>649</v>
      </c>
      <c r="D219" s="160">
        <v>2270000</v>
      </c>
      <c r="E219" s="21" t="s">
        <v>283</v>
      </c>
      <c r="F219" s="21" t="s">
        <v>284</v>
      </c>
      <c r="G219" s="8" t="str">
        <f t="shared" si="3"/>
        <v>BROWN JACOB</v>
      </c>
    </row>
    <row r="220" spans="1:7" x14ac:dyDescent="0.25">
      <c r="A220" s="8">
        <v>42741.989236111112</v>
      </c>
      <c r="B220" s="21" t="s">
        <v>391</v>
      </c>
      <c r="C220" s="21" t="s">
        <v>650</v>
      </c>
      <c r="D220" s="160">
        <v>2000000</v>
      </c>
      <c r="E220" s="21" t="s">
        <v>207</v>
      </c>
      <c r="F220" s="21" t="s">
        <v>239</v>
      </c>
      <c r="G220" s="8" t="str">
        <f t="shared" si="3"/>
        <v>STAMBAUGH JAMES</v>
      </c>
    </row>
    <row r="221" spans="1:7" x14ac:dyDescent="0.25">
      <c r="A221" s="8">
        <v>42742.008634259262</v>
      </c>
      <c r="B221" s="21" t="s">
        <v>294</v>
      </c>
      <c r="C221" s="21" t="s">
        <v>473</v>
      </c>
      <c r="D221" s="160">
        <v>2220000</v>
      </c>
      <c r="E221" s="21" t="s">
        <v>281</v>
      </c>
      <c r="F221" s="21" t="s">
        <v>282</v>
      </c>
      <c r="G221" s="8" t="str">
        <f t="shared" si="3"/>
        <v>HILLS DUSTIN</v>
      </c>
    </row>
    <row r="222" spans="1:7" x14ac:dyDescent="0.25">
      <c r="A222" s="8">
        <v>42742.009583333333</v>
      </c>
      <c r="B222" s="21" t="s">
        <v>329</v>
      </c>
      <c r="C222" s="21" t="s">
        <v>651</v>
      </c>
      <c r="D222" s="160">
        <v>2680000</v>
      </c>
      <c r="E222" s="21" t="s">
        <v>337</v>
      </c>
      <c r="F222" s="21" t="s">
        <v>338</v>
      </c>
      <c r="G222" s="8" t="str">
        <f t="shared" si="3"/>
        <v>DUNCAN SHEILA</v>
      </c>
    </row>
    <row r="223" spans="1:7" x14ac:dyDescent="0.25">
      <c r="A223" s="8">
        <v>42742.011041666665</v>
      </c>
      <c r="B223" s="21" t="s">
        <v>294</v>
      </c>
      <c r="C223" s="21" t="s">
        <v>473</v>
      </c>
      <c r="D223" s="160">
        <v>2220000</v>
      </c>
      <c r="E223" s="21" t="s">
        <v>281</v>
      </c>
      <c r="F223" s="21" t="s">
        <v>282</v>
      </c>
      <c r="G223" s="8" t="str">
        <f t="shared" si="3"/>
        <v>HILLS DUSTIN</v>
      </c>
    </row>
    <row r="224" spans="1:7" x14ac:dyDescent="0.25">
      <c r="A224" s="8">
        <v>42742.013368055559</v>
      </c>
      <c r="B224" t="s">
        <v>294</v>
      </c>
      <c r="C224" t="s">
        <v>473</v>
      </c>
      <c r="D224" s="160">
        <v>2220000</v>
      </c>
      <c r="E224" t="s">
        <v>281</v>
      </c>
      <c r="F224" s="21" t="s">
        <v>282</v>
      </c>
      <c r="G224" s="8" t="str">
        <f t="shared" si="3"/>
        <v>HILLS DUSTIN</v>
      </c>
    </row>
    <row r="225" spans="1:7" x14ac:dyDescent="0.25">
      <c r="A225" s="8">
        <v>42742.027928240743</v>
      </c>
      <c r="B225" t="s">
        <v>381</v>
      </c>
      <c r="C225" t="s">
        <v>652</v>
      </c>
      <c r="D225" s="160">
        <v>2000000</v>
      </c>
      <c r="E225" t="s">
        <v>207</v>
      </c>
      <c r="F225" s="21" t="s">
        <v>239</v>
      </c>
      <c r="G225" s="8" t="str">
        <f t="shared" si="3"/>
        <v>STAMBAUGH JAMES</v>
      </c>
    </row>
    <row r="226" spans="1:7" x14ac:dyDescent="0.25">
      <c r="A226" s="8">
        <v>42742.035462962966</v>
      </c>
      <c r="B226" t="s">
        <v>210</v>
      </c>
      <c r="C226" t="s">
        <v>474</v>
      </c>
      <c r="D226" s="160">
        <v>2270000</v>
      </c>
      <c r="E226" t="s">
        <v>283</v>
      </c>
      <c r="F226" s="21" t="s">
        <v>284</v>
      </c>
      <c r="G226" s="8" t="str">
        <f t="shared" si="3"/>
        <v>BROWN JACOB</v>
      </c>
    </row>
    <row r="227" spans="1:7" x14ac:dyDescent="0.25">
      <c r="A227" s="8">
        <v>42742.049224537041</v>
      </c>
      <c r="B227" t="s">
        <v>183</v>
      </c>
      <c r="C227" t="s">
        <v>653</v>
      </c>
      <c r="D227" s="160">
        <v>2680000</v>
      </c>
      <c r="E227" t="s">
        <v>337</v>
      </c>
      <c r="F227" s="21" t="s">
        <v>338</v>
      </c>
      <c r="G227" s="8" t="str">
        <f t="shared" si="3"/>
        <v>DUNCAN SHEILA</v>
      </c>
    </row>
    <row r="228" spans="1:7" x14ac:dyDescent="0.25">
      <c r="A228" s="8">
        <v>42742.050439814811</v>
      </c>
      <c r="B228" t="s">
        <v>466</v>
      </c>
      <c r="C228" t="s">
        <v>654</v>
      </c>
      <c r="D228" s="160">
        <v>2220000</v>
      </c>
      <c r="E228" t="s">
        <v>281</v>
      </c>
      <c r="F228" s="21" t="s">
        <v>282</v>
      </c>
      <c r="G228" s="8" t="str">
        <f t="shared" si="3"/>
        <v>HILLS DUSTIN</v>
      </c>
    </row>
    <row r="229" spans="1:7" x14ac:dyDescent="0.25">
      <c r="A229" s="8">
        <v>42742.069907407407</v>
      </c>
      <c r="B229" t="s">
        <v>391</v>
      </c>
      <c r="C229" t="s">
        <v>655</v>
      </c>
      <c r="D229" s="160">
        <v>2000000</v>
      </c>
      <c r="E229" t="s">
        <v>207</v>
      </c>
      <c r="F229" s="21" t="s">
        <v>239</v>
      </c>
      <c r="G229" s="8" t="str">
        <f t="shared" si="3"/>
        <v>STAMBAUGH JAMES</v>
      </c>
    </row>
    <row r="230" spans="1:7" x14ac:dyDescent="0.25">
      <c r="A230" s="8">
        <v>42742.077106481483</v>
      </c>
      <c r="B230" t="s">
        <v>349</v>
      </c>
      <c r="C230" t="s">
        <v>656</v>
      </c>
      <c r="D230" s="160">
        <v>2270000</v>
      </c>
      <c r="E230" t="s">
        <v>283</v>
      </c>
      <c r="F230" s="21" t="s">
        <v>284</v>
      </c>
      <c r="G230" s="8" t="str">
        <f t="shared" si="3"/>
        <v>BROWN JACOB</v>
      </c>
    </row>
    <row r="231" spans="1:7" x14ac:dyDescent="0.25">
      <c r="A231" s="8">
        <v>42742.089201388888</v>
      </c>
      <c r="B231" t="s">
        <v>294</v>
      </c>
      <c r="C231" t="s">
        <v>657</v>
      </c>
      <c r="D231" s="160">
        <v>2220000</v>
      </c>
      <c r="E231" t="s">
        <v>281</v>
      </c>
      <c r="F231" s="21" t="s">
        <v>282</v>
      </c>
      <c r="G231" s="8" t="str">
        <f t="shared" si="3"/>
        <v>HILLS DUSTIN</v>
      </c>
    </row>
    <row r="232" spans="1:7" x14ac:dyDescent="0.25">
      <c r="A232" s="8">
        <v>42742.111377314817</v>
      </c>
      <c r="B232" t="s">
        <v>210</v>
      </c>
      <c r="C232" t="s">
        <v>185</v>
      </c>
      <c r="D232" s="160">
        <v>2270000</v>
      </c>
      <c r="E232" t="s">
        <v>283</v>
      </c>
      <c r="F232" s="21" t="s">
        <v>284</v>
      </c>
      <c r="G232" s="8" t="str">
        <f t="shared" si="3"/>
        <v>BROWN JACOB</v>
      </c>
    </row>
    <row r="233" spans="1:7" x14ac:dyDescent="0.25">
      <c r="A233" s="8">
        <v>42741.006111111114</v>
      </c>
      <c r="B233" t="s">
        <v>212</v>
      </c>
      <c r="C233" t="s">
        <v>392</v>
      </c>
      <c r="D233" s="160">
        <v>2220000</v>
      </c>
      <c r="E233" t="s">
        <v>281</v>
      </c>
      <c r="F233" s="21" t="s">
        <v>282</v>
      </c>
      <c r="G233" s="8" t="str">
        <f t="shared" si="3"/>
        <v>HILLS DUSTIN</v>
      </c>
    </row>
    <row r="234" spans="1:7" x14ac:dyDescent="0.25">
      <c r="A234" s="8">
        <v>42741.01666666667</v>
      </c>
      <c r="B234" t="s">
        <v>208</v>
      </c>
      <c r="C234" t="s">
        <v>393</v>
      </c>
      <c r="D234" s="160">
        <v>1810000</v>
      </c>
      <c r="E234" t="s">
        <v>258</v>
      </c>
      <c r="F234" s="21" t="s">
        <v>239</v>
      </c>
      <c r="G234" s="8" t="str">
        <f t="shared" si="3"/>
        <v>NEWELL JAMES</v>
      </c>
    </row>
    <row r="235" spans="1:7" x14ac:dyDescent="0.25">
      <c r="A235" s="8">
        <v>42741.02820601852</v>
      </c>
      <c r="B235" t="s">
        <v>210</v>
      </c>
      <c r="C235" t="s">
        <v>394</v>
      </c>
      <c r="D235" s="160">
        <v>1800000</v>
      </c>
      <c r="E235" t="s">
        <v>230</v>
      </c>
      <c r="F235" s="21" t="s">
        <v>242</v>
      </c>
      <c r="G235" s="8" t="str">
        <f t="shared" si="3"/>
        <v>CHANDLER KELVIN</v>
      </c>
    </row>
    <row r="236" spans="1:7" x14ac:dyDescent="0.25">
      <c r="A236" s="8">
        <v>42741.028275462966</v>
      </c>
      <c r="B236" t="s">
        <v>300</v>
      </c>
      <c r="C236" t="s">
        <v>395</v>
      </c>
      <c r="D236" s="160">
        <v>2560000</v>
      </c>
      <c r="E236" t="s">
        <v>396</v>
      </c>
      <c r="F236" s="21" t="s">
        <v>397</v>
      </c>
      <c r="G236" s="8" t="str">
        <f t="shared" si="3"/>
        <v>MACDONALD THOMAS</v>
      </c>
    </row>
    <row r="237" spans="1:7" x14ac:dyDescent="0.25">
      <c r="A237" s="8">
        <v>42741.033402777779</v>
      </c>
      <c r="B237" t="s">
        <v>245</v>
      </c>
      <c r="C237" t="s">
        <v>398</v>
      </c>
      <c r="D237" s="160">
        <v>2270000</v>
      </c>
      <c r="E237" t="s">
        <v>283</v>
      </c>
      <c r="F237" s="21" t="s">
        <v>284</v>
      </c>
      <c r="G237" s="8" t="str">
        <f t="shared" si="3"/>
        <v>BROWN JACOB</v>
      </c>
    </row>
    <row r="238" spans="1:7" x14ac:dyDescent="0.25">
      <c r="A238" s="8">
        <v>42741.046944444446</v>
      </c>
      <c r="B238" t="s">
        <v>202</v>
      </c>
      <c r="C238" t="s">
        <v>399</v>
      </c>
      <c r="D238" s="160">
        <v>1810000</v>
      </c>
      <c r="E238" t="s">
        <v>258</v>
      </c>
      <c r="F238" s="21" t="s">
        <v>239</v>
      </c>
      <c r="G238" s="8" t="str">
        <f t="shared" si="3"/>
        <v>NEWELL JAMES</v>
      </c>
    </row>
    <row r="239" spans="1:7" x14ac:dyDescent="0.25">
      <c r="A239" s="8">
        <v>42741.048819444448</v>
      </c>
      <c r="B239" t="s">
        <v>308</v>
      </c>
      <c r="C239" t="s">
        <v>400</v>
      </c>
      <c r="D239" s="160">
        <v>2220000</v>
      </c>
      <c r="E239" t="s">
        <v>281</v>
      </c>
      <c r="F239" s="21" t="s">
        <v>282</v>
      </c>
      <c r="G239" s="8" t="str">
        <f t="shared" si="3"/>
        <v>HILLS DUSTIN</v>
      </c>
    </row>
    <row r="240" spans="1:7" x14ac:dyDescent="0.25">
      <c r="A240" s="8">
        <v>42741.071840277778</v>
      </c>
      <c r="B240" t="s">
        <v>225</v>
      </c>
      <c r="C240" t="s">
        <v>401</v>
      </c>
      <c r="D240" s="160">
        <v>2270000</v>
      </c>
      <c r="E240" t="s">
        <v>283</v>
      </c>
      <c r="F240" s="21" t="s">
        <v>284</v>
      </c>
      <c r="G240" s="8" t="str">
        <f t="shared" si="3"/>
        <v>BROWN JACOB</v>
      </c>
    </row>
    <row r="241" spans="1:7" x14ac:dyDescent="0.25">
      <c r="A241" s="8">
        <v>42741.087812500002</v>
      </c>
      <c r="B241" t="s">
        <v>299</v>
      </c>
      <c r="C241" t="s">
        <v>402</v>
      </c>
      <c r="D241" s="160">
        <v>2560000</v>
      </c>
      <c r="E241" t="s">
        <v>396</v>
      </c>
      <c r="F241" s="21" t="s">
        <v>397</v>
      </c>
      <c r="G241" s="8" t="str">
        <f t="shared" si="3"/>
        <v>MACDONALD THOMAS</v>
      </c>
    </row>
    <row r="242" spans="1:7" x14ac:dyDescent="0.25">
      <c r="A242" s="8">
        <v>42741.089606481481</v>
      </c>
      <c r="B242" t="s">
        <v>212</v>
      </c>
      <c r="C242" t="s">
        <v>403</v>
      </c>
      <c r="D242" s="160">
        <v>2220000</v>
      </c>
      <c r="E242" t="s">
        <v>281</v>
      </c>
      <c r="F242" s="21" t="s">
        <v>282</v>
      </c>
      <c r="G242" s="8" t="str">
        <f t="shared" si="3"/>
        <v>HILLS DUSTIN</v>
      </c>
    </row>
    <row r="243" spans="1:7" x14ac:dyDescent="0.25">
      <c r="A243" s="8">
        <v>42741.092245370368</v>
      </c>
      <c r="B243" t="s">
        <v>212</v>
      </c>
      <c r="C243" t="s">
        <v>403</v>
      </c>
      <c r="D243" s="160">
        <v>2220000</v>
      </c>
      <c r="E243" t="s">
        <v>281</v>
      </c>
      <c r="F243" s="21" t="s">
        <v>282</v>
      </c>
      <c r="G243" s="8" t="str">
        <f t="shared" si="3"/>
        <v>HILLS DUSTIN</v>
      </c>
    </row>
    <row r="244" spans="1:7" x14ac:dyDescent="0.25">
      <c r="A244" s="8">
        <v>42740.089398148149</v>
      </c>
      <c r="B244" t="s">
        <v>300</v>
      </c>
      <c r="C244" t="s">
        <v>360</v>
      </c>
      <c r="D244" s="160">
        <v>2680000</v>
      </c>
      <c r="E244" t="s">
        <v>337</v>
      </c>
      <c r="F244" s="21" t="s">
        <v>338</v>
      </c>
      <c r="G244" s="8" t="str">
        <f t="shared" si="3"/>
        <v>DUNCAN SHEILA</v>
      </c>
    </row>
    <row r="245" spans="1:7" x14ac:dyDescent="0.25">
      <c r="A245" s="8">
        <v>42728.111944444441</v>
      </c>
      <c r="B245" t="s">
        <v>288</v>
      </c>
      <c r="C245" t="s">
        <v>289</v>
      </c>
      <c r="D245" s="160">
        <v>2270000</v>
      </c>
      <c r="E245" t="s">
        <v>283</v>
      </c>
      <c r="F245" s="21" t="s">
        <v>284</v>
      </c>
      <c r="G245" s="8" t="str">
        <f t="shared" si="3"/>
        <v>BROWN JACOB</v>
      </c>
    </row>
    <row r="246" spans="1:7" x14ac:dyDescent="0.25">
      <c r="A246" s="8">
        <v>42722.974085648151</v>
      </c>
      <c r="B246" t="s">
        <v>262</v>
      </c>
      <c r="C246" t="s">
        <v>265</v>
      </c>
      <c r="D246" s="160">
        <v>2000000</v>
      </c>
      <c r="E246" t="s">
        <v>207</v>
      </c>
      <c r="F246" s="21" t="s">
        <v>239</v>
      </c>
      <c r="G246" s="8" t="str">
        <f t="shared" si="3"/>
        <v>STAMBAUGH JAMES</v>
      </c>
    </row>
    <row r="247" spans="1:7" x14ac:dyDescent="0.25">
      <c r="A247" s="8">
        <v>42722.976041666669</v>
      </c>
      <c r="B247" t="s">
        <v>254</v>
      </c>
      <c r="C247" t="s">
        <v>266</v>
      </c>
      <c r="D247" s="160">
        <v>1810000</v>
      </c>
      <c r="E247" t="s">
        <v>258</v>
      </c>
      <c r="F247" s="21" t="s">
        <v>239</v>
      </c>
      <c r="G247" s="8" t="str">
        <f t="shared" si="3"/>
        <v>NEWELL JAMES</v>
      </c>
    </row>
    <row r="248" spans="1:7" x14ac:dyDescent="0.25">
      <c r="A248" s="8">
        <v>42722.987962962965</v>
      </c>
      <c r="B248" t="s">
        <v>222</v>
      </c>
      <c r="C248" t="s">
        <v>267</v>
      </c>
      <c r="D248" s="160">
        <v>2230000</v>
      </c>
      <c r="E248" t="s">
        <v>257</v>
      </c>
      <c r="F248" s="21" t="s">
        <v>248</v>
      </c>
      <c r="G248" s="8" t="str">
        <f t="shared" si="3"/>
        <v>SMITH MICHAEL</v>
      </c>
    </row>
    <row r="249" spans="1:7" x14ac:dyDescent="0.25">
      <c r="A249" s="8">
        <v>42722.995798611111</v>
      </c>
      <c r="B249" t="s">
        <v>205</v>
      </c>
      <c r="C249" t="s">
        <v>268</v>
      </c>
      <c r="D249" s="160">
        <v>1800000</v>
      </c>
      <c r="E249" t="s">
        <v>230</v>
      </c>
      <c r="F249" s="21" t="s">
        <v>242</v>
      </c>
      <c r="G249" s="8" t="str">
        <f t="shared" si="3"/>
        <v>CHANDLER KELVIN</v>
      </c>
    </row>
    <row r="250" spans="1:7" x14ac:dyDescent="0.25">
      <c r="A250" s="8">
        <v>42723.006909722222</v>
      </c>
      <c r="B250" t="s">
        <v>253</v>
      </c>
      <c r="C250" t="s">
        <v>269</v>
      </c>
      <c r="D250" s="160">
        <v>1810000</v>
      </c>
      <c r="E250" t="s">
        <v>258</v>
      </c>
      <c r="F250" s="21" t="s">
        <v>239</v>
      </c>
      <c r="G250" s="8" t="str">
        <f t="shared" si="3"/>
        <v>NEWELL JAMES</v>
      </c>
    </row>
    <row r="251" spans="1:7" x14ac:dyDescent="0.25">
      <c r="A251" s="8">
        <v>42723.006990740738</v>
      </c>
      <c r="B251" t="s">
        <v>261</v>
      </c>
      <c r="C251" t="s">
        <v>270</v>
      </c>
      <c r="D251" s="160">
        <v>2000000</v>
      </c>
      <c r="E251" t="s">
        <v>207</v>
      </c>
      <c r="F251" s="21" t="s">
        <v>239</v>
      </c>
      <c r="G251" s="8" t="str">
        <f t="shared" si="3"/>
        <v>STAMBAUGH JAMES</v>
      </c>
    </row>
    <row r="252" spans="1:7" x14ac:dyDescent="0.25">
      <c r="A252" s="8">
        <v>42723.029004629629</v>
      </c>
      <c r="B252" t="s">
        <v>204</v>
      </c>
      <c r="C252" t="s">
        <v>271</v>
      </c>
      <c r="D252" s="160">
        <v>1800000</v>
      </c>
      <c r="E252" t="s">
        <v>230</v>
      </c>
      <c r="F252" s="21" t="s">
        <v>242</v>
      </c>
      <c r="G252" s="8" t="str">
        <f t="shared" si="3"/>
        <v>CHANDLER KELVIN</v>
      </c>
    </row>
    <row r="253" spans="1:7" x14ac:dyDescent="0.25">
      <c r="A253" s="8">
        <v>42723.029872685183</v>
      </c>
      <c r="B253" t="s">
        <v>252</v>
      </c>
      <c r="C253" t="s">
        <v>272</v>
      </c>
      <c r="D253" s="160">
        <v>2230000</v>
      </c>
      <c r="E253" t="s">
        <v>257</v>
      </c>
      <c r="F253" s="21" t="s">
        <v>248</v>
      </c>
      <c r="G253" s="8" t="str">
        <f t="shared" si="3"/>
        <v>SMITH MICHAEL</v>
      </c>
    </row>
    <row r="254" spans="1:7" x14ac:dyDescent="0.25">
      <c r="A254" s="8">
        <v>42723.047997685186</v>
      </c>
      <c r="B254" t="s">
        <v>254</v>
      </c>
      <c r="C254" t="s">
        <v>273</v>
      </c>
      <c r="D254" s="160">
        <v>1810000</v>
      </c>
      <c r="E254" t="s">
        <v>258</v>
      </c>
      <c r="F254" s="21" t="s">
        <v>239</v>
      </c>
      <c r="G254" s="8" t="str">
        <f t="shared" si="3"/>
        <v>NEWELL JAMES</v>
      </c>
    </row>
    <row r="255" spans="1:7" x14ac:dyDescent="0.25">
      <c r="A255" s="8">
        <v>42723.057719907411</v>
      </c>
      <c r="B255" t="s">
        <v>262</v>
      </c>
      <c r="C255" t="s">
        <v>274</v>
      </c>
      <c r="D255" s="160">
        <v>2000000</v>
      </c>
      <c r="E255" t="s">
        <v>207</v>
      </c>
      <c r="F255" s="21" t="s">
        <v>239</v>
      </c>
      <c r="G255" s="8" t="str">
        <f t="shared" si="3"/>
        <v>STAMBAUGH JAMES</v>
      </c>
    </row>
    <row r="256" spans="1:7" x14ac:dyDescent="0.25">
      <c r="A256" s="8">
        <v>42723.07167824074</v>
      </c>
      <c r="B256" t="s">
        <v>222</v>
      </c>
      <c r="C256" t="s">
        <v>275</v>
      </c>
      <c r="D256" s="160">
        <v>2230000</v>
      </c>
      <c r="E256" t="s">
        <v>257</v>
      </c>
      <c r="F256" s="21" t="s">
        <v>248</v>
      </c>
      <c r="G256" s="8" t="str">
        <f t="shared" si="3"/>
        <v>SMITH MICHAEL</v>
      </c>
    </row>
    <row r="257" spans="1:7" x14ac:dyDescent="0.25">
      <c r="A257" s="8">
        <v>42723.08871527778</v>
      </c>
      <c r="B257" t="s">
        <v>261</v>
      </c>
      <c r="C257" t="s">
        <v>276</v>
      </c>
      <c r="D257" s="160">
        <v>2000000</v>
      </c>
      <c r="E257" t="s">
        <v>207</v>
      </c>
      <c r="F257" s="21" t="s">
        <v>239</v>
      </c>
      <c r="G257" s="8" t="str">
        <f t="shared" si="3"/>
        <v>STAMBAUGH JAMES</v>
      </c>
    </row>
    <row r="258" spans="1:7" x14ac:dyDescent="0.25">
      <c r="A258" s="8">
        <v>42723.111840277779</v>
      </c>
      <c r="B258" t="s">
        <v>208</v>
      </c>
      <c r="C258" t="s">
        <v>277</v>
      </c>
      <c r="D258" s="160">
        <v>2110000</v>
      </c>
      <c r="E258" t="s">
        <v>263</v>
      </c>
      <c r="F258" s="21" t="s">
        <v>264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208</v>
      </c>
      <c r="C259" t="s">
        <v>277</v>
      </c>
      <c r="D259" s="160">
        <v>2110000</v>
      </c>
      <c r="E259" t="s">
        <v>263</v>
      </c>
      <c r="F259" s="21" t="s">
        <v>264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227</v>
      </c>
      <c r="C260" t="s">
        <v>233</v>
      </c>
      <c r="D260" s="160">
        <v>2000000</v>
      </c>
      <c r="E260" t="s">
        <v>207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232</v>
      </c>
      <c r="D261" s="160">
        <v>2530000</v>
      </c>
      <c r="E261" t="s">
        <v>231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204</v>
      </c>
      <c r="C262" t="s">
        <v>234</v>
      </c>
      <c r="D262" s="160">
        <v>2600000</v>
      </c>
      <c r="E262" t="s">
        <v>228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202</v>
      </c>
      <c r="C263" t="s">
        <v>216</v>
      </c>
      <c r="D263" s="160">
        <v>2000000</v>
      </c>
      <c r="E263" t="s">
        <v>207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212</v>
      </c>
      <c r="C264" t="s">
        <v>217</v>
      </c>
      <c r="D264" s="160">
        <v>2550000</v>
      </c>
      <c r="E264" t="s">
        <v>211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215</v>
      </c>
      <c r="C265" t="s">
        <v>218</v>
      </c>
      <c r="D265" s="160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210</v>
      </c>
      <c r="C266" t="s">
        <v>219</v>
      </c>
      <c r="D266" s="160">
        <v>2420000</v>
      </c>
      <c r="E266" t="s">
        <v>213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208</v>
      </c>
      <c r="C267" t="s">
        <v>220</v>
      </c>
      <c r="D267" s="160">
        <v>2000000</v>
      </c>
      <c r="E267" t="s">
        <v>207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214</v>
      </c>
      <c r="C268" t="s">
        <v>221</v>
      </c>
      <c r="D268" s="160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0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0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0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0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0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70" customWidth="1"/>
    <col min="2" max="2" width="8.42578125" style="170" bestFit="1" customWidth="1"/>
    <col min="3" max="3" width="12.5703125" style="170" bestFit="1" customWidth="1"/>
    <col min="4" max="4" width="18.5703125" style="149" bestFit="1" customWidth="1"/>
    <col min="5" max="5" width="9.85546875" style="170" bestFit="1" customWidth="1"/>
    <col min="6" max="6" width="9" style="170" bestFit="1" customWidth="1"/>
    <col min="7" max="7" width="8.85546875" style="170" bestFit="1" customWidth="1"/>
    <col min="8" max="8" width="14" style="170" bestFit="1" customWidth="1"/>
    <col min="9" max="9" width="21.140625" style="170" bestFit="1" customWidth="1"/>
    <col min="10" max="10" width="8.7109375" style="170" bestFit="1" customWidth="1"/>
    <col min="11" max="11" width="11.28515625" style="170" bestFit="1" customWidth="1"/>
    <col min="12" max="12" width="11" style="170" bestFit="1" customWidth="1"/>
    <col min="13" max="13" width="11.28515625" style="170" bestFit="1" customWidth="1"/>
    <col min="14" max="14" width="13.7109375" style="170" bestFit="1" customWidth="1"/>
    <col min="15" max="15" width="14.85546875" style="170" bestFit="1" customWidth="1"/>
    <col min="16" max="16" width="16.7109375" style="170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5" t="s">
        <v>165</v>
      </c>
      <c r="B1" s="175" t="s">
        <v>168</v>
      </c>
      <c r="C1" s="175" t="s">
        <v>161</v>
      </c>
      <c r="D1" s="155" t="s">
        <v>173</v>
      </c>
      <c r="E1" s="175" t="s">
        <v>162</v>
      </c>
      <c r="F1" s="175" t="s">
        <v>160</v>
      </c>
      <c r="G1" s="175" t="s">
        <v>158</v>
      </c>
      <c r="H1" s="175" t="s">
        <v>171</v>
      </c>
      <c r="I1" s="175" t="s">
        <v>172</v>
      </c>
      <c r="J1" s="175" t="s">
        <v>166</v>
      </c>
      <c r="K1" s="175" t="s">
        <v>164</v>
      </c>
      <c r="L1" s="175" t="s">
        <v>159</v>
      </c>
      <c r="M1" s="175" t="s">
        <v>169</v>
      </c>
      <c r="N1" s="175" t="s">
        <v>163</v>
      </c>
      <c r="O1" s="175" t="s">
        <v>170</v>
      </c>
      <c r="P1" s="175" t="s">
        <v>167</v>
      </c>
      <c r="Q1"/>
      <c r="R1"/>
    </row>
    <row r="2" spans="1:18" x14ac:dyDescent="0.25">
      <c r="A2" s="165">
        <v>6.02</v>
      </c>
      <c r="B2" s="165">
        <v>0.46</v>
      </c>
      <c r="C2" s="165">
        <v>1.94</v>
      </c>
      <c r="D2" s="8">
        <v>42741</v>
      </c>
      <c r="E2" s="165">
        <v>0.83</v>
      </c>
      <c r="F2" s="165" t="s">
        <v>235</v>
      </c>
      <c r="G2" s="165">
        <v>329.13</v>
      </c>
      <c r="H2" s="165">
        <v>0</v>
      </c>
      <c r="I2" s="165">
        <v>0</v>
      </c>
      <c r="J2" s="165">
        <v>1027.1500000000001</v>
      </c>
      <c r="K2" s="165" t="s">
        <v>658</v>
      </c>
      <c r="L2" s="165">
        <v>6.02</v>
      </c>
      <c r="M2" s="165">
        <v>1483686000</v>
      </c>
      <c r="N2" s="165">
        <v>5.16</v>
      </c>
      <c r="O2" s="165">
        <v>293</v>
      </c>
      <c r="P2" s="165">
        <v>0.49</v>
      </c>
      <c r="Q2"/>
      <c r="R2"/>
    </row>
    <row r="3" spans="1:18" x14ac:dyDescent="0.25">
      <c r="A3" s="165">
        <v>4.8600000000000003</v>
      </c>
      <c r="B3" s="165">
        <v>0.38</v>
      </c>
      <c r="C3" s="165">
        <v>1.1000000000000001</v>
      </c>
      <c r="D3" s="8">
        <v>42741.041666666664</v>
      </c>
      <c r="E3" s="165">
        <v>0.84</v>
      </c>
      <c r="F3" s="165" t="s">
        <v>235</v>
      </c>
      <c r="G3" s="165">
        <v>331.4</v>
      </c>
      <c r="H3" s="165">
        <v>0</v>
      </c>
      <c r="I3" s="165">
        <v>0</v>
      </c>
      <c r="J3" s="165">
        <v>1027.49</v>
      </c>
      <c r="K3" s="165" t="s">
        <v>658</v>
      </c>
      <c r="L3" s="165">
        <v>4.8600000000000003</v>
      </c>
      <c r="M3" s="165">
        <v>1483689600</v>
      </c>
      <c r="N3" s="165">
        <v>5.19</v>
      </c>
      <c r="O3" s="165">
        <v>245</v>
      </c>
      <c r="P3" s="165">
        <v>0.94</v>
      </c>
      <c r="Q3"/>
      <c r="R3"/>
    </row>
    <row r="4" spans="1:18" x14ac:dyDescent="0.25">
      <c r="A4" s="165">
        <v>4.03</v>
      </c>
      <c r="B4" s="165">
        <v>0.28000000000000003</v>
      </c>
      <c r="C4" s="165">
        <v>0.37</v>
      </c>
      <c r="D4" s="8">
        <v>42741.083333333336</v>
      </c>
      <c r="E4" s="165">
        <v>0.84</v>
      </c>
      <c r="F4" s="165" t="s">
        <v>235</v>
      </c>
      <c r="G4" s="165">
        <v>333.68</v>
      </c>
      <c r="H4" s="165">
        <v>0</v>
      </c>
      <c r="I4" s="165">
        <v>0</v>
      </c>
      <c r="J4" s="165">
        <v>1027.83</v>
      </c>
      <c r="K4" s="165" t="s">
        <v>658</v>
      </c>
      <c r="L4" s="165">
        <v>4.03</v>
      </c>
      <c r="M4" s="165">
        <v>1483693200</v>
      </c>
      <c r="N4" s="165">
        <v>4.43</v>
      </c>
      <c r="O4" s="165">
        <v>287</v>
      </c>
      <c r="P4" s="165">
        <v>0.73</v>
      </c>
      <c r="Q4"/>
      <c r="R4"/>
    </row>
    <row r="5" spans="1:18" x14ac:dyDescent="0.25">
      <c r="A5" s="165">
        <v>2.73</v>
      </c>
      <c r="B5" s="165">
        <v>0.28999999999999998</v>
      </c>
      <c r="C5" s="165">
        <v>-0.99</v>
      </c>
      <c r="D5" s="8">
        <v>42741.125</v>
      </c>
      <c r="E5" s="165">
        <v>0.84</v>
      </c>
      <c r="F5" s="165" t="s">
        <v>235</v>
      </c>
      <c r="G5" s="165">
        <v>335.6</v>
      </c>
      <c r="H5" s="165">
        <v>0</v>
      </c>
      <c r="I5" s="165">
        <v>0</v>
      </c>
      <c r="J5" s="165">
        <v>1028.31</v>
      </c>
      <c r="K5" s="165" t="s">
        <v>658</v>
      </c>
      <c r="L5" s="165">
        <v>2.73</v>
      </c>
      <c r="M5" s="165">
        <v>1483696800</v>
      </c>
      <c r="N5" s="165">
        <v>4.18</v>
      </c>
      <c r="O5" s="165">
        <v>292</v>
      </c>
      <c r="P5" s="165">
        <v>0.74</v>
      </c>
      <c r="Q5"/>
      <c r="R5"/>
    </row>
    <row r="6" spans="1:18" x14ac:dyDescent="0.25">
      <c r="A6" s="165">
        <v>1.37</v>
      </c>
      <c r="B6" s="165">
        <v>0.31</v>
      </c>
      <c r="C6" s="165">
        <v>-2.48</v>
      </c>
      <c r="D6" s="8">
        <v>42741.166666666664</v>
      </c>
      <c r="E6" s="165">
        <v>0.83</v>
      </c>
      <c r="F6" s="165" t="s">
        <v>235</v>
      </c>
      <c r="G6" s="165">
        <v>337.26</v>
      </c>
      <c r="H6" s="165">
        <v>0</v>
      </c>
      <c r="I6" s="165">
        <v>0</v>
      </c>
      <c r="J6" s="165">
        <v>1028.8699999999999</v>
      </c>
      <c r="K6" s="165" t="s">
        <v>658</v>
      </c>
      <c r="L6" s="165">
        <v>1.37</v>
      </c>
      <c r="M6" s="165">
        <v>1483700400</v>
      </c>
      <c r="N6" s="165">
        <v>4.2</v>
      </c>
      <c r="O6" s="165">
        <v>307</v>
      </c>
      <c r="P6" s="165">
        <v>0.81</v>
      </c>
      <c r="Q6"/>
      <c r="R6"/>
    </row>
    <row r="7" spans="1:18" x14ac:dyDescent="0.25">
      <c r="A7" s="165">
        <v>0.21</v>
      </c>
      <c r="B7" s="165">
        <v>0.32</v>
      </c>
      <c r="C7" s="165">
        <v>-4.13</v>
      </c>
      <c r="D7" s="8">
        <v>42741.208333333336</v>
      </c>
      <c r="E7" s="165">
        <v>0.81</v>
      </c>
      <c r="F7" s="165" t="s">
        <v>235</v>
      </c>
      <c r="G7" s="165">
        <v>338.05</v>
      </c>
      <c r="H7" s="165">
        <v>0</v>
      </c>
      <c r="I7" s="165">
        <v>0</v>
      </c>
      <c r="J7" s="165">
        <v>1029.5899999999999</v>
      </c>
      <c r="K7" s="165" t="s">
        <v>658</v>
      </c>
      <c r="L7" s="165">
        <v>0.21</v>
      </c>
      <c r="M7" s="165">
        <v>1483704000</v>
      </c>
      <c r="N7" s="165">
        <v>4.8899999999999997</v>
      </c>
      <c r="O7" s="165">
        <v>282</v>
      </c>
      <c r="P7" s="165">
        <v>1.33</v>
      </c>
      <c r="Q7"/>
      <c r="R7"/>
    </row>
    <row r="8" spans="1:18" x14ac:dyDescent="0.25">
      <c r="A8" s="165">
        <v>-0.89</v>
      </c>
      <c r="B8" s="165">
        <v>0.23</v>
      </c>
      <c r="C8" s="165">
        <v>-5.4</v>
      </c>
      <c r="D8" s="8">
        <v>42741.25</v>
      </c>
      <c r="E8" s="165">
        <v>0.81</v>
      </c>
      <c r="F8" s="165" t="s">
        <v>659</v>
      </c>
      <c r="G8" s="165">
        <v>337.44</v>
      </c>
      <c r="H8" s="165">
        <v>0</v>
      </c>
      <c r="I8" s="165">
        <v>0</v>
      </c>
      <c r="J8" s="165">
        <v>1030.8</v>
      </c>
      <c r="K8" s="165" t="s">
        <v>660</v>
      </c>
      <c r="L8" s="165">
        <v>-0.89</v>
      </c>
      <c r="M8" s="165">
        <v>1483707600</v>
      </c>
      <c r="N8" s="165">
        <v>6.78</v>
      </c>
      <c r="O8" s="165">
        <v>266</v>
      </c>
      <c r="P8" s="165">
        <v>1.43</v>
      </c>
      <c r="Q8"/>
      <c r="R8"/>
    </row>
    <row r="9" spans="1:18" x14ac:dyDescent="0.25">
      <c r="A9" s="165">
        <v>-1.07</v>
      </c>
      <c r="B9" s="165">
        <v>0.19</v>
      </c>
      <c r="C9" s="165">
        <v>-5.93</v>
      </c>
      <c r="D9" s="8">
        <v>42741.291666666664</v>
      </c>
      <c r="E9" s="165">
        <v>0.79</v>
      </c>
      <c r="F9" s="165" t="s">
        <v>659</v>
      </c>
      <c r="G9" s="165">
        <v>335.97</v>
      </c>
      <c r="H9" s="165">
        <v>0</v>
      </c>
      <c r="I9" s="165">
        <v>0</v>
      </c>
      <c r="J9" s="165">
        <v>1032.03</v>
      </c>
      <c r="K9" s="165" t="s">
        <v>660</v>
      </c>
      <c r="L9" s="165">
        <v>-1.07</v>
      </c>
      <c r="M9" s="165">
        <v>1483711200</v>
      </c>
      <c r="N9" s="165">
        <v>5.77</v>
      </c>
      <c r="O9" s="165">
        <v>239</v>
      </c>
      <c r="P9" s="165">
        <v>2.46</v>
      </c>
      <c r="Q9"/>
      <c r="R9"/>
    </row>
    <row r="10" spans="1:18" x14ac:dyDescent="0.25">
      <c r="A10" s="165">
        <v>-8.6300000000000008</v>
      </c>
      <c r="B10" s="165">
        <v>0.15</v>
      </c>
      <c r="C10" s="165">
        <v>-5.79</v>
      </c>
      <c r="D10" s="8">
        <v>42741.333333333336</v>
      </c>
      <c r="E10" s="165">
        <v>0.8</v>
      </c>
      <c r="F10" s="165" t="s">
        <v>661</v>
      </c>
      <c r="G10" s="165">
        <v>334.7</v>
      </c>
      <c r="H10" s="165">
        <v>0</v>
      </c>
      <c r="I10" s="165">
        <v>0</v>
      </c>
      <c r="J10" s="165">
        <v>1032.4000000000001</v>
      </c>
      <c r="K10" s="165" t="s">
        <v>660</v>
      </c>
      <c r="L10" s="165">
        <v>-1.19</v>
      </c>
      <c r="M10" s="165">
        <v>1483714800</v>
      </c>
      <c r="N10" s="165">
        <v>4.8600000000000003</v>
      </c>
      <c r="O10" s="165">
        <v>251</v>
      </c>
      <c r="P10" s="165">
        <v>3.18</v>
      </c>
      <c r="Q10"/>
      <c r="R10"/>
    </row>
    <row r="11" spans="1:18" x14ac:dyDescent="0.25">
      <c r="A11" s="165">
        <v>3.67</v>
      </c>
      <c r="B11" s="165">
        <v>0.1</v>
      </c>
      <c r="C11" s="165">
        <v>-1.4</v>
      </c>
      <c r="D11" s="8">
        <v>42741.375</v>
      </c>
      <c r="E11" s="165">
        <v>0.79</v>
      </c>
      <c r="F11" s="165" t="s">
        <v>661</v>
      </c>
      <c r="G11" s="165">
        <v>334.23</v>
      </c>
      <c r="H11" s="165">
        <v>0</v>
      </c>
      <c r="I11" s="165">
        <v>0</v>
      </c>
      <c r="J11" s="165">
        <v>1031.45</v>
      </c>
      <c r="K11" s="165" t="s">
        <v>660</v>
      </c>
      <c r="L11" s="165">
        <v>3.67</v>
      </c>
      <c r="M11" s="165">
        <v>1483718400</v>
      </c>
      <c r="N11" s="165">
        <v>4.67</v>
      </c>
      <c r="O11" s="165">
        <v>231</v>
      </c>
      <c r="P11" s="165">
        <v>2.72</v>
      </c>
      <c r="Q11"/>
      <c r="R11"/>
    </row>
    <row r="12" spans="1:18" x14ac:dyDescent="0.25">
      <c r="A12" s="165">
        <v>11.86</v>
      </c>
      <c r="B12" s="165">
        <v>0.11</v>
      </c>
      <c r="C12" s="165">
        <v>5.5</v>
      </c>
      <c r="D12" s="8">
        <v>42741.416666666664</v>
      </c>
      <c r="E12" s="165">
        <v>0.75</v>
      </c>
      <c r="F12" s="165" t="s">
        <v>661</v>
      </c>
      <c r="G12" s="165">
        <v>333.96</v>
      </c>
      <c r="H12" s="165">
        <v>0</v>
      </c>
      <c r="I12" s="165">
        <v>0</v>
      </c>
      <c r="J12" s="165">
        <v>1029.33</v>
      </c>
      <c r="K12" s="165" t="s">
        <v>660</v>
      </c>
      <c r="L12" s="165">
        <v>11.86</v>
      </c>
      <c r="M12" s="165">
        <v>1483722000</v>
      </c>
      <c r="N12" s="165">
        <v>4.7300000000000004</v>
      </c>
      <c r="O12" s="165">
        <v>230</v>
      </c>
      <c r="P12" s="165">
        <v>2.29</v>
      </c>
      <c r="Q12"/>
      <c r="R12"/>
    </row>
    <row r="13" spans="1:18" x14ac:dyDescent="0.25">
      <c r="A13" s="165">
        <v>17.43</v>
      </c>
      <c r="B13" s="165">
        <v>0.09</v>
      </c>
      <c r="C13" s="165">
        <v>8.73</v>
      </c>
      <c r="D13" s="8">
        <v>42741.458333333336</v>
      </c>
      <c r="E13" s="165">
        <v>0.68</v>
      </c>
      <c r="F13" s="165" t="s">
        <v>661</v>
      </c>
      <c r="G13" s="165">
        <v>333.16</v>
      </c>
      <c r="H13" s="165">
        <v>0</v>
      </c>
      <c r="I13" s="165">
        <v>0</v>
      </c>
      <c r="J13" s="165">
        <v>1027.02</v>
      </c>
      <c r="K13" s="165" t="s">
        <v>660</v>
      </c>
      <c r="L13" s="165">
        <v>17.43</v>
      </c>
      <c r="M13" s="165">
        <v>1483725600</v>
      </c>
      <c r="N13" s="165">
        <v>4.7699999999999996</v>
      </c>
      <c r="O13" s="165">
        <v>229</v>
      </c>
      <c r="P13" s="165">
        <v>1.97</v>
      </c>
      <c r="Q13"/>
      <c r="R13"/>
    </row>
    <row r="14" spans="1:18" x14ac:dyDescent="0.25">
      <c r="A14" s="165">
        <v>22.3</v>
      </c>
      <c r="B14" s="165">
        <v>0.11</v>
      </c>
      <c r="C14" s="165">
        <v>9.7100000000000009</v>
      </c>
      <c r="D14" s="8">
        <v>42741.5</v>
      </c>
      <c r="E14" s="165">
        <v>0.57999999999999996</v>
      </c>
      <c r="F14" s="165" t="s">
        <v>661</v>
      </c>
      <c r="G14" s="165">
        <v>331.42</v>
      </c>
      <c r="H14" s="165">
        <v>0</v>
      </c>
      <c r="I14" s="165">
        <v>0</v>
      </c>
      <c r="J14" s="165">
        <v>1025.6400000000001</v>
      </c>
      <c r="K14" s="165" t="s">
        <v>660</v>
      </c>
      <c r="L14" s="165">
        <v>22.3</v>
      </c>
      <c r="M14" s="165">
        <v>1483729200</v>
      </c>
      <c r="N14" s="165">
        <v>4.97</v>
      </c>
      <c r="O14" s="165">
        <v>218</v>
      </c>
      <c r="P14" s="165">
        <v>0.6</v>
      </c>
      <c r="Q14"/>
      <c r="R14"/>
    </row>
    <row r="15" spans="1:18" x14ac:dyDescent="0.25">
      <c r="A15" s="165">
        <v>25.42</v>
      </c>
      <c r="B15" s="165">
        <v>0.21</v>
      </c>
      <c r="C15" s="165">
        <v>8.68</v>
      </c>
      <c r="D15" s="8">
        <v>42741.541666666664</v>
      </c>
      <c r="E15" s="165">
        <v>0.48</v>
      </c>
      <c r="F15" s="165" t="s">
        <v>661</v>
      </c>
      <c r="G15" s="165">
        <v>329.14</v>
      </c>
      <c r="H15" s="165">
        <v>0</v>
      </c>
      <c r="I15" s="165">
        <v>0</v>
      </c>
      <c r="J15" s="165">
        <v>1025.06</v>
      </c>
      <c r="K15" s="165" t="s">
        <v>660</v>
      </c>
      <c r="L15" s="165">
        <v>25.42</v>
      </c>
      <c r="M15" s="165">
        <v>1483732800</v>
      </c>
      <c r="N15" s="165">
        <v>5.15</v>
      </c>
      <c r="O15" s="165">
        <v>206</v>
      </c>
      <c r="P15" s="165">
        <v>1.19</v>
      </c>
      <c r="Q15"/>
      <c r="R15"/>
    </row>
    <row r="16" spans="1:18" x14ac:dyDescent="0.25">
      <c r="A16" s="165">
        <v>27.75</v>
      </c>
      <c r="B16" s="165">
        <v>0.27</v>
      </c>
      <c r="C16" s="165">
        <v>7.07</v>
      </c>
      <c r="D16" s="8">
        <v>42741.583333333336</v>
      </c>
      <c r="E16" s="165">
        <v>0.41</v>
      </c>
      <c r="F16" s="165" t="s">
        <v>662</v>
      </c>
      <c r="G16" s="165">
        <v>326.82</v>
      </c>
      <c r="H16" s="165">
        <v>0</v>
      </c>
      <c r="I16" s="165">
        <v>0</v>
      </c>
      <c r="J16" s="165">
        <v>1024.8699999999999</v>
      </c>
      <c r="K16" s="165" t="s">
        <v>658</v>
      </c>
      <c r="L16" s="165">
        <v>27.75</v>
      </c>
      <c r="M16" s="165">
        <v>1483736400</v>
      </c>
      <c r="N16" s="165">
        <v>5.35</v>
      </c>
      <c r="O16" s="165">
        <v>177</v>
      </c>
      <c r="P16" s="165">
        <v>1.58</v>
      </c>
      <c r="Q16"/>
      <c r="R16"/>
    </row>
    <row r="17" spans="1:18" x14ac:dyDescent="0.25">
      <c r="A17" s="165">
        <v>26.48</v>
      </c>
      <c r="B17" s="165">
        <v>0.27</v>
      </c>
      <c r="C17" s="165">
        <v>3.37</v>
      </c>
      <c r="D17" s="8">
        <v>42741.625</v>
      </c>
      <c r="E17" s="165">
        <v>0.36</v>
      </c>
      <c r="F17" s="165" t="s">
        <v>662</v>
      </c>
      <c r="G17" s="165">
        <v>324.16000000000003</v>
      </c>
      <c r="H17" s="165">
        <v>0</v>
      </c>
      <c r="I17" s="165">
        <v>0</v>
      </c>
      <c r="J17" s="165">
        <v>1025.1500000000001</v>
      </c>
      <c r="K17" s="165" t="s">
        <v>658</v>
      </c>
      <c r="L17" s="165">
        <v>26.48</v>
      </c>
      <c r="M17" s="165">
        <v>1483740000</v>
      </c>
      <c r="N17" s="165">
        <v>4.9800000000000004</v>
      </c>
      <c r="O17" s="165">
        <v>189</v>
      </c>
      <c r="P17" s="165">
        <v>2.0299999999999998</v>
      </c>
      <c r="Q17"/>
      <c r="R17"/>
    </row>
    <row r="18" spans="1:18" x14ac:dyDescent="0.25">
      <c r="A18" s="165">
        <v>24.65</v>
      </c>
      <c r="B18" s="165">
        <v>0.28000000000000003</v>
      </c>
      <c r="C18" s="165">
        <v>2.4300000000000002</v>
      </c>
      <c r="D18" s="8">
        <v>42741.666666666664</v>
      </c>
      <c r="E18" s="165">
        <v>0.38</v>
      </c>
      <c r="F18" s="165" t="s">
        <v>662</v>
      </c>
      <c r="G18" s="165">
        <v>321.45999999999998</v>
      </c>
      <c r="H18" s="165">
        <v>0</v>
      </c>
      <c r="I18" s="165">
        <v>0</v>
      </c>
      <c r="J18" s="165">
        <v>1025.92</v>
      </c>
      <c r="K18" s="165" t="s">
        <v>658</v>
      </c>
      <c r="L18" s="165">
        <v>24.65</v>
      </c>
      <c r="M18" s="165">
        <v>1483743600</v>
      </c>
      <c r="N18" s="165">
        <v>5.12</v>
      </c>
      <c r="O18" s="165">
        <v>190</v>
      </c>
      <c r="P18" s="165">
        <v>2.0699999999999998</v>
      </c>
      <c r="Q18"/>
      <c r="R18"/>
    </row>
    <row r="19" spans="1:18" x14ac:dyDescent="0.25">
      <c r="A19" s="165">
        <v>21.5</v>
      </c>
      <c r="B19" s="165">
        <v>0.17</v>
      </c>
      <c r="C19" s="165">
        <v>0.56999999999999995</v>
      </c>
      <c r="D19" s="8">
        <v>42741.708333333336</v>
      </c>
      <c r="E19" s="165">
        <v>0.39</v>
      </c>
      <c r="F19" s="165" t="s">
        <v>659</v>
      </c>
      <c r="G19" s="165">
        <v>320.07</v>
      </c>
      <c r="H19" s="165">
        <v>0</v>
      </c>
      <c r="I19" s="165">
        <v>0</v>
      </c>
      <c r="J19" s="165">
        <v>1027.48</v>
      </c>
      <c r="K19" s="165" t="s">
        <v>660</v>
      </c>
      <c r="L19" s="165">
        <v>21.5</v>
      </c>
      <c r="M19" s="165">
        <v>1483747200</v>
      </c>
      <c r="N19" s="165">
        <v>5.64</v>
      </c>
      <c r="O19" s="165">
        <v>227</v>
      </c>
      <c r="P19" s="165">
        <v>1.21</v>
      </c>
      <c r="Q19"/>
      <c r="R19"/>
    </row>
    <row r="20" spans="1:18" x14ac:dyDescent="0.25">
      <c r="A20" s="165">
        <v>16.78</v>
      </c>
      <c r="B20" s="165">
        <v>0.1</v>
      </c>
      <c r="C20" s="165">
        <v>-0.22</v>
      </c>
      <c r="D20" s="8">
        <v>42741.75</v>
      </c>
      <c r="E20" s="165">
        <v>0.46</v>
      </c>
      <c r="F20" s="165" t="s">
        <v>659</v>
      </c>
      <c r="G20" s="165">
        <v>320.7</v>
      </c>
      <c r="H20" s="165">
        <v>0</v>
      </c>
      <c r="I20" s="165">
        <v>0</v>
      </c>
      <c r="J20" s="165">
        <v>1029.56</v>
      </c>
      <c r="K20" s="165" t="s">
        <v>660</v>
      </c>
      <c r="L20" s="165">
        <v>16.78</v>
      </c>
      <c r="M20" s="165">
        <v>1483750800</v>
      </c>
      <c r="N20" s="165">
        <v>6.36</v>
      </c>
      <c r="O20" s="165">
        <v>252</v>
      </c>
      <c r="P20" s="165">
        <v>2.12</v>
      </c>
      <c r="Q20"/>
      <c r="R20"/>
    </row>
    <row r="21" spans="1:18" x14ac:dyDescent="0.25">
      <c r="A21" s="165">
        <v>14.2</v>
      </c>
      <c r="B21" s="165">
        <v>0.12</v>
      </c>
      <c r="C21" s="165">
        <v>0.39</v>
      </c>
      <c r="D21" s="8">
        <v>42741.791666666664</v>
      </c>
      <c r="E21" s="165">
        <v>0.53</v>
      </c>
      <c r="F21" s="165" t="s">
        <v>659</v>
      </c>
      <c r="G21" s="165">
        <v>322.64</v>
      </c>
      <c r="H21" s="165">
        <v>0</v>
      </c>
      <c r="I21" s="165">
        <v>0</v>
      </c>
      <c r="J21" s="165">
        <v>1032.1199999999999</v>
      </c>
      <c r="K21" s="165" t="s">
        <v>660</v>
      </c>
      <c r="L21" s="165">
        <v>14.2</v>
      </c>
      <c r="M21" s="165">
        <v>1483754400</v>
      </c>
      <c r="N21" s="165">
        <v>7.69</v>
      </c>
      <c r="O21" s="165">
        <v>228</v>
      </c>
      <c r="P21" s="165">
        <v>2.33</v>
      </c>
      <c r="Q21"/>
      <c r="R21"/>
    </row>
    <row r="22" spans="1:18" x14ac:dyDescent="0.25">
      <c r="A22" s="165">
        <v>11.75</v>
      </c>
      <c r="B22" s="165">
        <v>0.12</v>
      </c>
      <c r="C22" s="165">
        <v>1.06</v>
      </c>
      <c r="D22" s="8">
        <v>42741.833333333336</v>
      </c>
      <c r="E22" s="165">
        <v>0.61</v>
      </c>
      <c r="F22" s="165" t="s">
        <v>659</v>
      </c>
      <c r="G22" s="165">
        <v>325.11</v>
      </c>
      <c r="H22" s="165">
        <v>0</v>
      </c>
      <c r="I22" s="165">
        <v>0</v>
      </c>
      <c r="J22" s="165">
        <v>1033.94</v>
      </c>
      <c r="K22" s="165" t="s">
        <v>660</v>
      </c>
      <c r="L22" s="165">
        <v>11.75</v>
      </c>
      <c r="M22" s="165">
        <v>1483758000</v>
      </c>
      <c r="N22" s="165">
        <v>6.39</v>
      </c>
      <c r="O22" s="165">
        <v>245</v>
      </c>
      <c r="P22" s="165">
        <v>2.35</v>
      </c>
      <c r="Q22"/>
      <c r="R22"/>
    </row>
    <row r="23" spans="1:18" x14ac:dyDescent="0.25">
      <c r="A23" s="165">
        <v>9.67</v>
      </c>
      <c r="B23" s="165">
        <v>0.14000000000000001</v>
      </c>
      <c r="C23" s="165">
        <v>-0.17</v>
      </c>
      <c r="D23" s="8">
        <v>42741.875</v>
      </c>
      <c r="E23" s="165">
        <v>0.64</v>
      </c>
      <c r="F23" s="165" t="s">
        <v>659</v>
      </c>
      <c r="G23" s="165">
        <v>328.38</v>
      </c>
      <c r="H23" s="165">
        <v>0</v>
      </c>
      <c r="I23" s="165">
        <v>0</v>
      </c>
      <c r="J23" s="165">
        <v>1034.21</v>
      </c>
      <c r="K23" s="165" t="s">
        <v>660</v>
      </c>
      <c r="L23" s="165">
        <v>9.67</v>
      </c>
      <c r="M23" s="165">
        <v>1483761600</v>
      </c>
      <c r="N23" s="165">
        <v>5.59</v>
      </c>
      <c r="O23" s="165">
        <v>252</v>
      </c>
      <c r="P23" s="165">
        <v>2.14</v>
      </c>
      <c r="Q23"/>
      <c r="R23"/>
    </row>
    <row r="24" spans="1:18" x14ac:dyDescent="0.25">
      <c r="A24" s="165">
        <v>8.85</v>
      </c>
      <c r="B24" s="165">
        <v>0</v>
      </c>
      <c r="C24" s="165">
        <v>0.17</v>
      </c>
      <c r="D24" s="8">
        <v>42741.916666666664</v>
      </c>
      <c r="E24" s="165">
        <v>0.67</v>
      </c>
      <c r="F24" s="165" t="s">
        <v>659</v>
      </c>
      <c r="G24" s="165">
        <v>332.18</v>
      </c>
      <c r="H24" s="165">
        <v>0</v>
      </c>
      <c r="I24" s="165">
        <v>0</v>
      </c>
      <c r="J24" s="165">
        <v>1033.5899999999999</v>
      </c>
      <c r="K24" s="165" t="s">
        <v>660</v>
      </c>
      <c r="L24" s="165">
        <v>8.85</v>
      </c>
      <c r="M24" s="165">
        <v>1483765200</v>
      </c>
      <c r="N24" s="165">
        <v>6.06</v>
      </c>
      <c r="O24" s="165">
        <v>241</v>
      </c>
      <c r="P24" s="165">
        <v>2.06</v>
      </c>
      <c r="Q24"/>
      <c r="R24"/>
    </row>
    <row r="25" spans="1:18" x14ac:dyDescent="0.25">
      <c r="A25" s="165">
        <v>8.66</v>
      </c>
      <c r="B25" s="165">
        <v>0.17</v>
      </c>
      <c r="C25" s="165">
        <v>0.33</v>
      </c>
      <c r="D25" s="8">
        <v>42741.958333333336</v>
      </c>
      <c r="E25" s="165">
        <v>0.68</v>
      </c>
      <c r="F25" s="165" t="s">
        <v>659</v>
      </c>
      <c r="G25" s="165">
        <v>334.78</v>
      </c>
      <c r="H25" s="165">
        <v>0</v>
      </c>
      <c r="I25" s="165">
        <v>0</v>
      </c>
      <c r="J25" s="165">
        <v>1033.46</v>
      </c>
      <c r="K25" s="165" t="s">
        <v>660</v>
      </c>
      <c r="L25" s="165">
        <v>8.66</v>
      </c>
      <c r="M25" s="165">
        <v>1483768800</v>
      </c>
      <c r="N25" s="165">
        <v>6.86</v>
      </c>
      <c r="O25" s="165">
        <v>244</v>
      </c>
      <c r="P25" s="165">
        <v>2.57</v>
      </c>
      <c r="Q25"/>
      <c r="R25"/>
    </row>
    <row r="26" spans="1:18" x14ac:dyDescent="0.25">
      <c r="A26" s="165">
        <v>2.2799999999999998</v>
      </c>
      <c r="B26" s="165">
        <v>0.2</v>
      </c>
      <c r="C26" s="165">
        <v>0.01</v>
      </c>
      <c r="D26" s="8">
        <v>42742</v>
      </c>
      <c r="E26" s="165">
        <v>0.68</v>
      </c>
      <c r="F26" s="165" t="s">
        <v>659</v>
      </c>
      <c r="G26" s="165">
        <v>334.44</v>
      </c>
      <c r="H26" s="165">
        <v>0</v>
      </c>
      <c r="I26" s="165">
        <v>0</v>
      </c>
      <c r="J26" s="165">
        <v>1034.93</v>
      </c>
      <c r="K26" s="165" t="s">
        <v>660</v>
      </c>
      <c r="L26" s="165">
        <v>8.4600000000000009</v>
      </c>
      <c r="M26" s="165">
        <v>1483772400</v>
      </c>
      <c r="N26" s="165">
        <v>7.51</v>
      </c>
      <c r="O26" s="165">
        <v>234</v>
      </c>
      <c r="P26" s="165">
        <v>3.21</v>
      </c>
      <c r="Q26"/>
      <c r="R26"/>
    </row>
    <row r="27" spans="1:18" x14ac:dyDescent="0.25">
      <c r="A27" s="165">
        <v>8.5</v>
      </c>
      <c r="B27" s="165">
        <v>0.34</v>
      </c>
      <c r="C27" s="165">
        <v>-0.53</v>
      </c>
      <c r="D27" s="8">
        <v>42742.041666666664</v>
      </c>
      <c r="E27" s="165">
        <v>0.66</v>
      </c>
      <c r="F27" s="165" t="s">
        <v>235</v>
      </c>
      <c r="G27" s="165">
        <v>334.09</v>
      </c>
      <c r="H27" s="165">
        <v>0</v>
      </c>
      <c r="I27" s="165">
        <v>0</v>
      </c>
      <c r="J27" s="165">
        <v>1036.23</v>
      </c>
      <c r="K27" s="165" t="s">
        <v>658</v>
      </c>
      <c r="L27" s="165">
        <v>8.5</v>
      </c>
      <c r="M27" s="165">
        <v>1483776000</v>
      </c>
      <c r="N27" s="165">
        <v>7.27</v>
      </c>
      <c r="O27" s="165">
        <v>229</v>
      </c>
      <c r="P27" s="165">
        <v>2.86</v>
      </c>
      <c r="Q27"/>
      <c r="R27"/>
    </row>
    <row r="28" spans="1:18" x14ac:dyDescent="0.25">
      <c r="A28" s="165">
        <v>2.62</v>
      </c>
      <c r="B28" s="165">
        <v>0.36</v>
      </c>
      <c r="C28" s="165">
        <v>-0.51</v>
      </c>
      <c r="D28" s="8">
        <v>42742.083333333336</v>
      </c>
      <c r="E28" s="165">
        <v>0.65</v>
      </c>
      <c r="F28" s="165" t="s">
        <v>235</v>
      </c>
      <c r="G28" s="165">
        <v>333.75</v>
      </c>
      <c r="H28" s="165">
        <v>0</v>
      </c>
      <c r="I28" s="165">
        <v>0</v>
      </c>
      <c r="J28" s="165">
        <v>1037.3599999999999</v>
      </c>
      <c r="K28" s="165" t="s">
        <v>658</v>
      </c>
      <c r="L28" s="165">
        <v>8.65</v>
      </c>
      <c r="M28" s="165">
        <v>1483779600</v>
      </c>
      <c r="N28" s="165">
        <v>5.24</v>
      </c>
      <c r="O28" s="165">
        <v>221</v>
      </c>
      <c r="P28" s="165">
        <v>3.14</v>
      </c>
      <c r="Q28"/>
      <c r="R28"/>
    </row>
    <row r="29" spans="1:18" x14ac:dyDescent="0.25">
      <c r="A29" s="165">
        <v>-0.55000000000000004</v>
      </c>
      <c r="B29" s="165">
        <v>0.26</v>
      </c>
      <c r="C29" s="165">
        <v>-3.51</v>
      </c>
      <c r="D29" s="8">
        <v>42742.125</v>
      </c>
      <c r="E29" s="165">
        <v>0.61</v>
      </c>
      <c r="F29" s="165" t="s">
        <v>235</v>
      </c>
      <c r="G29" s="165">
        <v>331.46</v>
      </c>
      <c r="H29" s="165">
        <v>0</v>
      </c>
      <c r="I29" s="165">
        <v>0</v>
      </c>
      <c r="J29" s="165">
        <v>1037.58</v>
      </c>
      <c r="K29" s="165" t="s">
        <v>658</v>
      </c>
      <c r="L29" s="165">
        <v>7.02</v>
      </c>
      <c r="M29" s="165">
        <v>1483783200</v>
      </c>
      <c r="N29" s="165">
        <v>7.16</v>
      </c>
      <c r="O29" s="165">
        <v>216</v>
      </c>
      <c r="P29" s="165">
        <v>3.86</v>
      </c>
      <c r="Q29"/>
      <c r="R29"/>
    </row>
    <row r="30" spans="1:18" x14ac:dyDescent="0.25">
      <c r="A30" s="165"/>
      <c r="B30" s="165"/>
      <c r="C30" s="165"/>
      <c r="D30" s="8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</row>
    <row r="31" spans="1:18" x14ac:dyDescent="0.25">
      <c r="A31" s="170" t="s">
        <v>200</v>
      </c>
    </row>
    <row r="33" spans="1:1" x14ac:dyDescent="0.25">
      <c r="A33" s="170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41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5" bestFit="1" customWidth="1"/>
    <col min="11" max="11" width="15.28515625" style="165" hidden="1" customWidth="1"/>
    <col min="12" max="12" width="13.5703125" style="165" hidden="1" customWidth="1"/>
    <col min="13" max="13" width="9" style="165" bestFit="1" customWidth="1"/>
    <col min="14" max="17" width="9.140625" style="165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4" t="s">
        <v>101</v>
      </c>
      <c r="K1" s="184" t="s">
        <v>66</v>
      </c>
      <c r="L1" s="184" t="s">
        <v>67</v>
      </c>
      <c r="O1" s="185" t="s">
        <v>102</v>
      </c>
    </row>
    <row r="2" spans="1:16" ht="15.75" thickBot="1" x14ac:dyDescent="0.3">
      <c r="A2" s="12">
        <v>42741</v>
      </c>
      <c r="B2" s="4"/>
      <c r="C2" s="140">
        <v>50</v>
      </c>
      <c r="D2" s="141">
        <v>25</v>
      </c>
      <c r="F2" t="s">
        <v>114</v>
      </c>
      <c r="J2" s="184"/>
      <c r="K2" s="184" t="s">
        <v>66</v>
      </c>
      <c r="L2" s="184" t="s">
        <v>67</v>
      </c>
    </row>
    <row r="3" spans="1:16" x14ac:dyDescent="0.25">
      <c r="C3" s="66"/>
      <c r="F3" t="s">
        <v>52</v>
      </c>
      <c r="J3" s="186" t="s">
        <v>68</v>
      </c>
      <c r="K3" s="187">
        <v>2.7052</v>
      </c>
      <c r="L3" s="187">
        <v>2.7349999999999999</v>
      </c>
      <c r="M3" s="165">
        <f t="shared" ref="M3:M14" si="0">AVERAGE(K3:L3)</f>
        <v>2.7201</v>
      </c>
      <c r="O3" s="165" t="s">
        <v>103</v>
      </c>
      <c r="P3" s="165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6" t="s">
        <v>69</v>
      </c>
      <c r="K4" s="187">
        <v>3.0830000000000002</v>
      </c>
      <c r="L4" s="187">
        <v>3.097</v>
      </c>
      <c r="M4" s="165">
        <f t="shared" si="0"/>
        <v>3.09</v>
      </c>
    </row>
    <row r="5" spans="1:16" x14ac:dyDescent="0.25">
      <c r="C5" s="66">
        <v>30</v>
      </c>
      <c r="D5" s="66">
        <v>9</v>
      </c>
      <c r="J5" s="186" t="s">
        <v>70</v>
      </c>
      <c r="K5" s="187">
        <v>3.3136000000000001</v>
      </c>
      <c r="L5" s="187">
        <v>3.3256999999999999</v>
      </c>
      <c r="M5" s="165">
        <f t="shared" si="0"/>
        <v>3.3196500000000002</v>
      </c>
    </row>
    <row r="6" spans="1:16" x14ac:dyDescent="0.25">
      <c r="C6" s="66"/>
      <c r="F6" t="s">
        <v>115</v>
      </c>
      <c r="J6" s="186" t="s">
        <v>71</v>
      </c>
      <c r="K6" s="187">
        <v>4.2778999999999998</v>
      </c>
      <c r="L6" s="187">
        <v>4.2961</v>
      </c>
      <c r="M6" s="165">
        <f t="shared" si="0"/>
        <v>4.2869999999999999</v>
      </c>
    </row>
    <row r="7" spans="1:16" x14ac:dyDescent="0.25">
      <c r="C7" s="66"/>
      <c r="F7" t="s">
        <v>116</v>
      </c>
      <c r="J7" s="186" t="s">
        <v>72</v>
      </c>
      <c r="K7" s="187">
        <v>4.7865000000000002</v>
      </c>
      <c r="L7" s="187">
        <v>4.8048000000000002</v>
      </c>
      <c r="M7" s="165">
        <f t="shared" si="0"/>
        <v>4.7956500000000002</v>
      </c>
    </row>
    <row r="8" spans="1:16" x14ac:dyDescent="0.25">
      <c r="C8" s="66"/>
      <c r="F8" t="s">
        <v>117</v>
      </c>
      <c r="J8" s="186" t="s">
        <v>73</v>
      </c>
      <c r="K8" s="187">
        <v>5.3155000000000001</v>
      </c>
      <c r="L8" s="187">
        <v>5.3277000000000001</v>
      </c>
      <c r="M8" s="165">
        <f t="shared" si="0"/>
        <v>5.3216000000000001</v>
      </c>
    </row>
    <row r="9" spans="1:16" x14ac:dyDescent="0.25">
      <c r="C9" s="66"/>
      <c r="J9" s="186" t="s">
        <v>74</v>
      </c>
      <c r="K9" s="187">
        <v>5.8117000000000001</v>
      </c>
      <c r="L9" s="187">
        <v>5.8300999999999998</v>
      </c>
      <c r="M9" s="165">
        <f t="shared" si="0"/>
        <v>5.8209</v>
      </c>
    </row>
    <row r="10" spans="1:16" x14ac:dyDescent="0.25">
      <c r="C10" s="66"/>
      <c r="J10" s="186" t="s">
        <v>75</v>
      </c>
      <c r="K10" s="187">
        <v>5.8783000000000003</v>
      </c>
      <c r="L10" s="187">
        <v>5.8903999999999996</v>
      </c>
      <c r="M10" s="165">
        <f t="shared" si="0"/>
        <v>5.8843499999999995</v>
      </c>
    </row>
    <row r="11" spans="1:16" x14ac:dyDescent="0.25">
      <c r="C11" s="66"/>
      <c r="J11" s="186" t="s">
        <v>76</v>
      </c>
      <c r="K11" s="187">
        <v>6.3068</v>
      </c>
      <c r="L11" s="187">
        <v>6.3308999999999997</v>
      </c>
      <c r="M11" s="165">
        <f t="shared" si="0"/>
        <v>6.3188499999999994</v>
      </c>
    </row>
    <row r="12" spans="1:16" x14ac:dyDescent="0.25">
      <c r="C12" s="66"/>
      <c r="J12" s="186" t="s">
        <v>77</v>
      </c>
      <c r="K12" s="187">
        <v>7.8349000000000002</v>
      </c>
      <c r="L12" s="187">
        <v>7.8468999999999998</v>
      </c>
      <c r="M12" s="165">
        <f t="shared" si="0"/>
        <v>7.8408999999999995</v>
      </c>
    </row>
    <row r="13" spans="1:16" x14ac:dyDescent="0.25">
      <c r="C13" s="66"/>
      <c r="J13" s="186" t="s">
        <v>78</v>
      </c>
      <c r="K13" s="187">
        <v>10.373799999999999</v>
      </c>
      <c r="L13" s="187">
        <v>10.38</v>
      </c>
      <c r="M13" s="165">
        <f t="shared" si="0"/>
        <v>10.376899999999999</v>
      </c>
    </row>
    <row r="14" spans="1:16" x14ac:dyDescent="0.25">
      <c r="C14" s="66"/>
      <c r="J14" s="186" t="s">
        <v>79</v>
      </c>
      <c r="K14" s="187">
        <v>10.8954</v>
      </c>
      <c r="L14" s="187">
        <v>10.913500000000001</v>
      </c>
      <c r="M14" s="165">
        <f t="shared" si="0"/>
        <v>10.904450000000001</v>
      </c>
    </row>
    <row r="15" spans="1:16" x14ac:dyDescent="0.25">
      <c r="C15" s="66"/>
      <c r="J15" s="186"/>
      <c r="K15" s="187"/>
      <c r="L15" s="187"/>
    </row>
    <row r="16" spans="1:16" x14ac:dyDescent="0.25">
      <c r="C16" s="66"/>
      <c r="J16" s="186"/>
      <c r="K16" s="187"/>
      <c r="L16" s="187"/>
    </row>
    <row r="17" spans="3:13" x14ac:dyDescent="0.25">
      <c r="C17" s="156" t="s">
        <v>201</v>
      </c>
      <c r="J17" s="186"/>
      <c r="K17" s="187"/>
      <c r="L17" s="187"/>
    </row>
    <row r="18" spans="3:13" x14ac:dyDescent="0.25">
      <c r="C18" t="s">
        <v>820</v>
      </c>
      <c r="J18" s="186" t="s">
        <v>85</v>
      </c>
      <c r="K18" s="187"/>
      <c r="L18" s="187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821</v>
      </c>
      <c r="J19" s="186" t="s">
        <v>86</v>
      </c>
      <c r="K19" s="187"/>
      <c r="L19" s="187"/>
      <c r="M19" s="165" t="s">
        <v>112</v>
      </c>
    </row>
    <row r="20" spans="3:13" x14ac:dyDescent="0.25">
      <c r="C20" t="s">
        <v>822</v>
      </c>
      <c r="J20" s="165" t="s">
        <v>87</v>
      </c>
      <c r="M20" s="165" t="s">
        <v>307</v>
      </c>
    </row>
    <row r="21" spans="3:13" x14ac:dyDescent="0.25">
      <c r="C21" t="s">
        <v>823</v>
      </c>
      <c r="J21" s="165" t="s">
        <v>90</v>
      </c>
      <c r="K21" s="165" t="s">
        <v>91</v>
      </c>
      <c r="M21" s="165" t="s">
        <v>182</v>
      </c>
    </row>
    <row r="22" spans="3:13" x14ac:dyDescent="0.25">
      <c r="C22" t="s">
        <v>824</v>
      </c>
      <c r="J22" s="165" t="s">
        <v>92</v>
      </c>
      <c r="K22" s="165" t="s">
        <v>93</v>
      </c>
      <c r="M22" s="165" t="s">
        <v>111</v>
      </c>
    </row>
    <row r="23" spans="3:13" x14ac:dyDescent="0.25">
      <c r="C23" t="s">
        <v>825</v>
      </c>
      <c r="J23" s="188" t="s">
        <v>95</v>
      </c>
      <c r="M23" s="165">
        <v>-7</v>
      </c>
    </row>
    <row r="24" spans="3:13" x14ac:dyDescent="0.25">
      <c r="C24" t="s">
        <v>826</v>
      </c>
      <c r="J24" s="165" t="s">
        <v>108</v>
      </c>
      <c r="M24" s="165" t="s">
        <v>110</v>
      </c>
    </row>
    <row r="25" spans="3:13" x14ac:dyDescent="0.25">
      <c r="C25" t="s">
        <v>827</v>
      </c>
      <c r="J25" s="165" t="s">
        <v>151</v>
      </c>
      <c r="M25" s="165" t="b">
        <v>1</v>
      </c>
    </row>
    <row r="26" spans="3:13" x14ac:dyDescent="0.25">
      <c r="C26" t="s">
        <v>828</v>
      </c>
      <c r="J26" s="165" t="s">
        <v>152</v>
      </c>
      <c r="M26" s="165" t="str">
        <f>"C:\Users\stu\Documents\GitHub\eaglep3-reporting\EC\"&amp;TEXT(A2,"yyyy-mm-dd")&amp;"-refined-times.txt"</f>
        <v>C:\Users\stu\Documents\GitHub\eaglep3-reporting\EC\2017-01-06-refined-times.txt</v>
      </c>
    </row>
    <row r="27" spans="3:13" x14ac:dyDescent="0.25">
      <c r="C27" t="s">
        <v>829</v>
      </c>
      <c r="J27" s="165" t="s">
        <v>187</v>
      </c>
      <c r="M27" s="165" t="str">
        <f>"C:\Users\stu\Documents\GitHub\eaglep3-reporting\EC\"&amp;TEXT(A2,"YYYY-MM-DD")&amp;"-Enforcements.txt"</f>
        <v>C:\Users\stu\Documents\GitHub\eaglep3-reporting\EC\2017-01-06-Enforcements.txt</v>
      </c>
    </row>
    <row r="28" spans="3:13" x14ac:dyDescent="0.25">
      <c r="C28" t="s">
        <v>830</v>
      </c>
      <c r="J28" s="165" t="s">
        <v>188</v>
      </c>
      <c r="M28" s="165" t="str">
        <f>"C:\Users\stu\Documents\GitHub\eaglep3-reporting\EC\"&amp;TEXT(A2,"YYYY-MM-DD")&amp;"-Runs-refined.txt"</f>
        <v>C:\Users\stu\Documents\GitHub\eaglep3-reporting\EC\2017-01-06-Runs-refined.txt</v>
      </c>
    </row>
    <row r="29" spans="3:13" x14ac:dyDescent="0.25">
      <c r="C29" t="s">
        <v>831</v>
      </c>
      <c r="J29" s="165" t="s">
        <v>189</v>
      </c>
      <c r="M29" s="165" t="str">
        <f>"C:\Users\stu\Documents\GitHub\eaglep3-reporting\EC\"&amp;TEXT(A2,"YYYY-MM-DD")&amp;"-Trips.txt"</f>
        <v>C:\Users\stu\Documents\GitHub\eaglep3-reporting\EC\2017-01-06-Trips.txt</v>
      </c>
    </row>
    <row r="30" spans="3:13" x14ac:dyDescent="0.25">
      <c r="C30" t="s">
        <v>832</v>
      </c>
      <c r="J30" s="165" t="s">
        <v>190</v>
      </c>
      <c r="M30" s="165" t="str">
        <f>"C:\Users\stu\Documents\GitHub\eaglep3-reporting\EC\"&amp;TEXT(A2,"YYYY-MM-DD")&amp;"-Weather.txt"</f>
        <v>C:\Users\stu\Documents\GitHub\eaglep3-reporting\EC\2017-01-06-Weather.txt</v>
      </c>
    </row>
    <row r="31" spans="3:13" x14ac:dyDescent="0.25">
      <c r="C31" t="s">
        <v>833</v>
      </c>
      <c r="J31" s="165" t="s">
        <v>305</v>
      </c>
      <c r="M31" s="165" t="s">
        <v>306</v>
      </c>
    </row>
    <row r="32" spans="3:13" x14ac:dyDescent="0.25">
      <c r="C32" t="s">
        <v>834</v>
      </c>
    </row>
    <row r="33" spans="3:3" x14ac:dyDescent="0.25">
      <c r="C33" t="s">
        <v>835</v>
      </c>
    </row>
    <row r="34" spans="3:3" x14ac:dyDescent="0.25">
      <c r="C34" t="s">
        <v>836</v>
      </c>
    </row>
    <row r="35" spans="3:3" x14ac:dyDescent="0.25">
      <c r="C35" t="s">
        <v>445</v>
      </c>
    </row>
    <row r="36" spans="3:3" x14ac:dyDescent="0.25">
      <c r="C36" t="s">
        <v>837</v>
      </c>
    </row>
    <row r="37" spans="3:3" x14ac:dyDescent="0.25">
      <c r="C37" t="s">
        <v>838</v>
      </c>
    </row>
    <row r="38" spans="3:3" x14ac:dyDescent="0.25">
      <c r="C38" t="s">
        <v>839</v>
      </c>
    </row>
    <row r="39" spans="3:3" x14ac:dyDescent="0.25">
      <c r="C39" t="s">
        <v>840</v>
      </c>
    </row>
    <row r="40" spans="3:3" x14ac:dyDescent="0.25">
      <c r="C40" t="s">
        <v>841</v>
      </c>
    </row>
    <row r="41" spans="3:3" x14ac:dyDescent="0.25">
      <c r="C41" t="s">
        <v>842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122</v>
      </c>
      <c r="B1" s="108" t="s">
        <v>123</v>
      </c>
      <c r="C1" s="109" t="s">
        <v>124</v>
      </c>
      <c r="H1" t="s">
        <v>118</v>
      </c>
      <c r="I1" s="110" t="s">
        <v>120</v>
      </c>
      <c r="J1"/>
    </row>
    <row r="2" spans="1:11" x14ac:dyDescent="0.25">
      <c r="A2" s="109" t="s">
        <v>125</v>
      </c>
      <c r="B2" s="109" t="s">
        <v>126</v>
      </c>
      <c r="C2" s="109" t="s">
        <v>127</v>
      </c>
      <c r="H2" t="s">
        <v>119</v>
      </c>
      <c r="I2" s="102" t="s">
        <v>121</v>
      </c>
      <c r="J2"/>
    </row>
    <row r="3" spans="1:11" x14ac:dyDescent="0.25">
      <c r="A3" s="109" t="s">
        <v>128</v>
      </c>
      <c r="B3" s="109" t="s">
        <v>129</v>
      </c>
      <c r="C3" s="109" t="s">
        <v>130</v>
      </c>
      <c r="H3" t="s">
        <v>144</v>
      </c>
      <c r="I3" s="102">
        <v>1</v>
      </c>
      <c r="J3"/>
      <c r="K3" s="65"/>
    </row>
    <row r="4" spans="1:11" x14ac:dyDescent="0.25">
      <c r="A4" s="109" t="s">
        <v>131</v>
      </c>
      <c r="C4" s="109" t="s">
        <v>132</v>
      </c>
      <c r="H4" t="s">
        <v>145</v>
      </c>
      <c r="I4" s="102">
        <v>2</v>
      </c>
      <c r="J4"/>
      <c r="K4" s="65"/>
    </row>
    <row r="5" spans="1:11" x14ac:dyDescent="0.25">
      <c r="A5" s="109" t="s">
        <v>133</v>
      </c>
      <c r="C5" s="109" t="s">
        <v>134</v>
      </c>
      <c r="H5" t="s">
        <v>146</v>
      </c>
      <c r="I5" s="102">
        <v>23</v>
      </c>
      <c r="J5"/>
      <c r="K5" s="65"/>
    </row>
    <row r="6" spans="1:11" x14ac:dyDescent="0.25">
      <c r="A6" s="109" t="s">
        <v>135</v>
      </c>
      <c r="C6" s="109" t="s">
        <v>136</v>
      </c>
      <c r="H6" s="112" t="s">
        <v>147</v>
      </c>
      <c r="I6" s="113" t="s">
        <v>126</v>
      </c>
    </row>
    <row r="7" spans="1:11" x14ac:dyDescent="0.25">
      <c r="A7" s="109" t="s">
        <v>137</v>
      </c>
      <c r="C7" s="109" t="s">
        <v>138</v>
      </c>
    </row>
    <row r="8" spans="1:11" x14ac:dyDescent="0.25">
      <c r="C8" s="109" t="s">
        <v>139</v>
      </c>
    </row>
    <row r="9" spans="1:11" x14ac:dyDescent="0.25">
      <c r="C9" s="112" t="s">
        <v>174</v>
      </c>
    </row>
    <row r="10" spans="1:11" x14ac:dyDescent="0.25">
      <c r="C10" s="109" t="s">
        <v>140</v>
      </c>
    </row>
    <row r="11" spans="1:11" x14ac:dyDescent="0.25">
      <c r="C11" s="109" t="s">
        <v>141</v>
      </c>
    </row>
    <row r="12" spans="1:11" x14ac:dyDescent="0.25">
      <c r="C12" s="109" t="s">
        <v>142</v>
      </c>
    </row>
    <row r="13" spans="1:11" x14ac:dyDescent="0.25">
      <c r="C13" s="109" t="s">
        <v>143</v>
      </c>
    </row>
    <row r="14" spans="1:11" x14ac:dyDescent="0.25">
      <c r="C14" s="112" t="s">
        <v>175</v>
      </c>
    </row>
    <row r="15" spans="1:11" x14ac:dyDescent="0.25">
      <c r="C15" s="112" t="s">
        <v>206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>
      <selection activeCell="A58" sqref="A58:XFD91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850</v>
      </c>
      <c r="B1" t="str">
        <f t="shared" ref="B1:B52" si="0">MID(A1,6,23)</f>
        <v>2017/01/06 12:55:05.971</v>
      </c>
      <c r="C1" t="e">
        <f>ABS(B1-#REF!)</f>
        <v>#REF!</v>
      </c>
    </row>
    <row r="2" spans="1:3" x14ac:dyDescent="0.25">
      <c r="A2" t="s">
        <v>851</v>
      </c>
      <c r="B2" s="21" t="str">
        <f t="shared" si="0"/>
        <v>2017/01/06 12:55:06.339</v>
      </c>
      <c r="C2">
        <f>ABS(B2-B1)</f>
        <v>4.2592582758516073E-6</v>
      </c>
    </row>
    <row r="3" spans="1:3" x14ac:dyDescent="0.25">
      <c r="A3" t="s">
        <v>852</v>
      </c>
      <c r="B3" s="21" t="str">
        <f t="shared" si="0"/>
        <v>2017/01/06 12:55:06.530</v>
      </c>
      <c r="C3" s="21">
        <f t="shared" ref="C3:C52" si="1">ABS(B3-B2)</f>
        <v>2.2106469259597361E-6</v>
      </c>
    </row>
    <row r="4" spans="1:3" x14ac:dyDescent="0.25">
      <c r="A4" t="s">
        <v>853</v>
      </c>
      <c r="B4" s="21" t="str">
        <f t="shared" si="0"/>
        <v>2017/01/06 13:20:25.179</v>
      </c>
      <c r="C4" s="21">
        <f t="shared" si="1"/>
        <v>1.7576956015545875E-2</v>
      </c>
    </row>
    <row r="5" spans="1:3" x14ac:dyDescent="0.25">
      <c r="A5" t="s">
        <v>854</v>
      </c>
      <c r="B5" s="21" t="str">
        <f t="shared" si="0"/>
        <v>2017/01/06 13:20:25.384</v>
      </c>
      <c r="C5" s="21">
        <f t="shared" si="1"/>
        <v>2.3726897779852152E-6</v>
      </c>
    </row>
    <row r="6" spans="1:3" x14ac:dyDescent="0.25">
      <c r="A6" t="s">
        <v>855</v>
      </c>
      <c r="B6" s="21" t="str">
        <f t="shared" si="0"/>
        <v>2017/01/06 13:20:25.751</v>
      </c>
      <c r="C6" s="21">
        <f t="shared" si="1"/>
        <v>4.2476822272874415E-6</v>
      </c>
    </row>
    <row r="7" spans="1:3" x14ac:dyDescent="0.25">
      <c r="A7" t="s">
        <v>856</v>
      </c>
      <c r="B7" s="21" t="str">
        <f t="shared" si="0"/>
        <v>2017/01/06 13:45:58.816</v>
      </c>
      <c r="C7" s="21">
        <f t="shared" si="1"/>
        <v>1.7743807868100703E-2</v>
      </c>
    </row>
    <row r="8" spans="1:3" x14ac:dyDescent="0.25">
      <c r="A8" t="s">
        <v>857</v>
      </c>
      <c r="B8" s="21" t="str">
        <f t="shared" si="0"/>
        <v>2017/01/06 13:46:00.533</v>
      </c>
      <c r="C8" s="21">
        <f t="shared" si="1"/>
        <v>1.9872684788424522E-5</v>
      </c>
    </row>
    <row r="9" spans="1:3" x14ac:dyDescent="0.25">
      <c r="A9" t="s">
        <v>858</v>
      </c>
      <c r="B9" s="21" t="str">
        <f t="shared" si="0"/>
        <v>2017/01/06 15:37:03.138</v>
      </c>
      <c r="C9" s="21">
        <f t="shared" si="1"/>
        <v>7.7113483799621463E-2</v>
      </c>
    </row>
    <row r="10" spans="1:3" x14ac:dyDescent="0.25">
      <c r="A10" t="s">
        <v>859</v>
      </c>
      <c r="B10" s="21" t="str">
        <f t="shared" si="0"/>
        <v>2017/01/06 15:37:03.648</v>
      </c>
      <c r="C10" s="21">
        <f t="shared" si="1"/>
        <v>5.9027806855738163E-6</v>
      </c>
    </row>
    <row r="11" spans="1:3" x14ac:dyDescent="0.25">
      <c r="A11" t="s">
        <v>860</v>
      </c>
      <c r="B11" s="21" t="str">
        <f t="shared" si="0"/>
        <v>2017/01/06 16:56:48.134</v>
      </c>
      <c r="C11" s="21">
        <f t="shared" si="1"/>
        <v>5.5375995369104203E-2</v>
      </c>
    </row>
    <row r="12" spans="1:3" x14ac:dyDescent="0.25">
      <c r="A12" t="s">
        <v>861</v>
      </c>
      <c r="B12" s="21" t="str">
        <f t="shared" si="0"/>
        <v>2017/01/06 16:56:48.729</v>
      </c>
      <c r="C12" s="21">
        <f t="shared" si="1"/>
        <v>6.8865701905451715E-6</v>
      </c>
    </row>
    <row r="13" spans="1:3" x14ac:dyDescent="0.25">
      <c r="A13" t="s">
        <v>862</v>
      </c>
      <c r="B13" s="21" t="str">
        <f t="shared" si="0"/>
        <v>2017/01/06 16:56:48.847</v>
      </c>
      <c r="C13" s="21">
        <f t="shared" si="1"/>
        <v>1.3657408999279141E-6</v>
      </c>
    </row>
    <row r="14" spans="1:3" x14ac:dyDescent="0.25">
      <c r="A14" t="s">
        <v>863</v>
      </c>
      <c r="B14" s="21" t="str">
        <f t="shared" si="0"/>
        <v>2017/01/06 17:23:23.028</v>
      </c>
      <c r="C14" s="21">
        <f t="shared" si="1"/>
        <v>1.845116898039123E-2</v>
      </c>
    </row>
    <row r="15" spans="1:3" x14ac:dyDescent="0.25">
      <c r="A15" t="s">
        <v>864</v>
      </c>
      <c r="B15" s="21" t="str">
        <f t="shared" si="0"/>
        <v>2017/01/06 17:23:28.500</v>
      </c>
      <c r="C15" s="21">
        <f t="shared" si="1"/>
        <v>6.3333332946058363E-5</v>
      </c>
    </row>
    <row r="16" spans="1:3" x14ac:dyDescent="0.25">
      <c r="A16" t="s">
        <v>865</v>
      </c>
      <c r="B16" s="21" t="str">
        <f t="shared" si="0"/>
        <v>2017/01/06 17:23:29.180</v>
      </c>
      <c r="C16" s="21">
        <f t="shared" si="1"/>
        <v>7.8703742474317551E-6</v>
      </c>
    </row>
    <row r="17" spans="1:3" x14ac:dyDescent="0.25">
      <c r="A17" t="s">
        <v>866</v>
      </c>
      <c r="B17" s="21" t="str">
        <f t="shared" si="0"/>
        <v>2017/01/06 17:42:44.271</v>
      </c>
      <c r="C17" s="21">
        <f t="shared" si="1"/>
        <v>1.3369108797633089E-2</v>
      </c>
    </row>
    <row r="18" spans="1:3" x14ac:dyDescent="0.25">
      <c r="A18" t="s">
        <v>867</v>
      </c>
      <c r="B18" s="21" t="str">
        <f t="shared" si="0"/>
        <v>2017/01/06 17:42:44.331</v>
      </c>
      <c r="C18" s="21">
        <f t="shared" si="1"/>
        <v>6.9443922257050872E-7</v>
      </c>
    </row>
    <row r="19" spans="1:3" x14ac:dyDescent="0.25">
      <c r="A19" t="s">
        <v>868</v>
      </c>
      <c r="B19" s="21" t="str">
        <f t="shared" si="0"/>
        <v>2017/01/06 17:42:44.492</v>
      </c>
      <c r="C19" s="21">
        <f t="shared" si="1"/>
        <v>1.8634309526532888E-6</v>
      </c>
    </row>
    <row r="20" spans="1:3" x14ac:dyDescent="0.25">
      <c r="A20" t="s">
        <v>869</v>
      </c>
      <c r="B20" s="21" t="str">
        <f t="shared" si="0"/>
        <v>2017/01/06 17:52:58.582</v>
      </c>
      <c r="C20" s="21">
        <f t="shared" si="1"/>
        <v>7.1075231462600641E-3</v>
      </c>
    </row>
    <row r="21" spans="1:3" x14ac:dyDescent="0.25">
      <c r="A21" t="s">
        <v>870</v>
      </c>
      <c r="B21" s="21" t="str">
        <f t="shared" si="0"/>
        <v>2017/01/06 17:52:58.657</v>
      </c>
      <c r="C21" s="21">
        <f t="shared" si="1"/>
        <v>8.6805812316015363E-7</v>
      </c>
    </row>
    <row r="22" spans="1:3" x14ac:dyDescent="0.25">
      <c r="A22" t="s">
        <v>871</v>
      </c>
      <c r="B22" s="21" t="str">
        <f t="shared" si="0"/>
        <v>2017/01/06 17:52:58.911</v>
      </c>
      <c r="C22" s="21">
        <f t="shared" si="1"/>
        <v>2.9398142942227423E-6</v>
      </c>
    </row>
    <row r="23" spans="1:3" x14ac:dyDescent="0.25">
      <c r="A23" t="s">
        <v>872</v>
      </c>
      <c r="B23" s="21" t="str">
        <f t="shared" si="0"/>
        <v>2017/01/06 17:53:59.910</v>
      </c>
      <c r="C23" s="21">
        <f t="shared" si="1"/>
        <v>7.0600694016320631E-4</v>
      </c>
    </row>
    <row r="24" spans="1:3" x14ac:dyDescent="0.25">
      <c r="A24" t="s">
        <v>873</v>
      </c>
      <c r="B24" s="21" t="str">
        <f t="shared" si="0"/>
        <v>2017/01/06 18:35:07.746</v>
      </c>
      <c r="C24" s="21">
        <f t="shared" si="1"/>
        <v>2.8562916668306571E-2</v>
      </c>
    </row>
    <row r="25" spans="1:3" x14ac:dyDescent="0.25">
      <c r="A25" t="s">
        <v>874</v>
      </c>
      <c r="B25" s="21" t="str">
        <f t="shared" si="0"/>
        <v>2017/01/06 18:35:08.170</v>
      </c>
      <c r="C25" s="21">
        <f t="shared" si="1"/>
        <v>4.9074078560806811E-6</v>
      </c>
    </row>
    <row r="26" spans="1:3" x14ac:dyDescent="0.25">
      <c r="A26" t="s">
        <v>875</v>
      </c>
      <c r="B26" s="21" t="str">
        <f t="shared" si="0"/>
        <v>2017/01/06 19:00:44.828</v>
      </c>
      <c r="C26" s="21">
        <f t="shared" si="1"/>
        <v>1.7785393516533077E-2</v>
      </c>
    </row>
    <row r="27" spans="1:3" x14ac:dyDescent="0.25">
      <c r="A27" t="s">
        <v>876</v>
      </c>
      <c r="B27" s="21" t="str">
        <f t="shared" si="0"/>
        <v>2017/01/06 19:00:44.858</v>
      </c>
      <c r="C27" s="21">
        <f t="shared" si="1"/>
        <v>3.4722324926406145E-7</v>
      </c>
    </row>
    <row r="28" spans="1:3" x14ac:dyDescent="0.25">
      <c r="A28" t="s">
        <v>877</v>
      </c>
      <c r="B28" s="21" t="str">
        <f t="shared" si="0"/>
        <v>2017/01/06 19:00:45.100</v>
      </c>
      <c r="C28" s="21">
        <f t="shared" si="1"/>
        <v>2.8009235393255949E-6</v>
      </c>
    </row>
    <row r="29" spans="1:3" x14ac:dyDescent="0.25">
      <c r="A29" t="s">
        <v>878</v>
      </c>
      <c r="B29" s="21" t="str">
        <f t="shared" si="0"/>
        <v>2017/01/06 20:00:46.611</v>
      </c>
      <c r="C29" s="21">
        <f t="shared" si="1"/>
        <v>4.1684155097755138E-2</v>
      </c>
    </row>
    <row r="30" spans="1:3" x14ac:dyDescent="0.25">
      <c r="A30" t="s">
        <v>879</v>
      </c>
      <c r="B30" s="21" t="str">
        <f t="shared" si="0"/>
        <v>2017/01/06 20:00:46.747</v>
      </c>
      <c r="C30" s="21">
        <f t="shared" si="1"/>
        <v>1.5740733942948282E-6</v>
      </c>
    </row>
    <row r="31" spans="1:3" x14ac:dyDescent="0.25">
      <c r="A31" t="s">
        <v>880</v>
      </c>
      <c r="B31" s="21" t="str">
        <f t="shared" si="0"/>
        <v>2017/01/06 20:00:46.944</v>
      </c>
      <c r="C31" s="21">
        <f t="shared" si="1"/>
        <v>2.2800886654295027E-6</v>
      </c>
    </row>
    <row r="32" spans="1:3" x14ac:dyDescent="0.25">
      <c r="A32" t="s">
        <v>881</v>
      </c>
      <c r="B32" s="21" t="str">
        <f t="shared" si="0"/>
        <v>2017/01/06 21:20:04.262</v>
      </c>
      <c r="C32" s="21">
        <f t="shared" si="1"/>
        <v>5.5061550927348435E-2</v>
      </c>
    </row>
    <row r="33" spans="1:3" x14ac:dyDescent="0.25">
      <c r="A33" t="s">
        <v>882</v>
      </c>
      <c r="B33" s="21" t="str">
        <f t="shared" si="0"/>
        <v>2017/01/06 21:20:04.321</v>
      </c>
      <c r="C33" s="21">
        <f t="shared" si="1"/>
        <v>6.8287044996395707E-7</v>
      </c>
    </row>
    <row r="34" spans="1:3" x14ac:dyDescent="0.25">
      <c r="A34" t="s">
        <v>883</v>
      </c>
      <c r="B34" s="21" t="str">
        <f t="shared" si="0"/>
        <v>2017/01/06 21:20:04.473</v>
      </c>
      <c r="C34" s="21">
        <f t="shared" si="1"/>
        <v>1.7592610674910247E-6</v>
      </c>
    </row>
    <row r="35" spans="1:3" x14ac:dyDescent="0.25">
      <c r="A35" t="s">
        <v>884</v>
      </c>
      <c r="B35" s="21" t="str">
        <f t="shared" si="0"/>
        <v>2017/01/06 21:36:42.966</v>
      </c>
      <c r="C35" s="21">
        <f t="shared" si="1"/>
        <v>1.1556631943676621E-2</v>
      </c>
    </row>
    <row r="36" spans="1:3" x14ac:dyDescent="0.25">
      <c r="A36" t="s">
        <v>885</v>
      </c>
      <c r="B36" s="21" t="str">
        <f t="shared" si="0"/>
        <v>2017/01/06 21:36:43.408</v>
      </c>
      <c r="C36" s="21">
        <f t="shared" si="1"/>
        <v>5.1157403504475951E-6</v>
      </c>
    </row>
    <row r="37" spans="1:3" x14ac:dyDescent="0.25">
      <c r="A37" t="s">
        <v>886</v>
      </c>
      <c r="B37" s="21" t="str">
        <f t="shared" si="0"/>
        <v>2017/01/06 21:36:43.448</v>
      </c>
      <c r="C37" s="21">
        <f t="shared" si="1"/>
        <v>4.6296190703287721E-7</v>
      </c>
    </row>
    <row r="38" spans="1:3" x14ac:dyDescent="0.25">
      <c r="A38" t="s">
        <v>887</v>
      </c>
      <c r="B38" s="21" t="str">
        <f t="shared" si="0"/>
        <v>2017/01/06 22:57:06.658</v>
      </c>
      <c r="C38" s="21">
        <f t="shared" si="1"/>
        <v>5.5824189817940351E-2</v>
      </c>
    </row>
    <row r="39" spans="1:3" x14ac:dyDescent="0.25">
      <c r="A39" t="s">
        <v>888</v>
      </c>
      <c r="B39" s="21" t="str">
        <f t="shared" si="0"/>
        <v>2017/01/06 22:57:06.816</v>
      </c>
      <c r="C39" s="21">
        <f t="shared" si="1"/>
        <v>1.8287028069607913E-6</v>
      </c>
    </row>
    <row r="40" spans="1:3" x14ac:dyDescent="0.25">
      <c r="A40" t="s">
        <v>889</v>
      </c>
      <c r="B40" s="21" t="str">
        <f t="shared" si="0"/>
        <v>2017/01/06 22:57:07.132</v>
      </c>
      <c r="C40" s="21">
        <f t="shared" si="1"/>
        <v>3.6574056139215827E-6</v>
      </c>
    </row>
    <row r="41" spans="1:3" x14ac:dyDescent="0.25">
      <c r="A41" t="s">
        <v>890</v>
      </c>
      <c r="B41" s="21" t="str">
        <f t="shared" si="0"/>
        <v>2017/01/07 00:06:24.041</v>
      </c>
      <c r="C41" s="21">
        <f t="shared" si="1"/>
        <v>4.8112372685864102E-2</v>
      </c>
    </row>
    <row r="42" spans="1:3" x14ac:dyDescent="0.25">
      <c r="A42" t="s">
        <v>891</v>
      </c>
      <c r="B42" s="21" t="str">
        <f t="shared" si="0"/>
        <v>2017/01/07 00:06:24.061</v>
      </c>
      <c r="C42" s="21">
        <f t="shared" si="1"/>
        <v>2.314845914952457E-7</v>
      </c>
    </row>
    <row r="43" spans="1:3" x14ac:dyDescent="0.25">
      <c r="A43" t="s">
        <v>892</v>
      </c>
      <c r="B43" s="21" t="str">
        <f t="shared" si="0"/>
        <v>2017/01/07 00:44:44.111</v>
      </c>
      <c r="C43" s="21">
        <f t="shared" si="1"/>
        <v>2.6620949072821531E-2</v>
      </c>
    </row>
    <row r="44" spans="1:3" x14ac:dyDescent="0.25">
      <c r="A44" t="s">
        <v>893</v>
      </c>
      <c r="B44" s="21" t="str">
        <f t="shared" si="0"/>
        <v>2017/01/07 00:44:44.699</v>
      </c>
      <c r="C44" s="21">
        <f t="shared" si="1"/>
        <v>6.8055524025112391E-6</v>
      </c>
    </row>
    <row r="45" spans="1:3" x14ac:dyDescent="0.25">
      <c r="A45" t="s">
        <v>894</v>
      </c>
      <c r="B45" s="21" t="str">
        <f t="shared" si="0"/>
        <v>2017/01/07 00:44:44.831</v>
      </c>
      <c r="C45" s="21">
        <f t="shared" si="1"/>
        <v>1.527776475995779E-6</v>
      </c>
    </row>
    <row r="46" spans="1:3" x14ac:dyDescent="0.25">
      <c r="A46" t="s">
        <v>895</v>
      </c>
      <c r="B46" s="21" t="str">
        <f t="shared" si="0"/>
        <v>2017/01/07 01:06:16.534</v>
      </c>
      <c r="C46" s="21">
        <f t="shared" si="1"/>
        <v>1.4950266209780239E-2</v>
      </c>
    </row>
    <row r="47" spans="1:3" x14ac:dyDescent="0.25">
      <c r="A47" t="s">
        <v>896</v>
      </c>
      <c r="B47" s="21" t="str">
        <f t="shared" si="0"/>
        <v>2017/01/07 01:06:17.032</v>
      </c>
      <c r="C47" s="21">
        <f t="shared" si="1"/>
        <v>5.7638826547190547E-6</v>
      </c>
    </row>
    <row r="48" spans="1:3" x14ac:dyDescent="0.25">
      <c r="A48" t="s">
        <v>897</v>
      </c>
      <c r="B48" s="21" t="str">
        <f t="shared" si="0"/>
        <v>2017/01/07 01:06:17.061</v>
      </c>
      <c r="C48" s="21">
        <f t="shared" si="1"/>
        <v>3.356544766575098E-7</v>
      </c>
    </row>
    <row r="49" spans="1:3" x14ac:dyDescent="0.25">
      <c r="A49" t="s">
        <v>898</v>
      </c>
      <c r="B49" s="21" t="str">
        <f t="shared" si="0"/>
        <v>2017/01/07 01:14:04.032</v>
      </c>
      <c r="C49" s="21">
        <f t="shared" si="1"/>
        <v>5.4047569428803399E-3</v>
      </c>
    </row>
    <row r="50" spans="1:3" x14ac:dyDescent="0.25">
      <c r="A50" t="s">
        <v>899</v>
      </c>
      <c r="B50" s="21" t="str">
        <f t="shared" si="0"/>
        <v>2017/01/07 01:14:04.048</v>
      </c>
      <c r="C50" s="21">
        <f t="shared" si="1"/>
        <v>1.8518039723858237E-7</v>
      </c>
    </row>
    <row r="51" spans="1:3" x14ac:dyDescent="0.25">
      <c r="A51" t="s">
        <v>900</v>
      </c>
      <c r="B51" s="21" t="str">
        <f t="shared" si="0"/>
        <v>2017/01/07 01:14:04.624</v>
      </c>
      <c r="C51" s="21">
        <f t="shared" si="1"/>
        <v>6.6666689235717058E-6</v>
      </c>
    </row>
    <row r="52" spans="1:3" x14ac:dyDescent="0.25">
      <c r="A52" t="s">
        <v>901</v>
      </c>
      <c r="B52" s="21" t="str">
        <f t="shared" si="0"/>
        <v>2017/01/07 01:15:19.469</v>
      </c>
      <c r="C52" s="21">
        <f t="shared" si="1"/>
        <v>8.6626157280988991E-4</v>
      </c>
    </row>
    <row r="53" spans="1:3" x14ac:dyDescent="0.25">
      <c r="A53" t="s">
        <v>902</v>
      </c>
      <c r="B53" s="21" t="str">
        <f t="shared" ref="B53:B55" si="2">MID(A53,6,23)</f>
        <v>2017/01/07 01:15:19.866</v>
      </c>
      <c r="C53" s="21">
        <f t="shared" ref="C53:C55" si="3">ABS(B53-B52)</f>
        <v>4.5949127525091171E-6</v>
      </c>
    </row>
    <row r="54" spans="1:3" x14ac:dyDescent="0.25">
      <c r="A54" t="s">
        <v>903</v>
      </c>
      <c r="B54" s="21" t="str">
        <f t="shared" si="2"/>
        <v>2017/01/07 01:15:20.421</v>
      </c>
      <c r="C54" s="21">
        <f t="shared" si="3"/>
        <v>6.4236082835122943E-6</v>
      </c>
    </row>
    <row r="55" spans="1:3" x14ac:dyDescent="0.25">
      <c r="A55" t="s">
        <v>904</v>
      </c>
      <c r="B55" s="21" t="str">
        <f t="shared" si="2"/>
        <v>2017/01/07 02:01:30.746</v>
      </c>
      <c r="C55" s="21">
        <f t="shared" si="3"/>
        <v>3.2063946760899853E-2</v>
      </c>
    </row>
    <row r="56" spans="1:3" x14ac:dyDescent="0.25">
      <c r="A56" t="s">
        <v>905</v>
      </c>
      <c r="B56" s="21" t="str">
        <f t="shared" ref="B56:B57" si="4">MID(A56,6,23)</f>
        <v>2017/01/07 02:41:42.426</v>
      </c>
      <c r="C56" s="21">
        <f t="shared" ref="C56:C57" si="5">ABS(B56-B55)</f>
        <v>2.7912962963455357E-2</v>
      </c>
    </row>
    <row r="57" spans="1:3" x14ac:dyDescent="0.25">
      <c r="A57" t="s">
        <v>906</v>
      </c>
      <c r="B57" s="21" t="str">
        <f t="shared" si="4"/>
        <v>2017/01/07 02:41:42.466</v>
      </c>
      <c r="C57" s="21">
        <f t="shared" si="5"/>
        <v>4.6296190703287721E-7</v>
      </c>
    </row>
    <row r="58" spans="1:3" x14ac:dyDescent="0.25">
      <c r="A58" t="s">
        <v>907</v>
      </c>
      <c r="B58" s="21" t="str">
        <f t="shared" ref="B58:B69" si="6">MID(A58,6,23)</f>
        <v>2017/01/07 02:41:43.021</v>
      </c>
      <c r="C58" s="21">
        <f t="shared" ref="C58:C69" si="7">ABS(B58-B57)</f>
        <v>6.4236082835122943E-6</v>
      </c>
    </row>
    <row r="59" spans="1:3" x14ac:dyDescent="0.25">
      <c r="A59" t="s">
        <v>908</v>
      </c>
      <c r="B59" s="21" t="str">
        <f t="shared" si="6"/>
        <v>2017/01/07 02:48:59.246</v>
      </c>
      <c r="C59" s="21">
        <f t="shared" si="7"/>
        <v>5.04890046431683E-3</v>
      </c>
    </row>
    <row r="60" spans="1:3" x14ac:dyDescent="0.25">
      <c r="A60" t="s">
        <v>909</v>
      </c>
      <c r="B60" s="21" t="str">
        <f t="shared" si="6"/>
        <v>2017/01/07 02:48:59.321</v>
      </c>
      <c r="C60" s="21">
        <f t="shared" si="7"/>
        <v>8.6805812316015363E-7</v>
      </c>
    </row>
    <row r="61" spans="1:3" x14ac:dyDescent="0.25">
      <c r="A61" t="s">
        <v>910</v>
      </c>
      <c r="B61" s="21" t="str">
        <f t="shared" si="6"/>
        <v>2017/01/07 02:48:59.476</v>
      </c>
      <c r="C61" s="21">
        <f t="shared" si="7"/>
        <v>1.793981937225908E-6</v>
      </c>
    </row>
    <row r="62" spans="1:3" x14ac:dyDescent="0.25">
      <c r="A62" t="s">
        <v>911</v>
      </c>
      <c r="B62" s="21" t="str">
        <f t="shared" si="6"/>
        <v>2017/01/07 03:37:08.935</v>
      </c>
      <c r="C62" s="21">
        <f t="shared" si="7"/>
        <v>3.3442812498833518E-2</v>
      </c>
    </row>
    <row r="63" spans="1:3" x14ac:dyDescent="0.25">
      <c r="A63" t="s">
        <v>912</v>
      </c>
      <c r="B63" s="21" t="str">
        <f t="shared" si="6"/>
        <v>2017/01/07 03:37:09.108</v>
      </c>
      <c r="C63" s="21">
        <f t="shared" si="7"/>
        <v>2.0023144315928221E-6</v>
      </c>
    </row>
    <row r="64" spans="1:3" x14ac:dyDescent="0.25">
      <c r="A64" t="s">
        <v>913</v>
      </c>
      <c r="B64" s="21" t="str">
        <f t="shared" si="6"/>
        <v>2017/01/07 03:37:09.592</v>
      </c>
      <c r="C64" s="21">
        <f t="shared" si="7"/>
        <v>5.6018470786511898E-6</v>
      </c>
    </row>
    <row r="65" spans="1:3" x14ac:dyDescent="0.25">
      <c r="A65" t="s">
        <v>914</v>
      </c>
      <c r="B65" s="21" t="str">
        <f t="shared" si="6"/>
        <v>2017/01/07 03:38:55.137</v>
      </c>
      <c r="C65" s="21">
        <f t="shared" si="7"/>
        <v>1.2215856550028548E-3</v>
      </c>
    </row>
    <row r="66" spans="1:3" x14ac:dyDescent="0.25">
      <c r="A66" t="s">
        <v>915</v>
      </c>
      <c r="B66" s="21" t="str">
        <f t="shared" si="6"/>
        <v>2017/01/07 03:38:55.322</v>
      </c>
      <c r="C66" s="21">
        <f t="shared" si="7"/>
        <v>2.1411979105323553E-6</v>
      </c>
    </row>
    <row r="67" spans="1:3" x14ac:dyDescent="0.25">
      <c r="A67" t="s">
        <v>916</v>
      </c>
      <c r="B67" s="21" t="str">
        <f t="shared" si="6"/>
        <v>2017/01/07 04:03:34.098</v>
      </c>
      <c r="C67" s="21">
        <f t="shared" si="7"/>
        <v>1.7115462964284234E-2</v>
      </c>
    </row>
    <row r="68" spans="1:3" x14ac:dyDescent="0.25">
      <c r="A68" t="s">
        <v>917</v>
      </c>
      <c r="B68" s="21" t="str">
        <f t="shared" si="6"/>
        <v>2017/01/07 08:06:34.053</v>
      </c>
      <c r="C68" s="21">
        <f t="shared" si="7"/>
        <v>0.16874947916949168</v>
      </c>
    </row>
    <row r="69" spans="1:3" x14ac:dyDescent="0.25">
      <c r="A69" t="s">
        <v>918</v>
      </c>
      <c r="B69" s="21" t="str">
        <f t="shared" si="6"/>
        <v>2017/01/07 08:06:34.299</v>
      </c>
      <c r="C69" s="21">
        <f t="shared" si="7"/>
        <v>2.847220457624644E-6</v>
      </c>
    </row>
    <row r="70" spans="1:3" x14ac:dyDescent="0.25">
      <c r="B70" s="21"/>
      <c r="C70" s="21"/>
    </row>
    <row r="71" spans="1:3" x14ac:dyDescent="0.25">
      <c r="B71" s="21"/>
      <c r="C71" s="21"/>
    </row>
    <row r="72" spans="1:3" x14ac:dyDescent="0.25">
      <c r="B72" s="21"/>
      <c r="C72" s="21"/>
    </row>
    <row r="73" spans="1:3" x14ac:dyDescent="0.25">
      <c r="B73" s="21"/>
      <c r="C73" s="21"/>
    </row>
    <row r="74" spans="1:3" x14ac:dyDescent="0.25">
      <c r="B74" s="21"/>
      <c r="C74" s="21"/>
    </row>
    <row r="75" spans="1:3" x14ac:dyDescent="0.25">
      <c r="B75" s="21"/>
      <c r="C75" s="21"/>
    </row>
    <row r="76" spans="1:3" x14ac:dyDescent="0.25">
      <c r="B76" s="21"/>
      <c r="C76" s="21"/>
    </row>
    <row r="77" spans="1:3" x14ac:dyDescent="0.25">
      <c r="B77" s="21"/>
      <c r="C77" s="21"/>
    </row>
    <row r="78" spans="1:3" x14ac:dyDescent="0.25">
      <c r="B78" s="21"/>
      <c r="C78" s="21"/>
    </row>
    <row r="79" spans="1:3" x14ac:dyDescent="0.25">
      <c r="B79" s="21"/>
      <c r="C79" s="21"/>
    </row>
    <row r="80" spans="1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2017-01-09T17:04:45Z</dcterms:modified>
</cp:coreProperties>
</file>