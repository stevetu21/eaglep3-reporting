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Runs'!$A$12:$AG$256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9" i="1" l="1"/>
  <c r="T108" i="1"/>
  <c r="N108" i="1"/>
  <c r="P89" i="1"/>
  <c r="N41" i="1"/>
  <c r="X38" i="1"/>
  <c r="X39" i="1"/>
  <c r="X40" i="1"/>
  <c r="X41" i="1"/>
  <c r="X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S13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AA22" i="1" s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W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R15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S7" i="3" s="1"/>
  <c r="Y31" i="1"/>
  <c r="Z31" i="1"/>
  <c r="AB31" i="1"/>
  <c r="AC31" i="1"/>
  <c r="AD31" i="1"/>
  <c r="AE31" i="1"/>
  <c r="R7" i="3" s="1"/>
  <c r="AF31" i="1"/>
  <c r="AH31" i="1"/>
  <c r="AM31" i="1"/>
  <c r="AN31" i="1"/>
  <c r="K32" i="1"/>
  <c r="L32" i="1"/>
  <c r="M32" i="1"/>
  <c r="N32" i="1" s="1"/>
  <c r="V32" i="1"/>
  <c r="S23" i="3" s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R25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26" i="3" s="1"/>
  <c r="Y44" i="1"/>
  <c r="Z44" i="1"/>
  <c r="AB44" i="1"/>
  <c r="AC44" i="1"/>
  <c r="AD44" i="1"/>
  <c r="T44" i="1" s="1"/>
  <c r="AE44" i="1"/>
  <c r="R26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16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R18" i="3" s="1"/>
  <c r="AF49" i="1"/>
  <c r="AH49" i="1"/>
  <c r="AM49" i="1"/>
  <c r="AN49" i="1"/>
  <c r="K50" i="1"/>
  <c r="L50" i="1"/>
  <c r="M50" i="1"/>
  <c r="N50" i="1" s="1"/>
  <c r="V50" i="1"/>
  <c r="X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T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R12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11" i="3" s="1"/>
  <c r="Y67" i="1"/>
  <c r="Z67" i="1"/>
  <c r="AB67" i="1"/>
  <c r="AC67" i="1"/>
  <c r="AD67" i="1"/>
  <c r="AE67" i="1"/>
  <c r="R11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7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R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S22" i="3" s="1"/>
  <c r="Y88" i="1"/>
  <c r="Z88" i="1"/>
  <c r="AB88" i="1"/>
  <c r="AC88" i="1"/>
  <c r="AD88" i="1"/>
  <c r="AG88" i="1" s="1"/>
  <c r="AE88" i="1"/>
  <c r="R22" i="3" s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V109" i="1"/>
  <c r="Y109" i="1"/>
  <c r="Z109" i="1"/>
  <c r="AB109" i="1"/>
  <c r="AC109" i="1"/>
  <c r="AD109" i="1"/>
  <c r="AE109" i="1"/>
  <c r="R21" i="3" s="1"/>
  <c r="AF109" i="1"/>
  <c r="AH109" i="1"/>
  <c r="AM109" i="1"/>
  <c r="AN109" i="1"/>
  <c r="K110" i="1"/>
  <c r="L110" i="1"/>
  <c r="M110" i="1"/>
  <c r="N110" i="1"/>
  <c r="V110" i="1"/>
  <c r="S8" i="3" s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S24" i="3" s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28" i="3" s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R10" i="3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/>
  <c r="V156" i="1"/>
  <c r="Y156" i="1"/>
  <c r="AA156" i="1" s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/>
  <c r="V207" i="1"/>
  <c r="Y207" i="1"/>
  <c r="Z207" i="1"/>
  <c r="AA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S40" i="3" s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S36" i="3" s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S42" i="3" s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7" i="1"/>
  <c r="AM187" i="1"/>
  <c r="AN18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1" i="1"/>
  <c r="AM191" i="1"/>
  <c r="AN19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K167" i="1"/>
  <c r="L167" i="1"/>
  <c r="M167" i="1"/>
  <c r="N167" i="1" s="1"/>
  <c r="V167" i="1"/>
  <c r="S31" i="3" s="1"/>
  <c r="Y167" i="1"/>
  <c r="Z167" i="1"/>
  <c r="AB167" i="1"/>
  <c r="AC167" i="1"/>
  <c r="AD167" i="1"/>
  <c r="T167" i="1" s="1"/>
  <c r="AE167" i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197" i="1"/>
  <c r="AM197" i="1"/>
  <c r="AN197" i="1"/>
  <c r="K170" i="1"/>
  <c r="L170" i="1"/>
  <c r="M170" i="1"/>
  <c r="N170" i="1" s="1"/>
  <c r="V170" i="1"/>
  <c r="S34" i="3" s="1"/>
  <c r="Y170" i="1"/>
  <c r="Z170" i="1"/>
  <c r="AB170" i="1"/>
  <c r="AC170" i="1"/>
  <c r="AD170" i="1"/>
  <c r="AG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K173" i="1"/>
  <c r="L173" i="1"/>
  <c r="M173" i="1"/>
  <c r="N173" i="1" s="1"/>
  <c r="V173" i="1"/>
  <c r="S32" i="3" s="1"/>
  <c r="Y173" i="1"/>
  <c r="Z173" i="1"/>
  <c r="AB173" i="1"/>
  <c r="AC173" i="1"/>
  <c r="AD173" i="1"/>
  <c r="AE173" i="1"/>
  <c r="R32" i="3" s="1"/>
  <c r="AF173" i="1"/>
  <c r="AH201" i="1"/>
  <c r="AM201" i="1"/>
  <c r="AN20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AM203" i="1"/>
  <c r="AN20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8" i="1"/>
  <c r="AM208" i="1"/>
  <c r="AN208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9" i="1"/>
  <c r="AM209" i="1"/>
  <c r="AN20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0" i="1"/>
  <c r="AM210" i="1"/>
  <c r="AN21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1" i="1"/>
  <c r="AM211" i="1"/>
  <c r="AN21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2" i="1"/>
  <c r="AM212" i="1"/>
  <c r="AN212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3" i="1"/>
  <c r="AM213" i="1"/>
  <c r="AN21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4" i="1"/>
  <c r="AM214" i="1"/>
  <c r="AN214" i="1"/>
  <c r="K187" i="1"/>
  <c r="L187" i="1"/>
  <c r="M187" i="1"/>
  <c r="N187" i="1" s="1"/>
  <c r="V187" i="1"/>
  <c r="S33" i="3" s="1"/>
  <c r="Y187" i="1"/>
  <c r="Z187" i="1"/>
  <c r="AB187" i="1"/>
  <c r="AC187" i="1"/>
  <c r="AD187" i="1"/>
  <c r="AE187" i="1"/>
  <c r="R33" i="3" s="1"/>
  <c r="AF187" i="1"/>
  <c r="AH215" i="1"/>
  <c r="AM215" i="1"/>
  <c r="AN21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6" i="1"/>
  <c r="AM216" i="1"/>
  <c r="AN21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7" i="1"/>
  <c r="AM217" i="1"/>
  <c r="AN21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8" i="1"/>
  <c r="AM218" i="1"/>
  <c r="AN21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9" i="1"/>
  <c r="AM219" i="1"/>
  <c r="AN219" i="1"/>
  <c r="K192" i="1"/>
  <c r="L192" i="1"/>
  <c r="M192" i="1"/>
  <c r="N192" i="1" s="1"/>
  <c r="V192" i="1"/>
  <c r="S35" i="3" s="1"/>
  <c r="Y192" i="1"/>
  <c r="Z192" i="1"/>
  <c r="AB192" i="1"/>
  <c r="AC192" i="1"/>
  <c r="AD192" i="1"/>
  <c r="AG192" i="1" s="1"/>
  <c r="AE192" i="1"/>
  <c r="AF192" i="1"/>
  <c r="AH220" i="1"/>
  <c r="AM220" i="1"/>
  <c r="AN22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1" i="1"/>
  <c r="AM221" i="1"/>
  <c r="AN221" i="1"/>
  <c r="K194" i="1"/>
  <c r="L194" i="1"/>
  <c r="M194" i="1"/>
  <c r="N194" i="1" s="1"/>
  <c r="V194" i="1"/>
  <c r="S29" i="3" s="1"/>
  <c r="Y194" i="1"/>
  <c r="Z194" i="1"/>
  <c r="AB194" i="1"/>
  <c r="AC194" i="1"/>
  <c r="AD194" i="1"/>
  <c r="T194" i="1" s="1"/>
  <c r="AE194" i="1"/>
  <c r="R29" i="3" s="1"/>
  <c r="AF194" i="1"/>
  <c r="AH222" i="1"/>
  <c r="AM222" i="1"/>
  <c r="AN222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3" i="1"/>
  <c r="AM223" i="1"/>
  <c r="AN223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G196" i="1"/>
  <c r="AH224" i="1"/>
  <c r="AM224" i="1"/>
  <c r="AN22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5" i="1"/>
  <c r="AM225" i="1"/>
  <c r="AN225" i="1"/>
  <c r="K198" i="1"/>
  <c r="L198" i="1"/>
  <c r="M198" i="1"/>
  <c r="N198" i="1" s="1"/>
  <c r="V198" i="1"/>
  <c r="S30" i="3" s="1"/>
  <c r="Y198" i="1"/>
  <c r="Z198" i="1"/>
  <c r="AB198" i="1"/>
  <c r="AC198" i="1"/>
  <c r="AD198" i="1"/>
  <c r="T198" i="1" s="1"/>
  <c r="AE198" i="1"/>
  <c r="R30" i="3" s="1"/>
  <c r="AF198" i="1"/>
  <c r="AH226" i="1"/>
  <c r="AM226" i="1"/>
  <c r="AN226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7" i="1"/>
  <c r="AM227" i="1"/>
  <c r="AN22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8" i="1"/>
  <c r="AM228" i="1"/>
  <c r="AN22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9" i="1"/>
  <c r="AM229" i="1"/>
  <c r="AN22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0" i="1"/>
  <c r="AM230" i="1"/>
  <c r="AN23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1" i="1"/>
  <c r="AM231" i="1"/>
  <c r="AN23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2" i="1"/>
  <c r="AM232" i="1"/>
  <c r="AN23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3" i="1"/>
  <c r="AM233" i="1"/>
  <c r="AN233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4" i="1"/>
  <c r="AM234" i="1"/>
  <c r="AN23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5" i="1"/>
  <c r="AM235" i="1"/>
  <c r="AN235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6" i="1"/>
  <c r="AM236" i="1"/>
  <c r="AN236" i="1"/>
  <c r="K223" i="1"/>
  <c r="L223" i="1"/>
  <c r="M223" i="1"/>
  <c r="N223" i="1" s="1"/>
  <c r="V223" i="1"/>
  <c r="S38" i="3" s="1"/>
  <c r="Y223" i="1"/>
  <c r="Z223" i="1"/>
  <c r="AB223" i="1"/>
  <c r="AC223" i="1"/>
  <c r="AD223" i="1"/>
  <c r="T223" i="1" s="1"/>
  <c r="AE223" i="1"/>
  <c r="AF223" i="1"/>
  <c r="AH237" i="1"/>
  <c r="AM237" i="1"/>
  <c r="AN23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38" i="3" s="1"/>
  <c r="AF224" i="1"/>
  <c r="AH238" i="1"/>
  <c r="AM238" i="1"/>
  <c r="AN238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39" i="1"/>
  <c r="AM239" i="1"/>
  <c r="AN23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0" i="1"/>
  <c r="AM240" i="1"/>
  <c r="AN240" i="1"/>
  <c r="M40" i="3"/>
  <c r="R40" i="3"/>
  <c r="U40" i="3"/>
  <c r="T40" i="3" s="1"/>
  <c r="V40" i="3"/>
  <c r="W40" i="3"/>
  <c r="X40" i="3"/>
  <c r="M36" i="3"/>
  <c r="R36" i="3"/>
  <c r="U36" i="3"/>
  <c r="T36" i="3" s="1"/>
  <c r="V36" i="3"/>
  <c r="W36" i="3"/>
  <c r="X36" i="3"/>
  <c r="AC36" i="3"/>
  <c r="M13" i="3"/>
  <c r="R13" i="3"/>
  <c r="U13" i="3"/>
  <c r="AC13" i="3" s="1"/>
  <c r="V13" i="3"/>
  <c r="W13" i="3"/>
  <c r="X13" i="3"/>
  <c r="Y13" i="3"/>
  <c r="M19" i="3"/>
  <c r="R19" i="3"/>
  <c r="S19" i="3"/>
  <c r="U19" i="3"/>
  <c r="AC19" i="3" s="1"/>
  <c r="V19" i="3"/>
  <c r="W19" i="3"/>
  <c r="X19" i="3"/>
  <c r="M7" i="3"/>
  <c r="U7" i="3"/>
  <c r="AC7" i="3" s="1"/>
  <c r="V7" i="3"/>
  <c r="W7" i="3"/>
  <c r="X7" i="3"/>
  <c r="M15" i="3"/>
  <c r="S15" i="3"/>
  <c r="U15" i="3"/>
  <c r="AD13" i="3" s="1"/>
  <c r="V15" i="3"/>
  <c r="W15" i="3"/>
  <c r="X15" i="3"/>
  <c r="AC15" i="3"/>
  <c r="M25" i="3"/>
  <c r="S25" i="3"/>
  <c r="U25" i="3"/>
  <c r="AC25" i="3" s="1"/>
  <c r="V25" i="3"/>
  <c r="W25" i="3"/>
  <c r="X25" i="3"/>
  <c r="M20" i="3"/>
  <c r="R20" i="3"/>
  <c r="S20" i="3"/>
  <c r="U20" i="3"/>
  <c r="AC20" i="3" s="1"/>
  <c r="V20" i="3"/>
  <c r="AE20" i="3" s="1"/>
  <c r="W20" i="3"/>
  <c r="Y20" i="3" s="1"/>
  <c r="X20" i="3"/>
  <c r="M23" i="3"/>
  <c r="R23" i="3"/>
  <c r="U23" i="3"/>
  <c r="T23" i="3" s="1"/>
  <c r="V23" i="3"/>
  <c r="W23" i="3"/>
  <c r="X23" i="3"/>
  <c r="AC23" i="3"/>
  <c r="M16" i="3"/>
  <c r="R16" i="3"/>
  <c r="U16" i="3"/>
  <c r="V16" i="3"/>
  <c r="AE16" i="3" s="1"/>
  <c r="W16" i="3"/>
  <c r="X16" i="3"/>
  <c r="M31" i="3"/>
  <c r="R31" i="3"/>
  <c r="U31" i="3"/>
  <c r="AC31" i="3" s="1"/>
  <c r="V31" i="3"/>
  <c r="W31" i="3"/>
  <c r="X31" i="3"/>
  <c r="M26" i="3"/>
  <c r="U26" i="3"/>
  <c r="AC26" i="3" s="1"/>
  <c r="V26" i="3"/>
  <c r="W26" i="3"/>
  <c r="X26" i="3"/>
  <c r="M27" i="3"/>
  <c r="R27" i="3"/>
  <c r="S27" i="3"/>
  <c r="U27" i="3"/>
  <c r="V27" i="3"/>
  <c r="AE27" i="3" s="1"/>
  <c r="W27" i="3"/>
  <c r="X27" i="3"/>
  <c r="AC27" i="3"/>
  <c r="M34" i="3"/>
  <c r="R34" i="3"/>
  <c r="U34" i="3"/>
  <c r="V34" i="3"/>
  <c r="W34" i="3"/>
  <c r="X34" i="3"/>
  <c r="M18" i="3"/>
  <c r="S18" i="3"/>
  <c r="U18" i="3"/>
  <c r="AC18" i="3" s="1"/>
  <c r="V18" i="3"/>
  <c r="W18" i="3"/>
  <c r="X18" i="3"/>
  <c r="M12" i="3"/>
  <c r="S12" i="3"/>
  <c r="U12" i="3"/>
  <c r="AC12" i="3" s="1"/>
  <c r="V12" i="3"/>
  <c r="W12" i="3"/>
  <c r="X12" i="3"/>
  <c r="M32" i="3"/>
  <c r="U32" i="3"/>
  <c r="AD32" i="3" s="1"/>
  <c r="V32" i="3"/>
  <c r="W32" i="3"/>
  <c r="X32" i="3"/>
  <c r="AC32" i="3"/>
  <c r="M11" i="3"/>
  <c r="U11" i="3"/>
  <c r="V11" i="3"/>
  <c r="W11" i="3"/>
  <c r="X11" i="3"/>
  <c r="AC11" i="3"/>
  <c r="M17" i="3"/>
  <c r="S17" i="3"/>
  <c r="U17" i="3"/>
  <c r="AC17" i="3" s="1"/>
  <c r="V17" i="3"/>
  <c r="W17" i="3"/>
  <c r="X17" i="3"/>
  <c r="M22" i="3"/>
  <c r="U22" i="3"/>
  <c r="AC22" i="3" s="1"/>
  <c r="V22" i="3"/>
  <c r="W22" i="3"/>
  <c r="X22" i="3"/>
  <c r="AD27" i="3"/>
  <c r="M9" i="3"/>
  <c r="S9" i="3"/>
  <c r="U9" i="3"/>
  <c r="T9" i="3" s="1"/>
  <c r="V9" i="3"/>
  <c r="W9" i="3"/>
  <c r="X9" i="3"/>
  <c r="AC9" i="3"/>
  <c r="M38" i="3"/>
  <c r="U38" i="3"/>
  <c r="V38" i="3"/>
  <c r="W38" i="3"/>
  <c r="X38" i="3"/>
  <c r="M21" i="3"/>
  <c r="S21" i="3"/>
  <c r="U21" i="3"/>
  <c r="AC21" i="3" s="1"/>
  <c r="V21" i="3"/>
  <c r="W21" i="3"/>
  <c r="X21" i="3"/>
  <c r="M33" i="3"/>
  <c r="U33" i="3"/>
  <c r="AC33" i="3" s="1"/>
  <c r="V33" i="3"/>
  <c r="W33" i="3"/>
  <c r="X33" i="3"/>
  <c r="M8" i="3"/>
  <c r="R8" i="3"/>
  <c r="U8" i="3"/>
  <c r="AD8" i="3" s="1"/>
  <c r="V8" i="3"/>
  <c r="W8" i="3"/>
  <c r="X8" i="3"/>
  <c r="AC8" i="3"/>
  <c r="M24" i="3"/>
  <c r="R24" i="3"/>
  <c r="U24" i="3"/>
  <c r="AD33" i="3" s="1"/>
  <c r="V24" i="3"/>
  <c r="W24" i="3"/>
  <c r="X24" i="3"/>
  <c r="AC24" i="3"/>
  <c r="M35" i="3"/>
  <c r="R35" i="3"/>
  <c r="U35" i="3"/>
  <c r="AC35" i="3" s="1"/>
  <c r="V35" i="3"/>
  <c r="W35" i="3"/>
  <c r="X35" i="3"/>
  <c r="M41" i="3"/>
  <c r="R41" i="3"/>
  <c r="S41" i="3"/>
  <c r="U41" i="3"/>
  <c r="AC41" i="3" s="1"/>
  <c r="V41" i="3"/>
  <c r="W41" i="3"/>
  <c r="X41" i="3"/>
  <c r="M37" i="3"/>
  <c r="R37" i="3"/>
  <c r="U37" i="3"/>
  <c r="AD36" i="3" s="1"/>
  <c r="V37" i="3"/>
  <c r="W37" i="3"/>
  <c r="X37" i="3"/>
  <c r="AC37" i="3"/>
  <c r="M29" i="3"/>
  <c r="U29" i="3"/>
  <c r="V29" i="3"/>
  <c r="W29" i="3"/>
  <c r="X29" i="3"/>
  <c r="M42" i="3"/>
  <c r="R42" i="3"/>
  <c r="U42" i="3"/>
  <c r="AC42" i="3" s="1"/>
  <c r="V42" i="3"/>
  <c r="W42" i="3"/>
  <c r="Y42" i="3" s="1"/>
  <c r="X42" i="3"/>
  <c r="M28" i="3"/>
  <c r="R28" i="3"/>
  <c r="U28" i="3"/>
  <c r="AC28" i="3" s="1"/>
  <c r="V28" i="3"/>
  <c r="W28" i="3"/>
  <c r="X28" i="3"/>
  <c r="M30" i="3"/>
  <c r="U30" i="3"/>
  <c r="T30" i="3" s="1"/>
  <c r="V30" i="3"/>
  <c r="W30" i="3"/>
  <c r="X30" i="3"/>
  <c r="M14" i="3"/>
  <c r="R14" i="3"/>
  <c r="S14" i="3"/>
  <c r="U14" i="3"/>
  <c r="V14" i="3"/>
  <c r="W14" i="3"/>
  <c r="X14" i="3"/>
  <c r="AC14" i="3"/>
  <c r="M10" i="3"/>
  <c r="S10" i="3"/>
  <c r="U10" i="3"/>
  <c r="AC10" i="3" s="1"/>
  <c r="V10" i="3"/>
  <c r="W10" i="3"/>
  <c r="X10" i="3"/>
  <c r="X42" i="1" l="1"/>
  <c r="X43" i="1"/>
  <c r="X27" i="1"/>
  <c r="T32" i="3"/>
  <c r="X108" i="1"/>
  <c r="Y34" i="3"/>
  <c r="AA226" i="1"/>
  <c r="T170" i="1"/>
  <c r="U170" i="1" s="1"/>
  <c r="S170" i="1" s="1"/>
  <c r="AD40" i="3"/>
  <c r="AD23" i="3"/>
  <c r="Y18" i="3"/>
  <c r="AA225" i="1"/>
  <c r="W225" i="1" s="1"/>
  <c r="AA221" i="1"/>
  <c r="W221" i="1" s="1"/>
  <c r="X159" i="1"/>
  <c r="X112" i="1"/>
  <c r="AA107" i="1"/>
  <c r="X97" i="1"/>
  <c r="T96" i="1"/>
  <c r="AA95" i="1"/>
  <c r="X80" i="1"/>
  <c r="AA74" i="1"/>
  <c r="X28" i="1"/>
  <c r="AC30" i="3"/>
  <c r="X171" i="1"/>
  <c r="AG210" i="1"/>
  <c r="AI210" i="1" s="1"/>
  <c r="X26" i="1"/>
  <c r="Y22" i="3"/>
  <c r="AA220" i="1"/>
  <c r="AA134" i="1"/>
  <c r="X18" i="1"/>
  <c r="X25" i="1"/>
  <c r="W34" i="1"/>
  <c r="Y41" i="3"/>
  <c r="Y38" i="3"/>
  <c r="Y31" i="3"/>
  <c r="Y40" i="3"/>
  <c r="AA202" i="1"/>
  <c r="AA109" i="1"/>
  <c r="AA89" i="1"/>
  <c r="X74" i="1"/>
  <c r="X46" i="1"/>
  <c r="X17" i="1"/>
  <c r="Y28" i="3"/>
  <c r="AD37" i="3"/>
  <c r="S37" i="3"/>
  <c r="Y17" i="3"/>
  <c r="Y10" i="3"/>
  <c r="Y14" i="3"/>
  <c r="AE32" i="3"/>
  <c r="AD31" i="3"/>
  <c r="AA205" i="1"/>
  <c r="AA203" i="1"/>
  <c r="W203" i="1" s="1"/>
  <c r="AA192" i="1"/>
  <c r="W192" i="1" s="1"/>
  <c r="AG191" i="1"/>
  <c r="X191" i="1"/>
  <c r="AG176" i="1"/>
  <c r="W176" i="1" s="1"/>
  <c r="AA171" i="1"/>
  <c r="AA162" i="1"/>
  <c r="W162" i="1" s="1"/>
  <c r="AA234" i="1"/>
  <c r="AA232" i="1"/>
  <c r="W232" i="1" s="1"/>
  <c r="X218" i="1"/>
  <c r="AA147" i="1"/>
  <c r="X118" i="1"/>
  <c r="AA113" i="1"/>
  <c r="W113" i="1" s="1"/>
  <c r="AA108" i="1"/>
  <c r="W108" i="1" s="1"/>
  <c r="AA88" i="1"/>
  <c r="W88" i="1" s="1"/>
  <c r="AA84" i="1"/>
  <c r="W84" i="1" s="1"/>
  <c r="AA66" i="1"/>
  <c r="W66" i="1" s="1"/>
  <c r="AA50" i="1"/>
  <c r="X35" i="1"/>
  <c r="X16" i="1"/>
  <c r="AA190" i="1"/>
  <c r="W190" i="1" s="1"/>
  <c r="AA184" i="1"/>
  <c r="AA228" i="1"/>
  <c r="AA152" i="1"/>
  <c r="W152" i="1" s="1"/>
  <c r="AI145" i="1"/>
  <c r="AA132" i="1"/>
  <c r="X129" i="1"/>
  <c r="T117" i="1"/>
  <c r="U117" i="1" s="1"/>
  <c r="S117" i="1" s="1"/>
  <c r="AA116" i="1"/>
  <c r="AA111" i="1"/>
  <c r="T102" i="1"/>
  <c r="AA101" i="1"/>
  <c r="AA99" i="1"/>
  <c r="AA78" i="1"/>
  <c r="AA30" i="1"/>
  <c r="AA28" i="1"/>
  <c r="AG20" i="1"/>
  <c r="AI20" i="1" s="1"/>
  <c r="X20" i="1"/>
  <c r="X15" i="1"/>
  <c r="T178" i="1"/>
  <c r="AG178" i="1"/>
  <c r="T142" i="1"/>
  <c r="X142" i="1"/>
  <c r="T101" i="1"/>
  <c r="X101" i="1"/>
  <c r="X75" i="1"/>
  <c r="T75" i="1"/>
  <c r="AC16" i="3"/>
  <c r="AD16" i="3"/>
  <c r="T120" i="1"/>
  <c r="AG120" i="1"/>
  <c r="AI120" i="1" s="1"/>
  <c r="X92" i="1"/>
  <c r="X59" i="1"/>
  <c r="T59" i="1"/>
  <c r="AG43" i="1"/>
  <c r="T43" i="1"/>
  <c r="U43" i="1" s="1"/>
  <c r="S43" i="1" s="1"/>
  <c r="T7" i="3"/>
  <c r="AG186" i="1"/>
  <c r="T186" i="1"/>
  <c r="AG218" i="1"/>
  <c r="AI218" i="1" s="1"/>
  <c r="T218" i="1"/>
  <c r="AG188" i="1"/>
  <c r="T236" i="1"/>
  <c r="AG236" i="1"/>
  <c r="AI236" i="1" s="1"/>
  <c r="T41" i="3"/>
  <c r="X193" i="1"/>
  <c r="T162" i="1"/>
  <c r="U162" i="1" s="1"/>
  <c r="S162" i="1" s="1"/>
  <c r="AA161" i="1"/>
  <c r="AA229" i="1"/>
  <c r="AA215" i="1"/>
  <c r="AA213" i="1"/>
  <c r="AA211" i="1"/>
  <c r="W211" i="1" s="1"/>
  <c r="X146" i="1"/>
  <c r="AG146" i="1"/>
  <c r="AI146" i="1" s="1"/>
  <c r="AG109" i="1"/>
  <c r="U109" i="1" s="1"/>
  <c r="AA100" i="1"/>
  <c r="W100" i="1" s="1"/>
  <c r="AG78" i="1"/>
  <c r="X78" i="1"/>
  <c r="AA58" i="1"/>
  <c r="W58" i="1" s="1"/>
  <c r="AA53" i="1"/>
  <c r="W53" i="1" s="1"/>
  <c r="AG32" i="1"/>
  <c r="T32" i="1"/>
  <c r="X229" i="1"/>
  <c r="AG229" i="1"/>
  <c r="U229" i="1" s="1"/>
  <c r="T215" i="1"/>
  <c r="AG215" i="1"/>
  <c r="AA144" i="1"/>
  <c r="AA142" i="1"/>
  <c r="AG100" i="1"/>
  <c r="T100" i="1"/>
  <c r="X67" i="1"/>
  <c r="T67" i="1"/>
  <c r="AA39" i="1"/>
  <c r="AA35" i="1"/>
  <c r="Y24" i="3"/>
  <c r="Y21" i="3"/>
  <c r="Y19" i="3"/>
  <c r="AA170" i="1"/>
  <c r="W170" i="1" s="1"/>
  <c r="X237" i="1"/>
  <c r="AD41" i="3"/>
  <c r="AE40" i="3"/>
  <c r="Y33" i="3"/>
  <c r="T22" i="3"/>
  <c r="AD25" i="3"/>
  <c r="AD20" i="3"/>
  <c r="Y16" i="3"/>
  <c r="AA224" i="1"/>
  <c r="AA186" i="1"/>
  <c r="W186" i="1" s="1"/>
  <c r="AG184" i="1"/>
  <c r="W184" i="1" s="1"/>
  <c r="AG171" i="1"/>
  <c r="U171" i="1" s="1"/>
  <c r="S171" i="1" s="1"/>
  <c r="AG234" i="1"/>
  <c r="AG219" i="1"/>
  <c r="AI219" i="1" s="1"/>
  <c r="AA218" i="1"/>
  <c r="AA217" i="1"/>
  <c r="AA210" i="1"/>
  <c r="W210" i="1" s="1"/>
  <c r="AA208" i="1"/>
  <c r="AA148" i="1"/>
  <c r="X143" i="1"/>
  <c r="AA141" i="1"/>
  <c r="W141" i="1" s="1"/>
  <c r="X131" i="1"/>
  <c r="AA129" i="1"/>
  <c r="W129" i="1" s="1"/>
  <c r="AG127" i="1"/>
  <c r="U127" i="1" s="1"/>
  <c r="X127" i="1"/>
  <c r="AA125" i="1"/>
  <c r="W125" i="1" s="1"/>
  <c r="AG123" i="1"/>
  <c r="AG118" i="1"/>
  <c r="U118" i="1" s="1"/>
  <c r="X117" i="1"/>
  <c r="AA94" i="1"/>
  <c r="AA92" i="1"/>
  <c r="W92" i="1" s="1"/>
  <c r="AA87" i="1"/>
  <c r="X71" i="1"/>
  <c r="X63" i="1"/>
  <c r="X55" i="1"/>
  <c r="AA46" i="1"/>
  <c r="AG44" i="1"/>
  <c r="AI44" i="1" s="1"/>
  <c r="AA38" i="1"/>
  <c r="W38" i="1" s="1"/>
  <c r="AA15" i="1"/>
  <c r="W15" i="1" s="1"/>
  <c r="Y7" i="3"/>
  <c r="Y36" i="3"/>
  <c r="AA200" i="1"/>
  <c r="X163" i="1"/>
  <c r="X93" i="1"/>
  <c r="AA44" i="1"/>
  <c r="AA21" i="1"/>
  <c r="W228" i="1"/>
  <c r="X196" i="1"/>
  <c r="X213" i="1"/>
  <c r="X157" i="1"/>
  <c r="X149" i="1"/>
  <c r="AA138" i="1"/>
  <c r="W138" i="1" s="1"/>
  <c r="X135" i="1"/>
  <c r="AG134" i="1"/>
  <c r="W134" i="1" s="1"/>
  <c r="X134" i="1"/>
  <c r="AA122" i="1"/>
  <c r="T104" i="1"/>
  <c r="U104" i="1" s="1"/>
  <c r="S104" i="1" s="1"/>
  <c r="AA96" i="1"/>
  <c r="T93" i="1"/>
  <c r="AA91" i="1"/>
  <c r="X85" i="1"/>
  <c r="AA82" i="1"/>
  <c r="AA77" i="1"/>
  <c r="W77" i="1" s="1"/>
  <c r="AA73" i="1"/>
  <c r="W73" i="1" s="1"/>
  <c r="AA69" i="1"/>
  <c r="W69" i="1" s="1"/>
  <c r="AA65" i="1"/>
  <c r="W65" i="1" s="1"/>
  <c r="AA61" i="1"/>
  <c r="W61" i="1" s="1"/>
  <c r="AA57" i="1"/>
  <c r="T51" i="1"/>
  <c r="AA49" i="1"/>
  <c r="AA47" i="1"/>
  <c r="AA43" i="1"/>
  <c r="AA42" i="1"/>
  <c r="AG40" i="1"/>
  <c r="U40" i="1" s="1"/>
  <c r="S40" i="1" s="1"/>
  <c r="AA37" i="1"/>
  <c r="AA32" i="1"/>
  <c r="X31" i="1"/>
  <c r="AA31" i="1"/>
  <c r="AA26" i="1"/>
  <c r="W26" i="1" s="1"/>
  <c r="X24" i="1"/>
  <c r="AA24" i="1"/>
  <c r="AG226" i="1"/>
  <c r="W226" i="1" s="1"/>
  <c r="X226" i="1"/>
  <c r="X222" i="1"/>
  <c r="AA222" i="1"/>
  <c r="AA199" i="1"/>
  <c r="AA198" i="1"/>
  <c r="AA195" i="1"/>
  <c r="W195" i="1" s="1"/>
  <c r="T190" i="1"/>
  <c r="U190" i="1" s="1"/>
  <c r="S190" i="1" s="1"/>
  <c r="AA189" i="1"/>
  <c r="AG179" i="1"/>
  <c r="U179" i="1" s="1"/>
  <c r="S179" i="1" s="1"/>
  <c r="X179" i="1"/>
  <c r="AA178" i="1"/>
  <c r="X174" i="1"/>
  <c r="AA168" i="1"/>
  <c r="AA166" i="1"/>
  <c r="AA163" i="1"/>
  <c r="W163" i="1" s="1"/>
  <c r="T163" i="1"/>
  <c r="AA160" i="1"/>
  <c r="AA240" i="1"/>
  <c r="AA237" i="1"/>
  <c r="T237" i="1"/>
  <c r="AA235" i="1"/>
  <c r="T228" i="1"/>
  <c r="AA227" i="1"/>
  <c r="AG217" i="1"/>
  <c r="X214" i="1"/>
  <c r="AA212" i="1"/>
  <c r="X208" i="1"/>
  <c r="X158" i="1"/>
  <c r="X153" i="1"/>
  <c r="X150" i="1"/>
  <c r="X138" i="1"/>
  <c r="AA136" i="1"/>
  <c r="AA133" i="1"/>
  <c r="W133" i="1" s="1"/>
  <c r="T131" i="1"/>
  <c r="T106" i="1"/>
  <c r="U106" i="1" s="1"/>
  <c r="S106" i="1" s="1"/>
  <c r="AA104" i="1"/>
  <c r="AA103" i="1"/>
  <c r="X102" i="1"/>
  <c r="X100" i="1"/>
  <c r="T98" i="1"/>
  <c r="AA86" i="1"/>
  <c r="X84" i="1"/>
  <c r="T36" i="1"/>
  <c r="U36" i="1" s="1"/>
  <c r="S36" i="1" s="1"/>
  <c r="AA151" i="1"/>
  <c r="AA149" i="1"/>
  <c r="AA140" i="1"/>
  <c r="AA137" i="1"/>
  <c r="W137" i="1" s="1"/>
  <c r="AA131" i="1"/>
  <c r="AA115" i="1"/>
  <c r="W115" i="1" s="1"/>
  <c r="AA106" i="1"/>
  <c r="AA105" i="1"/>
  <c r="AA98" i="1"/>
  <c r="W98" i="1" s="1"/>
  <c r="AA97" i="1"/>
  <c r="AA90" i="1"/>
  <c r="AA83" i="1"/>
  <c r="AA76" i="1"/>
  <c r="AA72" i="1"/>
  <c r="X70" i="1"/>
  <c r="AA68" i="1"/>
  <c r="X66" i="1"/>
  <c r="AA64" i="1"/>
  <c r="X62" i="1"/>
  <c r="AA60" i="1"/>
  <c r="X58" i="1"/>
  <c r="AA56" i="1"/>
  <c r="X54" i="1"/>
  <c r="AG51" i="1"/>
  <c r="AI51" i="1" s="1"/>
  <c r="AG46" i="1"/>
  <c r="AI46" i="1" s="1"/>
  <c r="X45" i="1"/>
  <c r="AG42" i="1"/>
  <c r="U42" i="1" s="1"/>
  <c r="AA40" i="1"/>
  <c r="AA36" i="1"/>
  <c r="W36" i="1" s="1"/>
  <c r="AA33" i="1"/>
  <c r="X19" i="1"/>
  <c r="X204" i="1"/>
  <c r="X199" i="1"/>
  <c r="AA196" i="1"/>
  <c r="AA194" i="1"/>
  <c r="AA185" i="1"/>
  <c r="AA182" i="1"/>
  <c r="AA179" i="1"/>
  <c r="AA177" i="1"/>
  <c r="AG168" i="1"/>
  <c r="U168" i="1" s="1"/>
  <c r="S168" i="1" s="1"/>
  <c r="AG163" i="1"/>
  <c r="U163" i="1" s="1"/>
  <c r="S163" i="1" s="1"/>
  <c r="AG160" i="1"/>
  <c r="AG237" i="1"/>
  <c r="AA236" i="1"/>
  <c r="W236" i="1" s="1"/>
  <c r="AA216" i="1"/>
  <c r="X221" i="1"/>
  <c r="AG204" i="1"/>
  <c r="U204" i="1" s="1"/>
  <c r="S204" i="1" s="1"/>
  <c r="T199" i="1"/>
  <c r="AA197" i="1"/>
  <c r="T183" i="1"/>
  <c r="X183" i="1"/>
  <c r="AG183" i="1"/>
  <c r="AI183" i="1" s="1"/>
  <c r="T180" i="1"/>
  <c r="AG180" i="1"/>
  <c r="T174" i="1"/>
  <c r="AG174" i="1"/>
  <c r="W174" i="1" s="1"/>
  <c r="T225" i="1"/>
  <c r="AA223" i="1"/>
  <c r="T222" i="1"/>
  <c r="X203" i="1"/>
  <c r="AG200" i="1"/>
  <c r="X200" i="1"/>
  <c r="W196" i="1"/>
  <c r="T195" i="1"/>
  <c r="AA193" i="1"/>
  <c r="X187" i="1"/>
  <c r="AG187" i="1"/>
  <c r="AI187" i="1" s="1"/>
  <c r="T187" i="1"/>
  <c r="X182" i="1"/>
  <c r="T172" i="1"/>
  <c r="AG172" i="1"/>
  <c r="AG166" i="1"/>
  <c r="T166" i="1"/>
  <c r="T221" i="1"/>
  <c r="U221" i="1" s="1"/>
  <c r="S221" i="1" s="1"/>
  <c r="U191" i="1"/>
  <c r="AI178" i="1"/>
  <c r="X175" i="1"/>
  <c r="AG175" i="1"/>
  <c r="T175" i="1"/>
  <c r="T164" i="1"/>
  <c r="AG164" i="1"/>
  <c r="AI164" i="1" s="1"/>
  <c r="AI163" i="1"/>
  <c r="AI190" i="1"/>
  <c r="X225" i="1"/>
  <c r="AG222" i="1"/>
  <c r="W222" i="1" s="1"/>
  <c r="AA204" i="1"/>
  <c r="T203" i="1"/>
  <c r="U203" i="1" s="1"/>
  <c r="S203" i="1" s="1"/>
  <c r="AA201" i="1"/>
  <c r="X195" i="1"/>
  <c r="U186" i="1"/>
  <c r="S186" i="1" s="1"/>
  <c r="AI186" i="1"/>
  <c r="AG182" i="1"/>
  <c r="T182" i="1"/>
  <c r="AI170" i="1"/>
  <c r="X166" i="1"/>
  <c r="AA187" i="1"/>
  <c r="X186" i="1"/>
  <c r="AA181" i="1"/>
  <c r="AA180" i="1"/>
  <c r="AA175" i="1"/>
  <c r="W175" i="1" s="1"/>
  <c r="X170" i="1"/>
  <c r="AG167" i="1"/>
  <c r="U167" i="1" s="1"/>
  <c r="X167" i="1"/>
  <c r="AA165" i="1"/>
  <c r="AA164" i="1"/>
  <c r="AA159" i="1"/>
  <c r="T159" i="1"/>
  <c r="AG240" i="1"/>
  <c r="U240" i="1" s="1"/>
  <c r="S240" i="1" s="1"/>
  <c r="AG238" i="1"/>
  <c r="U238" i="1" s="1"/>
  <c r="X236" i="1"/>
  <c r="AG233" i="1"/>
  <c r="U233" i="1" s="1"/>
  <c r="X233" i="1"/>
  <c r="T232" i="1"/>
  <c r="U232" i="1" s="1"/>
  <c r="S232" i="1" s="1"/>
  <c r="AA231" i="1"/>
  <c r="AA230" i="1"/>
  <c r="AA214" i="1"/>
  <c r="T214" i="1"/>
  <c r="AG213" i="1"/>
  <c r="U213" i="1" s="1"/>
  <c r="S213" i="1" s="1"/>
  <c r="AG209" i="1"/>
  <c r="U209" i="1" s="1"/>
  <c r="S209" i="1" s="1"/>
  <c r="X209" i="1"/>
  <c r="AA158" i="1"/>
  <c r="T158" i="1"/>
  <c r="AG157" i="1"/>
  <c r="AG154" i="1"/>
  <c r="U154" i="1" s="1"/>
  <c r="S154" i="1" s="1"/>
  <c r="X154" i="1"/>
  <c r="AA150" i="1"/>
  <c r="T150" i="1"/>
  <c r="U150" i="1" s="1"/>
  <c r="S150" i="1" s="1"/>
  <c r="AG149" i="1"/>
  <c r="T148" i="1"/>
  <c r="AA143" i="1"/>
  <c r="T143" i="1"/>
  <c r="AG142" i="1"/>
  <c r="T141" i="1"/>
  <c r="AA139" i="1"/>
  <c r="T139" i="1"/>
  <c r="U138" i="1"/>
  <c r="S138" i="1" s="1"/>
  <c r="T137" i="1"/>
  <c r="AA135" i="1"/>
  <c r="T135" i="1"/>
  <c r="T133" i="1"/>
  <c r="X125" i="1"/>
  <c r="T116" i="1"/>
  <c r="AG116" i="1"/>
  <c r="X232" i="1"/>
  <c r="T208" i="1"/>
  <c r="T153" i="1"/>
  <c r="AG121" i="1"/>
  <c r="AI121" i="1" s="1"/>
  <c r="T121" i="1"/>
  <c r="AA119" i="1"/>
  <c r="T113" i="1"/>
  <c r="AI79" i="1"/>
  <c r="AA191" i="1"/>
  <c r="W191" i="1" s="1"/>
  <c r="AA183" i="1"/>
  <c r="X178" i="1"/>
  <c r="AA173" i="1"/>
  <c r="AA172" i="1"/>
  <c r="W172" i="1" s="1"/>
  <c r="AA167" i="1"/>
  <c r="X162" i="1"/>
  <c r="AG159" i="1"/>
  <c r="U159" i="1" s="1"/>
  <c r="S159" i="1" s="1"/>
  <c r="AA239" i="1"/>
  <c r="AA238" i="1"/>
  <c r="AA233" i="1"/>
  <c r="AG230" i="1"/>
  <c r="U230" i="1" s="1"/>
  <c r="S230" i="1" s="1"/>
  <c r="X228" i="1"/>
  <c r="AA219" i="1"/>
  <c r="X217" i="1"/>
  <c r="AG214" i="1"/>
  <c r="AA209" i="1"/>
  <c r="AG208" i="1"/>
  <c r="U208" i="1" s="1"/>
  <c r="S208" i="1" s="1"/>
  <c r="AG158" i="1"/>
  <c r="AA154" i="1"/>
  <c r="AG153" i="1"/>
  <c r="AG150" i="1"/>
  <c r="X148" i="1"/>
  <c r="AA146" i="1"/>
  <c r="W146" i="1" s="1"/>
  <c r="AA145" i="1"/>
  <c r="W145" i="1" s="1"/>
  <c r="AG143" i="1"/>
  <c r="X141" i="1"/>
  <c r="AG139" i="1"/>
  <c r="U139" i="1" s="1"/>
  <c r="S139" i="1" s="1"/>
  <c r="AI138" i="1"/>
  <c r="X137" i="1"/>
  <c r="AG135" i="1"/>
  <c r="X133" i="1"/>
  <c r="T129" i="1"/>
  <c r="U129" i="1" s="1"/>
  <c r="S129" i="1" s="1"/>
  <c r="T125" i="1"/>
  <c r="X121" i="1"/>
  <c r="X114" i="1"/>
  <c r="AG114" i="1"/>
  <c r="AA114" i="1"/>
  <c r="AG110" i="1"/>
  <c r="T110" i="1"/>
  <c r="U110" i="1" s="1"/>
  <c r="S110" i="1" s="1"/>
  <c r="T103" i="1"/>
  <c r="AG103" i="1"/>
  <c r="AI15" i="1"/>
  <c r="W168" i="1"/>
  <c r="X240" i="1"/>
  <c r="U228" i="1"/>
  <c r="S228" i="1" s="1"/>
  <c r="U217" i="1"/>
  <c r="S217" i="1" s="1"/>
  <c r="AG131" i="1"/>
  <c r="X130" i="1"/>
  <c r="AG130" i="1"/>
  <c r="AA130" i="1"/>
  <c r="X126" i="1"/>
  <c r="AG126" i="1"/>
  <c r="AA126" i="1"/>
  <c r="AG122" i="1"/>
  <c r="W122" i="1" s="1"/>
  <c r="X122" i="1"/>
  <c r="X113" i="1"/>
  <c r="AG112" i="1"/>
  <c r="AI112" i="1" s="1"/>
  <c r="T112" i="1"/>
  <c r="X110" i="1"/>
  <c r="X105" i="1"/>
  <c r="AG105" i="1"/>
  <c r="AA128" i="1"/>
  <c r="AA127" i="1"/>
  <c r="W127" i="1" s="1"/>
  <c r="AA124" i="1"/>
  <c r="AA123" i="1"/>
  <c r="W123" i="1" s="1"/>
  <c r="AA121" i="1"/>
  <c r="AA118" i="1"/>
  <c r="W118" i="1" s="1"/>
  <c r="AA112" i="1"/>
  <c r="AA110" i="1"/>
  <c r="AG107" i="1"/>
  <c r="AI107" i="1" s="1"/>
  <c r="AG101" i="1"/>
  <c r="AG99" i="1"/>
  <c r="AG93" i="1"/>
  <c r="T89" i="1"/>
  <c r="AG85" i="1"/>
  <c r="X82" i="1"/>
  <c r="X79" i="1"/>
  <c r="AG75" i="1"/>
  <c r="AG71" i="1"/>
  <c r="AG67" i="1"/>
  <c r="AG63" i="1"/>
  <c r="U63" i="1" s="1"/>
  <c r="S63" i="1" s="1"/>
  <c r="AG59" i="1"/>
  <c r="AG55" i="1"/>
  <c r="AA48" i="1"/>
  <c r="AA41" i="1"/>
  <c r="W41" i="1" s="1"/>
  <c r="T41" i="1"/>
  <c r="X36" i="1"/>
  <c r="X34" i="1"/>
  <c r="X32" i="1"/>
  <c r="T31" i="1"/>
  <c r="X23" i="1"/>
  <c r="T97" i="1"/>
  <c r="T88" i="1"/>
  <c r="U88" i="1" s="1"/>
  <c r="S88" i="1" s="1"/>
  <c r="W79" i="1"/>
  <c r="T39" i="1"/>
  <c r="T35" i="1"/>
  <c r="T30" i="1"/>
  <c r="U30" i="1" s="1"/>
  <c r="S30" i="1" s="1"/>
  <c r="AA25" i="1"/>
  <c r="T24" i="1"/>
  <c r="AG16" i="1"/>
  <c r="AI16" i="1" s="1"/>
  <c r="AG97" i="1"/>
  <c r="AG89" i="1"/>
  <c r="W89" i="1" s="1"/>
  <c r="T79" i="1"/>
  <c r="U79" i="1" s="1"/>
  <c r="S79" i="1" s="1"/>
  <c r="AG48" i="1"/>
  <c r="AG39" i="1"/>
  <c r="W39" i="1" s="1"/>
  <c r="T38" i="1"/>
  <c r="AG35" i="1"/>
  <c r="AI35" i="1" s="1"/>
  <c r="T34" i="1"/>
  <c r="AG31" i="1"/>
  <c r="AI31" i="1" s="1"/>
  <c r="AA27" i="1"/>
  <c r="T26" i="1"/>
  <c r="T23" i="1"/>
  <c r="T15" i="1"/>
  <c r="U15" i="1" s="1"/>
  <c r="S15" i="1" s="1"/>
  <c r="AA14" i="1"/>
  <c r="X106" i="1"/>
  <c r="X104" i="1"/>
  <c r="X98" i="1"/>
  <c r="X96" i="1"/>
  <c r="AA93" i="1"/>
  <c r="T92" i="1"/>
  <c r="X88" i="1"/>
  <c r="AA85" i="1"/>
  <c r="T84" i="1"/>
  <c r="T78" i="1"/>
  <c r="AA75" i="1"/>
  <c r="T74" i="1"/>
  <c r="AA71" i="1"/>
  <c r="T70" i="1"/>
  <c r="AA67" i="1"/>
  <c r="T66" i="1"/>
  <c r="AA63" i="1"/>
  <c r="T62" i="1"/>
  <c r="AA59" i="1"/>
  <c r="T58" i="1"/>
  <c r="AA55" i="1"/>
  <c r="T54" i="1"/>
  <c r="AA52" i="1"/>
  <c r="AA51" i="1"/>
  <c r="T50" i="1"/>
  <c r="AA45" i="1"/>
  <c r="W45" i="1" s="1"/>
  <c r="T45" i="1"/>
  <c r="U45" i="1" s="1"/>
  <c r="S45" i="1" s="1"/>
  <c r="AI40" i="1"/>
  <c r="X30" i="1"/>
  <c r="AG27" i="1"/>
  <c r="AI27" i="1" s="1"/>
  <c r="AG24" i="1"/>
  <c r="AI24" i="1" s="1"/>
  <c r="AA20" i="1"/>
  <c r="T19" i="1"/>
  <c r="AA17" i="1"/>
  <c r="AA16" i="1"/>
  <c r="W16" i="1" s="1"/>
  <c r="W199" i="1"/>
  <c r="U225" i="1"/>
  <c r="S225" i="1" s="1"/>
  <c r="U199" i="1"/>
  <c r="S199" i="1" s="1"/>
  <c r="U195" i="1"/>
  <c r="S195" i="1" s="1"/>
  <c r="U226" i="1"/>
  <c r="S226" i="1" s="1"/>
  <c r="U200" i="1"/>
  <c r="S200" i="1" s="1"/>
  <c r="U196" i="1"/>
  <c r="S196" i="1" s="1"/>
  <c r="U184" i="1"/>
  <c r="U210" i="1"/>
  <c r="W207" i="1"/>
  <c r="AG223" i="1"/>
  <c r="AI223" i="1" s="1"/>
  <c r="AG205" i="1"/>
  <c r="AG201" i="1"/>
  <c r="AG197" i="1"/>
  <c r="AG193" i="1"/>
  <c r="T193" i="1"/>
  <c r="U188" i="1"/>
  <c r="S188" i="1" s="1"/>
  <c r="AI160" i="1"/>
  <c r="AI152" i="1"/>
  <c r="AI240" i="1"/>
  <c r="AG224" i="1"/>
  <c r="X223" i="1"/>
  <c r="AG220" i="1"/>
  <c r="AI220" i="1" s="1"/>
  <c r="X205" i="1"/>
  <c r="AI232" i="1"/>
  <c r="AG202" i="1"/>
  <c r="AI202" i="1" s="1"/>
  <c r="X201" i="1"/>
  <c r="AI228" i="1"/>
  <c r="AG198" i="1"/>
  <c r="X197" i="1"/>
  <c r="AG194" i="1"/>
  <c r="T192" i="1"/>
  <c r="U192" i="1" s="1"/>
  <c r="S192" i="1" s="1"/>
  <c r="X192" i="1"/>
  <c r="AA188" i="1"/>
  <c r="W188" i="1" s="1"/>
  <c r="U176" i="1"/>
  <c r="S176" i="1" s="1"/>
  <c r="U160" i="1"/>
  <c r="U215" i="1"/>
  <c r="S215" i="1" s="1"/>
  <c r="W156" i="1"/>
  <c r="W148" i="1"/>
  <c r="X224" i="1"/>
  <c r="X220" i="1"/>
  <c r="X202" i="1"/>
  <c r="X198" i="1"/>
  <c r="X194" i="1"/>
  <c r="S191" i="1"/>
  <c r="X190" i="1"/>
  <c r="T189" i="1"/>
  <c r="X189" i="1"/>
  <c r="AG189" i="1"/>
  <c r="AI171" i="1"/>
  <c r="AI156" i="1"/>
  <c r="U148" i="1"/>
  <c r="S148" i="1" s="1"/>
  <c r="AI148" i="1"/>
  <c r="X188" i="1"/>
  <c r="AI215" i="1"/>
  <c r="AG185" i="1"/>
  <c r="X184" i="1"/>
  <c r="AI211" i="1"/>
  <c r="AG181" i="1"/>
  <c r="X180" i="1"/>
  <c r="AI207" i="1"/>
  <c r="AG177" i="1"/>
  <c r="X176" i="1"/>
  <c r="AI203" i="1"/>
  <c r="AG173" i="1"/>
  <c r="X172" i="1"/>
  <c r="AI199" i="1"/>
  <c r="AG169" i="1"/>
  <c r="X168" i="1"/>
  <c r="AI195" i="1"/>
  <c r="S167" i="1"/>
  <c r="AG165" i="1"/>
  <c r="X164" i="1"/>
  <c r="AI191" i="1"/>
  <c r="AG161" i="1"/>
  <c r="AI161" i="1" s="1"/>
  <c r="X160" i="1"/>
  <c r="AG239" i="1"/>
  <c r="AI239" i="1" s="1"/>
  <c r="X238" i="1"/>
  <c r="AG235" i="1"/>
  <c r="AI235" i="1" s="1"/>
  <c r="X234" i="1"/>
  <c r="S233" i="1"/>
  <c r="AG231" i="1"/>
  <c r="AI231" i="1" s="1"/>
  <c r="X230" i="1"/>
  <c r="AI175" i="1"/>
  <c r="S229" i="1"/>
  <c r="AG227" i="1"/>
  <c r="AI227" i="1" s="1"/>
  <c r="X219" i="1"/>
  <c r="AG216" i="1"/>
  <c r="W216" i="1" s="1"/>
  <c r="X215" i="1"/>
  <c r="AI167" i="1"/>
  <c r="AG212" i="1"/>
  <c r="W212" i="1" s="1"/>
  <c r="X211" i="1"/>
  <c r="T211" i="1"/>
  <c r="U211" i="1" s="1"/>
  <c r="S211" i="1" s="1"/>
  <c r="S210" i="1"/>
  <c r="X207" i="1"/>
  <c r="T207" i="1"/>
  <c r="U207" i="1" s="1"/>
  <c r="S207" i="1" s="1"/>
  <c r="X156" i="1"/>
  <c r="T156" i="1"/>
  <c r="U156" i="1" s="1"/>
  <c r="S156" i="1" s="1"/>
  <c r="X152" i="1"/>
  <c r="T152" i="1"/>
  <c r="U152" i="1" s="1"/>
  <c r="S152" i="1" s="1"/>
  <c r="U146" i="1"/>
  <c r="S146" i="1" s="1"/>
  <c r="AI117" i="1"/>
  <c r="X185" i="1"/>
  <c r="T185" i="1"/>
  <c r="S184" i="1"/>
  <c r="X181" i="1"/>
  <c r="T181" i="1"/>
  <c r="AI208" i="1"/>
  <c r="X177" i="1"/>
  <c r="T177" i="1"/>
  <c r="X173" i="1"/>
  <c r="T173" i="1"/>
  <c r="AI200" i="1"/>
  <c r="X169" i="1"/>
  <c r="T169" i="1"/>
  <c r="AI196" i="1"/>
  <c r="X165" i="1"/>
  <c r="T165" i="1"/>
  <c r="AI192" i="1"/>
  <c r="X161" i="1"/>
  <c r="T161" i="1"/>
  <c r="AI188" i="1"/>
  <c r="S160" i="1"/>
  <c r="X239" i="1"/>
  <c r="T239" i="1"/>
  <c r="AI184" i="1"/>
  <c r="S238" i="1"/>
  <c r="X235" i="1"/>
  <c r="T235" i="1"/>
  <c r="AI180" i="1"/>
  <c r="X231" i="1"/>
  <c r="T231" i="1"/>
  <c r="X227" i="1"/>
  <c r="T227" i="1"/>
  <c r="AI172" i="1"/>
  <c r="X216" i="1"/>
  <c r="T216" i="1"/>
  <c r="X212" i="1"/>
  <c r="U158" i="1"/>
  <c r="S158" i="1" s="1"/>
  <c r="T145" i="1"/>
  <c r="U145" i="1" s="1"/>
  <c r="S145" i="1" s="1"/>
  <c r="U120" i="1"/>
  <c r="S120" i="1" s="1"/>
  <c r="W111" i="1"/>
  <c r="AG206" i="1"/>
  <c r="AG155" i="1"/>
  <c r="AG151" i="1"/>
  <c r="W151" i="1" s="1"/>
  <c r="AG147" i="1"/>
  <c r="W147" i="1" s="1"/>
  <c r="X145" i="1"/>
  <c r="U123" i="1"/>
  <c r="W119" i="1"/>
  <c r="AI115" i="1"/>
  <c r="AI111" i="1"/>
  <c r="X210" i="1"/>
  <c r="AI162" i="1"/>
  <c r="X206" i="1"/>
  <c r="AI158" i="1"/>
  <c r="X155" i="1"/>
  <c r="X151" i="1"/>
  <c r="AI150" i="1"/>
  <c r="X147" i="1"/>
  <c r="AI141" i="1"/>
  <c r="U141" i="1"/>
  <c r="S141" i="1" s="1"/>
  <c r="AI137" i="1"/>
  <c r="U137" i="1"/>
  <c r="S137" i="1" s="1"/>
  <c r="AI133" i="1"/>
  <c r="U133" i="1"/>
  <c r="S133" i="1" s="1"/>
  <c r="AI129" i="1"/>
  <c r="AI125" i="1"/>
  <c r="U125" i="1"/>
  <c r="S125" i="1" s="1"/>
  <c r="AI119" i="1"/>
  <c r="W117" i="1"/>
  <c r="AI113" i="1"/>
  <c r="U113" i="1"/>
  <c r="S113" i="1" s="1"/>
  <c r="AG144" i="1"/>
  <c r="AG140" i="1"/>
  <c r="W140" i="1" s="1"/>
  <c r="AG136" i="1"/>
  <c r="W136" i="1" s="1"/>
  <c r="AG132" i="1"/>
  <c r="AG128" i="1"/>
  <c r="AG124" i="1"/>
  <c r="X123" i="1"/>
  <c r="X119" i="1"/>
  <c r="T119" i="1"/>
  <c r="U119" i="1" s="1"/>
  <c r="S119" i="1" s="1"/>
  <c r="S118" i="1"/>
  <c r="X115" i="1"/>
  <c r="T115" i="1"/>
  <c r="U115" i="1" s="1"/>
  <c r="S115" i="1" s="1"/>
  <c r="U108" i="1"/>
  <c r="S108" i="1" s="1"/>
  <c r="AI108" i="1"/>
  <c r="AI102" i="1"/>
  <c r="U102" i="1"/>
  <c r="S102" i="1" s="1"/>
  <c r="U100" i="1"/>
  <c r="S100" i="1" s="1"/>
  <c r="AI100" i="1"/>
  <c r="X144" i="1"/>
  <c r="AI143" i="1"/>
  <c r="X140" i="1"/>
  <c r="X136" i="1"/>
  <c r="AI135" i="1"/>
  <c r="X132" i="1"/>
  <c r="AI131" i="1"/>
  <c r="X128" i="1"/>
  <c r="AI127" i="1"/>
  <c r="S127" i="1"/>
  <c r="X124" i="1"/>
  <c r="AI123" i="1"/>
  <c r="S123" i="1"/>
  <c r="X120" i="1"/>
  <c r="X116" i="1"/>
  <c r="AI110" i="1"/>
  <c r="W106" i="1"/>
  <c r="W104" i="1"/>
  <c r="W96" i="1"/>
  <c r="AI88" i="1"/>
  <c r="AI106" i="1"/>
  <c r="AI104" i="1"/>
  <c r="AI98" i="1"/>
  <c r="U98" i="1"/>
  <c r="S98" i="1" s="1"/>
  <c r="U96" i="1"/>
  <c r="S96" i="1" s="1"/>
  <c r="AI96" i="1"/>
  <c r="T111" i="1"/>
  <c r="U111" i="1" s="1"/>
  <c r="S111" i="1" s="1"/>
  <c r="X111" i="1"/>
  <c r="W102" i="1"/>
  <c r="U92" i="1"/>
  <c r="S92" i="1" s="1"/>
  <c r="AI92" i="1"/>
  <c r="U84" i="1"/>
  <c r="S84" i="1" s="1"/>
  <c r="AI84" i="1"/>
  <c r="X109" i="1"/>
  <c r="AG94" i="1"/>
  <c r="AG90" i="1"/>
  <c r="W90" i="1" s="1"/>
  <c r="AG86" i="1"/>
  <c r="AG82" i="1"/>
  <c r="W82" i="1" s="1"/>
  <c r="T82" i="1"/>
  <c r="AA80" i="1"/>
  <c r="AI77" i="1"/>
  <c r="AI73" i="1"/>
  <c r="AI69" i="1"/>
  <c r="AI65" i="1"/>
  <c r="AI61" i="1"/>
  <c r="AI57" i="1"/>
  <c r="AI53" i="1"/>
  <c r="AI49" i="1"/>
  <c r="U107" i="1"/>
  <c r="S107" i="1" s="1"/>
  <c r="AG95" i="1"/>
  <c r="X94" i="1"/>
  <c r="AG91" i="1"/>
  <c r="W91" i="1" s="1"/>
  <c r="X90" i="1"/>
  <c r="AG87" i="1"/>
  <c r="X86" i="1"/>
  <c r="AG83" i="1"/>
  <c r="T81" i="1"/>
  <c r="X81" i="1"/>
  <c r="T80" i="1"/>
  <c r="X107" i="1"/>
  <c r="X103" i="1"/>
  <c r="X99" i="1"/>
  <c r="X95" i="1"/>
  <c r="X91" i="1"/>
  <c r="X87" i="1"/>
  <c r="X83" i="1"/>
  <c r="AG81" i="1"/>
  <c r="W81" i="1" s="1"/>
  <c r="AG80" i="1"/>
  <c r="W78" i="1"/>
  <c r="W74" i="1"/>
  <c r="W70" i="1"/>
  <c r="W62" i="1"/>
  <c r="W54" i="1"/>
  <c r="W50" i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W57" i="1"/>
  <c r="AI54" i="1"/>
  <c r="U54" i="1"/>
  <c r="S54" i="1" s="1"/>
  <c r="AI50" i="1"/>
  <c r="U50" i="1"/>
  <c r="S50" i="1" s="1"/>
  <c r="W49" i="1"/>
  <c r="X77" i="1"/>
  <c r="T77" i="1"/>
  <c r="U77" i="1" s="1"/>
  <c r="S77" i="1" s="1"/>
  <c r="X73" i="1"/>
  <c r="T73" i="1"/>
  <c r="U73" i="1" s="1"/>
  <c r="S73" i="1" s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X49" i="1"/>
  <c r="T49" i="1"/>
  <c r="U49" i="1" s="1"/>
  <c r="S49" i="1" s="1"/>
  <c r="AI48" i="1"/>
  <c r="W47" i="1"/>
  <c r="T47" i="1"/>
  <c r="U47" i="1" s="1"/>
  <c r="S47" i="1" s="1"/>
  <c r="AI45" i="1"/>
  <c r="U44" i="1"/>
  <c r="S44" i="1" s="1"/>
  <c r="W30" i="1"/>
  <c r="U75" i="1"/>
  <c r="S75" i="1" s="1"/>
  <c r="U71" i="1"/>
  <c r="S71" i="1" s="1"/>
  <c r="U59" i="1"/>
  <c r="S59" i="1" s="1"/>
  <c r="U55" i="1"/>
  <c r="S55" i="1" s="1"/>
  <c r="AI47" i="1"/>
  <c r="U41" i="1"/>
  <c r="S41" i="1" s="1"/>
  <c r="AI41" i="1"/>
  <c r="AI30" i="1"/>
  <c r="AG76" i="1"/>
  <c r="AG72" i="1"/>
  <c r="AG68" i="1"/>
  <c r="AG64" i="1"/>
  <c r="W64" i="1" s="1"/>
  <c r="AG60" i="1"/>
  <c r="AG56" i="1"/>
  <c r="AG52" i="1"/>
  <c r="U48" i="1"/>
  <c r="S48" i="1" s="1"/>
  <c r="X47" i="1"/>
  <c r="AI43" i="1"/>
  <c r="U38" i="1"/>
  <c r="S38" i="1" s="1"/>
  <c r="AI38" i="1"/>
  <c r="U34" i="1"/>
  <c r="S34" i="1" s="1"/>
  <c r="AI34" i="1"/>
  <c r="W32" i="1"/>
  <c r="U26" i="1"/>
  <c r="S26" i="1" s="1"/>
  <c r="AI26" i="1"/>
  <c r="U23" i="1"/>
  <c r="S23" i="1" s="1"/>
  <c r="AI23" i="1"/>
  <c r="W19" i="1"/>
  <c r="X76" i="1"/>
  <c r="AI75" i="1"/>
  <c r="X72" i="1"/>
  <c r="AI71" i="1"/>
  <c r="X68" i="1"/>
  <c r="AI67" i="1"/>
  <c r="X64" i="1"/>
  <c r="X60" i="1"/>
  <c r="AI59" i="1"/>
  <c r="X56" i="1"/>
  <c r="AI55" i="1"/>
  <c r="X52" i="1"/>
  <c r="X48" i="1"/>
  <c r="AI36" i="1"/>
  <c r="AI32" i="1"/>
  <c r="U32" i="1"/>
  <c r="S32" i="1" s="1"/>
  <c r="U19" i="1"/>
  <c r="S19" i="1" s="1"/>
  <c r="AI19" i="1"/>
  <c r="U35" i="1"/>
  <c r="S35" i="1" s="1"/>
  <c r="U27" i="1"/>
  <c r="S27" i="1" s="1"/>
  <c r="U16" i="1"/>
  <c r="S16" i="1" s="1"/>
  <c r="AG28" i="1"/>
  <c r="AG25" i="1"/>
  <c r="W25" i="1" s="1"/>
  <c r="AG21" i="1"/>
  <c r="W21" i="1" s="1"/>
  <c r="AG17" i="1"/>
  <c r="W17" i="1" s="1"/>
  <c r="AG14" i="1"/>
  <c r="AG37" i="1"/>
  <c r="AG33" i="1"/>
  <c r="W33" i="1" s="1"/>
  <c r="AG29" i="1"/>
  <c r="W29" i="1" s="1"/>
  <c r="AG22" i="1"/>
  <c r="W22" i="1" s="1"/>
  <c r="X21" i="1"/>
  <c r="AG18" i="1"/>
  <c r="X37" i="1"/>
  <c r="X33" i="1"/>
  <c r="X29" i="1"/>
  <c r="X22" i="1"/>
  <c r="T8" i="3"/>
  <c r="Y29" i="3"/>
  <c r="AE35" i="3"/>
  <c r="Y35" i="3"/>
  <c r="Y8" i="3"/>
  <c r="Y9" i="3"/>
  <c r="AD24" i="3"/>
  <c r="AE24" i="3"/>
  <c r="AD21" i="3"/>
  <c r="T26" i="3"/>
  <c r="Y23" i="3"/>
  <c r="Y25" i="3"/>
  <c r="AE12" i="3"/>
  <c r="AD35" i="3"/>
  <c r="AD29" i="3"/>
  <c r="Y11" i="3"/>
  <c r="Y12" i="3"/>
  <c r="Y26" i="3"/>
  <c r="AD12" i="3"/>
  <c r="Y30" i="3"/>
  <c r="AC29" i="3"/>
  <c r="T37" i="3"/>
  <c r="T33" i="3"/>
  <c r="AD28" i="3"/>
  <c r="AE28" i="3"/>
  <c r="Y32" i="3"/>
  <c r="AE23" i="3"/>
  <c r="AC34" i="3"/>
  <c r="T27" i="3"/>
  <c r="AE19" i="3"/>
  <c r="AD17" i="3"/>
  <c r="AE17" i="3"/>
  <c r="T20" i="3"/>
  <c r="T15" i="3"/>
  <c r="AE11" i="3"/>
  <c r="AD9" i="3"/>
  <c r="AE9" i="3"/>
  <c r="Y37" i="3"/>
  <c r="Y27" i="3"/>
  <c r="Y15" i="3"/>
  <c r="T28" i="3"/>
  <c r="AE36" i="3"/>
  <c r="AE31" i="3"/>
  <c r="AC38" i="3"/>
  <c r="T12" i="3"/>
  <c r="T31" i="3"/>
  <c r="AE15" i="3"/>
  <c r="AE13" i="3"/>
  <c r="T19" i="3"/>
  <c r="AE34" i="3"/>
  <c r="T35" i="3"/>
  <c r="AE22" i="3"/>
  <c r="T18" i="3"/>
  <c r="AE42" i="3"/>
  <c r="T10" i="3"/>
  <c r="AE38" i="3"/>
  <c r="T42" i="3"/>
  <c r="AE30" i="3"/>
  <c r="T21" i="3"/>
  <c r="AE26" i="3"/>
  <c r="T17" i="3"/>
  <c r="AD42" i="3"/>
  <c r="AE41" i="3"/>
  <c r="T14" i="3"/>
  <c r="AD38" i="3"/>
  <c r="AE37" i="3"/>
  <c r="T29" i="3"/>
  <c r="AD34" i="3"/>
  <c r="AE33" i="3"/>
  <c r="T24" i="3"/>
  <c r="AD30" i="3"/>
  <c r="AE29" i="3"/>
  <c r="T38" i="3"/>
  <c r="AD26" i="3"/>
  <c r="AE25" i="3"/>
  <c r="T11" i="3"/>
  <c r="AD22" i="3"/>
  <c r="AE21" i="3"/>
  <c r="T34" i="3"/>
  <c r="AD19" i="3"/>
  <c r="AE18" i="3"/>
  <c r="T16" i="3"/>
  <c r="AD15" i="3"/>
  <c r="AE14" i="3"/>
  <c r="T25" i="3"/>
  <c r="AD11" i="3"/>
  <c r="AE10" i="3"/>
  <c r="T13" i="3"/>
  <c r="AC40" i="3"/>
  <c r="AD18" i="3"/>
  <c r="AD14" i="3"/>
  <c r="AD10" i="3"/>
  <c r="AE8" i="3"/>
  <c r="M39" i="3"/>
  <c r="R39" i="3"/>
  <c r="S39" i="3"/>
  <c r="U39" i="3"/>
  <c r="V39" i="3"/>
  <c r="W39" i="3"/>
  <c r="X39" i="3"/>
  <c r="W68" i="1" l="1"/>
  <c r="W218" i="1"/>
  <c r="U67" i="1"/>
  <c r="S67" i="1" s="1"/>
  <c r="W229" i="1"/>
  <c r="U135" i="1"/>
  <c r="S135" i="1" s="1"/>
  <c r="W233" i="1"/>
  <c r="U237" i="1"/>
  <c r="S237" i="1" s="1"/>
  <c r="U51" i="1"/>
  <c r="S51" i="1" s="1"/>
  <c r="W28" i="1"/>
  <c r="W83" i="1"/>
  <c r="AI139" i="1"/>
  <c r="AI176" i="1"/>
  <c r="U218" i="1"/>
  <c r="S218" i="1" s="1"/>
  <c r="U219" i="1"/>
  <c r="S219" i="1" s="1"/>
  <c r="U24" i="1"/>
  <c r="S24" i="1" s="1"/>
  <c r="W101" i="1"/>
  <c r="U143" i="1"/>
  <c r="S143" i="1" s="1"/>
  <c r="W219" i="1"/>
  <c r="W164" i="1"/>
  <c r="AI63" i="1"/>
  <c r="W60" i="1"/>
  <c r="W94" i="1"/>
  <c r="AI168" i="1"/>
  <c r="W51" i="1"/>
  <c r="W121" i="1"/>
  <c r="W209" i="1"/>
  <c r="U121" i="1"/>
  <c r="S121" i="1" s="1"/>
  <c r="W142" i="1"/>
  <c r="U178" i="1"/>
  <c r="S178" i="1" s="1"/>
  <c r="AI42" i="1"/>
  <c r="W183" i="1"/>
  <c r="W200" i="1"/>
  <c r="W234" i="1"/>
  <c r="U236" i="1"/>
  <c r="S236" i="1" s="1"/>
  <c r="AI154" i="1"/>
  <c r="W154" i="1"/>
  <c r="U222" i="1"/>
  <c r="S222" i="1" s="1"/>
  <c r="W43" i="1"/>
  <c r="AI118" i="1"/>
  <c r="W120" i="1"/>
  <c r="W63" i="1"/>
  <c r="W93" i="1"/>
  <c r="U131" i="1"/>
  <c r="S131" i="1" s="1"/>
  <c r="W217" i="1"/>
  <c r="W109" i="1"/>
  <c r="U31" i="1"/>
  <c r="S31" i="1" s="1"/>
  <c r="W76" i="1"/>
  <c r="W144" i="1"/>
  <c r="W224" i="1"/>
  <c r="U234" i="1"/>
  <c r="S234" i="1" s="1"/>
  <c r="W20" i="1"/>
  <c r="AI109" i="1"/>
  <c r="AI134" i="1"/>
  <c r="W40" i="1"/>
  <c r="W171" i="1"/>
  <c r="U20" i="1"/>
  <c r="S20" i="1" s="1"/>
  <c r="U112" i="1"/>
  <c r="S112" i="1" s="1"/>
  <c r="AI204" i="1"/>
  <c r="AI179" i="1"/>
  <c r="W116" i="1"/>
  <c r="U134" i="1"/>
  <c r="S134" i="1" s="1"/>
  <c r="W187" i="1"/>
  <c r="W204" i="1"/>
  <c r="W179" i="1"/>
  <c r="W178" i="1"/>
  <c r="W37" i="1"/>
  <c r="U46" i="1"/>
  <c r="S46" i="1" s="1"/>
  <c r="W44" i="1"/>
  <c r="W55" i="1"/>
  <c r="W71" i="1"/>
  <c r="W80" i="1"/>
  <c r="W215" i="1"/>
  <c r="W110" i="1"/>
  <c r="W143" i="1"/>
  <c r="W150" i="1"/>
  <c r="W160" i="1"/>
  <c r="W42" i="1"/>
  <c r="W131" i="1"/>
  <c r="W158" i="1"/>
  <c r="U187" i="1"/>
  <c r="S187" i="1" s="1"/>
  <c r="W237" i="1"/>
  <c r="W46" i="1"/>
  <c r="W85" i="1"/>
  <c r="W48" i="1"/>
  <c r="W112" i="1"/>
  <c r="W114" i="1"/>
  <c r="W35" i="1"/>
  <c r="U180" i="1"/>
  <c r="S180" i="1" s="1"/>
  <c r="W206" i="1"/>
  <c r="AI206" i="1"/>
  <c r="W198" i="1"/>
  <c r="AI198" i="1"/>
  <c r="AI216" i="1"/>
  <c r="U39" i="1"/>
  <c r="S39" i="1" s="1"/>
  <c r="AI39" i="1"/>
  <c r="W107" i="1"/>
  <c r="W126" i="1"/>
  <c r="U130" i="1"/>
  <c r="S130" i="1" s="1"/>
  <c r="AI130" i="1"/>
  <c r="U103" i="1"/>
  <c r="S103" i="1" s="1"/>
  <c r="AI103" i="1"/>
  <c r="U153" i="1"/>
  <c r="S153" i="1" s="1"/>
  <c r="AI153" i="1"/>
  <c r="W103" i="1"/>
  <c r="W135" i="1"/>
  <c r="W139" i="1"/>
  <c r="W159" i="1"/>
  <c r="U182" i="1"/>
  <c r="S182" i="1" s="1"/>
  <c r="AI182" i="1"/>
  <c r="W213" i="1"/>
  <c r="U164" i="1"/>
  <c r="S164" i="1" s="1"/>
  <c r="W194" i="1"/>
  <c r="AI194" i="1"/>
  <c r="W24" i="1"/>
  <c r="U89" i="1"/>
  <c r="S89" i="1" s="1"/>
  <c r="AI89" i="1"/>
  <c r="U93" i="1"/>
  <c r="S93" i="1" s="1"/>
  <c r="AI93" i="1"/>
  <c r="U126" i="1"/>
  <c r="S126" i="1" s="1"/>
  <c r="AI126" i="1"/>
  <c r="U214" i="1"/>
  <c r="S214" i="1" s="1"/>
  <c r="AI214" i="1"/>
  <c r="U166" i="1"/>
  <c r="S166" i="1" s="1"/>
  <c r="AI166" i="1"/>
  <c r="W166" i="1"/>
  <c r="AI212" i="1"/>
  <c r="AI224" i="1"/>
  <c r="U97" i="1"/>
  <c r="S97" i="1" s="1"/>
  <c r="AI97" i="1"/>
  <c r="W31" i="1"/>
  <c r="U99" i="1"/>
  <c r="S99" i="1" s="1"/>
  <c r="AI99" i="1"/>
  <c r="U105" i="1"/>
  <c r="S105" i="1" s="1"/>
  <c r="AI105" i="1"/>
  <c r="W105" i="1"/>
  <c r="U114" i="1"/>
  <c r="S114" i="1" s="1"/>
  <c r="AI114" i="1"/>
  <c r="U116" i="1"/>
  <c r="S116" i="1" s="1"/>
  <c r="AI116" i="1"/>
  <c r="U142" i="1"/>
  <c r="S142" i="1" s="1"/>
  <c r="AI142" i="1"/>
  <c r="U149" i="1"/>
  <c r="S149" i="1" s="1"/>
  <c r="AI149" i="1"/>
  <c r="W214" i="1"/>
  <c r="W149" i="1"/>
  <c r="W153" i="1"/>
  <c r="U174" i="1"/>
  <c r="S174" i="1" s="1"/>
  <c r="AI174" i="1"/>
  <c r="W59" i="1"/>
  <c r="W67" i="1"/>
  <c r="W75" i="1"/>
  <c r="W27" i="1"/>
  <c r="W99" i="1"/>
  <c r="U85" i="1"/>
  <c r="S85" i="1" s="1"/>
  <c r="AI85" i="1"/>
  <c r="U101" i="1"/>
  <c r="S101" i="1" s="1"/>
  <c r="AI101" i="1"/>
  <c r="U122" i="1"/>
  <c r="S122" i="1" s="1"/>
  <c r="AI122" i="1"/>
  <c r="W130" i="1"/>
  <c r="W97" i="1"/>
  <c r="W238" i="1"/>
  <c r="W167" i="1"/>
  <c r="U157" i="1"/>
  <c r="S157" i="1" s="1"/>
  <c r="AI157" i="1"/>
  <c r="W230" i="1"/>
  <c r="W180" i="1"/>
  <c r="W157" i="1"/>
  <c r="U175" i="1"/>
  <c r="S175" i="1" s="1"/>
  <c r="W182" i="1"/>
  <c r="W240" i="1"/>
  <c r="U172" i="1"/>
  <c r="S172" i="1" s="1"/>
  <c r="W208" i="1"/>
  <c r="U183" i="1"/>
  <c r="S183" i="1" s="1"/>
  <c r="U72" i="1"/>
  <c r="S72" i="1" s="1"/>
  <c r="AI72" i="1"/>
  <c r="W72" i="1"/>
  <c r="AI87" i="1"/>
  <c r="U87" i="1"/>
  <c r="S87" i="1" s="1"/>
  <c r="AI94" i="1"/>
  <c r="U94" i="1"/>
  <c r="S94" i="1" s="1"/>
  <c r="AI124" i="1"/>
  <c r="U124" i="1"/>
  <c r="S124" i="1" s="1"/>
  <c r="AI132" i="1"/>
  <c r="U132" i="1"/>
  <c r="S132" i="1" s="1"/>
  <c r="U155" i="1"/>
  <c r="S155" i="1" s="1"/>
  <c r="AI155" i="1"/>
  <c r="AI173" i="1"/>
  <c r="U227" i="1"/>
  <c r="S227" i="1" s="1"/>
  <c r="AI177" i="1"/>
  <c r="U231" i="1"/>
  <c r="S231" i="1" s="1"/>
  <c r="AI181" i="1"/>
  <c r="U235" i="1"/>
  <c r="S235" i="1" s="1"/>
  <c r="AI185" i="1"/>
  <c r="U239" i="1"/>
  <c r="S239" i="1" s="1"/>
  <c r="AI189" i="1"/>
  <c r="U161" i="1"/>
  <c r="S161" i="1" s="1"/>
  <c r="AI193" i="1"/>
  <c r="U165" i="1"/>
  <c r="S165" i="1" s="1"/>
  <c r="AI197" i="1"/>
  <c r="U169" i="1"/>
  <c r="S169" i="1" s="1"/>
  <c r="AI201" i="1"/>
  <c r="U173" i="1"/>
  <c r="S173" i="1" s="1"/>
  <c r="AI205" i="1"/>
  <c r="U177" i="1"/>
  <c r="S177" i="1" s="1"/>
  <c r="AI209" i="1"/>
  <c r="U181" i="1"/>
  <c r="S181" i="1" s="1"/>
  <c r="AI213" i="1"/>
  <c r="U185" i="1"/>
  <c r="S185" i="1" s="1"/>
  <c r="W165" i="1"/>
  <c r="U220" i="1"/>
  <c r="S220" i="1" s="1"/>
  <c r="AI234" i="1"/>
  <c r="W239" i="1"/>
  <c r="U193" i="1"/>
  <c r="S193" i="1" s="1"/>
  <c r="AI221" i="1"/>
  <c r="AI237" i="1"/>
  <c r="U223" i="1"/>
  <c r="S223" i="1" s="1"/>
  <c r="W220" i="1"/>
  <c r="U56" i="1"/>
  <c r="S56" i="1" s="1"/>
  <c r="AI56" i="1"/>
  <c r="U18" i="1"/>
  <c r="S18" i="1" s="1"/>
  <c r="AI18" i="1"/>
  <c r="U37" i="1"/>
  <c r="S37" i="1" s="1"/>
  <c r="AI37" i="1"/>
  <c r="AI25" i="1"/>
  <c r="U25" i="1"/>
  <c r="S25" i="1" s="1"/>
  <c r="U60" i="1"/>
  <c r="S60" i="1" s="1"/>
  <c r="AI60" i="1"/>
  <c r="U76" i="1"/>
  <c r="S76" i="1" s="1"/>
  <c r="AI76" i="1"/>
  <c r="AI14" i="1"/>
  <c r="U14" i="1"/>
  <c r="S14" i="1" s="1"/>
  <c r="AI28" i="1"/>
  <c r="U28" i="1"/>
  <c r="S28" i="1" s="1"/>
  <c r="W18" i="1"/>
  <c r="W14" i="1"/>
  <c r="U64" i="1"/>
  <c r="S64" i="1" s="1"/>
  <c r="AI64" i="1"/>
  <c r="AI80" i="1"/>
  <c r="U80" i="1"/>
  <c r="S80" i="1" s="1"/>
  <c r="AI83" i="1"/>
  <c r="U83" i="1"/>
  <c r="S83" i="1" s="1"/>
  <c r="U82" i="1"/>
  <c r="S82" i="1" s="1"/>
  <c r="AI82" i="1"/>
  <c r="W87" i="1"/>
  <c r="AI136" i="1"/>
  <c r="U136" i="1"/>
  <c r="S136" i="1" s="1"/>
  <c r="U206" i="1"/>
  <c r="S206" i="1" s="1"/>
  <c r="AI159" i="1"/>
  <c r="W124" i="1"/>
  <c r="W181" i="1"/>
  <c r="W235" i="1"/>
  <c r="W185" i="1"/>
  <c r="U202" i="1"/>
  <c r="S202" i="1" s="1"/>
  <c r="AI230" i="1"/>
  <c r="W173" i="1"/>
  <c r="AI225" i="1"/>
  <c r="U197" i="1"/>
  <c r="S197" i="1" s="1"/>
  <c r="W227" i="1"/>
  <c r="W177" i="1"/>
  <c r="W193" i="1"/>
  <c r="U52" i="1"/>
  <c r="S52" i="1" s="1"/>
  <c r="AI52" i="1"/>
  <c r="U68" i="1"/>
  <c r="S68" i="1" s="1"/>
  <c r="AI68" i="1"/>
  <c r="W52" i="1"/>
  <c r="U81" i="1"/>
  <c r="S81" i="1" s="1"/>
  <c r="AI81" i="1"/>
  <c r="AI95" i="1"/>
  <c r="U95" i="1"/>
  <c r="S95" i="1" s="1"/>
  <c r="AI86" i="1"/>
  <c r="U86" i="1"/>
  <c r="S86" i="1" s="1"/>
  <c r="W95" i="1"/>
  <c r="AI128" i="1"/>
  <c r="U128" i="1"/>
  <c r="S128" i="1" s="1"/>
  <c r="AI140" i="1"/>
  <c r="U140" i="1"/>
  <c r="S140" i="1" s="1"/>
  <c r="U147" i="1"/>
  <c r="S147" i="1" s="1"/>
  <c r="AI147" i="1"/>
  <c r="W128" i="1"/>
  <c r="AI165" i="1"/>
  <c r="U212" i="1"/>
  <c r="S212" i="1" s="1"/>
  <c r="AI169" i="1"/>
  <c r="U216" i="1"/>
  <c r="S216" i="1" s="1"/>
  <c r="AI217" i="1"/>
  <c r="U189" i="1"/>
  <c r="S189" i="1" s="1"/>
  <c r="U198" i="1"/>
  <c r="S198" i="1" s="1"/>
  <c r="AI226" i="1"/>
  <c r="AI229" i="1"/>
  <c r="U201" i="1"/>
  <c r="S201" i="1" s="1"/>
  <c r="W201" i="1"/>
  <c r="U22" i="1"/>
  <c r="S22" i="1" s="1"/>
  <c r="AI22" i="1"/>
  <c r="U29" i="1"/>
  <c r="S29" i="1" s="1"/>
  <c r="AI29" i="1"/>
  <c r="AI17" i="1"/>
  <c r="U17" i="1"/>
  <c r="S17" i="1" s="1"/>
  <c r="U33" i="1"/>
  <c r="S33" i="1" s="1"/>
  <c r="AI33" i="1"/>
  <c r="AI21" i="1"/>
  <c r="U21" i="1"/>
  <c r="S21" i="1" s="1"/>
  <c r="W56" i="1"/>
  <c r="AI91" i="1"/>
  <c r="U91" i="1"/>
  <c r="S91" i="1" s="1"/>
  <c r="AI90" i="1"/>
  <c r="U90" i="1"/>
  <c r="S90" i="1" s="1"/>
  <c r="W86" i="1"/>
  <c r="U144" i="1"/>
  <c r="S144" i="1" s="1"/>
  <c r="AI144" i="1"/>
  <c r="U151" i="1"/>
  <c r="S151" i="1" s="1"/>
  <c r="AI151" i="1"/>
  <c r="W132" i="1"/>
  <c r="W231" i="1"/>
  <c r="W155" i="1"/>
  <c r="W169" i="1"/>
  <c r="W189" i="1"/>
  <c r="U194" i="1"/>
  <c r="S194" i="1" s="1"/>
  <c r="AI222" i="1"/>
  <c r="AI238" i="1"/>
  <c r="U224" i="1"/>
  <c r="S224" i="1" s="1"/>
  <c r="AI233" i="1"/>
  <c r="U205" i="1"/>
  <c r="S205" i="1" s="1"/>
  <c r="W161" i="1"/>
  <c r="W205" i="1"/>
  <c r="W223" i="1"/>
  <c r="W197" i="1"/>
  <c r="W202" i="1"/>
  <c r="AC39" i="3"/>
  <c r="AD39" i="3"/>
  <c r="AE39" i="3"/>
  <c r="Y39" i="3"/>
  <c r="T39" i="3"/>
  <c r="B3" i="6" l="1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N40" i="3" s="1"/>
  <c r="G10" i="4"/>
  <c r="G11" i="4"/>
  <c r="N36" i="3" s="1"/>
  <c r="G12" i="4"/>
  <c r="G13" i="4"/>
  <c r="G14" i="4"/>
  <c r="G15" i="4"/>
  <c r="G16" i="4"/>
  <c r="G17" i="4"/>
  <c r="G18" i="4"/>
  <c r="G19" i="4"/>
  <c r="N13" i="3" s="1"/>
  <c r="G20" i="4"/>
  <c r="G21" i="4"/>
  <c r="G22" i="4"/>
  <c r="G23" i="4"/>
  <c r="G24" i="4"/>
  <c r="G25" i="4"/>
  <c r="G26" i="4"/>
  <c r="G27" i="4"/>
  <c r="G28" i="4"/>
  <c r="G29" i="4"/>
  <c r="N19" i="3" s="1"/>
  <c r="G30" i="4"/>
  <c r="G31" i="4"/>
  <c r="G32" i="4"/>
  <c r="N7" i="3" s="1"/>
  <c r="G33" i="4"/>
  <c r="N15" i="3" s="1"/>
  <c r="G34" i="4"/>
  <c r="G35" i="4"/>
  <c r="G36" i="4"/>
  <c r="G37" i="4"/>
  <c r="G38" i="4"/>
  <c r="G39" i="4"/>
  <c r="G40" i="4"/>
  <c r="N25" i="3" s="1"/>
  <c r="G41" i="4"/>
  <c r="G42" i="4"/>
  <c r="G43" i="4"/>
  <c r="G44" i="4"/>
  <c r="G45" i="4"/>
  <c r="G46" i="4"/>
  <c r="N23" i="3" s="1"/>
  <c r="G47" i="4"/>
  <c r="G48" i="4"/>
  <c r="G49" i="4"/>
  <c r="G50" i="4"/>
  <c r="G51" i="4"/>
  <c r="G52" i="4"/>
  <c r="G53" i="4"/>
  <c r="N26" i="3" s="1"/>
  <c r="G54" i="4"/>
  <c r="G55" i="4"/>
  <c r="G56" i="4"/>
  <c r="G57" i="4"/>
  <c r="N31" i="3" s="1"/>
  <c r="G58" i="4"/>
  <c r="G59" i="4"/>
  <c r="G60" i="4"/>
  <c r="G61" i="4"/>
  <c r="G62" i="4"/>
  <c r="G63" i="4"/>
  <c r="G64" i="4"/>
  <c r="G65" i="4"/>
  <c r="G66" i="4"/>
  <c r="N34" i="3" s="1"/>
  <c r="G67" i="4"/>
  <c r="G68" i="4"/>
  <c r="G69" i="4"/>
  <c r="G70" i="4"/>
  <c r="G71" i="4"/>
  <c r="G72" i="4"/>
  <c r="N18" i="3" s="1"/>
  <c r="G73" i="4"/>
  <c r="G74" i="4"/>
  <c r="G75" i="4"/>
  <c r="N12" i="3" s="1"/>
  <c r="G76" i="4"/>
  <c r="G77" i="4"/>
  <c r="G78" i="4"/>
  <c r="G79" i="4"/>
  <c r="G80" i="4"/>
  <c r="N32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1" i="3" s="1"/>
  <c r="G94" i="4"/>
  <c r="G95" i="4"/>
  <c r="G96" i="4"/>
  <c r="G97" i="4"/>
  <c r="G98" i="4"/>
  <c r="N17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N9" i="3" s="1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38" i="3" s="1"/>
  <c r="G143" i="4"/>
  <c r="N21" i="3" s="1"/>
  <c r="G144" i="4"/>
  <c r="G145" i="4"/>
  <c r="G146" i="4"/>
  <c r="G147" i="4"/>
  <c r="G148" i="4"/>
  <c r="G149" i="4"/>
  <c r="G150" i="4"/>
  <c r="G151" i="4"/>
  <c r="G152" i="4"/>
  <c r="G153" i="4"/>
  <c r="G154" i="4"/>
  <c r="N33" i="3" s="1"/>
  <c r="G155" i="4"/>
  <c r="G156" i="4"/>
  <c r="G157" i="4"/>
  <c r="N8" i="3" s="1"/>
  <c r="G158" i="4"/>
  <c r="G159" i="4"/>
  <c r="G160" i="4"/>
  <c r="G161" i="4"/>
  <c r="N24" i="3" s="1"/>
  <c r="G162" i="4"/>
  <c r="G163" i="4"/>
  <c r="G164" i="4"/>
  <c r="G165" i="4"/>
  <c r="G166" i="4"/>
  <c r="G167" i="4"/>
  <c r="G168" i="4"/>
  <c r="G169" i="4"/>
  <c r="N35" i="3" s="1"/>
  <c r="G170" i="4"/>
  <c r="G171" i="4"/>
  <c r="G172" i="4"/>
  <c r="G173" i="4"/>
  <c r="G174" i="4"/>
  <c r="N29" i="3" s="1"/>
  <c r="G175" i="4"/>
  <c r="G176" i="4"/>
  <c r="G177" i="4"/>
  <c r="N41" i="3" s="1"/>
  <c r="G178" i="4"/>
  <c r="G179" i="4"/>
  <c r="G180" i="4"/>
  <c r="G181" i="4"/>
  <c r="G182" i="4"/>
  <c r="G183" i="4"/>
  <c r="G184" i="4"/>
  <c r="G185" i="4"/>
  <c r="G186" i="4"/>
  <c r="G187" i="4"/>
  <c r="N28" i="3" s="1"/>
  <c r="G188" i="4"/>
  <c r="G189" i="4"/>
  <c r="G190" i="4"/>
  <c r="G191" i="4"/>
  <c r="G192" i="4"/>
  <c r="N30" i="3" s="1"/>
  <c r="G193" i="4"/>
  <c r="G194" i="4"/>
  <c r="G195" i="4"/>
  <c r="G196" i="4"/>
  <c r="G197" i="4"/>
  <c r="G198" i="4"/>
  <c r="N14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6" i="3" l="1"/>
  <c r="N27" i="3"/>
  <c r="N20" i="3"/>
  <c r="N42" i="3"/>
  <c r="N37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<sst xmlns="http://schemas.openxmlformats.org/spreadsheetml/2006/main" count="2948" uniqueCount="1030">
  <si>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</si>
  <si>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</si>
  <si>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</si>
  <si>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</si>
  <si>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</si>
  <si>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</si>
  <si>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</si>
  <si>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</si>
  <si>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</si>
  <si>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</si>
  <si>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</si>
  <si>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</si>
  <si>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</si>
  <si>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</si>
  <si>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</si>
  <si>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</si>
  <si>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</si>
  <si>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</si>
  <si>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</si>
  <si>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</si>
  <si>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</si>
  <si>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</si>
  <si>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</si>
  <si>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</si>
  <si>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</si>
  <si>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</si>
  <si>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</si>
  <si>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</si>
  <si>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</si>
  <si>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</si>
  <si>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</si>
  <si>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</si>
  <si>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</si>
  <si>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</si>
  <si>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</si>
  <si>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</si>
  <si>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</si>
  <si>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</si>
  <si>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</si>
  <si>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</si>
  <si>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</si>
  <si>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</si>
  <si>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</si>
  <si>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</si>
  <si>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</si>
  <si>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</si>
  <si>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</si>
  <si>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</si>
  <si>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</si>
  <si>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</si>
  <si>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</si>
  <si>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</si>
  <si>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</si>
  <si>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</si>
  <si>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</si>
  <si>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</si>
  <si>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</si>
  <si>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</si>
  <si>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</si>
  <si>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</si>
  <si>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</si>
  <si>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</si>
  <si>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</si>
  <si>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</si>
  <si>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</si>
  <si>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</si>
  <si>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</si>
  <si>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</si>
  <si>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</si>
  <si>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</si>
  <si>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</si>
  <si>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</si>
  <si>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</si>
  <si>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</si>
  <si>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</si>
  <si>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</si>
  <si>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</si>
  <si>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</si>
  <si>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</si>
  <si>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</si>
  <si>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</si>
  <si>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</si>
  <si>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</si>
  <si>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</si>
  <si>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</si>
  <si>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</si>
  <si>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</si>
  <si>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</si>
  <si>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</si>
  <si>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</si>
  <si>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</si>
  <si>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</si>
  <si>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</si>
  <si>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</si>
  <si>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</si>
  <si>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</si>
  <si>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</si>
  <si>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</si>
  <si>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</si>
  <si>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</si>
  <si>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</si>
  <si>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</si>
  <si>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</si>
  <si>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</si>
  <si>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</si>
  <si>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</si>
  <si>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</si>
  <si>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</si>
  <si>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</si>
  <si>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</si>
  <si>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</si>
  <si>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</si>
  <si>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</si>
  <si>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</si>
  <si>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</si>
  <si>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</si>
  <si>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</si>
  <si>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</si>
  <si>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</si>
  <si>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</si>
  <si>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</si>
  <si>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</si>
  <si>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</si>
  <si>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</si>
  <si>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</si>
  <si>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</si>
  <si>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</si>
  <si>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</si>
  <si>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</si>
  <si>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</si>
  <si>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</si>
  <si>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</si>
  <si>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</si>
  <si>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</si>
  <si>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</si>
  <si>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</si>
  <si>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</si>
  <si>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</si>
  <si>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</si>
  <si>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</si>
  <si>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</si>
  <si>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</si>
  <si>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</si>
  <si>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</si>
  <si>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</si>
  <si>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</si>
  <si>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</si>
  <si>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</si>
  <si>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</si>
  <si>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</si>
  <si>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</si>
  <si>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</si>
  <si>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</si>
  <si>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</si>
  <si>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</si>
  <si>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</si>
  <si>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</si>
  <si>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</si>
  <si>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</si>
  <si>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</si>
  <si>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</si>
  <si>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</si>
  <si>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</si>
  <si>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</si>
  <si>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</si>
  <si>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</si>
  <si>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</si>
  <si>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</si>
  <si>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</si>
  <si>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</si>
  <si>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</si>
  <si>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</si>
  <si>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</si>
  <si>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</si>
  <si>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</si>
  <si>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</si>
  <si>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</si>
  <si>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</si>
  <si>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</si>
  <si>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</si>
  <si>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</si>
  <si>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</si>
  <si>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</si>
  <si>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</si>
  <si>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</si>
  <si>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</si>
  <si>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</si>
  <si>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</si>
  <si>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</si>
  <si>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</si>
  <si>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</si>
  <si>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</si>
  <si>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</si>
  <si>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</si>
  <si>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</si>
  <si>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</si>
  <si>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</si>
  <si>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</si>
  <si>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</si>
  <si>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</si>
  <si>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</si>
  <si>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</si>
  <si>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</si>
  <si>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</si>
  <si>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</si>
  <si>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</si>
  <si>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</si>
  <si>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</si>
  <si>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</si>
  <si>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</si>
  <si>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</si>
  <si>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</si>
  <si>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</si>
  <si>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</si>
  <si>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</si>
  <si>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</si>
  <si>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</si>
  <si>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</si>
  <si>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</si>
  <si>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</si>
  <si>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</si>
  <si>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</si>
  <si>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</si>
  <si>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</si>
  <si>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</si>
  <si>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</si>
  <si>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</si>
  <si>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</si>
  <si>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</si>
  <si>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</si>
  <si>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</si>
  <si>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</si>
  <si>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</si>
  <si>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</si>
  <si>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</si>
  <si>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</si>
  <si>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</si>
  <si>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</si>
  <si>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</si>
  <si>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</si>
  <si>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</si>
  <si>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</si>
  <si>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</si>
  <si>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</si>
  <si>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</si>
  <si>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</si>
  <si>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</si>
  <si>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</si>
  <si>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</si>
  <si>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</si>
  <si>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</si>
  <si>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</si>
  <si>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</si>
  <si>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</si>
  <si>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</si>
  <si>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</si>
  <si>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</si>
  <si>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</si>
  <si>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</si>
  <si>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</si>
  <si>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</si>
  <si>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</si>
  <si>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</si>
  <si>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</si>
  <si>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</si>
  <si>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</si>
  <si>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</si>
  <si>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</si>
  <si>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</si>
  <si>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</si>
  <si>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</si>
  <si>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</si>
  <si>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</si>
  <si>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</si>
  <si>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</si>
  <si>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</si>
  <si>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</si>
  <si>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</si>
  <si>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</si>
  <si>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</si>
  <si>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</si>
  <si>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</si>
  <si>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</si>
  <si>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</si>
  <si>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</si>
  <si>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</si>
  <si>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</si>
  <si>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</si>
  <si>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</si>
  <si>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</si>
  <si>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</si>
  <si>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</si>
  <si>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</si>
  <si>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</si>
  <si>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</si>
  <si>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</si>
  <si>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</si>
  <si>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</si>
  <si>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</si>
  <si>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</si>
  <si>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</si>
  <si>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</si>
  <si>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</si>
  <si>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</si>
  <si>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</si>
  <si>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</si>
  <si>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</si>
  <si>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</si>
  <si>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</si>
  <si>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</si>
  <si>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</si>
  <si>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</si>
  <si>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</si>
  <si>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</si>
  <si>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</si>
  <si>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</si>
  <si>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</si>
  <si>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</si>
  <si>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</si>
  <si>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</si>
  <si>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</si>
  <si>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</si>
  <si>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</si>
  <si>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</si>
  <si>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</si>
  <si>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</si>
  <si>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</si>
  <si>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</si>
  <si>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</si>
  <si>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</si>
  <si>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</si>
  <si>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</si>
  <si>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</si>
  <si>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</si>
  <si>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</si>
  <si>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</si>
  <si>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</si>
  <si>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</si>
  <si>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</si>
  <si>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</si>
  <si>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</si>
  <si>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</si>
  <si>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</si>
  <si>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</si>
  <si>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</si>
  <si>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</si>
  <si>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</si>
  <si>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</si>
  <si>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</si>
  <si>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</si>
  <si>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</si>
  <si>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</si>
  <si>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</si>
  <si>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</si>
  <si>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</si>
  <si>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</si>
  <si>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</si>
  <si>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</si>
  <si>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</si>
  <si>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</si>
  <si>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</si>
  <si>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</si>
  <si>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</si>
  <si>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</si>
  <si>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</si>
  <si>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</si>
  <si>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</si>
  <si>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</si>
  <si>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</si>
  <si>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</si>
  <si>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</si>
  <si>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</si>
  <si>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</si>
  <si>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</si>
  <si>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</si>
  <si>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</si>
  <si>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</si>
  <si>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</si>
  <si>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</si>
  <si>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</si>
  <si>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</si>
  <si>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</si>
  <si>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</si>
  <si>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</si>
  <si>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</si>
  <si>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</si>
  <si>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</si>
  <si>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</si>
  <si>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</si>
  <si>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</si>
  <si>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</si>
  <si>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</si>
  <si>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</si>
  <si>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</si>
  <si>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</si>
  <si>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</si>
  <si>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</si>
  <si>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</si>
  <si>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</si>
  <si>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</si>
  <si>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</si>
  <si>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</si>
  <si>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</si>
  <si>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</si>
  <si>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</si>
  <si>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</si>
  <si>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</si>
  <si>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</si>
  <si>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</si>
  <si>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</si>
  <si>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</si>
  <si>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</si>
  <si>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</si>
  <si>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</si>
  <si>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</si>
  <si>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</si>
  <si>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</si>
  <si>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</si>
  <si>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</si>
  <si>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</si>
  <si>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rtdc.l.rtdc.4053:itc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</si>
  <si>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</si>
  <si>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</si>
  <si>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</si>
  <si>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</si>
  <si>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</si>
  <si>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</si>
  <si>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</si>
  <si>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</si>
  <si>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</si>
  <si>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</si>
  <si>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</si>
  <si>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</si>
  <si>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</si>
  <si>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204:233306</t>
  </si>
  <si>
    <t>204:467</t>
  </si>
  <si>
    <t>204:233291</t>
  </si>
  <si>
    <t>204:233002</t>
  </si>
  <si>
    <t>rtdc.l.rtdc.4054:itc</t>
  </si>
  <si>
    <t>204:233293</t>
  </si>
  <si>
    <t>204:150</t>
  </si>
  <si>
    <t>204:447</t>
  </si>
  <si>
    <t>204:473</t>
  </si>
  <si>
    <t>rtdc.l.rtdc.4006:itc</t>
  </si>
  <si>
    <t>partly-cloudy-night</t>
  </si>
  <si>
    <t>204:149</t>
  </si>
  <si>
    <t>204:232998</t>
  </si>
  <si>
    <t>204:143</t>
  </si>
  <si>
    <t>204:475</t>
  </si>
  <si>
    <t>s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</si>
  <si>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</si>
  <si>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</si>
  <si>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</si>
  <si>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</si>
  <si>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</si>
  <si>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</si>
  <si>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</si>
  <si>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</si>
  <si>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</si>
  <si>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</si>
  <si>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</si>
  <si>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204:156</t>
  </si>
  <si>
    <t>204:444</t>
  </si>
  <si>
    <t>204:233299</t>
  </si>
  <si>
    <t>204:136</t>
  </si>
  <si>
    <t>204:161</t>
  </si>
  <si>
    <t>300:58621</t>
  </si>
  <si>
    <t>204:233000</t>
  </si>
  <si>
    <t>204:169</t>
  </si>
  <si>
    <t>rtdc.l.rtdc.4015:itc</t>
  </si>
  <si>
    <t>SWITCH UNKNOWN</t>
  </si>
  <si>
    <t>Track device (7)</t>
  </si>
  <si>
    <t>YORK</t>
  </si>
  <si>
    <t>EDGAR</t>
  </si>
  <si>
    <t>rtdc.l.rtdc.4023:itc</t>
  </si>
  <si>
    <t>rtdc.l.rtdc.4024:itc</t>
  </si>
  <si>
    <t>204:233312</t>
  </si>
  <si>
    <t>204:232984</t>
  </si>
  <si>
    <t>204:233323</t>
  </si>
  <si>
    <t>300:58933</t>
  </si>
  <si>
    <t>204:232969</t>
  </si>
  <si>
    <t>204:438</t>
  </si>
  <si>
    <t>300:23304</t>
  </si>
  <si>
    <t>Early arrival</t>
  </si>
  <si>
    <t>SIGNAL</t>
  </si>
  <si>
    <t>Signal based authority (5)</t>
  </si>
  <si>
    <t>rtdc.l.rtdc.4001:itc</t>
  </si>
  <si>
    <t>STARKS</t>
  </si>
  <si>
    <t>ANGELINA</t>
  </si>
  <si>
    <t>ROCHA</t>
  </si>
  <si>
    <t>YAOTL</t>
  </si>
  <si>
    <t>CLARK</t>
  </si>
  <si>
    <t>KATHLEEN</t>
  </si>
  <si>
    <t>Mostly Cloudy</t>
  </si>
  <si>
    <t>204:232980</t>
  </si>
  <si>
    <t>204:469</t>
  </si>
  <si>
    <t>204:233311</t>
  </si>
  <si>
    <t>204:232981</t>
  </si>
  <si>
    <t>204:165</t>
  </si>
  <si>
    <t>204:974</t>
  </si>
  <si>
    <t>300:58634</t>
  </si>
  <si>
    <t>300:58944</t>
  </si>
  <si>
    <t>204:972</t>
  </si>
  <si>
    <t>rtdc.l.rtdc.4019:itc</t>
  </si>
  <si>
    <t>rtdc.l.rtdc.4039:itc</t>
  </si>
  <si>
    <t>4023-18</t>
  </si>
  <si>
    <t>243-18</t>
  </si>
  <si>
    <t>rtdc.l.rtdc.4040:itc</t>
  </si>
  <si>
    <t>LOZA</t>
  </si>
  <si>
    <t>FIDEL</t>
  </si>
  <si>
    <t>YANG</t>
  </si>
  <si>
    <t>JAN</t>
  </si>
  <si>
    <t>4024-18</t>
  </si>
  <si>
    <t>241-18</t>
  </si>
  <si>
    <t>238-18</t>
  </si>
  <si>
    <t>240-18</t>
  </si>
  <si>
    <t>204:233317</t>
  </si>
  <si>
    <t>204:232994</t>
  </si>
  <si>
    <t>204:451</t>
  </si>
  <si>
    <t>204:233301</t>
  </si>
  <si>
    <t>204:134</t>
  </si>
  <si>
    <t>204:233325</t>
  </si>
  <si>
    <t>204:233286</t>
  </si>
  <si>
    <t>204:232971</t>
  </si>
  <si>
    <t>204:232959</t>
  </si>
  <si>
    <t>204:232972</t>
  </si>
  <si>
    <t>204:437</t>
  </si>
  <si>
    <t>204:233284</t>
  </si>
  <si>
    <t>204:424</t>
  </si>
  <si>
    <t>300:23346</t>
  </si>
  <si>
    <t>300:23301</t>
  </si>
  <si>
    <t>204:232976</t>
  </si>
  <si>
    <t>300:58939</t>
  </si>
  <si>
    <t>300:58649</t>
  </si>
  <si>
    <t>300:58948</t>
  </si>
  <si>
    <t>300:58636</t>
  </si>
  <si>
    <t>204:677</t>
  </si>
  <si>
    <t>204:696</t>
  </si>
  <si>
    <t>204:944</t>
  </si>
  <si>
    <t>rtdc.l.rtdc.4017:itc</t>
  </si>
  <si>
    <t>rtdc.l.rtdc.4007:itc</t>
  </si>
  <si>
    <t>rtdc.l.rtdc.4018:itc</t>
  </si>
  <si>
    <t>rtdc.l.rtdc.4032:itc</t>
  </si>
  <si>
    <t>rtdc.l.rtdc.4008:itc</t>
  </si>
  <si>
    <t>SPECTOR</t>
  </si>
  <si>
    <t>BADERTSCHER</t>
  </si>
  <si>
    <t>DIANE</t>
  </si>
  <si>
    <t>YANAI</t>
  </si>
  <si>
    <t>IAN</t>
  </si>
  <si>
    <t>GEBRETEKLE</t>
  </si>
  <si>
    <t>DAGNEW</t>
  </si>
  <si>
    <t>HELVIE</t>
  </si>
  <si>
    <t>ADAM</t>
  </si>
  <si>
    <t>DELGADO</t>
  </si>
  <si>
    <t>DIANAH</t>
  </si>
  <si>
    <t>LOPES</t>
  </si>
  <si>
    <t>KIMBERLY</t>
  </si>
  <si>
    <t>BRUDER</t>
  </si>
  <si>
    <t>RICHARD</t>
  </si>
  <si>
    <t>ARVIDSON</t>
  </si>
  <si>
    <t>DANIEL</t>
  </si>
  <si>
    <t>MCREYNOLDS</t>
  </si>
  <si>
    <t>KYLE</t>
  </si>
  <si>
    <t>315-19</t>
  </si>
  <si>
    <t>242-19</t>
  </si>
  <si>
    <t>309-19</t>
  </si>
  <si>
    <t>244-19</t>
  </si>
  <si>
    <t>311-19</t>
  </si>
  <si>
    <t>313-19</t>
  </si>
  <si>
    <t>precipType</t>
  </si>
  <si>
    <t>rain</t>
  </si>
  <si>
    <t>Drizzle</t>
  </si>
  <si>
    <t>204:232985</t>
  </si>
  <si>
    <t>204:232982</t>
  </si>
  <si>
    <t>204:170</t>
  </si>
  <si>
    <t>204:127</t>
  </si>
  <si>
    <t>204:233297</t>
  </si>
  <si>
    <t>204:233303</t>
  </si>
  <si>
    <t>204:232973</t>
  </si>
  <si>
    <t>204:233006</t>
  </si>
  <si>
    <t>204:232978</t>
  </si>
  <si>
    <t>204:233281</t>
  </si>
  <si>
    <t>204:488</t>
  </si>
  <si>
    <t>204:233282</t>
  </si>
  <si>
    <t>204:172</t>
  </si>
  <si>
    <t>204:232975</t>
  </si>
  <si>
    <t>204:502</t>
  </si>
  <si>
    <t>204:132</t>
  </si>
  <si>
    <t>204:233316</t>
  </si>
  <si>
    <t>204:233009</t>
  </si>
  <si>
    <t>204:233330</t>
  </si>
  <si>
    <t>204:181</t>
  </si>
  <si>
    <t>204:898</t>
  </si>
  <si>
    <t>204:232936</t>
  </si>
  <si>
    <t>300:58960</t>
  </si>
  <si>
    <t>300:58626</t>
  </si>
  <si>
    <t>204:981</t>
  </si>
  <si>
    <t>300:58632</t>
  </si>
  <si>
    <t>204:689</t>
  </si>
  <si>
    <t>204:233347</t>
  </si>
  <si>
    <t>204:233257</t>
  </si>
  <si>
    <t>300:58956</t>
  </si>
  <si>
    <t>300:58641</t>
  </si>
  <si>
    <t>204:694</t>
  </si>
  <si>
    <t>204:983</t>
  </si>
  <si>
    <t>300:58952</t>
  </si>
  <si>
    <t>204:699</t>
  </si>
  <si>
    <t>300:58615</t>
  </si>
  <si>
    <t>204:701</t>
  </si>
  <si>
    <t>204:684</t>
  </si>
  <si>
    <t>300:24256</t>
  </si>
  <si>
    <t>Wi-MAX data drop</t>
  </si>
  <si>
    <t>302-20</t>
  </si>
  <si>
    <t>304-20</t>
  </si>
  <si>
    <t>306-20</t>
  </si>
  <si>
    <t>109-20</t>
  </si>
  <si>
    <t>112-20</t>
  </si>
  <si>
    <t>119-20</t>
  </si>
  <si>
    <t>114-20</t>
  </si>
  <si>
    <t>123-20</t>
  </si>
  <si>
    <t>129-20</t>
  </si>
  <si>
    <t>120-20</t>
  </si>
  <si>
    <t>133-20</t>
  </si>
  <si>
    <t>808-20</t>
  </si>
  <si>
    <t>rtdc.l.rtdc.4002:itc</t>
  </si>
  <si>
    <t>131-20</t>
  </si>
  <si>
    <t>811-20</t>
  </si>
  <si>
    <t>136-20</t>
  </si>
  <si>
    <t>145-20</t>
  </si>
  <si>
    <t>814-20</t>
  </si>
  <si>
    <t>154-20</t>
  </si>
  <si>
    <t>158-20</t>
  </si>
  <si>
    <t>175-20</t>
  </si>
  <si>
    <t>170-20</t>
  </si>
  <si>
    <t>904-20</t>
  </si>
  <si>
    <t>195-20</t>
  </si>
  <si>
    <t>828-20</t>
  </si>
  <si>
    <t>196-20</t>
  </si>
  <si>
    <t>198-20</t>
  </si>
  <si>
    <t>833-20</t>
  </si>
  <si>
    <t>rtdc.l.rtdc.4043:itc</t>
  </si>
  <si>
    <t>50-20</t>
  </si>
  <si>
    <t>52-20</t>
  </si>
  <si>
    <t>SWITCH ALIGNMENT</t>
  </si>
  <si>
    <t>835-20</t>
  </si>
  <si>
    <t>217-20</t>
  </si>
  <si>
    <t>839-20</t>
  </si>
  <si>
    <t>218-20</t>
  </si>
  <si>
    <t>234-20</t>
  </si>
  <si>
    <t>101-20</t>
  </si>
  <si>
    <t>103-20</t>
  </si>
  <si>
    <t>COOLAHAN</t>
  </si>
  <si>
    <t>JOHN</t>
  </si>
  <si>
    <t>308-20</t>
  </si>
  <si>
    <t>105-20</t>
  </si>
  <si>
    <t>102-20</t>
  </si>
  <si>
    <t>107-20</t>
  </si>
  <si>
    <t>104-20</t>
  </si>
  <si>
    <t>310-20</t>
  </si>
  <si>
    <t>901-20</t>
  </si>
  <si>
    <t>BEAM</t>
  </si>
  <si>
    <t>ROSS</t>
  </si>
  <si>
    <t>111-20</t>
  </si>
  <si>
    <t>106-20</t>
  </si>
  <si>
    <t>113-20</t>
  </si>
  <si>
    <t>800-20</t>
  </si>
  <si>
    <t>108-20</t>
  </si>
  <si>
    <t>115-20</t>
  </si>
  <si>
    <t>117-20</t>
  </si>
  <si>
    <t>110-20</t>
  </si>
  <si>
    <t>801-20</t>
  </si>
  <si>
    <t>902-20</t>
  </si>
  <si>
    <t>61-20</t>
  </si>
  <si>
    <t>802-20</t>
  </si>
  <si>
    <t>121-20</t>
  </si>
  <si>
    <t>803-20</t>
  </si>
  <si>
    <t>118-20</t>
  </si>
  <si>
    <t>116-20</t>
  </si>
  <si>
    <t>125-20</t>
  </si>
  <si>
    <t>804-20</t>
  </si>
  <si>
    <t>805-20</t>
  </si>
  <si>
    <t>127-20</t>
  </si>
  <si>
    <t>122-20</t>
  </si>
  <si>
    <t>806-20</t>
  </si>
  <si>
    <t>807-20</t>
  </si>
  <si>
    <t>126-20</t>
  </si>
  <si>
    <t>124-20</t>
  </si>
  <si>
    <t>809-20</t>
  </si>
  <si>
    <t>128-20</t>
  </si>
  <si>
    <t>135-20</t>
  </si>
  <si>
    <t>810-20</t>
  </si>
  <si>
    <t>130-20</t>
  </si>
  <si>
    <t>132-20</t>
  </si>
  <si>
    <t>137-20</t>
  </si>
  <si>
    <t>139-20</t>
  </si>
  <si>
    <t>903-20</t>
  </si>
  <si>
    <t>134-20</t>
  </si>
  <si>
    <t>812-20</t>
  </si>
  <si>
    <t>141-20</t>
  </si>
  <si>
    <t>143-20</t>
  </si>
  <si>
    <t>140-20</t>
  </si>
  <si>
    <t>138-20</t>
  </si>
  <si>
    <t>813-20</t>
  </si>
  <si>
    <t>147-20</t>
  </si>
  <si>
    <t>142-20</t>
  </si>
  <si>
    <t>149-20</t>
  </si>
  <si>
    <t>144-20</t>
  </si>
  <si>
    <t>146-20</t>
  </si>
  <si>
    <t>151-20</t>
  </si>
  <si>
    <t>153-20</t>
  </si>
  <si>
    <t>815-20</t>
  </si>
  <si>
    <t>148-20</t>
  </si>
  <si>
    <t>155-20</t>
  </si>
  <si>
    <t>150-20</t>
  </si>
  <si>
    <t>816-20</t>
  </si>
  <si>
    <t>157-20</t>
  </si>
  <si>
    <t>159-20</t>
  </si>
  <si>
    <t>152-20</t>
  </si>
  <si>
    <t>161-20</t>
  </si>
  <si>
    <t>817-20</t>
  </si>
  <si>
    <t>156-20</t>
  </si>
  <si>
    <t>163-20</t>
  </si>
  <si>
    <t>818-20</t>
  </si>
  <si>
    <t>165-20</t>
  </si>
  <si>
    <t>160-20</t>
  </si>
  <si>
    <t>167-20</t>
  </si>
  <si>
    <t>162-20</t>
  </si>
  <si>
    <t>169-20</t>
  </si>
  <si>
    <t>819-20</t>
  </si>
  <si>
    <t>164-20</t>
  </si>
  <si>
    <t>171-20</t>
  </si>
  <si>
    <t>WHITED</t>
  </si>
  <si>
    <t>DUSTIN</t>
  </si>
  <si>
    <t>166-20</t>
  </si>
  <si>
    <t>820-20</t>
  </si>
  <si>
    <t>173-20</t>
  </si>
  <si>
    <t>168-20</t>
  </si>
  <si>
    <t>183-20</t>
  </si>
  <si>
    <t>177-20</t>
  </si>
  <si>
    <t>821-20</t>
  </si>
  <si>
    <t>THOMPSON</t>
  </si>
  <si>
    <t>LESTER</t>
  </si>
  <si>
    <t>172-20</t>
  </si>
  <si>
    <t>179-20</t>
  </si>
  <si>
    <t>174-20</t>
  </si>
  <si>
    <t>822-20</t>
  </si>
  <si>
    <t>181-20</t>
  </si>
  <si>
    <t>178-20</t>
  </si>
  <si>
    <t>185-20</t>
  </si>
  <si>
    <t>180-20</t>
  </si>
  <si>
    <t>63-20</t>
  </si>
  <si>
    <t>823-20</t>
  </si>
  <si>
    <t>176-20</t>
  </si>
  <si>
    <t>60-20</t>
  </si>
  <si>
    <t>187-20</t>
  </si>
  <si>
    <t>182-20</t>
  </si>
  <si>
    <t>189-20</t>
  </si>
  <si>
    <t>824-20</t>
  </si>
  <si>
    <t>184-20</t>
  </si>
  <si>
    <t>191-20</t>
  </si>
  <si>
    <t>186-20</t>
  </si>
  <si>
    <t>825-20</t>
  </si>
  <si>
    <t>193-20</t>
  </si>
  <si>
    <t>188-20</t>
  </si>
  <si>
    <t>190-20</t>
  </si>
  <si>
    <t>827-20</t>
  </si>
  <si>
    <t>826-20</t>
  </si>
  <si>
    <t>197-20</t>
  </si>
  <si>
    <t>192-20</t>
  </si>
  <si>
    <t>199-20</t>
  </si>
  <si>
    <t>194-20</t>
  </si>
  <si>
    <t>201-20</t>
  </si>
  <si>
    <t>829-20</t>
  </si>
  <si>
    <t>203-20</t>
  </si>
  <si>
    <t>831-20</t>
  </si>
  <si>
    <t>830-20</t>
  </si>
  <si>
    <t>205-20</t>
  </si>
  <si>
    <t>200-20</t>
  </si>
  <si>
    <t>207-20</t>
  </si>
  <si>
    <t>202-20</t>
  </si>
  <si>
    <t>832-20</t>
  </si>
  <si>
    <t>209-20</t>
  </si>
  <si>
    <t>MACDONALD</t>
  </si>
  <si>
    <t>THOMAS</t>
  </si>
  <si>
    <t>204-20</t>
  </si>
  <si>
    <t>211-20</t>
  </si>
  <si>
    <t>71-20</t>
  </si>
  <si>
    <t>206-20</t>
  </si>
  <si>
    <t>213-20</t>
  </si>
  <si>
    <t>834-20</t>
  </si>
  <si>
    <t>208-20</t>
  </si>
  <si>
    <t>PERKINS</t>
  </si>
  <si>
    <t>DARREN</t>
  </si>
  <si>
    <t>215-20</t>
  </si>
  <si>
    <t>836-20</t>
  </si>
  <si>
    <t>210-20</t>
  </si>
  <si>
    <t>837-20</t>
  </si>
  <si>
    <t>212-20</t>
  </si>
  <si>
    <t>rtdc.l.rtdc.4044:itc</t>
  </si>
  <si>
    <t>51-20</t>
  </si>
  <si>
    <t>219-20</t>
  </si>
  <si>
    <t>214-20</t>
  </si>
  <si>
    <t>838-20</t>
  </si>
  <si>
    <t>303-20</t>
  </si>
  <si>
    <t>216-20</t>
  </si>
  <si>
    <t>221-20</t>
  </si>
  <si>
    <t>906-20</t>
  </si>
  <si>
    <t>305-20</t>
  </si>
  <si>
    <t>841-20</t>
  </si>
  <si>
    <t>220-20</t>
  </si>
  <si>
    <t>223-20</t>
  </si>
  <si>
    <t>840-20</t>
  </si>
  <si>
    <t>307-20</t>
  </si>
  <si>
    <t>222-20</t>
  </si>
  <si>
    <t>70-20</t>
  </si>
  <si>
    <t>225-20</t>
  </si>
  <si>
    <t>69-20</t>
  </si>
  <si>
    <t>843-20</t>
  </si>
  <si>
    <t>224-20</t>
  </si>
  <si>
    <t>227-20</t>
  </si>
  <si>
    <t>842-20</t>
  </si>
  <si>
    <t>229-20</t>
  </si>
  <si>
    <t>226-20</t>
  </si>
  <si>
    <t>845-20</t>
  </si>
  <si>
    <t>80-20</t>
  </si>
  <si>
    <t>HOLCOMB</t>
  </si>
  <si>
    <t>KAMDEN</t>
  </si>
  <si>
    <t>228-20</t>
  </si>
  <si>
    <t>231-20</t>
  </si>
  <si>
    <t>844-20</t>
  </si>
  <si>
    <t>230-20</t>
  </si>
  <si>
    <t>233-20</t>
  </si>
  <si>
    <t>4017-20</t>
  </si>
  <si>
    <t>847-20</t>
  </si>
  <si>
    <t>235-20</t>
  </si>
  <si>
    <t>232-20</t>
  </si>
  <si>
    <t>908-20</t>
  </si>
  <si>
    <t>237-20</t>
  </si>
  <si>
    <t>239-20</t>
  </si>
  <si>
    <t>4018-20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</si>
  <si>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</si>
  <si>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</si>
  <si>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</si>
  <si>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</si>
  <si>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</si>
  <si>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</si>
  <si>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</si>
  <si>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</si>
  <si>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</si>
  <si>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</si>
  <si>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</si>
  <si>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302-21</t>
  </si>
  <si>
    <t>Light Rain</t>
  </si>
  <si>
    <t>Rain</t>
  </si>
  <si>
    <t>204:766</t>
  </si>
  <si>
    <t>204:232675</t>
  </si>
  <si>
    <t>204:777</t>
  </si>
  <si>
    <t>204:233314</t>
  </si>
  <si>
    <t>204:232664</t>
  </si>
  <si>
    <t>204:746</t>
  </si>
  <si>
    <t>204:232681</t>
  </si>
  <si>
    <t>204:713</t>
  </si>
  <si>
    <t>204:167</t>
  </si>
  <si>
    <t>204:233259</t>
  </si>
  <si>
    <t>204:232951</t>
  </si>
  <si>
    <t>204:775</t>
  </si>
  <si>
    <t>204:233318</t>
  </si>
  <si>
    <t>204:232957</t>
  </si>
  <si>
    <t>204:435</t>
  </si>
  <si>
    <t>204:233274</t>
  </si>
  <si>
    <t>204:232988</t>
  </si>
  <si>
    <t>204:233253</t>
  </si>
  <si>
    <t>204:233178</t>
  </si>
  <si>
    <t>204:232865</t>
  </si>
  <si>
    <t>204:233304</t>
  </si>
  <si>
    <t>204:233289</t>
  </si>
  <si>
    <t>204:64226</t>
  </si>
  <si>
    <t>204:64702</t>
  </si>
  <si>
    <t>204:464</t>
  </si>
  <si>
    <t>204:232961</t>
  </si>
  <si>
    <t>204:233302</t>
  </si>
  <si>
    <t>204:232968</t>
  </si>
  <si>
    <t>204:233278</t>
  </si>
  <si>
    <t>204:232953</t>
  </si>
  <si>
    <t>204:233003</t>
  </si>
  <si>
    <t>204:232962</t>
  </si>
  <si>
    <t>204:233305</t>
  </si>
  <si>
    <t>204:232965</t>
  </si>
  <si>
    <t>204:191</t>
  </si>
  <si>
    <t>204:233310</t>
  </si>
  <si>
    <t>204:174</t>
  </si>
  <si>
    <t>204:484</t>
  </si>
  <si>
    <t>204:480</t>
  </si>
  <si>
    <t>204:233240</t>
  </si>
  <si>
    <t>204:232955</t>
  </si>
  <si>
    <t>204:185</t>
  </si>
  <si>
    <t>204:482</t>
  </si>
  <si>
    <t>204:127864</t>
  </si>
  <si>
    <t>204:1156</t>
  </si>
  <si>
    <t>204:233280</t>
  </si>
  <si>
    <t>204:232952</t>
  </si>
  <si>
    <t>204:233261</t>
  </si>
  <si>
    <t>204:233353</t>
  </si>
  <si>
    <t>204:233049</t>
  </si>
  <si>
    <t>204:154283</t>
  </si>
  <si>
    <t>204:233328</t>
  </si>
  <si>
    <t>204:154829</t>
  </si>
  <si>
    <t>204:232979</t>
  </si>
  <si>
    <t>204:223</t>
  </si>
  <si>
    <t>204:232986</t>
  </si>
  <si>
    <t>204:119</t>
  </si>
  <si>
    <t>204:232947</t>
  </si>
  <si>
    <t>204:216</t>
  </si>
  <si>
    <t>204:187</t>
  </si>
  <si>
    <t>204:233319</t>
  </si>
  <si>
    <t>204:524</t>
  </si>
  <si>
    <t>204:491</t>
  </si>
  <si>
    <t>204:233287</t>
  </si>
  <si>
    <t>204:232992</t>
  </si>
  <si>
    <t>204:233320</t>
  </si>
  <si>
    <t>204:129</t>
  </si>
  <si>
    <t>204:233270</t>
  </si>
  <si>
    <t>204:233376</t>
  </si>
  <si>
    <t>204:233051</t>
  </si>
  <si>
    <t>204:232993</t>
  </si>
  <si>
    <t>204:233374</t>
  </si>
  <si>
    <t>204:233027</t>
  </si>
  <si>
    <t>204:233307</t>
  </si>
  <si>
    <t>300:22845</t>
  </si>
  <si>
    <t>300:23302</t>
  </si>
  <si>
    <t>300:23230</t>
  </si>
  <si>
    <t>300:23523</t>
  </si>
  <si>
    <t>300:23112</t>
  </si>
  <si>
    <t>300:23082</t>
  </si>
  <si>
    <t>300:23306</t>
  </si>
  <si>
    <t>300:22174</t>
  </si>
  <si>
    <t>300:23122</t>
  </si>
  <si>
    <t>204:478</t>
  </si>
  <si>
    <t>204:871</t>
  </si>
  <si>
    <t>300:23218</t>
  </si>
  <si>
    <t>204:82</t>
  </si>
  <si>
    <t>204:386</t>
  </si>
  <si>
    <t>300:23085</t>
  </si>
  <si>
    <t>300:20638</t>
  </si>
  <si>
    <t>300:24286</t>
  </si>
  <si>
    <t>300:23760</t>
  </si>
  <si>
    <t>204:3395</t>
  </si>
  <si>
    <t>204:3225</t>
  </si>
  <si>
    <t>204:1165</t>
  </si>
  <si>
    <t>204:3532</t>
  </si>
  <si>
    <t>204:1477</t>
  </si>
  <si>
    <t>204:3702</t>
  </si>
  <si>
    <t>204:125845</t>
  </si>
  <si>
    <t>204:390</t>
  </si>
  <si>
    <t>204:125527</t>
  </si>
  <si>
    <t>300:23656</t>
  </si>
  <si>
    <t>204:66</t>
  </si>
  <si>
    <t>204:1464</t>
  </si>
  <si>
    <t>300:23312</t>
  </si>
  <si>
    <t>300:58617</t>
  </si>
  <si>
    <t>204:733</t>
  </si>
  <si>
    <t>204:1007</t>
  </si>
  <si>
    <t>300:58963</t>
  </si>
  <si>
    <t>204:719</t>
  </si>
  <si>
    <t>204:965</t>
  </si>
  <si>
    <t>204:1009</t>
  </si>
  <si>
    <t>204:985</t>
  </si>
  <si>
    <t>300:58975</t>
  </si>
  <si>
    <t>204:1004</t>
  </si>
  <si>
    <t>300:58965</t>
  </si>
  <si>
    <t>300:58645</t>
  </si>
  <si>
    <t>204:717</t>
  </si>
  <si>
    <t>204:986</t>
  </si>
  <si>
    <t>300:58984</t>
  </si>
  <si>
    <t>300:58664</t>
  </si>
  <si>
    <t>300:58643</t>
  </si>
  <si>
    <t>204:715</t>
  </si>
  <si>
    <t>204:1000</t>
  </si>
  <si>
    <t>300:58958</t>
  </si>
  <si>
    <t>300:58651</t>
  </si>
  <si>
    <t>204:724</t>
  </si>
  <si>
    <t>300:58961</t>
  </si>
  <si>
    <t>300:58647</t>
  </si>
  <si>
    <t>204:712</t>
  </si>
  <si>
    <t>204:698</t>
  </si>
  <si>
    <t>204:988</t>
  </si>
  <si>
    <t>300:58967</t>
  </si>
  <si>
    <t>204:1013</t>
  </si>
  <si>
    <t>204:691</t>
  </si>
  <si>
    <t>204:969</t>
  </si>
  <si>
    <t>300:58971</t>
  </si>
  <si>
    <t>300:58653</t>
  </si>
  <si>
    <t>300:58850</t>
  </si>
  <si>
    <t>300:58526</t>
  </si>
  <si>
    <t>300:58642</t>
  </si>
  <si>
    <t>300:58625</t>
  </si>
  <si>
    <t>204:993</t>
  </si>
  <si>
    <t>300:58937</t>
  </si>
  <si>
    <t>300:29870</t>
  </si>
  <si>
    <t>300:23453</t>
  </si>
  <si>
    <t>300:21808</t>
  </si>
  <si>
    <t>300:23650</t>
  </si>
  <si>
    <t>300:23095</t>
  </si>
  <si>
    <t>300:21753</t>
  </si>
  <si>
    <t>300:22064</t>
  </si>
  <si>
    <t>start /low /b %USERPROFILE%\Documents\GitHub\eaglep3\Utilities\DownloadLogsFromS3.py --loco 4042 --day 2017-04-20</t>
  </si>
  <si>
    <t>start /low /b %USERPROFILE%\Documents\GitHub\eaglep3\Utilities\DownloadLogsFromS3.py --loco 4045 --day 2017-04-20</t>
  </si>
  <si>
    <t>start /low /b %USERPROFILE%\Documents\GitHub\eaglep3\Utilities\DownloadLogsFromS3.py --loco 4008 --day 2017-04-20</t>
  </si>
  <si>
    <t>start /low /b %USERPROFILE%\Documents\GitHub\eaglep3\Utilities\DownloadLogsFromS3.py --loco 4046 --day 2017-04-20</t>
  </si>
  <si>
    <t>start /low /b %USERPROFILE%\Documents\GitHub\eaglep3\Utilities\DownloadLogsFromS3.py --loco 4007 --day 2017-04-20</t>
  </si>
  <si>
    <t>start /low /b %USERPROFILE%\Documents\GitHub\eaglep3\Utilities\DownloadLogsFromS3.py --loco 4023 --day 2017-04-20</t>
  </si>
  <si>
    <t>start /low /b %USERPROFILE%\Documents\GitHub\eaglep3\Utilities\DownloadLogsFromS3.py --loco 4027 --day 2017-04-21</t>
  </si>
  <si>
    <t>start /low /b %USERPROFILE%\Documents\GitHub\eaglep3\Utilities\DownloadLogsFromS3.py --loco 4002 --day 2017-04-20</t>
  </si>
  <si>
    <t>start /low /b %USERPROFILE%\Documents\GitHub\eaglep3\Utilities\DownloadLogsFromS3.py --loco 4054 --day 2017-04-20</t>
  </si>
  <si>
    <t>start /low /b %USERPROFILE%\Documents\GitHub\eaglep3\Utilities\DownloadLogsFromS3.py --loco 4041 --day 2017-04-20</t>
  </si>
  <si>
    <t>start /low /b %USERPROFILE%\Documents\GitHub\eaglep3\Utilities\DownloadLogsFromS3.py --loco 4025 --day 2017-04-20</t>
  </si>
  <si>
    <t>start /low /b %USERPROFILE%\Documents\GitHub\eaglep3\Utilities\DownloadLogsFromS3.py --loco 4028 --day 2017-04-21</t>
  </si>
  <si>
    <t>start /low /b %USERPROFILE%\Documents\GitHub\eaglep3\Utilities\DownloadLogsFromS3.py --loco 4030 --day 2017-04-21</t>
  </si>
  <si>
    <t>start /low /b %USERPROFILE%\Documents\GitHub\eaglep3\Utilities\DownloadLogsFromS3.py --loco 4019 --day 2017-04-20</t>
  </si>
  <si>
    <t>start /low /b %USERPROFILE%\Documents\GitHub\eaglep3\Utilities\DownloadLogsFromS3.py --loco 4029 --day 2017-04-20</t>
  </si>
  <si>
    <t>start /low /b %USERPROFILE%\Documents\GitHub\eaglep3\Utilities\DownloadLogsFromS3.py --loco 4020 --day 2017-04-20</t>
  </si>
  <si>
    <t>Re-initialized after Wi-MAX data drop</t>
  </si>
  <si>
    <t>Emergency, then hard cut out and re-init</t>
  </si>
  <si>
    <t>Extended Onboard Wi-MAX outage</t>
  </si>
  <si>
    <t>Overspeed</t>
  </si>
  <si>
    <t>http://stevetu21.github.io/eaglep3/load_kml.html?kml=http://rtdc.gmaps-snips.s3.amazonaws.com/4dabe3fb-8881-4932-b4c5-7a2f8f1af759.kml</t>
  </si>
  <si>
    <t>DUS 28S STOP</t>
  </si>
  <si>
    <t>http://stevetu21.github.io/eaglep3/load_kml.html?kml=http://rtdc.gmaps-snips.s3.amazonaws.com/e26b8c7d-5793-4f07-8a8b-eaf3c6522dfb.kml</t>
  </si>
  <si>
    <t>Went active too close to signal, got unknown status until train got closer to signal (1500 ft rule)</t>
  </si>
  <si>
    <t>Selected wrong track (should have selected 'CRMF YD' or '2CT', not 'MAIN 1')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</si>
</sst>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449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COUNTIFS($N$13:$N$9321,"&gt;0",$AG$13:$AG$9321,I1)</f>
        <v>143</v>
      </c>
      <c r="K5" s="40"/>
      <c r="L5" s="40"/>
      <c r="M5" s="41">
        <f>AVERAGEIFS($N$13:$N$9321,$AG$13:$AG$9321,I1)</f>
        <v>38.277738928449686</v>
      </c>
      <c r="N5" s="39">
        <f t="array" ref="N5">MIN(IF($AG$13:$AG$9321=I1,IF(ISNUMBER($N$13:$N$9321),IF($N$13:$N$9321&gt;0,$N$13:$N$9321))))</f>
        <v>34.683333341963589</v>
      </c>
      <c r="O5" s="3">
        <f t="array" ref="O5">MAX(IF($AG$13:$AG$9321=I1,IF(ISNUMBER($N$13:$N$9321),IF($N$13:$N$9321&gt;0,$N$13:$N$9321))))</f>
        <v>50.733333342941478</v>
      </c>
      <c r="P5" s="2"/>
      <c r="R5" s="74" t="s">
        <v>17</v>
      </c>
      <c r="S5" s="50">
        <f>COUNTIFS($N$13:$N$9321,"&gt;0",$AG$13:$AG$9321,R1)</f>
        <v>47</v>
      </c>
      <c r="T5" s="40"/>
      <c r="U5" s="173"/>
      <c r="V5" s="170">
        <f>AVERAGEIFS($N$13:$N$9321,$AG$13:$AG$9321,R1)</f>
        <v>15.266312055755407</v>
      </c>
      <c r="W5" s="171">
        <f t="array" ref="W5">MIN(IF($AG$13:$AG$9321=R1,IF(ISNUMBER($N$13:$N$9321),IF($N$13:$N$9321&gt;0,$N$13:$N$9321))))</f>
        <v>12.483333328273147</v>
      </c>
      <c r="X5" s="172">
        <f t="array" ref="X5">MAX(IF($AG$13:$AG$9321=R1,IF(ISNUMBER($N$13:$N$9321),IF($N$13:$N$9321&gt;0,$N$13:$N$9321))))</f>
        <v>20.266666668467224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3"/>
      <c r="V6" s="170">
        <f>IFERROR(AVERAGE($O$13:$O$109),0)</f>
        <v>0</v>
      </c>
      <c r="W6" s="171">
        <f>MIN($O$13:$O$109)</f>
        <v>0</v>
      </c>
      <c r="X6" s="172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COUNTIFS($P$13:$P$9321,"&gt;0",$AG$13:$AG$9321,I1)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COUNTIFS($P$13:$P$9321,"&gt;0",$AG$13:$AG$9321,R1)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38.277738928449686</v>
      </c>
      <c r="N8" s="39">
        <f>N5</f>
        <v>34.683333341963589</v>
      </c>
      <c r="O8" s="3">
        <f>O5</f>
        <v>50.733333342941478</v>
      </c>
      <c r="P8" s="2"/>
      <c r="R8" s="74" t="s">
        <v>16</v>
      </c>
      <c r="S8" s="50">
        <f>S5</f>
        <v>47</v>
      </c>
      <c r="T8" s="40"/>
      <c r="U8" s="173"/>
      <c r="V8" s="170">
        <f>V5</f>
        <v>15.266312055755407</v>
      </c>
      <c r="W8" s="171">
        <f>W5</f>
        <v>12.483333328273147</v>
      </c>
      <c r="X8" s="172">
        <f>X5</f>
        <v>20.266666668467224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- 2017-04-20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AVERAGE(S13:S81)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649</v>
      </c>
      <c r="B13" s="7">
        <v>4008</v>
      </c>
      <c r="C13" s="21" t="s">
        <v>213</v>
      </c>
      <c r="D13" s="21" t="s">
        <v>854</v>
      </c>
      <c r="E13" s="13">
        <v>42845.127986111111</v>
      </c>
      <c r="F13" s="13">
        <v>42845.135625000003</v>
      </c>
      <c r="G13" s="7">
        <v>1</v>
      </c>
      <c r="H13" s="21" t="s">
        <v>516</v>
      </c>
      <c r="I13" s="13">
        <v>42845.162083333336</v>
      </c>
      <c r="J13" s="7">
        <v>0</v>
      </c>
      <c r="K13" s="97" t="str">
        <f>IF(ISEVEN(B13),(B13-1)&amp;"/"&amp;B13,B13&amp;"/"&amp;(B13+1))</f>
        <v>4007/4008</v>
      </c>
      <c r="L13" s="21" t="str">
        <f>VLOOKUP(A13,'Trips&amp;Operators'!$C$1:$G$99999,5,FALSE)</f>
        <v>BADERTSCHER DIANE</v>
      </c>
      <c r="M13" s="6">
        <f>I13-F13</f>
        <v>2.6458333333721384E-2</v>
      </c>
      <c r="N13" s="7">
        <f>24*60*SUM($M13:$M13)</f>
        <v>38.100000000558794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-20T02:04:18-0600',mode:absolute,to:'2017-04-20T04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7.6600000000000001E-2</v>
      </c>
      <c r="Z13" s="62">
        <f>RIGHT(H13,LEN(H13)-4)/10000</f>
        <v>23.331700000000001</v>
      </c>
      <c r="AA13" s="62">
        <f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0101-20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/stypes="app*4008*20170420*"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4008 --swversion DE.1.0.9.0 --startMP 204:766 --initTime 2017-04-20T03:04:18 --startdatetime 2017-04-20T03:15:18 --delay 1 --endMP 204:233317 --enddatetime 2017-04-20T03:53:24 --enforcementcount 0 &gt;&gt;C:\Users\stu\Documents\GitHub\eaglep3-reporting\EC\2017-04-20-refined-times.txt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ID","value":"101-20"},{"id":16,"name":"Locomotive ID","value":"4008"},{"id":130,"name":"Impact","value":""},{"id":150,"name":"Time of Event (Mountain Time)","value":"03:53:24"},{"id":151,"name":"Denver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4008 --day 2017-04-20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655</v>
      </c>
      <c r="B14" s="7">
        <v>4023</v>
      </c>
      <c r="C14" s="21" t="s">
        <v>213</v>
      </c>
      <c r="D14" s="21" t="s">
        <v>855</v>
      </c>
      <c r="E14" s="13">
        <v>42845.173206018517</v>
      </c>
      <c r="F14" s="13">
        <v>42845.174675925926</v>
      </c>
      <c r="G14" s="7">
        <v>1</v>
      </c>
      <c r="H14" s="21" t="s">
        <v>410</v>
      </c>
      <c r="I14" s="13">
        <v>42845.203194444446</v>
      </c>
      <c r="J14" s="7">
        <v>0</v>
      </c>
      <c r="K14" s="97" t="str">
        <f>IF(ISEVEN(B14),(B14-1)&amp;"/"&amp;B14,B14&amp;"/"&amp;(B14+1))</f>
        <v>4023/4024</v>
      </c>
      <c r="L14" s="21" t="str">
        <f>VLOOKUP(A14,'Trips&amp;Operators'!$C$1:$G$99999,5,FALSE)</f>
        <v>BADERTSCHER DIANE</v>
      </c>
      <c r="M14" s="6">
        <f>I14-F14</f>
        <v>2.8518518520286307E-2</v>
      </c>
      <c r="N14" s="7">
        <f>24*60*SUM($M14:$M14)</f>
        <v>41.066666669212282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-20T03:09:25-0600',mode:absolute,to:'2017-04-20T05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23.267499999999998</v>
      </c>
      <c r="Z14" s="62">
        <f>RIGHT(H14,LEN(H14)-4)/10000</f>
        <v>1.6E-2</v>
      </c>
      <c r="AA14" s="62">
        <f>ABS(Z14-Y14)</f>
        <v>23.2515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0102-20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/stypes="app*4023*20170420*"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4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4023 --swversion DE.1.0.9.0 --startMP 204:232675 --initTime 2017-04-20T04:09:25 --startdatetime 2017-04-20T04:11:32 --delay 1 --endMP 204:160 --enddatetime 2017-04-20T04:52:36 --enforcementcount 0 &gt;&gt;C:\Users\stu\Documents\GitHub\eaglep3-reporting\EC\2017-04-20-refined-times.txt</v>
      </c>
      <c r="AI14" s="104" t="str">
        <f t="shared" ref="AI14:AI74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{"issue":{"subject":"","project_id":79,"tracker_id":40,"status_id":1,"priority_id":2,"assigned_to_id":23,"start_date":"2017-04-20","description":"","custom_fields":[{"id":1,"name":"Subdivision","value":"EC"},{"id":4,"name":"Milepost","value":"0.016"},{"id":17,"name":"Train ID","value":"102-20"},{"id":16,"name":"Locomotive ID","value":"4023"},{"id":130,"name":"Impact","value":""},{"id":150,"name":"Time of Event (Mountain Time)","value":"04:52:36"},{"id":151,"name":"Denver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4" si="6">"start /low /b "&amp;dls3logs&amp;" --loco "&amp;B14&amp;" --day "&amp;TEXT(F14,"YYYY-MM-DD")</f>
        <v>start /low /b %USERPROFILE%\Documents\GitHub\eaglep3\Utilities\DownloadLogsFromS3.py --loco 4023 --day 2017-04-20</v>
      </c>
      <c r="AN14" s="159" t="str">
        <f t="shared" ref="AN14:AN74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650</v>
      </c>
      <c r="B15" s="7">
        <v>4042</v>
      </c>
      <c r="C15" s="21" t="s">
        <v>213</v>
      </c>
      <c r="D15" s="21" t="s">
        <v>856</v>
      </c>
      <c r="E15" s="13">
        <v>42845.148460648146</v>
      </c>
      <c r="F15" s="13">
        <v>42845.156446759262</v>
      </c>
      <c r="G15" s="7">
        <v>1</v>
      </c>
      <c r="H15" s="21" t="s">
        <v>857</v>
      </c>
      <c r="I15" s="13">
        <v>42845.182210648149</v>
      </c>
      <c r="J15" s="7">
        <v>0</v>
      </c>
      <c r="K15" s="97" t="str">
        <f>IF(ISEVEN(B15),(B15-1)&amp;"/"&amp;B15,B15&amp;"/"&amp;(B15+1))</f>
        <v>4041/4042</v>
      </c>
      <c r="L15" s="21" t="str">
        <f>VLOOKUP(A15,'Trips&amp;Operators'!$C$1:$G$99999,5,FALSE)</f>
        <v>YANAI IAN</v>
      </c>
      <c r="M15" s="6">
        <f>I15-F15</f>
        <v>2.5763888887013309E-2</v>
      </c>
      <c r="N15" s="7">
        <f>24*60*SUM($M15:$M15)</f>
        <v>37.099999997299165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-20T02:33:47-0600',mode:absolute,to:'2017-04-20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3" t="str">
        <f>IF(AA15&lt;IF(AG15="EC",23,5.65),"Y","N")</f>
        <v>N</v>
      </c>
      <c r="X15" s="183">
        <f t="shared" ref="X15:X18" si="8">VALUE(LEFT(AD15,4))-VALUE(LEFT(AD14,4))</f>
        <v>1</v>
      </c>
      <c r="Y15" s="62">
        <f>RIGHT(D15,LEN(D15)-4)/10000</f>
        <v>7.7700000000000005E-2</v>
      </c>
      <c r="Z15" s="62">
        <f>RIGHT(H15,LEN(H15)-4)/10000</f>
        <v>23.331399999999999</v>
      </c>
      <c r="AA15" s="62">
        <f>ABS(Z15-Y15)</f>
        <v>23.253699999999998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0103-20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/stypes="app*4042*20170420*"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103-20 --locoid 4042 --swversion DE.1.0.9.0 --startMP 204:777 --initTime 2017-04-20T03:33:47 --startdatetime 2017-04-20T03:45:17 --delay 1 --endMP 204:233314 --enddatetime 2017-04-20T04:22:23 --enforcementcount 0 &gt;&gt;C:\Users\stu\Documents\GitHub\eaglep3-reporting\EC\2017-04-20-refined-times.txt</v>
      </c>
      <c r="AI1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ID","value":"103-20"},{"id":16,"name":"Locomotive ID","value":"4042"},{"id":130,"name":"Impact","value":""},{"id":150,"name":"Time of Event (Mountain Time)","value":"04:22:23"},{"id":151,"name":"Denver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4042 --day 2017-04-20</v>
      </c>
      <c r="AN1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657</v>
      </c>
      <c r="B16" s="7">
        <v>4001</v>
      </c>
      <c r="C16" s="21" t="s">
        <v>213</v>
      </c>
      <c r="D16" s="21" t="s">
        <v>858</v>
      </c>
      <c r="E16" s="13">
        <v>42845.18478009259</v>
      </c>
      <c r="F16" s="13">
        <v>42845.1953587963</v>
      </c>
      <c r="G16" s="7">
        <v>1</v>
      </c>
      <c r="H16" s="21" t="s">
        <v>453</v>
      </c>
      <c r="I16" s="13">
        <v>42845.223692129628</v>
      </c>
      <c r="J16" s="7">
        <v>0</v>
      </c>
      <c r="K16" s="97" t="str">
        <f>IF(ISEVEN(B16),(B16-1)&amp;"/"&amp;B16,B16&amp;"/"&amp;(B16+1))</f>
        <v>4001/4002</v>
      </c>
      <c r="L16" s="21" t="str">
        <f>VLOOKUP(A16,'Trips&amp;Operators'!$C$1:$G$99999,5,FALSE)</f>
        <v>YANAI IAN</v>
      </c>
      <c r="M16" s="6">
        <f>I16-F16</f>
        <v>2.8333333328191657E-2</v>
      </c>
      <c r="N16" s="7">
        <f>24*60*SUM($M16:$M16)</f>
        <v>40.799999992595986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-20T03:26:05-0600',mode:absolute,to:'2017-04-20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83" t="str">
        <f>IF(AA16&lt;IF(AG16="EC",23,5.65),"Y","N")</f>
        <v>N</v>
      </c>
      <c r="X16" s="183">
        <f t="shared" si="8"/>
        <v>1</v>
      </c>
      <c r="Y16" s="62">
        <f>RIGHT(D16,LEN(D16)-4)/10000</f>
        <v>23.266400000000001</v>
      </c>
      <c r="Z16" s="62">
        <f>RIGHT(H16,LEN(H16)-4)/10000</f>
        <v>1.6299999999999999E-2</v>
      </c>
      <c r="AA16" s="62">
        <f>ABS(Z16-Y16)</f>
        <v>23.2501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0104-20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/stypes="app*4001*20170420*"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104-20 --locoid 4001 --swversion DE.1.0.9.0 --startMP 204:232664 --initTime 2017-04-20T04:26:05 --startdatetime 2017-04-20T04:41:19 --delay 1 --endMP 204:163 --enddatetime 2017-04-20T05:22:07 --enforcementcount 0 &gt;&gt;C:\Users\stu\Documents\GitHub\eaglep3-reporting\EC\2017-04-20-refined-times.txt</v>
      </c>
      <c r="AI1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ID","value":"104-20"},{"id":16,"name":"Locomotive ID","value":"4001"},{"id":130,"name":"Impact","value":""},{"id":150,"name":"Time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4001 --day 2017-04-20</v>
      </c>
      <c r="AN1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654</v>
      </c>
      <c r="B17" s="7">
        <v>4046</v>
      </c>
      <c r="C17" s="21" t="s">
        <v>213</v>
      </c>
      <c r="D17" s="21" t="s">
        <v>859</v>
      </c>
      <c r="E17" s="13">
        <v>42845.169178240743</v>
      </c>
      <c r="F17" s="13">
        <v>42845.177303240744</v>
      </c>
      <c r="G17" s="7">
        <v>1</v>
      </c>
      <c r="H17" s="21" t="s">
        <v>476</v>
      </c>
      <c r="I17" s="13">
        <v>42845.202800925923</v>
      </c>
      <c r="J17" s="7">
        <v>0</v>
      </c>
      <c r="K17" s="97" t="str">
        <f>IF(ISEVEN(B17),(B17-1)&amp;"/"&amp;B17,B17&amp;"/"&amp;(B17+1))</f>
        <v>4045/4046</v>
      </c>
      <c r="L17" s="21" t="str">
        <f>VLOOKUP(A17,'Trips&amp;Operators'!$C$1:$G$99999,5,FALSE)</f>
        <v>COOLAHAN JOHN</v>
      </c>
      <c r="M17" s="6">
        <f>I17-F17</f>
        <v>2.5497685179288965E-2</v>
      </c>
      <c r="N17" s="7">
        <f>24*60*SUM($M17:$M17)</f>
        <v>36.716666658176109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-20T03:03:37-0600',mode:absolute,to:'2017-04-20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83" t="str">
        <f>IF(AA17&lt;IF(AG17="EC",23,5.65),"Y","N")</f>
        <v>N</v>
      </c>
      <c r="X17" s="183">
        <f t="shared" si="8"/>
        <v>1</v>
      </c>
      <c r="Y17" s="62">
        <f>RIGHT(D17,LEN(D17)-4)/10000</f>
        <v>7.46E-2</v>
      </c>
      <c r="Z17" s="62">
        <f>RIGHT(H17,LEN(H17)-4)/10000</f>
        <v>23.331199999999999</v>
      </c>
      <c r="AA17" s="62">
        <f>ABS(Z17-Y17)</f>
        <v>23.256599999999999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0105-20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/stypes="app*4046*20170420*"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4"/>
        <v>"%USERPROFILE%\Documents\GitHub\eaglep3\Utilities\RefineRTDCRunTimes.py" --tripid 105-20 --locoid 4046 --swversion DE.1.0.9.0 --startMP 204:746 --initTime 2017-04-20T04:03:37 --startdatetime 2017-04-20T04:15:19 --delay 1 --endMP 204:233312 --enddatetime 2017-04-20T04:52:02 --enforcementcount 0 &gt;&gt;C:\Users\stu\Documents\GitHub\eaglep3-reporting\EC\2017-04-20-refined-times.txt</v>
      </c>
      <c r="AI1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ID","value":"105-20"},{"id":16,"name":"Locomotive ID","value":"4046"},{"id":130,"name":"Impact","value":""},{"id":150,"name":"Time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6"/>
        <v>start /low /b %USERPROFILE%\Documents\GitHub\eaglep3\Utilities\DownloadLogsFromS3.py --loco 4046 --day 2017-04-20</v>
      </c>
      <c r="AN1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663</v>
      </c>
      <c r="B18" s="7">
        <v>4027</v>
      </c>
      <c r="C18" s="21" t="s">
        <v>213</v>
      </c>
      <c r="D18" s="21" t="s">
        <v>860</v>
      </c>
      <c r="E18" s="13">
        <v>42845.210844907408</v>
      </c>
      <c r="F18" s="13">
        <v>42845.216238425928</v>
      </c>
      <c r="G18" s="7">
        <v>1</v>
      </c>
      <c r="H18" s="21" t="s">
        <v>445</v>
      </c>
      <c r="I18" s="13">
        <v>42845.243287037039</v>
      </c>
      <c r="J18" s="7">
        <v>0</v>
      </c>
      <c r="K18" s="97" t="str">
        <f>IF(ISEVEN(B18),(B18-1)&amp;"/"&amp;B18,B18&amp;"/"&amp;(B18+1))</f>
        <v>4027/4028</v>
      </c>
      <c r="L18" s="21" t="str">
        <f>VLOOKUP(A18,'Trips&amp;Operators'!$C$1:$G$99999,5,FALSE)</f>
        <v>COOLAHAN JOHN</v>
      </c>
      <c r="M18" s="6">
        <f>I18-F18</f>
        <v>2.7048611111240461E-2</v>
      </c>
      <c r="N18" s="7">
        <f>24*60*SUM($M18:$M18)</f>
        <v>38.950000000186265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-20T04:03:37-0600',mode:absolute,to:'2017-04-20T06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3" t="str">
        <f>IF(AA18&lt;IF(AG18="EC",23,5.65),"Y","N")</f>
        <v>N</v>
      </c>
      <c r="X18" s="183">
        <f t="shared" si="8"/>
        <v>1</v>
      </c>
      <c r="Y18" s="62">
        <f>RIGHT(D18,LEN(D18)-4)/10000</f>
        <v>23.2681</v>
      </c>
      <c r="Z18" s="62">
        <f>RIGHT(H18,LEN(H18)-4)/10000</f>
        <v>1.49E-2</v>
      </c>
      <c r="AA18" s="62">
        <f>ABS(Z18-Y18)</f>
        <v>23.2532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0106-20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/stypes="app*4027*20170420*"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4"/>
        <v>"%USERPROFILE%\Documents\GitHub\eaglep3\Utilities\RefineRTDCRunTimes.py" --tripid 106-20 --locoid 4027 --swversion DE.1.0.9.0 --startMP 204:232681 --initTime 2017-04-20T05:03:37 --startdatetime 2017-04-20T05:11:23 --delay 1 --endMP 204:149 --enddatetime 2017-04-20T05:50:20 --enforcementcount 0 &gt;&gt;C:\Users\stu\Documents\GitHub\eaglep3-reporting\EC\2017-04-20-refined-times.txt</v>
      </c>
      <c r="AI1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ID","value":"106-20"},{"id":16,"name":"Locomotive ID","value":"4027"},{"id":130,"name":"Impact","value":""},{"id":150,"name":"Time of Event (Mountain Time)","value":"05:50:20"},{"id":151,"name":"Denver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6"/>
        <v>start /low /b %USERPROFILE%\Documents\GitHub\eaglep3\Utilities\DownloadLogsFromS3.py --loco 4027 --day 2017-04-20</v>
      </c>
      <c r="AN1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656</v>
      </c>
      <c r="B19" s="7">
        <v>4026</v>
      </c>
      <c r="C19" s="21" t="s">
        <v>213</v>
      </c>
      <c r="D19" s="21" t="s">
        <v>208</v>
      </c>
      <c r="E19" s="13">
        <v>42845.182372685187</v>
      </c>
      <c r="F19" s="13">
        <v>42845.187696759262</v>
      </c>
      <c r="G19" s="7">
        <v>1</v>
      </c>
      <c r="H19" s="21" t="s">
        <v>522</v>
      </c>
      <c r="I19" s="13">
        <v>42845.212430555555</v>
      </c>
      <c r="J19" s="7">
        <v>0</v>
      </c>
      <c r="K19" s="97" t="str">
        <f>IF(ISEVEN(B19),(B19-1)&amp;"/"&amp;B19,B19&amp;"/"&amp;(B19+1))</f>
        <v>4025/4026</v>
      </c>
      <c r="L19" s="21" t="str">
        <f>VLOOKUP(A19,'Trips&amp;Operators'!$C$1:$G$99999,5,FALSE)</f>
        <v>GEBRETEKLE DAGNEW</v>
      </c>
      <c r="M19" s="6">
        <f>I19-F19</f>
        <v>2.4733796293730848E-2</v>
      </c>
      <c r="N19" s="7">
        <f>24*60*SUM($M19:$M19)</f>
        <v>35.61666666297242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-20T03:22:37-0600',mode:absolute,to:'2017-04-20T06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4.53E-2</v>
      </c>
      <c r="Z19" s="62">
        <f>RIGHT(H19,LEN(H19)-4)/10000</f>
        <v>23.328600000000002</v>
      </c>
      <c r="AA19" s="62">
        <f>ABS(Z19-Y19)</f>
        <v>23.283300000000001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0107-20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/stypes="app*4026*20170420*"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107-20 --locoid 4026 --swversion DE.1.0.9.0 --startMP 204:453 --initTime 2017-04-20T04:22:37 --startdatetime 2017-04-20T04:30:17 --delay 1 --endMP 204:233286 --enddatetime 2017-04-20T05:05:54 --enforcementcount 0 &gt;&gt;C:\Users\stu\Documents\GitHub\eaglep3-reporting\EC\2017-04-20-refined-times.txt</v>
      </c>
      <c r="AI1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{"issue":{"subject":"","project_id":79,"tracker_id":40,"status_id":1,"priority_id":2,"assigned_to_id":23,"start_date":"2017-04-20","description":"","custom_fields":[{"id":1,"name":"Subdivision","value":"EC"},{"id":4,"name":"Milepost","value":"23.3286"},{"id":17,"name":"Train ID","value":"107-20"},{"id":16,"name":"Locomotive ID","value":"4026"},{"id":130,"name":"Impact","value":""},{"id":150,"name":"Time of Event (Mountain Time)","value":"05:05:54"},{"id":151,"name":"Denver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4026 --day 2017-04-20</v>
      </c>
      <c r="AN1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666</v>
      </c>
      <c r="B20" s="7">
        <v>4025</v>
      </c>
      <c r="C20" s="21" t="s">
        <v>213</v>
      </c>
      <c r="D20" s="21" t="s">
        <v>494</v>
      </c>
      <c r="E20" s="13">
        <v>42845.220300925925</v>
      </c>
      <c r="F20" s="13">
        <v>42845.226990740739</v>
      </c>
      <c r="G20" s="7">
        <v>2</v>
      </c>
      <c r="H20" s="21" t="s">
        <v>587</v>
      </c>
      <c r="I20" s="13">
        <v>42845.254814814813</v>
      </c>
      <c r="J20" s="7">
        <v>0</v>
      </c>
      <c r="K20" s="97" t="str">
        <f>IF(ISEVEN(B20),(B20-1)&amp;"/"&amp;B20,B20&amp;"/"&amp;(B20+1))</f>
        <v>4025/4026</v>
      </c>
      <c r="L20" s="21" t="str">
        <f>VLOOKUP(A20,'Trips&amp;Operators'!$C$1:$G$99999,5,FALSE)</f>
        <v>GEBRETEKLE DAGNEW</v>
      </c>
      <c r="M20" s="6">
        <f>I20-F20</f>
        <v>2.7824074073578231E-2</v>
      </c>
      <c r="N20" s="7">
        <f>24*60*SUM($M20:$M20)</f>
        <v>40.066666665952653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-20T04:17:14-0600',mode:absolute,to:'2017-04-20T07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23.297999999999998</v>
      </c>
      <c r="Z20" s="62">
        <f>RIGHT(H20,LEN(H20)-4)/10000</f>
        <v>1.32E-2</v>
      </c>
      <c r="AA20" s="62">
        <f>ABS(Z20-Y20)</f>
        <v>23.284799999999997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0108-20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/stypes="app*4025*20170420*"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108-20 --locoid 4025 --swversion DE.1.0.9.0 --startMP 204:232980 --initTime 2017-04-20T05:17:14 --startdatetime 2017-04-20T05:26:52 --delay 2 --endMP 204:132 --enddatetime 2017-04-20T06:06:56 --enforcementcount 0 &gt;&gt;C:\Users\stu\Documents\GitHub\eaglep3-reporting\EC\2017-04-20-refined-times.txt</v>
      </c>
      <c r="AI2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ID","value":"108-20"},{"id":16,"name":"Locomotive ID","value":"4025"},{"id":130,"name":"Impact","value":""},{"id":150,"name":"Time of Event (Mountain Time)","value":"06:06:56"},{"id":151,"name":"Denver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4025 --day 2017-04-20</v>
      </c>
      <c r="AN2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615</v>
      </c>
      <c r="B21" s="7">
        <v>4054</v>
      </c>
      <c r="C21" s="21" t="s">
        <v>213</v>
      </c>
      <c r="D21" s="21" t="s">
        <v>208</v>
      </c>
      <c r="E21" s="13">
        <v>42845.195208333331</v>
      </c>
      <c r="F21" s="13">
        <v>42845.198067129626</v>
      </c>
      <c r="G21" s="7">
        <v>2</v>
      </c>
      <c r="H21" s="21" t="s">
        <v>581</v>
      </c>
      <c r="I21" s="13">
        <v>42845.222951388889</v>
      </c>
      <c r="J21" s="7">
        <v>0</v>
      </c>
      <c r="K21" s="97" t="str">
        <f>IF(ISEVEN(B21),(B21-1)&amp;"/"&amp;B21,B21&amp;"/"&amp;(B21+1))</f>
        <v>4053/4054</v>
      </c>
      <c r="L21" s="21" t="str">
        <f>VLOOKUP(A21,'Trips&amp;Operators'!$C$1:$G$99999,5,FALSE)</f>
        <v>ROCHA YAOTL</v>
      </c>
      <c r="M21" s="6">
        <f>I21-F21</f>
        <v>2.4884259262762498E-2</v>
      </c>
      <c r="N21" s="7">
        <f>24*60*SUM($M21:$M21)</f>
        <v>35.833333338377997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4.53E-2</v>
      </c>
      <c r="Z21" s="62">
        <f>RIGHT(H21,LEN(H21)-4)/10000</f>
        <v>23.328099999999999</v>
      </c>
      <c r="AA21" s="62">
        <f>ABS(Z21-Y21)</f>
        <v>23.282799999999998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>IF(LEN(A21)=6,"0"&amp;A21,A21)</f>
        <v>0109-20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/stypes="app*4054*20170420*"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109-20 --locoid 4054 --swversion DE.1.0.9.0 --startMP 204:453 --initTime 2017-04-20T04:41:06 --startdatetime 2017-04-20T04:45:13 --delay 2 --endMP 204:233281 --enddatetime 2017-04-20T05:21:03 --enforcementcount 0 &gt;&gt;C:\Users\stu\Documents\GitHub\eaglep3-reporting\EC\2017-04-20-refined-times.txt</v>
      </c>
      <c r="AI21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{"issue":{"subject":"","project_id":79,"tracker_id":40,"status_id":1,"priority_id":2,"assigned_to_id":23,"start_date":"2017-04-20","description":"","custom_fields":[{"id":1,"name":"Subdivision","value":"EC"},{"id":4,"name":"Milepost","value":"23.3281"},{"id":17,"name":"Train ID","value":"109-20"},{"id":16,"name":"Locomotive ID","value":"4054"},{"id":130,"name":"Impact","value":""},{"id":150,"name":"Time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4054 --day 2017-04-20</v>
      </c>
      <c r="AN21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669</v>
      </c>
      <c r="B22" s="7">
        <v>4053</v>
      </c>
      <c r="C22" s="21" t="s">
        <v>213</v>
      </c>
      <c r="D22" s="21" t="s">
        <v>531</v>
      </c>
      <c r="E22" s="13">
        <v>42845.234189814815</v>
      </c>
      <c r="F22" s="13">
        <v>42845.236990740741</v>
      </c>
      <c r="G22" s="7">
        <v>0</v>
      </c>
      <c r="H22" s="21" t="s">
        <v>198</v>
      </c>
      <c r="I22" s="13">
        <v>42845.26253472222</v>
      </c>
      <c r="J22" s="7">
        <v>0</v>
      </c>
      <c r="K22" s="97" t="str">
        <f>IF(ISEVEN(B22),(B22-1)&amp;"/"&amp;B22,B22&amp;"/"&amp;(B22+1))</f>
        <v>4053/4054</v>
      </c>
      <c r="L22" s="21" t="str">
        <f>VLOOKUP(A22,'Trips&amp;Operators'!$C$1:$G$99999,5,FALSE)</f>
        <v>ROCHA YAOTL</v>
      </c>
      <c r="M22" s="6">
        <f>I22-F22</f>
        <v>2.5543981479131617E-2</v>
      </c>
      <c r="N22" s="7">
        <f>24*60*SUM($M22:$M22)</f>
        <v>36.783333329949528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-20T04:37:14-0600',mode:absolute,to:'2017-04-20T07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23.297599999999999</v>
      </c>
      <c r="Z22" s="62">
        <f>RIGHT(H22,LEN(H22)-4)/10000</f>
        <v>1.5800000000000002E-2</v>
      </c>
      <c r="AA22" s="62">
        <f>ABS(Z22-Y22)</f>
        <v>23.2818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0110-20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/stypes="app*4053*20170420*"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110-20 --locoid 4053 --swversion DE.1.0.9.0 --startMP 204:232976 --initTime 2017-04-20T05:37:14 --startdatetime 2017-04-20T05:41:16 --delay 0 --endMP 204:158 --enddatetime 2017-04-20T06:18:03 --enforcementcount 0 &gt;&gt;C:\Users\stu\Documents\GitHub\eaglep3-reporting\EC\2017-04-20-refined-times.txt</v>
      </c>
      <c r="AI2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ID","value":"110-20"},{"id":16,"name":"Locomotive ID","value":"4053"},{"id":130,"name":"Impact","value":""},{"id":150,"name":"Time of Event (Mountain Time)","value":"06:18:03"},{"id":151,"name":"Denver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4053 --day 2017-04-20</v>
      </c>
      <c r="AN2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662</v>
      </c>
      <c r="B23" s="7">
        <v>4008</v>
      </c>
      <c r="C23" s="21" t="s">
        <v>213</v>
      </c>
      <c r="D23" s="21" t="s">
        <v>861</v>
      </c>
      <c r="E23" s="13">
        <v>42845.205150462964</v>
      </c>
      <c r="F23" s="13">
        <v>42845.208611111113</v>
      </c>
      <c r="G23" s="7">
        <v>1</v>
      </c>
      <c r="H23" s="21" t="s">
        <v>583</v>
      </c>
      <c r="I23" s="13">
        <v>42845.232824074075</v>
      </c>
      <c r="J23" s="7">
        <v>0</v>
      </c>
      <c r="K23" s="97" t="str">
        <f>IF(ISEVEN(B23),(B23-1)&amp;"/"&amp;B23,B23&amp;"/"&amp;(B23+1))</f>
        <v>4007/4008</v>
      </c>
      <c r="L23" s="21" t="str">
        <f>VLOOKUP(A23,'Trips&amp;Operators'!$C$1:$G$99999,5,FALSE)</f>
        <v>YORK EDGAR</v>
      </c>
      <c r="M23" s="6">
        <f>I23-F23</f>
        <v>2.421296296233777E-2</v>
      </c>
      <c r="N23" s="7">
        <f>24*60*SUM($M23:$M23)</f>
        <v>34.866666665766388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-20T03:55:25-0600',mode:absolute,to:'2017-04-20T06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7.1300000000000002E-2</v>
      </c>
      <c r="Z23" s="62">
        <f>RIGHT(H23,LEN(H23)-4)/10000</f>
        <v>23.328199999999999</v>
      </c>
      <c r="AA23" s="62">
        <f>ABS(Z23-Y23)</f>
        <v>23.256899999999998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0111-20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/stypes="app*4008*20170420*"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111-20 --locoid 4008 --swversion DE.1.0.9.0 --startMP 204:713 --initTime 2017-04-20T04:55:25 --startdatetime 2017-04-20T05:00:24 --delay 1 --endMP 204:233282 --enddatetime 2017-04-20T05:35:16 --enforcementcount 0 &gt;&gt;C:\Users\stu\Documents\GitHub\eaglep3-reporting\EC\2017-04-20-refined-times.txt</v>
      </c>
      <c r="AI2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{"issue":{"subject":"","project_id":79,"tracker_id":40,"status_id":1,"priority_id":2,"assigned_to_id":23,"start_date":"2017-04-20","description":"","custom_fields":[{"id":1,"name":"Subdivision","value":"EC"},{"id":4,"name":"Milepost","value":"23.3282"},{"id":17,"name":"Train ID","value":"111-20"},{"id":16,"name":"Locomotive ID","value":"4008"},{"id":130,"name":"Impact","value":""},{"id":150,"name":"Time of Event (Mountain Time)","value":"05:35:16"},{"id":151,"name":"Denver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4008 --day 2017-04-20</v>
      </c>
      <c r="AN2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616</v>
      </c>
      <c r="B24" s="7">
        <v>4007</v>
      </c>
      <c r="C24" s="21" t="s">
        <v>213</v>
      </c>
      <c r="D24" s="21" t="s">
        <v>573</v>
      </c>
      <c r="E24" s="13">
        <v>42845.233993055554</v>
      </c>
      <c r="F24" s="13">
        <v>42845.247534722221</v>
      </c>
      <c r="G24" s="7">
        <v>1</v>
      </c>
      <c r="H24" s="21" t="s">
        <v>862</v>
      </c>
      <c r="I24" s="13">
        <v>42845.273865740739</v>
      </c>
      <c r="J24" s="7">
        <v>0</v>
      </c>
      <c r="K24" s="97" t="str">
        <f>IF(ISEVEN(B24),(B24-1)&amp;"/"&amp;B24,B24&amp;"/"&amp;(B24+1))</f>
        <v>4007/4008</v>
      </c>
      <c r="L24" s="21" t="str">
        <f>VLOOKUP(A24,'Trips&amp;Operators'!$C$1:$G$99999,5,FALSE)</f>
        <v>YORK EDGAR</v>
      </c>
      <c r="M24" s="6">
        <f>I24-F24</f>
        <v>2.6331018518249039E-2</v>
      </c>
      <c r="N24" s="7">
        <f>24*60*SUM($M24:$M24)</f>
        <v>37.916666666278616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23.298200000000001</v>
      </c>
      <c r="Z24" s="62">
        <f>RIGHT(H24,LEN(H24)-4)/10000</f>
        <v>1.67E-2</v>
      </c>
      <c r="AA24" s="62">
        <f>ABS(Z24-Y24)</f>
        <v>23.281500000000001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0112-20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/stypes="app*4007*20170420*"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112-20 --locoid 4007 --swversion DE.1.0.9.0 --startMP 204:232982 --initTime 2017-04-20T05:36:57 --startdatetime 2017-04-20T05:56:27 --delay 1 --endMP 204:167 --enddatetime 2017-04-20T06:34:22 --enforcementcount 0 &gt;&gt;C:\Users\stu\Documents\GitHub\eaglep3-reporting\EC\2017-04-20-refined-times.txt</v>
      </c>
      <c r="AI2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{"issue":{"subject":"","project_id":79,"tracker_id":40,"status_id":1,"priority_id":2,"assigned_to_id":23,"start_date":"2017-04-20","description":"","custom_fields":[{"id":1,"name":"Subdivision","value":"EC"},{"id":4,"name":"Milepost","value":"0.0167"},{"id":17,"name":"Train ID","value":"112-20"},{"id":16,"name":"Locomotive ID","value":"4007"},{"id":130,"name":"Impact","value":""},{"id":150,"name":"Time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4007 --day 2017-04-20</v>
      </c>
      <c r="AN2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664</v>
      </c>
      <c r="B25" s="7">
        <v>4024</v>
      </c>
      <c r="C25" s="21" t="s">
        <v>213</v>
      </c>
      <c r="D25" s="21" t="s">
        <v>481</v>
      </c>
      <c r="E25" s="13">
        <v>42845.217581018522</v>
      </c>
      <c r="F25" s="13">
        <v>42845.218935185185</v>
      </c>
      <c r="G25" s="7">
        <v>1</v>
      </c>
      <c r="H25" s="21" t="s">
        <v>863</v>
      </c>
      <c r="I25" s="13">
        <v>42845.245034722226</v>
      </c>
      <c r="J25" s="7">
        <v>0</v>
      </c>
      <c r="K25" s="97" t="str">
        <f>IF(ISEVEN(B25),(B25-1)&amp;"/"&amp;B25,B25&amp;"/"&amp;(B25+1))</f>
        <v>4023/4024</v>
      </c>
      <c r="L25" s="21" t="str">
        <f>VLOOKUP(A25,'Trips&amp;Operators'!$C$1:$G$99999,5,FALSE)</f>
        <v>BADERTSCHER DIANE</v>
      </c>
      <c r="M25" s="6">
        <f>I25-F25</f>
        <v>2.6099537040863652E-2</v>
      </c>
      <c r="N25" s="7">
        <f>24*60*SUM($M25:$M25)</f>
        <v>37.583333338843659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-20T04:13:19-0600',mode:absolute,to:'2017-04-20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183" t="str">
        <f>IF(AA25&lt;IF(AG25="EC",23,5.65),"Y","N")</f>
        <v>N</v>
      </c>
      <c r="X25" s="183">
        <f t="shared" ref="X25:X28" si="9">VALUE(LEFT(AD25,4))-VALUE(LEFT(AD24,4))</f>
        <v>1</v>
      </c>
      <c r="Y25" s="62">
        <f>RIGHT(D25,LEN(D25)-4)/10000</f>
        <v>4.3799999999999999E-2</v>
      </c>
      <c r="Z25" s="62">
        <f>RIGHT(H25,LEN(H25)-4)/10000</f>
        <v>23.325900000000001</v>
      </c>
      <c r="AA25" s="62">
        <f>ABS(Z25-Y25)</f>
        <v>23.2821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0113-20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/stypes="app*4024*20170420*"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113-20 --locoid 4024 --swversion DE.1.0.9.0 --startMP 204:438 --initTime 2017-04-20T05:13:19 --startdatetime 2017-04-20T05:15:16 --delay 1 --endMP 204:233259 --enddatetime 2017-04-20T05:52:51 --enforcementcount 0 &gt;&gt;C:\Users\stu\Documents\GitHub\eaglep3-reporting\EC\2017-04-20-refined-times.txt</v>
      </c>
      <c r="AI2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ID","value":"113-20"},{"id":16,"name":"Locomotive ID","value":"4024"},{"id":130,"name":"Impact","value":""},{"id":150,"name":"Time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4024 --day 2017-04-20</v>
      </c>
      <c r="AN2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618</v>
      </c>
      <c r="B26" s="7">
        <v>4023</v>
      </c>
      <c r="C26" s="21" t="s">
        <v>213</v>
      </c>
      <c r="D26" s="21" t="s">
        <v>864</v>
      </c>
      <c r="E26" s="13">
        <v>42845.248344907406</v>
      </c>
      <c r="F26" s="13">
        <v>42845.257847222223</v>
      </c>
      <c r="G26" s="7">
        <v>1</v>
      </c>
      <c r="H26" s="21" t="s">
        <v>464</v>
      </c>
      <c r="I26" s="13">
        <v>42845.286238425928</v>
      </c>
      <c r="J26" s="7">
        <v>0</v>
      </c>
      <c r="K26" s="97" t="str">
        <f>IF(ISEVEN(B26),(B26-1)&amp;"/"&amp;B26,B26&amp;"/"&amp;(B26+1))</f>
        <v>4023/4024</v>
      </c>
      <c r="L26" s="21" t="str">
        <f>VLOOKUP(A26,'Trips&amp;Operators'!$C$1:$G$99999,5,FALSE)</f>
        <v>BADERTSCHER DIANE</v>
      </c>
      <c r="M26" s="6">
        <f>I26-F26</f>
        <v>2.8391203704813961E-2</v>
      </c>
      <c r="N26" s="7">
        <f>24*60*SUM($M26:$M26)</f>
        <v>40.883333334932104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183" t="str">
        <f>IF(AA26&lt;IF(AG26="EC",23,5.65),"Y","N")</f>
        <v>N</v>
      </c>
      <c r="X26" s="183">
        <f t="shared" si="9"/>
        <v>1</v>
      </c>
      <c r="Y26" s="62">
        <f>RIGHT(D26,LEN(D26)-4)/10000</f>
        <v>23.295100000000001</v>
      </c>
      <c r="Z26" s="62">
        <f>RIGHT(H26,LEN(H26)-4)/10000</f>
        <v>1.3599999999999999E-2</v>
      </c>
      <c r="AA26" s="62">
        <f>ABS(Z26-Y26)</f>
        <v>23.281500000000001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0114-20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/stypes="app*4023*20170420*"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114-20 --locoid 4023 --swversion DE.1.0.9.0 --startMP 204:232951 --initTime 2017-04-20T05:57:37 --startdatetime 2017-04-20T06:11:18 --delay 1 --endMP 204:136 --enddatetime 2017-04-20T06:52:11 --enforcementcount 0 &gt;&gt;C:\Users\stu\Documents\GitHub\eaglep3-reporting\EC\2017-04-20-refined-times.txt</v>
      </c>
      <c r="AI2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ID","value":"114-20"},{"id":16,"name":"Locomotive ID","value":"4023"},{"id":130,"name":"Impact","value":""},{"id":150,"name":"Time of Event (Mountain Time)","value":"06:52:11"},{"id":151,"name":"Denver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4023 --day 2017-04-20</v>
      </c>
      <c r="AN2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667</v>
      </c>
      <c r="B27" s="7">
        <v>4042</v>
      </c>
      <c r="C27" s="21" t="s">
        <v>213</v>
      </c>
      <c r="D27" s="21" t="s">
        <v>865</v>
      </c>
      <c r="E27" s="13">
        <v>42845.2265625</v>
      </c>
      <c r="F27" s="13">
        <v>42845.230081018519</v>
      </c>
      <c r="G27" s="7">
        <v>1</v>
      </c>
      <c r="H27" s="21" t="s">
        <v>866</v>
      </c>
      <c r="I27" s="13">
        <v>42845.255960648145</v>
      </c>
      <c r="J27" s="7">
        <v>0</v>
      </c>
      <c r="K27" s="97" t="str">
        <f>IF(ISEVEN(B27),(B27-1)&amp;"/"&amp;B27,B27&amp;"/"&amp;(B27+1))</f>
        <v>4041/4042</v>
      </c>
      <c r="L27" s="21" t="str">
        <f>VLOOKUP(A27,'Trips&amp;Operators'!$C$1:$G$99999,5,FALSE)</f>
        <v>STARKS ANGELINA</v>
      </c>
      <c r="M27" s="6">
        <f>I27-F27</f>
        <v>2.5879629625706002E-2</v>
      </c>
      <c r="N27" s="7">
        <f>24*60*SUM($M27:$M27)</f>
        <v>37.266666661016643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-20T04:26:15-0600',mode:absolute,to:'2017-04-20T07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3" t="str">
        <f>IF(AA27&lt;IF(AG27="EC",23,5.65),"Y","N")</f>
        <v>N</v>
      </c>
      <c r="X27" s="183">
        <f t="shared" si="9"/>
        <v>1</v>
      </c>
      <c r="Y27" s="62">
        <f>RIGHT(D27,LEN(D27)-4)/10000</f>
        <v>7.7499999999999999E-2</v>
      </c>
      <c r="Z27" s="62">
        <f>RIGHT(H27,LEN(H27)-4)/10000</f>
        <v>23.331800000000001</v>
      </c>
      <c r="AA27" s="62">
        <f>ABS(Z27-Y27)</f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0115-20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/stypes="app*4042*20170420*"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115-20 --locoid 4042 --swversion DE.1.0.9.0 --startMP 204:775 --initTime 2017-04-20T05:26:15 --startdatetime 2017-04-20T05:31:19 --delay 1 --endMP 204:233318 --enddatetime 2017-04-20T06:08:35 --enforcementcount 0 &gt;&gt;C:\Users\stu\Documents\GitHub\eaglep3-reporting\EC\2017-04-20-refined-times.txt</v>
      </c>
      <c r="AI2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{"issue":{"subject":"","project_id":79,"tracker_id":40,"status_id":1,"priority_id":2,"assigned_to_id":23,"start_date":"2017-04-20","description":"","custom_fields":[{"id":1,"name":"Subdivision","value":"EC"},{"id":4,"name":"Milepost","value":"23.3318"},{"id":17,"name":"Train ID","value":"115-20"},{"id":16,"name":"Locomotive ID","value":"4042"},{"id":130,"name":"Impact","value":""},{"id":150,"name":"Time of Event (Mountain Time)","value":"06:08:35"},{"id":151,"name":"Denver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4042 --day 2017-04-20</v>
      </c>
      <c r="AN2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677</v>
      </c>
      <c r="B28" s="7">
        <v>4041</v>
      </c>
      <c r="C28" s="21" t="s">
        <v>213</v>
      </c>
      <c r="D28" s="21" t="s">
        <v>867</v>
      </c>
      <c r="E28" s="13">
        <v>42845.266192129631</v>
      </c>
      <c r="F28" s="13">
        <v>42845.268414351849</v>
      </c>
      <c r="G28" s="7">
        <v>1</v>
      </c>
      <c r="H28" s="21" t="s">
        <v>445</v>
      </c>
      <c r="I28" s="13">
        <v>42845.295810185184</v>
      </c>
      <c r="J28" s="7">
        <v>0</v>
      </c>
      <c r="K28" s="97" t="str">
        <f>IF(ISEVEN(B28),(B28-1)&amp;"/"&amp;B28,B28&amp;"/"&amp;(B28+1))</f>
        <v>4041/4042</v>
      </c>
      <c r="L28" s="21" t="str">
        <f>VLOOKUP(A28,'Trips&amp;Operators'!$C$1:$G$99999,5,FALSE)</f>
        <v>STARKS ANGELINA</v>
      </c>
      <c r="M28" s="6">
        <f>I28-F28</f>
        <v>2.7395833334594499E-2</v>
      </c>
      <c r="N28" s="7">
        <f>24*60*SUM($M28:$M28)</f>
        <v>39.450000001816079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-20T05:23:19-0600',mode:absolute,to:'2017-04-20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3" t="str">
        <f>IF(AA28&lt;IF(AG28="EC",23,5.65),"Y","N")</f>
        <v>N</v>
      </c>
      <c r="X28" s="183">
        <f t="shared" si="9"/>
        <v>1</v>
      </c>
      <c r="Y28" s="62">
        <f>RIGHT(D28,LEN(D28)-4)/10000</f>
        <v>23.2957</v>
      </c>
      <c r="Z28" s="62">
        <f>RIGHT(H28,LEN(H28)-4)/10000</f>
        <v>1.49E-2</v>
      </c>
      <c r="AA28" s="62">
        <f>ABS(Z28-Y28)</f>
        <v>23.280799999999999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0116-20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/stypes="app*4041*20170420*"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116-20 --locoid 4041 --swversion DE.1.0.9.0 --startMP 204:232957 --initTime 2017-04-20T06:23:19 --startdatetime 2017-04-20T06:26:31 --delay 1 --endMP 204:149 --enddatetime 2017-04-20T07:05:58 --enforcementcount 0 &gt;&gt;C:\Users\stu\Documents\GitHub\eaglep3-reporting\EC\2017-04-20-refined-times.txt</v>
      </c>
      <c r="AI2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ID","value":"116-20"},{"id":16,"name":"Locomotive ID","value":"4041"},{"id":130,"name":"Impact","value":""},{"id":150,"name":"Time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4041 --day 2017-04-20</v>
      </c>
      <c r="AN2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668</v>
      </c>
      <c r="B29" s="7">
        <v>4002</v>
      </c>
      <c r="C29" s="21" t="s">
        <v>213</v>
      </c>
      <c r="D29" s="21" t="s">
        <v>868</v>
      </c>
      <c r="E29" s="13">
        <v>42845.230983796297</v>
      </c>
      <c r="F29" s="13">
        <v>42845.239768518521</v>
      </c>
      <c r="G29" s="7">
        <v>1</v>
      </c>
      <c r="H29" s="21" t="s">
        <v>869</v>
      </c>
      <c r="I29" s="13">
        <v>42845.264606481483</v>
      </c>
      <c r="J29" s="7">
        <v>0</v>
      </c>
      <c r="K29" s="97" t="str">
        <f>IF(ISEVEN(B29),(B29-1)&amp;"/"&amp;B29,B29&amp;"/"&amp;(B29+1))</f>
        <v>4001/4002</v>
      </c>
      <c r="L29" s="21" t="str">
        <f>VLOOKUP(A29,'Trips&amp;Operators'!$C$1:$G$99999,5,FALSE)</f>
        <v>YANAI IAN</v>
      </c>
      <c r="M29" s="6">
        <f>I29-F29</f>
        <v>2.4837962962919846E-2</v>
      </c>
      <c r="N29" s="7">
        <f>24*60*SUM($M29:$M29)</f>
        <v>35.766666666604578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-20T04:32:37-0600',mode:absolute,to:'2017-04-20T07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4.3499999999999997E-2</v>
      </c>
      <c r="Z29" s="62">
        <f>RIGHT(H29,LEN(H29)-4)/10000</f>
        <v>23.327400000000001</v>
      </c>
      <c r="AA29" s="62">
        <f>ABS(Z29-Y29)</f>
        <v>23.283899999999999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0117-20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/stypes="app*4002*20170420*"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117-20 --locoid 4002 --swversion DE.1.0.9.0 --startMP 204:435 --initTime 2017-04-20T05:32:37 --startdatetime 2017-04-20T05:45:16 --delay 1 --endMP 204:233274 --enddatetime 2017-04-20T06:21:02 --enforcementcount 0 &gt;&gt;C:\Users\stu\Documents\GitHub\eaglep3-reporting\EC\2017-04-20-refined-times.txt</v>
      </c>
      <c r="AI2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ID","value":"117-20"},{"id":16,"name":"Locomotive ID","value":"4002"},{"id":130,"name":"Impact","value":""},{"id":150,"name":"Time of Event (Mountain Time)","value":"06:21:02"},{"id":151,"name":"Denver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4002 --day 2017-04-20</v>
      </c>
      <c r="AN2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676</v>
      </c>
      <c r="B30" s="7">
        <v>4001</v>
      </c>
      <c r="C30" s="21" t="s">
        <v>213</v>
      </c>
      <c r="D30" s="21" t="s">
        <v>531</v>
      </c>
      <c r="E30" s="13">
        <v>42845.266203703701</v>
      </c>
      <c r="F30" s="13">
        <v>42845.278715277775</v>
      </c>
      <c r="G30" s="7">
        <v>1</v>
      </c>
      <c r="H30" s="21" t="s">
        <v>409</v>
      </c>
      <c r="I30" s="13">
        <v>42845.305613425924</v>
      </c>
      <c r="J30" s="7">
        <v>0</v>
      </c>
      <c r="K30" s="97" t="str">
        <f>IF(ISEVEN(B30),(B30-1)&amp;"/"&amp;B30,B30&amp;"/"&amp;(B30+1))</f>
        <v>4001/4002</v>
      </c>
      <c r="L30" s="21" t="str">
        <f>VLOOKUP(A30,'Trips&amp;Operators'!$C$1:$G$99999,5,FALSE)</f>
        <v>YANAI IAN</v>
      </c>
      <c r="M30" s="6">
        <f>I30-F30</f>
        <v>2.6898148149484769E-2</v>
      </c>
      <c r="N30" s="7">
        <f>24*60*SUM($M30:$M30)</f>
        <v>38.733333335258067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-20T05:23:20-0600',mode:absolute,to:'2017-04-20T08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23.297599999999999</v>
      </c>
      <c r="Z30" s="62">
        <f>RIGHT(H30,LEN(H30)-4)/10000</f>
        <v>1.4500000000000001E-2</v>
      </c>
      <c r="AA30" s="62">
        <f>ABS(Z30-Y30)</f>
        <v>23.283099999999997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0118-20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/stypes="app*4001*20170420*"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118-20 --locoid 4001 --swversion DE.1.0.9.0 --startMP 204:232976 --initTime 2017-04-20T06:23:20 --startdatetime 2017-04-20T06:41:21 --delay 1 --endMP 204:145 --enddatetime 2017-04-20T07:20:05 --enforcementcount 0 &gt;&gt;C:\Users\stu\Documents\GitHub\eaglep3-reporting\EC\2017-04-20-refined-times.txt</v>
      </c>
      <c r="AI3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ID","value":"118-20"},{"id":16,"name":"Locomotive ID","value":"4001"},{"id":130,"name":"Impact","value":""},{"id":150,"name":"Time of Event (Mountain Time)","value":"07:20:05"},{"id":151,"name":"Denver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4001 --day 2017-04-20</v>
      </c>
      <c r="AN3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617</v>
      </c>
      <c r="B31" s="7">
        <v>4046</v>
      </c>
      <c r="C31" s="21" t="s">
        <v>213</v>
      </c>
      <c r="D31" s="21" t="s">
        <v>865</v>
      </c>
      <c r="E31" s="13">
        <v>42845.246469907404</v>
      </c>
      <c r="F31" s="13">
        <v>42845.250196759262</v>
      </c>
      <c r="G31" s="7">
        <v>1</v>
      </c>
      <c r="H31" s="21" t="s">
        <v>577</v>
      </c>
      <c r="I31" s="13">
        <v>42845.275312500002</v>
      </c>
      <c r="J31" s="7">
        <v>0</v>
      </c>
      <c r="K31" s="97" t="str">
        <f>IF(ISEVEN(B31),(B31-1)&amp;"/"&amp;B31,B31&amp;"/"&amp;(B31+1))</f>
        <v>4045/4046</v>
      </c>
      <c r="L31" s="21" t="str">
        <f>VLOOKUP(A31,'Trips&amp;Operators'!$C$1:$G$99999,5,FALSE)</f>
        <v>COOLAHAN JOHN</v>
      </c>
      <c r="M31" s="6">
        <f>I31-F31</f>
        <v>2.5115740740147885E-2</v>
      </c>
      <c r="N31" s="7">
        <f>24*60*SUM($M31:$M31)</f>
        <v>36.166666665812954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7.7499999999999999E-2</v>
      </c>
      <c r="Z31" s="62">
        <f>RIGHT(H31,LEN(H31)-4)/10000</f>
        <v>23.330300000000001</v>
      </c>
      <c r="AA31" s="62">
        <f>ABS(Z31-Y31)</f>
        <v>23.252800000000001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>IF(LEN(A31)=6,"0"&amp;A31,A31)</f>
        <v>0119-20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/stypes="app*4046*20170420*"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119-20 --locoid 4046 --swversion DE.1.0.9.0 --startMP 204:775 --initTime 2017-04-20T05:54:55 --startdatetime 2017-04-20T06:00:17 --delay 1 --endMP 204:233303 --enddatetime 2017-04-20T06:36:27 --enforcementcount 0 &gt;&gt;C:\Users\stu\Documents\GitHub\eaglep3-reporting\EC\2017-04-20-refined-times.txt</v>
      </c>
      <c r="AI31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ID","value":"119-20"},{"id":16,"name":"Locomotive ID","value":"4046"},{"id":130,"name":"Impact","value":""},{"id":150,"name":"Time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4046 --day 2017-04-20</v>
      </c>
      <c r="AN31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621</v>
      </c>
      <c r="B32" s="7">
        <v>4045</v>
      </c>
      <c r="C32" s="21" t="s">
        <v>213</v>
      </c>
      <c r="D32" s="21" t="s">
        <v>870</v>
      </c>
      <c r="E32" s="13">
        <v>42845.285601851851</v>
      </c>
      <c r="F32" s="13">
        <v>42845.289097222223</v>
      </c>
      <c r="G32" s="7">
        <v>1</v>
      </c>
      <c r="H32" s="21" t="s">
        <v>445</v>
      </c>
      <c r="I32" s="13">
        <v>42845.315787037034</v>
      </c>
      <c r="J32" s="7">
        <v>0</v>
      </c>
      <c r="K32" s="97" t="str">
        <f>IF(ISEVEN(B32),(B32-1)&amp;"/"&amp;B32,B32&amp;"/"&amp;(B32+1))</f>
        <v>4045/4046</v>
      </c>
      <c r="L32" s="21" t="str">
        <f>VLOOKUP(A32,'Trips&amp;Operators'!$C$1:$G$99999,5,FALSE)</f>
        <v>COOLAHAN JOHN</v>
      </c>
      <c r="M32" s="6">
        <f>I32-F32</f>
        <v>2.6689814811106771E-2</v>
      </c>
      <c r="N32" s="7">
        <f>24*60*SUM($M32:$M32)</f>
        <v>38.433333327993751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23.2988</v>
      </c>
      <c r="Z32" s="62">
        <f>RIGHT(H32,LEN(H32)-4)/10000</f>
        <v>1.49E-2</v>
      </c>
      <c r="AA32" s="62">
        <f>ABS(Z32-Y32)</f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0120-20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/stypes="app*4045*20170420*"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120-20 --locoid 4045 --swversion DE.1.0.9.0 --startMP 204:232988 --initTime 2017-04-20T06:51:16 --startdatetime 2017-04-20T06:56:18 --delay 1 --endMP 204:149 --enddatetime 2017-04-20T07:34:44 --enforcementcount 0 &gt;&gt;C:\Users\stu\Documents\GitHub\eaglep3-reporting\EC\2017-04-20-refined-times.txt</v>
      </c>
      <c r="AI3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4045 --day 2017-04-20</v>
      </c>
      <c r="AN3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674</v>
      </c>
      <c r="B33" s="7">
        <v>4026</v>
      </c>
      <c r="C33" s="21" t="s">
        <v>213</v>
      </c>
      <c r="D33" s="21" t="s">
        <v>441</v>
      </c>
      <c r="E33" s="13">
        <v>42845.257372685184</v>
      </c>
      <c r="F33" s="13">
        <v>42845.260578703703</v>
      </c>
      <c r="G33" s="7">
        <v>3</v>
      </c>
      <c r="H33" s="21" t="s">
        <v>871</v>
      </c>
      <c r="I33" s="13">
        <v>42845.286805555559</v>
      </c>
      <c r="J33" s="7">
        <v>0</v>
      </c>
      <c r="K33" s="97" t="str">
        <f>IF(ISEVEN(B33),(B33-1)&amp;"/"&amp;B33,B33&amp;"/"&amp;(B33+1))</f>
        <v>4025/4026</v>
      </c>
      <c r="L33" s="21" t="str">
        <f>VLOOKUP(A33,'Trips&amp;Operators'!$C$1:$G$99999,5,FALSE)</f>
        <v>GEBRETEKLE DAGNEW</v>
      </c>
      <c r="M33" s="6">
        <f>I33-F33</f>
        <v>2.6226851856335998E-2</v>
      </c>
      <c r="N33" s="7">
        <f>24*60*SUM($M33:$M33)</f>
        <v>37.766666673123837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-20T05:10:37-0600',mode:absolute,to:'2017-04-20T07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4.4699999999999997E-2</v>
      </c>
      <c r="Z33" s="62">
        <f>RIGHT(H33,LEN(H33)-4)/10000</f>
        <v>23.325299999999999</v>
      </c>
      <c r="AA33" s="62">
        <f>ABS(Z33-Y33)</f>
        <v>23.2806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0121-20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/stypes="app*4026*20170420*"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121-20 --locoid 4026 --swversion DE.1.0.9.0 --startMP 204:447 --initTime 2017-04-20T06:10:37 --startdatetime 2017-04-20T06:15:14 --delay 3 --endMP 204:233253 --enddatetime 2017-04-20T06:53:00 --enforcementcount 0 &gt;&gt;C:\Users\stu\Documents\GitHub\eaglep3-reporting\EC\2017-04-20-refined-times.txt</v>
      </c>
      <c r="AI3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{"issue":{"subject":"","project_id":79,"tracker_id":40,"status_id":1,"priority_id":2,"assigned_to_id":23,"start_date":"2017-04-20","description":"","custom_fields":[{"id":1,"name":"Subdivision","value":"EC"},{"id":4,"name":"Milepost","value":"23.3253"},{"id":17,"name":"Train ID","value":"121-20"},{"id":16,"name":"Locomotive ID","value":"4026"},{"id":130,"name":"Impact","value":""},{"id":150,"name":"Time of Event (Mountain Time)","value":"06:53:00"},{"id":151,"name":"Denver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4026 --day 2017-04-20</v>
      </c>
      <c r="AN3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682</v>
      </c>
      <c r="B34" s="7">
        <v>4025</v>
      </c>
      <c r="C34" s="21" t="s">
        <v>213</v>
      </c>
      <c r="D34" s="21" t="s">
        <v>593</v>
      </c>
      <c r="E34" s="13">
        <v>42845.291643518518</v>
      </c>
      <c r="F34" s="13">
        <v>42845.299872685187</v>
      </c>
      <c r="G34" s="7">
        <v>1</v>
      </c>
      <c r="H34" s="21" t="s">
        <v>198</v>
      </c>
      <c r="I34" s="13">
        <v>42845.326689814814</v>
      </c>
      <c r="J34" s="7">
        <v>0</v>
      </c>
      <c r="K34" s="97" t="str">
        <f>IF(ISEVEN(B34),(B34-1)&amp;"/"&amp;B34,B34&amp;"/"&amp;(B34+1))</f>
        <v>4025/4026</v>
      </c>
      <c r="L34" s="21" t="str">
        <f>VLOOKUP(A34,'Trips&amp;Operators'!$C$1:$G$99999,5,FALSE)</f>
        <v>GEBRETEKLE DAGNEW</v>
      </c>
      <c r="M34" s="6">
        <f>I34-F34</f>
        <v>2.6817129626579117E-2</v>
      </c>
      <c r="N34" s="7">
        <f>24*60*SUM($M34:$M34)</f>
        <v>38.616666662273929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-20T05:59:58-0600',mode:absolute,to:'2017-04-20T08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23.293600000000001</v>
      </c>
      <c r="Z34" s="62">
        <f>RIGHT(H34,LEN(H34)-4)/10000</f>
        <v>1.5800000000000002E-2</v>
      </c>
      <c r="AA34" s="62">
        <f>ABS(Z34-Y34)</f>
        <v>23.277800000000003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0122-20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/stypes="app*4025*20170420*"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122-20 --locoid 4025 --swversion DE.1.0.9.0 --startMP 204:232936 --initTime 2017-04-20T06:59:58 --startdatetime 2017-04-20T07:11:49 --delay 1 --endMP 204:158 --enddatetime 2017-04-20T07:50:26 --enforcementcount 0 &gt;&gt;C:\Users\stu\Documents\GitHub\eaglep3-reporting\EC\2017-04-20-refined-times.txt</v>
      </c>
      <c r="AI3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{"issue":{"subject":"","project_id":79,"tracker_id":40,"status_id":1,"priority_id":2,"assigned_to_id":23,"start_date":"2017-04-20","description":"","custom_fields":[{"id":1,"name":"Subdivision","value":"EC"},{"id":4,"name":"Milepost","value":"0.0158"},{"id":17,"name":"Train ID","value":"122-20"},{"id":16,"name":"Locomotive ID","value":"4025"},{"id":130,"name":"Impact","value":""},{"id":150,"name":"Time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4025 --day 2017-04-20</v>
      </c>
      <c r="AN3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619</v>
      </c>
      <c r="B35" s="7">
        <v>4054</v>
      </c>
      <c r="C35" s="21" t="s">
        <v>213</v>
      </c>
      <c r="D35" s="21" t="s">
        <v>413</v>
      </c>
      <c r="E35" s="13">
        <v>42845.263009259259</v>
      </c>
      <c r="F35" s="13">
        <v>42845.271006944444</v>
      </c>
      <c r="G35" s="7">
        <v>1</v>
      </c>
      <c r="H35" s="21" t="s">
        <v>872</v>
      </c>
      <c r="I35" s="13">
        <v>42845.295277777775</v>
      </c>
      <c r="J35" s="7">
        <v>0</v>
      </c>
      <c r="K35" s="97" t="str">
        <f>IF(ISEVEN(B35),(B35-1)&amp;"/"&amp;B35,B35&amp;"/"&amp;(B35+1))</f>
        <v>4053/4054</v>
      </c>
      <c r="L35" s="21" t="str">
        <f>VLOOKUP(A35,'Trips&amp;Operators'!$C$1:$G$99999,5,FALSE)</f>
        <v>ROCHA YAOTL</v>
      </c>
      <c r="M35" s="6">
        <f>I35-F35</f>
        <v>2.4270833331684116E-2</v>
      </c>
      <c r="N35" s="7">
        <f>24*60*SUM($M35:$M35)</f>
        <v>34.949999997625127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4.58E-2</v>
      </c>
      <c r="Z35" s="62">
        <f>RIGHT(H35,LEN(H35)-4)/10000</f>
        <v>23.317799999999998</v>
      </c>
      <c r="AA35" s="62">
        <f>ABS(Z35-Y35)</f>
        <v>23.271999999999998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0123-20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/stypes="app*4054*20170420*"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123-20 --locoid 4054 --swversion DE.1.0.9.0 --startMP 204:458 --initTime 2017-04-20T06:18:44 --startdatetime 2017-04-20T06:30:15 --delay 1 --endMP 204:233178 --enddatetime 2017-04-20T07:05:12 --enforcementcount 0 &gt;&gt;C:\Users\stu\Documents\GitHub\eaglep3-reporting\EC\2017-04-20-refined-times.txt</v>
      </c>
      <c r="AI3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{"issue":{"subject":"","project_id":79,"tracker_id":40,"status_id":1,"priority_id":2,"assigned_to_id":23,"start_date":"2017-04-20","description":"","custom_fields":[{"id":1,"name":"Subdivision","value":"EC"},{"id":4,"name":"Milepost","value":"23.3178"},{"id":17,"name":"Train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4054 --day 2017-04-20</v>
      </c>
      <c r="AN3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686</v>
      </c>
      <c r="B36" s="7">
        <v>4053</v>
      </c>
      <c r="C36" s="21" t="s">
        <v>213</v>
      </c>
      <c r="D36" s="21" t="s">
        <v>873</v>
      </c>
      <c r="E36" s="13">
        <v>42845.30908564815</v>
      </c>
      <c r="F36" s="13">
        <v>42845.310532407406</v>
      </c>
      <c r="G36" s="7">
        <v>1</v>
      </c>
      <c r="H36" s="21" t="s">
        <v>399</v>
      </c>
      <c r="I36" s="13">
        <v>42845.337743055556</v>
      </c>
      <c r="J36" s="7">
        <v>0</v>
      </c>
      <c r="K36" s="97" t="str">
        <f>IF(ISEVEN(B36),(B36-1)&amp;"/"&amp;B36,B36&amp;"/"&amp;(B36+1))</f>
        <v>4053/4054</v>
      </c>
      <c r="L36" s="21" t="str">
        <f>VLOOKUP(A36,'Trips&amp;Operators'!$C$1:$G$99999,5,FALSE)</f>
        <v>ROCHA YAOTL</v>
      </c>
      <c r="M36" s="6">
        <f>I36-F36</f>
        <v>2.7210648149775807E-2</v>
      </c>
      <c r="N36" s="7">
        <f>24*60*SUM($M36:$M36)</f>
        <v>39.183333335677162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-20T06:25:05-0600',mode:absolute,to:'2017-04-20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23.2865</v>
      </c>
      <c r="Z36" s="62">
        <f>RIGHT(H36,LEN(H36)-4)/10000</f>
        <v>1.41E-2</v>
      </c>
      <c r="AA36" s="62">
        <f>ABS(Z36-Y36)</f>
        <v>23.272400000000001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0124-20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/stypes="app*4053*20170420*"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124-20 --locoid 4053 --swversion DE.1.0.9.0 --startMP 204:232865 --initTime 2017-04-20T07:25:05 --startdatetime 2017-04-20T07:27:10 --delay 1 --endMP 204:141 --enddatetime 2017-04-20T08:06:21 --enforcementcount 0 &gt;&gt;C:\Users\stu\Documents\GitHub\eaglep3-reporting\EC\2017-04-20-refined-times.txt</v>
      </c>
      <c r="AI3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ID","value":"124-20"},{"id":16,"name":"Locomotive ID","value":"4053"},{"id":130,"name":"Impact","value":""},{"id":150,"name":"Time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4053 --day 2017-04-20</v>
      </c>
      <c r="AN3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678</v>
      </c>
      <c r="B37" s="7">
        <v>4008</v>
      </c>
      <c r="C37" s="21" t="s">
        <v>213</v>
      </c>
      <c r="D37" s="21" t="s">
        <v>495</v>
      </c>
      <c r="E37" s="13">
        <v>42845.274421296293</v>
      </c>
      <c r="F37" s="13">
        <v>42845.281527777777</v>
      </c>
      <c r="G37" s="7">
        <v>1</v>
      </c>
      <c r="H37" s="21" t="s">
        <v>874</v>
      </c>
      <c r="I37" s="13">
        <v>42845.306006944447</v>
      </c>
      <c r="J37" s="7">
        <v>0</v>
      </c>
      <c r="K37" s="97" t="str">
        <f>IF(ISEVEN(B37),(B37-1)&amp;"/"&amp;B37,B37&amp;"/"&amp;(B37+1))</f>
        <v>4007/4008</v>
      </c>
      <c r="L37" s="21" t="str">
        <f>VLOOKUP(A37,'Trips&amp;Operators'!$C$1:$G$99999,5,FALSE)</f>
        <v>YORK EDGAR</v>
      </c>
      <c r="M37" s="6">
        <f>I37-F37</f>
        <v>2.4479166670062114E-2</v>
      </c>
      <c r="N37" s="7">
        <f>24*60*SUM($M37:$M37)</f>
        <v>35.250000004889444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-20T05:35:10-0600',mode:absolute,to:'2017-04-20T08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4.6899999999999997E-2</v>
      </c>
      <c r="Z37" s="62">
        <f>RIGHT(H37,LEN(H37)-4)/10000</f>
        <v>23.330400000000001</v>
      </c>
      <c r="AA37" s="62">
        <f>ABS(Z37-Y37)</f>
        <v>23.2835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0125-20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/stypes="app*4008*20170420*"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125-20 --locoid 4008 --swversion DE.1.0.9.0 --startMP 204:469 --initTime 2017-04-20T06:35:10 --startdatetime 2017-04-20T06:45:24 --delay 1 --endMP 204:233304 --enddatetime 2017-04-20T07:20:39 --enforcementcount 0 &gt;&gt;C:\Users\stu\Documents\GitHub\eaglep3-reporting\EC\2017-04-20-refined-times.txt</v>
      </c>
      <c r="AI3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{"issue":{"subject":"","project_id":79,"tracker_id":40,"status_id":1,"priority_id":2,"assigned_to_id":23,"start_date":"2017-04-20","description":"","custom_fields":[{"id":1,"name":"Subdivision","value":"EC"},{"id":4,"name":"Milepost","value":"23.3304"},{"id":17,"name":"Train ID","value":"125-20"},{"id":16,"name":"Locomotive ID","value":"4008"},{"id":130,"name":"Impact","value":""},{"id":150,"name":"Time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4008 --day 2017-04-20</v>
      </c>
      <c r="AN3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685</v>
      </c>
      <c r="B38" s="7">
        <v>4007</v>
      </c>
      <c r="C38" s="21" t="s">
        <v>213</v>
      </c>
      <c r="D38" s="21" t="s">
        <v>572</v>
      </c>
      <c r="E38" s="13">
        <v>42845.30672453704</v>
      </c>
      <c r="F38" s="13">
        <v>42845.320416666669</v>
      </c>
      <c r="G38" s="7">
        <v>3</v>
      </c>
      <c r="H38" s="21" t="s">
        <v>210</v>
      </c>
      <c r="I38" s="13">
        <v>42845.348587962966</v>
      </c>
      <c r="J38" s="7">
        <v>0</v>
      </c>
      <c r="K38" s="97" t="str">
        <f>IF(ISEVEN(B38),(B38-1)&amp;"/"&amp;B38,B38&amp;"/"&amp;(B38+1))</f>
        <v>4007/4008</v>
      </c>
      <c r="L38" s="21" t="str">
        <f>VLOOKUP(A38,'Trips&amp;Operators'!$C$1:$G$99999,5,FALSE)</f>
        <v>YORK EDGAR</v>
      </c>
      <c r="M38" s="6">
        <f>I38-F38</f>
        <v>2.8171296296932269E-2</v>
      </c>
      <c r="N38" s="7">
        <f>24*60*SUM($M38:$M38)</f>
        <v>40.566666667582467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-20T06:21:41-0600',mode:absolute,to:'2017-04-20T09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183" t="str">
        <f>IF(AA38&lt;IF(AG38="EC",23,5.65),"Y","N")</f>
        <v>N</v>
      </c>
      <c r="X38" s="183">
        <f t="shared" ref="X38:X44" si="10">VALUE(LEFT(AD38,4))-VALUE(LEFT(AD37,4))</f>
        <v>1</v>
      </c>
      <c r="Y38" s="62">
        <f>RIGHT(D38,LEN(D38)-4)/10000</f>
        <v>23.298500000000001</v>
      </c>
      <c r="Z38" s="62">
        <f>RIGHT(H38,LEN(H38)-4)/10000</f>
        <v>1.47E-2</v>
      </c>
      <c r="AA38" s="62">
        <f>ABS(Z38-Y38)</f>
        <v>23.283799999999999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0126-20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/stypes="app*4007*20170420*"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126-20 --locoid 4007 --swversion DE.1.0.9.0 --startMP 204:232985 --initTime 2017-04-20T07:21:41 --startdatetime 2017-04-20T07:41:24 --delay 3 --endMP 204:147 --enddatetime 2017-04-20T08:21:58 --enforcementcount 0 &gt;&gt;C:\Users\stu\Documents\GitHub\eaglep3-reporting\EC\2017-04-20-refined-times.txt</v>
      </c>
      <c r="AI3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ID","value":"126-20"},{"id":16,"name":"Locomotive ID","value":"4007"},{"id":130,"name":"Impact","value":""},{"id":150,"name":"Time of Event (Mountain Time)","value":"08:21:58"},{"id":151,"name":"Denver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4007 --day 2017-04-20</v>
      </c>
      <c r="AN3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681</v>
      </c>
      <c r="B39" s="7">
        <v>4024</v>
      </c>
      <c r="C39" s="21" t="s">
        <v>213</v>
      </c>
      <c r="D39" s="21" t="s">
        <v>528</v>
      </c>
      <c r="E39" s="13">
        <v>42845.286817129629</v>
      </c>
      <c r="F39" s="13">
        <v>42845.292118055557</v>
      </c>
      <c r="G39" s="7">
        <v>1</v>
      </c>
      <c r="H39" s="21" t="s">
        <v>875</v>
      </c>
      <c r="I39" s="13">
        <v>42845.317245370374</v>
      </c>
      <c r="J39" s="7">
        <v>0</v>
      </c>
      <c r="K39" s="97" t="str">
        <f>IF(ISEVEN(B39),(B39-1)&amp;"/"&amp;B39,B39&amp;"/"&amp;(B39+1))</f>
        <v>4023/4024</v>
      </c>
      <c r="L39" s="21" t="str">
        <f>VLOOKUP(A39,'Trips&amp;Operators'!$C$1:$G$99999,5,FALSE)</f>
        <v>BADERTSCHER DIANE</v>
      </c>
      <c r="M39" s="6">
        <f>I39-F39</f>
        <v>2.5127314816927537E-2</v>
      </c>
      <c r="N39" s="7">
        <f>24*60*SUM($M39:$M39)</f>
        <v>36.183333336375654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-20T05:53:01-0600',mode:absolute,to:'2017-04-20T08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9" s="183" t="str">
        <f>IF(AA39&lt;IF(AG39="EC",23,5.65),"Y","N")</f>
        <v>N</v>
      </c>
      <c r="X39" s="183">
        <f t="shared" si="10"/>
        <v>1</v>
      </c>
      <c r="Y39" s="62">
        <f>RIGHT(D39,LEN(D39)-4)/10000</f>
        <v>4.24E-2</v>
      </c>
      <c r="Z39" s="62">
        <f>RIGHT(H39,LEN(H39)-4)/10000</f>
        <v>23.328900000000001</v>
      </c>
      <c r="AA39" s="62">
        <f>ABS(Z39-Y39)</f>
        <v>23.2865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0127-20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/stypes="app*4024*20170420*"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127-20 --locoid 4024 --swversion DE.1.0.9.0 --startMP 204:424 --initTime 2017-04-20T06:53:01 --startdatetime 2017-04-20T07:00:39 --delay 1 --endMP 204:233289 --enddatetime 2017-04-20T07:36:50 --enforcementcount 0 &gt;&gt;C:\Users\stu\Documents\GitHub\eaglep3-reporting\EC\2017-04-20-refined-times.txt</v>
      </c>
      <c r="AI3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{"issue":{"subject":"","project_id":79,"tracker_id":40,"status_id":1,"priority_id":2,"assigned_to_id":23,"start_date":"2017-04-20","description":"","custom_fields":[{"id":1,"name":"Subdivision","value":"EC"},{"id":4,"name":"Milepost","value":"23.3289"},{"id":17,"name":"Train ID","value":"127-20"},{"id":16,"name":"Locomotive ID","value":"4024"},{"id":130,"name":"Impact","value":""},{"id":150,"name":"Time of Event (Mountain Time)","value":"07:36:50"},{"id":151,"name":"Denver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4024 --day 2017-04-20</v>
      </c>
      <c r="AN3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688</v>
      </c>
      <c r="B40" s="7">
        <v>4023</v>
      </c>
      <c r="C40" s="21" t="s">
        <v>213</v>
      </c>
      <c r="D40" s="21" t="s">
        <v>477</v>
      </c>
      <c r="E40" s="13">
        <v>42845.325162037036</v>
      </c>
      <c r="F40" s="13">
        <v>42845.330914351849</v>
      </c>
      <c r="G40" s="7">
        <v>1</v>
      </c>
      <c r="H40" s="21" t="s">
        <v>465</v>
      </c>
      <c r="I40" s="13">
        <v>42845.358553240738</v>
      </c>
      <c r="J40" s="7">
        <v>0</v>
      </c>
      <c r="K40" s="97" t="str">
        <f>IF(ISEVEN(B40),(B40-1)&amp;"/"&amp;B40,B40&amp;"/"&amp;(B40+1))</f>
        <v>4023/4024</v>
      </c>
      <c r="L40" s="21" t="str">
        <f>VLOOKUP(A40,'Trips&amp;Operators'!$C$1:$G$99999,5,FALSE)</f>
        <v>BADERTSCHER DIANE</v>
      </c>
      <c r="M40" s="6">
        <f>I40-F40</f>
        <v>2.7638888888759539E-2</v>
      </c>
      <c r="N40" s="7">
        <f>24*60*SUM($M40:$M40)</f>
        <v>39.799999999813735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-20T06:48:14-0600',mode:absolute,to:'2017-04-20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0" s="183" t="str">
        <f>IF(AA40&lt;IF(AG40="EC",23,5.65),"Y","N")</f>
        <v>N</v>
      </c>
      <c r="X40" s="183">
        <f t="shared" si="10"/>
        <v>1</v>
      </c>
      <c r="Y40" s="62">
        <f>RIGHT(D40,LEN(D40)-4)/10000</f>
        <v>23.298400000000001</v>
      </c>
      <c r="Z40" s="62">
        <f>RIGHT(H40,LEN(H40)-4)/10000</f>
        <v>1.61E-2</v>
      </c>
      <c r="AA40" s="62">
        <f>ABS(Z40-Y40)</f>
        <v>23.282299999999999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0128-20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/stypes="app*4023*20170420*"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128-20 --locoid 4023 --swversion DE.1.0.9.0 --startMP 204:232984 --initTime 2017-04-20T07:48:14 --startdatetime 2017-04-20T07:56:31 --delay 1 --endMP 204:161 --enddatetime 2017-04-20T08:36:19 --enforcementcount 0 &gt;&gt;C:\Users\stu\Documents\GitHub\eaglep3-reporting\EC\2017-04-20-refined-times.txt</v>
      </c>
      <c r="AI4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{"issue":{"subject":"","project_id":79,"tracker_id":40,"status_id":1,"priority_id":2,"assigned_to_id":23,"start_date":"2017-04-20","description":"","custom_fields":[{"id":1,"name":"Subdivision","value":"EC"},{"id":4,"name":"Milepost","value":"0.0161"},{"id":17,"name":"Train ID","value":"128-20"},{"id":16,"name":"Locomotive ID","value":"4023"},{"id":130,"name":"Impact","value":""},{"id":150,"name":"Time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4023 --day 2017-04-20</v>
      </c>
      <c r="AN4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620</v>
      </c>
      <c r="B41" s="7">
        <v>4042</v>
      </c>
      <c r="C41" s="21" t="s">
        <v>213</v>
      </c>
      <c r="D41" s="21" t="s">
        <v>441</v>
      </c>
      <c r="E41" s="13">
        <v>42845.297662037039</v>
      </c>
      <c r="F41" s="13">
        <v>42845.298657407409</v>
      </c>
      <c r="G41" s="7">
        <v>1</v>
      </c>
      <c r="H41" s="21" t="s">
        <v>876</v>
      </c>
      <c r="I41" s="13">
        <v>42845.312361111108</v>
      </c>
      <c r="J41" s="7">
        <v>2</v>
      </c>
      <c r="K41" s="97" t="str">
        <f>IF(ISEVEN(B41),(B41-1)&amp;"/"&amp;B41,B41&amp;"/"&amp;(B41+1))</f>
        <v>4041/4042</v>
      </c>
      <c r="L41" s="21" t="str">
        <f>VLOOKUP(A41,'Trips&amp;Operators'!$C$1:$G$99999,5,FALSE)</f>
        <v>STARKS ANGELINA</v>
      </c>
      <c r="M41" s="6">
        <f>I41-F41</f>
        <v>1.3703703698411118E-2</v>
      </c>
      <c r="N41" s="7">
        <f>24*60*SUM($M41:$M42)</f>
        <v>42.766666657989845</v>
      </c>
      <c r="O41" s="7"/>
      <c r="P41" s="7"/>
      <c r="Q41" s="22"/>
      <c r="R41" s="22" t="s">
        <v>1021</v>
      </c>
      <c r="S41" s="31">
        <f>SUM(U41:U42)/IF(AG41="EC",12,1)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9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3" t="str">
        <f>IF(AA41&lt;IF(AG41="EC",23,5.65),"Y","N")</f>
        <v>Y</v>
      </c>
      <c r="X41" s="183">
        <f t="shared" si="10"/>
        <v>1</v>
      </c>
      <c r="Y41" s="62">
        <f>RIGHT(D41,LEN(D41)-4)/10000</f>
        <v>4.4699999999999997E-2</v>
      </c>
      <c r="Z41" s="62">
        <f>RIGHT(H41,LEN(H41)-4)/10000</f>
        <v>6.4226000000000001</v>
      </c>
      <c r="AA41" s="62">
        <f>ABS(Z41-Y41)</f>
        <v>6.3779000000000003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0129-20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129-20 --locoid 4042 --swversion DE.1.0.9.0 --startMP 204:447 --initTime 2017-04-20T07:08:38 --startdatetime 2017-04-20T07:10:04 --delay 1 --endMP 204:64226 --enddatetime 2017-04-20T07:29:48 --enforcementcount 2 &gt;&gt;C:\Users\stu\Documents\GitHub\eaglep3-reporting\EC\2017-04-20-refined-times.txt</v>
      </c>
      <c r="AI41" s="104" t="str">
        <f t="shared" si="5"/>
        <v>echo {"issue":{"subject":"Re-initialized after Wi-MAX data drop","project_id":79,"tracker_id":40,"status_id":1,"priority_id":2,"assigned_to_id":23,"start_date":"2017-04-20","description":"","custom_fields":[{"id":1,"name":"Subdivision","value":"EC"},{"id":4,"name":"Milepost","value":"6.4226"},{"id":17,"name":"Train ID","value":"129-20"},{"id":16,"name":"Locomotive ID","value":"4042"},{"id":130,"name":"Impact","value":""},{"id":150,"name":"Time of Event (Mountain Time)","value":"07:29:48"},{"id":151,"name":"Denver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4042 --day 2017-04-20</v>
      </c>
      <c r="AN41" s="159" t="str">
        <f t="shared" si="7"/>
        <v>echo {"issue":{"subject":"Re-initialized after Wi-MAX data drop","project_id":30,"tracker_id":4,"status_id":1,"priority_id":1,"assigned_to_id":10,"start_date":"2017-04-20","description":"","custom_fields":[{"id":30,"name":"Category","value":"Issue"},{"id":3,"name":"Functional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620</v>
      </c>
      <c r="B42" s="7">
        <v>4042</v>
      </c>
      <c r="C42" s="21" t="s">
        <v>213</v>
      </c>
      <c r="D42" s="21" t="s">
        <v>877</v>
      </c>
      <c r="E42" s="13">
        <v>42845.313773148147</v>
      </c>
      <c r="F42" s="13">
        <v>42845.314502314817</v>
      </c>
      <c r="G42" s="7">
        <v>1</v>
      </c>
      <c r="H42" s="21" t="s">
        <v>516</v>
      </c>
      <c r="I42" s="13">
        <v>42845.330497685187</v>
      </c>
      <c r="J42" s="7">
        <v>0</v>
      </c>
      <c r="K42" s="97" t="str">
        <f>IF(ISEVEN(B42),(B42-1)&amp;"/"&amp;B42,B42&amp;"/"&amp;(B42+1))</f>
        <v>4041/4042</v>
      </c>
      <c r="L42" s="21" t="str">
        <f>VLOOKUP(A42,'Trips&amp;Operators'!$C$1:$G$99999,5,FALSE)</f>
        <v>STARKS ANGELINA</v>
      </c>
      <c r="M42" s="6">
        <f>I42-F42</f>
        <v>1.5995370369637385E-2</v>
      </c>
      <c r="N42" s="7"/>
      <c r="O42" s="7"/>
      <c r="P42" s="7"/>
      <c r="Q42" s="22"/>
      <c r="R42" s="22"/>
      <c r="S42" s="31"/>
      <c r="T42" s="46" t="str">
        <f>IF(ISEVEN(LEFT(AD42,4)),"Southbound","NorthBound")</f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-20T06:31:50-0600',mode:absolute,to:'2017-04-20T08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83" t="str">
        <f>IF(AA42&lt;IF(AG42="EC",23,5.65),"Y","N")</f>
        <v>Y</v>
      </c>
      <c r="X42" s="183">
        <f t="shared" si="10"/>
        <v>0</v>
      </c>
      <c r="Y42" s="62">
        <f>RIGHT(D42,LEN(D42)-4)/10000</f>
        <v>6.4702000000000002</v>
      </c>
      <c r="Z42" s="62">
        <f>RIGHT(H42,LEN(H42)-4)/10000</f>
        <v>23.331700000000001</v>
      </c>
      <c r="AA42" s="62">
        <f>ABS(Z42-Y42)</f>
        <v>16.861499999999999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0129-20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/stypes="app*4042*20170420*" /stext=" 13:.+((SYSTEM_STATE.+slice.+state.+changed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129-20 --locoid 4042 --swversion DE.1.0.9.0 --startMP 204:64702 --initTime 2017-04-20T07:31:50 --startdatetime 2017-04-20T07:32:53 --delay 1 --endMP 204:233317 --enddatetime 2017-04-20T07:55:55 --enforcementcount 0 &gt;&gt;C:\Users\stu\Documents\GitHub\eaglep3-reporting\EC\2017-04-20-refined-times.txt</v>
      </c>
      <c r="AI4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{"issue":{"subject":"","project_id":79,"tracker_id":40,"status_id":1,"priority_id":2,"assigned_to_id":23,"start_date":"2017-04-20","description":"","custom_fields":[{"id":1,"name":"Subdivision","value":"EC"},{"id":4,"name":"Milepost","value":"23.3317"},{"id":17,"name":"Train ID","value":"129-20"},{"id":16,"name":"Locomotive ID","value":"4042"},{"id":130,"name":"Impact","value":""},{"id":150,"name":"Time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4042 --day 2017-04-20</v>
      </c>
      <c r="AN4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691</v>
      </c>
      <c r="B43" s="7">
        <v>4041</v>
      </c>
      <c r="C43" s="21" t="s">
        <v>213</v>
      </c>
      <c r="D43" s="21" t="s">
        <v>572</v>
      </c>
      <c r="E43" s="13">
        <v>42845.338900462964</v>
      </c>
      <c r="F43" s="13">
        <v>42845.341134259259</v>
      </c>
      <c r="G43" s="7">
        <v>1</v>
      </c>
      <c r="H43" s="21" t="s">
        <v>398</v>
      </c>
      <c r="I43" s="13">
        <v>42845.36791666667</v>
      </c>
      <c r="J43" s="7">
        <v>0</v>
      </c>
      <c r="K43" s="97" t="str">
        <f>IF(ISEVEN(B43),(B43-1)&amp;"/"&amp;B43,B43&amp;"/"&amp;(B43+1))</f>
        <v>4041/4042</v>
      </c>
      <c r="L43" s="21" t="str">
        <f>VLOOKUP(A43,'Trips&amp;Operators'!$C$1:$G$99999,5,FALSE)</f>
        <v>STARKS ANGELINA</v>
      </c>
      <c r="M43" s="6">
        <f>I43-F43</f>
        <v>2.6782407410792075E-2</v>
      </c>
      <c r="N43" s="7">
        <f>24*60*SUM($M43:$M43)</f>
        <v>38.566666671540588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-20T07:08:01-0600',mode:absolute,to:'2017-04-20T09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83" t="str">
        <f>IF(AA43&lt;IF(AG43="EC",23,5.65),"Y","N")</f>
        <v>N</v>
      </c>
      <c r="X43" s="183">
        <f t="shared" si="10"/>
        <v>1</v>
      </c>
      <c r="Y43" s="62">
        <f>RIGHT(D43,LEN(D43)-4)/10000</f>
        <v>23.298500000000001</v>
      </c>
      <c r="Z43" s="62">
        <f>RIGHT(H43,LEN(H43)-4)/10000</f>
        <v>1.38E-2</v>
      </c>
      <c r="AA43" s="62">
        <f>ABS(Z43-Y43)</f>
        <v>23.284700000000001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0130-20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/stypes="app*4041*20170420*"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130-20 --locoid 4041 --swversion DE.1.0.9.0 --startMP 204:232985 --initTime 2017-04-20T08:08:01 --startdatetime 2017-04-20T08:11:14 --delay 1 --endMP 204:138 --enddatetime 2017-04-20T08:49:48 --enforcementcount 0 &gt;&gt;C:\Users\stu\Documents\GitHub\eaglep3-reporting\EC\2017-04-20-refined-times.txt</v>
      </c>
      <c r="AI4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ID","value":"130-20"},{"id":16,"name":"Locomotive ID","value":"4041"},{"id":130,"name":"Impact","value":""},{"id":150,"name":"Time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4041 --day 2017-04-20</v>
      </c>
      <c r="AN4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625</v>
      </c>
      <c r="B44" s="7">
        <v>4002</v>
      </c>
      <c r="C44" s="21" t="s">
        <v>213</v>
      </c>
      <c r="D44" s="21" t="s">
        <v>878</v>
      </c>
      <c r="E44" s="13">
        <v>42845.307962962965</v>
      </c>
      <c r="F44" s="13">
        <v>42845.312731481485</v>
      </c>
      <c r="G44" s="7">
        <v>1</v>
      </c>
      <c r="H44" s="21" t="s">
        <v>527</v>
      </c>
      <c r="I44" s="13">
        <v>42845.337384259263</v>
      </c>
      <c r="J44" s="7">
        <v>0</v>
      </c>
      <c r="K44" s="97" t="str">
        <f>IF(ISEVEN(B44),(B44-1)&amp;"/"&amp;B44,B44&amp;"/"&amp;(B44+1))</f>
        <v>4001/4002</v>
      </c>
      <c r="L44" s="21" t="str">
        <f>VLOOKUP(A44,'Trips&amp;Operators'!$C$1:$G$99999,5,FALSE)</f>
        <v>YANAI IAN</v>
      </c>
      <c r="M44" s="6">
        <f>I44-F44</f>
        <v>2.4652777778101154E-2</v>
      </c>
      <c r="N44" s="7">
        <f>24*60*SUM($M44:$M44)</f>
        <v>35.500000000465661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183" t="str">
        <f>IF(AA44&lt;IF(AG44="EC",23,5.65),"Y","N")</f>
        <v>N</v>
      </c>
      <c r="X44" s="183">
        <f t="shared" si="10"/>
        <v>1</v>
      </c>
      <c r="Y44" s="62">
        <f>RIGHT(D44,LEN(D44)-4)/10000</f>
        <v>4.6399999999999997E-2</v>
      </c>
      <c r="Z44" s="62">
        <f>RIGHT(H44,LEN(H44)-4)/10000</f>
        <v>23.328399999999998</v>
      </c>
      <c r="AA44" s="62">
        <f>ABS(Z44-Y44)</f>
        <v>23.282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0131-20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/stypes="app*4002*20170420*" /stext=" 14:.+((SYSTEM_STATE.+slice.+state.+changed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131-20 --locoid 4002 --swversion DE.1.0.9.0 --startMP 204:464 --initTime 2017-04-20T07:23:28 --startdatetime 2017-04-20T07:30:20 --delay 1 --endMP 204:233284 --enddatetime 2017-04-20T08:05:50 --enforcementcount 0 &gt;&gt;C:\Users\stu\Documents\GitHub\eaglep3-reporting\EC\2017-04-20-refined-times.txt</v>
      </c>
      <c r="AI4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4002 --day 2017-04-20</v>
      </c>
      <c r="AN4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692</v>
      </c>
      <c r="B45" s="7">
        <v>4001</v>
      </c>
      <c r="C45" s="21" t="s">
        <v>213</v>
      </c>
      <c r="D45" s="21" t="s">
        <v>879</v>
      </c>
      <c r="E45" s="13">
        <v>42845.340624999997</v>
      </c>
      <c r="F45" s="13">
        <v>42845.351689814815</v>
      </c>
      <c r="G45" s="7">
        <v>1</v>
      </c>
      <c r="H45" s="21" t="s">
        <v>468</v>
      </c>
      <c r="I45" s="13">
        <v>42845.379143518519</v>
      </c>
      <c r="J45" s="7">
        <v>0</v>
      </c>
      <c r="K45" s="97" t="str">
        <f>IF(ISEVEN(B45),(B45-1)&amp;"/"&amp;B45,B45&amp;"/"&amp;(B45+1))</f>
        <v>4001/4002</v>
      </c>
      <c r="L45" s="21" t="str">
        <f>VLOOKUP(A45,'Trips&amp;Operators'!$C$1:$G$99999,5,FALSE)</f>
        <v>YANAI IAN</v>
      </c>
      <c r="M45" s="6">
        <f>I45-F45</f>
        <v>2.7453703703940846E-2</v>
      </c>
      <c r="N45" s="7">
        <f>24*60*SUM($M45:$M45)</f>
        <v>39.533333333674818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-20T07:10:30-0600',mode:absolute,to:'2017-04-20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23.296099999999999</v>
      </c>
      <c r="Z45" s="62">
        <f>RIGHT(H45,LEN(H45)-4)/10000</f>
        <v>1.6899999999999998E-2</v>
      </c>
      <c r="AA45" s="62">
        <f>ABS(Z45-Y45)</f>
        <v>23.279199999999999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0132-20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/stypes="app*4001*20170420*" /stext=" 15:.+((SYSTEM_STATE.+slice.+state.+changed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132-20 --locoid 4001 --swversion DE.1.0.9.0 --startMP 204:232961 --initTime 2017-04-20T08:10:30 --startdatetime 2017-04-20T08:26:26 --delay 1 --endMP 204:169 --enddatetime 2017-04-20T09:05:58 --enforcementcount 0 &gt;&gt;C:\Users\stu\Documents\GitHub\eaglep3-reporting\EC\2017-04-20-refined-times.txt</v>
      </c>
      <c r="AI4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{"issue":{"subject":"","project_id":79,"tracker_id":40,"status_id":1,"priority_id":2,"assigned_to_id":23,"start_date":"2017-04-20","description":"","custom_fields":[{"id":1,"name":"Subdivision","value":"EC"},{"id":4,"name":"Milepost","value":"0.0169"},{"id":17,"name":"Train ID","value":"132-20"},{"id":16,"name":"Locomotive ID","value":"4001"},{"id":130,"name":"Impact","value":""},{"id":150,"name":"Time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4001 --day 2017-04-20</v>
      </c>
      <c r="AN4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622</v>
      </c>
      <c r="B46" s="7">
        <v>4046</v>
      </c>
      <c r="C46" s="21" t="s">
        <v>213</v>
      </c>
      <c r="D46" s="21" t="s">
        <v>459</v>
      </c>
      <c r="E46" s="13">
        <v>42845.319166666668</v>
      </c>
      <c r="F46" s="13">
        <v>42845.323136574072</v>
      </c>
      <c r="G46" s="7">
        <v>1</v>
      </c>
      <c r="H46" s="21" t="s">
        <v>880</v>
      </c>
      <c r="I46" s="13">
        <v>42845.347997685189</v>
      </c>
      <c r="J46" s="7">
        <v>0</v>
      </c>
      <c r="K46" s="97" t="str">
        <f>IF(ISEVEN(B46),(B46-1)&amp;"/"&amp;B46,B46&amp;"/"&amp;(B46+1))</f>
        <v>4045/4046</v>
      </c>
      <c r="L46" s="21" t="str">
        <f>VLOOKUP(A46,'Trips&amp;Operators'!$C$1:$G$99999,5,FALSE)</f>
        <v>COOLAHAN JOHN</v>
      </c>
      <c r="M46" s="6">
        <f>I46-F46</f>
        <v>2.4861111116479151E-2</v>
      </c>
      <c r="N46" s="7">
        <f>24*60*SUM($M46:$M46)</f>
        <v>35.800000007729977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4.6600000000000003E-2</v>
      </c>
      <c r="Z46" s="62">
        <f>RIGHT(H46,LEN(H46)-4)/10000</f>
        <v>23.330200000000001</v>
      </c>
      <c r="AA46" s="62">
        <f>ABS(Z46-Y46)</f>
        <v>23.2836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0133-20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/stypes="app*4046*20170420*" /stext=" 14:.+((SYSTEM_STATE.+slice.+state.+changed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133-20 --locoid 4046 --swversion DE.1.0.9.0 --startMP 204:466 --initTime 2017-04-20T07:39:36 --startdatetime 2017-04-20T07:45:19 --delay 1 --endMP 204:233302 --enddatetime 2017-04-20T08:21:07 --enforcementcount 0 &gt;&gt;C:\Users\stu\Documents\GitHub\eaglep3-reporting\EC\2017-04-20-refined-times.txt</v>
      </c>
      <c r="AI4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{"issue":{"subject":"","project_id":79,"tracker_id":40,"status_id":1,"priority_id":2,"assigned_to_id":23,"start_date":"2017-04-20","description":"","custom_fields":[{"id":1,"name":"Subdivision","value":"EC"},{"id":4,"name":"Milepost","value":"23.3302"},{"id":17,"name":"Train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4046 --day 2017-04-20</v>
      </c>
      <c r="AN4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696</v>
      </c>
      <c r="B47" s="7">
        <v>4045</v>
      </c>
      <c r="C47" s="21" t="s">
        <v>213</v>
      </c>
      <c r="D47" s="21" t="s">
        <v>881</v>
      </c>
      <c r="E47" s="13">
        <v>42845.35596064815</v>
      </c>
      <c r="F47" s="13">
        <v>42845.362013888887</v>
      </c>
      <c r="G47" s="7">
        <v>1</v>
      </c>
      <c r="H47" s="21" t="s">
        <v>464</v>
      </c>
      <c r="I47" s="13">
        <v>42845.38821759259</v>
      </c>
      <c r="J47" s="7">
        <v>0</v>
      </c>
      <c r="K47" s="97" t="str">
        <f>IF(ISEVEN(B47),(B47-1)&amp;"/"&amp;B47,B47&amp;"/"&amp;(B47+1))</f>
        <v>4045/4046</v>
      </c>
      <c r="L47" s="21" t="str">
        <f>VLOOKUP(A47,'Trips&amp;Operators'!$C$1:$G$99999,5,FALSE)</f>
        <v>COOLAHAN JOHN</v>
      </c>
      <c r="M47" s="6">
        <f>I47-F47</f>
        <v>2.6203703702776693E-2</v>
      </c>
      <c r="N47" s="7">
        <f>24*60*SUM($M47:$M47)</f>
        <v>37.733333331998438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-20T07:32:35-0600',mode:absolute,to:'2017-04-20T10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23.296800000000001</v>
      </c>
      <c r="Z47" s="62">
        <f>RIGHT(H47,LEN(H47)-4)/10000</f>
        <v>1.3599999999999999E-2</v>
      </c>
      <c r="AA47" s="62">
        <f>ABS(Z47-Y47)</f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0134-20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/stypes="app*4045*20170420*" /stext=" 15:.+((SYSTEM_STATE.+slice.+state.+changed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134-20 --locoid 4045 --swversion DE.1.0.9.0 --startMP 204:232968 --initTime 2017-04-20T08:32:35 --startdatetime 2017-04-20T08:41:18 --delay 1 --endMP 204:136 --enddatetime 2017-04-20T09:19:02 --enforcementcount 0 &gt;&gt;C:\Users\stu\Documents\GitHub\eaglep3-reporting\EC\2017-04-20-refined-times.txt</v>
      </c>
      <c r="AI4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{"issue":{"subject":"","project_id":79,"tracker_id":40,"status_id":1,"priority_id":2,"assigned_to_id":23,"start_date":"2017-04-20","description":"","custom_fields":[{"id":1,"name":"Subdivision","value":"EC"},{"id":4,"name":"Milepost","value":"0.0136"},{"id":17,"name":"Train ID","value":"134-20"},{"id":16,"name":"Locomotive ID","value":"4045"},{"id":130,"name":"Impact","value":""},{"id":150,"name":"Time of Event (Mountain Time)","value":"09:19:02"},{"id":151,"name":"Denver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4045 --day 2017-04-20</v>
      </c>
      <c r="AN4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689</v>
      </c>
      <c r="B48" s="7">
        <v>4026</v>
      </c>
      <c r="C48" s="21" t="s">
        <v>213</v>
      </c>
      <c r="D48" s="21" t="s">
        <v>582</v>
      </c>
      <c r="E48" s="13">
        <v>42845.329861111109</v>
      </c>
      <c r="F48" s="13">
        <v>42845.333506944444</v>
      </c>
      <c r="G48" s="7">
        <v>2</v>
      </c>
      <c r="H48" s="21" t="s">
        <v>882</v>
      </c>
      <c r="I48" s="13">
        <v>42845.358576388891</v>
      </c>
      <c r="J48" s="7">
        <v>0</v>
      </c>
      <c r="K48" s="97" t="str">
        <f>IF(ISEVEN(B48),(B48-1)&amp;"/"&amp;B48,B48&amp;"/"&amp;(B48+1))</f>
        <v>4025/4026</v>
      </c>
      <c r="L48" s="21" t="str">
        <f>VLOOKUP(A48,'Trips&amp;Operators'!$C$1:$G$99999,5,FALSE)</f>
        <v>GEBRETEKLE DAGNEW</v>
      </c>
      <c r="M48" s="6">
        <f>I48-F48</f>
        <v>2.5069444447581191E-2</v>
      </c>
      <c r="N48" s="7">
        <f>24*60*SUM($M48:$M48)</f>
        <v>36.100000004516914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-20T06:55:00-0600',mode:absolute,to:'2017-04-20T09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4.8800000000000003E-2</v>
      </c>
      <c r="Z48" s="62">
        <f>RIGHT(H48,LEN(H48)-4)/10000</f>
        <v>23.3278</v>
      </c>
      <c r="AA48" s="62">
        <f>ABS(Z48-Y48)</f>
        <v>23.279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0135-20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/stypes="app*4026*20170420*" /stext=" 14:.+((SYSTEM_STATE.+slice.+state.+changed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135-20 --locoid 4026 --swversion DE.1.0.9.0 --startMP 204:488 --initTime 2017-04-20T07:55:00 --startdatetime 2017-04-20T08:00:15 --delay 2 --endMP 204:233278 --enddatetime 2017-04-20T08:36:21 --enforcementcount 0 &gt;&gt;C:\Users\stu\Documents\GitHub\eaglep3-reporting\EC\2017-04-20-refined-times.txt</v>
      </c>
      <c r="AI4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ID","value":"135-20"},{"id":16,"name":"Locomotive ID","value":"4026"},{"id":130,"name":"Impact","value":""},{"id":150,"name":"Time of Event (Mountain Time)","value":"08:36:21"},{"id":151,"name":"Denver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4026 --day 2017-04-20</v>
      </c>
      <c r="AN4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627</v>
      </c>
      <c r="B49" s="7">
        <v>4025</v>
      </c>
      <c r="C49" s="21" t="s">
        <v>213</v>
      </c>
      <c r="D49" s="21" t="s">
        <v>883</v>
      </c>
      <c r="E49" s="13">
        <v>42845.364641203705</v>
      </c>
      <c r="F49" s="13">
        <v>42845.372430555559</v>
      </c>
      <c r="G49" s="7">
        <v>1</v>
      </c>
      <c r="H49" s="21" t="s">
        <v>452</v>
      </c>
      <c r="I49" s="13">
        <v>42845.400219907409</v>
      </c>
      <c r="J49" s="7">
        <v>0</v>
      </c>
      <c r="K49" s="97" t="str">
        <f>IF(ISEVEN(B49),(B49-1)&amp;"/"&amp;B49,B49&amp;"/"&amp;(B49+1))</f>
        <v>4025/4026</v>
      </c>
      <c r="L49" s="21" t="str">
        <f>VLOOKUP(A49,'Trips&amp;Operators'!$C$1:$G$99999,5,FALSE)</f>
        <v>GEBRETEKLE DAGNEW</v>
      </c>
      <c r="M49" s="6">
        <f>I49-F49</f>
        <v>2.7789351850515231E-2</v>
      </c>
      <c r="N49" s="7">
        <f>24*60*SUM($M49:$M49)</f>
        <v>40.016666664741933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23.295300000000001</v>
      </c>
      <c r="Z49" s="62">
        <f>RIGHT(H49,LEN(H49)-4)/10000</f>
        <v>1.3899999999999999E-2</v>
      </c>
      <c r="AA49" s="62">
        <f>ABS(Z49-Y49)</f>
        <v>23.281400000000001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0136-20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/stypes="app*4025*20170420*" /stext=" 15:.+((SYSTEM_STATE.+slice.+state.+changed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136-20 --locoid 4025 --swversion DE.1.0.9.0 --startMP 204:232953 --initTime 2017-04-20T08:45:05 --startdatetime 2017-04-20T08:56:18 --delay 1 --endMP 204:139 --enddatetime 2017-04-20T09:36:19 --enforcementcount 0 &gt;&gt;C:\Users\stu\Documents\GitHub\eaglep3-reporting\EC\2017-04-20-refined-times.txt</v>
      </c>
      <c r="AI4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ID","value":"136-20"},{"id":16,"name":"Locomotive ID","value":"4025"},{"id":130,"name":"Impact","value":""},{"id":150,"name":"Time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4025 --day 2017-04-20</v>
      </c>
      <c r="AN4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693</v>
      </c>
      <c r="B50" s="7">
        <v>4054</v>
      </c>
      <c r="C50" s="21" t="s">
        <v>213</v>
      </c>
      <c r="D50" s="21" t="s">
        <v>441</v>
      </c>
      <c r="E50" s="13">
        <v>42845.342314814814</v>
      </c>
      <c r="F50" s="13">
        <v>42845.343900462962</v>
      </c>
      <c r="G50" s="7">
        <v>1</v>
      </c>
      <c r="H50" s="21" t="s">
        <v>397</v>
      </c>
      <c r="I50" s="13">
        <v>42845.36922453704</v>
      </c>
      <c r="J50" s="7">
        <v>0</v>
      </c>
      <c r="K50" s="97" t="str">
        <f>IF(ISEVEN(B50),(B50-1)&amp;"/"&amp;B50,B50&amp;"/"&amp;(B50+1))</f>
        <v>4053/4054</v>
      </c>
      <c r="L50" s="21" t="str">
        <f>VLOOKUP(A50,'Trips&amp;Operators'!$C$1:$G$99999,5,FALSE)</f>
        <v>ROCHA YAOTL</v>
      </c>
      <c r="M50" s="6">
        <f>I50-F50</f>
        <v>2.5324074078525882E-2</v>
      </c>
      <c r="N50" s="7">
        <f>24*60*SUM($M50:$M50)</f>
        <v>36.46666667307727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-20T07:12:56-0600',mode:absolute,to:'2017-04-20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4.4699999999999997E-2</v>
      </c>
      <c r="Z50" s="62">
        <f>RIGHT(H50,LEN(H50)-4)/10000</f>
        <v>23.329499999999999</v>
      </c>
      <c r="AA50" s="62">
        <f>ABS(Z50-Y50)</f>
        <v>23.284800000000001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0137-20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/stypes="app*4054*20170420*" /stext=" 14:.+((SYSTEM_STATE.+slice.+state.+changed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137-20 --locoid 4054 --swversion DE.1.0.9.0 --startMP 204:447 --initTime 2017-04-20T08:12:56 --startdatetime 2017-04-20T08:15:13 --delay 1 --endMP 204:233295 --enddatetime 2017-04-20T08:51:41 --enforcementcount 0 &gt;&gt;C:\Users\stu\Documents\GitHub\eaglep3-reporting\EC\2017-04-20-refined-times.txt</v>
      </c>
      <c r="AI5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ID","value":"137-20"},{"id":16,"name":"Locomotive ID","value":"4054"},{"id":130,"name":"Impact","value":""},{"id":150,"name":"Time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4054 --day 2017-04-20</v>
      </c>
      <c r="AN5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701</v>
      </c>
      <c r="B51" s="7">
        <v>4053</v>
      </c>
      <c r="C51" s="21" t="s">
        <v>213</v>
      </c>
      <c r="D51" s="21" t="s">
        <v>405</v>
      </c>
      <c r="E51" s="13">
        <v>42845.381805555553</v>
      </c>
      <c r="F51" s="13">
        <v>42845.383032407408</v>
      </c>
      <c r="G51" s="7">
        <v>1</v>
      </c>
      <c r="H51" s="21" t="s">
        <v>452</v>
      </c>
      <c r="I51" s="13">
        <v>42845.408518518518</v>
      </c>
      <c r="J51" s="7">
        <v>0</v>
      </c>
      <c r="K51" s="97" t="str">
        <f>IF(ISEVEN(B51),(B51-1)&amp;"/"&amp;B51,B51&amp;"/"&amp;(B51+1))</f>
        <v>4053/4054</v>
      </c>
      <c r="L51" s="21" t="str">
        <f>VLOOKUP(A51,'Trips&amp;Operators'!$C$1:$G$99999,5,FALSE)</f>
        <v>ROCHA YAOTL</v>
      </c>
      <c r="M51" s="6">
        <f>I51-F51</f>
        <v>2.548611110978527E-2</v>
      </c>
      <c r="N51" s="7">
        <f>24*60*SUM($M51:$M51)</f>
        <v>36.699999998090789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-20T08:09:48-0600',mode:absolute,to:'2017-04-20T10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23.2989</v>
      </c>
      <c r="Z51" s="62">
        <f>RIGHT(H51,LEN(H51)-4)/10000</f>
        <v>1.3899999999999999E-2</v>
      </c>
      <c r="AA51" s="62">
        <f>ABS(Z51-Y51)</f>
        <v>23.285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0138-20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/stypes="app*4053*20170420*"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138-20 --locoid 4053 --swversion DE.1.0.9.0 --startMP 204:232989 --initTime 2017-04-20T09:09:48 --startdatetime 2017-04-20T09:11:34 --delay 1 --endMP 204:139 --enddatetime 2017-04-20T09:48:16 --enforcementcount 0 &gt;&gt;C:\Users\stu\Documents\GitHub\eaglep3-reporting\EC\2017-04-20-refined-times.txt</v>
      </c>
      <c r="AI51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{"issue":{"subject":"","project_id":79,"tracker_id":40,"status_id":1,"priority_id":2,"assigned_to_id":23,"start_date":"2017-04-20","description":"","custom_fields":[{"id":1,"name":"Subdivision","value":"EC"},{"id":4,"name":"Milepost","value":"0.0139"},{"id":17,"name":"Train ID","value":"138-20"},{"id":16,"name":"Locomotive ID","value":"4053"},{"id":130,"name":"Impact","value":""},{"id":150,"name":"Time of Event (Mountain Time)","value":"09:48:16"},{"id":151,"name":"Denver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4053 --day 2017-04-20</v>
      </c>
      <c r="AN51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15:48:16"},{"id":29,"name":"Sharepoint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694</v>
      </c>
      <c r="B52" s="7">
        <v>4008</v>
      </c>
      <c r="C52" s="21" t="s">
        <v>213</v>
      </c>
      <c r="D52" s="21" t="s">
        <v>441</v>
      </c>
      <c r="E52" s="13">
        <v>42845.349733796298</v>
      </c>
      <c r="F52" s="13">
        <v>42845.354398148149</v>
      </c>
      <c r="G52" s="7">
        <v>1</v>
      </c>
      <c r="H52" s="21" t="s">
        <v>463</v>
      </c>
      <c r="I52" s="13">
        <v>42845.378587962965</v>
      </c>
      <c r="J52" s="7">
        <v>0</v>
      </c>
      <c r="K52" s="97" t="str">
        <f>IF(ISEVEN(B52),(B52-1)&amp;"/"&amp;B52,B52&amp;"/"&amp;(B52+1))</f>
        <v>4007/4008</v>
      </c>
      <c r="L52" s="21" t="str">
        <f>VLOOKUP(A52,'Trips&amp;Operators'!$C$1:$G$99999,5,FALSE)</f>
        <v>YORK EDGAR</v>
      </c>
      <c r="M52" s="6">
        <f>I52-F52</f>
        <v>2.4189814816054422E-2</v>
      </c>
      <c r="N52" s="7">
        <f>24*60*SUM($M52:$M52)</f>
        <v>34.833333335118368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-20T07:23:37-0600',mode:absolute,to:'2017-04-20T10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4.4699999999999997E-2</v>
      </c>
      <c r="Z52" s="62">
        <f>RIGHT(H52,LEN(H52)-4)/10000</f>
        <v>23.329899999999999</v>
      </c>
      <c r="AA52" s="62">
        <f>ABS(Z52-Y52)</f>
        <v>23.2852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0139-20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/stypes="app*4008*20170420*" /stext=" 15:.+((SYSTEM_STATE.+slice.+state.+changed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139-20 --locoid 4008 --swversion DE.1.0.9.0 --startMP 204:447 --initTime 2017-04-20T08:23:37 --startdatetime 2017-04-20T08:30:20 --delay 1 --endMP 204:233299 --enddatetime 2017-04-20T09:05:10 --enforcementcount 0 &gt;&gt;C:\Users\stu\Documents\GitHub\eaglep3-reporting\EC\2017-04-20-refined-times.txt</v>
      </c>
      <c r="AI5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ID","value":"139-20"},{"id":16,"name":"Locomotive ID","value":"4008"},{"id":130,"name":"Impact","value":""},{"id":150,"name":"Time of Event (Mountain Time)","value":"09:05:10"},{"id":151,"name":"Denver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4008 --day 2017-04-20</v>
      </c>
      <c r="AN5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700</v>
      </c>
      <c r="B53" s="7">
        <v>4007</v>
      </c>
      <c r="C53" s="21" t="s">
        <v>213</v>
      </c>
      <c r="D53" s="21" t="s">
        <v>580</v>
      </c>
      <c r="E53" s="13">
        <v>42845.379386574074</v>
      </c>
      <c r="F53" s="13">
        <v>42845.393750000003</v>
      </c>
      <c r="G53" s="7">
        <v>1</v>
      </c>
      <c r="H53" s="21" t="s">
        <v>398</v>
      </c>
      <c r="I53" s="13">
        <v>42845.419236111113</v>
      </c>
      <c r="J53" s="7">
        <v>0</v>
      </c>
      <c r="K53" s="97" t="str">
        <f>IF(ISEVEN(B53),(B53-1)&amp;"/"&amp;B53,B53&amp;"/"&amp;(B53+1))</f>
        <v>4007/4008</v>
      </c>
      <c r="L53" s="21" t="str">
        <f>VLOOKUP(A53,'Trips&amp;Operators'!$C$1:$G$99999,5,FALSE)</f>
        <v>YORK EDGAR</v>
      </c>
      <c r="M53" s="6">
        <f>I53-F53</f>
        <v>2.548611110978527E-2</v>
      </c>
      <c r="N53" s="7">
        <f>24*60*SUM($M53:$M53)</f>
        <v>36.699999998090789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-20T08:06:19-0600',mode:absolute,to:'2017-04-20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23.297799999999999</v>
      </c>
      <c r="Z53" s="62">
        <f>RIGHT(H53,LEN(H53)-4)/10000</f>
        <v>1.38E-2</v>
      </c>
      <c r="AA53" s="62">
        <f>ABS(Z53-Y53)</f>
        <v>23.283999999999999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0140-20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/stypes="app*4007*20170420*" /stext=" 16:.+((SYSTEM_STATE.+slice.+state.+changed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140-20 --locoid 4007 --swversion DE.1.0.9.0 --startMP 204:232978 --initTime 2017-04-20T09:06:19 --startdatetime 2017-04-20T09:27:00 --delay 1 --endMP 204:138 --enddatetime 2017-04-20T10:03:42 --enforcementcount 0 &gt;&gt;C:\Users\stu\Documents\GitHub\eaglep3-reporting\EC\2017-04-20-refined-times.txt</v>
      </c>
      <c r="AI5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ID","value":"140-20"},{"id":16,"name":"Locomotive ID","value":"4007"},{"id":130,"name":"Impact","value":""},{"id":150,"name":"Time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4007 --day 2017-04-20</v>
      </c>
      <c r="AN5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698</v>
      </c>
      <c r="B54" s="7">
        <v>4024</v>
      </c>
      <c r="C54" s="21" t="s">
        <v>213</v>
      </c>
      <c r="D54" s="21" t="s">
        <v>404</v>
      </c>
      <c r="E54" s="13">
        <v>42845.360509259262</v>
      </c>
      <c r="F54" s="13">
        <v>42845.36482638889</v>
      </c>
      <c r="G54" s="7">
        <v>1</v>
      </c>
      <c r="H54" s="21" t="s">
        <v>434</v>
      </c>
      <c r="I54" s="13">
        <v>42845.39025462963</v>
      </c>
      <c r="J54" s="7">
        <v>0</v>
      </c>
      <c r="K54" s="97" t="str">
        <f>IF(ISEVEN(B54),(B54-1)&amp;"/"&amp;B54,B54&amp;"/"&amp;(B54+1))</f>
        <v>4023/4024</v>
      </c>
      <c r="L54" s="21" t="str">
        <f>VLOOKUP(A54,'Trips&amp;Operators'!$C$1:$G$99999,5,FALSE)</f>
        <v>BADERTSCHER DIANE</v>
      </c>
      <c r="M54" s="6">
        <f>I54-F54</f>
        <v>2.5428240740438923E-2</v>
      </c>
      <c r="N54" s="7">
        <f>24*60*SUM($M54:$M54)</f>
        <v>36.616666666232049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-20T07:39:08-0600',mode:absolute,to:'2017-04-20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4.6199999999999998E-2</v>
      </c>
      <c r="Z54" s="62">
        <f>RIGHT(H54,LEN(H54)-4)/10000</f>
        <v>23.3306</v>
      </c>
      <c r="AA54" s="62">
        <f>ABS(Z54-Y54)</f>
        <v>23.284400000000002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0141-20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/stypes="app*4024*20170420*" /stext=" 15:.+((SYSTEM_STATE.+slice.+state.+changed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141-20 --locoid 4024 --swversion DE.1.0.9.0 --startMP 204:462 --initTime 2017-04-20T08:39:08 --startdatetime 2017-04-20T08:45:21 --delay 1 --endMP 204:233306 --enddatetime 2017-04-20T09:21:58 --enforcementcount 0 &gt;&gt;C:\Users\stu\Documents\GitHub\eaglep3-reporting\EC\2017-04-20-refined-times.txt</v>
      </c>
      <c r="AI5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ID","value":"141-20"},{"id":16,"name":"Locomotive ID","value":"4024"},{"id":130,"name":"Impact","value":""},{"id":150,"name":"Time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4024 --day 2017-04-20</v>
      </c>
      <c r="AN5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704</v>
      </c>
      <c r="B55" s="7">
        <v>4023</v>
      </c>
      <c r="C55" s="21" t="s">
        <v>213</v>
      </c>
      <c r="D55" s="21" t="s">
        <v>517</v>
      </c>
      <c r="E55" s="13">
        <v>42845.398946759262</v>
      </c>
      <c r="F55" s="13">
        <v>42845.403773148151</v>
      </c>
      <c r="G55" s="7">
        <v>1</v>
      </c>
      <c r="H55" s="21" t="s">
        <v>461</v>
      </c>
      <c r="I55" s="13">
        <v>42845.431643518517</v>
      </c>
      <c r="J55" s="7">
        <v>0</v>
      </c>
      <c r="K55" s="97" t="str">
        <f>IF(ISEVEN(B55),(B55-1)&amp;"/"&amp;B55,B55&amp;"/"&amp;(B55+1))</f>
        <v>4023/4024</v>
      </c>
      <c r="L55" s="21" t="str">
        <f>VLOOKUP(A55,'Trips&amp;Operators'!$C$1:$G$99999,5,FALSE)</f>
        <v>BADERTSCHER DIANE</v>
      </c>
      <c r="M55" s="6">
        <f>I55-F55</f>
        <v>2.7870370366144925E-2</v>
      </c>
      <c r="N55" s="7">
        <f>24*60*SUM($M55:$M55)</f>
        <v>40.133333327248693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-20T08:34:29-0600',mode:absolute,to:'2017-04-20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23.299399999999999</v>
      </c>
      <c r="Z55" s="62">
        <f>RIGHT(H55,LEN(H55)-4)/10000</f>
        <v>1.5599999999999999E-2</v>
      </c>
      <c r="AA55" s="62">
        <f>ABS(Z55-Y55)</f>
        <v>23.283799999999999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0142-20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/stypes="app*4023*20170420*" /stext=" 16:.+((SYSTEM_STATE.+slice.+state.+changed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142-20 --locoid 4023 --swversion DE.1.0.9.0 --startMP 204:232994 --initTime 2017-04-20T09:34:29 --startdatetime 2017-04-20T09:41:26 --delay 1 --endMP 204:156 --enddatetime 2017-04-20T10:21:34 --enforcementcount 0 &gt;&gt;C:\Users\stu\Documents\GitHub\eaglep3-reporting\EC\2017-04-20-refined-times.txt</v>
      </c>
      <c r="AI5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{"issue":{"subject":"","project_id":79,"tracker_id":40,"status_id":1,"priority_id":2,"assigned_to_id":23,"start_date":"2017-04-20","description":"","custom_fields":[{"id":1,"name":"Subdivision","value":"EC"},{"id":4,"name":"Milepost","value":"0.0156"},{"id":17,"name":"Train ID","value":"142-20"},{"id":16,"name":"Locomotive ID","value":"4023"},{"id":130,"name":"Impact","value":""},{"id":150,"name":"Time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4023 --day 2017-04-20</v>
      </c>
      <c r="AN5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699</v>
      </c>
      <c r="B56" s="7">
        <v>4042</v>
      </c>
      <c r="C56" s="21" t="s">
        <v>213</v>
      </c>
      <c r="D56" s="21" t="s">
        <v>435</v>
      </c>
      <c r="E56" s="13">
        <v>42845.371689814812</v>
      </c>
      <c r="F56" s="13">
        <v>42845.375555555554</v>
      </c>
      <c r="G56" s="7">
        <v>1</v>
      </c>
      <c r="H56" s="21" t="s">
        <v>397</v>
      </c>
      <c r="I56" s="13">
        <v>42845.400405092594</v>
      </c>
      <c r="J56" s="7">
        <v>0</v>
      </c>
      <c r="K56" s="97" t="str">
        <f>IF(ISEVEN(B56),(B56-1)&amp;"/"&amp;B56,B56&amp;"/"&amp;(B56+1))</f>
        <v>4041/4042</v>
      </c>
      <c r="L56" s="21" t="str">
        <f>VLOOKUP(A56,'Trips&amp;Operators'!$C$1:$G$99999,5,FALSE)</f>
        <v>STARKS ANGELINA</v>
      </c>
      <c r="M56" s="6">
        <f>I56-F56</f>
        <v>2.4849537039699499E-2</v>
      </c>
      <c r="N56" s="7">
        <f>24*60*SUM($M56:$M56)</f>
        <v>35.783333337167278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-20T07:55:14-0600',mode:absolute,to:'2017-04-20T10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4.6699999999999998E-2</v>
      </c>
      <c r="Z56" s="62">
        <f>RIGHT(H56,LEN(H56)-4)/10000</f>
        <v>23.329499999999999</v>
      </c>
      <c r="AA56" s="62">
        <f>ABS(Z56-Y56)</f>
        <v>23.282799999999998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0143-20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/stypes="app*4042*20170420*" /stext=" 15:.+((SYSTEM_STATE.+slice.+state.+changed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143-20 --locoid 4042 --swversion DE.1.0.9.0 --startMP 204:467 --initTime 2017-04-20T08:55:14 --startdatetime 2017-04-20T09:00:48 --delay 1 --endMP 204:233295 --enddatetime 2017-04-20T09:36:35 --enforcementcount 0 &gt;&gt;C:\Users\stu\Documents\GitHub\eaglep3-reporting\EC\2017-04-20-refined-times.txt</v>
      </c>
      <c r="AI5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ID","value":"143-20"},{"id":16,"name":"Locomotive ID","value":"4042"},{"id":130,"name":"Impact","value":""},{"id":150,"name":"Time of Event (Mountain Time)","value":"09:36:35"},{"id":151,"name":"Denver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4042 --day 2017-04-20</v>
      </c>
      <c r="AN5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706</v>
      </c>
      <c r="B57" s="7">
        <v>4041</v>
      </c>
      <c r="C57" s="21" t="s">
        <v>213</v>
      </c>
      <c r="D57" s="21" t="s">
        <v>870</v>
      </c>
      <c r="E57" s="13">
        <v>42845.411863425928</v>
      </c>
      <c r="F57" s="13">
        <v>42845.414050925923</v>
      </c>
      <c r="G57" s="7">
        <v>1</v>
      </c>
      <c r="H57" s="21" t="s">
        <v>197</v>
      </c>
      <c r="I57" s="13">
        <v>42845.442025462966</v>
      </c>
      <c r="J57" s="7">
        <v>0</v>
      </c>
      <c r="K57" s="97" t="str">
        <f>IF(ISEVEN(B57),(B57-1)&amp;"/"&amp;B57,B57&amp;"/"&amp;(B57+1))</f>
        <v>4041/4042</v>
      </c>
      <c r="L57" s="21" t="str">
        <f>VLOOKUP(A57,'Trips&amp;Operators'!$C$1:$G$99999,5,FALSE)</f>
        <v>STARKS ANGELINA</v>
      </c>
      <c r="M57" s="6">
        <f>I57-F57</f>
        <v>2.7974537042609882E-2</v>
      </c>
      <c r="N57" s="7">
        <f>24*60*SUM($M57:$M57)</f>
        <v>40.28333334135823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-20T08:53:05-0600',mode:absolute,to:'2017-04-20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23.2988</v>
      </c>
      <c r="Z57" s="62">
        <f>RIGHT(H57,LEN(H57)-4)/10000</f>
        <v>1.52E-2</v>
      </c>
      <c r="AA57" s="62">
        <f>ABS(Z57-Y57)</f>
        <v>23.2836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0144-20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/stypes="app*4041*20170420*" /stext=" 16:.+((SYSTEM_STATE.+slice.+state.+changed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144-20 --locoid 4041 --swversion DE.1.0.9.0 --startMP 204:232988 --initTime 2017-04-20T09:53:05 --startdatetime 2017-04-20T09:56:14 --delay 1 --endMP 204:152 --enddatetime 2017-04-20T10:36:31 --enforcementcount 0 &gt;&gt;C:\Users\stu\Documents\GitHub\eaglep3-reporting\EC\2017-04-20-refined-times.txt</v>
      </c>
      <c r="AI5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ID","value":"144-20"},{"id":16,"name":"Locomotive ID","value":"4041"},{"id":130,"name":"Impact","value":""},{"id":150,"name":"Time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4041 --day 2017-04-20</v>
      </c>
      <c r="AN5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628</v>
      </c>
      <c r="B58" s="7">
        <v>4002</v>
      </c>
      <c r="C58" s="21" t="s">
        <v>213</v>
      </c>
      <c r="D58" s="21" t="s">
        <v>388</v>
      </c>
      <c r="E58" s="13">
        <v>42845.381180555552</v>
      </c>
      <c r="F58" s="13">
        <v>42845.385613425926</v>
      </c>
      <c r="G58" s="7">
        <v>2</v>
      </c>
      <c r="H58" s="21" t="s">
        <v>478</v>
      </c>
      <c r="I58" s="13">
        <v>42845.41064814815</v>
      </c>
      <c r="J58" s="7">
        <v>0</v>
      </c>
      <c r="K58" s="97" t="str">
        <f>IF(ISEVEN(B58),(B58-1)&amp;"/"&amp;B58,B58&amp;"/"&amp;(B58+1))</f>
        <v>4001/4002</v>
      </c>
      <c r="L58" s="21" t="str">
        <f>VLOOKUP(A58,'Trips&amp;Operators'!$C$1:$G$99999,5,FALSE)</f>
        <v>YANAI IAN</v>
      </c>
      <c r="M58" s="6">
        <f>I58-F58</f>
        <v>2.5034722224518191E-2</v>
      </c>
      <c r="N58" s="7">
        <f>24*60*SUM($M58:$M58)</f>
        <v>36.050000003306195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4.4900000000000002E-2</v>
      </c>
      <c r="Z58" s="62">
        <f>RIGHT(H58,LEN(H58)-4)/10000</f>
        <v>23.3323</v>
      </c>
      <c r="AA58" s="62">
        <f>ABS(Z58-Y58)</f>
        <v>23.287400000000002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>IF(LEN(A58)=6,"0"&amp;A58,A58)</f>
        <v>0145-20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/stypes="app*4002*20170420*" /stext=" 15:.+((SYSTEM_STATE.+slice.+state.+changed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145-20 --locoid 4002 --swversion DE.1.0.9.0 --startMP 204:449 --initTime 2017-04-20T09:08:54 --startdatetime 2017-04-20T09:15:17 --delay 2 --endMP 204:233323 --enddatetime 2017-04-20T09:51:20 --enforcementcount 0 &gt;&gt;C:\Users\stu\Documents\GitHub\eaglep3-reporting\EC\2017-04-20-refined-times.txt</v>
      </c>
      <c r="AI5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ID","value":"145-20"},{"id":16,"name":"Locomotive ID","value":"4002"},{"id":130,"name":"Impact","value":""},{"id":150,"name":"Time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4002 --day 2017-04-20</v>
      </c>
      <c r="AN5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707</v>
      </c>
      <c r="B59" s="7">
        <v>4001</v>
      </c>
      <c r="C59" s="21" t="s">
        <v>213</v>
      </c>
      <c r="D59" s="21" t="s">
        <v>517</v>
      </c>
      <c r="E59" s="13">
        <v>42845.412442129629</v>
      </c>
      <c r="F59" s="13">
        <v>42845.424502314818</v>
      </c>
      <c r="G59" s="7">
        <v>1</v>
      </c>
      <c r="H59" s="21" t="s">
        <v>197</v>
      </c>
      <c r="I59" s="13">
        <v>42845.451574074075</v>
      </c>
      <c r="J59" s="7">
        <v>0</v>
      </c>
      <c r="K59" s="97" t="str">
        <f>IF(ISEVEN(B59),(B59-1)&amp;"/"&amp;B59,B59&amp;"/"&amp;(B59+1))</f>
        <v>4001/4002</v>
      </c>
      <c r="L59" s="21" t="str">
        <f>VLOOKUP(A59,'Trips&amp;Operators'!$C$1:$G$99999,5,FALSE)</f>
        <v>YANAI IAN</v>
      </c>
      <c r="M59" s="6">
        <f>I59-F59</f>
        <v>2.7071759257523809E-2</v>
      </c>
      <c r="N59" s="7">
        <f>24*60*SUM($M59:$M59)</f>
        <v>38.983333330834284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-20T08:53:55-0600',mode:absolute,to:'2017-04-20T11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23.299399999999999</v>
      </c>
      <c r="Z59" s="62">
        <f>RIGHT(H59,LEN(H59)-4)/10000</f>
        <v>1.52E-2</v>
      </c>
      <c r="AA59" s="62">
        <f>ABS(Z59-Y59)</f>
        <v>23.284199999999998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0146-20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/stypes="app*4001*20170420*"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146-20 --locoid 4001 --swversion DE.1.0.9.0 --startMP 204:232994 --initTime 2017-04-20T09:53:55 --startdatetime 2017-04-20T10:11:17 --delay 1 --endMP 204:152 --enddatetime 2017-04-20T10:50:16 --enforcementcount 0 &gt;&gt;C:\Users\stu\Documents\GitHub\eaglep3-reporting\EC\2017-04-20-refined-times.txt</v>
      </c>
      <c r="AI5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ID","value":"146-20"},{"id":16,"name":"Locomotive ID","value":"4001"},{"id":130,"name":"Impact","value":""},{"id":150,"name":"Time of Event (Mountain Time)","value":"10:50:16"},{"id":151,"name":"Denver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4001 --day 2017-04-20</v>
      </c>
      <c r="AN5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703</v>
      </c>
      <c r="B60" s="7">
        <v>4046</v>
      </c>
      <c r="C60" s="21" t="s">
        <v>213</v>
      </c>
      <c r="D60" s="21" t="s">
        <v>442</v>
      </c>
      <c r="E60" s="13">
        <v>42845.392395833333</v>
      </c>
      <c r="F60" s="13">
        <v>42845.396041666667</v>
      </c>
      <c r="G60" s="7">
        <v>1</v>
      </c>
      <c r="H60" s="21" t="s">
        <v>588</v>
      </c>
      <c r="I60" s="13">
        <v>42845.420393518521</v>
      </c>
      <c r="J60" s="7">
        <v>0</v>
      </c>
      <c r="K60" s="97" t="str">
        <f>IF(ISEVEN(B60),(B60-1)&amp;"/"&amp;B60,B60&amp;"/"&amp;(B60+1))</f>
        <v>4045/4046</v>
      </c>
      <c r="L60" s="21" t="str">
        <f>VLOOKUP(A60,'Trips&amp;Operators'!$C$1:$G$99999,5,FALSE)</f>
        <v>COOLAHAN JOHN</v>
      </c>
      <c r="M60" s="6">
        <f>I60-F60</f>
        <v>2.4351851854589768E-2</v>
      </c>
      <c r="N60" s="7">
        <f>24*60*SUM($M60:$M60)</f>
        <v>35.066666670609266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-20T08:25:03-0600',mode:absolute,to:'2017-04-20T11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4.7300000000000002E-2</v>
      </c>
      <c r="Z60" s="62">
        <f>RIGHT(H60,LEN(H60)-4)/10000</f>
        <v>23.331600000000002</v>
      </c>
      <c r="AA60" s="62">
        <f>ABS(Z60-Y60)</f>
        <v>23.284300000000002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0147-20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/stypes="app*4046*20170420*" /stext=" 16:.+((SYSTEM_STATE.+slice.+state.+changed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147-20 --locoid 4046 --swversion DE.1.0.9.0 --startMP 204:473 --initTime 2017-04-20T09:25:03 --startdatetime 2017-04-20T09:30:18 --delay 1 --endMP 204:233316 --enddatetime 2017-04-20T10:05:22 --enforcementcount 0 &gt;&gt;C:\Users\stu\Documents\GitHub\eaglep3-reporting\EC\2017-04-20-refined-times.txt</v>
      </c>
      <c r="AI6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{"issue":{"subject":"","project_id":79,"tracker_id":40,"status_id":1,"priority_id":2,"assigned_to_id":23,"start_date":"2017-04-20","description":"","custom_fields":[{"id":1,"name":"Subdivision","value":"EC"},{"id":4,"name":"Milepost","value":"23.3316"},{"id":17,"name":"Train ID","value":"147-20"},{"id":16,"name":"Locomotive ID","value":"4046"},{"id":130,"name":"Impact","value":""},{"id":150,"name":"Time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4046 --day 2017-04-20</v>
      </c>
      <c r="AN6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711</v>
      </c>
      <c r="B61" s="7">
        <v>4045</v>
      </c>
      <c r="C61" s="21" t="s">
        <v>213</v>
      </c>
      <c r="D61" s="21" t="s">
        <v>884</v>
      </c>
      <c r="E61" s="13">
        <v>42845.429097222222</v>
      </c>
      <c r="F61" s="13">
        <v>42845.435173611113</v>
      </c>
      <c r="G61" s="7">
        <v>2</v>
      </c>
      <c r="H61" s="21" t="s">
        <v>445</v>
      </c>
      <c r="I61" s="13">
        <v>42845.461793981478</v>
      </c>
      <c r="J61" s="7">
        <v>0</v>
      </c>
      <c r="K61" s="97" t="str">
        <f>IF(ISEVEN(B61),(B61-1)&amp;"/"&amp;B61,B61&amp;"/"&amp;(B61+1))</f>
        <v>4045/4046</v>
      </c>
      <c r="L61" s="21" t="str">
        <f>VLOOKUP(A61,'Trips&amp;Operators'!$C$1:$G$99999,5,FALSE)</f>
        <v>COOLAHAN JOHN</v>
      </c>
      <c r="M61" s="6">
        <f>I61-F61</f>
        <v>2.6620370364980772E-2</v>
      </c>
      <c r="N61" s="7">
        <f>24*60*SUM($M61:$M61)</f>
        <v>38.333333325572312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-20T09:17:54-0600',mode:absolute,to:'2017-04-20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23.3003</v>
      </c>
      <c r="Z61" s="62">
        <f>RIGHT(H61,LEN(H61)-4)/10000</f>
        <v>1.49E-2</v>
      </c>
      <c r="AA61" s="62">
        <f>ABS(Z61-Y61)</f>
        <v>23.285399999999999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0148-20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/stypes="app*4045*20170420*" /stext=" 17:.+((SYSTEM_STATE.+slice.+state.+changed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148-20 --locoid 4045 --swversion DE.1.0.9.0 --startMP 204:233003 --initTime 2017-04-20T10:17:54 --startdatetime 2017-04-20T10:26:39 --delay 2 --endMP 204:149 --enddatetime 2017-04-20T11:04:59 --enforcementcount 0 &gt;&gt;C:\Users\stu\Documents\GitHub\eaglep3-reporting\EC\2017-04-20-refined-times.txt</v>
      </c>
      <c r="AI61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ID","value":"148-20"},{"id":16,"name":"Locomotive ID","value":"4045"},{"id":130,"name":"Impact","value":""},{"id":150,"name":"Time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4045 --day 2017-04-20</v>
      </c>
      <c r="AN61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705</v>
      </c>
      <c r="B62" s="7">
        <v>4026</v>
      </c>
      <c r="C62" s="21" t="s">
        <v>213</v>
      </c>
      <c r="D62" s="21" t="s">
        <v>205</v>
      </c>
      <c r="E62" s="13">
        <v>42845.402824074074</v>
      </c>
      <c r="F62" s="13">
        <v>42845.406423611108</v>
      </c>
      <c r="G62" s="7">
        <v>1</v>
      </c>
      <c r="H62" s="21" t="s">
        <v>600</v>
      </c>
      <c r="I62" s="13">
        <v>42845.431574074071</v>
      </c>
      <c r="J62" s="7">
        <v>0</v>
      </c>
      <c r="K62" s="97" t="str">
        <f>IF(ISEVEN(B62),(B62-1)&amp;"/"&amp;B62,B62&amp;"/"&amp;(B62+1))</f>
        <v>4025/4026</v>
      </c>
      <c r="L62" s="21" t="str">
        <f>VLOOKUP(A62,'Trips&amp;Operators'!$C$1:$G$99999,5,FALSE)</f>
        <v>GEBRETEKLE DAGNEW</v>
      </c>
      <c r="M62" s="6">
        <f>I62-F62</f>
        <v>2.5150462963210884E-2</v>
      </c>
      <c r="N62" s="7">
        <f>24*60*SUM($M62:$M62)</f>
        <v>36.216666667023674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-20T08:40:04-0600',mode:absolute,to:'2017-04-20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4.5999999999999999E-2</v>
      </c>
      <c r="Z62" s="62">
        <f>RIGHT(H62,LEN(H62)-4)/10000</f>
        <v>23.325700000000001</v>
      </c>
      <c r="AA62" s="62">
        <f>ABS(Z62-Y62)</f>
        <v>23.279700000000002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0149-20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/stypes="app*4026*20170420*" /stext=" 16:.+((SYSTEM_STATE.+slice.+state.+changed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149-20 --locoid 4026 --swversion DE.1.0.9.0 --startMP 204:460 --initTime 2017-04-20T09:40:04 --startdatetime 2017-04-20T09:45:15 --delay 1 --endMP 204:233257 --enddatetime 2017-04-20T10:21:28 --enforcementcount 0 &gt;&gt;C:\Users\stu\Documents\GitHub\eaglep3-reporting\EC\2017-04-20-refined-times.txt</v>
      </c>
      <c r="AI6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{"issue":{"subject":"","project_id":79,"tracker_id":40,"status_id":1,"priority_id":2,"assigned_to_id":23,"start_date":"2017-04-20","description":"","custom_fields":[{"id":1,"name":"Subdivision","value":"EC"},{"id":4,"name":"Milepost","value":"23.3257"},{"id":17,"name":"Train ID","value":"149-20"},{"id":16,"name":"Locomotive ID","value":"4026"},{"id":130,"name":"Impact","value":""},{"id":150,"name":"Time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4026 --day 2017-04-20</v>
      </c>
      <c r="AN6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713</v>
      </c>
      <c r="B63" s="7">
        <v>4025</v>
      </c>
      <c r="C63" s="21" t="s">
        <v>213</v>
      </c>
      <c r="D63" s="21" t="s">
        <v>524</v>
      </c>
      <c r="E63" s="13">
        <v>42845.438321759262</v>
      </c>
      <c r="F63" s="13">
        <v>42845.445370370369</v>
      </c>
      <c r="G63" s="7">
        <v>1</v>
      </c>
      <c r="H63" s="21" t="s">
        <v>498</v>
      </c>
      <c r="I63" s="13">
        <v>42845.472511574073</v>
      </c>
      <c r="J63" s="7">
        <v>0</v>
      </c>
      <c r="K63" s="97" t="str">
        <f>IF(ISEVEN(B63),(B63-1)&amp;"/"&amp;B63,B63&amp;"/"&amp;(B63+1))</f>
        <v>4025/4026</v>
      </c>
      <c r="L63" s="21" t="str">
        <f>VLOOKUP(A63,'Trips&amp;Operators'!$C$1:$G$99999,5,FALSE)</f>
        <v>GEBRETEKLE DAGNEW</v>
      </c>
      <c r="M63" s="6">
        <f>I63-F63</f>
        <v>2.7141203703649808E-2</v>
      </c>
      <c r="N63" s="7">
        <f>24*60*SUM($M63:$M63)</f>
        <v>39.083333333255723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-20T09:31:11-0600',mode:absolute,to:'2017-04-20T12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23.2959</v>
      </c>
      <c r="Z63" s="62">
        <f>RIGHT(H63,LEN(H63)-4)/10000</f>
        <v>1.6500000000000001E-2</v>
      </c>
      <c r="AA63" s="62">
        <f>ABS(Z63-Y63)</f>
        <v>23.279399999999999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0150-20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/stypes="app*4025*20170420*" /stext=" 17:.+((SYSTEM_STATE.+slice.+state.+changed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150-20 --locoid 4025 --swversion DE.1.0.9.0 --startMP 204:232959 --initTime 2017-04-20T10:31:11 --startdatetime 2017-04-20T10:41:20 --delay 1 --endMP 204:165 --enddatetime 2017-04-20T11:20:25 --enforcementcount 0 &gt;&gt;C:\Users\stu\Documents\GitHub\eaglep3-reporting\EC\2017-04-20-refined-times.txt</v>
      </c>
      <c r="AI6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ID","value":"150-20"},{"id":16,"name":"Locomotive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4025 --day 2017-04-20</v>
      </c>
      <c r="AN6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708</v>
      </c>
      <c r="B64" s="7">
        <v>4054</v>
      </c>
      <c r="C64" s="21" t="s">
        <v>213</v>
      </c>
      <c r="D64" s="21" t="s">
        <v>388</v>
      </c>
      <c r="E64" s="13">
        <v>42845.414803240739</v>
      </c>
      <c r="F64" s="13">
        <v>42845.416875000003</v>
      </c>
      <c r="G64" s="7">
        <v>1</v>
      </c>
      <c r="H64" s="21" t="s">
        <v>882</v>
      </c>
      <c r="I64" s="13">
        <v>42845.441053240742</v>
      </c>
      <c r="J64" s="7">
        <v>0</v>
      </c>
      <c r="K64" s="97" t="str">
        <f>IF(ISEVEN(B64),(B64-1)&amp;"/"&amp;B64,B64&amp;"/"&amp;(B64+1))</f>
        <v>4053/4054</v>
      </c>
      <c r="L64" s="21" t="str">
        <f>VLOOKUP(A64,'Trips&amp;Operators'!$C$1:$G$99999,5,FALSE)</f>
        <v>ROCHA YAOTL</v>
      </c>
      <c r="M64" s="6">
        <f>I64-F64</f>
        <v>2.417824073927477E-2</v>
      </c>
      <c r="N64" s="7">
        <f>24*60*SUM($M64:$M64)</f>
        <v>34.816666664555669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-20T08:57:19-0600',mode:absolute,to:'2017-04-20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4.4900000000000002E-2</v>
      </c>
      <c r="Z64" s="62">
        <f>RIGHT(H64,LEN(H64)-4)/10000</f>
        <v>23.3278</v>
      </c>
      <c r="AA64" s="62">
        <f>ABS(Z64-Y64)</f>
        <v>23.282900000000001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0151-20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/stypes="app*4054*20170420*" /stext=" 16:.+((SYSTEM_STATE.+slice.+state.+changed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151-20 --locoid 4054 --swversion DE.1.0.9.0 --startMP 204:449 --initTime 2017-04-20T09:57:19 --startdatetime 2017-04-20T10:00:18 --delay 1 --endMP 204:233278 --enddatetime 2017-04-20T10:35:07 --enforcementcount 0 &gt;&gt;C:\Users\stu\Documents\GitHub\eaglep3-reporting\EC\2017-04-20-refined-times.txt</v>
      </c>
      <c r="AI6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{"issue":{"subject":"","project_id":79,"tracker_id":40,"status_id":1,"priority_id":2,"assigned_to_id":23,"start_date":"2017-04-20","description":"","custom_fields":[{"id":1,"name":"Subdivision","value":"EC"},{"id":4,"name":"Milepost","value":"23.3278"},{"id":17,"name":"Train ID","value":"151-20"},{"id":16,"name":"Locomotive ID","value":"4054"},{"id":130,"name":"Impact","value":""},{"id":150,"name":"Time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4054 --day 2017-04-20</v>
      </c>
      <c r="AN6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717</v>
      </c>
      <c r="B65" s="7">
        <v>4053</v>
      </c>
      <c r="C65" s="21" t="s">
        <v>213</v>
      </c>
      <c r="D65" s="21" t="s">
        <v>394</v>
      </c>
      <c r="E65" s="13">
        <v>42845.454606481479</v>
      </c>
      <c r="F65" s="13">
        <v>42845.456053240741</v>
      </c>
      <c r="G65" s="7">
        <v>1</v>
      </c>
      <c r="H65" s="21" t="s">
        <v>399</v>
      </c>
      <c r="I65" s="13">
        <v>42845.48159722222</v>
      </c>
      <c r="J65" s="7">
        <v>0</v>
      </c>
      <c r="K65" s="97" t="str">
        <f>IF(ISEVEN(B65),(B65-1)&amp;"/"&amp;B65,B65&amp;"/"&amp;(B65+1))</f>
        <v>4053/4054</v>
      </c>
      <c r="L65" s="21" t="str">
        <f>VLOOKUP(A65,'Trips&amp;Operators'!$C$1:$G$99999,5,FALSE)</f>
        <v>ROCHA YAOTL</v>
      </c>
      <c r="M65" s="6">
        <f>I65-F65</f>
        <v>2.5543981479131617E-2</v>
      </c>
      <c r="N65" s="7">
        <f>24*60*SUM($M65:$M65)</f>
        <v>36.783333329949528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-20T09:54:38-0600',mode:absolute,to:'2017-04-20T12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23.297699999999999</v>
      </c>
      <c r="Z65" s="62">
        <f>RIGHT(H65,LEN(H65)-4)/10000</f>
        <v>1.41E-2</v>
      </c>
      <c r="AA65" s="62">
        <f>ABS(Z65-Y65)</f>
        <v>23.2836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0152-20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/stypes="app*4053*20170420*" /stext=" 17:.+((SYSTEM_STATE.+slice.+state.+changed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152-20 --locoid 4053 --swversion DE.1.0.9.0 --startMP 204:232977 --initTime 2017-04-20T10:54:38 --startdatetime 2017-04-20T10:56:43 --delay 1 --endMP 204:141 --enddatetime 2017-04-20T11:33:30 --enforcementcount 0 &gt;&gt;C:\Users\stu\Documents\GitHub\eaglep3-reporting\EC\2017-04-20-refined-times.txt</v>
      </c>
      <c r="AI65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ID","value":"152-20"},{"id":16,"name":"Locomotive ID","value":"4053"},{"id":130,"name":"Impact","value":""},{"id":150,"name":"Time of Event (Mountain Time)","value":"11:33:30"},{"id":151,"name":"Denver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4053 --day 2017-04-20</v>
      </c>
      <c r="AN65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709</v>
      </c>
      <c r="B66" s="7">
        <v>4008</v>
      </c>
      <c r="C66" s="21" t="s">
        <v>213</v>
      </c>
      <c r="D66" s="21" t="s">
        <v>481</v>
      </c>
      <c r="E66" s="13">
        <v>42845.420023148145</v>
      </c>
      <c r="F66" s="13">
        <v>42845.427499999998</v>
      </c>
      <c r="G66" s="7">
        <v>1</v>
      </c>
      <c r="H66" s="21" t="s">
        <v>460</v>
      </c>
      <c r="I66" s="13">
        <v>42845.453125</v>
      </c>
      <c r="J66" s="7">
        <v>0</v>
      </c>
      <c r="K66" s="97" t="str">
        <f>IF(ISEVEN(B66),(B66-1)&amp;"/"&amp;B66,B66&amp;"/"&amp;(B66+1))</f>
        <v>4007/4008</v>
      </c>
      <c r="L66" s="21" t="str">
        <f>VLOOKUP(A66,'Trips&amp;Operators'!$C$1:$G$99999,5,FALSE)</f>
        <v>YORK EDGAR</v>
      </c>
      <c r="M66" s="6">
        <f>I66-F66</f>
        <v>2.5625000002037268E-2</v>
      </c>
      <c r="N66" s="7">
        <f>24*60*SUM($M66:$M66)</f>
        <v>36.900000002933666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-20T09:04:50-0600',mode:absolute,to:'2017-04-20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4.3799999999999999E-2</v>
      </c>
      <c r="Z66" s="62">
        <f>RIGHT(H66,LEN(H66)-4)/10000</f>
        <v>23.331499999999998</v>
      </c>
      <c r="AA66" s="62">
        <f>ABS(Z66-Y66)</f>
        <v>23.287699999999997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0153-20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/stypes="app*4008*20170420*" /stext=" 16:.+((SYSTEM_STATE.+slice.+state.+changed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153-20 --locoid 4008 --swversion DE.1.0.9.0 --startMP 204:438 --initTime 2017-04-20T10:04:50 --startdatetime 2017-04-20T10:15:36 --delay 1 --endMP 204:233315 --enddatetime 2017-04-20T10:52:30 --enforcementcount 0 &gt;&gt;C:\Users\stu\Documents\GitHub\eaglep3-reporting\EC\2017-04-20-refined-times.txt</v>
      </c>
      <c r="AI66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{"issue":{"subject":"","project_id":79,"tracker_id":40,"status_id":1,"priority_id":2,"assigned_to_id":23,"start_date":"2017-04-20","description":"","custom_fields":[{"id":1,"name":"Subdivision","value":"EC"},{"id":4,"name":"Milepost","value":"23.3315"},{"id":17,"name":"Train ID","value":"153-20"},{"id":16,"name":"Locomotive ID","value":"4008"},{"id":130,"name":"Impact","value":""},{"id":150,"name":"Time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4008 --day 2017-04-20</v>
      </c>
      <c r="AN66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630</v>
      </c>
      <c r="B67" s="7">
        <v>4007</v>
      </c>
      <c r="C67" s="21" t="s">
        <v>213</v>
      </c>
      <c r="D67" s="21" t="s">
        <v>437</v>
      </c>
      <c r="E67" s="13">
        <v>42845.453923611109</v>
      </c>
      <c r="F67" s="13">
        <v>42845.466620370367</v>
      </c>
      <c r="G67" s="7">
        <v>1</v>
      </c>
      <c r="H67" s="21" t="s">
        <v>399</v>
      </c>
      <c r="I67" s="13">
        <v>42845.492395833331</v>
      </c>
      <c r="J67" s="7">
        <v>0</v>
      </c>
      <c r="K67" s="97" t="str">
        <f>IF(ISEVEN(B67),(B67-1)&amp;"/"&amp;B67,B67&amp;"/"&amp;(B67+1))</f>
        <v>4007/4008</v>
      </c>
      <c r="L67" s="21" t="str">
        <f>VLOOKUP(A67,'Trips&amp;Operators'!$C$1:$G$99999,5,FALSE)</f>
        <v>YORK EDGAR</v>
      </c>
      <c r="M67" s="6">
        <f>I67-F67</f>
        <v>2.5775462963792961E-2</v>
      </c>
      <c r="N67" s="7">
        <f>24*60*SUM($M67:$M67)</f>
        <v>37.116666667861864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23.3002</v>
      </c>
      <c r="Z67" s="62">
        <f>RIGHT(H67,LEN(H67)-4)/10000</f>
        <v>1.41E-2</v>
      </c>
      <c r="AA67" s="62">
        <f>ABS(Z67-Y67)</f>
        <v>23.286100000000001</v>
      </c>
      <c r="AB67" s="59" t="str">
        <f>VLOOKUP(A67,Enforcements!$C$7:$K$13,8,0)</f>
        <v>Bulletin (2)</v>
      </c>
      <c r="AC67" s="55" t="str">
        <f>VLOOKUP(A67,Enforcements!$C$7:$E$13,3,0)</f>
        <v>GRADE CROSSING</v>
      </c>
      <c r="AD67" s="56" t="str">
        <f>IF(LEN(A67)=6,"0"&amp;A67,A67)</f>
        <v>0154-20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/stypes="app*4007*20170420*"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154-20 --locoid 4007 --swversion DE.1.0.9.0 --startMP 204:233002 --initTime 2017-04-20T10:53:39 --startdatetime 2017-04-20T11:11:56 --delay 1 --endMP 204:141 --enddatetime 2017-04-20T11:49:03 --enforcementcount 0 &gt;&gt;C:\Users\stu\Documents\GitHub\eaglep3-reporting\EC\2017-04-20-refined-times.txt</v>
      </c>
      <c r="AI67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ID","value":"154-20"},{"id":16,"name":"Locomotive ID","value":"4007"},{"id":130,"name":"Impact","value":""},{"id":150,"name":"Time of Event (Mountain Time)","value":"11:49:03"},{"id":151,"name":"Denver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4007 --day 2017-04-20</v>
      </c>
      <c r="AN67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712</v>
      </c>
      <c r="B68" s="7">
        <v>4024</v>
      </c>
      <c r="C68" s="21" t="s">
        <v>213</v>
      </c>
      <c r="D68" s="21" t="s">
        <v>205</v>
      </c>
      <c r="E68" s="13">
        <v>42845.43414351852</v>
      </c>
      <c r="F68" s="13">
        <v>42845.437893518516</v>
      </c>
      <c r="G68" s="7">
        <v>1</v>
      </c>
      <c r="H68" s="21" t="s">
        <v>857</v>
      </c>
      <c r="I68" s="13">
        <v>42845.46266203704</v>
      </c>
      <c r="J68" s="7">
        <v>0</v>
      </c>
      <c r="K68" s="97" t="str">
        <f>IF(ISEVEN(B68),(B68-1)&amp;"/"&amp;B68,B68&amp;"/"&amp;(B68+1))</f>
        <v>4023/4024</v>
      </c>
      <c r="L68" s="21" t="str">
        <f>VLOOKUP(A68,'Trips&amp;Operators'!$C$1:$G$99999,5,FALSE)</f>
        <v>BEAM ROSS</v>
      </c>
      <c r="M68" s="6">
        <f>I68-F68</f>
        <v>2.4768518524069805E-2</v>
      </c>
      <c r="N68" s="7">
        <f>24*60*SUM($M68:$M68)</f>
        <v>35.666666674660519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-20T09:25:10-0600',mode:absolute,to:'2017-04-20T12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4.5999999999999999E-2</v>
      </c>
      <c r="Z68" s="62">
        <f>RIGHT(H68,LEN(H68)-4)/10000</f>
        <v>23.331399999999999</v>
      </c>
      <c r="AA68" s="62">
        <f>ABS(Z68-Y68)</f>
        <v>23.285399999999999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0155-20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/stypes="app*4024*20170420*" /stext=" 17:.+((SYSTEM_STATE.+slice.+state.+changed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155-20 --locoid 4024 --swversion DE.1.0.9.0 --startMP 204:460 --initTime 2017-04-20T10:25:10 --startdatetime 2017-04-20T10:30:34 --delay 1 --endMP 204:233314 --enddatetime 2017-04-20T11:06:14 --enforcementcount 0 &gt;&gt;C:\Users\stu\Documents\GitHub\eaglep3-reporting\EC\2017-04-20-refined-times.txt</v>
      </c>
      <c r="AI68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ID","value":"155-20"},{"id":16,"name":"Locomotive ID","value":"4024"},{"id":130,"name":"Impact","value":""},{"id":150,"name":"Time of Event (Mountain Time)","value":"11:06:14"},{"id":151,"name":"Denver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4024 --day 2017-04-20</v>
      </c>
      <c r="AN68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720</v>
      </c>
      <c r="B69" s="7">
        <v>4023</v>
      </c>
      <c r="C69" s="21" t="s">
        <v>213</v>
      </c>
      <c r="D69" s="21" t="s">
        <v>394</v>
      </c>
      <c r="E69" s="13">
        <v>42845.472326388888</v>
      </c>
      <c r="F69" s="13">
        <v>42845.476666666669</v>
      </c>
      <c r="G69" s="7">
        <v>1</v>
      </c>
      <c r="H69" s="21" t="s">
        <v>409</v>
      </c>
      <c r="I69" s="13">
        <v>42845.504733796297</v>
      </c>
      <c r="J69" s="7">
        <v>0</v>
      </c>
      <c r="K69" s="97" t="str">
        <f>IF(ISEVEN(B69),(B69-1)&amp;"/"&amp;B69,B69&amp;"/"&amp;(B69+1))</f>
        <v>4023/4024</v>
      </c>
      <c r="L69" s="21" t="str">
        <f>VLOOKUP(A69,'Trips&amp;Operators'!$C$1:$G$99999,5,FALSE)</f>
        <v>BEAM ROSS</v>
      </c>
      <c r="M69" s="6">
        <f>I69-F69</f>
        <v>2.806712962774327E-2</v>
      </c>
      <c r="N69" s="7">
        <f>24*60*SUM($M69:$M69)</f>
        <v>40.416666663950309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-20T10:20:09-0600',mode:absolute,to:'2017-04-20T13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23.297699999999999</v>
      </c>
      <c r="Z69" s="62">
        <f>RIGHT(H69,LEN(H69)-4)/10000</f>
        <v>1.4500000000000001E-2</v>
      </c>
      <c r="AA69" s="62">
        <f>ABS(Z69-Y69)</f>
        <v>23.283199999999997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0156-20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/stypes="app*4023*20170420*" /stext=" 18:.+((SYSTEM_STATE.+slice.+state.+changed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156-20 --locoid 4023 --swversion DE.1.0.9.0 --startMP 204:232977 --initTime 2017-04-20T11:20:09 --startdatetime 2017-04-20T11:26:24 --delay 1 --endMP 204:145 --enddatetime 2017-04-20T12:06:49 --enforcementcount 0 &gt;&gt;C:\Users\stu\Documents\GitHub\eaglep3-reporting\EC\2017-04-20-refined-times.txt</v>
      </c>
      <c r="AI69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ID","value":"156-20"},{"id":16,"name":"Locomotive ID","value":"4023"},{"id":130,"name":"Impact","value":""},{"id":150,"name":"Time of Event (Mountain Time)","value":"12:06:49"},{"id":151,"name":"Denver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4023 --day 2017-04-20</v>
      </c>
      <c r="AN69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715</v>
      </c>
      <c r="B70" s="7">
        <v>4042</v>
      </c>
      <c r="C70" s="21" t="s">
        <v>213</v>
      </c>
      <c r="D70" s="21" t="s">
        <v>208</v>
      </c>
      <c r="E70" s="13">
        <v>42845.445891203701</v>
      </c>
      <c r="F70" s="13">
        <v>42845.448101851849</v>
      </c>
      <c r="G70" s="7">
        <v>1</v>
      </c>
      <c r="H70" s="21" t="s">
        <v>439</v>
      </c>
      <c r="I70" s="13">
        <v>42845.473182870373</v>
      </c>
      <c r="J70" s="7">
        <v>0</v>
      </c>
      <c r="K70" s="97" t="str">
        <f>IF(ISEVEN(B70),(B70-1)&amp;"/"&amp;B70,B70&amp;"/"&amp;(B70+1))</f>
        <v>4041/4042</v>
      </c>
      <c r="L70" s="21" t="str">
        <f>VLOOKUP(A70,'Trips&amp;Operators'!$C$1:$G$99999,5,FALSE)</f>
        <v>STARKS ANGELINA</v>
      </c>
      <c r="M70" s="6">
        <f>I70-F70</f>
        <v>2.5081018524360843E-2</v>
      </c>
      <c r="N70" s="7">
        <f>24*60*SUM($M70:$M70)</f>
        <v>36.116666675079614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-20T09:42:05-0600',mode:absolute,to:'2017-04-20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4.53E-2</v>
      </c>
      <c r="Z70" s="62">
        <f>RIGHT(H70,LEN(H70)-4)/10000</f>
        <v>23.3293</v>
      </c>
      <c r="AA70" s="62">
        <f>ABS(Z70-Y70)</f>
        <v>23.283999999999999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0157-20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/stypes="app*4042*20170420*" /stext=" 17:.+((SYSTEM_STATE.+slice.+state.+changed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157-20 --locoid 4042 --swversion DE.1.0.9.0 --startMP 204:453 --initTime 2017-04-20T10:42:05 --startdatetime 2017-04-20T10:45:16 --delay 1 --endMP 204:233293 --enddatetime 2017-04-20T11:21:23 --enforcementcount 0 &gt;&gt;C:\Users\stu\Documents\GitHub\eaglep3-reporting\EC\2017-04-20-refined-times.txt</v>
      </c>
      <c r="AI70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ID","value":"157-20"},{"id":16,"name":"Locomotive ID","value":"4042"},{"id":130,"name":"Impact","value":""},{"id":150,"name":"Time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4042 --day 2017-04-20</v>
      </c>
      <c r="AN70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631</v>
      </c>
      <c r="B71" s="7">
        <v>4041</v>
      </c>
      <c r="C71" s="21" t="s">
        <v>213</v>
      </c>
      <c r="D71" s="21" t="s">
        <v>885</v>
      </c>
      <c r="E71" s="13">
        <v>42845.474548611113</v>
      </c>
      <c r="F71" s="13">
        <v>42845.48704861111</v>
      </c>
      <c r="G71" s="7">
        <v>1</v>
      </c>
      <c r="H71" s="21" t="s">
        <v>399</v>
      </c>
      <c r="I71" s="13">
        <v>42845.516111111108</v>
      </c>
      <c r="J71" s="7">
        <v>0</v>
      </c>
      <c r="K71" s="97" t="str">
        <f>IF(ISEVEN(B71),(B71-1)&amp;"/"&amp;B71,B71&amp;"/"&amp;(B71+1))</f>
        <v>4041/4042</v>
      </c>
      <c r="L71" s="21" t="str">
        <f>VLOOKUP(A71,'Trips&amp;Operators'!$C$1:$G$99999,5,FALSE)</f>
        <v>STARKS ANGELINA</v>
      </c>
      <c r="M71" s="6">
        <f>I71-F71</f>
        <v>2.9062499997962732E-2</v>
      </c>
      <c r="N71" s="7">
        <f>24*60*SUM($M71:$M71)</f>
        <v>41.849999997066334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23.296199999999999</v>
      </c>
      <c r="Z71" s="62">
        <f>RIGHT(H71,LEN(H71)-4)/10000</f>
        <v>1.41E-2</v>
      </c>
      <c r="AA71" s="62">
        <f>ABS(Z71-Y71)</f>
        <v>23.2821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0158-20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/stypes="app*4041*20170420*" /stext=" 18:.+((SYSTEM_STATE.+slice.+state.+changed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158-20 --locoid 4041 --swversion DE.1.0.9.0 --startMP 204:232962 --initTime 2017-04-20T11:23:21 --startdatetime 2017-04-20T11:41:21 --delay 1 --endMP 204:141 --enddatetime 2017-04-20T12:23:12 --enforcementcount 0 &gt;&gt;C:\Users\stu\Documents\GitHub\eaglep3-reporting\EC\2017-04-20-refined-times.txt</v>
      </c>
      <c r="AI71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ID","value":"158-20"},{"id":16,"name":"Locomotive ID","value":"4041"},{"id":130,"name":"Impact","value":""},{"id":150,"name":"Time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4041 --day 2017-04-20</v>
      </c>
      <c r="AN71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716</v>
      </c>
      <c r="B72" s="7">
        <v>4002</v>
      </c>
      <c r="C72" s="21" t="s">
        <v>213</v>
      </c>
      <c r="D72" s="21" t="s">
        <v>878</v>
      </c>
      <c r="E72" s="13">
        <v>42845.453287037039</v>
      </c>
      <c r="F72" s="13">
        <v>42845.458518518521</v>
      </c>
      <c r="G72" s="7">
        <v>1</v>
      </c>
      <c r="H72" s="21" t="s">
        <v>886</v>
      </c>
      <c r="I72" s="13">
        <v>42845.484201388892</v>
      </c>
      <c r="J72" s="7">
        <v>0</v>
      </c>
      <c r="K72" s="97" t="str">
        <f>IF(ISEVEN(B72),(B72-1)&amp;"/"&amp;B72,B72&amp;"/"&amp;(B72+1))</f>
        <v>4001/4002</v>
      </c>
      <c r="L72" s="21" t="str">
        <f>VLOOKUP(A72,'Trips&amp;Operators'!$C$1:$G$99999,5,FALSE)</f>
        <v>CLARK KATHLEEN</v>
      </c>
      <c r="M72" s="6">
        <f>I72-F72</f>
        <v>2.5682870371383615E-2</v>
      </c>
      <c r="N72" s="7">
        <f>24*60*SUM($M72:$M72)</f>
        <v>36.983333334792405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-20T09:52:44-0600',mode:absolute,to:'2017-04-20T12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4.6399999999999997E-2</v>
      </c>
      <c r="Z72" s="62">
        <f>RIGHT(H72,LEN(H72)-4)/10000</f>
        <v>23.330500000000001</v>
      </c>
      <c r="AA72" s="62">
        <f>ABS(Z72-Y72)</f>
        <v>23.284100000000002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0159-20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/stypes="app*4002*20170420*" /stext=" 17:.+((SYSTEM_STATE.+slice.+state.+changed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159-20 --locoid 4002 --swversion DE.1.0.9.0 --startMP 204:464 --initTime 2017-04-20T10:52:44 --startdatetime 2017-04-20T11:00:16 --delay 1 --endMP 204:233305 --enddatetime 2017-04-20T11:37:15 --enforcementcount 0 &gt;&gt;C:\Users\stu\Documents\GitHub\eaglep3-reporting\EC\2017-04-20-refined-times.txt</v>
      </c>
      <c r="AI72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ID","value":"159-20"},{"id":16,"name":"Locomotive ID","value":"4002"},{"id":130,"name":"Impact","value":""},{"id":150,"name":"Time of Event (Mountain Time)","value":"11:37:15"},{"id":151,"name":"Denver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4002 --day 2017-04-20</v>
      </c>
      <c r="AN72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724</v>
      </c>
      <c r="B73" s="7">
        <v>4001</v>
      </c>
      <c r="C73" s="21" t="s">
        <v>213</v>
      </c>
      <c r="D73" s="21" t="s">
        <v>887</v>
      </c>
      <c r="E73" s="13">
        <v>42845.492754629631</v>
      </c>
      <c r="F73" s="13">
        <v>42845.497395833336</v>
      </c>
      <c r="G73" s="7">
        <v>1</v>
      </c>
      <c r="H73" s="21" t="s">
        <v>888</v>
      </c>
      <c r="I73" s="13">
        <v>42845.525127314817</v>
      </c>
      <c r="J73" s="7">
        <v>0</v>
      </c>
      <c r="K73" s="97" t="str">
        <f>IF(ISEVEN(B73),(B73-1)&amp;"/"&amp;B73,B73&amp;"/"&amp;(B73+1))</f>
        <v>4001/4002</v>
      </c>
      <c r="L73" s="21" t="str">
        <f>VLOOKUP(A73,'Trips&amp;Operators'!$C$1:$G$99999,5,FALSE)</f>
        <v>CLARK KATHLEEN</v>
      </c>
      <c r="M73" s="6">
        <f>I73-F73</f>
        <v>2.7731481481168885E-2</v>
      </c>
      <c r="N73" s="7">
        <f>24*60*SUM($M73:$M73)</f>
        <v>39.933333332883194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-20T10:49:34-0600',mode:absolute,to:'2017-04-20T13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23.296500000000002</v>
      </c>
      <c r="Z73" s="62">
        <f>RIGHT(H73,LEN(H73)-4)/10000</f>
        <v>1.9099999999999999E-2</v>
      </c>
      <c r="AA73" s="62">
        <f>ABS(Z73-Y73)</f>
        <v>23.2774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0160-20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/stypes="app*4001*20170420*"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160-20 --locoid 4001 --swversion DE.1.0.9.0 --startMP 204:232965 --initTime 2017-04-20T11:49:34 --startdatetime 2017-04-20T11:56:15 --delay 1 --endMP 204:191 --enddatetime 2017-04-20T12:36:11 --enforcementcount 0 &gt;&gt;C:\Users\stu\Documents\GitHub\eaglep3-reporting\EC\2017-04-20-refined-times.txt</v>
      </c>
      <c r="AI73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{"issue":{"subject":"","project_id":79,"tracker_id":40,"status_id":1,"priority_id":2,"assigned_to_id":23,"start_date":"2017-04-20","description":"","custom_fields":[{"id":1,"name":"Subdivision","value":"EC"},{"id":4,"name":"Milepost","value":"0.0191"},{"id":17,"name":"Train ID","value":"160-20"},{"id":16,"name":"Locomotive ID","value":"4001"},{"id":130,"name":"Impact","value":""},{"id":150,"name":"Time of Event (Mountain Time)","value":"12:36:11"},{"id":151,"name":"Denver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4001 --day 2017-04-20</v>
      </c>
      <c r="AN73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718</v>
      </c>
      <c r="B74" s="7">
        <v>4046</v>
      </c>
      <c r="C74" s="21" t="s">
        <v>213</v>
      </c>
      <c r="D74" s="21" t="s">
        <v>442</v>
      </c>
      <c r="E74" s="13">
        <v>42845.464143518519</v>
      </c>
      <c r="F74" s="13">
        <v>42845.4690162037</v>
      </c>
      <c r="G74" s="7">
        <v>2</v>
      </c>
      <c r="H74" s="21" t="s">
        <v>889</v>
      </c>
      <c r="I74" s="13">
        <v>42845.493842592594</v>
      </c>
      <c r="J74" s="7">
        <v>0</v>
      </c>
      <c r="K74" s="97" t="str">
        <f>IF(ISEVEN(B74),(B74-1)&amp;"/"&amp;B74,B74&amp;"/"&amp;(B74+1))</f>
        <v>4045/4046</v>
      </c>
      <c r="L74" s="21" t="str">
        <f>VLOOKUP(A74,'Trips&amp;Operators'!$C$1:$G$99999,5,FALSE)</f>
        <v>ARVIDSON DANIEL</v>
      </c>
      <c r="M74" s="6">
        <f>I74-F74</f>
        <v>2.4826388893416151E-2</v>
      </c>
      <c r="N74" s="7">
        <f>24*60*SUM($M74:$M74)</f>
        <v>35.750000006519258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-20T10:08:22-0600',mode:absolute,to:'2017-04-20T12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4.7300000000000002E-2</v>
      </c>
      <c r="Z74" s="62">
        <f>RIGHT(H74,LEN(H74)-4)/10000</f>
        <v>23.331</v>
      </c>
      <c r="AA74" s="62">
        <f>ABS(Z74-Y74)</f>
        <v>23.2837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0161-20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/stypes="app*4046*20170420*" /stext=" 17:.+((SYSTEM_STATE.+slice.+state.+changed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161-20 --locoid 4046 --swversion DE.1.0.9.0 --startMP 204:473 --initTime 2017-04-20T11:08:22 --startdatetime 2017-04-20T11:15:23 --delay 2 --endMP 204:233310 --enddatetime 2017-04-20T11:51:08 --enforcementcount 0 &gt;&gt;C:\Users\stu\Documents\GitHub\eaglep3-reporting\EC\2017-04-20-refined-times.txt</v>
      </c>
      <c r="AI74" s="104" t="str">
        <f t="shared" si="5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ID","value":"161-20"},{"id":16,"name":"Locomotive ID","value":"4046"},{"id":130,"name":"Impact","value":""},{"id":150,"name":"Time of Event (Mountain Time)","value":"11:51:08"},{"id":151,"name":"Denver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4046 --day 2017-04-20</v>
      </c>
      <c r="AN74" s="159" t="str">
        <f t="shared" si="7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726</v>
      </c>
      <c r="B75" s="7">
        <v>4045</v>
      </c>
      <c r="C75" s="21" t="s">
        <v>213</v>
      </c>
      <c r="D75" s="21" t="s">
        <v>517</v>
      </c>
      <c r="E75" s="13">
        <v>42845.503599537034</v>
      </c>
      <c r="F75" s="13">
        <v>42845.507800925923</v>
      </c>
      <c r="G75" s="7">
        <v>1</v>
      </c>
      <c r="H75" s="21" t="s">
        <v>890</v>
      </c>
      <c r="I75" s="13">
        <v>42845.534942129627</v>
      </c>
      <c r="J75" s="7">
        <v>0</v>
      </c>
      <c r="K75" s="97" t="str">
        <f>IF(ISEVEN(B75),(B75-1)&amp;"/"&amp;B75,B75&amp;"/"&amp;(B75+1))</f>
        <v>4045/4046</v>
      </c>
      <c r="L75" s="21" t="str">
        <f>VLOOKUP(A75,'Trips&amp;Operators'!$C$1:$G$99999,5,FALSE)</f>
        <v>ARVIDSON DANIEL</v>
      </c>
      <c r="M75" s="6">
        <f>I75-F75</f>
        <v>2.7141203703649808E-2</v>
      </c>
      <c r="N75" s="7">
        <f>24*60*SUM($M75:$M75)</f>
        <v>39.083333333255723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-20T11:05:11-0600',mode:absolute,to:'2017-04-20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23.299399999999999</v>
      </c>
      <c r="Z75" s="62">
        <f>RIGHT(H75,LEN(H75)-4)/10000</f>
        <v>1.7399999999999999E-2</v>
      </c>
      <c r="AA75" s="62">
        <f>ABS(Z75-Y75)</f>
        <v>23.282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0162-20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/stypes="app*4045*20170420*"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ref="AH75:AH138" si="11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162-20 --locoid 4045 --swversion DE.1.0.9.0 --startMP 204:232994 --initTime 2017-04-20T12:05:11 --startdatetime 2017-04-20T12:11:14 --delay 1 --endMP 204:174 --enddatetime 2017-04-20T12:50:19 --enforcementcount 0 &gt;&gt;C:\Users\stu\Documents\GitHub\eaglep3-reporting\EC\2017-04-20-refined-times.txt</v>
      </c>
      <c r="AI75" s="104" t="str">
        <f t="shared" ref="AI75:AI138" si="12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ID","value":"162-20"},{"id":16,"name":"Locomotive ID","value":"4045"},{"id":130,"name":"Impact","value":""},{"id":150,"name":"Time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ref="AM75:AM138" si="13">"start /low /b "&amp;dls3logs&amp;" --loco "&amp;B75&amp;" --day "&amp;TEXT(F75,"YYYY-MM-DD")</f>
        <v>start /low /b %USERPROFILE%\Documents\GitHub\eaglep3\Utilities\DownloadLogsFromS3.py --loco 4045 --day 2017-04-20</v>
      </c>
      <c r="AN75" s="159" t="str">
        <f t="shared" ref="AN75:AN138" si="14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721</v>
      </c>
      <c r="B76" s="7">
        <v>4026</v>
      </c>
      <c r="C76" s="21" t="s">
        <v>213</v>
      </c>
      <c r="D76" s="21" t="s">
        <v>891</v>
      </c>
      <c r="E76" s="13">
        <v>42845.475208333337</v>
      </c>
      <c r="F76" s="13">
        <v>42845.479351851849</v>
      </c>
      <c r="G76" s="7">
        <v>1</v>
      </c>
      <c r="H76" s="21" t="s">
        <v>436</v>
      </c>
      <c r="I76" s="13">
        <v>42845.503796296296</v>
      </c>
      <c r="J76" s="7">
        <v>0</v>
      </c>
      <c r="K76" s="97" t="str">
        <f>IF(ISEVEN(B76),(B76-1)&amp;"/"&amp;B76,B76&amp;"/"&amp;(B76+1))</f>
        <v>4025/4026</v>
      </c>
      <c r="L76" s="21" t="str">
        <f>VLOOKUP(A76,'Trips&amp;Operators'!$C$1:$G$99999,5,FALSE)</f>
        <v>BRUDER RICHARD</v>
      </c>
      <c r="M76" s="6">
        <f>I76-F76</f>
        <v>2.4444444446999114E-2</v>
      </c>
      <c r="N76" s="7">
        <f>24*60*SUM($M76:$M76)</f>
        <v>35.200000003678724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-20T10:24:18-0600',mode:absolute,to:'2017-04-20T13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4.8399999999999999E-2</v>
      </c>
      <c r="Z76" s="62">
        <f>RIGHT(H76,LEN(H76)-4)/10000</f>
        <v>23.3291</v>
      </c>
      <c r="AA76" s="62">
        <f>ABS(Z76-Y76)</f>
        <v>23.2807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0163-20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/stypes="app*4026*20170420*" /stext=" 18:.+((SYSTEM_STATE.+slice.+state.+changed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11"/>
        <v>"%USERPROFILE%\Documents\GitHub\eaglep3\Utilities\RefineRTDCRunTimes.py" --tripid 163-20 --locoid 4026 --swversion DE.1.0.9.0 --startMP 204:484 --initTime 2017-04-20T11:24:18 --startdatetime 2017-04-20T11:30:16 --delay 1 --endMP 204:233291 --enddatetime 2017-04-20T12:05:28 --enforcementcount 0 &gt;&gt;C:\Users\stu\Documents\GitHub\eaglep3-reporting\EC\2017-04-20-refined-times.txt</v>
      </c>
      <c r="AI7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{"issue":{"subject":"","project_id":79,"tracker_id":40,"status_id":1,"priority_id":2,"assigned_to_id":23,"start_date":"2017-04-20","description":"","custom_fields":[{"id":1,"name":"Subdivision","value":"EC"},{"id":4,"name":"Milepost","value":"23.3291"},{"id":17,"name":"Train ID","value":"163-20"},{"id":16,"name":"Locomotive ID","value":"4026"},{"id":130,"name":"Impact","value":""},{"id":150,"name":"Time of Event (Mountain Time)","value":"12:05:28"},{"id":151,"name":"Denver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8"/>
      <c r="AL76" s="48"/>
      <c r="AM76" s="150" t="str">
        <f t="shared" si="13"/>
        <v>start /low /b %USERPROFILE%\Documents\GitHub\eaglep3\Utilities\DownloadLogsFromS3.py --loco 4026 --day 2017-04-20</v>
      </c>
      <c r="AN76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729</v>
      </c>
      <c r="B77" s="7">
        <v>4025</v>
      </c>
      <c r="C77" s="21" t="s">
        <v>213</v>
      </c>
      <c r="D77" s="21" t="s">
        <v>494</v>
      </c>
      <c r="E77" s="13">
        <v>42845.512696759259</v>
      </c>
      <c r="F77" s="13">
        <v>42845.518252314818</v>
      </c>
      <c r="G77" s="7">
        <v>1</v>
      </c>
      <c r="H77" s="21" t="s">
        <v>440</v>
      </c>
      <c r="I77" s="13">
        <v>42845.544976851852</v>
      </c>
      <c r="J77" s="7">
        <v>0</v>
      </c>
      <c r="K77" s="97" t="str">
        <f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>I77-F77</f>
        <v>2.6724537034169771E-2</v>
      </c>
      <c r="N77" s="7">
        <f>24*60*SUM($M77:$M77)</f>
        <v>38.48333332920447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-20T11:18:17-0600',mode:absolute,to:'2017-04-20T14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23.297999999999998</v>
      </c>
      <c r="Z77" s="62">
        <f>RIGHT(H77,LEN(H77)-4)/10000</f>
        <v>1.4999999999999999E-2</v>
      </c>
      <c r="AA77" s="62">
        <f>ABS(Z77-Y77)</f>
        <v>23.282999999999998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0164-20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/stypes="app*4025*20170420*" /stext=" 19:.+((SYSTEM_STATE.+slice.+state.+changed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11"/>
        <v>"%USERPROFILE%\Documents\GitHub\eaglep3\Utilities\RefineRTDCRunTimes.py" --tripid 164-20 --locoid 4025 --swversion DE.1.0.9.0 --startMP 204:232980 --initTime 2017-04-20T12:18:17 --startdatetime 2017-04-20T12:26:17 --delay 1 --endMP 204:150 --enddatetime 2017-04-20T13:04:46 --enforcementcount 0 &gt;&gt;C:\Users\stu\Documents\GitHub\eaglep3-reporting\EC\2017-04-20-refined-times.txt</v>
      </c>
      <c r="AI7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{"issue":{"subject":"","project_id":79,"tracker_id":40,"status_id":1,"priority_id":2,"assigned_to_id":23,"start_date":"2017-04-20","description":"","custom_fields":[{"id":1,"name":"Subdivision","value":"EC"},{"id":4,"name":"Milepost","value":"0.015"},{"id":17,"name":"Train ID","value":"164-20"},{"id":16,"name":"Locomotive ID","value":"4025"},{"id":130,"name":"Impact","value":""},{"id":150,"name":"Time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8"/>
      <c r="AL77" s="48"/>
      <c r="AM77" s="150" t="str">
        <f t="shared" si="13"/>
        <v>start /low /b %USERPROFILE%\Documents\GitHub\eaglep3\Utilities\DownloadLogsFromS3.py --loco 4025 --day 2017-04-20</v>
      </c>
      <c r="AN77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723</v>
      </c>
      <c r="B78" s="7">
        <v>4054</v>
      </c>
      <c r="C78" s="21" t="s">
        <v>213</v>
      </c>
      <c r="D78" s="21" t="s">
        <v>868</v>
      </c>
      <c r="E78" s="13">
        <v>42845.484756944446</v>
      </c>
      <c r="F78" s="13">
        <v>42845.489768518521</v>
      </c>
      <c r="G78" s="7">
        <v>1</v>
      </c>
      <c r="H78" s="21" t="s">
        <v>889</v>
      </c>
      <c r="I78" s="13">
        <v>42845.514687499999</v>
      </c>
      <c r="J78" s="7">
        <v>0</v>
      </c>
      <c r="K78" s="97" t="str">
        <f>IF(ISEVEN(B78),(B78-1)&amp;"/"&amp;B78,B78&amp;"/"&amp;(B78+1))</f>
        <v>4053/4054</v>
      </c>
      <c r="L78" s="21" t="str">
        <f>VLOOKUP(A78,'Trips&amp;Operators'!$C$1:$G$99999,5,FALSE)</f>
        <v>SMITH MICHAEL</v>
      </c>
      <c r="M78" s="6">
        <f>I78-F78</f>
        <v>2.491898147854954E-2</v>
      </c>
      <c r="N78" s="7">
        <f>24*60*SUM($M78:$M78)</f>
        <v>35.883333329111338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-20T10:38:03-0600',mode:absolute,to:'2017-04-20T13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4.3499999999999997E-2</v>
      </c>
      <c r="Z78" s="62">
        <f>RIGHT(H78,LEN(H78)-4)/10000</f>
        <v>23.331</v>
      </c>
      <c r="AA78" s="62">
        <f>ABS(Z78-Y78)</f>
        <v>23.287499999999998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0165-20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/stypes="app*4054*20170420*" /stext=" 18:.+((SYSTEM_STATE.+slice.+state.+changed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si="11"/>
        <v>"%USERPROFILE%\Documents\GitHub\eaglep3\Utilities\RefineRTDCRunTimes.py" --tripid 165-20 --locoid 4054 --swversion DE.1.0.9.0 --startMP 204:435 --initTime 2017-04-20T11:38:03 --startdatetime 2017-04-20T11:45:16 --delay 1 --endMP 204:233310 --enddatetime 2017-04-20T12:21:09 --enforcementcount 0 &gt;&gt;C:\Users\stu\Documents\GitHub\eaglep3-reporting\EC\2017-04-20-refined-times.txt</v>
      </c>
      <c r="AI7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ID","value":"165-20"},{"id":16,"name":"Locomotive ID","value":"4054"},{"id":130,"name":"Impact","value":""},{"id":150,"name":"Time of Event (Mountain Time)","value":"12:21:09"},{"id":151,"name":"Denver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13"/>
        <v>start /low /b %USERPROFILE%\Documents\GitHub\eaglep3\Utilities\DownloadLogsFromS3.py --loco 4054 --day 2017-04-20</v>
      </c>
      <c r="AN78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9" spans="1:91" s="20" customFormat="1" x14ac:dyDescent="0.25">
      <c r="A79" s="33" t="s">
        <v>733</v>
      </c>
      <c r="B79" s="7">
        <v>4053</v>
      </c>
      <c r="C79" s="21" t="s">
        <v>213</v>
      </c>
      <c r="D79" s="21" t="s">
        <v>497</v>
      </c>
      <c r="E79" s="13">
        <v>42845.519166666665</v>
      </c>
      <c r="F79" s="13">
        <v>42845.528796296298</v>
      </c>
      <c r="G79" s="7">
        <v>1</v>
      </c>
      <c r="H79" s="21" t="s">
        <v>210</v>
      </c>
      <c r="I79" s="13">
        <v>42845.556759259256</v>
      </c>
      <c r="J79" s="7">
        <v>0</v>
      </c>
      <c r="K79" s="97" t="str">
        <f>IF(ISEVEN(B79),(B79-1)&amp;"/"&amp;B79,B79&amp;"/"&amp;(B79+1))</f>
        <v>4053/4054</v>
      </c>
      <c r="L79" s="21" t="str">
        <f>VLOOKUP(A79,'Trips&amp;Operators'!$C$1:$G$99999,5,FALSE)</f>
        <v>SMITH MICHAEL</v>
      </c>
      <c r="M79" s="6">
        <f>I79-F79</f>
        <v>2.7962962958554272E-2</v>
      </c>
      <c r="N79" s="7">
        <f>24*60*SUM($M79:$M79)</f>
        <v>40.266666660318151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-20T11:27:36-0600',mode:absolute,to:'2017-04-20T14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23.298100000000002</v>
      </c>
      <c r="Z79" s="62">
        <f>RIGHT(H79,LEN(H79)-4)/10000</f>
        <v>1.47E-2</v>
      </c>
      <c r="AA79" s="62">
        <f>ABS(Z79-Y79)</f>
        <v>23.2834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0166-20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/stypes="app*4053*20170420*" /stext=" 19:.+((SYSTEM_STATE.+slice.+state.+changed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11"/>
        <v>"%USERPROFILE%\Documents\GitHub\eaglep3\Utilities\RefineRTDCRunTimes.py" --tripid 166-20 --locoid 4053 --swversion DE.1.0.9.0 --startMP 204:232981 --initTime 2017-04-20T12:27:36 --startdatetime 2017-04-20T12:41:28 --delay 1 --endMP 204:147 --enddatetime 2017-04-20T13:21:44 --enforcementcount 0 &gt;&gt;C:\Users\stu\Documents\GitHub\eaglep3-reporting\EC\2017-04-20-refined-times.txt</v>
      </c>
      <c r="AI79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ID","value":"166-20"},{"id":16,"name":"Locomotive ID","value":"4053"},{"id":130,"name":"Impact","value":""},{"id":150,"name":"Time of Event (Mountain Time)","value":"13:21:44"},{"id":151,"name":"Denver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13"/>
        <v>start /low /b %USERPROFILE%\Documents\GitHub\eaglep3\Utilities\DownloadLogsFromS3.py --loco 4053 --day 2017-04-20</v>
      </c>
      <c r="AN79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725</v>
      </c>
      <c r="B80" s="7">
        <v>4008</v>
      </c>
      <c r="C80" s="21" t="s">
        <v>213</v>
      </c>
      <c r="D80" s="21" t="s">
        <v>450</v>
      </c>
      <c r="E80" s="13">
        <v>42845.494699074072</v>
      </c>
      <c r="F80" s="13">
        <v>42845.500196759262</v>
      </c>
      <c r="G80" s="7">
        <v>1</v>
      </c>
      <c r="H80" s="21" t="s">
        <v>886</v>
      </c>
      <c r="I80" s="13">
        <v>42845.524560185186</v>
      </c>
      <c r="J80" s="7">
        <v>0</v>
      </c>
      <c r="K80" s="97" t="str">
        <f>IF(ISEVEN(B80),(B80-1)&amp;"/"&amp;B80,B80&amp;"/"&amp;(B80+1))</f>
        <v>4007/4008</v>
      </c>
      <c r="L80" s="21" t="str">
        <f>VLOOKUP(A80,'Trips&amp;Operators'!$C$1:$G$99999,5,FALSE)</f>
        <v>LOPES KIMBERLY</v>
      </c>
      <c r="M80" s="6">
        <f>I80-F80</f>
        <v>2.4363425924093463E-2</v>
      </c>
      <c r="N80" s="7">
        <f>24*60*SUM($M80:$M80)</f>
        <v>35.083333330694586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-20T10:52:22-0600',mode:absolute,to:'2017-04-20T13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4.4200000000000003E-2</v>
      </c>
      <c r="Z80" s="62">
        <f>RIGHT(H80,LEN(H80)-4)/10000</f>
        <v>23.330500000000001</v>
      </c>
      <c r="AA80" s="62">
        <f>ABS(Z80-Y80)</f>
        <v>23.286300000000001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0167-20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/stypes="app*4008*20170420*" /stext=" 18:.+((SYSTEM_STATE.+slice.+state.+changed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11"/>
        <v>"%USERPROFILE%\Documents\GitHub\eaglep3\Utilities\RefineRTDCRunTimes.py" --tripid 167-20 --locoid 4008 --swversion DE.1.0.9.0 --startMP 204:442 --initTime 2017-04-20T11:52:22 --startdatetime 2017-04-20T12:00:17 --delay 1 --endMP 204:233305 --enddatetime 2017-04-20T12:35:22 --enforcementcount 0 &gt;&gt;C:\Users\stu\Documents\GitHub\eaglep3-reporting\EC\2017-04-20-refined-times.txt</v>
      </c>
      <c r="AI8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{"issue":{"subject":"","project_id":79,"tracker_id":40,"status_id":1,"priority_id":2,"assigned_to_id":23,"start_date":"2017-04-20","description":"","custom_fields":[{"id":1,"name":"Subdivision","value":"EC"},{"id":4,"name":"Milepost","value":"23.3305"},{"id":17,"name":"Train ID","value":"167-20"},{"id":16,"name":"Locomotive ID","value":"4008"},{"id":130,"name":"Impact","value":""},{"id":150,"name":"Time of Event (Mountain Time)","value":"12:35:22"},{"id":151,"name":"Denver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13"/>
        <v>start /low /b %USERPROFILE%\Documents\GitHub\eaglep3\Utilities\DownloadLogsFromS3.py --loco 4008 --day 2017-04-20</v>
      </c>
      <c r="AN80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736</v>
      </c>
      <c r="B81" s="7">
        <v>4007</v>
      </c>
      <c r="C81" s="21" t="s">
        <v>213</v>
      </c>
      <c r="D81" s="21" t="s">
        <v>578</v>
      </c>
      <c r="E81" s="13">
        <v>42845.532233796293</v>
      </c>
      <c r="F81" s="13">
        <v>42845.539467592593</v>
      </c>
      <c r="G81" s="7">
        <v>1</v>
      </c>
      <c r="H81" s="21" t="s">
        <v>398</v>
      </c>
      <c r="I81" s="13">
        <v>42845.566018518519</v>
      </c>
      <c r="J81" s="7">
        <v>0</v>
      </c>
      <c r="K81" s="97" t="str">
        <f>IF(ISEVEN(B81),(B81-1)&amp;"/"&amp;B81,B81&amp;"/"&amp;(B81+1))</f>
        <v>4007/4008</v>
      </c>
      <c r="L81" s="21" t="str">
        <f>VLOOKUP(A81,'Trips&amp;Operators'!$C$1:$G$99999,5,FALSE)</f>
        <v>LOPES KIMBERLY</v>
      </c>
      <c r="M81" s="6">
        <f>I81-F81</f>
        <v>2.6550925926130731E-2</v>
      </c>
      <c r="N81" s="7">
        <f>24*60*SUM($M81:$M81)</f>
        <v>38.233333333628252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-20T11:46:25-0600',mode:absolute,to:'2017-04-20T14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23.2973</v>
      </c>
      <c r="Z81" s="62">
        <f>RIGHT(H81,LEN(H81)-4)/10000</f>
        <v>1.38E-2</v>
      </c>
      <c r="AA81" s="62">
        <f>ABS(Z81-Y81)</f>
        <v>23.2835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0168-20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/stypes="app*4007*20170420*" /stext=" 19:.+((SYSTEM_STATE.+slice.+state.+changed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11"/>
        <v>"%USERPROFILE%\Documents\GitHub\eaglep3\Utilities\RefineRTDCRunTimes.py" --tripid 168-20 --locoid 4007 --swversion DE.1.0.9.0 --startMP 204:232973 --initTime 2017-04-20T12:46:25 --startdatetime 2017-04-20T12:56:50 --delay 1 --endMP 204:138 --enddatetime 2017-04-20T13:35:04 --enforcementcount 0 &gt;&gt;C:\Users\stu\Documents\GitHub\eaglep3-reporting\EC\2017-04-20-refined-times.txt</v>
      </c>
      <c r="AI8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ID","value":"168-20"},{"id":16,"name":"Locomotive ID","value":"4007"},{"id":130,"name":"Impact","value":""},{"id":150,"name":"Time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13"/>
        <v>start /low /b %USERPROFILE%\Documents\GitHub\eaglep3\Utilities\DownloadLogsFromS3.py --loco 4007 --day 2017-04-20</v>
      </c>
      <c r="AN81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727</v>
      </c>
      <c r="B82" s="7">
        <v>4024</v>
      </c>
      <c r="C82" s="21" t="s">
        <v>213</v>
      </c>
      <c r="D82" s="21" t="s">
        <v>892</v>
      </c>
      <c r="E82" s="13">
        <v>42845.506979166668</v>
      </c>
      <c r="F82" s="13">
        <v>42845.511087962965</v>
      </c>
      <c r="G82" s="7">
        <v>2</v>
      </c>
      <c r="H82" s="21" t="s">
        <v>893</v>
      </c>
      <c r="I82" s="13">
        <v>42845.537129629629</v>
      </c>
      <c r="J82" s="7">
        <v>0</v>
      </c>
      <c r="K82" s="97" t="str">
        <f>IF(ISEVEN(B82),(B82-1)&amp;"/"&amp;B82,B82&amp;"/"&amp;(B82+1))</f>
        <v>4023/4024</v>
      </c>
      <c r="L82" s="21" t="str">
        <f>VLOOKUP(A82,'Trips&amp;Operators'!$C$1:$G$99999,5,FALSE)</f>
        <v>HELVIE ADAM</v>
      </c>
      <c r="M82" s="6">
        <f>I82-F82</f>
        <v>2.6041666664241347E-2</v>
      </c>
      <c r="N82" s="7">
        <f>24*60*SUM($M82:$M82)</f>
        <v>37.49999999650754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-20T11:10:03-0600',mode:absolute,to:'2017-04-20T13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4.8000000000000001E-2</v>
      </c>
      <c r="Z82" s="62">
        <f>RIGHT(H82,LEN(H82)-4)/10000</f>
        <v>23.324000000000002</v>
      </c>
      <c r="AA82" s="62">
        <f>ABS(Z82-Y82)</f>
        <v>23.276000000000003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0169-20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/stypes="app*4024*20170420*" /stext=" 18:.+((SYSTEM_STATE.+slice.+state.+changed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11"/>
        <v>"%USERPROFILE%\Documents\GitHub\eaglep3\Utilities\RefineRTDCRunTimes.py" --tripid 169-20 --locoid 4024 --swversion DE.1.0.9.0 --startMP 204:480 --initTime 2017-04-20T12:10:03 --startdatetime 2017-04-20T12:15:58 --delay 2 --endMP 204:233240 --enddatetime 2017-04-20T12:53:28 --enforcementcount 0 &gt;&gt;C:\Users\stu\Documents\GitHub\eaglep3-reporting\EC\2017-04-20-refined-times.txt</v>
      </c>
      <c r="AI8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{"issue":{"subject":"","project_id":79,"tracker_id":40,"status_id":1,"priority_id":2,"assigned_to_id":23,"start_date":"2017-04-20","description":"","custom_fields":[{"id":1,"name":"Subdivision","value":"EC"},{"id":4,"name":"Milepost","value":"23.324"},{"id":17,"name":"Train ID","value":"169-20"},{"id":16,"name":"Locomotive ID","value":"4024"},{"id":130,"name":"Impact","value":""},{"id":150,"name":"Time of Event (Mountain Time)","value":"12:53:28"},{"id":151,"name":"Denver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13"/>
        <v>start /low /b %USERPROFILE%\Documents\GitHub\eaglep3\Utilities\DownloadLogsFromS3.py --loco 4024 --day 2017-04-20</v>
      </c>
      <c r="AN82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633</v>
      </c>
      <c r="B83" s="7">
        <v>4023</v>
      </c>
      <c r="C83" s="21" t="s">
        <v>213</v>
      </c>
      <c r="D83" s="21" t="s">
        <v>894</v>
      </c>
      <c r="E83" s="13">
        <v>42845.547222222223</v>
      </c>
      <c r="F83" s="13">
        <v>42845.549687500003</v>
      </c>
      <c r="G83" s="7">
        <v>1</v>
      </c>
      <c r="H83" s="21" t="s">
        <v>453</v>
      </c>
      <c r="I83" s="13">
        <v>42845.577777777777</v>
      </c>
      <c r="J83" s="7">
        <v>0</v>
      </c>
      <c r="K83" s="97" t="str">
        <f>IF(ISEVEN(B83),(B83-1)&amp;"/"&amp;B83,B83&amp;"/"&amp;(B83+1))</f>
        <v>4023/4024</v>
      </c>
      <c r="L83" s="21" t="str">
        <f>VLOOKUP(A83,'Trips&amp;Operators'!$C$1:$G$99999,5,FALSE)</f>
        <v>HELVIE ADAM</v>
      </c>
      <c r="M83" s="6">
        <f>I83-F83</f>
        <v>2.8090277774026617E-2</v>
      </c>
      <c r="N83" s="7">
        <f>24*60*SUM($M83:$M83)</f>
        <v>40.449999994598329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23.295500000000001</v>
      </c>
      <c r="Z83" s="62">
        <f>RIGHT(H83,LEN(H83)-4)/10000</f>
        <v>1.6299999999999999E-2</v>
      </c>
      <c r="AA83" s="62">
        <f>ABS(Z83-Y83)</f>
        <v>23.279199999999999</v>
      </c>
      <c r="AB83" s="59" t="str">
        <f>VLOOKUP(A83,Enforcements!$C$7:$K$13,8,0)</f>
        <v>Bulletin (2)</v>
      </c>
      <c r="AC83" s="55" t="str">
        <f>VLOOKUP(A83,Enforcements!$C$7:$E$13,3,0)</f>
        <v>GRADE CROSSING</v>
      </c>
      <c r="AD83" s="56" t="str">
        <f>IF(LEN(A83)=6,"0"&amp;A83,A83)</f>
        <v>0170-20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/stypes="app*4023*20170420*"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11"/>
        <v>"%USERPROFILE%\Documents\GitHub\eaglep3\Utilities\RefineRTDCRunTimes.py" --tripid 170-20 --locoid 4023 --swversion DE.1.0.9.0 --startMP 204:232955 --initTime 2017-04-20T13:08:00 --startdatetime 2017-04-20T13:11:33 --delay 1 --endMP 204:163 --enddatetime 2017-04-20T13:52:00 --enforcementcount 0 &gt;&gt;C:\Users\stu\Documents\GitHub\eaglep3-reporting\EC\2017-04-20-refined-times.txt</v>
      </c>
      <c r="AI8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ID","value":"170-20"},{"id":16,"name":"Locomotive ID","value":"4023"},{"id":130,"name":"Impact","value":""},{"id":150,"name":"Time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13"/>
        <v>start /low /b %USERPROFILE%\Documents\GitHub\eaglep3\Utilities\DownloadLogsFromS3.py --loco 4023 --day 2017-04-20</v>
      </c>
      <c r="AN83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1" customFormat="1" x14ac:dyDescent="0.25">
      <c r="A84" s="33" t="s">
        <v>730</v>
      </c>
      <c r="B84" s="7">
        <v>4042</v>
      </c>
      <c r="C84" s="21" t="s">
        <v>213</v>
      </c>
      <c r="D84" s="21" t="s">
        <v>442</v>
      </c>
      <c r="E84" s="13">
        <v>42845.519004629627</v>
      </c>
      <c r="F84" s="13">
        <v>42845.52103009259</v>
      </c>
      <c r="G84" s="7">
        <v>1</v>
      </c>
      <c r="H84" s="21" t="s">
        <v>577</v>
      </c>
      <c r="I84" s="13">
        <v>42845.546307870369</v>
      </c>
      <c r="J84" s="7">
        <v>0</v>
      </c>
      <c r="K84" s="97" t="str">
        <f>IF(ISEVEN(B84),(B84-1)&amp;"/"&amp;B84,B84&amp;"/"&amp;(B84+1))</f>
        <v>4041/4042</v>
      </c>
      <c r="L84" s="21" t="str">
        <f>VLOOKUP(A84,'Trips&amp;Operators'!$C$1:$G$99999,5,FALSE)</f>
        <v>WHITED DUSTIN</v>
      </c>
      <c r="M84" s="6">
        <f>I84-F84</f>
        <v>2.527777777868323E-2</v>
      </c>
      <c r="N84" s="7">
        <f>24*60*SUM($M84:$M84)</f>
        <v>36.400000001303852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-20T11:27:22-0600',mode:absolute,to:'2017-04-20T14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4.7300000000000002E-2</v>
      </c>
      <c r="Z84" s="62">
        <f>RIGHT(H84,LEN(H84)-4)/10000</f>
        <v>23.330300000000001</v>
      </c>
      <c r="AA84" s="62">
        <f>ABS(Z84-Y84)</f>
        <v>23.283000000000001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0171-20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/stypes="app*4042*20170420*" /stext=" 19:.+((SYSTEM_STATE.+slice.+state.+changed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11"/>
        <v>"%USERPROFILE%\Documents\GitHub\eaglep3\Utilities\RefineRTDCRunTimes.py" --tripid 171-20 --locoid 4042 --swversion DE.1.0.9.0 --startMP 204:473 --initTime 2017-04-20T12:27:22 --startdatetime 2017-04-20T12:30:17 --delay 1 --endMP 204:233303 --enddatetime 2017-04-20T13:06:41 --enforcementcount 0 &gt;&gt;C:\Users\stu\Documents\GitHub\eaglep3-reporting\EC\2017-04-20-refined-times.txt</v>
      </c>
      <c r="AI8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ID","value":"171-20"},{"id":16,"name":"Locomotive ID","value":"4042"},{"id":130,"name":"Impact","value":""},{"id":150,"name":"Time of Event (Mountain Time)","value":"13:06:41"},{"id":151,"name":"Denver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 t="shared" si="13"/>
        <v>start /low /b %USERPROFILE%\Documents\GitHub\eaglep3\Utilities\DownloadLogsFromS3.py --loco 4042 --day 2017-04-20</v>
      </c>
      <c r="AN84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742</v>
      </c>
      <c r="B85" s="7">
        <v>4041</v>
      </c>
      <c r="C85" s="21" t="s">
        <v>213</v>
      </c>
      <c r="D85" s="21" t="s">
        <v>573</v>
      </c>
      <c r="E85" s="13">
        <v>42845.553553240738</v>
      </c>
      <c r="F85" s="13">
        <v>42845.559965277775</v>
      </c>
      <c r="G85" s="7">
        <v>1</v>
      </c>
      <c r="H85" s="21" t="s">
        <v>520</v>
      </c>
      <c r="I85" s="13">
        <v>42845.586770833332</v>
      </c>
      <c r="J85" s="7">
        <v>0</v>
      </c>
      <c r="K85" s="97" t="str">
        <f>IF(ISEVEN(B85),(B85-1)&amp;"/"&amp;B85,B85&amp;"/"&amp;(B85+1))</f>
        <v>4041/4042</v>
      </c>
      <c r="L85" s="21" t="str">
        <f>VLOOKUP(A85,'Trips&amp;Operators'!$C$1:$G$99999,5,FALSE)</f>
        <v>WHITED DUSTIN</v>
      </c>
      <c r="M85" s="6">
        <f>I85-F85</f>
        <v>2.6805555557075422E-2</v>
      </c>
      <c r="N85" s="7">
        <f>24*60*SUM($M85:$M85)</f>
        <v>38.600000002188608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-20T12:17:07-0600',mode:absolute,to:'2017-04-20T15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23.298200000000001</v>
      </c>
      <c r="Z85" s="62">
        <f>RIGHT(H85,LEN(H85)-4)/10000</f>
        <v>1.34E-2</v>
      </c>
      <c r="AA85" s="62">
        <f>ABS(Z85-Y85)</f>
        <v>23.284800000000001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0172-20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/stypes="app*4041*20170420*" /stext=" 20:.+((SYSTEM_STATE.+slice.+state.+changed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11"/>
        <v>"%USERPROFILE%\Documents\GitHub\eaglep3\Utilities\RefineRTDCRunTimes.py" --tripid 172-20 --locoid 4041 --swversion DE.1.0.9.0 --startMP 204:232982 --initTime 2017-04-20T13:17:07 --startdatetime 2017-04-20T13:26:21 --delay 1 --endMP 204:134 --enddatetime 2017-04-20T14:04:57 --enforcementcount 0 &gt;&gt;C:\Users\stu\Documents\GitHub\eaglep3-reporting\EC\2017-04-20-refined-times.txt</v>
      </c>
      <c r="AI8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ID","value":"172-20"},{"id":16,"name":"Locomotive ID","value":"4041"},{"id":130,"name":"Impact","value":""},{"id":150,"name":"Time of Event (Mountain Time)","value":"14:04:57"},{"id":151,"name":"Denver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13"/>
        <v>start /low /b %USERPROFILE%\Documents\GitHub\eaglep3\Utilities\DownloadLogsFromS3.py --loco 4041 --day 2017-04-20</v>
      </c>
      <c r="AN85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735</v>
      </c>
      <c r="B86" s="7">
        <v>4002</v>
      </c>
      <c r="C86" s="21" t="s">
        <v>213</v>
      </c>
      <c r="D86" s="21" t="s">
        <v>204</v>
      </c>
      <c r="E86" s="13">
        <v>42845.526770833334</v>
      </c>
      <c r="F86" s="13">
        <v>42845.531412037039</v>
      </c>
      <c r="G86" s="7">
        <v>1</v>
      </c>
      <c r="H86" s="21" t="s">
        <v>576</v>
      </c>
      <c r="I86" s="13">
        <v>42845.557951388888</v>
      </c>
      <c r="J86" s="7">
        <v>0</v>
      </c>
      <c r="K86" s="97" t="str">
        <f>IF(ISEVEN(B86),(B86-1)&amp;"/"&amp;B86,B86&amp;"/"&amp;(B86+1))</f>
        <v>4001/4002</v>
      </c>
      <c r="L86" s="21" t="str">
        <f>VLOOKUP(A86,'Trips&amp;Operators'!$C$1:$G$99999,5,FALSE)</f>
        <v>CLARK KATHLEEN</v>
      </c>
      <c r="M86" s="6">
        <f>I86-F86</f>
        <v>2.6539351849351078E-2</v>
      </c>
      <c r="N86" s="7">
        <f>24*60*SUM($M86:$M86)</f>
        <v>38.216666663065553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-20T11:38:33-0600',mode:absolute,to:'2017-04-20T14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4.5699999999999998E-2</v>
      </c>
      <c r="Z86" s="62">
        <f>RIGHT(H86,LEN(H86)-4)/10000</f>
        <v>23.329699999999999</v>
      </c>
      <c r="AA86" s="62">
        <f>ABS(Z86-Y86)</f>
        <v>23.283999999999999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0173-20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/stypes="app*4002*20170420*" /stext=" 19:.+((SYSTEM_STATE.+slice.+state.+changed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11"/>
        <v>"%USERPROFILE%\Documents\GitHub\eaglep3\Utilities\RefineRTDCRunTimes.py" --tripid 173-20 --locoid 4002 --swversion DE.1.0.9.0 --startMP 204:457 --initTime 2017-04-20T12:38:33 --startdatetime 2017-04-20T12:45:14 --delay 1 --endMP 204:233297 --enddatetime 2017-04-20T13:23:27 --enforcementcount 0 &gt;&gt;C:\Users\stu\Documents\GitHub\eaglep3-reporting\EC\2017-04-20-refined-times.txt</v>
      </c>
      <c r="AI8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ID","value":"173-20"},{"id":16,"name":"Locomotive ID","value":"4002"},{"id":130,"name":"Impact","value":""},{"id":150,"name":"Time of Event (Mountain Time)","value":"13:23:27"},{"id":151,"name":"Denver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13"/>
        <v>start /low /b %USERPROFILE%\Documents\GitHub\eaglep3\Utilities\DownloadLogsFromS3.py --loco 4002 --day 2017-04-20</v>
      </c>
      <c r="AN86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744</v>
      </c>
      <c r="B87" s="7">
        <v>4001</v>
      </c>
      <c r="C87" s="21" t="s">
        <v>213</v>
      </c>
      <c r="D87" s="21" t="s">
        <v>531</v>
      </c>
      <c r="E87" s="13">
        <v>42845.56559027778</v>
      </c>
      <c r="F87" s="13">
        <v>42845.5703125</v>
      </c>
      <c r="G87" s="7">
        <v>0</v>
      </c>
      <c r="H87" s="21" t="s">
        <v>895</v>
      </c>
      <c r="I87" s="13">
        <v>42845.597939814812</v>
      </c>
      <c r="J87" s="7">
        <v>0</v>
      </c>
      <c r="K87" s="97" t="str">
        <f>IF(ISEVEN(B87),(B87-1)&amp;"/"&amp;B87,B87&amp;"/"&amp;(B87+1))</f>
        <v>4001/4002</v>
      </c>
      <c r="L87" s="21" t="str">
        <f>VLOOKUP(A87,'Trips&amp;Operators'!$C$1:$G$99999,5,FALSE)</f>
        <v>CLARK KATHLEEN</v>
      </c>
      <c r="M87" s="6">
        <f>I87-F87</f>
        <v>2.7627314811979886E-2</v>
      </c>
      <c r="N87" s="7">
        <f>24*60*SUM($M87:$M87)</f>
        <v>39.783333329251036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-20T12:34:27-0600',mode:absolute,to:'2017-04-20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23.297599999999999</v>
      </c>
      <c r="Z87" s="62">
        <f>RIGHT(H87,LEN(H87)-4)/10000</f>
        <v>1.8499999999999999E-2</v>
      </c>
      <c r="AA87" s="62">
        <f>ABS(Z87-Y87)</f>
        <v>23.2791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0174-20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/stypes="app*4001*20170420*" /stext=" 20:.+((SYSTEM_STATE.+slice.+state.+changed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11"/>
        <v>"%USERPROFILE%\Documents\GitHub\eaglep3\Utilities\RefineRTDCRunTimes.py" --tripid 174-20 --locoid 4001 --swversion DE.1.0.9.0 --startMP 204:232976 --initTime 2017-04-20T13:34:27 --startdatetime 2017-04-20T13:41:15 --delay 0 --endMP 204:185 --enddatetime 2017-04-20T14:21:02 --enforcementcount 0 &gt;&gt;C:\Users\stu\Documents\GitHub\eaglep3-reporting\EC\2017-04-20-refined-times.txt</v>
      </c>
      <c r="AI8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{"issue":{"subject":"","project_id":79,"tracker_id":40,"status_id":1,"priority_id":2,"assigned_to_id":23,"start_date":"2017-04-20","description":"","custom_fields":[{"id":1,"name":"Subdivision","value":"EC"},{"id":4,"name":"Milepost","value":"0.0185"},{"id":17,"name":"Train ID","value":"174-20"},{"id":16,"name":"Locomotive ID","value":"4001"},{"id":130,"name":"Impact","value":""},{"id":150,"name":"Time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13"/>
        <v>start /low /b %USERPROFILE%\Documents\GitHub\eaglep3\Utilities\DownloadLogsFromS3.py --loco 4001 --day 2017-04-20</v>
      </c>
      <c r="AN87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632</v>
      </c>
      <c r="B88" s="7">
        <v>4046</v>
      </c>
      <c r="C88" s="21" t="s">
        <v>213</v>
      </c>
      <c r="D88" s="21" t="s">
        <v>896</v>
      </c>
      <c r="E88" s="13">
        <v>42845.538807870369</v>
      </c>
      <c r="F88" s="13">
        <v>42845.541921296295</v>
      </c>
      <c r="G88" s="7">
        <v>1</v>
      </c>
      <c r="H88" s="21" t="s">
        <v>439</v>
      </c>
      <c r="I88" s="13">
        <v>42845.567291666666</v>
      </c>
      <c r="J88" s="7">
        <v>0</v>
      </c>
      <c r="K88" s="97" t="str">
        <f>IF(ISEVEN(B88),(B88-1)&amp;"/"&amp;B88,B88&amp;"/"&amp;(B88+1))</f>
        <v>4045/4046</v>
      </c>
      <c r="L88" s="21" t="str">
        <f>VLOOKUP(A88,'Trips&amp;Operators'!$C$1:$G$99999,5,FALSE)</f>
        <v>ARVIDSON DANIEL</v>
      </c>
      <c r="M88" s="6">
        <f>I88-F88</f>
        <v>2.5370370371092577E-2</v>
      </c>
      <c r="N88" s="7">
        <f>24*60*SUM($M88:$M88)</f>
        <v>36.53333333437331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4.82E-2</v>
      </c>
      <c r="Z88" s="62">
        <f>RIGHT(H88,LEN(H88)-4)/10000</f>
        <v>23.3293</v>
      </c>
      <c r="AA88" s="62">
        <f>ABS(Z88-Y88)</f>
        <v>23.281099999999999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0175-20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/stypes="app*4046*20170420*" /stext=" 19:.+((SYSTEM_STATE.+slice.+state.+changed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11"/>
        <v>"%USERPROFILE%\Documents\GitHub\eaglep3\Utilities\RefineRTDCRunTimes.py" --tripid 175-20 --locoid 4046 --swversion DE.1.0.9.0 --startMP 204:482 --initTime 2017-04-20T12:55:53 --startdatetime 2017-04-20T13:00:22 --delay 1 --endMP 204:233293 --enddatetime 2017-04-20T13:36:54 --enforcementcount 0 &gt;&gt;C:\Users\stu\Documents\GitHub\eaglep3-reporting\EC\2017-04-20-refined-times.txt</v>
      </c>
      <c r="AI8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{"issue":{"subject":"","project_id":79,"tracker_id":40,"status_id":1,"priority_id":2,"assigned_to_id":23,"start_date":"2017-04-20","description":"","custom_fields":[{"id":1,"name":"Subdivision","value":"EC"},{"id":4,"name":"Milepost","value":"23.3293"},{"id":17,"name":"Train ID","value":"175-20"},{"id":16,"name":"Locomotive ID","value":"4046"},{"id":130,"name":"Impact","value":""},{"id":150,"name":"Time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13"/>
        <v>start /low /b %USERPROFILE%\Documents\GitHub\eaglep3\Utilities\DownloadLogsFromS3.py --loco 4046 --day 2017-04-20</v>
      </c>
      <c r="AN88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752</v>
      </c>
      <c r="B89" s="7">
        <v>4045</v>
      </c>
      <c r="C89" s="21" t="s">
        <v>213</v>
      </c>
      <c r="D89" s="21" t="s">
        <v>897</v>
      </c>
      <c r="E89" s="13">
        <v>42845.594351851854</v>
      </c>
      <c r="F89" s="13">
        <v>42845.595868055556</v>
      </c>
      <c r="G89" s="7">
        <v>1</v>
      </c>
      <c r="H89" s="21" t="s">
        <v>898</v>
      </c>
      <c r="I89" s="13">
        <v>42845.613263888888</v>
      </c>
      <c r="J89" s="7">
        <v>0</v>
      </c>
      <c r="K89" s="97" t="str">
        <f>IF(ISEVEN(B89),(B89-1)&amp;"/"&amp;B89,B89&amp;"/"&amp;(B89+1))</f>
        <v>4045/4046</v>
      </c>
      <c r="L89" s="21" t="str">
        <f>VLOOKUP(A89,'Trips&amp;Operators'!$C$1:$G$99999,5,FALSE)</f>
        <v>ARVIDSON DANIEL</v>
      </c>
      <c r="M89" s="6">
        <f>I89-F89</f>
        <v>1.7395833332557231E-2</v>
      </c>
      <c r="N89" s="7"/>
      <c r="O89" s="7"/>
      <c r="P89" s="7">
        <f>24*60*SUM($M89:$M89)</f>
        <v>25.049999998882413</v>
      </c>
      <c r="Q89" s="22"/>
      <c r="R89" s="22" t="s">
        <v>1023</v>
      </c>
      <c r="S89" s="31">
        <f>SUM(U89:U89)/IF(AG89="EC",12,1)</f>
        <v>1</v>
      </c>
      <c r="T89" s="46" t="str">
        <f>IF(ISEVEN(LEFT(AD89,4)),"Southbound","NorthBound")</f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-20T13:15:52-0600',mode:absolute,to:'2017-04-20T15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83" t="str">
        <f>IF(AA89&lt;IF(AG89="EC",23,5.65),"Y","N")</f>
        <v>Y</v>
      </c>
      <c r="X89" s="183">
        <f>VALUE(LEFT(AD89,4))-VALUE(LEFT(AD88,4))</f>
        <v>1</v>
      </c>
      <c r="Y89" s="62">
        <f>RIGHT(D89,LEN(D89)-4)/10000</f>
        <v>12.7864</v>
      </c>
      <c r="Z89" s="62">
        <f>RIGHT(H89,LEN(H89)-4)/10000</f>
        <v>0.11559999999999999</v>
      </c>
      <c r="AA89" s="62">
        <f>ABS(Z89-Y89)</f>
        <v>12.6708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0176-20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/stypes="app*4045*20170420*" /stext=" 20:.+((SYSTEM_STATE.+slice.+state.+changed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11"/>
        <v>"%USERPROFILE%\Documents\GitHub\eaglep3\Utilities\RefineRTDCRunTimes.py" --tripid 176-20 --locoid 4045 --swversion DE.1.0.9.0 --startMP 204:127864 --initTime 2017-04-20T14:15:52 --startdatetime 2017-04-20T14:18:03 --delay 1 --endMP 204:1156 --enddatetime 2017-04-20T14:43:06 --enforcementcount 0 &gt;&gt;C:\Users\stu\Documents\GitHub\eaglep3-reporting\EC\2017-04-20-refined-times.txt</v>
      </c>
      <c r="AI89" s="104" t="str">
        <f t="shared" si="12"/>
        <v>echo {"issue":{"subject":"Extended Onboard Wi-MAX outage","project_id":79,"tracker_id":40,"status_id":1,"priority_id":2,"assigned_to_id":23,"start_date":"2017-04-20","description":"","custom_fields":[{"id":1,"name":"Subdivision","value":"EC"},{"id":4,"name":"Milepost","value":"0.1156"},{"id":17,"name":"Train ID","value":"176-20"},{"id":16,"name":"Locomotive ID","value":"4045"},{"id":130,"name":"Impact","value":""},{"id":150,"name":"Time of Event (Mountain Time)","value":"14:43:06"},{"id":151,"name":"Denver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13"/>
        <v>start /low /b %USERPROFILE%\Documents\GitHub\eaglep3\Utilities\DownloadLogsFromS3.py --loco 4045 --day 2017-04-20</v>
      </c>
      <c r="AN89" s="159" t="str">
        <f t="shared" si="14"/>
        <v>echo {"issue":{"subject":"Extended Onboard Wi-MAX outage","project_id":30,"tracker_id":4,"status_id":1,"priority_id":1,"assigned_to_id":10,"start_date":"2017-04-20","description":"","custom_fields":[{"id":30,"name":"Category","value":"Issue"},{"id":3,"name":"Functional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738</v>
      </c>
      <c r="B90" s="7">
        <v>4026</v>
      </c>
      <c r="C90" s="21" t="s">
        <v>213</v>
      </c>
      <c r="D90" s="21" t="s">
        <v>459</v>
      </c>
      <c r="E90" s="13">
        <v>42845.547407407408</v>
      </c>
      <c r="F90" s="13">
        <v>42845.552268518521</v>
      </c>
      <c r="G90" s="7">
        <v>1</v>
      </c>
      <c r="H90" s="21" t="s">
        <v>476</v>
      </c>
      <c r="I90" s="13">
        <v>42845.577233796299</v>
      </c>
      <c r="J90" s="7">
        <v>0</v>
      </c>
      <c r="K90" s="97" t="str">
        <f>IF(ISEVEN(B90),(B90-1)&amp;"/"&amp;B90,B90&amp;"/"&amp;(B90+1))</f>
        <v>4025/4026</v>
      </c>
      <c r="L90" s="21" t="str">
        <f>VLOOKUP(A90,'Trips&amp;Operators'!$C$1:$G$99999,5,FALSE)</f>
        <v>BRUDER RICHARD</v>
      </c>
      <c r="M90" s="6">
        <f>I90-F90</f>
        <v>2.4965277778392192E-2</v>
      </c>
      <c r="N90" s="7">
        <f>24*60*SUM($M90:$M90)</f>
        <v>35.950000000884756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-20T12:08:16-0600',mode:absolute,to:'2017-04-20T14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4.6600000000000003E-2</v>
      </c>
      <c r="Z90" s="62">
        <f>RIGHT(H90,LEN(H90)-4)/10000</f>
        <v>23.331199999999999</v>
      </c>
      <c r="AA90" s="62">
        <f>ABS(Z90-Y90)</f>
        <v>23.284599999999998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0177-20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/stypes="app*4026*20170420*" /stext=" 19:.+((SYSTEM_STATE.+slice.+state.+changed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11"/>
        <v>"%USERPROFILE%\Documents\GitHub\eaglep3\Utilities\RefineRTDCRunTimes.py" --tripid 177-20 --locoid 4026 --swversion DE.1.0.9.0 --startMP 204:466 --initTime 2017-04-20T13:08:16 --startdatetime 2017-04-20T13:15:16 --delay 1 --endMP 204:233312 --enddatetime 2017-04-20T13:51:13 --enforcementcount 0 &gt;&gt;C:\Users\stu\Documents\GitHub\eaglep3-reporting\EC\2017-04-20-refined-times.txt</v>
      </c>
      <c r="AI9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{"issue":{"subject":"","project_id":79,"tracker_id":40,"status_id":1,"priority_id":2,"assigned_to_id":23,"start_date":"2017-04-20","description":"","custom_fields":[{"id":1,"name":"Subdivision","value":"EC"},{"id":4,"name":"Milepost","value":"23.3312"},{"id":17,"name":"Train ID","value":"177-20"},{"id":16,"name":"Locomotive ID","value":"4026"},{"id":130,"name":"Impact","value":""},{"id":150,"name":"Time of Event (Mountain Time)","value":"13:51:13"},{"id":151,"name":"Denver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13"/>
        <v>start /low /b %USERPROFILE%\Documents\GitHub\eaglep3\Utilities\DownloadLogsFromS3.py --loco 4026 --day 2017-04-20</v>
      </c>
      <c r="AN90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747</v>
      </c>
      <c r="B91" s="7">
        <v>4025</v>
      </c>
      <c r="C91" s="21" t="s">
        <v>213</v>
      </c>
      <c r="D91" s="21" t="s">
        <v>579</v>
      </c>
      <c r="E91" s="13">
        <v>42845.584930555553</v>
      </c>
      <c r="F91" s="13">
        <v>42845.591226851851</v>
      </c>
      <c r="G91" s="7">
        <v>1</v>
      </c>
      <c r="H91" s="21" t="s">
        <v>398</v>
      </c>
      <c r="I91" s="13">
        <v>42845.618819444448</v>
      </c>
      <c r="J91" s="7">
        <v>0</v>
      </c>
      <c r="K91" s="97" t="str">
        <f>IF(ISEVEN(B91),(B91-1)&amp;"/"&amp;B91,B91&amp;"/"&amp;(B91+1))</f>
        <v>4025/4026</v>
      </c>
      <c r="L91" s="21" t="str">
        <f>VLOOKUP(A91,'Trips&amp;Operators'!$C$1:$G$99999,5,FALSE)</f>
        <v>BRUDER RICHARD</v>
      </c>
      <c r="M91" s="6">
        <f>I91-F91</f>
        <v>2.7592592596192844E-2</v>
      </c>
      <c r="N91" s="7">
        <f>24*60*SUM($M91:$M91)</f>
        <v>39.733333338517696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-20T13:02:18-0600',mode:absolute,to:'2017-04-20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23.300599999999999</v>
      </c>
      <c r="Z91" s="62">
        <f>RIGHT(H91,LEN(H91)-4)/10000</f>
        <v>1.38E-2</v>
      </c>
      <c r="AA91" s="62">
        <f>ABS(Z91-Y91)</f>
        <v>23.286799999999999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0178-20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/stypes="app*4025*20170420*"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11"/>
        <v>"%USERPROFILE%\Documents\GitHub\eaglep3\Utilities\RefineRTDCRunTimes.py" --tripid 178-20 --locoid 4025 --swversion DE.1.0.9.0 --startMP 204:233006 --initTime 2017-04-20T14:02:18 --startdatetime 2017-04-20T14:11:22 --delay 1 --endMP 204:138 --enddatetime 2017-04-20T14:51:06 --enforcementcount 0 &gt;&gt;C:\Users\stu\Documents\GitHub\eaglep3-reporting\EC\2017-04-20-refined-times.txt</v>
      </c>
      <c r="AI9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{"issue":{"subject":"","project_id":79,"tracker_id":40,"status_id":1,"priority_id":2,"assigned_to_id":23,"start_date":"2017-04-20","description":"","custom_fields":[{"id":1,"name":"Subdivision","value":"EC"},{"id":4,"name":"Milepost","value":"0.0138"},{"id":17,"name":"Train ID","value":"178-20"},{"id":16,"name":"Locomotive ID","value":"4025"},{"id":130,"name":"Impact","value":""},{"id":150,"name":"Time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13"/>
        <v>start /low /b %USERPROFILE%\Documents\GitHub\eaglep3\Utilities\DownloadLogsFromS3.py --loco 4025 --day 2017-04-20</v>
      </c>
      <c r="AN91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743</v>
      </c>
      <c r="B92" s="7">
        <v>4054</v>
      </c>
      <c r="C92" s="21" t="s">
        <v>213</v>
      </c>
      <c r="D92" s="21" t="s">
        <v>204</v>
      </c>
      <c r="E92" s="13">
        <v>42845.558275462965</v>
      </c>
      <c r="F92" s="13">
        <v>42845.562673611108</v>
      </c>
      <c r="G92" s="7">
        <v>1</v>
      </c>
      <c r="H92" s="21" t="s">
        <v>397</v>
      </c>
      <c r="I92" s="13">
        <v>42845.58829861111</v>
      </c>
      <c r="J92" s="7">
        <v>0</v>
      </c>
      <c r="K92" s="97" t="str">
        <f>IF(ISEVEN(B92),(B92-1)&amp;"/"&amp;B92,B92&amp;"/"&amp;(B92+1))</f>
        <v>4053/4054</v>
      </c>
      <c r="L92" s="21" t="str">
        <f>VLOOKUP(A92,'Trips&amp;Operators'!$C$1:$G$99999,5,FALSE)</f>
        <v>SMITH MICHAEL</v>
      </c>
      <c r="M92" s="6">
        <f>I92-F92</f>
        <v>2.5625000002037268E-2</v>
      </c>
      <c r="N92" s="7">
        <f>24*60*SUM($M92:$M92)</f>
        <v>36.900000002933666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-20T12:23:55-0600',mode:absolute,to:'2017-04-20T15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4.5699999999999998E-2</v>
      </c>
      <c r="Z92" s="62">
        <f>RIGHT(H92,LEN(H92)-4)/10000</f>
        <v>23.329499999999999</v>
      </c>
      <c r="AA92" s="62">
        <f>ABS(Z92-Y92)</f>
        <v>23.283799999999999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0179-20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/stypes="app*4054*20170420*" /stext=" 20:.+((SYSTEM_STATE.+slice.+state.+changed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11"/>
        <v>"%USERPROFILE%\Documents\GitHub\eaglep3\Utilities\RefineRTDCRunTimes.py" --tripid 179-20 --locoid 4054 --swversion DE.1.0.9.0 --startMP 204:457 --initTime 2017-04-20T13:23:55 --startdatetime 2017-04-20T13:30:15 --delay 1 --endMP 204:233295 --enddatetime 2017-04-20T14:07:09 --enforcementcount 0 &gt;&gt;C:\Users\stu\Documents\GitHub\eaglep3-reporting\EC\2017-04-20-refined-times.txt</v>
      </c>
      <c r="AI9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{"issue":{"subject":"","project_id":79,"tracker_id":40,"status_id":1,"priority_id":2,"assigned_to_id":23,"start_date":"2017-04-20","description":"","custom_fields":[{"id":1,"name":"Subdivision","value":"EC"},{"id":4,"name":"Milepost","value":"23.3295"},{"id":17,"name":"Train ID","value":"179-20"},{"id":16,"name":"Locomotive ID","value":"4054"},{"id":130,"name":"Impact","value":""},{"id":150,"name":"Time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13"/>
        <v>start /low /b %USERPROFILE%\Documents\GitHub\eaglep3\Utilities\DownloadLogsFromS3.py --loco 4054 --day 2017-04-20</v>
      </c>
      <c r="AN92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749</v>
      </c>
      <c r="B93" s="7">
        <v>4053</v>
      </c>
      <c r="C93" s="21" t="s">
        <v>213</v>
      </c>
      <c r="D93" s="21" t="s">
        <v>573</v>
      </c>
      <c r="E93" s="13">
        <v>42845.590891203705</v>
      </c>
      <c r="F93" s="13">
        <v>42845.6016087963</v>
      </c>
      <c r="G93" s="7">
        <v>1</v>
      </c>
      <c r="H93" s="21" t="s">
        <v>445</v>
      </c>
      <c r="I93" s="13">
        <v>42845.629895833335</v>
      </c>
      <c r="J93" s="7">
        <v>0</v>
      </c>
      <c r="K93" s="97" t="str">
        <f>IF(ISEVEN(B93),(B93-1)&amp;"/"&amp;B93,B93&amp;"/"&amp;(B93+1))</f>
        <v>4053/4054</v>
      </c>
      <c r="L93" s="21" t="str">
        <f>VLOOKUP(A93,'Trips&amp;Operators'!$C$1:$G$99999,5,FALSE)</f>
        <v>SMITH MICHAEL</v>
      </c>
      <c r="M93" s="6">
        <f>I93-F93</f>
        <v>2.8287037035624962E-2</v>
      </c>
      <c r="N93" s="7">
        <f>24*60*SUM($M93:$M93)</f>
        <v>40.733333331299946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-20T13:10:53-0600',mode:absolute,to:'2017-04-20T16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23.298200000000001</v>
      </c>
      <c r="Z93" s="62">
        <f>RIGHT(H93,LEN(H93)-4)/10000</f>
        <v>1.49E-2</v>
      </c>
      <c r="AA93" s="62">
        <f>ABS(Z93-Y93)</f>
        <v>23.283300000000001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0180-20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/stypes="app*4053*20170420*" /stext=" 21:.+((SYSTEM_STATE.+slice.+state.+changed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11"/>
        <v>"%USERPROFILE%\Documents\GitHub\eaglep3\Utilities\RefineRTDCRunTimes.py" --tripid 180-20 --locoid 4053 --swversion DE.1.0.9.0 --startMP 204:232982 --initTime 2017-04-20T14:10:53 --startdatetime 2017-04-20T14:26:19 --delay 1 --endMP 204:149 --enddatetime 2017-04-20T15:07:03 --enforcementcount 0 &gt;&gt;C:\Users\stu\Documents\GitHub\eaglep3-reporting\EC\2017-04-20-refined-times.txt</v>
      </c>
      <c r="AI9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ID","value":"180-20"},{"id":16,"name":"Locomotive ID","value":"4053"},{"id":130,"name":"Impact","value":""},{"id":150,"name":"Time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13"/>
        <v>start /low /b %USERPROFILE%\Documents\GitHub\eaglep3\Utilities\DownloadLogsFromS3.py --loco 4053 --day 2017-04-20</v>
      </c>
      <c r="AN93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746</v>
      </c>
      <c r="B94" s="7">
        <v>4008</v>
      </c>
      <c r="C94" s="21" t="s">
        <v>213</v>
      </c>
      <c r="D94" s="21" t="s">
        <v>868</v>
      </c>
      <c r="E94" s="13">
        <v>42845.566770833335</v>
      </c>
      <c r="F94" s="13">
        <v>42845.573229166665</v>
      </c>
      <c r="G94" s="7">
        <v>2</v>
      </c>
      <c r="H94" s="21" t="s">
        <v>857</v>
      </c>
      <c r="I94" s="13">
        <v>42845.598796296297</v>
      </c>
      <c r="J94" s="7">
        <v>0</v>
      </c>
      <c r="K94" s="97" t="str">
        <f>IF(ISEVEN(B94),(B94-1)&amp;"/"&amp;B94,B94&amp;"/"&amp;(B94+1))</f>
        <v>4007/4008</v>
      </c>
      <c r="L94" s="21" t="str">
        <f>VLOOKUP(A94,'Trips&amp;Operators'!$C$1:$G$99999,5,FALSE)</f>
        <v>LOPES KIMBERLY</v>
      </c>
      <c r="M94" s="6">
        <f>I94-F94</f>
        <v>2.5567129632690921E-2</v>
      </c>
      <c r="N94" s="7">
        <f>24*60*SUM($M94:$M94)</f>
        <v>36.816666671074927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-20T12:36:09-0600',mode:absolute,to:'2017-04-20T15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4.3499999999999997E-2</v>
      </c>
      <c r="Z94" s="62">
        <f>RIGHT(H94,LEN(H94)-4)/10000</f>
        <v>23.331399999999999</v>
      </c>
      <c r="AA94" s="62">
        <f>ABS(Z94-Y94)</f>
        <v>23.287899999999997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0181-20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/stypes="app*4008*20170420*" /stext=" 20:.+((SYSTEM_STATE.+slice.+state.+changed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11"/>
        <v>"%USERPROFILE%\Documents\GitHub\eaglep3\Utilities\RefineRTDCRunTimes.py" --tripid 181-20 --locoid 4008 --swversion DE.1.0.9.0 --startMP 204:435 --initTime 2017-04-20T13:36:09 --startdatetime 2017-04-20T13:45:27 --delay 2 --endMP 204:233314 --enddatetime 2017-04-20T14:22:16 --enforcementcount 0 &gt;&gt;C:\Users\stu\Documents\GitHub\eaglep3-reporting\EC\2017-04-20-refined-times.txt</v>
      </c>
      <c r="AI9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ID","value":"181-20"},{"id":16,"name":"Locomotive ID","value":"4008"},{"id":130,"name":"Impact","value":""},{"id":150,"name":"Time of Event (Mountain Time)","value":"14:22:16"},{"id":151,"name":"Denver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13"/>
        <v>start /low /b %USERPROFILE%\Documents\GitHub\eaglep3\Utilities\DownloadLogsFromS3.py --loco 4008 --day 2017-04-20</v>
      </c>
      <c r="AN94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755</v>
      </c>
      <c r="B95" s="7">
        <v>4007</v>
      </c>
      <c r="C95" s="21" t="s">
        <v>213</v>
      </c>
      <c r="D95" s="21" t="s">
        <v>405</v>
      </c>
      <c r="E95" s="13">
        <v>42845.605347222219</v>
      </c>
      <c r="F95" s="13">
        <v>42845.612002314818</v>
      </c>
      <c r="G95" s="7">
        <v>1</v>
      </c>
      <c r="H95" s="21" t="s">
        <v>409</v>
      </c>
      <c r="I95" s="13">
        <v>42845.638935185183</v>
      </c>
      <c r="J95" s="7">
        <v>0</v>
      </c>
      <c r="K95" s="97" t="str">
        <f>IF(ISEVEN(B95),(B95-1)&amp;"/"&amp;B95,B95&amp;"/"&amp;(B95+1))</f>
        <v>4007/4008</v>
      </c>
      <c r="L95" s="21" t="str">
        <f>VLOOKUP(A95,'Trips&amp;Operators'!$C$1:$G$99999,5,FALSE)</f>
        <v>LOPES KIMBERLY</v>
      </c>
      <c r="M95" s="6">
        <f>I95-F95</f>
        <v>2.693287036527181E-2</v>
      </c>
      <c r="N95" s="7">
        <f>24*60*SUM($M95:$M95)</f>
        <v>38.783333325991407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-20T13:31:42-0600',mode:absolute,to:'2017-04-20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23.2989</v>
      </c>
      <c r="Z95" s="62">
        <f>RIGHT(H95,LEN(H95)-4)/10000</f>
        <v>1.4500000000000001E-2</v>
      </c>
      <c r="AA95" s="62">
        <f>ABS(Z95-Y95)</f>
        <v>23.284399999999998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0182-20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/stypes="app*4007*20170420*" /stext=" 21:.+((SYSTEM_STATE.+slice.+state.+changed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11"/>
        <v>"%USERPROFILE%\Documents\GitHub\eaglep3\Utilities\RefineRTDCRunTimes.py" --tripid 182-20 --locoid 4007 --swversion DE.1.0.9.0 --startMP 204:232989 --initTime 2017-04-20T14:31:42 --startdatetime 2017-04-20T14:41:17 --delay 1 --endMP 204:145 --enddatetime 2017-04-20T15:20:04 --enforcementcount 0 &gt;&gt;C:\Users\stu\Documents\GitHub\eaglep3-reporting\EC\2017-04-20-refined-times.txt</v>
      </c>
      <c r="AI9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{"issue":{"subject":"","project_id":79,"tracker_id":40,"status_id":1,"priority_id":2,"assigned_to_id":23,"start_date":"2017-04-20","description":"","custom_fields":[{"id":1,"name":"Subdivision","value":"EC"},{"id":4,"name":"Milepost","value":"0.0145"},{"id":17,"name":"Train ID","value":"182-20"},{"id":16,"name":"Locomotive ID","value":"4007"},{"id":130,"name":"Impact","value":""},{"id":150,"name":"Time of Event (Mountain Time)","value":"15:20:04"},{"id":151,"name":"Denver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13"/>
        <v>start /low /b %USERPROFILE%\Documents\GitHub\eaglep3\Utilities\DownloadLogsFromS3.py --loco 4007 --day 2017-04-20</v>
      </c>
      <c r="AN95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737</v>
      </c>
      <c r="B96" s="7">
        <v>4024</v>
      </c>
      <c r="C96" s="21" t="s">
        <v>213</v>
      </c>
      <c r="D96" s="21" t="s">
        <v>435</v>
      </c>
      <c r="E96" s="13">
        <v>42845.580185185187</v>
      </c>
      <c r="F96" s="13">
        <v>42845.583645833336</v>
      </c>
      <c r="G96" s="7">
        <v>1</v>
      </c>
      <c r="H96" s="21" t="s">
        <v>899</v>
      </c>
      <c r="I96" s="13">
        <v>42845.610694444447</v>
      </c>
      <c r="J96" s="7">
        <v>0</v>
      </c>
      <c r="K96" s="97" t="str">
        <f>IF(ISEVEN(B96),(B96-1)&amp;"/"&amp;B96,B96&amp;"/"&amp;(B96+1))</f>
        <v>4023/4024</v>
      </c>
      <c r="L96" s="21" t="str">
        <f>VLOOKUP(A96,'Trips&amp;Operators'!$C$1:$G$99999,5,FALSE)</f>
        <v>HELVIE ADAM</v>
      </c>
      <c r="M96" s="6">
        <f>I96-F96</f>
        <v>2.7048611111240461E-2</v>
      </c>
      <c r="N96" s="7">
        <f>24*60*SUM($M96:$M96)</f>
        <v>38.950000000186265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-20T12:55:28-0600',mode:absolute,to:'2017-04-20T15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4.6699999999999998E-2</v>
      </c>
      <c r="Z96" s="62">
        <f>RIGHT(H96,LEN(H96)-4)/10000</f>
        <v>23.327999999999999</v>
      </c>
      <c r="AA96" s="62">
        <f>ABS(Z96-Y96)</f>
        <v>23.281299999999998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0183-20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/stypes="app*4024*20170420*" /stext=" 20:.+((SYSTEM_STATE.+slice.+state.+changed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11"/>
        <v>"%USERPROFILE%\Documents\GitHub\eaglep3\Utilities\RefineRTDCRunTimes.py" --tripid 183-20 --locoid 4024 --swversion DE.1.0.9.0 --startMP 204:467 --initTime 2017-04-20T13:55:28 --startdatetime 2017-04-20T14:00:27 --delay 1 --endMP 204:233280 --enddatetime 2017-04-20T14:39:24 --enforcementcount 0 &gt;&gt;C:\Users\stu\Documents\GitHub\eaglep3-reporting\EC\2017-04-20-refined-times.txt</v>
      </c>
      <c r="AI9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ID","value":"183-20"},{"id":16,"name":"Locomotive ID","value":"4024"},{"id":130,"name":"Impact","value":""},{"id":150,"name":"Time of Event (Mountain Time)","value":"14:39:24"},{"id":151,"name":"Denver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13"/>
        <v>start /low /b %USERPROFILE%\Documents\GitHub\eaglep3\Utilities\DownloadLogsFromS3.py --loco 4024 --day 2017-04-20</v>
      </c>
      <c r="AN96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758</v>
      </c>
      <c r="B97" s="7">
        <v>4023</v>
      </c>
      <c r="C97" s="21" t="s">
        <v>213</v>
      </c>
      <c r="D97" s="21" t="s">
        <v>900</v>
      </c>
      <c r="E97" s="13">
        <v>42845.617847222224</v>
      </c>
      <c r="F97" s="13">
        <v>42845.623055555552</v>
      </c>
      <c r="G97" s="7">
        <v>1</v>
      </c>
      <c r="H97" s="21" t="s">
        <v>574</v>
      </c>
      <c r="I97" s="13">
        <v>42845.651863425926</v>
      </c>
      <c r="J97" s="7">
        <v>0</v>
      </c>
      <c r="K97" s="97" t="str">
        <f>IF(ISEVEN(B97),(B97-1)&amp;"/"&amp;B97,B97&amp;"/"&amp;(B97+1))</f>
        <v>4023/4024</v>
      </c>
      <c r="L97" s="21" t="str">
        <f>VLOOKUP(A97,'Trips&amp;Operators'!$C$1:$G$99999,5,FALSE)</f>
        <v>HELVIE ADAM</v>
      </c>
      <c r="M97" s="6">
        <f>I97-F97</f>
        <v>2.8807870374293998E-2</v>
      </c>
      <c r="N97" s="7">
        <f>24*60*SUM($M97:$M97)</f>
        <v>41.483333338983357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-20T13:49:42-0600',mode:absolute,to:'2017-04-20T16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23.295200000000001</v>
      </c>
      <c r="Z97" s="62">
        <f>RIGHT(H97,LEN(H97)-4)/10000</f>
        <v>1.7000000000000001E-2</v>
      </c>
      <c r="AA97" s="62">
        <f>ABS(Z97-Y97)</f>
        <v>23.278200000000002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0184-20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/stypes="app*4023*20170420*" /stext=" 21:.+((SYSTEM_STATE.+slice.+state.+changed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11"/>
        <v>"%USERPROFILE%\Documents\GitHub\eaglep3\Utilities\RefineRTDCRunTimes.py" --tripid 184-20 --locoid 4023 --swversion DE.1.0.9.0 --startMP 204:232952 --initTime 2017-04-20T14:49:42 --startdatetime 2017-04-20T14:57:12 --delay 1 --endMP 204:170 --enddatetime 2017-04-20T15:38:41 --enforcementcount 0 &gt;&gt;C:\Users\stu\Documents\GitHub\eaglep3-reporting\EC\2017-04-20-refined-times.txt</v>
      </c>
      <c r="AI9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{"issue":{"subject":"","project_id":79,"tracker_id":40,"status_id":1,"priority_id":2,"assigned_to_id":23,"start_date":"2017-04-20","description":"","custom_fields":[{"id":1,"name":"Subdivision","value":"EC"},{"id":4,"name":"Milepost","value":"0.017"},{"id":17,"name":"Train ID","value":"184-20"},{"id":16,"name":"Locomotive ID","value":"4023"},{"id":130,"name":"Impact","value":""},{"id":150,"name":"Time of Event (Mountain Time)","value":"15:38:41"},{"id":151,"name":"Denver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13"/>
        <v>start /low /b %USERPROFILE%\Documents\GitHub\eaglep3\Utilities\DownloadLogsFromS3.py --loco 4023 --day 2017-04-20</v>
      </c>
      <c r="AN97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748</v>
      </c>
      <c r="B98" s="7">
        <v>4042</v>
      </c>
      <c r="C98" s="21" t="s">
        <v>213</v>
      </c>
      <c r="D98" s="21" t="s">
        <v>518</v>
      </c>
      <c r="E98" s="13">
        <v>42845.589780092596</v>
      </c>
      <c r="F98" s="13">
        <v>42845.593923611108</v>
      </c>
      <c r="G98" s="7">
        <v>1</v>
      </c>
      <c r="H98" s="21" t="s">
        <v>889</v>
      </c>
      <c r="I98" s="13">
        <v>42845.61886574074</v>
      </c>
      <c r="J98" s="7">
        <v>0</v>
      </c>
      <c r="K98" s="97" t="str">
        <f>IF(ISEVEN(B98),(B98-1)&amp;"/"&amp;B98,B98&amp;"/"&amp;(B98+1))</f>
        <v>4041/4042</v>
      </c>
      <c r="L98" s="21" t="str">
        <f>VLOOKUP(A98,'Trips&amp;Operators'!$C$1:$G$99999,5,FALSE)</f>
        <v>WHITED DUSTIN</v>
      </c>
      <c r="M98" s="6">
        <f>I98-F98</f>
        <v>2.4942129632108845E-2</v>
      </c>
      <c r="N98" s="7">
        <f>24*60*SUM($M98:$M98)</f>
        <v>35.916666670236737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-20T13:09:17-0600',mode:absolute,to:'2017-04-20T15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4.5100000000000001E-2</v>
      </c>
      <c r="Z98" s="62">
        <f>RIGHT(H98,LEN(H98)-4)/10000</f>
        <v>23.331</v>
      </c>
      <c r="AA98" s="62">
        <f>ABS(Z98-Y98)</f>
        <v>23.285899999999998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0185-20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/stypes="app*4042*20170420*" /stext=" 20:.+((SYSTEM_STATE.+slice.+state.+changed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11"/>
        <v>"%USERPROFILE%\Documents\GitHub\eaglep3\Utilities\RefineRTDCRunTimes.py" --tripid 185-20 --locoid 4042 --swversion DE.1.0.9.0 --startMP 204:451 --initTime 2017-04-20T14:09:17 --startdatetime 2017-04-20T14:15:15 --delay 1 --endMP 204:233310 --enddatetime 2017-04-20T14:51:10 --enforcementcount 0 &gt;&gt;C:\Users\stu\Documents\GitHub\eaglep3-reporting\EC\2017-04-20-refined-times.txt</v>
      </c>
      <c r="AI9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{"issue":{"subject":"","project_id":79,"tracker_id":40,"status_id":1,"priority_id":2,"assigned_to_id":23,"start_date":"2017-04-20","description":"","custom_fields":[{"id":1,"name":"Subdivision","value":"EC"},{"id":4,"name":"Milepost","value":"23.331"},{"id":17,"name":"Train ID","value":"185-20"},{"id":16,"name":"Locomotive ID","value":"4042"},{"id":130,"name":"Impact","value":""},{"id":150,"name":"Time of Event (Mountain Time)","value":"14:51:10"},{"id":151,"name":"Denver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13"/>
        <v>start /low /b %USERPROFILE%\Documents\GitHub\eaglep3\Utilities\DownloadLogsFromS3.py --loco 4042 --day 2017-04-20</v>
      </c>
      <c r="AN98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760</v>
      </c>
      <c r="B99" s="7">
        <v>4041</v>
      </c>
      <c r="C99" s="21" t="s">
        <v>213</v>
      </c>
      <c r="D99" s="21" t="s">
        <v>405</v>
      </c>
      <c r="E99" s="13">
        <v>42845.627141203702</v>
      </c>
      <c r="F99" s="13">
        <v>42845.632847222223</v>
      </c>
      <c r="G99" s="7">
        <v>1</v>
      </c>
      <c r="H99" s="21" t="s">
        <v>399</v>
      </c>
      <c r="I99" s="13">
        <v>42845.659780092596</v>
      </c>
      <c r="J99" s="7">
        <v>0</v>
      </c>
      <c r="K99" s="97" t="str">
        <f>IF(ISEVEN(B99),(B99-1)&amp;"/"&amp;B99,B99&amp;"/"&amp;(B99+1))</f>
        <v>4041/4042</v>
      </c>
      <c r="L99" s="21" t="str">
        <f>VLOOKUP(A99,'Trips&amp;Operators'!$C$1:$G$99999,5,FALSE)</f>
        <v>WHITED DUSTIN</v>
      </c>
      <c r="M99" s="6">
        <f>I99-F99</f>
        <v>2.6932870372547768E-2</v>
      </c>
      <c r="N99" s="7">
        <f>24*60*SUM($M99:$M99)</f>
        <v>38.783333336468786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-20T14:03:05-0600',mode:absolute,to:'2017-04-20T16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23.2989</v>
      </c>
      <c r="Z99" s="62">
        <f>RIGHT(H99,LEN(H99)-4)/10000</f>
        <v>1.41E-2</v>
      </c>
      <c r="AA99" s="62">
        <f>ABS(Z99-Y99)</f>
        <v>23.284800000000001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0186-20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/stypes="app*4041*20170420*"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11"/>
        <v>"%USERPROFILE%\Documents\GitHub\eaglep3\Utilities\RefineRTDCRunTimes.py" --tripid 186-20 --locoid 4041 --swversion DE.1.0.9.0 --startMP 204:232989 --initTime 2017-04-20T15:03:05 --startdatetime 2017-04-20T15:11:18 --delay 1 --endMP 204:141 --enddatetime 2017-04-20T15:50:05 --enforcementcount 0 &gt;&gt;C:\Users\stu\Documents\GitHub\eaglep3-reporting\EC\2017-04-20-refined-times.txt</v>
      </c>
      <c r="AI99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ID","value":"186-20"},{"id":16,"name":"Locomotive ID","value":"4041"},{"id":130,"name":"Impact","value":""},{"id":150,"name":"Time of Event (Mountain Time)","value":"15:50:05"},{"id":151,"name":"Denver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13"/>
        <v>start /low /b %USERPROFILE%\Documents\GitHub\eaglep3\Utilities\DownloadLogsFromS3.py --loco 4041 --day 2017-04-20</v>
      </c>
      <c r="AN99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754</v>
      </c>
      <c r="B100" s="7">
        <v>4002</v>
      </c>
      <c r="C100" s="21" t="s">
        <v>213</v>
      </c>
      <c r="D100" s="21" t="s">
        <v>586</v>
      </c>
      <c r="E100" s="13">
        <v>42845.60119212963</v>
      </c>
      <c r="F100" s="13">
        <v>42845.604328703703</v>
      </c>
      <c r="G100" s="7">
        <v>1</v>
      </c>
      <c r="H100" s="21" t="s">
        <v>901</v>
      </c>
      <c r="I100" s="13">
        <v>42845.63076388889</v>
      </c>
      <c r="J100" s="7">
        <v>0</v>
      </c>
      <c r="K100" s="97" t="str">
        <f>IF(ISEVEN(B100),(B100-1)&amp;"/"&amp;B100,B100&amp;"/"&amp;(B100+1))</f>
        <v>4001/4002</v>
      </c>
      <c r="L100" s="21" t="str">
        <f>VLOOKUP(A100,'Trips&amp;Operators'!$C$1:$G$99999,5,FALSE)</f>
        <v>CLARK KATHLEEN</v>
      </c>
      <c r="M100" s="6">
        <f>I100-F100</f>
        <v>2.6435185187438037E-2</v>
      </c>
      <c r="N100" s="7">
        <f>24*60*SUM($M100:$M100)</f>
        <v>38.066666669910774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-20T13:25:43-0600',mode:absolute,to:'2017-04-20T16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5.0200000000000002E-2</v>
      </c>
      <c r="Z100" s="62">
        <f>RIGHT(H100,LEN(H100)-4)/10000</f>
        <v>23.3261</v>
      </c>
      <c r="AA100" s="62">
        <f>ABS(Z100-Y100)</f>
        <v>23.2759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0187-20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/stypes="app*4002*20170420*" /stext=" 21:.+((SYSTEM_STATE.+slice.+state.+changed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11"/>
        <v>"%USERPROFILE%\Documents\GitHub\eaglep3\Utilities\RefineRTDCRunTimes.py" --tripid 187-20 --locoid 4002 --swversion DE.1.0.9.0 --startMP 204:502 --initTime 2017-04-20T14:25:43 --startdatetime 2017-04-20T14:30:14 --delay 1 --endMP 204:233261 --enddatetime 2017-04-20T15:08:18 --enforcementcount 0 &gt;&gt;C:\Users\stu\Documents\GitHub\eaglep3-reporting\EC\2017-04-20-refined-times.txt</v>
      </c>
      <c r="AI10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{"issue":{"subject":"","project_id":79,"tracker_id":40,"status_id":1,"priority_id":2,"assigned_to_id":23,"start_date":"2017-04-20","description":"","custom_fields":[{"id":1,"name":"Subdivision","value":"EC"},{"id":4,"name":"Milepost","value":"23.3261"},{"id":17,"name":"Train ID","value":"187-20"},{"id":16,"name":"Locomotive ID","value":"4002"},{"id":130,"name":"Impact","value":""},{"id":150,"name":"Time of Event (Mountain Time)","value":"15:08:18"},{"id":151,"name":"Denver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13"/>
        <v>start /low /b %USERPROFILE%\Documents\GitHub\eaglep3\Utilities\DownloadLogsFromS3.py --loco 4002 --day 2017-04-20</v>
      </c>
      <c r="AN100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763</v>
      </c>
      <c r="B101" s="7">
        <v>4001</v>
      </c>
      <c r="C101" s="21" t="s">
        <v>213</v>
      </c>
      <c r="D101" s="21" t="s">
        <v>894</v>
      </c>
      <c r="E101" s="13">
        <v>42845.637650462966</v>
      </c>
      <c r="F101" s="13">
        <v>42845.643240740741</v>
      </c>
      <c r="G101" s="7">
        <v>0</v>
      </c>
      <c r="H101" s="21" t="s">
        <v>498</v>
      </c>
      <c r="I101" s="13">
        <v>42845.672048611108</v>
      </c>
      <c r="J101" s="7">
        <v>0</v>
      </c>
      <c r="K101" s="97" t="str">
        <f>IF(ISEVEN(B101),(B101-1)&amp;"/"&amp;B101,B101&amp;"/"&amp;(B101+1))</f>
        <v>4001/4002</v>
      </c>
      <c r="L101" s="21" t="str">
        <f>VLOOKUP(A101,'Trips&amp;Operators'!$C$1:$G$99999,5,FALSE)</f>
        <v>CLARK KATHLEEN</v>
      </c>
      <c r="M101" s="6">
        <f>I101-F101</f>
        <v>2.880787036701804E-2</v>
      </c>
      <c r="N101" s="7">
        <f>24*60*SUM($M101:$M101)</f>
        <v>41.483333328505978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-20T14:18:13-0600',mode:absolute,to:'2017-04-20T17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23.295500000000001</v>
      </c>
      <c r="Z101" s="62">
        <f>RIGHT(H101,LEN(H101)-4)/10000</f>
        <v>1.6500000000000001E-2</v>
      </c>
      <c r="AA101" s="62">
        <f>ABS(Z101-Y101)</f>
        <v>23.279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0188-20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/stypes="app*4001*20170420*" /stext=" 22:.+((SYSTEM_STATE.+slice.+state.+changed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11"/>
        <v>"%USERPROFILE%\Documents\GitHub\eaglep3\Utilities\RefineRTDCRunTimes.py" --tripid 188-20 --locoid 4001 --swversion DE.1.0.9.0 --startMP 204:232955 --initTime 2017-04-20T15:18:13 --startdatetime 2017-04-20T15:26:16 --delay 0 --endMP 204:165 --enddatetime 2017-04-20T16:07:45 --enforcementcount 0 &gt;&gt;C:\Users\stu\Documents\GitHub\eaglep3-reporting\EC\2017-04-20-refined-times.txt</v>
      </c>
      <c r="AI10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{"issue":{"subject":"","project_id":79,"tracker_id":40,"status_id":1,"priority_id":2,"assigned_to_id":23,"start_date":"2017-04-20","description":"","custom_fields":[{"id":1,"name":"Subdivision","value":"EC"},{"id":4,"name":"Milepost","value":"0.0165"},{"id":17,"name":"Train ID","value":"188-20"},{"id":16,"name":"Locomotive ID","value":"4001"},{"id":130,"name":"Impact","value":""},{"id":150,"name":"Time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13"/>
        <v>start /low /b %USERPROFILE%\Documents\GitHub\eaglep3\Utilities\DownloadLogsFromS3.py --loco 4001 --day 2017-04-20</v>
      </c>
      <c r="AN101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756</v>
      </c>
      <c r="B102" s="7">
        <v>4028</v>
      </c>
      <c r="C102" s="21" t="s">
        <v>213</v>
      </c>
      <c r="D102" s="21" t="s">
        <v>526</v>
      </c>
      <c r="E102" s="13">
        <v>42845.607905092591</v>
      </c>
      <c r="F102" s="13">
        <v>42845.614768518521</v>
      </c>
      <c r="G102" s="7">
        <v>2</v>
      </c>
      <c r="H102" s="21" t="s">
        <v>902</v>
      </c>
      <c r="I102" s="13">
        <v>42845.639652777776</v>
      </c>
      <c r="J102" s="7">
        <v>0</v>
      </c>
      <c r="K102" s="97" t="str">
        <f>IF(ISEVEN(B102),(B102-1)&amp;"/"&amp;B102,B102&amp;"/"&amp;(B102+1))</f>
        <v>4027/4028</v>
      </c>
      <c r="L102" s="21" t="str">
        <f>VLOOKUP(A102,'Trips&amp;Operators'!$C$1:$G$99999,5,FALSE)</f>
        <v>DELGADO DIANAH</v>
      </c>
      <c r="M102" s="6">
        <f>I102-F102</f>
        <v>2.488425925548654E-2</v>
      </c>
      <c r="N102" s="7">
        <f>24*60*SUM($M102:$M102)</f>
        <v>35.833333327900618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-20T13:35:23-0600',mode:absolute,to:'2017-04-20T16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4.3700000000000003E-2</v>
      </c>
      <c r="Z102" s="62">
        <f>RIGHT(H102,LEN(H102)-4)/10000</f>
        <v>23.3353</v>
      </c>
      <c r="AA102" s="62">
        <f>ABS(Z102-Y102)</f>
        <v>23.291599999999999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0189-20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/stypes="app*4028*20170420*" /stext=" 21:.+((SYSTEM_STATE.+slice.+state.+changed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11"/>
        <v>"%USERPROFILE%\Documents\GitHub\eaglep3\Utilities\RefineRTDCRunTimes.py" --tripid 189-20 --locoid 4028 --swversion DE.1.0.9.0 --startMP 204:437 --initTime 2017-04-20T14:35:23 --startdatetime 2017-04-20T14:45:16 --delay 2 --endMP 204:233353 --enddatetime 2017-04-20T15:21:06 --enforcementcount 0 &gt;&gt;C:\Users\stu\Documents\GitHub\eaglep3-reporting\EC\2017-04-20-refined-times.txt</v>
      </c>
      <c r="AI10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{"issue":{"subject":"","project_id":79,"tracker_id":40,"status_id":1,"priority_id":2,"assigned_to_id":23,"start_date":"2017-04-20","description":"","custom_fields":[{"id":1,"name":"Subdivision","value":"EC"},{"id":4,"name":"Milepost","value":"23.3353"},{"id":17,"name":"Train ID","value":"189-20"},{"id":16,"name":"Locomotive ID","value":"4028"},{"id":130,"name":"Impact","value":""},{"id":150,"name":"Time of Event (Mountain Time)","value":"15:21:06"},{"id":151,"name":"Denver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13"/>
        <v>start /low /b %USERPROFILE%\Documents\GitHub\eaglep3\Utilities\DownloadLogsFromS3.py --loco 4028 --day 2017-04-20</v>
      </c>
      <c r="AN102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764</v>
      </c>
      <c r="B103" s="7">
        <v>4027</v>
      </c>
      <c r="C103" s="21" t="s">
        <v>213</v>
      </c>
      <c r="D103" s="21" t="s">
        <v>903</v>
      </c>
      <c r="E103" s="13">
        <v>42845.650312500002</v>
      </c>
      <c r="F103" s="13">
        <v>42845.653668981482</v>
      </c>
      <c r="G103" s="7">
        <v>1</v>
      </c>
      <c r="H103" s="21" t="s">
        <v>575</v>
      </c>
      <c r="I103" s="13">
        <v>42845.680092592593</v>
      </c>
      <c r="J103" s="7">
        <v>0</v>
      </c>
      <c r="K103" s="97" t="str">
        <f>IF(ISEVEN(B103),(B103-1)&amp;"/"&amp;B103,B103&amp;"/"&amp;(B103+1))</f>
        <v>4027/4028</v>
      </c>
      <c r="L103" s="21" t="str">
        <f>VLOOKUP(A103,'Trips&amp;Operators'!$C$1:$G$99999,5,FALSE)</f>
        <v>DELGADO DIANAH</v>
      </c>
      <c r="M103" s="6">
        <f>I103-F103</f>
        <v>2.6423611110658385E-2</v>
      </c>
      <c r="N103" s="7">
        <f>24*60*SUM($M103:$M103)</f>
        <v>38.049999999348074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-20T14:36:27-0600',mode:absolute,to:'2017-04-20T17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23.3049</v>
      </c>
      <c r="Z103" s="62">
        <f>RIGHT(H103,LEN(H103)-4)/10000</f>
        <v>1.2699999999999999E-2</v>
      </c>
      <c r="AA103" s="62">
        <f>ABS(Z103-Y103)</f>
        <v>23.292200000000001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0190-20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/stypes="app*4027*20170420*" /stext=" 22:.+((SYSTEM_STATE.+slice.+state.+changed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11"/>
        <v>"%USERPROFILE%\Documents\GitHub\eaglep3\Utilities\RefineRTDCRunTimes.py" --tripid 190-20 --locoid 4027 --swversion DE.1.0.9.0 --startMP 204:233049 --initTime 2017-04-20T15:36:27 --startdatetime 2017-04-20T15:41:17 --delay 1 --endMP 204:127 --enddatetime 2017-04-20T16:19:20 --enforcementcount 0 &gt;&gt;C:\Users\stu\Documents\GitHub\eaglep3-reporting\EC\2017-04-20-refined-times.txt</v>
      </c>
      <c r="AI10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ID","value":"190-20"},{"id":16,"name":"Locomotive ID","value":"4027"},{"id":130,"name":"Impact","value":""},{"id":150,"name":"Time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13"/>
        <v>start /low /b %USERPROFILE%\Documents\GitHub\eaglep3\Utilities\DownloadLogsFromS3.py --loco 4027 --day 2017-04-20</v>
      </c>
      <c r="AN103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759</v>
      </c>
      <c r="B104" s="7">
        <v>4026</v>
      </c>
      <c r="C104" s="21" t="s">
        <v>213</v>
      </c>
      <c r="D104" s="21" t="s">
        <v>413</v>
      </c>
      <c r="E104" s="13">
        <v>42845.620266203703</v>
      </c>
      <c r="F104" s="13">
        <v>42845.625196759262</v>
      </c>
      <c r="G104" s="7">
        <v>1</v>
      </c>
      <c r="H104" s="21" t="s">
        <v>519</v>
      </c>
      <c r="I104" s="13">
        <v>42845.649456018517</v>
      </c>
      <c r="J104" s="7">
        <v>0</v>
      </c>
      <c r="K104" s="97" t="str">
        <f>IF(ISEVEN(B104),(B104-1)&amp;"/"&amp;B104,B104&amp;"/"&amp;(B104+1))</f>
        <v>4025/4026</v>
      </c>
      <c r="L104" s="21" t="str">
        <f>VLOOKUP(A104,'Trips&amp;Operators'!$C$1:$G$99999,5,FALSE)</f>
        <v>BRUDER RICHARD</v>
      </c>
      <c r="M104" s="6">
        <f>I104-F104</f>
        <v>2.4259259254904464E-2</v>
      </c>
      <c r="N104" s="7">
        <f>24*60*SUM($M104:$M104)</f>
        <v>34.933333327062428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-20T13:53:11-0600',mode:absolute,to:'2017-04-20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4.58E-2</v>
      </c>
      <c r="Z104" s="62">
        <f>RIGHT(H104,LEN(H104)-4)/10000</f>
        <v>23.330100000000002</v>
      </c>
      <c r="AA104" s="62">
        <f>ABS(Z104-Y104)</f>
        <v>23.284300000000002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0191-20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/stypes="app*4026*20170420*" /stext=" 21:.+((SYSTEM_STATE.+slice.+state.+changed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11"/>
        <v>"%USERPROFILE%\Documents\GitHub\eaglep3\Utilities\RefineRTDCRunTimes.py" --tripid 191-20 --locoid 4026 --swversion DE.1.0.9.0 --startMP 204:458 --initTime 2017-04-20T14:53:11 --startdatetime 2017-04-20T15:00:17 --delay 1 --endMP 204:233301 --enddatetime 2017-04-20T15:35:13 --enforcementcount 0 &gt;&gt;C:\Users\stu\Documents\GitHub\eaglep3-reporting\EC\2017-04-20-refined-times.txt</v>
      </c>
      <c r="AI10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{"issue":{"subject":"","project_id":79,"tracker_id":40,"status_id":1,"priority_id":2,"assigned_to_id":23,"start_date":"2017-04-20","description":"","custom_fields":[{"id":1,"name":"Subdivision","value":"EC"},{"id":4,"name":"Milepost","value":"23.3301"},{"id":17,"name":"Train ID","value":"191-20"},{"id":16,"name":"Locomotive ID","value":"4026"},{"id":130,"name":"Impact","value":""},{"id":150,"name":"Time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13"/>
        <v>start /low /b %USERPROFILE%\Documents\GitHub\eaglep3\Utilities\DownloadLogsFromS3.py --loco 4026 --day 2017-04-20</v>
      </c>
      <c r="AN104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768</v>
      </c>
      <c r="B105" s="7">
        <v>4025</v>
      </c>
      <c r="C105" s="21" t="s">
        <v>213</v>
      </c>
      <c r="D105" s="21" t="s">
        <v>585</v>
      </c>
      <c r="E105" s="13">
        <v>42845.658159722225</v>
      </c>
      <c r="F105" s="13">
        <v>42845.664212962962</v>
      </c>
      <c r="G105" s="7">
        <v>1</v>
      </c>
      <c r="H105" s="21" t="s">
        <v>203</v>
      </c>
      <c r="I105" s="13">
        <v>42845.692395833335</v>
      </c>
      <c r="J105" s="7">
        <v>0</v>
      </c>
      <c r="K105" s="97" t="str">
        <f>IF(ISEVEN(B105),(B105-1)&amp;"/"&amp;B105,B105&amp;"/"&amp;(B105+1))</f>
        <v>4025/4026</v>
      </c>
      <c r="L105" s="21" t="str">
        <f>VLOOKUP(A105,'Trips&amp;Operators'!$C$1:$G$99999,5,FALSE)</f>
        <v>BRUDER RICHARD</v>
      </c>
      <c r="M105" s="6">
        <f>I105-F105</f>
        <v>2.8182870373711921E-2</v>
      </c>
      <c r="N105" s="7">
        <f>24*60*SUM($M105:$M105)</f>
        <v>40.583333338145167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-20T14:47:45-0600',mode:absolute,to:'2017-04-20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23.297499999999999</v>
      </c>
      <c r="Z105" s="62">
        <f>RIGHT(H105,LEN(H105)-4)/10000</f>
        <v>1.54E-2</v>
      </c>
      <c r="AA105" s="62">
        <f>ABS(Z105-Y105)</f>
        <v>23.2821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0192-20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/stypes="app*4025*20170420*" /stext=" 22:.+((SYSTEM_STATE.+slice.+state.+changed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11"/>
        <v>"%USERPROFILE%\Documents\GitHub\eaglep3\Utilities\RefineRTDCRunTimes.py" --tripid 192-20 --locoid 4025 --swversion DE.1.0.9.0 --startMP 204:232975 --initTime 2017-04-20T15:47:45 --startdatetime 2017-04-20T15:56:28 --delay 1 --endMP 204:154 --enddatetime 2017-04-20T16:37:03 --enforcementcount 0 &gt;&gt;C:\Users\stu\Documents\GitHub\eaglep3-reporting\EC\2017-04-20-refined-times.txt</v>
      </c>
      <c r="AI10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ID","value":"192-20"},{"id":16,"name":"Locomotive ID","value":"4025"},{"id":130,"name":"Impact","value":""},{"id":150,"name":"Time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13"/>
        <v>start /low /b %USERPROFILE%\Documents\GitHub\eaglep3\Utilities\DownloadLogsFromS3.py --loco 4025 --day 2017-04-20</v>
      </c>
      <c r="AN105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762</v>
      </c>
      <c r="B106" s="7">
        <v>4054</v>
      </c>
      <c r="C106" s="21" t="s">
        <v>213</v>
      </c>
      <c r="D106" s="21" t="s">
        <v>404</v>
      </c>
      <c r="E106" s="13">
        <v>42845.63140046296</v>
      </c>
      <c r="F106" s="13">
        <v>42845.635601851849</v>
      </c>
      <c r="G106" s="7">
        <v>1</v>
      </c>
      <c r="H106" s="21" t="s">
        <v>521</v>
      </c>
      <c r="I106" s="13">
        <v>42845.661099537036</v>
      </c>
      <c r="J106" s="7">
        <v>0</v>
      </c>
      <c r="K106" s="97" t="str">
        <f>IF(ISEVEN(B106),(B106-1)&amp;"/"&amp;B106,B106&amp;"/"&amp;(B106+1))</f>
        <v>4053/4054</v>
      </c>
      <c r="L106" s="21" t="str">
        <f>VLOOKUP(A106,'Trips&amp;Operators'!$C$1:$G$99999,5,FALSE)</f>
        <v>SMITH MICHAEL</v>
      </c>
      <c r="M106" s="6">
        <f>I106-F106</f>
        <v>2.5497685186564922E-2</v>
      </c>
      <c r="N106" s="7">
        <f>24*60*SUM($M106:$M106)</f>
        <v>36.716666668653488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-20T14:09:13-0600',mode:absolute,to:'2017-04-20T16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4.6199999999999998E-2</v>
      </c>
      <c r="Z106" s="62">
        <f>RIGHT(H106,LEN(H106)-4)/10000</f>
        <v>23.3325</v>
      </c>
      <c r="AA106" s="62">
        <f>ABS(Z106-Y106)</f>
        <v>23.286300000000001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0193-20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/stypes="app*4054*20170420*" /stext=" 21:.+((SYSTEM_STATE.+slice.+state.+changed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11"/>
        <v>"%USERPROFILE%\Documents\GitHub\eaglep3\Utilities\RefineRTDCRunTimes.py" --tripid 193-20 --locoid 4054 --swversion DE.1.0.9.0 --startMP 204:462 --initTime 2017-04-20T15:09:13 --startdatetime 2017-04-20T15:15:16 --delay 1 --endMP 204:233325 --enddatetime 2017-04-20T15:51:59 --enforcementcount 0 &gt;&gt;C:\Users\stu\Documents\GitHub\eaglep3-reporting\EC\2017-04-20-refined-times.txt</v>
      </c>
      <c r="AI10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{"issue":{"subject":"","project_id":79,"tracker_id":40,"status_id":1,"priority_id":2,"assigned_to_id":23,"start_date":"2017-04-20","description":"","custom_fields":[{"id":1,"name":"Subdivision","value":"EC"},{"id":4,"name":"Milepost","value":"23.3325"},{"id":17,"name":"Train ID","value":"193-20"},{"id":16,"name":"Locomotive ID","value":"4054"},{"id":130,"name":"Impact","value":""},{"id":150,"name":"Time of Event (Mountain Time)","value":"15:51:59"},{"id":151,"name":"Denver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13"/>
        <v>start /low /b %USERPROFILE%\Documents\GitHub\eaglep3\Utilities\DownloadLogsFromS3.py --loco 4054 --day 2017-04-20</v>
      </c>
      <c r="AN106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770</v>
      </c>
      <c r="B107" s="7">
        <v>4053</v>
      </c>
      <c r="C107" s="21" t="s">
        <v>213</v>
      </c>
      <c r="D107" s="21" t="s">
        <v>572</v>
      </c>
      <c r="E107" s="13">
        <v>42845.666562500002</v>
      </c>
      <c r="F107" s="13">
        <v>42845.674502314818</v>
      </c>
      <c r="G107" s="7">
        <v>1</v>
      </c>
      <c r="H107" s="21" t="s">
        <v>203</v>
      </c>
      <c r="I107" s="13">
        <v>42845.701701388891</v>
      </c>
      <c r="J107" s="7">
        <v>0</v>
      </c>
      <c r="K107" s="97" t="str">
        <f>IF(ISEVEN(B107),(B107-1)&amp;"/"&amp;B107,B107&amp;"/"&amp;(B107+1))</f>
        <v>4053/4054</v>
      </c>
      <c r="L107" s="21" t="str">
        <f>VLOOKUP(A107,'Trips&amp;Operators'!$C$1:$G$99999,5,FALSE)</f>
        <v>SMITH MICHAEL</v>
      </c>
      <c r="M107" s="6">
        <f>I107-F107</f>
        <v>2.7199074072996154E-2</v>
      </c>
      <c r="N107" s="7">
        <f>24*60*SUM($M107:$M107)</f>
        <v>39.166666665114462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-20T14:59:51-0600',mode:absolute,to:'2017-04-20T17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23.298500000000001</v>
      </c>
      <c r="Z107" s="62">
        <f>RIGHT(H107,LEN(H107)-4)/10000</f>
        <v>1.54E-2</v>
      </c>
      <c r="AA107" s="62">
        <f>ABS(Z107-Y107)</f>
        <v>23.283100000000001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0194-20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/stypes="app*4053*20170420*"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11"/>
        <v>"%USERPROFILE%\Documents\GitHub\eaglep3\Utilities\RefineRTDCRunTimes.py" --tripid 194-20 --locoid 4053 --swversion DE.1.0.9.0 --startMP 204:232985 --initTime 2017-04-20T15:59:51 --startdatetime 2017-04-20T16:11:17 --delay 1 --endMP 204:154 --enddatetime 2017-04-20T16:50:27 --enforcementcount 0 &gt;&gt;C:\Users\stu\Documents\GitHub\eaglep3-reporting\EC\2017-04-20-refined-times.txt</v>
      </c>
      <c r="AI10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ID","value":"194-20"},{"id":16,"name":"Locomotive ID","value":"4053"},{"id":130,"name":"Impact","value":""},{"id":150,"name":"Time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13"/>
        <v>start /low /b %USERPROFILE%\Documents\GitHub\eaglep3\Utilities\DownloadLogsFromS3.py --loco 4053 --day 2017-04-20</v>
      </c>
      <c r="AN107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635</v>
      </c>
      <c r="B108" s="7">
        <v>4008</v>
      </c>
      <c r="C108" s="21" t="s">
        <v>213</v>
      </c>
      <c r="D108" s="21" t="s">
        <v>904</v>
      </c>
      <c r="E108" s="13">
        <v>42845.668090277781</v>
      </c>
      <c r="F108" s="13">
        <v>42845.669027777774</v>
      </c>
      <c r="G108" s="7">
        <v>1</v>
      </c>
      <c r="H108" s="21" t="s">
        <v>905</v>
      </c>
      <c r="I108" s="13">
        <v>42845.680625000001</v>
      </c>
      <c r="J108" s="7">
        <v>1</v>
      </c>
      <c r="K108" s="97" t="str">
        <f>IF(ISEVEN(B108),(B108-1)&amp;"/"&amp;B108,B108&amp;"/"&amp;(B108+1))</f>
        <v>4007/4008</v>
      </c>
      <c r="L108" s="21" t="str">
        <f>VLOOKUP(A108,'Trips&amp;Operators'!$C$1:$G$99999,5,FALSE)</f>
        <v>LOPES KIMBERLY</v>
      </c>
      <c r="M108" s="6">
        <f>I108-F108</f>
        <v>1.1597222226555459E-2</v>
      </c>
      <c r="N108" s="7">
        <f>24*60*SUM($M108:$M109)</f>
        <v>50.733333342941478</v>
      </c>
      <c r="O108" s="7"/>
      <c r="P108" s="7"/>
      <c r="Q108" s="22"/>
      <c r="R108" s="22" t="s">
        <v>1022</v>
      </c>
      <c r="S108" s="31">
        <f>SUM(U108:U109)/IF(AG108="EC",12,1)</f>
        <v>1</v>
      </c>
      <c r="T108" s="46" t="str">
        <f>IF(ISEVEN(LEFT(AD108,4)),"Southbound","NorthBound")</f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0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8" s="183" t="str">
        <f>IF(AA108&lt;IF(AG108="EC",23,5.65),"Y","N")</f>
        <v>Y</v>
      </c>
      <c r="X108" s="183">
        <f>VALUE(LEFT(AD108,4))-VALUE(LEFT(AD107,4))</f>
        <v>1</v>
      </c>
      <c r="Y108" s="62">
        <f>RIGHT(D108,LEN(D108)-4)/10000</f>
        <v>15.4283</v>
      </c>
      <c r="Z108" s="62">
        <f>RIGHT(H108,LEN(H108)-4)/10000</f>
        <v>23.332799999999999</v>
      </c>
      <c r="AA108" s="62">
        <f>ABS(Z108-Y108)</f>
        <v>7.9044999999999987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0195-20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/stypes="app*4008*20170420*" /stext=" 22:.+((SYSTEM_STATE.+slice.+state.+changed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11"/>
        <v>"%USERPROFILE%\Documents\GitHub\eaglep3\Utilities\RefineRTDCRunTimes.py" --tripid 195-20 --locoid 4008 --swversion DE.1.0.9.0 --startMP 204:154283 --initTime 2017-04-20T16:02:03 --startdatetime 2017-04-20T16:03:24 --delay 1 --endMP 204:233328 --enddatetime 2017-04-20T16:20:06 --enforcementcount 1 &gt;&gt;C:\Users\stu\Documents\GitHub\eaglep3-reporting\EC\2017-04-20-refined-times.txt</v>
      </c>
      <c r="AI108" s="104" t="str">
        <f t="shared" si="12"/>
        <v>echo {"issue":{"subject":"Emergency, then hard cut out and re-init","project_id":79,"tracker_id":40,"status_id":1,"priority_id":2,"assigned_to_id":23,"start_date":"2017-04-20","description":"","custom_fields":[{"id":1,"name":"Subdivision","value":"EC"},{"id":4,"name":"Milepost","value":"23.3328"},{"id":17,"name":"Train ID","value":"195-20"},{"id":16,"name":"Locomotive ID","value":"4008"},{"id":130,"name":"Impact","value":""},{"id":150,"name":"Time of Event (Mountain Time)","value":"16:20:06"},{"id":151,"name":"Denver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8"/>
      <c r="AL108" s="48"/>
      <c r="AM108" s="150" t="str">
        <f t="shared" si="13"/>
        <v>start /low /b %USERPROFILE%\Documents\GitHub\eaglep3\Utilities\DownloadLogsFromS3.py --loco 4008 --day 2017-04-20</v>
      </c>
      <c r="AN108" s="159" t="str">
        <f t="shared" si="14"/>
        <v>echo {"issue":{"subject":"Emergency, then hard cut out and re-init","project_id":30,"tracker_id":4,"status_id":1,"priority_id":1,"assigned_to_id":10,"start_date":"2017-04-20","description":"","custom_fields":[{"id":30,"name":"Category","value":"Issue"},{"id":3,"name":"Functional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3" t="s">
        <v>635</v>
      </c>
      <c r="B109" s="7">
        <v>4008</v>
      </c>
      <c r="C109" s="21" t="s">
        <v>213</v>
      </c>
      <c r="D109" s="21" t="s">
        <v>495</v>
      </c>
      <c r="E109" s="13">
        <v>42845.641122685185</v>
      </c>
      <c r="F109" s="13">
        <v>42845.64199074074</v>
      </c>
      <c r="G109" s="7">
        <v>1</v>
      </c>
      <c r="H109" s="21" t="s">
        <v>906</v>
      </c>
      <c r="I109" s="13">
        <v>42845.665625000001</v>
      </c>
      <c r="J109" s="7">
        <v>0</v>
      </c>
      <c r="K109" s="97" t="str">
        <f>IF(ISEVEN(B109),(B109-1)&amp;"/"&amp;B109,B109&amp;"/"&amp;(B109+1))</f>
        <v>4007/4008</v>
      </c>
      <c r="L109" s="21" t="str">
        <f>VLOOKUP(A109,'Trips&amp;Operators'!$C$1:$G$99999,5,FALSE)</f>
        <v>LOPES KIMBERLY</v>
      </c>
      <c r="M109" s="6">
        <f>I109-F109</f>
        <v>2.3634259261598345E-2</v>
      </c>
      <c r="N109" s="7"/>
      <c r="O109" s="7"/>
      <c r="P109" s="7"/>
      <c r="Q109" s="22"/>
      <c r="R109" s="22"/>
      <c r="S109" s="31"/>
      <c r="T109" s="46" t="str">
        <f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-20T14:23:13-0600',mode:absolute,to:'2017-04-20T16:58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83" t="str">
        <f>IF(AA109&lt;IF(AG109="EC",23,5.65),"Y","N")</f>
        <v>Y</v>
      </c>
      <c r="X109" s="183">
        <f>VALUE(LEFT(AD109,4))-VALUE(LEFT(AD108,4))</f>
        <v>0</v>
      </c>
      <c r="Y109" s="62">
        <f>RIGHT(D109,LEN(D109)-4)/10000</f>
        <v>4.6899999999999997E-2</v>
      </c>
      <c r="Z109" s="62">
        <f>RIGHT(H109,LEN(H109)-4)/10000</f>
        <v>15.482900000000001</v>
      </c>
      <c r="AA109" s="62">
        <f>ABS(Z109-Y109)</f>
        <v>15.436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0195-20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/stypes="app*4008*20170420*" /stext=" 21:.+((SYSTEM_STATE.+slice.+state.+changed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11"/>
        <v>"%USERPROFILE%\Documents\GitHub\eaglep3\Utilities\RefineRTDCRunTimes.py" --tripid 195-20 --locoid 4008 --swversion DE.1.0.9.0 --startMP 204:469 --initTime 2017-04-20T15:23:13 --startdatetime 2017-04-20T15:24:28 --delay 1 --endMP 204:154829 --enddatetime 2017-04-20T15:58:30 --enforcementcount 0 &gt;&gt;C:\Users\stu\Documents\GitHub\eaglep3-reporting\EC\2017-04-20-refined-times.txt</v>
      </c>
      <c r="AI109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{"issue":{"subject":"","project_id":79,"tracker_id":40,"status_id":1,"priority_id":2,"assigned_to_id":23,"start_date":"2017-04-20","description":"","custom_fields":[{"id":1,"name":"Subdivision","value":"EC"},{"id":4,"name":"Milepost","value":"15.4829"},{"id":17,"name":"Train ID","value":"195-20"},{"id":16,"name":"Locomotive ID","value":"4008"},{"id":130,"name":"Impact","value":""},{"id":150,"name":"Time of Event (Mountain Time)","value":"15:58:30"},{"id":151,"name":"Denver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13"/>
        <v>start /low /b %USERPROFILE%\Documents\GitHub\eaglep3\Utilities\DownloadLogsFromS3.py --loco 4008 --day 2017-04-20</v>
      </c>
      <c r="AN109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637</v>
      </c>
      <c r="B110" s="7">
        <v>4007</v>
      </c>
      <c r="C110" s="21" t="s">
        <v>213</v>
      </c>
      <c r="D110" s="21" t="s">
        <v>480</v>
      </c>
      <c r="E110" s="13">
        <v>42845.680879629632</v>
      </c>
      <c r="F110" s="13">
        <v>42845.684918981482</v>
      </c>
      <c r="G110" s="7">
        <v>0</v>
      </c>
      <c r="H110" s="21" t="s">
        <v>210</v>
      </c>
      <c r="I110" s="13">
        <v>42845.71230324074</v>
      </c>
      <c r="J110" s="7">
        <v>0</v>
      </c>
      <c r="K110" s="97" t="str">
        <f>IF(ISEVEN(B110),(B110-1)&amp;"/"&amp;B110,B110&amp;"/"&amp;(B110+1))</f>
        <v>4007/4008</v>
      </c>
      <c r="L110" s="21" t="str">
        <f>VLOOKUP(A110,'Trips&amp;Operators'!$C$1:$G$99999,5,FALSE)</f>
        <v>LOPES KIMBERLY</v>
      </c>
      <c r="M110" s="6">
        <f>I110-F110</f>
        <v>2.7384259257814847E-2</v>
      </c>
      <c r="N110" s="7">
        <f>24*60*SUM($M110:$M110)</f>
        <v>39.43333333125338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23.296900000000001</v>
      </c>
      <c r="Z110" s="62">
        <f>RIGHT(H110,LEN(H110)-4)/10000</f>
        <v>1.47E-2</v>
      </c>
      <c r="AA110" s="62">
        <f>ABS(Z110-Y110)</f>
        <v>23.2822</v>
      </c>
      <c r="AB110" s="59" t="str">
        <f>VLOOKUP(A110,Enforcements!$C$7:$K$13,8,0)</f>
        <v>Bulletin (2)</v>
      </c>
      <c r="AC110" s="55" t="str">
        <f>VLOOKUP(A110,Enforcements!$C$7:$E$13,3,0)</f>
        <v>GRADE CROSSING</v>
      </c>
      <c r="AD110" s="56" t="str">
        <f>IF(LEN(A110)=6,"0"&amp;A110,A110)</f>
        <v>0196-20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/stypes="app*4007*20170420*"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11"/>
        <v>"%USERPROFILE%\Documents\GitHub\eaglep3\Utilities\RefineRTDCRunTimes.py" --tripid 196-20 --locoid 4007 --swversion DE.1.0.9.0 --startMP 204:232969 --initTime 2017-04-20T16:20:28 --startdatetime 2017-04-20T16:26:17 --delay 0 --endMP 204:147 --enddatetime 2017-04-20T17:05:43 --enforcementcount 0 &gt;&gt;C:\Users\stu\Documents\GitHub\eaglep3-reporting\EC\2017-04-20-refined-times.txt</v>
      </c>
      <c r="AI11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ID","value":"196-20"},{"id":16,"name":"Locomotive ID","value":"4007"},{"id":130,"name":"Impact","value":""},{"id":150,"name":"Time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13"/>
        <v>start /low /b %USERPROFILE%\Documents\GitHub\eaglep3\Utilities\DownloadLogsFromS3.py --loco 4007 --day 2017-04-20</v>
      </c>
      <c r="AN110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767</v>
      </c>
      <c r="B111" s="7">
        <v>4024</v>
      </c>
      <c r="C111" s="21" t="s">
        <v>213</v>
      </c>
      <c r="D111" s="21" t="s">
        <v>209</v>
      </c>
      <c r="E111" s="13">
        <v>42845.653715277775</v>
      </c>
      <c r="F111" s="13">
        <v>42845.656655092593</v>
      </c>
      <c r="G111" s="7">
        <v>1</v>
      </c>
      <c r="H111" s="21" t="s">
        <v>434</v>
      </c>
      <c r="I111" s="13">
        <v>42845.68309027778</v>
      </c>
      <c r="J111" s="7">
        <v>0</v>
      </c>
      <c r="K111" s="97" t="str">
        <f>IF(ISEVEN(B111),(B111-1)&amp;"/"&amp;B111,B111&amp;"/"&amp;(B111+1))</f>
        <v>4023/4024</v>
      </c>
      <c r="L111" s="21" t="str">
        <f>VLOOKUP(A111,'Trips&amp;Operators'!$C$1:$G$99999,5,FALSE)</f>
        <v>HELVIE ADAM</v>
      </c>
      <c r="M111" s="6">
        <f>I111-F111</f>
        <v>2.6435185187438037E-2</v>
      </c>
      <c r="N111" s="7">
        <f>24*60*SUM($M111:$M111)</f>
        <v>38.066666669910774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-20T14:41:21-0600',mode:absolute,to:'2017-04-20T17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4.5499999999999999E-2</v>
      </c>
      <c r="Z111" s="62">
        <f>RIGHT(H111,LEN(H111)-4)/10000</f>
        <v>23.3306</v>
      </c>
      <c r="AA111" s="62">
        <f>ABS(Z111-Y111)</f>
        <v>23.2851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0197-20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/stypes="app*4024*20170420*"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11"/>
        <v>"%USERPROFILE%\Documents\GitHub\eaglep3\Utilities\RefineRTDCRunTimes.py" --tripid 197-20 --locoid 4024 --swversion DE.1.0.9.0 --startMP 204:455 --initTime 2017-04-20T15:41:21 --startdatetime 2017-04-20T15:45:35 --delay 1 --endMP 204:233306 --enddatetime 2017-04-20T16:23:39 --enforcementcount 0 &gt;&gt;C:\Users\stu\Documents\GitHub\eaglep3-reporting\EC\2017-04-20-refined-times.txt</v>
      </c>
      <c r="AI11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ID","value":"197-20"},{"id":16,"name":"Locomotive ID","value":"4024"},{"id":130,"name":"Impact","value":""},{"id":150,"name":"Time of Event (Mountain Time)","value":"16:23:39"},{"id":151,"name":"Denver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13"/>
        <v>start /low /b %USERPROFILE%\Documents\GitHub\eaglep3\Utilities\DownloadLogsFromS3.py --loco 4024 --day 2017-04-20</v>
      </c>
      <c r="AN111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638</v>
      </c>
      <c r="B112" s="7">
        <v>4023</v>
      </c>
      <c r="C112" s="21" t="s">
        <v>213</v>
      </c>
      <c r="D112" s="21" t="s">
        <v>907</v>
      </c>
      <c r="E112" s="13">
        <v>42845.692962962959</v>
      </c>
      <c r="F112" s="13">
        <v>42845.695486111108</v>
      </c>
      <c r="G112" s="7">
        <v>1</v>
      </c>
      <c r="H112" s="21" t="s">
        <v>908</v>
      </c>
      <c r="I112" s="13">
        <v>42845.723634259259</v>
      </c>
      <c r="J112" s="7">
        <v>0</v>
      </c>
      <c r="K112" s="97" t="str">
        <f>IF(ISEVEN(B112),(B112-1)&amp;"/"&amp;B112,B112&amp;"/"&amp;(B112+1))</f>
        <v>4023/4024</v>
      </c>
      <c r="L112" s="21" t="str">
        <f>VLOOKUP(A112,'Trips&amp;Operators'!$C$1:$G$99999,5,FALSE)</f>
        <v>HELVIE ADAM</v>
      </c>
      <c r="M112" s="6">
        <f>I112-F112</f>
        <v>2.8148148150648922E-2</v>
      </c>
      <c r="N112" s="7">
        <f>24*60*SUM($M112:$M112)</f>
        <v>40.533333336934447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23.297899999999998</v>
      </c>
      <c r="Z112" s="62">
        <f>RIGHT(H112,LEN(H112)-4)/10000</f>
        <v>2.23E-2</v>
      </c>
      <c r="AA112" s="62">
        <f>ABS(Z112-Y112)</f>
        <v>23.275599999999997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0198-20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/stypes="app*4023*20170420*"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11"/>
        <v>"%USERPROFILE%\Documents\GitHub\eaglep3\Utilities\RefineRTDCRunTimes.py" --tripid 198-20 --locoid 4023 --swversion DE.1.0.9.0 --startMP 204:232979 --initTime 2017-04-20T16:37:52 --startdatetime 2017-04-20T16:41:30 --delay 1 --endMP 204:223 --enddatetime 2017-04-20T17:22:02 --enforcementcount 0 &gt;&gt;C:\Users\stu\Documents\GitHub\eaglep3-reporting\EC\2017-04-20-refined-times.txt</v>
      </c>
      <c r="AI11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{"issue":{"subject":"","project_id":79,"tracker_id":40,"status_id":1,"priority_id":2,"assigned_to_id":23,"start_date":"2017-04-20","description":"","custom_fields":[{"id":1,"name":"Subdivision","value":"EC"},{"id":4,"name":"Milepost","value":"0.0223"},{"id":17,"name":"Train ID","value":"198-20"},{"id":16,"name":"Locomotive ID","value":"4023"},{"id":130,"name":"Impact","value":""},{"id":150,"name":"Time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13"/>
        <v>start /low /b %USERPROFILE%\Documents\GitHub\eaglep3\Utilities\DownloadLogsFromS3.py --loco 4023 --day 2017-04-20</v>
      </c>
      <c r="AN112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769</v>
      </c>
      <c r="B113" s="7">
        <v>4042</v>
      </c>
      <c r="C113" s="21" t="s">
        <v>213</v>
      </c>
      <c r="D113" s="21" t="s">
        <v>441</v>
      </c>
      <c r="E113" s="13">
        <v>42845.663518518515</v>
      </c>
      <c r="F113" s="13">
        <v>42845.66684027778</v>
      </c>
      <c r="G113" s="7">
        <v>1</v>
      </c>
      <c r="H113" s="21" t="s">
        <v>577</v>
      </c>
      <c r="I113" s="13">
        <v>42845.692928240744</v>
      </c>
      <c r="J113" s="7">
        <v>0</v>
      </c>
      <c r="K113" s="97" t="str">
        <f>IF(ISEVEN(B113),(B113-1)&amp;"/"&amp;B113,B113&amp;"/"&amp;(B113+1))</f>
        <v>4041/4042</v>
      </c>
      <c r="L113" s="21" t="str">
        <f>VLOOKUP(A113,'Trips&amp;Operators'!$C$1:$G$99999,5,FALSE)</f>
        <v>WHITED DUSTIN</v>
      </c>
      <c r="M113" s="6">
        <f>I113-F113</f>
        <v>2.6087962964083999E-2</v>
      </c>
      <c r="N113" s="7">
        <f>24*60*SUM($M113:$M113)</f>
        <v>37.566666668280959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-20T14:55:28-0600',mode:absolute,to:'2017-04-20T17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4.4699999999999997E-2</v>
      </c>
      <c r="Z113" s="62">
        <f>RIGHT(H113,LEN(H113)-4)/10000</f>
        <v>23.330300000000001</v>
      </c>
      <c r="AA113" s="62">
        <f>ABS(Z113-Y113)</f>
        <v>23.285600000000002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0199-20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/stypes="app*4042*20170420*"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11"/>
        <v>"%USERPROFILE%\Documents\GitHub\eaglep3\Utilities\RefineRTDCRunTimes.py" --tripid 199-20 --locoid 4042 --swversion DE.1.0.9.0 --startMP 204:447 --initTime 2017-04-20T15:55:28 --startdatetime 2017-04-20T16:00:15 --delay 1 --endMP 204:233303 --enddatetime 2017-04-20T16:37:49 --enforcementcount 0 &gt;&gt;C:\Users\stu\Documents\GitHub\eaglep3-reporting\EC\2017-04-20-refined-times.txt</v>
      </c>
      <c r="AI11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{"issue":{"subject":"","project_id":79,"tracker_id":40,"status_id":1,"priority_id":2,"assigned_to_id":23,"start_date":"2017-04-20","description":"","custom_fields":[{"id":1,"name":"Subdivision","value":"EC"},{"id":4,"name":"Milepost","value":"23.3303"},{"id":17,"name":"Train ID","value":"199-20"},{"id":16,"name":"Locomotive ID","value":"4042"},{"id":130,"name":"Impact","value":""},{"id":150,"name":"Time of Event (Mountain Time)","value":"16:37:49"},{"id":151,"name":"Denver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13"/>
        <v>start /low /b %USERPROFILE%\Documents\GitHub\eaglep3\Utilities\DownloadLogsFromS3.py --loco 4042 --day 2017-04-20</v>
      </c>
      <c r="AN113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777</v>
      </c>
      <c r="B114" s="7">
        <v>4041</v>
      </c>
      <c r="C114" s="21" t="s">
        <v>213</v>
      </c>
      <c r="D114" s="21" t="s">
        <v>909</v>
      </c>
      <c r="E114" s="13">
        <v>42845.698993055557</v>
      </c>
      <c r="F114" s="13">
        <v>42845.705775462964</v>
      </c>
      <c r="G114" s="7">
        <v>1</v>
      </c>
      <c r="H114" s="21" t="s">
        <v>910</v>
      </c>
      <c r="I114" s="13">
        <v>42845.732881944445</v>
      </c>
      <c r="J114" s="7">
        <v>0</v>
      </c>
      <c r="K114" s="97" t="str">
        <f>IF(ISEVEN(B114),(B114-1)&amp;"/"&amp;B114,B114&amp;"/"&amp;(B114+1))</f>
        <v>4041/4042</v>
      </c>
      <c r="L114" s="21" t="str">
        <f>VLOOKUP(A114,'Trips&amp;Operators'!$C$1:$G$99999,5,FALSE)</f>
        <v>WHITED DUSTIN</v>
      </c>
      <c r="M114" s="6">
        <f>I114-F114</f>
        <v>2.7106481480586808E-2</v>
      </c>
      <c r="N114" s="7">
        <f>24*60*SUM($M114:$M114)</f>
        <v>39.033333332045004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-20T15:46:33-0600',mode:absolute,to:'2017-04-20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23.2986</v>
      </c>
      <c r="Z114" s="62">
        <f>RIGHT(H114,LEN(H114)-4)/10000</f>
        <v>1.1900000000000001E-2</v>
      </c>
      <c r="AA114" s="62">
        <f>ABS(Z114-Y114)</f>
        <v>23.2867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0200-20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/stypes="app*4041*20170420*"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11"/>
        <v>"%USERPROFILE%\Documents\GitHub\eaglep3\Utilities\RefineRTDCRunTimes.py" --tripid 200-20 --locoid 4041 --swversion DE.1.0.9.0 --startMP 204:232986 --initTime 2017-04-20T16:46:33 --startdatetime 2017-04-20T16:56:19 --delay 1 --endMP 204:119 --enddatetime 2017-04-20T17:35:21 --enforcementcount 0 &gt;&gt;C:\Users\stu\Documents\GitHub\eaglep3-reporting\EC\2017-04-20-refined-times.txt</v>
      </c>
      <c r="AI11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{"issue":{"subject":"","project_id":79,"tracker_id":40,"status_id":1,"priority_id":2,"assigned_to_id":23,"start_date":"2017-04-20","description":"","custom_fields":[{"id":1,"name":"Subdivision","value":"EC"},{"id":4,"name":"Milepost","value":"0.0119"},{"id":17,"name":"Train ID","value":"200-20"},{"id":16,"name":"Locomotive ID","value":"4041"},{"id":130,"name":"Impact","value":""},{"id":150,"name":"Time of Event (Mountain Time)","value":"17:35:21"},{"id":151,"name":"Denver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13"/>
        <v>start /low /b %USERPROFILE%\Documents\GitHub\eaglep3\Utilities\DownloadLogsFromS3.py --loco 4041 --day 2017-04-20</v>
      </c>
      <c r="AN114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771</v>
      </c>
      <c r="B115" s="7">
        <v>4002</v>
      </c>
      <c r="C115" s="21" t="s">
        <v>213</v>
      </c>
      <c r="D115" s="21" t="s">
        <v>404</v>
      </c>
      <c r="E115" s="13">
        <v>42845.673425925925</v>
      </c>
      <c r="F115" s="13">
        <v>42845.677245370367</v>
      </c>
      <c r="G115" s="7">
        <v>1</v>
      </c>
      <c r="H115" s="21" t="s">
        <v>869</v>
      </c>
      <c r="I115" s="13">
        <v>42845.704282407409</v>
      </c>
      <c r="J115" s="7">
        <v>0</v>
      </c>
      <c r="K115" s="97" t="str">
        <f>IF(ISEVEN(B115),(B115-1)&amp;"/"&amp;B115,B115&amp;"/"&amp;(B115+1))</f>
        <v>4001/4002</v>
      </c>
      <c r="L115" s="21" t="str">
        <f>VLOOKUP(A115,'Trips&amp;Operators'!$C$1:$G$99999,5,FALSE)</f>
        <v>CLARK KATHLEEN</v>
      </c>
      <c r="M115" s="6">
        <f>I115-F115</f>
        <v>2.7037037041736767E-2</v>
      </c>
      <c r="N115" s="7">
        <f>24*60*SUM($M115:$M115)</f>
        <v>38.933333340100944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-20T15:09:44-0600',mode:absolute,to:'2017-04-20T17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4.6199999999999998E-2</v>
      </c>
      <c r="Z115" s="62">
        <f>RIGHT(H115,LEN(H115)-4)/10000</f>
        <v>23.327400000000001</v>
      </c>
      <c r="AA115" s="62">
        <f>ABS(Z115-Y115)</f>
        <v>23.281200000000002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0201-20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/stypes="app*4002*20170420*" /stext=" 22:.+((SYSTEM_STATE.+slice.+state.+changed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11"/>
        <v>"%USERPROFILE%\Documents\GitHub\eaglep3\Utilities\RefineRTDCRunTimes.py" --tripid 201-20 --locoid 4002 --swversion DE.1.0.9.0 --startMP 204:462 --initTime 2017-04-20T16:09:44 --startdatetime 2017-04-20T16:15:14 --delay 1 --endMP 204:233274 --enddatetime 2017-04-20T16:54:10 --enforcementcount 0 &gt;&gt;C:\Users\stu\Documents\GitHub\eaglep3-reporting\EC\2017-04-20-refined-times.txt</v>
      </c>
      <c r="AI11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{"issue":{"subject":"","project_id":79,"tracker_id":40,"status_id":1,"priority_id":2,"assigned_to_id":23,"start_date":"2017-04-20","description":"","custom_fields":[{"id":1,"name":"Subdivision","value":"EC"},{"id":4,"name":"Milepost","value":"23.3274"},{"id":17,"name":"Train ID","value":"201-20"},{"id":16,"name":"Locomotive ID","value":"4002"},{"id":130,"name":"Impact","value":""},{"id":150,"name":"Time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13"/>
        <v>start /low /b %USERPROFILE%\Documents\GitHub\eaglep3\Utilities\DownloadLogsFromS3.py --loco 4002 --day 2017-04-20</v>
      </c>
      <c r="AN115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779</v>
      </c>
      <c r="B116" s="7">
        <v>4001</v>
      </c>
      <c r="C116" s="21" t="s">
        <v>213</v>
      </c>
      <c r="D116" s="21" t="s">
        <v>911</v>
      </c>
      <c r="E116" s="13">
        <v>42845.708865740744</v>
      </c>
      <c r="F116" s="13">
        <v>42845.716157407405</v>
      </c>
      <c r="G116" s="7">
        <v>1</v>
      </c>
      <c r="H116" s="21" t="s">
        <v>912</v>
      </c>
      <c r="I116" s="13">
        <v>42845.745578703703</v>
      </c>
      <c r="J116" s="7">
        <v>0</v>
      </c>
      <c r="K116" s="97" t="str">
        <f>IF(ISEVEN(B116),(B116-1)&amp;"/"&amp;B116,B116&amp;"/"&amp;(B116+1))</f>
        <v>4001/4002</v>
      </c>
      <c r="L116" s="21" t="str">
        <f>VLOOKUP(A116,'Trips&amp;Operators'!$C$1:$G$99999,5,FALSE)</f>
        <v>CLARK KATHLEEN</v>
      </c>
      <c r="M116" s="6">
        <f>I116-F116</f>
        <v>2.9421296298096422E-2</v>
      </c>
      <c r="N116" s="7">
        <f>24*60*SUM($M116:$M116)</f>
        <v>42.366666669258848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-20T16:00:46-0600',mode:absolute,to:'2017-04-20T18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23.294699999999999</v>
      </c>
      <c r="Z116" s="62">
        <f>RIGHT(H116,LEN(H116)-4)/10000</f>
        <v>2.1600000000000001E-2</v>
      </c>
      <c r="AA116" s="62">
        <f>ABS(Z116-Y116)</f>
        <v>23.273099999999999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0202-20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/stypes="app*4001*20170420*" /stext=" 23:.+((SYSTEM_STATE.+slice.+state.+changed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11"/>
        <v>"%USERPROFILE%\Documents\GitHub\eaglep3\Utilities\RefineRTDCRunTimes.py" --tripid 202-20 --locoid 4001 --swversion DE.1.0.9.0 --startMP 204:232947 --initTime 2017-04-20T17:00:46 --startdatetime 2017-04-20T17:11:16 --delay 1 --endMP 204:216 --enddatetime 2017-04-20T17:53:38 --enforcementcount 0 &gt;&gt;C:\Users\stu\Documents\GitHub\eaglep3-reporting\EC\2017-04-20-refined-times.txt</v>
      </c>
      <c r="AI11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{"issue":{"subject":"","project_id":79,"tracker_id":40,"status_id":1,"priority_id":2,"assigned_to_id":23,"start_date":"2017-04-20","description":"","custom_fields":[{"id":1,"name":"Subdivision","value":"EC"},{"id":4,"name":"Milepost","value":"0.0216"},{"id":17,"name":"Train ID","value":"202-20"},{"id":16,"name":"Locomotive ID","value":"4001"},{"id":130,"name":"Impact","value":""},{"id":150,"name":"Time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13"/>
        <v>start /low /b %USERPROFILE%\Documents\GitHub\eaglep3\Utilities\DownloadLogsFromS3.py --loco 4001 --day 2017-04-20</v>
      </c>
      <c r="AN116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773</v>
      </c>
      <c r="B117" s="7">
        <v>4028</v>
      </c>
      <c r="C117" s="21" t="s">
        <v>213</v>
      </c>
      <c r="D117" s="21" t="s">
        <v>450</v>
      </c>
      <c r="E117" s="13">
        <v>42845.68681712963</v>
      </c>
      <c r="F117" s="13">
        <v>42845.688321759262</v>
      </c>
      <c r="G117" s="7">
        <v>1</v>
      </c>
      <c r="H117" s="21" t="s">
        <v>463</v>
      </c>
      <c r="I117" s="13">
        <v>42845.713645833333</v>
      </c>
      <c r="J117" s="7">
        <v>0</v>
      </c>
      <c r="K117" s="97" t="str">
        <f>IF(ISEVEN(B117),(B117-1)&amp;"/"&amp;B117,B117&amp;"/"&amp;(B117+1))</f>
        <v>4027/4028</v>
      </c>
      <c r="L117" s="21" t="str">
        <f>VLOOKUP(A117,'Trips&amp;Operators'!$C$1:$G$99999,5,FALSE)</f>
        <v>ARVIDSON DANIEL</v>
      </c>
      <c r="M117" s="6">
        <f>I117-F117</f>
        <v>2.5324074071249925E-2</v>
      </c>
      <c r="N117" s="7">
        <f>24*60*SUM($M117:$M117)</f>
        <v>36.466666662599891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-20T15:29:01-0600',mode:absolute,to:'2017-04-20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4.4200000000000003E-2</v>
      </c>
      <c r="Z117" s="62">
        <f>RIGHT(H117,LEN(H117)-4)/10000</f>
        <v>23.329899999999999</v>
      </c>
      <c r="AA117" s="62">
        <f>ABS(Z117-Y117)</f>
        <v>23.285699999999999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0203-20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/stypes="app*4028*20170420*"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11"/>
        <v>"%USERPROFILE%\Documents\GitHub\eaglep3\Utilities\RefineRTDCRunTimes.py" --tripid 203-20 --locoid 4028 --swversion DE.1.0.9.0 --startMP 204:442 --initTime 2017-04-20T16:29:01 --startdatetime 2017-04-20T16:31:11 --delay 1 --endMP 204:233299 --enddatetime 2017-04-20T17:07:39 --enforcementcount 0 &gt;&gt;C:\Users\stu\Documents\GitHub\eaglep3-reporting\EC\2017-04-20-refined-times.txt</v>
      </c>
      <c r="AI11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{"issue":{"subject":"","project_id":79,"tracker_id":40,"status_id":1,"priority_id":2,"assigned_to_id":23,"start_date":"2017-04-20","description":"","custom_fields":[{"id":1,"name":"Subdivision","value":"EC"},{"id":4,"name":"Milepost","value":"23.3299"},{"id":17,"name":"Train ID","value":"203-20"},{"id":16,"name":"Locomotive ID","value":"4028"},{"id":130,"name":"Impact","value":""},{"id":150,"name":"Time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13"/>
        <v>start /low /b %USERPROFILE%\Documents\GitHub\eaglep3\Utilities\DownloadLogsFromS3.py --loco 4028 --day 2017-04-20</v>
      </c>
      <c r="AN117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784</v>
      </c>
      <c r="B118" s="7">
        <v>4027</v>
      </c>
      <c r="C118" s="21" t="s">
        <v>213</v>
      </c>
      <c r="D118" s="21" t="s">
        <v>589</v>
      </c>
      <c r="E118" s="13">
        <v>42845.721550925926</v>
      </c>
      <c r="F118" s="13">
        <v>42845.726620370369</v>
      </c>
      <c r="G118" s="7">
        <v>1</v>
      </c>
      <c r="H118" s="21" t="s">
        <v>913</v>
      </c>
      <c r="I118" s="13">
        <v>42845.755243055559</v>
      </c>
      <c r="J118" s="7">
        <v>0</v>
      </c>
      <c r="K118" s="97" t="str">
        <f>IF(ISEVEN(B118),(B118-1)&amp;"/"&amp;B118,B118&amp;"/"&amp;(B118+1))</f>
        <v>4027/4028</v>
      </c>
      <c r="L118" s="21" t="str">
        <f>VLOOKUP(A118,'Trips&amp;Operators'!$C$1:$G$99999,5,FALSE)</f>
        <v>ARVIDSON DANIEL</v>
      </c>
      <c r="M118" s="6">
        <f>I118-F118</f>
        <v>2.8622685189475305E-2</v>
      </c>
      <c r="N118" s="7">
        <f>24*60*SUM($M118:$M118)</f>
        <v>41.21666667284444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-20T16:19:02-0600',mode:absolute,to:'2017-04-20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23.300899999999999</v>
      </c>
      <c r="Z118" s="62">
        <f>RIGHT(H118,LEN(H118)-4)/10000</f>
        <v>1.8700000000000001E-2</v>
      </c>
      <c r="AA118" s="62">
        <f>ABS(Z118-Y118)</f>
        <v>23.2822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0204-20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/stypes="app*4027*20170421*"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11"/>
        <v>"%USERPROFILE%\Documents\GitHub\eaglep3\Utilities\RefineRTDCRunTimes.py" --tripid 204-20 --locoid 4027 --swversion DE.1.0.9.0 --startMP 204:233009 --initTime 2017-04-20T17:19:02 --startdatetime 2017-04-20T17:26:20 --delay 1 --endMP 204:187 --enddatetime 2017-04-20T18:07:33 --enforcementcount 0 &gt;&gt;C:\Users\stu\Documents\GitHub\eaglep3-reporting\EC\2017-04-20-refined-times.txt</v>
      </c>
      <c r="AI11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{"issue":{"subject":"","project_id":79,"tracker_id":40,"status_id":1,"priority_id":2,"assigned_to_id":23,"start_date":"2017-04-20","description":"","custom_fields":[{"id":1,"name":"Subdivision","value":"EC"},{"id":4,"name":"Milepost","value":"0.0187"},{"id":17,"name":"Train ID","value":"204-20"},{"id":16,"name":"Locomotive ID","value":"4027"},{"id":130,"name":"Impact","value":""},{"id":150,"name":"Time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13"/>
        <v>start /low /b %USERPROFILE%\Documents\GitHub\eaglep3\Utilities\DownloadLogsFromS3.py --loco 4027 --day 2017-04-20</v>
      </c>
      <c r="AN118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776</v>
      </c>
      <c r="B119" s="7">
        <v>4026</v>
      </c>
      <c r="C119" s="21" t="s">
        <v>213</v>
      </c>
      <c r="D119" s="21" t="s">
        <v>205</v>
      </c>
      <c r="E119" s="13">
        <v>42845.693923611114</v>
      </c>
      <c r="F119" s="13">
        <v>42845.698101851849</v>
      </c>
      <c r="G119" s="7">
        <v>1</v>
      </c>
      <c r="H119" s="21" t="s">
        <v>914</v>
      </c>
      <c r="I119" s="13">
        <v>42845.722824074073</v>
      </c>
      <c r="J119" s="7">
        <v>0</v>
      </c>
      <c r="K119" s="97" t="str">
        <f>IF(ISEVEN(B119),(B119-1)&amp;"/"&amp;B119,B119&amp;"/"&amp;(B119+1))</f>
        <v>4025/4026</v>
      </c>
      <c r="L119" s="21" t="str">
        <f>VLOOKUP(A119,'Trips&amp;Operators'!$C$1:$G$99999,5,FALSE)</f>
        <v>BRUDER RICHARD</v>
      </c>
      <c r="M119" s="6">
        <f>I119-F119</f>
        <v>2.4722222224227153E-2</v>
      </c>
      <c r="N119" s="7">
        <f>24*60*SUM($M119:$M119)</f>
        <v>35.6000000028871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-20T15:39:15-0600',mode:absolute,to:'2017-04-20T18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4.5999999999999999E-2</v>
      </c>
      <c r="Z119" s="62">
        <f>RIGHT(H119,LEN(H119)-4)/10000</f>
        <v>23.331900000000001</v>
      </c>
      <c r="AA119" s="62">
        <f>ABS(Z119-Y119)</f>
        <v>23.285900000000002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0205-20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/stypes="app*4026*20170420*"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11"/>
        <v>"%USERPROFILE%\Documents\GitHub\eaglep3\Utilities\RefineRTDCRunTimes.py" --tripid 205-20 --locoid 4026 --swversion DE.1.0.9.0 --startMP 204:460 --initTime 2017-04-20T16:39:15 --startdatetime 2017-04-20T16:45:16 --delay 1 --endMP 204:233319 --enddatetime 2017-04-20T17:20:52 --enforcementcount 0 &gt;&gt;C:\Users\stu\Documents\GitHub\eaglep3-reporting\EC\2017-04-20-refined-times.txt</v>
      </c>
      <c r="AI119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{"issue":{"subject":"","project_id":79,"tracker_id":40,"status_id":1,"priority_id":2,"assigned_to_id":23,"start_date":"2017-04-20","description":"","custom_fields":[{"id":1,"name":"Subdivision","value":"EC"},{"id":4,"name":"Milepost","value":"23.3319"},{"id":17,"name":"Train ID","value":"205-20"},{"id":16,"name":"Locomotive ID","value":"4026"},{"id":130,"name":"Impact","value":""},{"id":150,"name":"Time of Event (Mountain Time)","value":"17:20:52"},{"id":151,"name":"Denver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13"/>
        <v>start /low /b %USERPROFILE%\Documents\GitHub\eaglep3\Utilities\DownloadLogsFromS3.py --loco 4026 --day 2017-04-20</v>
      </c>
      <c r="AN119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787</v>
      </c>
      <c r="B120" s="7">
        <v>4025</v>
      </c>
      <c r="C120" s="21" t="s">
        <v>213</v>
      </c>
      <c r="D120" s="21" t="s">
        <v>446</v>
      </c>
      <c r="E120" s="13">
        <v>42845.730243055557</v>
      </c>
      <c r="F120" s="13">
        <v>42845.737002314818</v>
      </c>
      <c r="G120" s="7">
        <v>1</v>
      </c>
      <c r="H120" s="21" t="s">
        <v>890</v>
      </c>
      <c r="I120" s="13">
        <v>42845.763865740744</v>
      </c>
      <c r="J120" s="7">
        <v>0</v>
      </c>
      <c r="K120" s="97" t="str">
        <f>IF(ISEVEN(B120),(B120-1)&amp;"/"&amp;B120,B120&amp;"/"&amp;(B120+1))</f>
        <v>4025/4026</v>
      </c>
      <c r="L120" s="21" t="str">
        <f>VLOOKUP(A120,'Trips&amp;Operators'!$C$1:$G$99999,5,FALSE)</f>
        <v>BRUDER RICHARD</v>
      </c>
      <c r="M120" s="6">
        <f>I120-F120</f>
        <v>2.6863425926421769E-2</v>
      </c>
      <c r="N120" s="7">
        <f>24*60*SUM($M120:$M120)</f>
        <v>38.683333334047347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-20T16:31:33-0600',mode:absolute,to:'2017-04-20T19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23.299800000000001</v>
      </c>
      <c r="Z120" s="62">
        <f>RIGHT(H120,LEN(H120)-4)/10000</f>
        <v>1.7399999999999999E-2</v>
      </c>
      <c r="AA120" s="62">
        <f>ABS(Z120-Y120)</f>
        <v>23.282400000000003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0206-20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/stypes="app*4025*20170421*"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11"/>
        <v>"%USERPROFILE%\Documents\GitHub\eaglep3\Utilities\RefineRTDCRunTimes.py" --tripid 206-20 --locoid 4025 --swversion DE.1.0.9.0 --startMP 204:232998 --initTime 2017-04-20T17:31:33 --startdatetime 2017-04-20T17:41:17 --delay 1 --endMP 204:174 --enddatetime 2017-04-20T18:19:58 --enforcementcount 0 &gt;&gt;C:\Users\stu\Documents\GitHub\eaglep3-reporting\EC\2017-04-20-refined-times.txt</v>
      </c>
      <c r="AI12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{"issue":{"subject":"","project_id":79,"tracker_id":40,"status_id":1,"priority_id":2,"assigned_to_id":23,"start_date":"2017-04-20","description":"","custom_fields":[{"id":1,"name":"Subdivision","value":"EC"},{"id":4,"name":"Milepost","value":"0.0174"},{"id":17,"name":"Train ID","value":"206-20"},{"id":16,"name":"Locomotive ID","value":"4025"},{"id":130,"name":"Impact","value":""},{"id":150,"name":"Time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13"/>
        <v>start /low /b %USERPROFILE%\Documents\GitHub\eaglep3\Utilities\DownloadLogsFromS3.py --loco 4025 --day 2017-04-20</v>
      </c>
      <c r="AN120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4054</v>
      </c>
      <c r="C121" s="21" t="s">
        <v>213</v>
      </c>
      <c r="D121" s="21" t="s">
        <v>462</v>
      </c>
      <c r="E121" s="13">
        <v>42845.703460648147</v>
      </c>
      <c r="F121" s="13">
        <v>42845.708495370367</v>
      </c>
      <c r="G121" s="7">
        <v>1</v>
      </c>
      <c r="H121" s="21" t="s">
        <v>863</v>
      </c>
      <c r="I121" s="13">
        <v>42845.734606481485</v>
      </c>
      <c r="J121" s="7">
        <v>0</v>
      </c>
      <c r="K121" s="97" t="str">
        <f>IF(ISEVEN(B121),(B121-1)&amp;"/"&amp;B121,B121&amp;"/"&amp;(B121+1))</f>
        <v>4053/4054</v>
      </c>
      <c r="L121" s="21" t="str">
        <f>VLOOKUP(A121,'Trips&amp;Operators'!$C$1:$G$99999,5,FALSE)</f>
        <v>SMITH MICHAEL</v>
      </c>
      <c r="M121" s="6">
        <f>I121-F121</f>
        <v>2.6111111117643304E-2</v>
      </c>
      <c r="N121" s="7">
        <f>24*60*SUM($M121:$M121)</f>
        <v>37.600000009406358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-20T15:52:59-0600',mode:absolute,to:'2017-04-20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4.4400000000000002E-2</v>
      </c>
      <c r="Z121" s="62">
        <f>RIGHT(H121,LEN(H121)-4)/10000</f>
        <v>23.325900000000001</v>
      </c>
      <c r="AA121" s="62">
        <f>ABS(Z121-Y121)</f>
        <v>23.281500000000001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0207-20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/stypes="app*4054*20170420*"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11"/>
        <v>"%USERPROFILE%\Documents\GitHub\eaglep3\Utilities\RefineRTDCRunTimes.py" --tripid 207-20 --locoid 4054 --swversion DE.1.0.9.0 --startMP 204:444 --initTime 2017-04-20T16:52:59 --startdatetime 2017-04-20T17:00:14 --delay 1 --endMP 204:233259 --enddatetime 2017-04-20T17:37:50 --enforcementcount 0 &gt;&gt;C:\Users\stu\Documents\GitHub\eaglep3-reporting\EC\2017-04-20-refined-times.txt</v>
      </c>
      <c r="AI12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{"issue":{"subject":"","project_id":79,"tracker_id":40,"status_id":1,"priority_id":2,"assigned_to_id":23,"start_date":"2017-04-20","description":"","custom_fields":[{"id":1,"name":"Subdivision","value":"EC"},{"id":4,"name":"Milepost","value":"23.3259"},{"id":17,"name":"Train ID","value":"207-20"},{"id":16,"name":"Locomotive ID","value":"4054"},{"id":130,"name":"Impact","value":""},{"id":150,"name":"Time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13"/>
        <v>start /low /b %USERPROFILE%\Documents\GitHub\eaglep3\Utilities\DownloadLogsFromS3.py --loco 4054 --day 2017-04-20</v>
      </c>
      <c r="AN121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790</v>
      </c>
      <c r="B122" s="7">
        <v>4053</v>
      </c>
      <c r="C122" s="21" t="s">
        <v>213</v>
      </c>
      <c r="D122" s="21" t="s">
        <v>580</v>
      </c>
      <c r="E122" s="13">
        <v>42845.738391203704</v>
      </c>
      <c r="F122" s="13">
        <v>42845.747430555559</v>
      </c>
      <c r="G122" s="7">
        <v>1</v>
      </c>
      <c r="H122" s="21" t="s">
        <v>203</v>
      </c>
      <c r="I122" s="13">
        <v>42845.774085648147</v>
      </c>
      <c r="J122" s="7">
        <v>0</v>
      </c>
      <c r="K122" s="97" t="str">
        <f>IF(ISEVEN(B122),(B122-1)&amp;"/"&amp;B122,B122&amp;"/"&amp;(B122+1))</f>
        <v>4053/4054</v>
      </c>
      <c r="L122" s="21" t="str">
        <f>VLOOKUP(A122,'Trips&amp;Operators'!$C$1:$G$99999,5,FALSE)</f>
        <v>SMITH MICHAEL</v>
      </c>
      <c r="M122" s="6">
        <f>I122-F122</f>
        <v>2.6655092588043772E-2</v>
      </c>
      <c r="N122" s="7">
        <f>24*60*SUM($M122:$M122)</f>
        <v>38.383333326783031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-20T16:43:17-0600',mode:absolute,to:'2017-04-20T19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23.297799999999999</v>
      </c>
      <c r="Z122" s="62">
        <f>RIGHT(H122,LEN(H122)-4)/10000</f>
        <v>1.54E-2</v>
      </c>
      <c r="AA122" s="62">
        <f>ABS(Z122-Y122)</f>
        <v>23.282399999999999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0208-20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/stypes="app*4053*20170421*"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11"/>
        <v>"%USERPROFILE%\Documents\GitHub\eaglep3\Utilities\RefineRTDCRunTimes.py" --tripid 208-20 --locoid 4053 --swversion DE.1.0.9.0 --startMP 204:232978 --initTime 2017-04-20T17:43:17 --startdatetime 2017-04-20T17:56:18 --delay 1 --endMP 204:154 --enddatetime 2017-04-20T18:34:41 --enforcementcount 0 &gt;&gt;C:\Users\stu\Documents\GitHub\eaglep3-reporting\EC\2017-04-20-refined-times.txt</v>
      </c>
      <c r="AI12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ID","value":"208-20"},{"id":16,"name":"Locomotive ID","value":"4053"},{"id":130,"name":"Impact","value":""},{"id":150,"name":"Time of Event (Mountain Time)","value":"18:34:41"},{"id":151,"name":"Denver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13"/>
        <v>start /low /b %USERPROFILE%\Documents\GitHub\eaglep3\Utilities\DownloadLogsFromS3.py --loco 4053 --day 2017-04-20</v>
      </c>
      <c r="AN122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4008</v>
      </c>
      <c r="C123" s="21" t="s">
        <v>213</v>
      </c>
      <c r="D123" s="21" t="s">
        <v>462</v>
      </c>
      <c r="E123" s="13">
        <v>42845.715509259258</v>
      </c>
      <c r="F123" s="13">
        <v>42845.718981481485</v>
      </c>
      <c r="G123" s="7">
        <v>1</v>
      </c>
      <c r="H123" s="21" t="s">
        <v>434</v>
      </c>
      <c r="I123" s="13">
        <v>42845.744097222225</v>
      </c>
      <c r="J123" s="7">
        <v>0</v>
      </c>
      <c r="K123" s="97" t="str">
        <f>IF(ISEVEN(B123),(B123-1)&amp;"/"&amp;B123,B123&amp;"/"&amp;(B123+1))</f>
        <v>4007/4008</v>
      </c>
      <c r="L123" s="21" t="str">
        <f>VLOOKUP(A123,'Trips&amp;Operators'!$C$1:$G$99999,5,FALSE)</f>
        <v>MACDONALD THOMAS</v>
      </c>
      <c r="M123" s="6">
        <f>I123-F123</f>
        <v>2.5115740740147885E-2</v>
      </c>
      <c r="N123" s="7">
        <f>24*60*SUM($M123:$M123)</f>
        <v>36.166666665812954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-20T16:10:20-0600',mode:absolute,to:'2017-04-20T18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4.4400000000000002E-2</v>
      </c>
      <c r="Z123" s="62">
        <f>RIGHT(H123,LEN(H123)-4)/10000</f>
        <v>23.3306</v>
      </c>
      <c r="AA123" s="62">
        <f>ABS(Z123-Y123)</f>
        <v>23.286200000000001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0209-20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/stypes="app*4008*20170420*" /stext=" 23:.+((SYSTEM_STATE.+slice.+state.+changed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11"/>
        <v>"%USERPROFILE%\Documents\GitHub\eaglep3\Utilities\RefineRTDCRunTimes.py" --tripid 209-20 --locoid 4008 --swversion DE.1.0.9.0 --startMP 204:444 --initTime 2017-04-20T17:10:20 --startdatetime 2017-04-20T17:15:20 --delay 1 --endMP 204:233306 --enddatetime 2017-04-20T17:51:30 --enforcementcount 0 &gt;&gt;C:\Users\stu\Documents\GitHub\eaglep3-reporting\EC\2017-04-20-refined-times.txt</v>
      </c>
      <c r="AI12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ID","value":"209-20"},{"id":16,"name":"Locomotive ID","value":"4008"},{"id":130,"name":"Impact","value":""},{"id":150,"name":"Time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13"/>
        <v>start /low /b %USERPROFILE%\Documents\GitHub\eaglep3\Utilities\DownloadLogsFromS3.py --loco 4008 --day 2017-04-20</v>
      </c>
      <c r="AN123" s="159" t="str">
        <f t="shared" si="14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795</v>
      </c>
      <c r="B124" s="7">
        <v>4007</v>
      </c>
      <c r="C124" s="21" t="s">
        <v>213</v>
      </c>
      <c r="D124" s="21" t="s">
        <v>467</v>
      </c>
      <c r="E124" s="13">
        <v>42845.755659722221</v>
      </c>
      <c r="F124" s="13">
        <v>42845.757939814815</v>
      </c>
      <c r="G124" s="7">
        <v>1</v>
      </c>
      <c r="H124" s="21" t="s">
        <v>453</v>
      </c>
      <c r="I124" s="13">
        <v>42845.785150462965</v>
      </c>
      <c r="J124" s="7">
        <v>0</v>
      </c>
      <c r="K124" s="97" t="str">
        <f>IF(ISEVEN(B124),(B124-1)&amp;"/"&amp;B124,B124&amp;"/"&amp;(B124+1))</f>
        <v>4007/4008</v>
      </c>
      <c r="L124" s="21" t="str">
        <f>VLOOKUP(A124,'Trips&amp;Operators'!$C$1:$G$99999,5,FALSE)</f>
        <v>MACDONALD THOMAS</v>
      </c>
      <c r="M124" s="6">
        <f>I124-F124</f>
        <v>2.7210648149775807E-2</v>
      </c>
      <c r="N124" s="7">
        <f>24*60*SUM($M124:$M124)</f>
        <v>39.183333335677162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-20T17:08:09-0600',mode:absolute,to:'2017-04-20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23.3</v>
      </c>
      <c r="Z124" s="62">
        <f>RIGHT(H124,LEN(H124)-4)/10000</f>
        <v>1.6299999999999999E-2</v>
      </c>
      <c r="AA124" s="62">
        <f>ABS(Z124-Y124)</f>
        <v>23.2837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0210-20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/stypes="app*4007*20170421*" /stext=" 00:.+((SYSTEM_STATE.+slice.+state.+changed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11"/>
        <v>"%USERPROFILE%\Documents\GitHub\eaglep3\Utilities\RefineRTDCRunTimes.py" --tripid 210-20 --locoid 4007 --swversion DE.1.0.9.0 --startMP 204:233000 --initTime 2017-04-20T18:08:09 --startdatetime 2017-04-20T18:11:26 --delay 1 --endMP 204:163 --enddatetime 2017-04-20T18:50:37 --enforcementcount 0 &gt;&gt;C:\Users\stu\Documents\GitHub\eaglep3-reporting\EC\2017-04-20-refined-times.txt</v>
      </c>
      <c r="AI12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ID","value":"210-20"},{"id":16,"name":"Locomotive ID","value":"4007"},{"id":130,"name":"Impact","value":""},{"id":150,"name":"Time of Event (Mountain Time)","value":"18:50:37"},{"id":151,"name":"Denver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13"/>
        <v>start /low /b %USERPROFILE%\Documents\GitHub\eaglep3\Utilities\DownloadLogsFromS3.py --loco 4007 --day 2017-04-20</v>
      </c>
      <c r="AN124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785</v>
      </c>
      <c r="B125" s="7">
        <v>4024</v>
      </c>
      <c r="C125" s="21" t="s">
        <v>213</v>
      </c>
      <c r="D125" s="21" t="s">
        <v>915</v>
      </c>
      <c r="E125" s="13">
        <v>42845.725439814814</v>
      </c>
      <c r="F125" s="13">
        <v>42845.729409722226</v>
      </c>
      <c r="G125" s="7">
        <v>1</v>
      </c>
      <c r="H125" s="21" t="s">
        <v>576</v>
      </c>
      <c r="I125" s="13">
        <v>42845.754027777781</v>
      </c>
      <c r="J125" s="7">
        <v>0</v>
      </c>
      <c r="K125" s="97" t="str">
        <f>IF(ISEVEN(B125),(B125-1)&amp;"/"&amp;B125,B125&amp;"/"&amp;(B125+1))</f>
        <v>4023/4024</v>
      </c>
      <c r="L125" s="21" t="str">
        <f>VLOOKUP(A125,'Trips&amp;Operators'!$C$1:$G$99999,5,FALSE)</f>
        <v>LOPES KIMBERLY</v>
      </c>
      <c r="M125" s="6">
        <f>I125-F125</f>
        <v>2.4618055555038154E-2</v>
      </c>
      <c r="N125" s="7">
        <f>24*60*SUM($M125:$M125)</f>
        <v>35.449999999254942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-20T16:24:38-0600',mode:absolute,to:'2017-04-20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5.2400000000000002E-2</v>
      </c>
      <c r="Z125" s="62">
        <f>RIGHT(H125,LEN(H125)-4)/10000</f>
        <v>23.329699999999999</v>
      </c>
      <c r="AA125" s="62">
        <f>ABS(Z125-Y125)</f>
        <v>23.2773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0211-20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/stypes="app*4024*20170421*"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11"/>
        <v>"%USERPROFILE%\Documents\GitHub\eaglep3\Utilities\RefineRTDCRunTimes.py" --tripid 211-20 --locoid 4024 --swversion DE.1.0.9.0 --startMP 204:524 --initTime 2017-04-20T17:24:38 --startdatetime 2017-04-20T17:30:21 --delay 1 --endMP 204:233297 --enddatetime 2017-04-20T18:05:48 --enforcementcount 0 &gt;&gt;C:\Users\stu\Documents\GitHub\eaglep3-reporting\EC\2017-04-20-refined-times.txt</v>
      </c>
      <c r="AI12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{"issue":{"subject":"","project_id":79,"tracker_id":40,"status_id":1,"priority_id":2,"assigned_to_id":23,"start_date":"2017-04-20","description":"","custom_fields":[{"id":1,"name":"Subdivision","value":"EC"},{"id":4,"name":"Milepost","value":"23.3297"},{"id":17,"name":"Train ID","value":"211-20"},{"id":16,"name":"Locomotive ID","value":"4024"},{"id":130,"name":"Impact","value":""},{"id":150,"name":"Time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13"/>
        <v>start /low /b %USERPROFILE%\Documents\GitHub\eaglep3\Utilities\DownloadLogsFromS3.py --loco 4024 --day 2017-04-20</v>
      </c>
      <c r="AN125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797</v>
      </c>
      <c r="B126" s="7">
        <v>4023</v>
      </c>
      <c r="C126" s="21" t="s">
        <v>213</v>
      </c>
      <c r="D126" s="21" t="s">
        <v>909</v>
      </c>
      <c r="E126" s="13">
        <v>42845.761400462965</v>
      </c>
      <c r="F126" s="13">
        <v>42845.768229166664</v>
      </c>
      <c r="G126" s="7">
        <v>1</v>
      </c>
      <c r="H126" s="21" t="s">
        <v>445</v>
      </c>
      <c r="I126" s="13">
        <v>42845.794999999998</v>
      </c>
      <c r="J126" s="7">
        <v>0</v>
      </c>
      <c r="K126" s="97" t="str">
        <f>IF(ISEVEN(B126),(B126-1)&amp;"/"&amp;B126,B126&amp;"/"&amp;(B126+1))</f>
        <v>4023/4024</v>
      </c>
      <c r="L126" s="21" t="str">
        <f>VLOOKUP(A126,'Trips&amp;Operators'!$C$1:$G$99999,5,FALSE)</f>
        <v>LOPES KIMBERLY</v>
      </c>
      <c r="M126" s="6">
        <f>I126-F126</f>
        <v>2.6770833334012423E-2</v>
      </c>
      <c r="N126" s="7">
        <f>24*60*SUM($M126:$M126)</f>
        <v>38.550000000977889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-20T17:16:25-0600',mode:absolute,to:'2017-04-20T20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183" t="str">
        <f>IF(AA126&lt;IF(AG126="EC",23,5.65),"Y","N")</f>
        <v>N</v>
      </c>
      <c r="X126" s="183">
        <f>VALUE(LEFT(AD126,4))-VALUE(LEFT(AD125,4))</f>
        <v>1</v>
      </c>
      <c r="Y126" s="62">
        <f>RIGHT(D126,LEN(D126)-4)/10000</f>
        <v>23.2986</v>
      </c>
      <c r="Z126" s="62">
        <f>RIGHT(H126,LEN(H126)-4)/10000</f>
        <v>1.49E-2</v>
      </c>
      <c r="AA126" s="62">
        <f>ABS(Z126-Y126)</f>
        <v>23.2837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0212-20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/stypes="app*4023*20170421*"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11"/>
        <v>"%USERPROFILE%\Documents\GitHub\eaglep3\Utilities\RefineRTDCRunTimes.py" --tripid 212-20 --locoid 4023 --swversion DE.1.0.9.0 --startMP 204:232986 --initTime 2017-04-20T18:16:25 --startdatetime 2017-04-20T18:26:15 --delay 1 --endMP 204:149 --enddatetime 2017-04-20T19:04:48 --enforcementcount 0 &gt;&gt;C:\Users\stu\Documents\GitHub\eaglep3-reporting\EC\2017-04-20-refined-times.txt</v>
      </c>
      <c r="AI12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{"issue":{"subject":"","project_id":79,"tracker_id":40,"status_id":1,"priority_id":2,"assigned_to_id":23,"start_date":"2017-04-20","description":"","custom_fields":[{"id":1,"name":"Subdivision","value":"EC"},{"id":4,"name":"Milepost","value":"0.0149"},{"id":17,"name":"Train ID","value":"212-20"},{"id":16,"name":"Locomotive ID","value":"4023"},{"id":130,"name":"Impact","value":""},{"id":150,"name":"Time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13"/>
        <v>start /low /b %USERPROFILE%\Documents\GitHub\eaglep3\Utilities\DownloadLogsFromS3.py --loco 4023 --day 2017-04-20</v>
      </c>
      <c r="AN126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788</v>
      </c>
      <c r="B127" s="7">
        <v>4042</v>
      </c>
      <c r="C127" s="21" t="s">
        <v>213</v>
      </c>
      <c r="D127" s="21" t="s">
        <v>526</v>
      </c>
      <c r="E127" s="13">
        <v>42845.735590277778</v>
      </c>
      <c r="F127" s="13">
        <v>42845.740277777775</v>
      </c>
      <c r="G127" s="7">
        <v>1</v>
      </c>
      <c r="H127" s="21" t="s">
        <v>857</v>
      </c>
      <c r="I127" s="13">
        <v>42845.764363425929</v>
      </c>
      <c r="J127" s="7">
        <v>0</v>
      </c>
      <c r="K127" s="97" t="str">
        <f>IF(ISEVEN(B127),(B127-1)&amp;"/"&amp;B127,B127&amp;"/"&amp;(B127+1))</f>
        <v>4041/4042</v>
      </c>
      <c r="L127" s="21" t="str">
        <f>VLOOKUP(A127,'Trips&amp;Operators'!$C$1:$G$99999,5,FALSE)</f>
        <v>NEWELL JAMES</v>
      </c>
      <c r="M127" s="6">
        <f>I127-F127</f>
        <v>2.4085648154141381E-2</v>
      </c>
      <c r="N127" s="7">
        <f>24*60*SUM($M127:$M127)</f>
        <v>34.683333341963589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-20T16:39:15-0600',mode:absolute,to:'2017-04-20T19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4.3700000000000003E-2</v>
      </c>
      <c r="Z127" s="62">
        <f>RIGHT(H127,LEN(H127)-4)/10000</f>
        <v>23.331399999999999</v>
      </c>
      <c r="AA127" s="62">
        <f>ABS(Z127-Y127)</f>
        <v>23.287699999999997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0213-20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/stypes="app*4042*20170421*"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11"/>
        <v>"%USERPROFILE%\Documents\GitHub\eaglep3\Utilities\RefineRTDCRunTimes.py" --tripid 213-20 --locoid 4042 --swversion DE.1.0.9.0 --startMP 204:437 --initTime 2017-04-20T17:39:15 --startdatetime 2017-04-20T17:46:00 --delay 1 --endMP 204:233314 --enddatetime 2017-04-20T18:20:41 --enforcementcount 0 &gt;&gt;C:\Users\stu\Documents\GitHub\eaglep3-reporting\EC\2017-04-20-refined-times.txt</v>
      </c>
      <c r="AI12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{"issue":{"subject":"","project_id":79,"tracker_id":40,"status_id":1,"priority_id":2,"assigned_to_id":23,"start_date":"2017-04-20","description":"","custom_fields":[{"id":1,"name":"Subdivision","value":"EC"},{"id":4,"name":"Milepost","value":"23.3314"},{"id":17,"name":"Train ID","value":"213-20"},{"id":16,"name":"Locomotive ID","value":"4042"},{"id":130,"name":"Impact","value":""},{"id":150,"name":"Time of Event (Mountain Time)","value":"18:20:41"},{"id":151,"name":"Denver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13"/>
        <v>start /low /b %USERPROFILE%\Documents\GitHub\eaglep3\Utilities\DownloadLogsFromS3.py --loco 4042 --day 2017-04-20</v>
      </c>
      <c r="AN127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801</v>
      </c>
      <c r="B128" s="7">
        <v>4041</v>
      </c>
      <c r="C128" s="21" t="s">
        <v>213</v>
      </c>
      <c r="D128" s="21" t="s">
        <v>907</v>
      </c>
      <c r="E128" s="13">
        <v>42845.769988425927</v>
      </c>
      <c r="F128" s="13">
        <v>42845.778611111113</v>
      </c>
      <c r="G128" s="7">
        <v>1</v>
      </c>
      <c r="H128" s="21" t="s">
        <v>399</v>
      </c>
      <c r="I128" s="13">
        <v>42845.805486111109</v>
      </c>
      <c r="J128" s="7">
        <v>0</v>
      </c>
      <c r="K128" s="97" t="str">
        <f>IF(ISEVEN(B128),(B128-1)&amp;"/"&amp;B128,B128&amp;"/"&amp;(B128+1))</f>
        <v>4041/4042</v>
      </c>
      <c r="L128" s="21" t="str">
        <f>VLOOKUP(A128,'Trips&amp;Operators'!$C$1:$G$99999,5,FALSE)</f>
        <v>NEWELL JAMES</v>
      </c>
      <c r="M128" s="6">
        <f>I128-F128</f>
        <v>2.6874999995925464E-2</v>
      </c>
      <c r="N128" s="7">
        <f>24*60*SUM($M128:$M128)</f>
        <v>38.699999994132668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-20T17:28:47-0600',mode:absolute,to:'2017-04-20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23.297899999999998</v>
      </c>
      <c r="Z128" s="62">
        <f>RIGHT(H128,LEN(H128)-4)/10000</f>
        <v>1.41E-2</v>
      </c>
      <c r="AA128" s="62">
        <f>ABS(Z128-Y128)</f>
        <v>23.283799999999999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0214-20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/stypes="app*4041*20170421*"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11"/>
        <v>"%USERPROFILE%\Documents\GitHub\eaglep3\Utilities\RefineRTDCRunTimes.py" --tripid 214-20 --locoid 4041 --swversion DE.1.0.9.0 --startMP 204:232979 --initTime 2017-04-20T18:28:47 --startdatetime 2017-04-20T18:41:12 --delay 1 --endMP 204:141 --enddatetime 2017-04-20T19:19:54 --enforcementcount 0 &gt;&gt;C:\Users\stu\Documents\GitHub\eaglep3-reporting\EC\2017-04-20-refined-times.txt</v>
      </c>
      <c r="AI12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{"issue":{"subject":"","project_id":79,"tracker_id":40,"status_id":1,"priority_id":2,"assigned_to_id":23,"start_date":"2017-04-20","description":"","custom_fields":[{"id":1,"name":"Subdivision","value":"EC"},{"id":4,"name":"Milepost","value":"0.0141"},{"id":17,"name":"Train ID","value":"214-20"},{"id":16,"name":"Locomotive ID","value":"4041"},{"id":130,"name":"Impact","value":""},{"id":150,"name":"Time of Event (Mountain Time)","value":"19:19:54"},{"id":151,"name":"Denver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13"/>
        <v>start /low /b %USERPROFILE%\Documents\GitHub\eaglep3\Utilities\DownloadLogsFromS3.py --loco 4041 --day 2017-04-20</v>
      </c>
      <c r="AN128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793</v>
      </c>
      <c r="B129" s="7">
        <v>4002</v>
      </c>
      <c r="C129" s="21" t="s">
        <v>213</v>
      </c>
      <c r="D129" s="21" t="s">
        <v>916</v>
      </c>
      <c r="E129" s="13">
        <v>42845.747384259259</v>
      </c>
      <c r="F129" s="13">
        <v>42845.750208333331</v>
      </c>
      <c r="G129" s="7">
        <v>2</v>
      </c>
      <c r="H129" s="21" t="s">
        <v>590</v>
      </c>
      <c r="I129" s="13">
        <v>42845.775983796295</v>
      </c>
      <c r="J129" s="7">
        <v>0</v>
      </c>
      <c r="K129" s="97" t="str">
        <f>IF(ISEVEN(B129),(B129-1)&amp;"/"&amp;B129,B129&amp;"/"&amp;(B129+1))</f>
        <v>4001/4002</v>
      </c>
      <c r="L129" s="21" t="str">
        <f>VLOOKUP(A129,'Trips&amp;Operators'!$C$1:$G$99999,5,FALSE)</f>
        <v>WHITED DUSTIN</v>
      </c>
      <c r="M129" s="6">
        <f>I129-F129</f>
        <v>2.5775462963792961E-2</v>
      </c>
      <c r="N129" s="7">
        <f>24*60*SUM($M129:$M129)</f>
        <v>37.116666667861864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-20T16:56:14-0600',mode:absolute,to:'2017-04-20T19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4.9099999999999998E-2</v>
      </c>
      <c r="Z129" s="62">
        <f>RIGHT(H129,LEN(H129)-4)/10000</f>
        <v>23.332999999999998</v>
      </c>
      <c r="AA129" s="62">
        <f>ABS(Z129-Y129)</f>
        <v>23.283899999999999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0215-20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/stypes="app*4002*20170421*"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11"/>
        <v>"%USERPROFILE%\Documents\GitHub\eaglep3\Utilities\RefineRTDCRunTimes.py" --tripid 215-20 --locoid 4002 --swversion DE.1.0.9.0 --startMP 204:491 --initTime 2017-04-20T17:56:14 --startdatetime 2017-04-20T18:00:18 --delay 2 --endMP 204:233330 --enddatetime 2017-04-20T18:37:25 --enforcementcount 0 &gt;&gt;C:\Users\stu\Documents\GitHub\eaglep3-reporting\EC\2017-04-20-refined-times.txt</v>
      </c>
      <c r="AI129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{"issue":{"subject":"","project_id":79,"tracker_id":40,"status_id":1,"priority_id":2,"assigned_to_id":23,"start_date":"2017-04-20","description":"","custom_fields":[{"id":1,"name":"Subdivision","value":"EC"},{"id":4,"name":"Milepost","value":"23.333"},{"id":17,"name":"Train ID","value":"215-20"},{"id":16,"name":"Locomotive ID","value":"4002"},{"id":130,"name":"Impact","value":""},{"id":150,"name":"Time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13"/>
        <v>start /low /b %USERPROFILE%\Documents\GitHub\eaglep3\Utilities\DownloadLogsFromS3.py --loco 4002 --day 2017-04-20</v>
      </c>
      <c r="AN129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804</v>
      </c>
      <c r="B130" s="7">
        <v>4001</v>
      </c>
      <c r="C130" s="21" t="s">
        <v>213</v>
      </c>
      <c r="D130" s="21" t="s">
        <v>580</v>
      </c>
      <c r="E130" s="13">
        <v>42845.783043981479</v>
      </c>
      <c r="F130" s="13">
        <v>42845.789131944446</v>
      </c>
      <c r="G130" s="7">
        <v>2</v>
      </c>
      <c r="H130" s="21" t="s">
        <v>587</v>
      </c>
      <c r="I130" s="13">
        <v>42845.816458333335</v>
      </c>
      <c r="J130" s="7">
        <v>0</v>
      </c>
      <c r="K130" s="97" t="str">
        <f>IF(ISEVEN(B130),(B130-1)&amp;"/"&amp;B130,B130&amp;"/"&amp;(B130+1))</f>
        <v>4001/4002</v>
      </c>
      <c r="L130" s="21" t="str">
        <f>VLOOKUP(A130,'Trips&amp;Operators'!$C$1:$G$99999,5,FALSE)</f>
        <v>WHITED DUSTIN</v>
      </c>
      <c r="M130" s="6">
        <f>I130-F130</f>
        <v>2.73263888884685E-2</v>
      </c>
      <c r="N130" s="7">
        <f>24*60*SUM($M130:$M130)</f>
        <v>39.34999999939464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-20T17:47:35-0600',mode:absolute,to:'2017-04-20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23.297799999999999</v>
      </c>
      <c r="Z130" s="62">
        <f>RIGHT(H130,LEN(H130)-4)/10000</f>
        <v>1.32E-2</v>
      </c>
      <c r="AA130" s="62">
        <f>ABS(Z130-Y130)</f>
        <v>23.284599999999998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0216-20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/stypes="app*4001*20170421*" /stext=" 01:.+((SYSTEM_STATE.+slice.+state.+changed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11"/>
        <v>"%USERPROFILE%\Documents\GitHub\eaglep3\Utilities\RefineRTDCRunTimes.py" --tripid 216-20 --locoid 4001 --swversion DE.1.0.9.0 --startMP 204:232978 --initTime 2017-04-20T18:47:35 --startdatetime 2017-04-20T18:56:21 --delay 2 --endMP 204:132 --enddatetime 2017-04-20T19:35:42 --enforcementcount 0 &gt;&gt;C:\Users\stu\Documents\GitHub\eaglep3-reporting\EC\2017-04-20-refined-times.txt</v>
      </c>
      <c r="AI130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{"issue":{"subject":"","project_id":79,"tracker_id":40,"status_id":1,"priority_id":2,"assigned_to_id":23,"start_date":"2017-04-20","description":"","custom_fields":[{"id":1,"name":"Subdivision","value":"EC"},{"id":4,"name":"Milepost","value":"0.0132"},{"id":17,"name":"Train ID","value":"216-20"},{"id":16,"name":"Locomotive ID","value":"4001"},{"id":130,"name":"Impact","value":""},{"id":150,"name":"Time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13"/>
        <v>start /low /b %USERPROFILE%\Documents\GitHub\eaglep3\Utilities\DownloadLogsFromS3.py --loco 4001 --day 2017-04-20</v>
      </c>
      <c r="AN130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645</v>
      </c>
      <c r="B131" s="7">
        <v>4028</v>
      </c>
      <c r="C131" s="21" t="s">
        <v>213</v>
      </c>
      <c r="D131" s="21" t="s">
        <v>205</v>
      </c>
      <c r="E131" s="13">
        <v>42845.758055555554</v>
      </c>
      <c r="F131" s="13">
        <v>42845.76059027778</v>
      </c>
      <c r="G131" s="7">
        <v>1</v>
      </c>
      <c r="H131" s="21" t="s">
        <v>917</v>
      </c>
      <c r="I131" s="13">
        <v>42845.786793981482</v>
      </c>
      <c r="J131" s="7">
        <v>0</v>
      </c>
      <c r="K131" s="97" t="str">
        <f>IF(ISEVEN(B131),(B131-1)&amp;"/"&amp;B131,B131&amp;"/"&amp;(B131+1))</f>
        <v>4027/4028</v>
      </c>
      <c r="L131" s="21" t="str">
        <f>VLOOKUP(A131,'Trips&amp;Operators'!$C$1:$G$99999,5,FALSE)</f>
        <v>BROWN JACOB</v>
      </c>
      <c r="M131" s="6">
        <f>I131-F131</f>
        <v>2.6203703702776693E-2</v>
      </c>
      <c r="N131" s="7">
        <f>24*60*SUM($M131:$M131)</f>
        <v>37.733333331998438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4.5999999999999999E-2</v>
      </c>
      <c r="Z131" s="62">
        <f>RIGHT(H131,LEN(H131)-4)/10000</f>
        <v>23.328700000000001</v>
      </c>
      <c r="AA131" s="62">
        <f>ABS(Z131-Y131)</f>
        <v>23.282700000000002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0217-20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/stypes="app*4028*20170421*" /stext=" 00:.+((SYSTEM_STATE.+slice.+state.+changed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11"/>
        <v>"%USERPROFILE%\Documents\GitHub\eaglep3\Utilities\RefineRTDCRunTimes.py" --tripid 217-20 --locoid 4028 --swversion DE.1.0.9.0 --startMP 204:460 --initTime 2017-04-20T18:11:36 --startdatetime 2017-04-20T18:15:15 --delay 1 --endMP 204:233287 --enddatetime 2017-04-20T18:52:59 --enforcementcount 0 &gt;&gt;C:\Users\stu\Documents\GitHub\eaglep3-reporting\EC\2017-04-20-refined-times.txt</v>
      </c>
      <c r="AI131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13"/>
        <v>start /low /b %USERPROFILE%\Documents\GitHub\eaglep3\Utilities\DownloadLogsFromS3.py --loco 4028 --day 2017-04-20</v>
      </c>
      <c r="AN131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647</v>
      </c>
      <c r="B132" s="7">
        <v>4027</v>
      </c>
      <c r="C132" s="21" t="s">
        <v>213</v>
      </c>
      <c r="D132" s="21" t="s">
        <v>885</v>
      </c>
      <c r="E132" s="13">
        <v>42845.796631944446</v>
      </c>
      <c r="F132" s="13">
        <v>42845.799479166664</v>
      </c>
      <c r="G132" s="7">
        <v>2</v>
      </c>
      <c r="H132" s="21" t="s">
        <v>210</v>
      </c>
      <c r="I132" s="13">
        <v>42845.827349537038</v>
      </c>
      <c r="J132" s="7">
        <v>0</v>
      </c>
      <c r="K132" s="97" t="str">
        <f>IF(ISEVEN(B132),(B132-1)&amp;"/"&amp;B132,B132&amp;"/"&amp;(B132+1))</f>
        <v>4027/4028</v>
      </c>
      <c r="L132" s="21" t="str">
        <f>VLOOKUP(A132,'Trips&amp;Operators'!$C$1:$G$99999,5,FALSE)</f>
        <v>BROWN JACOB</v>
      </c>
      <c r="M132" s="6">
        <f>I132-F132</f>
        <v>2.7870370373420883E-2</v>
      </c>
      <c r="N132" s="7">
        <f>24*60*SUM($M132:$M132)</f>
        <v>40.133333337726071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23.296199999999999</v>
      </c>
      <c r="Z132" s="62">
        <f>RIGHT(H132,LEN(H132)-4)/10000</f>
        <v>1.47E-2</v>
      </c>
      <c r="AA132" s="62">
        <f>ABS(Z132-Y132)</f>
        <v>23.281499999999998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0218-20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/stypes="app*4027*20170421*" /stext=" 01:.+((SYSTEM_STATE.+slice.+state.+changed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11"/>
        <v>"%USERPROFILE%\Documents\GitHub\eaglep3\Utilities\RefineRTDCRunTimes.py" --tripid 218-20 --locoid 4027 --swversion DE.1.0.9.0 --startMP 204:232962 --initTime 2017-04-20T19:07:09 --startdatetime 2017-04-20T19:11:15 --delay 2 --endMP 204:147 --enddatetime 2017-04-20T19:51:23 --enforcementcount 0 &gt;&gt;C:\Users\stu\Documents\GitHub\eaglep3-reporting\EC\2017-04-20-refined-times.txt</v>
      </c>
      <c r="AI132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ID","value":"218-20"},{"id":16,"name":"Locomotive ID","value":"4027"},{"id":130,"name":"Impact","value":""},{"id":150,"name":"Time of Event (Mountain Time)","value":"19:51:23"},{"id":151,"name":"Denver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13"/>
        <v>start /low /b %USERPROFILE%\Documents\GitHub\eaglep3\Utilities\DownloadLogsFromS3.py --loco 4027 --day 2017-04-20</v>
      </c>
      <c r="AN132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800</v>
      </c>
      <c r="B133" s="7">
        <v>4026</v>
      </c>
      <c r="C133" s="21" t="s">
        <v>213</v>
      </c>
      <c r="D133" s="21" t="s">
        <v>448</v>
      </c>
      <c r="E133" s="13">
        <v>42845.766701388886</v>
      </c>
      <c r="F133" s="13">
        <v>42845.771122685182</v>
      </c>
      <c r="G133" s="7">
        <v>2</v>
      </c>
      <c r="H133" s="21" t="s">
        <v>527</v>
      </c>
      <c r="I133" s="13">
        <v>42845.79619212963</v>
      </c>
      <c r="J133" s="7">
        <v>0</v>
      </c>
      <c r="K133" s="97" t="str">
        <f>IF(ISEVEN(B133),(B133-1)&amp;"/"&amp;B133,B133&amp;"/"&amp;(B133+1))</f>
        <v>4025/4026</v>
      </c>
      <c r="L133" s="21" t="str">
        <f>VLOOKUP(A133,'Trips&amp;Operators'!$C$1:$G$99999,5,FALSE)</f>
        <v>YANG JAN</v>
      </c>
      <c r="M133" s="6">
        <f>I133-F133</f>
        <v>2.5069444447581191E-2</v>
      </c>
      <c r="N133" s="7">
        <f>24*60*SUM($M133:$M133)</f>
        <v>36.100000004516914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-20T17:24:03-0600',mode:absolute,to:'2017-04-20T20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4.7500000000000001E-2</v>
      </c>
      <c r="Z133" s="62">
        <f>RIGHT(H133,LEN(H133)-4)/10000</f>
        <v>23.328399999999998</v>
      </c>
      <c r="AA133" s="62">
        <f>ABS(Z133-Y133)</f>
        <v>23.280899999999999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0219-20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/stypes="app*4026*20170421*"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si="11"/>
        <v>"%USERPROFILE%\Documents\GitHub\eaglep3\Utilities\RefineRTDCRunTimes.py" --tripid 219-20 --locoid 4026 --swversion DE.1.0.9.0 --startMP 204:475 --initTime 2017-04-20T18:24:03 --startdatetime 2017-04-20T18:30:25 --delay 2 --endMP 204:233284 --enddatetime 2017-04-20T19:06:31 --enforcementcount 0 &gt;&gt;C:\Users\stu\Documents\GitHub\eaglep3-reporting\EC\2017-04-20-refined-times.txt</v>
      </c>
      <c r="AI133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{"issue":{"subject":"","project_id":79,"tracker_id":40,"status_id":1,"priority_id":2,"assigned_to_id":23,"start_date":"2017-04-20","description":"","custom_fields":[{"id":1,"name":"Subdivision","value":"EC"},{"id":4,"name":"Milepost","value":"23.3284"},{"id":17,"name":"Train ID","value":"219-20"},{"id":16,"name":"Locomotive ID","value":"4026"},{"id":130,"name":"Impact","value":""},{"id":150,"name":"Time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13"/>
        <v>start /low /b %USERPROFILE%\Documents\GitHub\eaglep3\Utilities\DownloadLogsFromS3.py --loco 4026 --day 2017-04-20</v>
      </c>
      <c r="AN133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809</v>
      </c>
      <c r="B134" s="7">
        <v>4025</v>
      </c>
      <c r="C134" s="21" t="s">
        <v>213</v>
      </c>
      <c r="D134" s="21" t="s">
        <v>918</v>
      </c>
      <c r="E134" s="13">
        <v>42845.802928240744</v>
      </c>
      <c r="F134" s="13">
        <v>42845.809942129628</v>
      </c>
      <c r="G134" s="7">
        <v>2</v>
      </c>
      <c r="H134" s="21" t="s">
        <v>520</v>
      </c>
      <c r="I134" s="13">
        <v>42845.839629629627</v>
      </c>
      <c r="J134" s="7">
        <v>0</v>
      </c>
      <c r="K134" s="97" t="str">
        <f>IF(ISEVEN(B134),(B134-1)&amp;"/"&amp;B134,B134&amp;"/"&amp;(B134+1))</f>
        <v>4025/4026</v>
      </c>
      <c r="L134" s="21" t="str">
        <f>VLOOKUP(A134,'Trips&amp;Operators'!$C$1:$G$99999,5,FALSE)</f>
        <v>YANG JAN</v>
      </c>
      <c r="M134" s="6">
        <f>I134-F134</f>
        <v>2.9687499998544808E-2</v>
      </c>
      <c r="N134" s="7">
        <f>24*60*SUM($M134:$M134)</f>
        <v>42.749999997904524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-20T18:16:13-0600',mode:absolute,to:'2017-04-20T21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23.299199999999999</v>
      </c>
      <c r="Z134" s="62">
        <f>RIGHT(H134,LEN(H134)-4)/10000</f>
        <v>1.34E-2</v>
      </c>
      <c r="AA134" s="62">
        <f>ABS(Z134-Y134)</f>
        <v>23.285799999999998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0220-20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/stypes="app*4025*20170421*" /stext=" 02:.+((SYSTEM_STATE.+slice.+state.+changed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11"/>
        <v>"%USERPROFILE%\Documents\GitHub\eaglep3\Utilities\RefineRTDCRunTimes.py" --tripid 220-20 --locoid 4025 --swversion DE.1.0.9.0 --startMP 204:232992 --initTime 2017-04-20T19:16:13 --startdatetime 2017-04-20T19:26:19 --delay 2 --endMP 204:134 --enddatetime 2017-04-20T20:09:04 --enforcementcount 0 &gt;&gt;C:\Users\stu\Documents\GitHub\eaglep3-reporting\EC\2017-04-20-refined-times.txt</v>
      </c>
      <c r="AI134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{"issue":{"subject":"","project_id":79,"tracker_id":40,"status_id":1,"priority_id":2,"assigned_to_id":23,"start_date":"2017-04-20","description":"","custom_fields":[{"id":1,"name":"Subdivision","value":"EC"},{"id":4,"name":"Milepost","value":"0.0134"},{"id":17,"name":"Train ID","value":"220-20"},{"id":16,"name":"Locomotive ID","value":"4025"},{"id":130,"name":"Impact","value":""},{"id":150,"name":"Time of Event (Mountain Time)","value":"20:09:04"},{"id":151,"name":"Denver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13"/>
        <v>start /low /b %USERPROFILE%\Documents\GitHub\eaglep3\Utilities\DownloadLogsFromS3.py --loco 4025 --day 2017-04-20</v>
      </c>
      <c r="AN134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805</v>
      </c>
      <c r="B135" s="7">
        <v>4008</v>
      </c>
      <c r="C135" s="21" t="s">
        <v>213</v>
      </c>
      <c r="D135" s="21" t="s">
        <v>404</v>
      </c>
      <c r="E135" s="13">
        <v>42845.787581018521</v>
      </c>
      <c r="F135" s="13">
        <v>42845.791944444441</v>
      </c>
      <c r="G135" s="7">
        <v>1</v>
      </c>
      <c r="H135" s="21" t="s">
        <v>919</v>
      </c>
      <c r="I135" s="13">
        <v>42845.816469907404</v>
      </c>
      <c r="J135" s="7">
        <v>0</v>
      </c>
      <c r="K135" s="97" t="str">
        <f>IF(ISEVEN(B135),(B135-1)&amp;"/"&amp;B135,B135&amp;"/"&amp;(B135+1))</f>
        <v>4007/4008</v>
      </c>
      <c r="L135" s="21" t="str">
        <f>VLOOKUP(A135,'Trips&amp;Operators'!$C$1:$G$99999,5,FALSE)</f>
        <v>MACDONALD THOMAS</v>
      </c>
      <c r="M135" s="6">
        <f>I135-F135</f>
        <v>2.4525462962628808E-2</v>
      </c>
      <c r="N135" s="7">
        <f>24*60*SUM($M135:$M135)</f>
        <v>35.316666666185483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-20T17:54:07-0600',mode:absolute,to:'2017-04-20T20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4.6199999999999998E-2</v>
      </c>
      <c r="Z135" s="62">
        <f>RIGHT(H135,LEN(H135)-4)/10000</f>
        <v>23.332000000000001</v>
      </c>
      <c r="AA135" s="62">
        <f>ABS(Z135-Y135)</f>
        <v>23.285800000000002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0221-20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/stypes="app*4008*20170421*" /stext=" 01:.+((SYSTEM_STATE.+slice.+state.+changed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11"/>
        <v>"%USERPROFILE%\Documents\GitHub\eaglep3\Utilities\RefineRTDCRunTimes.py" --tripid 221-20 --locoid 4008 --swversion DE.1.0.9.0 --startMP 204:462 --initTime 2017-04-20T18:54:07 --startdatetime 2017-04-20T19:00:24 --delay 1 --endMP 204:233320 --enddatetime 2017-04-20T19:35:43 --enforcementcount 0 &gt;&gt;C:\Users\stu\Documents\GitHub\eaglep3-reporting\EC\2017-04-20-refined-times.txt</v>
      </c>
      <c r="AI135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{"issue":{"subject":"","project_id":79,"tracker_id":40,"status_id":1,"priority_id":2,"assigned_to_id":23,"start_date":"2017-04-20","description":"","custom_fields":[{"id":1,"name":"Subdivision","value":"EC"},{"id":4,"name":"Milepost","value":"23.332"},{"id":17,"name":"Train ID","value":"221-20"},{"id":16,"name":"Locomotive ID","value":"4008"},{"id":130,"name":"Impact","value":""},{"id":150,"name":"Time of Event (Mountain Time)","value":"19:35:43"},{"id":151,"name":"Denver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13"/>
        <v>start /low /b %USERPROFILE%\Documents\GitHub\eaglep3\Utilities\DownloadLogsFromS3.py --loco 4008 --day 2017-04-20</v>
      </c>
      <c r="AN135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813</v>
      </c>
      <c r="B136" s="7">
        <v>4007</v>
      </c>
      <c r="C136" s="21" t="s">
        <v>213</v>
      </c>
      <c r="D136" s="21" t="s">
        <v>884</v>
      </c>
      <c r="E136" s="13">
        <v>42845.82576388889</v>
      </c>
      <c r="F136" s="13">
        <v>42845.830717592595</v>
      </c>
      <c r="G136" s="7">
        <v>0</v>
      </c>
      <c r="H136" s="21" t="s">
        <v>203</v>
      </c>
      <c r="I136" s="13">
        <v>42845.861435185187</v>
      </c>
      <c r="J136" s="7">
        <v>0</v>
      </c>
      <c r="K136" s="97" t="str">
        <f>IF(ISEVEN(B136),(B136-1)&amp;"/"&amp;B136,B136&amp;"/"&amp;(B136+1))</f>
        <v>4007/4008</v>
      </c>
      <c r="L136" s="21" t="str">
        <f>VLOOKUP(A136,'Trips&amp;Operators'!$C$1:$G$99999,5,FALSE)</f>
        <v>MACDONALD THOMAS</v>
      </c>
      <c r="M136" s="6">
        <f>I136-F136</f>
        <v>3.071759259182727E-2</v>
      </c>
      <c r="N136" s="7">
        <f>24*60*SUM($M136:$M136)</f>
        <v>44.233333332231268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-20T18:49:06-0600',mode:absolute,to:'2017-04-20T21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23.3003</v>
      </c>
      <c r="Z136" s="62">
        <f>RIGHT(H136,LEN(H136)-4)/10000</f>
        <v>1.54E-2</v>
      </c>
      <c r="AA136" s="62">
        <f>ABS(Z136-Y136)</f>
        <v>23.2849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0222-20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/stypes="app*4007*20170421*" /stext=" 02:.+((SYSTEM_STATE.+slice.+state.+changed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11"/>
        <v>"%USERPROFILE%\Documents\GitHub\eaglep3\Utilities\RefineRTDCRunTimes.py" --tripid 222-20 --locoid 4007 --swversion DE.1.0.9.0 --startMP 204:233003 --initTime 2017-04-20T19:49:06 --startdatetime 2017-04-20T19:56:14 --delay 0 --endMP 204:154 --enddatetime 2017-04-20T20:40:28 --enforcementcount 0 &gt;&gt;C:\Users\stu\Documents\GitHub\eaglep3-reporting\EC\2017-04-20-refined-times.txt</v>
      </c>
      <c r="AI136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{"issue":{"subject":"","project_id":79,"tracker_id":40,"status_id":1,"priority_id":2,"assigned_to_id":23,"start_date":"2017-04-20","description":"","custom_fields":[{"id":1,"name":"Subdivision","value":"EC"},{"id":4,"name":"Milepost","value":"0.0154"},{"id":17,"name":"Train ID","value":"222-20"},{"id":16,"name":"Locomotive ID","value":"4007"},{"id":130,"name":"Impact","value":""},{"id":150,"name":"Time of Event (Mountain Time)","value":"20:40:28"},{"id":151,"name":"Denver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13"/>
        <v>start /low /b %USERPROFILE%\Documents\GitHub\eaglep3\Utilities\DownloadLogsFromS3.py --loco 4007 --day 2017-04-20</v>
      </c>
      <c r="AN136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810</v>
      </c>
      <c r="B137" s="7">
        <v>4042</v>
      </c>
      <c r="C137" s="21" t="s">
        <v>213</v>
      </c>
      <c r="D137" s="21" t="s">
        <v>450</v>
      </c>
      <c r="E137" s="13">
        <v>42845.809270833335</v>
      </c>
      <c r="F137" s="13">
        <v>42845.812673611108</v>
      </c>
      <c r="G137" s="7">
        <v>1</v>
      </c>
      <c r="H137" s="21" t="s">
        <v>899</v>
      </c>
      <c r="I137" s="13">
        <v>42845.839965277781</v>
      </c>
      <c r="J137" s="7">
        <v>0</v>
      </c>
      <c r="K137" s="97" t="str">
        <f>IF(ISEVEN(B137),(B137-1)&amp;"/"&amp;B137,B137&amp;"/"&amp;(B137+1))</f>
        <v>4041/4042</v>
      </c>
      <c r="L137" s="21" t="str">
        <f>VLOOKUP(A137,'Trips&amp;Operators'!$C$1:$G$99999,5,FALSE)</f>
        <v>NEWELL JAMES</v>
      </c>
      <c r="M137" s="6">
        <f>I137-F137</f>
        <v>2.7291666672681458E-2</v>
      </c>
      <c r="N137" s="7">
        <f>24*60*SUM($M137:$M137)</f>
        <v>39.3000000086613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-20T18:25:21-0600',mode:absolute,to:'2017-04-20T21:09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83" t="str">
        <f>IF(AA137&lt;IF(AG137="EC",23,5.65),"Y","N")</f>
        <v>N</v>
      </c>
      <c r="X137" s="183">
        <f>VALUE(LEFT(AD137,4))-VALUE(LEFT(AD136,4))</f>
        <v>1</v>
      </c>
      <c r="Y137" s="62">
        <f>RIGHT(D137,LEN(D137)-4)/10000</f>
        <v>4.4200000000000003E-2</v>
      </c>
      <c r="Z137" s="62">
        <f>RIGHT(H137,LEN(H137)-4)/10000</f>
        <v>23.327999999999999</v>
      </c>
      <c r="AA137" s="62">
        <f>ABS(Z137-Y137)</f>
        <v>23.283799999999999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0223-20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/stypes="app*4042*20170421*"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11"/>
        <v>"%USERPROFILE%\Documents\GitHub\eaglep3\Utilities\RefineRTDCRunTimes.py" --tripid 223-20 --locoid 4042 --swversion DE.1.0.9.0 --startMP 204:442 --initTime 2017-04-20T19:25:21 --startdatetime 2017-04-20T19:30:15 --delay 1 --endMP 204:233280 --enddatetime 2017-04-20T20:09:33 --enforcementcount 0 &gt;&gt;C:\Users\stu\Documents\GitHub\eaglep3-reporting\EC\2017-04-20-refined-times.txt</v>
      </c>
      <c r="AI137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{"issue":{"subject":"","project_id":79,"tracker_id":40,"status_id":1,"priority_id":2,"assigned_to_id":23,"start_date":"2017-04-20","description":"","custom_fields":[{"id":1,"name":"Subdivision","value":"EC"},{"id":4,"name":"Milepost","value":"23.328"},{"id":17,"name":"Train ID","value":"223-20"},{"id":16,"name":"Locomotive ID","value":"4042"},{"id":130,"name":"Impact","value":""},{"id":150,"name":"Time of Event (Mountain Time)","value":"20:09:33"},{"id":151,"name":"Denver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13"/>
        <v>start /low /b %USERPROFILE%\Documents\GitHub\eaglep3\Utilities\DownloadLogsFromS3.py --loco 4042 --day 2017-04-20</v>
      </c>
      <c r="AN137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818</v>
      </c>
      <c r="B138" s="7">
        <v>4041</v>
      </c>
      <c r="C138" s="21" t="s">
        <v>213</v>
      </c>
      <c r="D138" s="21" t="s">
        <v>870</v>
      </c>
      <c r="E138" s="13">
        <v>42845.848078703704</v>
      </c>
      <c r="F138" s="13">
        <v>42845.851550925923</v>
      </c>
      <c r="G138" s="7">
        <v>1</v>
      </c>
      <c r="H138" s="21" t="s">
        <v>920</v>
      </c>
      <c r="I138" s="13">
        <v>42845.882048611114</v>
      </c>
      <c r="J138" s="7">
        <v>0</v>
      </c>
      <c r="K138" s="97" t="str">
        <f>IF(ISEVEN(B138),(B138-1)&amp;"/"&amp;B138,B138&amp;"/"&amp;(B138+1))</f>
        <v>4041/4042</v>
      </c>
      <c r="L138" s="21" t="str">
        <f>VLOOKUP(A138,'Trips&amp;Operators'!$C$1:$G$99999,5,FALSE)</f>
        <v>NEWELL JAMES</v>
      </c>
      <c r="M138" s="6">
        <f>I138-F138</f>
        <v>3.0497685191221535E-2</v>
      </c>
      <c r="N138" s="7">
        <f>24*60*SUM($M138:$M138)</f>
        <v>43.916666675359011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-20T19:21:14-0600',mode:absolute,to:'2017-04-20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23.2988</v>
      </c>
      <c r="Z138" s="62">
        <f>RIGHT(H138,LEN(H138)-4)/10000</f>
        <v>1.29E-2</v>
      </c>
      <c r="AA138" s="62">
        <f>ABS(Z138-Y138)</f>
        <v>23.285900000000002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0224-20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/stypes="app*4041*20170421*" /stext=" 03:.+((SYSTEM_STATE.+slice.+state.+changed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11"/>
        <v>"%USERPROFILE%\Documents\GitHub\eaglep3\Utilities\RefineRTDCRunTimes.py" --tripid 224-20 --locoid 4041 --swversion DE.1.0.9.0 --startMP 204:232988 --initTime 2017-04-20T20:21:14 --startdatetime 2017-04-20T20:26:14 --delay 1 --endMP 204:129 --enddatetime 2017-04-20T21:10:09 --enforcementcount 0 &gt;&gt;C:\Users\stu\Documents\GitHub\eaglep3-reporting\EC\2017-04-20-refined-times.txt</v>
      </c>
      <c r="AI138" s="104" t="str">
        <f t="shared" si="12"/>
        <v>echo {"issue":{"subject":"","project_id":79,"tracker_id":40,"status_id":1,"priority_id":2,"assigned_to_id":23,"start_date":"2017-04-20","description":"","custom_fields":[{"id":1,"name":"Subdivision","value":"EC"},{"id":4,"name":"Milepost","value":"0.0129"},{"id":17,"name":"Train ID","value":"224-20"},{"id":16,"name":"Locomotive ID","value":"4041"},{"id":130,"name":"Impact","value":""},{"id":150,"name":"Time of Event (Mountain Time)","value":"21:10:09"},{"id":151,"name":"Denver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13"/>
        <v>start /low /b %USERPROFILE%\Documents\GitHub\eaglep3\Utilities\DownloadLogsFromS3.py --loco 4041 --day 2017-04-20</v>
      </c>
      <c r="AN138" s="159" t="str">
        <f t="shared" si="14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815</v>
      </c>
      <c r="B139" s="7">
        <v>4028</v>
      </c>
      <c r="C139" s="21" t="s">
        <v>213</v>
      </c>
      <c r="D139" s="21" t="s">
        <v>495</v>
      </c>
      <c r="E139" s="13">
        <v>42845.831828703704</v>
      </c>
      <c r="F139" s="13">
        <v>42845.833506944444</v>
      </c>
      <c r="G139" s="7">
        <v>1</v>
      </c>
      <c r="H139" s="21" t="s">
        <v>921</v>
      </c>
      <c r="I139" s="13">
        <v>42845.861030092594</v>
      </c>
      <c r="J139" s="7">
        <v>0</v>
      </c>
      <c r="K139" s="97" t="str">
        <f>IF(ISEVEN(B139),(B139-1)&amp;"/"&amp;B139,B139&amp;"/"&amp;(B139+1))</f>
        <v>4027/4028</v>
      </c>
      <c r="L139" s="21" t="str">
        <f>VLOOKUP(A139,'Trips&amp;Operators'!$C$1:$G$99999,5,FALSE)</f>
        <v>BROWN JACOB</v>
      </c>
      <c r="M139" s="6">
        <f>I139-F139</f>
        <v>2.7523148150066845E-2</v>
      </c>
      <c r="N139" s="7">
        <f>24*60*SUM($M139:$M139)</f>
        <v>39.633333336096257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-20T18:57:50-0600',mode:absolute,to:'2017-04-20T21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3" t="str">
        <f>IF(AA139&lt;IF(AG139="EC",23,5.65),"Y","N")</f>
        <v>N</v>
      </c>
      <c r="X139" s="183">
        <f>VALUE(LEFT(AD139,4))-VALUE(LEFT(AD138,4))</f>
        <v>1</v>
      </c>
      <c r="Y139" s="62">
        <f>RIGHT(D139,LEN(D139)-4)/10000</f>
        <v>4.6899999999999997E-2</v>
      </c>
      <c r="Z139" s="62">
        <f>RIGHT(H139,LEN(H139)-4)/10000</f>
        <v>23.327000000000002</v>
      </c>
      <c r="AA139" s="62">
        <f>ABS(Z139-Y139)</f>
        <v>23.280100000000001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0225-20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/stypes="app*4028*20170421*" /stext=" 02:.+((SYSTEM_STATE.+slice.+state.+changed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ref="AH139:AH202" si="15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225-20 --locoid 4028 --swversion DE.1.0.9.0 --startMP 204:469 --initTime 2017-04-20T19:57:50 --startdatetime 2017-04-20T20:00:15 --delay 1 --endMP 204:233270 --enddatetime 2017-04-20T20:39:53 --enforcementcount 0 &gt;&gt;C:\Users\stu\Documents\GitHub\eaglep3-reporting\EC\2017-04-20-refined-times.txt</v>
      </c>
      <c r="AI139" s="104" t="str">
        <f t="shared" ref="AI139:AI202" si="16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{"issue":{"subject":"","project_id":79,"tracker_id":40,"status_id":1,"priority_id":2,"assigned_to_id":23,"start_date":"2017-04-20","description":"","custom_fields":[{"id":1,"name":"Subdivision","value":"EC"},{"id":4,"name":"Milepost","value":"23.327"},{"id":17,"name":"Train ID","value":"225-20"},{"id":16,"name":"Locomotive ID","value":"4028"},{"id":130,"name":"Impact","value":""},{"id":150,"name":"Time of Event (Mountain Time)","value":"20:39:53"},{"id":151,"name":"Denver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2" si="17">"start /low /b "&amp;dls3logs&amp;" --loco "&amp;B139&amp;" --day "&amp;TEXT(F139,"YYYY-MM-DD")</f>
        <v>start /low /b %USERPROFILE%\Documents\GitHub\eaglep3\Utilities\DownloadLogsFromS3.py --loco 4028 --day 2017-04-20</v>
      </c>
      <c r="AN139" s="159" t="str">
        <f t="shared" ref="AN139:AN202" si="18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3" t="s">
        <v>822</v>
      </c>
      <c r="B140" s="7">
        <v>4027</v>
      </c>
      <c r="C140" s="21" t="s">
        <v>213</v>
      </c>
      <c r="D140" s="21" t="s">
        <v>579</v>
      </c>
      <c r="E140" s="13">
        <v>42845.866678240738</v>
      </c>
      <c r="F140" s="13">
        <v>42845.872384259259</v>
      </c>
      <c r="G140" s="7">
        <v>1</v>
      </c>
      <c r="H140" s="21" t="s">
        <v>453</v>
      </c>
      <c r="I140" s="13">
        <v>42845.900347222225</v>
      </c>
      <c r="J140" s="7">
        <v>0</v>
      </c>
      <c r="K140" s="97" t="str">
        <f>IF(ISEVEN(B140),(B140-1)&amp;"/"&amp;B140,B140&amp;"/"&amp;(B140+1))</f>
        <v>4027/4028</v>
      </c>
      <c r="L140" s="21" t="str">
        <f>VLOOKUP(A140,'Trips&amp;Operators'!$C$1:$G$99999,5,FALSE)</f>
        <v>BROWN JACOB</v>
      </c>
      <c r="M140" s="6">
        <f>I140-F140</f>
        <v>2.7962962965830229E-2</v>
      </c>
      <c r="N140" s="7">
        <f>24*60*SUM($M140:$M140)</f>
        <v>40.26666667079553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-20T19:48:01-0600',mode:absolute,to:'2017-04-20T22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23.300599999999999</v>
      </c>
      <c r="Z140" s="62">
        <f>RIGHT(H140,LEN(H140)-4)/10000</f>
        <v>1.6299999999999999E-2</v>
      </c>
      <c r="AA140" s="62">
        <f>ABS(Z140-Y140)</f>
        <v>23.284299999999998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0226-20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/stypes="app*4027*20170421*" /stext=" 03:.+((SYSTEM_STATE.+slice.+state.+changed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15"/>
        <v>"%USERPROFILE%\Documents\GitHub\eaglep3\Utilities\RefineRTDCRunTimes.py" --tripid 226-20 --locoid 4027 --swversion DE.1.0.9.0 --startMP 204:233006 --initTime 2017-04-20T20:48:01 --startdatetime 2017-04-20T20:56:14 --delay 1 --endMP 204:163 --enddatetime 2017-04-20T21:36:30 --enforcementcount 0 &gt;&gt;C:\Users\stu\Documents\GitHub\eaglep3-reporting\EC\2017-04-20-refined-times.txt</v>
      </c>
      <c r="AI140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{"issue":{"subject":"","project_id":79,"tracker_id":40,"status_id":1,"priority_id":2,"assigned_to_id":23,"start_date":"2017-04-20","description":"","custom_fields":[{"id":1,"name":"Subdivision","value":"EC"},{"id":4,"name":"Milepost","value":"0.0163"},{"id":17,"name":"Train ID","value":"226-20"},{"id":16,"name":"Locomotive ID","value":"4027"},{"id":130,"name":"Impact","value":""},{"id":150,"name":"Time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8"/>
      <c r="AL140" s="48"/>
      <c r="AM140" s="150" t="str">
        <f t="shared" si="17"/>
        <v>start /low /b %USERPROFILE%\Documents\GitHub\eaglep3\Utilities\DownloadLogsFromS3.py --loco 4027 --day 2017-04-20</v>
      </c>
      <c r="AN140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3" t="s">
        <v>819</v>
      </c>
      <c r="B141" s="7">
        <v>4026</v>
      </c>
      <c r="C141" s="21" t="s">
        <v>213</v>
      </c>
      <c r="D141" s="21" t="s">
        <v>450</v>
      </c>
      <c r="E141" s="13">
        <v>42845.849062499998</v>
      </c>
      <c r="F141" s="13">
        <v>42845.854421296295</v>
      </c>
      <c r="G141" s="7">
        <v>1</v>
      </c>
      <c r="H141" s="21" t="s">
        <v>917</v>
      </c>
      <c r="I141" s="13">
        <v>42845.88076388889</v>
      </c>
      <c r="J141" s="7">
        <v>0</v>
      </c>
      <c r="K141" s="97" t="str">
        <f>IF(ISEVEN(B141),(B141-1)&amp;"/"&amp;B141,B141&amp;"/"&amp;(B141+1))</f>
        <v>4025/4026</v>
      </c>
      <c r="L141" s="21" t="str">
        <f>VLOOKUP(A141,'Trips&amp;Operators'!$C$1:$G$99999,5,FALSE)</f>
        <v>YANG JAN</v>
      </c>
      <c r="M141" s="6">
        <f>I141-F141</f>
        <v>2.6342592595028691E-2</v>
      </c>
      <c r="N141" s="7">
        <f>24*60*SUM($M141:$M141)</f>
        <v>37.933333336841315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-20T19:22:39-0600',mode:absolute,to:'2017-04-20T22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4.4200000000000003E-2</v>
      </c>
      <c r="Z141" s="62">
        <f>RIGHT(H141,LEN(H141)-4)/10000</f>
        <v>23.328700000000001</v>
      </c>
      <c r="AA141" s="62">
        <f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0227-20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/stypes="app*4026*20170421*"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15"/>
        <v>"%USERPROFILE%\Documents\GitHub\eaglep3\Utilities\RefineRTDCRunTimes.py" --tripid 227-20 --locoid 4026 --swversion DE.1.0.9.0 --startMP 204:442 --initTime 2017-04-20T20:22:39 --startdatetime 2017-04-20T20:30:22 --delay 1 --endMP 204:233287 --enddatetime 2017-04-20T21:08:18 --enforcementcount 0 &gt;&gt;C:\Users\stu\Documents\GitHub\eaglep3-reporting\EC\2017-04-20-refined-times.txt</v>
      </c>
      <c r="AI141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{"issue":{"subject":"","project_id":79,"tracker_id":40,"status_id":1,"priority_id":2,"assigned_to_id":23,"start_date":"2017-04-20","description":"","custom_fields":[{"id":1,"name":"Subdivision","value":"EC"},{"id":4,"name":"Milepost","value":"23.3287"},{"id":17,"name":"Train ID","value":"227-20"},{"id":16,"name":"Locomotive ID","value":"4026"},{"id":130,"name":"Impact","value":""},{"id":150,"name":"Time of Event (Mountain Time)","value":"21:08:18"},{"id":151,"name":"Denver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17"/>
        <v>start /low /b %USERPROFILE%\Documents\GitHub\eaglep3\Utilities\DownloadLogsFromS3.py --loco 4026 --day 2017-04-20</v>
      </c>
      <c r="AN141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827</v>
      </c>
      <c r="B142" s="7">
        <v>4025</v>
      </c>
      <c r="C142" s="21" t="s">
        <v>213</v>
      </c>
      <c r="D142" s="21" t="s">
        <v>525</v>
      </c>
      <c r="E142" s="13">
        <v>42845.88962962963</v>
      </c>
      <c r="F142" s="13">
        <v>42845.893680555557</v>
      </c>
      <c r="G142" s="7">
        <v>1</v>
      </c>
      <c r="H142" s="21" t="s">
        <v>197</v>
      </c>
      <c r="I142" s="13">
        <v>42845.920752314814</v>
      </c>
      <c r="J142" s="7">
        <v>0</v>
      </c>
      <c r="K142" s="97" t="str">
        <f>IF(ISEVEN(B142),(B142-1)&amp;"/"&amp;B142,B142&amp;"/"&amp;(B142+1))</f>
        <v>4025/4026</v>
      </c>
      <c r="L142" s="21" t="str">
        <f>VLOOKUP(A142,'Trips&amp;Operators'!$C$1:$G$99999,5,FALSE)</f>
        <v>YANG JAN</v>
      </c>
      <c r="M142" s="6">
        <f>I142-F142</f>
        <v>2.7071759257523809E-2</v>
      </c>
      <c r="N142" s="7">
        <f>24*60*SUM($M142:$M142)</f>
        <v>38.983333330834284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-20T20:21:04-0600',mode:absolute,to:'2017-04-20T23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23.2972</v>
      </c>
      <c r="Z142" s="62">
        <f>RIGHT(H142,LEN(H142)-4)/10000</f>
        <v>1.52E-2</v>
      </c>
      <c r="AA142" s="62">
        <f>ABS(Z142-Y142)</f>
        <v>23.282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0228-20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/stypes="app*4025*20170421*" /stext=" 04:.+((SYSTEM_STATE.+slice.+state.+changed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15"/>
        <v>"%USERPROFILE%\Documents\GitHub\eaglep3\Utilities\RefineRTDCRunTimes.py" --tripid 228-20 --locoid 4025 --swversion DE.1.0.9.0 --startMP 204:232972 --initTime 2017-04-20T21:21:04 --startdatetime 2017-04-20T21:26:54 --delay 1 --endMP 204:152 --enddatetime 2017-04-20T22:05:53 --enforcementcount 0 &gt;&gt;C:\Users\stu\Documents\GitHub\eaglep3-reporting\EC\2017-04-20-refined-times.txt</v>
      </c>
      <c r="AI142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{"issue":{"subject":"","project_id":79,"tracker_id":40,"status_id":1,"priority_id":2,"assigned_to_id":23,"start_date":"2017-04-20","description":"","custom_fields":[{"id":1,"name":"Subdivision","value":"EC"},{"id":4,"name":"Milepost","value":"0.0152"},{"id":17,"name":"Train ID","value":"228-20"},{"id":16,"name":"Locomotive ID","value":"4025"},{"id":130,"name":"Impact","value":""},{"id":150,"name":"Time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17"/>
        <v>start /low /b %USERPROFILE%\Documents\GitHub\eaglep3\Utilities\DownloadLogsFromS3.py --loco 4025 --day 2017-04-20</v>
      </c>
      <c r="AN142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821</v>
      </c>
      <c r="B143" s="7">
        <v>4008</v>
      </c>
      <c r="C143" s="21" t="s">
        <v>213</v>
      </c>
      <c r="D143" s="21" t="s">
        <v>404</v>
      </c>
      <c r="E143" s="13">
        <v>42845.863449074073</v>
      </c>
      <c r="F143" s="13">
        <v>42845.875196759262</v>
      </c>
      <c r="G143" s="7">
        <v>1</v>
      </c>
      <c r="H143" s="21" t="s">
        <v>922</v>
      </c>
      <c r="I143" s="13">
        <v>42845.900289351855</v>
      </c>
      <c r="J143" s="7">
        <v>0</v>
      </c>
      <c r="K143" s="97" t="str">
        <f>IF(ISEVEN(B143),(B143-1)&amp;"/"&amp;B143,B143&amp;"/"&amp;(B143+1))</f>
        <v>4007/4008</v>
      </c>
      <c r="L143" s="21" t="str">
        <f>VLOOKUP(A143,'Trips&amp;Operators'!$C$1:$G$99999,5,FALSE)</f>
        <v>MACDONALD THOMAS</v>
      </c>
      <c r="M143" s="6">
        <f>I143-F143</f>
        <v>2.5092592593864538E-2</v>
      </c>
      <c r="N143" s="7">
        <f>24*60*SUM($M143:$M143)</f>
        <v>36.133333335164934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-20T19:43:22-0600',mode:absolute,to:'2017-04-20T22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4.6199999999999998E-2</v>
      </c>
      <c r="Z143" s="62">
        <f>RIGHT(H143,LEN(H143)-4)/10000</f>
        <v>23.337599999999998</v>
      </c>
      <c r="AA143" s="62">
        <f>ABS(Z143-Y143)</f>
        <v>23.291399999999999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0229-20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/stypes="app*4008*20170421*" /stext=" 03:.+((SYSTEM_STATE.+slice.+state.+changed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si="15"/>
        <v>"%USERPROFILE%\Documents\GitHub\eaglep3\Utilities\RefineRTDCRunTimes.py" --tripid 229-20 --locoid 4008 --swversion DE.1.0.9.0 --startMP 204:462 --initTime 2017-04-20T20:43:22 --startdatetime 2017-04-20T21:00:17 --delay 1 --endMP 204:233376 --enddatetime 2017-04-20T21:36:25 --enforcementcount 0 &gt;&gt;C:\Users\stu\Documents\GitHub\eaglep3-reporting\EC\2017-04-20-refined-times.txt</v>
      </c>
      <c r="AI143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{"issue":{"subject":"","project_id":79,"tracker_id":40,"status_id":1,"priority_id":2,"assigned_to_id":23,"start_date":"2017-04-20","description":"","custom_fields":[{"id":1,"name":"Subdivision","value":"EC"},{"id":4,"name":"Milepost","value":"23.3376"},{"id":17,"name":"Train ID","value":"229-20"},{"id":16,"name":"Locomotive ID","value":"4008"},{"id":130,"name":"Impact","value":""},{"id":150,"name":"Time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17"/>
        <v>start /low /b %USERPROFILE%\Documents\GitHub\eaglep3\Utilities\DownloadLogsFromS3.py --loco 4008 --day 2017-04-20</v>
      </c>
      <c r="AN143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830</v>
      </c>
      <c r="B144" s="7">
        <v>4007</v>
      </c>
      <c r="C144" s="21" t="s">
        <v>213</v>
      </c>
      <c r="D144" s="21" t="s">
        <v>923</v>
      </c>
      <c r="E144" s="13">
        <v>42845.911747685182</v>
      </c>
      <c r="F144" s="13">
        <v>42845.9140625</v>
      </c>
      <c r="G144" s="7">
        <v>1</v>
      </c>
      <c r="H144" s="21" t="s">
        <v>210</v>
      </c>
      <c r="I144" s="13">
        <v>42845.940775462965</v>
      </c>
      <c r="J144" s="7">
        <v>0</v>
      </c>
      <c r="K144" s="97" t="str">
        <f>IF(ISEVEN(B144),(B144-1)&amp;"/"&amp;B144,B144&amp;"/"&amp;(B144+1))</f>
        <v>4007/4008</v>
      </c>
      <c r="L144" s="21" t="str">
        <f>VLOOKUP(A144,'Trips&amp;Operators'!$C$1:$G$99999,5,FALSE)</f>
        <v>MACDONALD THOMAS</v>
      </c>
      <c r="M144" s="6">
        <f>I144-F144</f>
        <v>2.6712962964666076E-2</v>
      </c>
      <c r="N144" s="7">
        <f>24*60*SUM($M144:$M144)</f>
        <v>38.466666669119149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-20T20:52:55-0600',mode:absolute,to:'2017-04-20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23.305099999999999</v>
      </c>
      <c r="Z144" s="62">
        <f>RIGHT(H144,LEN(H144)-4)/10000</f>
        <v>1.47E-2</v>
      </c>
      <c r="AA144" s="62">
        <f>ABS(Z144-Y144)</f>
        <v>23.290399999999998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0230-20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/stypes="app*4007*20170421*" /stext=" 04:.+((SYSTEM_STATE.+slice.+state.+changed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5"/>
        <v>"%USERPROFILE%\Documents\GitHub\eaglep3\Utilities\RefineRTDCRunTimes.py" --tripid 230-20 --locoid 4007 --swversion DE.1.0.9.0 --startMP 204:233051 --initTime 2017-04-20T21:52:55 --startdatetime 2017-04-20T21:56:15 --delay 1 --endMP 204:147 --enddatetime 2017-04-20T22:34:43 --enforcementcount 0 &gt;&gt;C:\Users\stu\Documents\GitHub\eaglep3-reporting\EC\2017-04-20-refined-times.txt</v>
      </c>
      <c r="AI144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{"issue":{"subject":"","project_id":79,"tracker_id":40,"status_id":1,"priority_id":2,"assigned_to_id":23,"start_date":"2017-04-20","description":"","custom_fields":[{"id":1,"name":"Subdivision","value":"EC"},{"id":4,"name":"Milepost","value":"0.0147"},{"id":17,"name":"Train ID","value":"230-20"},{"id":16,"name":"Locomotive ID","value":"4007"},{"id":130,"name":"Impact","value":""},{"id":150,"name":"Time of Event (Mountain Time)","value":"22:34:43"},{"id":151,"name":"Denver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7"/>
        <v>start /low /b %USERPROFILE%\Documents\GitHub\eaglep3\Utilities\DownloadLogsFromS3.py --loco 4007 --day 2017-04-20</v>
      </c>
      <c r="AN144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828</v>
      </c>
      <c r="B145" s="7">
        <v>4042</v>
      </c>
      <c r="C145" s="21" t="s">
        <v>213</v>
      </c>
      <c r="D145" s="21" t="s">
        <v>459</v>
      </c>
      <c r="E145" s="13">
        <v>42845.892002314817</v>
      </c>
      <c r="F145" s="13">
        <v>42845.895995370367</v>
      </c>
      <c r="G145" s="7">
        <v>1</v>
      </c>
      <c r="H145" s="21" t="s">
        <v>434</v>
      </c>
      <c r="I145" s="13">
        <v>42845.921215277776</v>
      </c>
      <c r="J145" s="7">
        <v>0</v>
      </c>
      <c r="K145" s="97" t="str">
        <f>IF(ISEVEN(B145),(B145-1)&amp;"/"&amp;B145,B145&amp;"/"&amp;(B145+1))</f>
        <v>4041/4042</v>
      </c>
      <c r="L145" s="21" t="str">
        <f>VLOOKUP(A145,'Trips&amp;Operators'!$C$1:$G$99999,5,FALSE)</f>
        <v>NEWELL JAMES</v>
      </c>
      <c r="M145" s="6">
        <f>I145-F145</f>
        <v>2.5219907409336884E-2</v>
      </c>
      <c r="N145" s="7">
        <f>24*60*SUM($M145:$M145)</f>
        <v>36.316666669445112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-20T20:24:29-0600',mode:absolute,to:'2017-04-20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4.6600000000000003E-2</v>
      </c>
      <c r="Z145" s="62">
        <f>RIGHT(H145,LEN(H145)-4)/10000</f>
        <v>23.3306</v>
      </c>
      <c r="AA145" s="62">
        <f>ABS(Z145-Y145)</f>
        <v>23.283999999999999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0231-20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/stypes="app*4042*20170421*"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5"/>
        <v>"%USERPROFILE%\Documents\GitHub\eaglep3\Utilities\RefineRTDCRunTimes.py" --tripid 231-20 --locoid 4042 --swversion DE.1.0.9.0 --startMP 204:466 --initTime 2017-04-20T21:24:29 --startdatetime 2017-04-20T21:30:14 --delay 1 --endMP 204:233306 --enddatetime 2017-04-20T22:06:33 --enforcementcount 0 &gt;&gt;C:\Users\stu\Documents\GitHub\eaglep3-reporting\EC\2017-04-20-refined-times.txt</v>
      </c>
      <c r="AI145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{"issue":{"subject":"","project_id":79,"tracker_id":40,"status_id":1,"priority_id":2,"assigned_to_id":23,"start_date":"2017-04-20","description":"","custom_fields":[{"id":1,"name":"Subdivision","value":"EC"},{"id":4,"name":"Milepost","value":"23.3306"},{"id":17,"name":"Train ID","value":"231-20"},{"id":16,"name":"Locomotive ID","value":"4042"},{"id":130,"name":"Impact","value":""},{"id":150,"name":"Time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7"/>
        <v>start /low /b %USERPROFILE%\Documents\GitHub\eaglep3\Utilities\DownloadLogsFromS3.py --loco 4042 --day 2017-04-20</v>
      </c>
      <c r="AN145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835</v>
      </c>
      <c r="B146" s="7">
        <v>4041</v>
      </c>
      <c r="C146" s="21" t="s">
        <v>213</v>
      </c>
      <c r="D146" s="21" t="s">
        <v>437</v>
      </c>
      <c r="E146" s="13">
        <v>42845.930648148147</v>
      </c>
      <c r="F146" s="13">
        <v>42845.935034722221</v>
      </c>
      <c r="G146" s="7">
        <v>1</v>
      </c>
      <c r="H146" s="21" t="s">
        <v>575</v>
      </c>
      <c r="I146" s="13">
        <v>42845.962037037039</v>
      </c>
      <c r="J146" s="7">
        <v>0</v>
      </c>
      <c r="K146" s="97" t="str">
        <f>IF(ISEVEN(B146),(B146-1)&amp;"/"&amp;B146,B146&amp;"/"&amp;(B146+1))</f>
        <v>4041/4042</v>
      </c>
      <c r="L146" s="21" t="str">
        <f>VLOOKUP(A146,'Trips&amp;Operators'!$C$1:$G$99999,5,FALSE)</f>
        <v>NEWELL JAMES</v>
      </c>
      <c r="M146" s="6">
        <f>I146-F146</f>
        <v>2.7002314818673767E-2</v>
      </c>
      <c r="N146" s="7">
        <f>24*60*SUM($M146:$M146)</f>
        <v>38.883333338890225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-20T21:20:08-0600',mode:absolute,to:'2017-04-21T00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23.3002</v>
      </c>
      <c r="Z146" s="62">
        <f>RIGHT(H146,LEN(H146)-4)/10000</f>
        <v>1.2699999999999999E-2</v>
      </c>
      <c r="AA146" s="62">
        <f>ABS(Z146-Y146)</f>
        <v>23.287500000000001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0232-20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/stypes="app*4041*20170421*" /stext=" 05:.+((SYSTEM_STATE.+slice.+state.+changed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5"/>
        <v>"%USERPROFILE%\Documents\GitHub\eaglep3\Utilities\RefineRTDCRunTimes.py" --tripid 232-20 --locoid 4041 --swversion DE.1.0.9.0 --startMP 204:233002 --initTime 2017-04-20T22:20:08 --startdatetime 2017-04-20T22:26:27 --delay 1 --endMP 204:127 --enddatetime 2017-04-20T23:05:20 --enforcementcount 0 &gt;&gt;C:\Users\stu\Documents\GitHub\eaglep3-reporting\EC\2017-04-20-refined-times.txt</v>
      </c>
      <c r="AI146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{"issue":{"subject":"","project_id":79,"tracker_id":40,"status_id":1,"priority_id":2,"assigned_to_id":23,"start_date":"2017-04-20","description":"","custom_fields":[{"id":1,"name":"Subdivision","value":"EC"},{"id":4,"name":"Milepost","value":"0.0127"},{"id":17,"name":"Train ID","value":"232-20"},{"id":16,"name":"Locomotive ID","value":"4041"},{"id":130,"name":"Impact","value":""},{"id":150,"name":"Time of Event (Mountain Time)","value":"23:05:20"},{"id":151,"name":"Denver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17"/>
        <v>start /low /b %USERPROFILE%\Documents\GitHub\eaglep3\Utilities\DownloadLogsFromS3.py --loco 4041 --day 2017-04-20</v>
      </c>
      <c r="AN146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831</v>
      </c>
      <c r="B147" s="7">
        <v>4028</v>
      </c>
      <c r="C147" s="21" t="s">
        <v>213</v>
      </c>
      <c r="D147" s="21" t="s">
        <v>204</v>
      </c>
      <c r="E147" s="13">
        <v>42845.911793981482</v>
      </c>
      <c r="F147" s="13">
        <v>42845.916875000003</v>
      </c>
      <c r="G147" s="7">
        <v>1</v>
      </c>
      <c r="H147" s="21" t="s">
        <v>478</v>
      </c>
      <c r="I147" s="13">
        <v>42845.942361111112</v>
      </c>
      <c r="J147" s="7">
        <v>0</v>
      </c>
      <c r="K147" s="97" t="str">
        <f>IF(ISEVEN(B147),(B147-1)&amp;"/"&amp;B147,B147&amp;"/"&amp;(B147+1))</f>
        <v>4027/4028</v>
      </c>
      <c r="L147" s="21" t="str">
        <f>VLOOKUP(A147,'Trips&amp;Operators'!$C$1:$G$99999,5,FALSE)</f>
        <v>BROWN JACOB</v>
      </c>
      <c r="M147" s="6">
        <f>I147-F147</f>
        <v>2.548611110978527E-2</v>
      </c>
      <c r="N147" s="7">
        <f>24*60*SUM($M147:$M147)</f>
        <v>36.699999998090789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-20T20:52:59-0600',mode:absolute,to:'2017-04-20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4.5699999999999998E-2</v>
      </c>
      <c r="Z147" s="62">
        <f>RIGHT(H147,LEN(H147)-4)/10000</f>
        <v>23.3323</v>
      </c>
      <c r="AA147" s="62">
        <f>ABS(Z147-Y147)</f>
        <v>23.2866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0233-20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/stypes="app*4028*20170421*" /stext=" 04:.+((SYSTEM_STATE.+slice.+state.+changed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5"/>
        <v>"%USERPROFILE%\Documents\GitHub\eaglep3\Utilities\RefineRTDCRunTimes.py" --tripid 233-20 --locoid 4028 --swversion DE.1.0.9.0 --startMP 204:457 --initTime 2017-04-20T21:52:59 --startdatetime 2017-04-20T22:00:18 --delay 1 --endMP 204:233323 --enddatetime 2017-04-20T22:37:00 --enforcementcount 0 &gt;&gt;C:\Users\stu\Documents\GitHub\eaglep3-reporting\EC\2017-04-20-refined-times.txt</v>
      </c>
      <c r="AI147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{"issue":{"subject":"","project_id":79,"tracker_id":40,"status_id":1,"priority_id":2,"assigned_to_id":23,"start_date":"2017-04-20","description":"","custom_fields":[{"id":1,"name":"Subdivision","value":"EC"},{"id":4,"name":"Milepost","value":"23.3323"},{"id":17,"name":"Train ID","value":"233-20"},{"id":16,"name":"Locomotive ID","value":"4028"},{"id":130,"name":"Impact","value":""},{"id":150,"name":"Time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7"/>
        <v>start /low /b %USERPROFILE%\Documents\GitHub\eaglep3\Utilities\DownloadLogsFromS3.py --loco 4028 --day 2017-04-20</v>
      </c>
      <c r="AN147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648</v>
      </c>
      <c r="B148" s="7">
        <v>4027</v>
      </c>
      <c r="C148" s="21" t="s">
        <v>213</v>
      </c>
      <c r="D148" s="21" t="s">
        <v>924</v>
      </c>
      <c r="E148" s="13">
        <v>42845.948854166665</v>
      </c>
      <c r="F148" s="13">
        <v>42845.955740740741</v>
      </c>
      <c r="G148" s="7">
        <v>1</v>
      </c>
      <c r="H148" s="21" t="s">
        <v>584</v>
      </c>
      <c r="I148" s="13">
        <v>42845.983576388891</v>
      </c>
      <c r="J148" s="7">
        <v>0</v>
      </c>
      <c r="K148" s="97" t="str">
        <f>IF(ISEVEN(B148),(B148-1)&amp;"/"&amp;B148,B148&amp;"/"&amp;(B148+1))</f>
        <v>4027/4028</v>
      </c>
      <c r="L148" s="21" t="str">
        <f>VLOOKUP(A148,'Trips&amp;Operators'!$C$1:$G$99999,5,FALSE)</f>
        <v>BROWN JACOB</v>
      </c>
      <c r="M148" s="6">
        <f>I148-F148</f>
        <v>2.7835648150357883E-2</v>
      </c>
      <c r="N148" s="7">
        <f>24*60*SUM($M148:$M148)</f>
        <v>40.083333336515352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23.299299999999999</v>
      </c>
      <c r="Z148" s="62">
        <f>RIGHT(H148,LEN(H148)-4)/10000</f>
        <v>1.72E-2</v>
      </c>
      <c r="AA148" s="62">
        <f>ABS(Z148-Y148)</f>
        <v>23.2821</v>
      </c>
      <c r="AB148" s="59" t="str">
        <f>VLOOKUP(A148,Enforcements!$C$7:$K$13,8,0)</f>
        <v>Bulletin (2)</v>
      </c>
      <c r="AC148" s="55" t="str">
        <f>VLOOKUP(A148,Enforcements!$C$7:$E$13,3,0)</f>
        <v>GRADE CROSSING</v>
      </c>
      <c r="AD148" s="56" t="str">
        <f>IF(LEN(A148)=6,"0"&amp;A148,A148)</f>
        <v>0234-20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/stypes="app*4027*20170421*" /stext=" 05:.+((SYSTEM_STATE.+slice.+state.+changed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5"/>
        <v>"%USERPROFILE%\Documents\GitHub\eaglep3\Utilities\RefineRTDCRunTimes.py" --tripid 234-20 --locoid 4027 --swversion DE.1.0.9.0 --startMP 204:232993 --initTime 2017-04-20T22:46:21 --startdatetime 2017-04-20T22:56:16 --delay 1 --endMP 204:172 --enddatetime 2017-04-20T23:36:21 --enforcementcount 0 &gt;&gt;C:\Users\stu\Documents\GitHub\eaglep3-reporting\EC\2017-04-20-refined-times.txt</v>
      </c>
      <c r="AI148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{"issue":{"subject":"","project_id":79,"tracker_id":40,"status_id":1,"priority_id":2,"assigned_to_id":23,"start_date":"2017-04-20","description":"","custom_fields":[{"id":1,"name":"Subdivision","value":"EC"},{"id":4,"name":"Milepost","value":"0.0172"},{"id":17,"name":"Train ID","value":"234-20"},{"id":16,"name":"Locomotive ID","value":"4027"},{"id":130,"name":"Impact","value":""},{"id":150,"name":"Time of Event (Mountain Time)","value":"23:36:21"},{"id":151,"name":"Denver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17"/>
        <v>start /low /b %USERPROFILE%\Documents\GitHub\eaglep3\Utilities\DownloadLogsFromS3.py --loco 4027 --day 2017-04-20</v>
      </c>
      <c r="AN148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834</v>
      </c>
      <c r="B149" s="7">
        <v>4026</v>
      </c>
      <c r="C149" s="21" t="s">
        <v>213</v>
      </c>
      <c r="D149" s="21" t="s">
        <v>404</v>
      </c>
      <c r="E149" s="13">
        <v>42845.928877314815</v>
      </c>
      <c r="F149" s="13">
        <v>42845.937754629631</v>
      </c>
      <c r="G149" s="7">
        <v>1</v>
      </c>
      <c r="H149" s="21" t="s">
        <v>925</v>
      </c>
      <c r="I149" s="13">
        <v>42845.963587962964</v>
      </c>
      <c r="J149" s="7">
        <v>0</v>
      </c>
      <c r="K149" s="97" t="str">
        <f>IF(ISEVEN(B149),(B149-1)&amp;"/"&amp;B149,B149&amp;"/"&amp;(B149+1))</f>
        <v>4025/4026</v>
      </c>
      <c r="L149" s="21" t="str">
        <f>VLOOKUP(A149,'Trips&amp;Operators'!$C$1:$G$99999,5,FALSE)</f>
        <v>YANG JAN</v>
      </c>
      <c r="M149" s="6">
        <f>I149-F149</f>
        <v>2.5833333333139308E-2</v>
      </c>
      <c r="N149" s="7">
        <f>24*60*SUM($M149:$M149)</f>
        <v>37.199999999720603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-20T21:17:35-0600',mode:absolute,to:'2017-04-21T00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4.6199999999999998E-2</v>
      </c>
      <c r="Z149" s="62">
        <f>RIGHT(H149,LEN(H149)-4)/10000</f>
        <v>23.337399999999999</v>
      </c>
      <c r="AA149" s="62">
        <f>ABS(Z149-Y149)</f>
        <v>23.2912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0235-20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s3://rtdc.mdm.uploadarchive.raw/RTDC4026/ "%USERPROFILE%\AppData\Local\Temp\OnboardLogs"\RTDC4026\2017-04-20 --exclude "*" --recursive --include "*20170420*" &amp; "%USERPROFILE%\Documents\GitHub\mrs-test-scripts\Headless Mode &amp; Sideloading\WalkAndUnGZ.bat" "%USERPROFILE%\AppData\Local\Temp\OnboardLogs"\RTDC4026\2017-04-20 &amp; 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/stypes="app*4026*20170421*"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5"/>
        <v>"%USERPROFILE%\Documents\GitHub\eaglep3\Utilities\RefineRTDCRunTimes.py" --tripid 235-20 --locoid 4026 --swversion DE.1.0.9.0 --startMP 204:462 --initTime 2017-04-20T22:17:35 --startdatetime 2017-04-20T22:30:22 --delay 1 --endMP 204:233374 --enddatetime 2017-04-20T23:07:34 --enforcementcount 0 &gt;&gt;C:\Users\stu\Documents\GitHub\eaglep3-reporting\EC\2017-04-20-refined-times.txt</v>
      </c>
      <c r="AI149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{"issue":{"subject":"","project_id":79,"tracker_id":40,"status_id":1,"priority_id":2,"assigned_to_id":23,"start_date":"2017-04-20","description":"","custom_fields":[{"id":1,"name":"Subdivision","value":"EC"},{"id":4,"name":"Milepost","value":"23.3374"},{"id":17,"name":"Train ID","value":"235-20"},{"id":16,"name":"Locomotive ID","value":"4026"},{"id":130,"name":"Impact","value":""},{"id":150,"name":"Time of Event (Mountain Time)","value":"23:07:34"},{"id":151,"name":"Denver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17"/>
        <v>start /low /b %USERPROFILE%\Documents\GitHub\eaglep3\Utilities\DownloadLogsFromS3.py --loco 4026 --day 2017-04-20</v>
      </c>
      <c r="AN149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840</v>
      </c>
      <c r="B150" s="7">
        <v>4025</v>
      </c>
      <c r="C150" s="21" t="s">
        <v>213</v>
      </c>
      <c r="D150" s="21" t="s">
        <v>446</v>
      </c>
      <c r="E150" s="13">
        <v>42845.97515046296</v>
      </c>
      <c r="F150" s="13">
        <v>42845.977060185185</v>
      </c>
      <c r="G150" s="7">
        <v>1</v>
      </c>
      <c r="H150" s="21" t="s">
        <v>447</v>
      </c>
      <c r="I150" s="13">
        <v>42846.006331018521</v>
      </c>
      <c r="J150" s="7">
        <v>0</v>
      </c>
      <c r="K150" s="97" t="str">
        <f>IF(ISEVEN(B150),(B150-1)&amp;"/"&amp;B150,B150&amp;"/"&amp;(B150+1))</f>
        <v>4025/4026</v>
      </c>
      <c r="L150" s="21" t="str">
        <f>VLOOKUP(A150,'Trips&amp;Operators'!$C$1:$G$99999,5,FALSE)</f>
        <v>YANG JAN</v>
      </c>
      <c r="M150" s="6">
        <f>I150-F150</f>
        <v>2.9270833336340729E-2</v>
      </c>
      <c r="N150" s="7">
        <f>24*60*SUM($M150:$M150)</f>
        <v>42.15000000433065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-20T22:24:13-0600',mode:absolute,to:'2017-04-21T01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83" t="str">
        <f>IF(AA150&lt;IF(AG150="EC",23,5.65),"Y","N")</f>
        <v>N</v>
      </c>
      <c r="X150" s="183">
        <f>VALUE(LEFT(AD150,4))-VALUE(LEFT(AD149,4))</f>
        <v>1</v>
      </c>
      <c r="Y150" s="62">
        <f>RIGHT(D150,LEN(D150)-4)/10000</f>
        <v>23.299800000000001</v>
      </c>
      <c r="Z150" s="62">
        <f>RIGHT(H150,LEN(H150)-4)/10000</f>
        <v>1.43E-2</v>
      </c>
      <c r="AA150" s="62">
        <f>ABS(Z150-Y150)</f>
        <v>23.285500000000003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0236-20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/stypes="app*4025*20170421*" /stext=" 06:.+((SYSTEM_STATE.+slice.+state.+changed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5"/>
        <v>"%USERPROFILE%\Documents\GitHub\eaglep3\Utilities\RefineRTDCRunTimes.py" --tripid 236-20 --locoid 4025 --swversion DE.1.0.9.0 --startMP 204:232998 --initTime 2017-04-20T23:24:13 --startdatetime 2017-04-20T23:26:58 --delay 1 --endMP 204:143 --enddatetime 2017-04-21T00:09:07 --enforcementcount 0 &gt;&gt;C:\Users\stu\Documents\GitHub\eaglep3-reporting\EC\2017-04-20-refined-times.txt</v>
      </c>
      <c r="AI150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{"issue":{"subject":"","project_id":79,"tracker_id":40,"status_id":1,"priority_id":2,"assigned_to_id":23,"start_date":"2017-04-21","description":"","custom_fields":[{"id":1,"name":"Subdivision","value":"EC"},{"id":4,"name":"Milepost","value":"0.0143"},{"id":17,"name":"Train ID","value":"236-20"},{"id":16,"name":"Locomotive ID","value":"4025"},{"id":130,"name":"Impact","value":""},{"id":150,"name":"Time of Event (Mountain Time)","value":"00:09:07"},{"id":151,"name":"Denver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17"/>
        <v>start /low /b %USERPROFILE%\Documents\GitHub\eaglep3\Utilities\DownloadLogsFromS3.py --loco 4025 --day 2017-04-20</v>
      </c>
      <c r="AN150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837</v>
      </c>
      <c r="B151" s="7">
        <v>4008</v>
      </c>
      <c r="C151" s="21" t="s">
        <v>213</v>
      </c>
      <c r="D151" s="21" t="s">
        <v>878</v>
      </c>
      <c r="E151" s="13">
        <v>42845.946747685186</v>
      </c>
      <c r="F151" s="13">
        <v>42845.958715277775</v>
      </c>
      <c r="G151" s="7">
        <v>1</v>
      </c>
      <c r="H151" s="21" t="s">
        <v>599</v>
      </c>
      <c r="I151" s="13">
        <v>42845.98337962963</v>
      </c>
      <c r="J151" s="7">
        <v>0</v>
      </c>
      <c r="K151" s="97" t="str">
        <f>IF(ISEVEN(B151),(B151-1)&amp;"/"&amp;B151,B151&amp;"/"&amp;(B151+1))</f>
        <v>4007/4008</v>
      </c>
      <c r="L151" s="21" t="str">
        <f>VLOOKUP(A151,'Trips&amp;Operators'!$C$1:$G$99999,5,FALSE)</f>
        <v>MACDONALD THOMAS</v>
      </c>
      <c r="M151" s="6">
        <f>I151-F151</f>
        <v>2.4664351854880806E-2</v>
      </c>
      <c r="N151" s="7">
        <f>24*60*SUM($M151:$M151)</f>
        <v>35.516666671028361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-20T21:43:19-0600',mode:absolute,to:'2017-04-21T00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83" t="str">
        <f>IF(AA151&lt;IF(AG151="EC",23,5.65),"Y","N")</f>
        <v>N</v>
      </c>
      <c r="X151" s="183">
        <f>VALUE(LEFT(AD151,4))-VALUE(LEFT(AD150,4))</f>
        <v>1</v>
      </c>
      <c r="Y151" s="62">
        <f>RIGHT(D151,LEN(D151)-4)/10000</f>
        <v>4.6399999999999997E-2</v>
      </c>
      <c r="Z151" s="62">
        <f>RIGHT(H151,LEN(H151)-4)/10000</f>
        <v>23.334700000000002</v>
      </c>
      <c r="AA151" s="62">
        <f>ABS(Z151-Y151)</f>
        <v>23.288300000000003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0237-20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/stypes="app*4008*20170421*" /stext=" 05:.+((SYSTEM_STATE.+slice.+state.+changed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5"/>
        <v>"%USERPROFILE%\Documents\GitHub\eaglep3\Utilities\RefineRTDCRunTimes.py" --tripid 237-20 --locoid 4008 --swversion DE.1.0.9.0 --startMP 204:464 --initTime 2017-04-20T22:43:19 --startdatetime 2017-04-20T23:00:33 --delay 1 --endMP 204:233347 --enddatetime 2017-04-20T23:36:04 --enforcementcount 0 &gt;&gt;C:\Users\stu\Documents\GitHub\eaglep3-reporting\EC\2017-04-20-refined-times.txt</v>
      </c>
      <c r="AI151" s="104" t="str">
        <f t="shared" si="16"/>
        <v>echo {"issue":{"subject":"","project_id":79,"tracker_id":40,"status_id":1,"priority_id":2,"assigned_to_id":23,"start_date":"2017-04-20","description":"","custom_fields":[{"id":1,"name":"Subdivision","value":"EC"},{"id":4,"name":"Milepost","value":"23.3347"},{"id":17,"name":"Train ID","value":"237-20"},{"id":16,"name":"Locomotive ID","value":"4008"},{"id":130,"name":"Impact","value":""},{"id":150,"name":"Time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17"/>
        <v>start /low /b %USERPROFILE%\Documents\GitHub\eaglep3\Utilities\DownloadLogsFromS3.py --loco 4008 --day 2017-04-20</v>
      </c>
      <c r="AN151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842</v>
      </c>
      <c r="B152" s="7">
        <v>4007</v>
      </c>
      <c r="C152" s="21" t="s">
        <v>213</v>
      </c>
      <c r="D152" s="21" t="s">
        <v>926</v>
      </c>
      <c r="E152" s="13">
        <v>42845.995300925926</v>
      </c>
      <c r="F152" s="13">
        <v>42845.997453703705</v>
      </c>
      <c r="G152" s="7">
        <v>1</v>
      </c>
      <c r="H152" s="21" t="s">
        <v>445</v>
      </c>
      <c r="I152" s="13">
        <v>42846.026516203703</v>
      </c>
      <c r="J152" s="7">
        <v>0</v>
      </c>
      <c r="K152" s="97" t="str">
        <f>IF(ISEVEN(B152),(B152-1)&amp;"/"&amp;B152,B152&amp;"/"&amp;(B152+1))</f>
        <v>4007/4008</v>
      </c>
      <c r="L152" s="21" t="str">
        <f>VLOOKUP(A152,'Trips&amp;Operators'!$C$1:$G$99999,5,FALSE)</f>
        <v>MACDONALD THOMAS</v>
      </c>
      <c r="M152" s="6">
        <f>I152-F152</f>
        <v>2.9062499997962732E-2</v>
      </c>
      <c r="N152" s="7">
        <f>24*60*SUM($M152:$M152)</f>
        <v>41.849999997066334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-20T22:53:14-0600',mode:absolute,to:'2017-04-21T01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83" t="str">
        <f>IF(AA152&lt;IF(AG152="EC",23,5.65),"Y","N")</f>
        <v>N</v>
      </c>
      <c r="X152" s="183">
        <f>VALUE(LEFT(AD152,4))-VALUE(LEFT(AD151,4))</f>
        <v>1</v>
      </c>
      <c r="Y152" s="62">
        <f>RIGHT(D152,LEN(D152)-4)/10000</f>
        <v>23.302700000000002</v>
      </c>
      <c r="Z152" s="62">
        <f>RIGHT(H152,LEN(H152)-4)/10000</f>
        <v>1.49E-2</v>
      </c>
      <c r="AA152" s="62">
        <f>ABS(Z152-Y152)</f>
        <v>23.287800000000001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0238-20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/stypes="app*4007*20170421*" /stext=" 06:.+((SYSTEM_STATE.+slice.+state.+changed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5"/>
        <v>"%USERPROFILE%\Documents\GitHub\eaglep3\Utilities\RefineRTDCRunTimes.py" --tripid 238-20 --locoid 4007 --swversion DE.1.0.9.0 --startMP 204:233027 --initTime 2017-04-20T23:53:14 --startdatetime 2017-04-20T23:56:20 --delay 1 --endMP 204:149 --enddatetime 2017-04-21T00:38:11 --enforcementcount 0 &gt;&gt;C:\Users\stu\Documents\GitHub\eaglep3-reporting\EC\2017-04-20-refined-times.txt</v>
      </c>
      <c r="AI152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{"issue":{"subject":"","project_id":79,"tracker_id":40,"status_id":1,"priority_id":2,"assigned_to_id":23,"start_date":"2017-04-21","description":"","custom_fields":[{"id":1,"name":"Subdivision","value":"EC"},{"id":4,"name":"Milepost","value":"0.0149"},{"id":17,"name":"Train ID","value":"238-20"},{"id":16,"name":"Locomotive ID","value":"4007"},{"id":130,"name":"Impact","value":""},{"id":150,"name":"Time of Event (Mountain Time)","value":"00:38:11"},{"id":151,"name":"Denver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17"/>
        <v>start /low /b %USERPROFILE%\Documents\GitHub\eaglep3\Utilities\DownloadLogsFromS3.py --loco 4007 --day 2017-04-20</v>
      </c>
      <c r="AN152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838</v>
      </c>
      <c r="B153" s="7">
        <v>4042</v>
      </c>
      <c r="C153" s="21" t="s">
        <v>213</v>
      </c>
      <c r="D153" s="21" t="s">
        <v>404</v>
      </c>
      <c r="E153" s="13">
        <v>42845.964988425927</v>
      </c>
      <c r="F153" s="13">
        <v>42845.979351851849</v>
      </c>
      <c r="G153" s="7">
        <v>1</v>
      </c>
      <c r="H153" s="21" t="s">
        <v>927</v>
      </c>
      <c r="I153" s="13">
        <v>42846.004386574074</v>
      </c>
      <c r="J153" s="7">
        <v>0</v>
      </c>
      <c r="K153" s="97" t="str">
        <f>IF(ISEVEN(B153),(B153-1)&amp;"/"&amp;B153,B153&amp;"/"&amp;(B153+1))</f>
        <v>4041/4042</v>
      </c>
      <c r="L153" s="21" t="str">
        <f>VLOOKUP(A153,'Trips&amp;Operators'!$C$1:$G$99999,5,FALSE)</f>
        <v>NEWELL JAMES</v>
      </c>
      <c r="M153" s="6">
        <f>I153-F153</f>
        <v>2.5034722224518191E-2</v>
      </c>
      <c r="N153" s="7">
        <f>24*60*SUM($M153:$M153)</f>
        <v>36.050000003306195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-20T22:09:35-0600',mode:absolute,to:'2017-04-21T01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83" t="str">
        <f>IF(AA153&lt;IF(AG153="EC",23,5.65),"Y","N")</f>
        <v>N</v>
      </c>
      <c r="X153" s="183">
        <f>VALUE(LEFT(AD153,4))-VALUE(LEFT(AD152,4))</f>
        <v>1</v>
      </c>
      <c r="Y153" s="62">
        <f>RIGHT(D153,LEN(D153)-4)/10000</f>
        <v>4.6199999999999998E-2</v>
      </c>
      <c r="Z153" s="62">
        <f>RIGHT(H153,LEN(H153)-4)/10000</f>
        <v>23.3307</v>
      </c>
      <c r="AA153" s="62">
        <f>ABS(Z153-Y153)</f>
        <v>23.284500000000001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0239-20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/stypes="app*4042*20170421*"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si="15"/>
        <v>"%USERPROFILE%\Documents\GitHub\eaglep3\Utilities\RefineRTDCRunTimes.py" --tripid 239-20 --locoid 4042 --swversion DE.1.0.9.0 --startMP 204:462 --initTime 2017-04-20T23:09:35 --startdatetime 2017-04-20T23:30:16 --delay 1 --endMP 204:233307 --enddatetime 2017-04-21T00:06:19 --enforcementcount 0 &gt;&gt;C:\Users\stu\Documents\GitHub\eaglep3-reporting\EC\2017-04-20-refined-times.txt</v>
      </c>
      <c r="AI153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{"issue":{"subject":"","project_id":79,"tracker_id":40,"status_id":1,"priority_id":2,"assigned_to_id":23,"start_date":"2017-04-21","description":"","custom_fields":[{"id":1,"name":"Subdivision","value":"EC"},{"id":4,"name":"Milepost","value":"23.3307"},{"id":17,"name":"Train ID","value":"239-20"},{"id":16,"name":"Locomotive ID","value":"4042"},{"id":130,"name":"Impact","value":""},{"id":150,"name":"Time of Event (Mountain Time)","value":"00:06:19"},{"id":151,"name":"Denver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17"/>
        <v>start /low /b %USERPROFILE%\Documents\GitHub\eaglep3\Utilities\DownloadLogsFromS3.py --loco 4042 --day 2017-04-20</v>
      </c>
      <c r="AN153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843</v>
      </c>
      <c r="B154" s="7">
        <v>4041</v>
      </c>
      <c r="C154" s="21" t="s">
        <v>213</v>
      </c>
      <c r="D154" s="21" t="s">
        <v>573</v>
      </c>
      <c r="E154" s="13">
        <v>42846.014618055553</v>
      </c>
      <c r="F154" s="13">
        <v>42846.018206018518</v>
      </c>
      <c r="G154" s="7">
        <v>1</v>
      </c>
      <c r="H154" s="21" t="s">
        <v>398</v>
      </c>
      <c r="I154" s="13">
        <v>42846.047546296293</v>
      </c>
      <c r="J154" s="7">
        <v>0</v>
      </c>
      <c r="K154" s="97" t="str">
        <f>IF(ISEVEN(B154),(B154-1)&amp;"/"&amp;B154,B154&amp;"/"&amp;(B154+1))</f>
        <v>4041/4042</v>
      </c>
      <c r="L154" s="21" t="str">
        <f>VLOOKUP(A154,'Trips&amp;Operators'!$C$1:$G$99999,5,FALSE)</f>
        <v>NEWELL JAMES</v>
      </c>
      <c r="M154" s="6">
        <f>I154-F154</f>
        <v>2.9340277775190771E-2</v>
      </c>
      <c r="N154" s="7">
        <f>24*60*SUM($M154:$M154)</f>
        <v>42.24999999627471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-20T23:21:03-0600',mode:absolute,to:'2017-04-21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83" t="str">
        <f>IF(AA154&lt;IF(AG154="EC",23,5.65),"Y","N")</f>
        <v>N</v>
      </c>
      <c r="X154" s="183">
        <f>VALUE(LEFT(AD154,4))-VALUE(LEFT(AD153,4))</f>
        <v>1</v>
      </c>
      <c r="Y154" s="62">
        <f>RIGHT(D154,LEN(D154)-4)/10000</f>
        <v>23.298200000000001</v>
      </c>
      <c r="Z154" s="62">
        <f>RIGHT(H154,LEN(H154)-4)/10000</f>
        <v>1.38E-2</v>
      </c>
      <c r="AA154" s="62">
        <f>ABS(Z154-Y154)</f>
        <v>23.284400000000002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0240-20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 &amp; aws s3 cp s3://rtdc.mdm.uploadarchive.raw/RTDC4041/ "%USERPROFILE%\AppData\Local\Temp\OnboardLogs"\RTDC4041\2017-04-22 --exclude "*" --recursive --include "*20170422*" &amp; "%USERPROFILE%\Documents\GitHub\mrs-test-scripts\Headless Mode &amp; Sideloading\WalkAndUnGZ.bat" "%USERPROFILE%\AppData\Local\Temp\OnboardLogs"\RTDC4041\2017-04-22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/stypes="app*4041*20170421*" /stext=" 07:.+((SYSTEM_STATE.+slice.+state.+changed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5"/>
        <v>"%USERPROFILE%\Documents\GitHub\eaglep3\Utilities\RefineRTDCRunTimes.py" --tripid 240-20 --locoid 4041 --swversion DE.1.0.9.0 --startMP 204:232982 --initTime 2017-04-21T00:21:03 --startdatetime 2017-04-21T00:26:13 --delay 1 --endMP 204:138 --enddatetime 2017-04-21T01:08:28 --enforcementcount 0 &gt;&gt;C:\Users\stu\Documents\GitHub\eaglep3-reporting\EC\2017-04-20-refined-times.txt</v>
      </c>
      <c r="AI154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{"issue":{"subject":"","project_id":79,"tracker_id":40,"status_id":1,"priority_id":2,"assigned_to_id":23,"start_date":"2017-04-21","description":"","custom_fields":[{"id":1,"name":"Subdivision","value":"EC"},{"id":4,"name":"Milepost","value":"0.0138"},{"id":17,"name":"Train ID","value":"240-20"},{"id":16,"name":"Locomotive ID","value":"4041"},{"id":130,"name":"Impact","value":""},{"id":150,"name":"Time of Event (Mountain Time)","value":"01:08:28"},{"id":151,"name":"Denver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7"/>
        <v>start /low /b %USERPROFILE%\Documents\GitHub\eaglep3\Utilities\DownloadLogsFromS3.py --loco 4041 --day 2017-04-21</v>
      </c>
      <c r="AN154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3" t="s">
        <v>841</v>
      </c>
      <c r="B155" s="7">
        <v>4028</v>
      </c>
      <c r="C155" s="21" t="s">
        <v>213</v>
      </c>
      <c r="D155" s="21" t="s">
        <v>892</v>
      </c>
      <c r="E155" s="13">
        <v>42845.992719907408</v>
      </c>
      <c r="F155" s="13">
        <v>42846.000173611108</v>
      </c>
      <c r="G155" s="7">
        <v>1</v>
      </c>
      <c r="H155" s="21" t="s">
        <v>875</v>
      </c>
      <c r="I155" s="13">
        <v>42846.027627314812</v>
      </c>
      <c r="J155" s="7">
        <v>0</v>
      </c>
      <c r="K155" s="97" t="str">
        <f>IF(ISEVEN(B155),(B155-1)&amp;"/"&amp;B155,B155&amp;"/"&amp;(B155+1))</f>
        <v>4027/4028</v>
      </c>
      <c r="L155" s="21" t="str">
        <f>VLOOKUP(A155,'Trips&amp;Operators'!$C$1:$G$99999,5,FALSE)</f>
        <v>BROWN JACOB</v>
      </c>
      <c r="M155" s="6">
        <f>I155-F155</f>
        <v>2.7453703703940846E-2</v>
      </c>
      <c r="N155" s="7">
        <f>24*60*SUM($M155:$M155)</f>
        <v>39.533333333674818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-20T22:49:31-0600',mode:absolute,to:'2017-04-21T01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3" t="str">
        <f>IF(AA155&lt;IF(AG155="EC",23,5.65),"Y","N")</f>
        <v>N</v>
      </c>
      <c r="X155" s="183">
        <f>VALUE(LEFT(AD155,4))-VALUE(LEFT(AD154,4))</f>
        <v>1</v>
      </c>
      <c r="Y155" s="62">
        <f>RIGHT(D155,LEN(D155)-4)/10000</f>
        <v>4.8000000000000001E-2</v>
      </c>
      <c r="Z155" s="62">
        <f>RIGHT(H155,LEN(H155)-4)/10000</f>
        <v>23.328900000000001</v>
      </c>
      <c r="AA155" s="62">
        <f>ABS(Z155-Y155)</f>
        <v>23.280900000000003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0241-20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/stypes="app*4028*20170421*" /stext=" 06:.+((SYSTEM_STATE.+slice.+state.+changed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5"/>
        <v>"%USERPROFILE%\Documents\GitHub\eaglep3\Utilities\RefineRTDCRunTimes.py" --tripid 241-20 --locoid 4028 --swversion DE.1.0.9.0 --startMP 204:480 --initTime 2017-04-20T23:49:31 --startdatetime 2017-04-21T00:00:15 --delay 1 --endMP 204:233289 --enddatetime 2017-04-21T00:39:47 --enforcementcount 0 &gt;&gt;C:\Users\stu\Documents\GitHub\eaglep3-reporting\EC\2017-04-20-refined-times.txt</v>
      </c>
      <c r="AI155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{"issue":{"subject":"","project_id":79,"tracker_id":40,"status_id":1,"priority_id":2,"assigned_to_id":23,"start_date":"2017-04-21","description":"","custom_fields":[{"id":1,"name":"Subdivision","value":"EC"},{"id":4,"name":"Milepost","value":"23.3289"},{"id":17,"name":"Train ID","value":"241-20"},{"id":16,"name":"Locomotive ID","value":"4028"},{"id":130,"name":"Impact","value":""},{"id":150,"name":"Time of Event (Mountain Time)","value":"00:39:47"},{"id":151,"name":"Denver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17"/>
        <v>start /low /b %USERPROFILE%\Documents\GitHub\eaglep3\Utilities\DownloadLogsFromS3.py --loco 4028 --day 2017-04-21</v>
      </c>
      <c r="AN155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06:39:47"},{"id":29,"name":"Sharepoint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846</v>
      </c>
      <c r="B156" s="7">
        <v>4027</v>
      </c>
      <c r="C156" s="21" t="s">
        <v>213</v>
      </c>
      <c r="D156" s="21" t="s">
        <v>523</v>
      </c>
      <c r="E156" s="13">
        <v>42846.038460648146</v>
      </c>
      <c r="F156" s="13">
        <v>42846.039641203701</v>
      </c>
      <c r="G156" s="7">
        <v>1</v>
      </c>
      <c r="H156" s="21" t="s">
        <v>198</v>
      </c>
      <c r="I156" s="13">
        <v>42846.070289351854</v>
      </c>
      <c r="J156" s="7">
        <v>0</v>
      </c>
      <c r="K156" s="97" t="str">
        <f>IF(ISEVEN(B156),(B156-1)&amp;"/"&amp;B156,B156&amp;"/"&amp;(B156+1))</f>
        <v>4027/4028</v>
      </c>
      <c r="L156" s="21" t="str">
        <f>VLOOKUP(A156,'Trips&amp;Operators'!$C$1:$G$99999,5,FALSE)</f>
        <v>BROWN JACOB</v>
      </c>
      <c r="M156" s="6">
        <f>I156-F156</f>
        <v>3.0648148152977228E-2</v>
      </c>
      <c r="N156" s="7">
        <f>24*60*SUM($M156:$M156)</f>
        <v>44.133333340287209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-20T23:55:23-0600',mode:absolute,to:'2017-04-21T02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83" t="str">
        <f>IF(AA156&lt;IF(AG156="EC",23,5.65),"Y","N")</f>
        <v>N</v>
      </c>
      <c r="X156" s="183">
        <f>VALUE(LEFT(AD156,4))-VALUE(LEFT(AD155,4))</f>
        <v>1</v>
      </c>
      <c r="Y156" s="62">
        <f>RIGHT(D156,LEN(D156)-4)/10000</f>
        <v>23.2971</v>
      </c>
      <c r="Z156" s="62">
        <f>RIGHT(H156,LEN(H156)-4)/10000</f>
        <v>1.5800000000000002E-2</v>
      </c>
      <c r="AA156" s="62">
        <f>ABS(Z156-Y156)</f>
        <v>23.281300000000002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0242-20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 &amp; aws s3 cp s3://rtdc.mdm.uploadarchive.raw/RTDC4027/ "%USERPROFILE%\AppData\Local\Temp\OnboardLogs"\RTDC4027\2017-04-22 --exclude "*" --recursive --include "*20170422*" &amp; "%USERPROFILE%\Documents\GitHub\mrs-test-scripts\Headless Mode &amp; Sideloading\WalkAndUnGZ.bat" "%USERPROFILE%\AppData\Local\Temp\OnboardLogs"\RTDC4027\2017-04-22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/stypes="app*4027*20170421*" /stext=" 07:.+((SYSTEM_STATE.+slice.+state.+changed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5"/>
        <v>"%USERPROFILE%\Documents\GitHub\eaglep3\Utilities\RefineRTDCRunTimes.py" --tripid 242-20 --locoid 4027 --swversion DE.1.0.9.0 --startMP 204:232971 --initTime 2017-04-21T00:55:23 --startdatetime 2017-04-21T00:57:05 --delay 1 --endMP 204:158 --enddatetime 2017-04-21T01:41:13 --enforcementcount 0 &gt;&gt;C:\Users\stu\Documents\GitHub\eaglep3-reporting\EC\2017-04-20-refined-times.txt</v>
      </c>
      <c r="AI156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{"issue":{"subject":"","project_id":79,"tracker_id":40,"status_id":1,"priority_id":2,"assigned_to_id":23,"start_date":"2017-04-21","description":"","custom_fields":[{"id":1,"name":"Subdivision","value":"EC"},{"id":4,"name":"Milepost","value":"0.0158"},{"id":17,"name":"Train ID","value":"242-20"},{"id":16,"name":"Locomotive ID","value":"4027"},{"id":130,"name":"Impact","value":""},{"id":150,"name":"Time of Event (Mountain Time)","value":"01:41:13"},{"id":151,"name":"Denver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7"/>
        <v>start /low /b %USERPROFILE%\Documents\GitHub\eaglep3\Utilities\DownloadLogsFromS3.py --loco 4027 --day 2017-04-21</v>
      </c>
      <c r="AN156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3" t="s">
        <v>844</v>
      </c>
      <c r="B157" s="7">
        <v>4026</v>
      </c>
      <c r="C157" s="21" t="s">
        <v>213</v>
      </c>
      <c r="D157" s="21" t="s">
        <v>209</v>
      </c>
      <c r="E157" s="13">
        <v>42846.015659722223</v>
      </c>
      <c r="F157" s="13">
        <v>42846.02103009259</v>
      </c>
      <c r="G157" s="7">
        <v>1</v>
      </c>
      <c r="H157" s="21" t="s">
        <v>522</v>
      </c>
      <c r="I157" s="13">
        <v>42846.048043981478</v>
      </c>
      <c r="J157" s="7">
        <v>0</v>
      </c>
      <c r="K157" s="97" t="str">
        <f>IF(ISEVEN(B157),(B157-1)&amp;"/"&amp;B157,B157&amp;"/"&amp;(B157+1))</f>
        <v>4025/4026</v>
      </c>
      <c r="L157" s="21" t="str">
        <f>VLOOKUP(A157,'Trips&amp;Operators'!$C$1:$G$99999,5,FALSE)</f>
        <v>YANG JAN</v>
      </c>
      <c r="M157" s="6">
        <f>I157-F157</f>
        <v>2.7013888888177462E-2</v>
      </c>
      <c r="N157" s="7">
        <f>24*60*SUM($M157:$M157)</f>
        <v>38.899999998975545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-20T23:22:33-0600',mode:absolute,to:'2017-04-21T02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3" t="str">
        <f>IF(AA157&lt;IF(AG157="EC",23,5.65),"Y","N")</f>
        <v>N</v>
      </c>
      <c r="X157" s="183">
        <f>VALUE(LEFT(AD157,4))-VALUE(LEFT(AD156,4))</f>
        <v>1</v>
      </c>
      <c r="Y157" s="62">
        <f>RIGHT(D157,LEN(D157)-4)/10000</f>
        <v>4.5499999999999999E-2</v>
      </c>
      <c r="Z157" s="62">
        <f>RIGHT(H157,LEN(H157)-4)/10000</f>
        <v>23.328600000000002</v>
      </c>
      <c r="AA157" s="62">
        <f>ABS(Z157-Y157)</f>
        <v>23.283100000000001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0243-20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/stypes="app*4026*20170421*" /stext=" 07:.+((SYSTEM_STATE.+slice.+state.+changed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 t="shared" si="15"/>
        <v>"%USERPROFILE%\Documents\GitHub\eaglep3\Utilities\RefineRTDCRunTimes.py" --tripid 243-20 --locoid 4026 --swversion DE.1.0.9.0 --startMP 204:455 --initTime 2017-04-21T00:22:33 --startdatetime 2017-04-21T00:30:17 --delay 1 --endMP 204:233286 --enddatetime 2017-04-21T01:09:11 --enforcementcount 0 &gt;&gt;C:\Users\stu\Documents\GitHub\eaglep3-reporting\EC\2017-04-20-refined-times.txt</v>
      </c>
      <c r="AI157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{"issue":{"subject":"","project_id":79,"tracker_id":40,"status_id":1,"priority_id":2,"assigned_to_id":23,"start_date":"2017-04-21","description":"","custom_fields":[{"id":1,"name":"Subdivision","value":"EC"},{"id":4,"name":"Milepost","value":"23.3286"},{"id":17,"name":"Train ID","value":"243-20"},{"id":16,"name":"Locomotive ID","value":"4026"},{"id":130,"name":"Impact","value":""},{"id":150,"name":"Time of Event (Mountain Time)","value":"01:09:11"},{"id":151,"name":"Denver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17"/>
        <v>start /low /b %USERPROFILE%\Documents\GitHub\eaglep3\Utilities\DownloadLogsFromS3.py --loco 4026 --day 2017-04-21</v>
      </c>
      <c r="AN157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848</v>
      </c>
      <c r="B158" s="7">
        <v>4025</v>
      </c>
      <c r="C158" s="21" t="s">
        <v>213</v>
      </c>
      <c r="D158" s="21" t="s">
        <v>894</v>
      </c>
      <c r="E158" s="13">
        <v>42846.055335648147</v>
      </c>
      <c r="F158" s="13">
        <v>42846.059942129628</v>
      </c>
      <c r="G158" s="7">
        <v>1</v>
      </c>
      <c r="H158" s="21" t="s">
        <v>197</v>
      </c>
      <c r="I158" s="13">
        <v>42846.088287037041</v>
      </c>
      <c r="J158" s="7">
        <v>0</v>
      </c>
      <c r="K158" s="97" t="str">
        <f>IF(ISEVEN(B158),(B158-1)&amp;"/"&amp;B158,B158&amp;"/"&amp;(B158+1))</f>
        <v>4025/4026</v>
      </c>
      <c r="L158" s="21" t="str">
        <f>VLOOKUP(A158,'Trips&amp;Operators'!$C$1:$G$99999,5,FALSE)</f>
        <v>YANG JAN</v>
      </c>
      <c r="M158" s="6">
        <f>I158-F158</f>
        <v>2.8344907412247267E-2</v>
      </c>
      <c r="N158" s="7">
        <f>24*60*SUM($M158:$M158)</f>
        <v>40.816666673636064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-21T00:19:41-0600',mode:absolute,to:'2017-04-21T03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3" t="str">
        <f>IF(AA158&lt;IF(AG158="EC",23,5.65),"Y","N")</f>
        <v>N</v>
      </c>
      <c r="X158" s="183">
        <f>VALUE(LEFT(AD158,4))-VALUE(LEFT(AD157,4))</f>
        <v>1</v>
      </c>
      <c r="Y158" s="62">
        <f>RIGHT(D158,LEN(D158)-4)/10000</f>
        <v>23.295500000000001</v>
      </c>
      <c r="Z158" s="62">
        <f>RIGHT(H158,LEN(H158)-4)/10000</f>
        <v>1.52E-2</v>
      </c>
      <c r="AA158" s="62">
        <f>ABS(Z158-Y158)</f>
        <v>23.2803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0244-20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 &amp; aws s3 cp s3://rtdc.mdm.uploadarchive.raw/RTDC4025/ "%USERPROFILE%\AppData\Local\Temp\OnboardLogs"\RTDC4025\2017-04-22 --exclude "*" --recursive --include "*20170422*" &amp; "%USERPROFILE%\Documents\GitHub\mrs-test-scripts\Headless Mode &amp; Sideloading\WalkAndUnGZ.bat" "%USERPROFILE%\AppData\Local\Temp\OnboardLogs"\RTDC4025\2017-04-22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/stypes="app*4025*20170421*" /stext=" 08:.+((SYSTEM_STATE.+slice.+state.+changed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EC</v>
      </c>
      <c r="AH158" s="86" t="str">
        <f t="shared" si="15"/>
        <v>"%USERPROFILE%\Documents\GitHub\eaglep3\Utilities\RefineRTDCRunTimes.py" --tripid 244-20 --locoid 4025 --swversion DE.1.0.9.0 --startMP 204:232955 --initTime 2017-04-21T01:19:41 --startdatetime 2017-04-21T01:26:19 --delay 1 --endMP 204:152 --enddatetime 2017-04-21T02:07:08 --enforcementcount 0 &gt;&gt;C:\Users\stu\Documents\GitHub\eaglep3-reporting\EC\2017-04-20-refined-times.txt</v>
      </c>
      <c r="AI158" s="104" t="str">
        <f t="shared" si="16"/>
        <v>echo {"issue":{"subject":"","project_id":79,"tracker_id":40,"status_id":1,"priority_id":2,"assigned_to_id":23,"start_date":"2017-04-21","description":"","custom_fields":[{"id":1,"name":"Subdivision","value":"EC"},{"id":4,"name":"Milepost","value":"0.0152"},{"id":17,"name":"Train ID","value":"244-20"},{"id":16,"name":"Locomotive ID","value":"4025"},{"id":130,"name":"Impact","value":""},{"id":150,"name":"Time of Event (Mountain Time)","value":"02:07:08"},{"id":151,"name":"Denver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17"/>
        <v>start /low /b %USERPROFILE%\Documents\GitHub\eaglep3\Utilities\DownloadLogsFromS3.py --loco 4025 --day 2017-04-21</v>
      </c>
      <c r="AN158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665</v>
      </c>
      <c r="B159" s="7">
        <v>4029</v>
      </c>
      <c r="C159" s="21" t="s">
        <v>213</v>
      </c>
      <c r="D159" s="21" t="s">
        <v>959</v>
      </c>
      <c r="E159" s="13">
        <v>42845.214918981481</v>
      </c>
      <c r="F159" s="13">
        <v>42845.216261574074</v>
      </c>
      <c r="G159" s="7">
        <v>1</v>
      </c>
      <c r="H159" s="21" t="s">
        <v>960</v>
      </c>
      <c r="I159" s="13">
        <v>42845.225312499999</v>
      </c>
      <c r="J159" s="7">
        <v>0</v>
      </c>
      <c r="K159" s="97" t="str">
        <f>IF(ISEVEN(B159),(B159-1)&amp;"/"&amp;B159,B159&amp;"/"&amp;(B159+1))</f>
        <v>4029/4030</v>
      </c>
      <c r="L159" s="21" t="str">
        <f>VLOOKUP(A159,'Trips&amp;Operators'!$C$1:$G$99999,5,FALSE)</f>
        <v>BEAM ROSS</v>
      </c>
      <c r="M159" s="6">
        <f>I159-F159</f>
        <v>9.0509259243845008E-3</v>
      </c>
      <c r="N159" s="7">
        <f>24*60*SUM($M159:$M159)</f>
        <v>13.033333331113681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-20T04:09:29-0600',mode:absolute,to:'2017-04-20T06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9" s="183" t="str">
        <f>IF(AA159&lt;IF(AG159="EC",23,5.65),"Y","N")</f>
        <v>N</v>
      </c>
      <c r="X159" s="183">
        <f>VALUE(LEFT(AD159,4))-VALUE(LEFT(AD158,4))</f>
        <v>556</v>
      </c>
      <c r="Y159" s="62">
        <f>RIGHT(D159,LEN(D159)-4)/10000</f>
        <v>5.8616999999999999</v>
      </c>
      <c r="Z159" s="62">
        <f>RIGHT(H159,LEN(H159)-4)/10000</f>
        <v>7.3300000000000004E-2</v>
      </c>
      <c r="AA159" s="62">
        <f>ABS(Z159-Y159)</f>
        <v>5.7884000000000002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0800-20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/stypes="app*4029*20170420*" /stext=" 11:.+((SYSTEM_STATE.+slice.+state.+changed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15"/>
        <v>"%USERPROFILE%\Documents\GitHub\eaglep3\Utilities\RefineRTDCRunTimes.py" --tripid 800-20 --locoid 4029 --swversion DE.1.0.9.0 --startMP 300:58617 --initTime 2017-04-20T05:09:29 --startdatetime 2017-04-20T05:11:25 --delay 1 --endMP 204:733 --enddatetime 2017-04-20T05:24:27 --enforcementcount 0 &gt;&gt;C:\Users\stu\Documents\GitHub\eaglep3-reporting\EC\2017-04-20-refined-times.txt</v>
      </c>
      <c r="AI159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{"issue":{"subject":"","project_id":79,"tracker_id":40,"status_id":1,"priority_id":2,"assigned_to_id":23,"start_date":"2017-04-20","description":"","custom_fields":[{"id":1,"name":"Subdivision","value":"NW"},{"id":4,"name":"Milepost","value":"0.0733"},{"id":17,"name":"Train ID","value":"800-20"},{"id":16,"name":"Locomotive ID","value":"4029"},{"id":130,"name":"Impact","value":""},{"id":150,"name":"Time of Event (Mountain Time)","value":"05:24:27"},{"id":151,"name":"Denver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17"/>
        <v>start /low /b %USERPROFILE%\Documents\GitHub\eaglep3\Utilities\DownloadLogsFromS3.py --loco 4029 --day 2017-04-20</v>
      </c>
      <c r="AN159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670</v>
      </c>
      <c r="B160" s="7">
        <v>4030</v>
      </c>
      <c r="C160" s="21" t="s">
        <v>213</v>
      </c>
      <c r="D160" s="21" t="s">
        <v>961</v>
      </c>
      <c r="E160" s="13">
        <v>42845.239189814813</v>
      </c>
      <c r="F160" s="13">
        <v>42845.243993055556</v>
      </c>
      <c r="G160" s="7">
        <v>1</v>
      </c>
      <c r="H160" s="21" t="s">
        <v>962</v>
      </c>
      <c r="I160" s="13">
        <v>42845.253171296295</v>
      </c>
      <c r="J160" s="7">
        <v>0</v>
      </c>
      <c r="K160" s="97" t="str">
        <f>IF(ISEVEN(B160),(B160-1)&amp;"/"&amp;B160,B160&amp;"/"&amp;(B160+1))</f>
        <v>4029/4030</v>
      </c>
      <c r="L160" s="21" t="str">
        <f>VLOOKUP(A160,'Trips&amp;Operators'!$C$1:$G$99999,5,FALSE)</f>
        <v>BEAM ROSS</v>
      </c>
      <c r="M160" s="6">
        <f>I160-F160</f>
        <v>9.1782407398568466E-3</v>
      </c>
      <c r="N160" s="7">
        <f>24*60*SUM($M160:$M160)</f>
        <v>13.216666665393859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-20T04:44:26-0600',mode:absolute,to:'2017-04-20T07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0.1007</v>
      </c>
      <c r="Z160" s="62">
        <f>RIGHT(H160,LEN(H160)-4)/10000</f>
        <v>5.8963000000000001</v>
      </c>
      <c r="AA160" s="62">
        <f>ABS(Z160-Y160)</f>
        <v>5.7956000000000003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0801-20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/stypes="app*4030*20170420*"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15"/>
        <v>"%USERPROFILE%\Documents\GitHub\eaglep3\Utilities\RefineRTDCRunTimes.py" --tripid 801-20 --locoid 4030 --swversion DE.1.0.9.0 --startMP 204:1007 --initTime 2017-04-20T05:44:26 --startdatetime 2017-04-20T05:51:21 --delay 1 --endMP 300:58963 --enddatetime 2017-04-20T06:04:34 --enforcementcount 0 &gt;&gt;C:\Users\stu\Documents\GitHub\eaglep3-reporting\EC\2017-04-20-refined-times.txt</v>
      </c>
      <c r="AI160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ID","value":"801-20"},{"id":16,"name":"Locomotive ID","value":"4030"},{"id":130,"name":"Impact","value":""},{"id":150,"name":"Time of Event (Mountain Time)","value":"06:04:34"},{"id":151,"name":"Denver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17"/>
        <v>start /low /b %USERPROFILE%\Documents\GitHub\eaglep3\Utilities\DownloadLogsFromS3.py --loco 4030 --day 2017-04-20</v>
      </c>
      <c r="AN160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673</v>
      </c>
      <c r="B161" s="7">
        <v>4029</v>
      </c>
      <c r="C161" s="21" t="s">
        <v>213</v>
      </c>
      <c r="D161" s="21" t="s">
        <v>595</v>
      </c>
      <c r="E161" s="13">
        <v>42845.254027777781</v>
      </c>
      <c r="F161" s="13">
        <v>42845.255358796298</v>
      </c>
      <c r="G161" s="7">
        <v>1</v>
      </c>
      <c r="H161" s="21" t="s">
        <v>963</v>
      </c>
      <c r="I161" s="13">
        <v>42845.267835648148</v>
      </c>
      <c r="J161" s="7">
        <v>0</v>
      </c>
      <c r="K161" s="97" t="str">
        <f>IF(ISEVEN(B161),(B161-1)&amp;"/"&amp;B161,B161&amp;"/"&amp;(B161+1))</f>
        <v>4029/4030</v>
      </c>
      <c r="L161" s="21" t="str">
        <f>VLOOKUP(A161,'Trips&amp;Operators'!$C$1:$G$99999,5,FALSE)</f>
        <v>BEAM ROSS</v>
      </c>
      <c r="M161" s="6">
        <f>I161-F161</f>
        <v>1.247685185080627E-2</v>
      </c>
      <c r="N161" s="7">
        <f>24*60*SUM($M161:$M161)</f>
        <v>17.966666665161029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-20T05:05:48-0600',mode:absolute,to:'2017-04-20T07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5.8625999999999996</v>
      </c>
      <c r="Z161" s="62">
        <f>RIGHT(H161,LEN(H161)-4)/10000</f>
        <v>7.1900000000000006E-2</v>
      </c>
      <c r="AA161" s="62">
        <f>ABS(Z161-Y161)</f>
        <v>5.7906999999999993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0802-20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/stypes="app*4029*20170420*"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15"/>
        <v>"%USERPROFILE%\Documents\GitHub\eaglep3\Utilities\RefineRTDCRunTimes.py" --tripid 802-20 --locoid 4029 --swversion DE.1.0.9.0 --startMP 300:58626 --initTime 2017-04-20T06:05:48 --startdatetime 2017-04-20T06:07:43 --delay 1 --endMP 204:719 --enddatetime 2017-04-20T06:25:41 --enforcementcount 0 &gt;&gt;C:\Users\stu\Documents\GitHub\eaglep3-reporting\EC\2017-04-20-refined-times.txt</v>
      </c>
      <c r="AI161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{"issue":{"subject":"","project_id":79,"tracker_id":40,"status_id":1,"priority_id":2,"assigned_to_id":23,"start_date":"2017-04-20","description":"","custom_fields":[{"id":1,"name":"Subdivision","value":"NW"},{"id":4,"name":"Milepost","value":"0.0719"},{"id":17,"name":"Train ID","value":"802-20"},{"id":16,"name":"Locomotive ID","value":"4029"},{"id":130,"name":"Impact","value":""},{"id":150,"name":"Time of Event (Mountain Time)","value":"06:25:41"},{"id":151,"name":"Denver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17"/>
        <v>start /low /b %USERPROFILE%\Documents\GitHub\eaglep3\Utilities\DownloadLogsFromS3.py --loco 4029 --day 2017-04-20</v>
      </c>
      <c r="AN161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675</v>
      </c>
      <c r="B162" s="7">
        <v>4020</v>
      </c>
      <c r="C162" s="21" t="s">
        <v>213</v>
      </c>
      <c r="D162" s="21" t="s">
        <v>964</v>
      </c>
      <c r="E162" s="13">
        <v>42845.260115740741</v>
      </c>
      <c r="F162" s="13">
        <v>42845.265057870369</v>
      </c>
      <c r="G162" s="7">
        <v>1</v>
      </c>
      <c r="H162" s="21" t="s">
        <v>534</v>
      </c>
      <c r="I162" s="13">
        <v>42845.274317129632</v>
      </c>
      <c r="J162" s="7">
        <v>0</v>
      </c>
      <c r="K162" s="97" t="str">
        <f>IF(ISEVEN(B162),(B162-1)&amp;"/"&amp;B162,B162&amp;"/"&amp;(B162+1))</f>
        <v>4019/4020</v>
      </c>
      <c r="L162" s="21" t="str">
        <f>VLOOKUP(A162,'Trips&amp;Operators'!$C$1:$G$99999,5,FALSE)</f>
        <v>LOZA FIDEL</v>
      </c>
      <c r="M162" s="6">
        <f>I162-F162</f>
        <v>9.2592592627624981E-3</v>
      </c>
      <c r="N162" s="7">
        <f>24*60*SUM($M162:$M162)</f>
        <v>13.333333338377997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-20T05:14:34-0600',mode:absolute,to:'2017-04-20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9.6500000000000002E-2</v>
      </c>
      <c r="Z162" s="62">
        <f>RIGHT(H162,LEN(H162)-4)/10000</f>
        <v>5.8948</v>
      </c>
      <c r="AA162" s="62">
        <f>ABS(Z162-Y162)</f>
        <v>5.7983000000000002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0803-20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/stypes="app*4020*20170420*" /stext=" 12:.+((SYSTEM_STATE.+slice.+state.+changed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5"/>
        <v>"%USERPROFILE%\Documents\GitHub\eaglep3\Utilities\RefineRTDCRunTimes.py" --tripid 803-20 --locoid 4020 --swversion DE.1.0.9.0 --startMP 204:965 --initTime 2017-04-20T06:14:34 --startdatetime 2017-04-20T06:21:41 --delay 1 --endMP 300:58948 --enddatetime 2017-04-20T06:35:01 --enforcementcount 0 &gt;&gt;C:\Users\stu\Documents\GitHub\eaglep3-reporting\EC\2017-04-20-refined-times.txt</v>
      </c>
      <c r="AI162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ID","value":"803-20"},{"id":16,"name":"Locomotive ID","value":"4020"},{"id":130,"name":"Impact","value":""},{"id":150,"name":"Time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17"/>
        <v>start /low /b %USERPROFILE%\Documents\GitHub\eaglep3\Utilities\DownloadLogsFromS3.py --loco 4020 --day 2017-04-20</v>
      </c>
      <c r="AN162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679</v>
      </c>
      <c r="B163" s="7">
        <v>4019</v>
      </c>
      <c r="C163" s="21" t="s">
        <v>213</v>
      </c>
      <c r="D163" s="21" t="s">
        <v>451</v>
      </c>
      <c r="E163" s="13">
        <v>42845.276736111111</v>
      </c>
      <c r="F163" s="13">
        <v>42845.278784722221</v>
      </c>
      <c r="G163" s="7">
        <v>1</v>
      </c>
      <c r="H163" s="21" t="s">
        <v>598</v>
      </c>
      <c r="I163" s="13">
        <v>42845.288159722222</v>
      </c>
      <c r="J163" s="7">
        <v>0</v>
      </c>
      <c r="K163" s="97" t="str">
        <f>IF(ISEVEN(B163),(B163-1)&amp;"/"&amp;B163,B163&amp;"/"&amp;(B163+1))</f>
        <v>4019/4020</v>
      </c>
      <c r="L163" s="21" t="str">
        <f>VLOOKUP(A163,'Trips&amp;Operators'!$C$1:$G$99999,5,FALSE)</f>
        <v>LOZA FIDEL</v>
      </c>
      <c r="M163" s="6">
        <f>I163-F163</f>
        <v>9.3750000014551915E-3</v>
      </c>
      <c r="N163" s="7">
        <f>24*60*SUM($M163:$M163)</f>
        <v>13.500000002095476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-20T05:38:30-0600',mode:absolute,to:'2017-04-20T07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83" t="str">
        <f>IF(AA163&lt;IF(AG163="EC",23,5.65),"Y","N")</f>
        <v>N</v>
      </c>
      <c r="X163" s="183">
        <f>VALUE(LEFT(AD163,4))-VALUE(LEFT(AD162,4))</f>
        <v>1</v>
      </c>
      <c r="Y163" s="62">
        <f>RIGHT(D163,LEN(D163)-4)/10000</f>
        <v>5.8630000000000004</v>
      </c>
      <c r="Z163" s="62">
        <f>RIGHT(H163,LEN(H163)-4)/10000</f>
        <v>6.8900000000000003E-2</v>
      </c>
      <c r="AA163" s="62">
        <f>ABS(Z163-Y163)</f>
        <v>5.7941000000000003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0804-20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5"/>
        <v>"%USERPROFILE%\Documents\GitHub\eaglep3\Utilities\RefineRTDCRunTimes.py" --tripid 804-20 --locoid 4019 --swversion DE.1.0.9.0 --startMP 300:58630 --initTime 2017-04-20T06:38:30 --startdatetime 2017-04-20T06:41:27 --delay 1 --endMP 204:689 --enddatetime 2017-04-20T06:54:57 --enforcementcount 0 &gt;&gt;C:\Users\stu\Documents\GitHub\eaglep3-reporting\EC\2017-04-20-refined-times.txt</v>
      </c>
      <c r="AI163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{"issue":{"subject":"","project_id":79,"tracker_id":40,"status_id":1,"priority_id":2,"assigned_to_id":23,"start_date":"2017-04-20","description":"","custom_fields":[{"id":1,"name":"Subdivision","value":"NW"},{"id":4,"name":"Milepost","value":"0.0689"},{"id":17,"name":"Train ID","value":"804-20"},{"id":16,"name":"Locomotive ID","value":"4019"},{"id":130,"name":"Impact","value":""},{"id":150,"name":"Time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17"/>
        <v>start /low /b %USERPROFILE%\Documents\GitHub\eaglep3\Utilities\DownloadLogsFromS3.py --loco 4019 --day 2017-04-20</v>
      </c>
      <c r="AN163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680</v>
      </c>
      <c r="B164" s="7">
        <v>4030</v>
      </c>
      <c r="C164" s="21" t="s">
        <v>213</v>
      </c>
      <c r="D164" s="21" t="s">
        <v>965</v>
      </c>
      <c r="E164" s="13">
        <v>42845.282233796293</v>
      </c>
      <c r="F164" s="13">
        <v>42845.285590277781</v>
      </c>
      <c r="G164" s="7">
        <v>1</v>
      </c>
      <c r="H164" s="21" t="s">
        <v>601</v>
      </c>
      <c r="I164" s="13">
        <v>42845.294710648152</v>
      </c>
      <c r="J164" s="7">
        <v>0</v>
      </c>
      <c r="K164" s="97" t="str">
        <f>IF(ISEVEN(B164),(B164-1)&amp;"/"&amp;B164,B164&amp;"/"&amp;(B164+1))</f>
        <v>4029/4030</v>
      </c>
      <c r="L164" s="21" t="str">
        <f>VLOOKUP(A164,'Trips&amp;Operators'!$C$1:$G$99999,5,FALSE)</f>
        <v>BEAM ROSS</v>
      </c>
      <c r="M164" s="6">
        <f>I164-F164</f>
        <v>9.1203703705104999E-3</v>
      </c>
      <c r="N164" s="7">
        <f>24*60*SUM($M164:$M164)</f>
        <v>13.13333333353512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-20T05:46:25-0600',mode:absolute,to:'2017-04-20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83" t="str">
        <f>IF(AA164&lt;IF(AG164="EC",23,5.65),"Y","N")</f>
        <v>N</v>
      </c>
      <c r="X164" s="183">
        <f>VALUE(LEFT(AD164,4))-VALUE(LEFT(AD163,4))</f>
        <v>1</v>
      </c>
      <c r="Y164" s="62">
        <f>RIGHT(D164,LEN(D164)-4)/10000</f>
        <v>0.1009</v>
      </c>
      <c r="Z164" s="62">
        <f>RIGHT(H164,LEN(H164)-4)/10000</f>
        <v>5.8956</v>
      </c>
      <c r="AA164" s="62">
        <f>ABS(Z164-Y164)</f>
        <v>5.7946999999999997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0805-20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/stypes="app*4030*20170420*"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5"/>
        <v>"%USERPROFILE%\Documents\GitHub\eaglep3\Utilities\RefineRTDCRunTimes.py" --tripid 805-20 --locoid 4030 --swversion DE.1.0.9.0 --startMP 204:1009 --initTime 2017-04-20T06:46:25 --startdatetime 2017-04-20T06:51:15 --delay 1 --endMP 300:58956 --enddatetime 2017-04-20T07:04:23 --enforcementcount 0 &gt;&gt;C:\Users\stu\Documents\GitHub\eaglep3-reporting\EC\2017-04-20-refined-times.txt</v>
      </c>
      <c r="AI164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{"issue":{"subject":"","project_id":79,"tracker_id":40,"status_id":1,"priority_id":2,"assigned_to_id":23,"start_date":"2017-04-20","description":"","custom_fields":[{"id":1,"name":"Subdivision","value":"NW"},{"id":4,"name":"Milepost","value":"5.8956"},{"id":17,"name":"Train ID","value":"805-20"},{"id":16,"name":"Locomotive ID","value":"4030"},{"id":130,"name":"Impact","value":""},{"id":150,"name":"Time of Event (Mountain Time)","value":"07:04:23"},{"id":151,"name":"Denver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17"/>
        <v>start /low /b %USERPROFILE%\Documents\GitHub\eaglep3\Utilities\DownloadLogsFromS3.py --loco 4030 --day 2017-04-20</v>
      </c>
      <c r="AN164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683</v>
      </c>
      <c r="B165" s="7">
        <v>4029</v>
      </c>
      <c r="C165" s="21" t="s">
        <v>213</v>
      </c>
      <c r="D165" s="21" t="s">
        <v>533</v>
      </c>
      <c r="E165" s="13">
        <v>42845.295567129629</v>
      </c>
      <c r="F165" s="13">
        <v>42845.2968287037</v>
      </c>
      <c r="G165" s="7">
        <v>1</v>
      </c>
      <c r="H165" s="21" t="s">
        <v>861</v>
      </c>
      <c r="I165" s="13">
        <v>42845.308958333335</v>
      </c>
      <c r="J165" s="7">
        <v>0</v>
      </c>
      <c r="K165" s="97" t="str">
        <f>IF(ISEVEN(B165),(B165-1)&amp;"/"&amp;B165,B165&amp;"/"&amp;(B165+1))</f>
        <v>4029/4030</v>
      </c>
      <c r="L165" s="21" t="str">
        <f>VLOOKUP(A165,'Trips&amp;Operators'!$C$1:$G$99999,5,FALSE)</f>
        <v>BEAM ROSS</v>
      </c>
      <c r="M165" s="6">
        <f>I165-F165</f>
        <v>1.212962963472819E-2</v>
      </c>
      <c r="N165" s="7">
        <f>24*60*SUM($M165:$M165)</f>
        <v>17.466666674008593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-20T06:05:37-0600',mode:absolute,to:'2017-04-20T08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83" t="str">
        <f>IF(AA165&lt;IF(AG165="EC",23,5.65),"Y","N")</f>
        <v>N</v>
      </c>
      <c r="X165" s="183">
        <f>VALUE(LEFT(AD165,4))-VALUE(LEFT(AD164,4))</f>
        <v>1</v>
      </c>
      <c r="Y165" s="62">
        <f>RIGHT(D165,LEN(D165)-4)/10000</f>
        <v>5.8648999999999996</v>
      </c>
      <c r="Z165" s="62">
        <f>RIGHT(H165,LEN(H165)-4)/10000</f>
        <v>7.1300000000000002E-2</v>
      </c>
      <c r="AA165" s="62">
        <f>ABS(Z165-Y165)</f>
        <v>5.7935999999999996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0806-20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/stypes="app*4029*20170420*"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5"/>
        <v>"%USERPROFILE%\Documents\GitHub\eaglep3\Utilities\RefineRTDCRunTimes.py" --tripid 806-20 --locoid 4029 --swversion DE.1.0.9.0 --startMP 300:58649 --initTime 2017-04-20T07:05:37 --startdatetime 2017-04-20T07:07:26 --delay 1 --endMP 204:713 --enddatetime 2017-04-20T07:24:54 --enforcementcount 0 &gt;&gt;C:\Users\stu\Documents\GitHub\eaglep3-reporting\EC\2017-04-20-refined-times.txt</v>
      </c>
      <c r="AI165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{"issue":{"subject":"","project_id":79,"tracker_id":40,"status_id":1,"priority_id":2,"assigned_to_id":23,"start_date":"2017-04-20","description":"","custom_fields":[{"id":1,"name":"Subdivision","value":"NW"},{"id":4,"name":"Milepost","value":"0.0713"},{"id":17,"name":"Train ID","value":"806-20"},{"id":16,"name":"Locomotive ID","value":"4029"},{"id":130,"name":"Impact","value":""},{"id":150,"name":"Time of Event (Mountain Time)","value":"07:24:54"},{"id":151,"name":"Denver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17"/>
        <v>start /low /b %USERPROFILE%\Documents\GitHub\eaglep3\Utilities\DownloadLogsFromS3.py --loco 4029 --day 2017-04-20</v>
      </c>
      <c r="AN165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684</v>
      </c>
      <c r="B166" s="7">
        <v>4020</v>
      </c>
      <c r="C166" s="21" t="s">
        <v>213</v>
      </c>
      <c r="D166" s="21" t="s">
        <v>966</v>
      </c>
      <c r="E166" s="13">
        <v>42845.296770833331</v>
      </c>
      <c r="F166" s="13">
        <v>42845.306446759256</v>
      </c>
      <c r="G166" s="7">
        <v>1</v>
      </c>
      <c r="H166" s="21" t="s">
        <v>967</v>
      </c>
      <c r="I166" s="13">
        <v>42845.31521990741</v>
      </c>
      <c r="J166" s="7">
        <v>0</v>
      </c>
      <c r="K166" s="97" t="str">
        <f>IF(ISEVEN(B166),(B166-1)&amp;"/"&amp;B166,B166&amp;"/"&amp;(B166+1))</f>
        <v>4019/4020</v>
      </c>
      <c r="L166" s="21" t="str">
        <f>VLOOKUP(A166,'Trips&amp;Operators'!$C$1:$G$99999,5,FALSE)</f>
        <v>LOZA FIDEL</v>
      </c>
      <c r="M166" s="6">
        <f>I166-F166</f>
        <v>8.7731481544324197E-3</v>
      </c>
      <c r="N166" s="7">
        <f>24*60*SUM($M166:$M166)</f>
        <v>12.633333342382684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-20T06:07:21-0600',mode:absolute,to:'2017-04-20T08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9.8500000000000004E-2</v>
      </c>
      <c r="Z166" s="62">
        <f>RIGHT(H166,LEN(H166)-4)/10000</f>
        <v>5.8975</v>
      </c>
      <c r="AA166" s="62">
        <f>ABS(Z166-Y166)</f>
        <v>5.7990000000000004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0807-20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/stypes="app*4020*20170420*" /stext=" 13:.+((SYSTEM_STATE.+slice.+state.+changed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5"/>
        <v>"%USERPROFILE%\Documents\GitHub\eaglep3\Utilities\RefineRTDCRunTimes.py" --tripid 807-20 --locoid 4020 --swversion DE.1.0.9.0 --startMP 204:985 --initTime 2017-04-20T07:07:21 --startdatetime 2017-04-20T07:21:17 --delay 1 --endMP 300:58975 --enddatetime 2017-04-20T07:33:55 --enforcementcount 0 &gt;&gt;C:\Users\stu\Documents\GitHub\eaglep3-reporting\EC\2017-04-20-refined-times.txt</v>
      </c>
      <c r="AI166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{"issue":{"subject":"","project_id":79,"tracker_id":40,"status_id":1,"priority_id":2,"assigned_to_id":23,"start_date":"2017-04-20","description":"","custom_fields":[{"id":1,"name":"Subdivision","value":"NW"},{"id":4,"name":"Milepost","value":"5.8975"},{"id":17,"name":"Train ID","value":"807-20"},{"id":16,"name":"Locomotive ID","value":"4020"},{"id":130,"name":"Impact","value":""},{"id":150,"name":"Time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7"/>
        <v>start /low /b %USERPROFILE%\Documents\GitHub\eaglep3\Utilities\DownloadLogsFromS3.py --loco 4020 --day 2017-04-20</v>
      </c>
      <c r="AN166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623</v>
      </c>
      <c r="B167" s="7">
        <v>4019</v>
      </c>
      <c r="C167" s="21" t="s">
        <v>213</v>
      </c>
      <c r="D167" s="21" t="s">
        <v>533</v>
      </c>
      <c r="E167" s="13">
        <v>42845.316493055558</v>
      </c>
      <c r="F167" s="13">
        <v>42845.318020833336</v>
      </c>
      <c r="G167" s="7">
        <v>1</v>
      </c>
      <c r="H167" s="21" t="s">
        <v>606</v>
      </c>
      <c r="I167" s="13">
        <v>42845.329907407409</v>
      </c>
      <c r="J167" s="7">
        <v>0</v>
      </c>
      <c r="K167" s="97" t="str">
        <f>IF(ISEVEN(B167),(B167-1)&amp;"/"&amp;B167,B167&amp;"/"&amp;(B167+1))</f>
        <v>4019/4020</v>
      </c>
      <c r="L167" s="21" t="str">
        <f>VLOOKUP(A167,'Trips&amp;Operators'!$C$1:$G$99999,5,FALSE)</f>
        <v>LOZA FIDEL</v>
      </c>
      <c r="M167" s="6">
        <f>I167-F167</f>
        <v>1.1886574073287193E-2</v>
      </c>
      <c r="N167" s="7">
        <f>24*60*SUM($M167:$M167)</f>
        <v>17.116666665533558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5.8648999999999996</v>
      </c>
      <c r="Z167" s="62">
        <f>RIGHT(H167,LEN(H167)-4)/10000</f>
        <v>6.9900000000000004E-2</v>
      </c>
      <c r="AA167" s="62">
        <f>ABS(Z167-Y167)</f>
        <v>5.7949999999999999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0808-20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/stypes="app*4019*20170420*" /stext=" 13:.+((SYSTEM_STATE.+slice.+state.+changed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5"/>
        <v>"%USERPROFILE%\Documents\GitHub\eaglep3\Utilities\RefineRTDCRunTimes.py" --tripid 808-20 --locoid 4019 --swversion DE.1.0.9.0 --startMP 300:58649 --initTime 2017-04-20T07:35:45 --startdatetime 2017-04-20T07:37:57 --delay 1 --endMP 204:699 --enddatetime 2017-04-20T07:55:04 --enforcementcount 0 &gt;&gt;C:\Users\stu\Documents\GitHub\eaglep3-reporting\EC\2017-04-20-refined-times.txt</v>
      </c>
      <c r="AI167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{"issue":{"subject":"","project_id":79,"tracker_id":40,"status_id":1,"priority_id":2,"assigned_to_id":23,"start_date":"2017-04-20","description":"","custom_fields":[{"id":1,"name":"Subdivision","value":"NW"},{"id":4,"name":"Milepost","value":"0.0699"},{"id":17,"name":"Train ID","value":"808-20"},{"id":16,"name":"Locomotive ID","value":"4019"},{"id":130,"name":"Impact","value":""},{"id":150,"name":"Time of Event (Mountain Time)","value":"07:55:04"},{"id":151,"name":"Denver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17"/>
        <v>start /low /b %USERPROFILE%\Documents\GitHub\eaglep3\Utilities\DownloadLogsFromS3.py --loco 4019 --day 2017-04-20</v>
      </c>
      <c r="AN167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687</v>
      </c>
      <c r="B168" s="7">
        <v>4030</v>
      </c>
      <c r="C168" s="21" t="s">
        <v>213</v>
      </c>
      <c r="D168" s="21" t="s">
        <v>968</v>
      </c>
      <c r="E168" s="13">
        <v>42845.324513888889</v>
      </c>
      <c r="F168" s="13">
        <v>42845.327268518522</v>
      </c>
      <c r="G168" s="7">
        <v>1</v>
      </c>
      <c r="H168" s="21" t="s">
        <v>969</v>
      </c>
      <c r="I168" s="13">
        <v>42845.33625</v>
      </c>
      <c r="J168" s="7">
        <v>0</v>
      </c>
      <c r="K168" s="97" t="str">
        <f>IF(ISEVEN(B168),(B168-1)&amp;"/"&amp;B168,B168&amp;"/"&amp;(B168+1))</f>
        <v>4029/4030</v>
      </c>
      <c r="L168" s="21" t="str">
        <f>VLOOKUP(A168,'Trips&amp;Operators'!$C$1:$G$99999,5,FALSE)</f>
        <v>BEAM ROSS</v>
      </c>
      <c r="M168" s="6">
        <f>I168-F168</f>
        <v>8.9814814782585017E-3</v>
      </c>
      <c r="N168" s="7">
        <f>24*60*SUM($M168:$M168)</f>
        <v>12.933333328692243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-20T06:47:18-0600',mode:absolute,to:'2017-04-20T09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0.1004</v>
      </c>
      <c r="Z168" s="62">
        <f>RIGHT(H168,LEN(H168)-4)/10000</f>
        <v>5.8964999999999996</v>
      </c>
      <c r="AA168" s="62">
        <f>ABS(Z168-Y168)</f>
        <v>5.7961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0809-20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5"/>
        <v>"%USERPROFILE%\Documents\GitHub\eaglep3\Utilities\RefineRTDCRunTimes.py" --tripid 809-20 --locoid 4030 --swversion DE.1.0.9.0 --startMP 204:1004 --initTime 2017-04-20T07:47:18 --startdatetime 2017-04-20T07:51:16 --delay 1 --endMP 300:58965 --enddatetime 2017-04-20T08:04:12 --enforcementcount 0 &gt;&gt;C:\Users\stu\Documents\GitHub\eaglep3-reporting\EC\2017-04-20-refined-times.txt</v>
      </c>
      <c r="AI168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{"issue":{"subject":"","project_id":79,"tracker_id":40,"status_id":1,"priority_id":2,"assigned_to_id":23,"start_date":"2017-04-20","description":"","custom_fields":[{"id":1,"name":"Subdivision","value":"NW"},{"id":4,"name":"Milepost","value":"5.8965"},{"id":17,"name":"Train ID","value":"809-20"},{"id":16,"name":"Locomotive ID","value":"4030"},{"id":130,"name":"Impact","value":""},{"id":150,"name":"Time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7"/>
        <v>start /low /b %USERPROFILE%\Documents\GitHub\eaglep3\Utilities\DownloadLogsFromS3.py --loco 4030 --day 2017-04-20</v>
      </c>
      <c r="AN168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690</v>
      </c>
      <c r="B169" s="7">
        <v>4029</v>
      </c>
      <c r="C169" s="21" t="s">
        <v>213</v>
      </c>
      <c r="D169" s="21" t="s">
        <v>970</v>
      </c>
      <c r="E169" s="13">
        <v>42845.337199074071</v>
      </c>
      <c r="F169" s="13">
        <v>42845.338379629633</v>
      </c>
      <c r="G169" s="7">
        <v>0</v>
      </c>
      <c r="H169" s="21" t="s">
        <v>971</v>
      </c>
      <c r="I169" s="13">
        <v>42845.350624999999</v>
      </c>
      <c r="J169" s="7">
        <v>0</v>
      </c>
      <c r="K169" s="97" t="str">
        <f>IF(ISEVEN(B169),(B169-1)&amp;"/"&amp;B169,B169&amp;"/"&amp;(B169+1))</f>
        <v>4029/4030</v>
      </c>
      <c r="L169" s="21" t="str">
        <f>VLOOKUP(A169,'Trips&amp;Operators'!$C$1:$G$99999,5,FALSE)</f>
        <v>BEAM ROSS</v>
      </c>
      <c r="M169" s="6">
        <f>I169-F169</f>
        <v>1.2245370366144925E-2</v>
      </c>
      <c r="N169" s="7">
        <f>24*60*SUM($M169:$M169)</f>
        <v>17.633333327248693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-20T07:05:34-0600',mode:absolute,to:'2017-04-20T09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5.8644999999999996</v>
      </c>
      <c r="Z169" s="62">
        <f>RIGHT(H169,LEN(H169)-4)/10000</f>
        <v>7.17E-2</v>
      </c>
      <c r="AA169" s="62">
        <f>ABS(Z169-Y169)</f>
        <v>5.7927999999999997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0810-20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/stypes="app*4029*20170420*"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5"/>
        <v>"%USERPROFILE%\Documents\GitHub\eaglep3\Utilities\RefineRTDCRunTimes.py" --tripid 810-20 --locoid 4029 --swversion DE.1.0.9.0 --startMP 300:58645 --initTime 2017-04-20T08:05:34 --startdatetime 2017-04-20T08:07:16 --delay 0 --endMP 204:717 --enddatetime 2017-04-20T08:24:54 --enforcementcount 0 &gt;&gt;C:\Users\stu\Documents\GitHub\eaglep3-reporting\EC\2017-04-20-refined-times.txt</v>
      </c>
      <c r="AI169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{"issue":{"subject":"","project_id":79,"tracker_id":40,"status_id":1,"priority_id":2,"assigned_to_id":23,"start_date":"2017-04-20","description":"","custom_fields":[{"id":1,"name":"Subdivision","value":"NW"},{"id":4,"name":"Milepost","value":"0.0717"},{"id":17,"name":"Train ID","value":"810-20"},{"id":16,"name":"Locomotive ID","value":"4029"},{"id":130,"name":"Impact","value":""},{"id":150,"name":"Time of Event (Mountain Time)","value":"08:24:54"},{"id":151,"name":"Denver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17"/>
        <v>start /low /b %USERPROFILE%\Documents\GitHub\eaglep3\Utilities\DownloadLogsFromS3.py --loco 4029 --day 2017-04-20</v>
      </c>
      <c r="AN169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626</v>
      </c>
      <c r="B170" s="7">
        <v>4020</v>
      </c>
      <c r="C170" s="21" t="s">
        <v>213</v>
      </c>
      <c r="D170" s="21" t="s">
        <v>972</v>
      </c>
      <c r="E170" s="13">
        <v>42845.345486111109</v>
      </c>
      <c r="F170" s="13">
        <v>42845.348113425927</v>
      </c>
      <c r="G170" s="7">
        <v>1</v>
      </c>
      <c r="H170" s="21" t="s">
        <v>973</v>
      </c>
      <c r="I170" s="13">
        <v>42845.356782407405</v>
      </c>
      <c r="J170" s="7">
        <v>0</v>
      </c>
      <c r="K170" s="97" t="str">
        <f>IF(ISEVEN(B170),(B170-1)&amp;"/"&amp;B170,B170&amp;"/"&amp;(B170+1))</f>
        <v>4019/4020</v>
      </c>
      <c r="L170" s="21" t="str">
        <f>VLOOKUP(A170,'Trips&amp;Operators'!$C$1:$G$99999,5,FALSE)</f>
        <v>LOZA FIDEL</v>
      </c>
      <c r="M170" s="6">
        <f>I170-F170</f>
        <v>8.6689814779674634E-3</v>
      </c>
      <c r="N170" s="7">
        <f>24*60*SUM($M170:$M170)</f>
        <v>12.483333328273147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9.8599999999999993E-2</v>
      </c>
      <c r="Z170" s="62">
        <f>RIGHT(H170,LEN(H170)-4)/10000</f>
        <v>5.8983999999999996</v>
      </c>
      <c r="AA170" s="62">
        <f>ABS(Z170-Y170)</f>
        <v>5.7997999999999994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0811-20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/stypes="app*4020*20170420*" /stext=" 14:.+((SYSTEM_STATE.+slice.+state.+changed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5"/>
        <v>"%USERPROFILE%\Documents\GitHub\eaglep3\Utilities\RefineRTDCRunTimes.py" --tripid 811-20 --locoid 4020 --swversion DE.1.0.9.0 --startMP 204:986 --initTime 2017-04-20T08:17:30 --startdatetime 2017-04-20T08:21:17 --delay 1 --endMP 300:58984 --enddatetime 2017-04-20T08:33:46 --enforcementcount 0 &gt;&gt;C:\Users\stu\Documents\GitHub\eaglep3-reporting\EC\2017-04-20-refined-times.txt</v>
      </c>
      <c r="AI170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{"issue":{"subject":"","project_id":79,"tracker_id":40,"status_id":1,"priority_id":2,"assigned_to_id":23,"start_date":"2017-04-20","description":"","custom_fields":[{"id":1,"name":"Subdivision","value":"NW"},{"id":4,"name":"Milepost","value":"5.8984"},{"id":17,"name":"Train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17"/>
        <v>start /low /b %USERPROFILE%\Documents\GitHub\eaglep3\Utilities\DownloadLogsFromS3.py --loco 4020 --day 2017-04-20</v>
      </c>
      <c r="AN170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697</v>
      </c>
      <c r="B171" s="7">
        <v>4019</v>
      </c>
      <c r="C171" s="21" t="s">
        <v>213</v>
      </c>
      <c r="D171" s="21" t="s">
        <v>974</v>
      </c>
      <c r="E171" s="13">
        <v>42845.358206018522</v>
      </c>
      <c r="F171" s="13">
        <v>42845.359722222223</v>
      </c>
      <c r="G171" s="7">
        <v>1</v>
      </c>
      <c r="H171" s="21" t="s">
        <v>608</v>
      </c>
      <c r="I171" s="13">
        <v>42845.371620370373</v>
      </c>
      <c r="J171" s="7">
        <v>0</v>
      </c>
      <c r="K171" s="97" t="str">
        <f>IF(ISEVEN(B171),(B171-1)&amp;"/"&amp;B171,B171&amp;"/"&amp;(B171+1))</f>
        <v>4019/4020</v>
      </c>
      <c r="L171" s="21" t="str">
        <f>VLOOKUP(A171,'Trips&amp;Operators'!$C$1:$G$99999,5,FALSE)</f>
        <v>LOZA FIDEL</v>
      </c>
      <c r="M171" s="6">
        <f>I171-F171</f>
        <v>1.1898148150066845E-2</v>
      </c>
      <c r="N171" s="7">
        <f>24*60*SUM($M171:$M171)</f>
        <v>17.133333336096257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-20T07:35:49-0600',mode:absolute,to:'2017-04-20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5.8663999999999996</v>
      </c>
      <c r="Z171" s="62">
        <f>RIGHT(H171,LEN(H171)-4)/10000</f>
        <v>7.0099999999999996E-2</v>
      </c>
      <c r="AA171" s="62">
        <f>ABS(Z171-Y171)</f>
        <v>5.7962999999999996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0812-20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/stypes="app*4019*20170420*" /stext=" 14:.+((SYSTEM_STATE.+slice.+state.+changed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5"/>
        <v>"%USERPROFILE%\Documents\GitHub\eaglep3\Utilities\RefineRTDCRunTimes.py" --tripid 812-20 --locoid 4019 --swversion DE.1.0.9.0 --startMP 300:58664 --initTime 2017-04-20T08:35:49 --startdatetime 2017-04-20T08:38:00 --delay 1 --endMP 204:701 --enddatetime 2017-04-20T08:55:08 --enforcementcount 0 &gt;&gt;C:\Users\stu\Documents\GitHub\eaglep3-reporting\EC\2017-04-20-refined-times.txt</v>
      </c>
      <c r="AI171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{"issue":{"subject":"","project_id":79,"tracker_id":40,"status_id":1,"priority_id":2,"assigned_to_id":23,"start_date":"2017-04-20","description":"","custom_fields":[{"id":1,"name":"Subdivision","value":"NW"},{"id":4,"name":"Milepost","value":"0.0701"},{"id":17,"name":"Train ID","value":"812-20"},{"id":16,"name":"Locomotive ID","value":"4019"},{"id":130,"name":"Impact","value":""},{"id":150,"name":"Time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17"/>
        <v>start /low /b %USERPROFILE%\Documents\GitHub\eaglep3\Utilities\DownloadLogsFromS3.py --loco 4019 --day 2017-04-20</v>
      </c>
      <c r="AN171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702</v>
      </c>
      <c r="B172" s="7">
        <v>4020</v>
      </c>
      <c r="C172" s="21" t="s">
        <v>213</v>
      </c>
      <c r="D172" s="21" t="s">
        <v>972</v>
      </c>
      <c r="E172" s="13">
        <v>42845.385844907411</v>
      </c>
      <c r="F172" s="13">
        <v>42845.389826388891</v>
      </c>
      <c r="G172" s="7">
        <v>1</v>
      </c>
      <c r="H172" s="21" t="s">
        <v>594</v>
      </c>
      <c r="I172" s="13">
        <v>42845.398611111108</v>
      </c>
      <c r="J172" s="7">
        <v>0</v>
      </c>
      <c r="K172" s="97" t="str">
        <f>IF(ISEVEN(B172),(B172-1)&amp;"/"&amp;B172,B172&amp;"/"&amp;(B172+1))</f>
        <v>4019/4020</v>
      </c>
      <c r="L172" s="21" t="str">
        <f>VLOOKUP(A172,'Trips&amp;Operators'!$C$1:$G$99999,5,FALSE)</f>
        <v>LOZA FIDEL</v>
      </c>
      <c r="M172" s="6">
        <f>I172-F172</f>
        <v>8.7847222166601568E-3</v>
      </c>
      <c r="N172" s="7">
        <f>24*60*SUM($M172:$M172)</f>
        <v>12.649999991990626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-20T08:15:37-0600',mode:absolute,to:'2017-04-20T10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9.8599999999999993E-2</v>
      </c>
      <c r="Z172" s="62">
        <f>RIGHT(H172,LEN(H172)-4)/10000</f>
        <v>5.8959999999999999</v>
      </c>
      <c r="AA172" s="62">
        <f>ABS(Z172-Y172)</f>
        <v>5.7973999999999997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0813-20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/stypes="app*4020*20170420*" /stext=" 15:.+((SYSTEM_STATE.+slice.+state.+changed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5"/>
        <v>"%USERPROFILE%\Documents\GitHub\eaglep3\Utilities\RefineRTDCRunTimes.py" --tripid 813-20 --locoid 4020 --swversion DE.1.0.9.0 --startMP 204:986 --initTime 2017-04-20T09:15:37 --startdatetime 2017-04-20T09:21:21 --delay 1 --endMP 300:58960 --enddatetime 2017-04-20T09:34:00 --enforcementcount 0 &gt;&gt;C:\Users\stu\Documents\GitHub\eaglep3-reporting\EC\2017-04-20-refined-times.txt</v>
      </c>
      <c r="AI172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{"issue":{"subject":"","project_id":79,"tracker_id":40,"status_id":1,"priority_id":2,"assigned_to_id":23,"start_date":"2017-04-20","description":"","custom_fields":[{"id":1,"name":"Subdivision","value":"NW"},{"id":4,"name":"Milepost","value":"5.896"},{"id":17,"name":"Train ID","value":"813-20"},{"id":16,"name":"Locomotive ID","value":"4020"},{"id":130,"name":"Impact","value":""},{"id":150,"name":"Time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17"/>
        <v>start /low /b %USERPROFILE%\Documents\GitHub\eaglep3\Utilities\DownloadLogsFromS3.py --loco 4020 --day 2017-04-20</v>
      </c>
      <c r="AN172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629</v>
      </c>
      <c r="B173" s="7">
        <v>4019</v>
      </c>
      <c r="C173" s="21" t="s">
        <v>213</v>
      </c>
      <c r="D173" s="21" t="s">
        <v>975</v>
      </c>
      <c r="E173" s="13">
        <v>42845.400069444448</v>
      </c>
      <c r="F173" s="13">
        <v>42845.401747685188</v>
      </c>
      <c r="G173" s="7">
        <v>1</v>
      </c>
      <c r="H173" s="21" t="s">
        <v>976</v>
      </c>
      <c r="I173" s="13">
        <v>42845.412766203706</v>
      </c>
      <c r="J173" s="7">
        <v>0</v>
      </c>
      <c r="K173" s="97" t="str">
        <f>IF(ISEVEN(B173),(B173-1)&amp;"/"&amp;B173,B173&amp;"/"&amp;(B173+1))</f>
        <v>4019/4020</v>
      </c>
      <c r="L173" s="21" t="str">
        <f>VLOOKUP(A173,'Trips&amp;Operators'!$C$1:$G$99999,5,FALSE)</f>
        <v>LOZA FIDEL</v>
      </c>
      <c r="M173" s="6">
        <f>I173-F173</f>
        <v>1.1018518518540077E-2</v>
      </c>
      <c r="N173" s="7">
        <f>24*60*SUM($M173:$M173)</f>
        <v>15.866666666697711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5.8643000000000001</v>
      </c>
      <c r="Z173" s="62">
        <f>RIGHT(H173,LEN(H173)-4)/10000</f>
        <v>7.1499999999999994E-2</v>
      </c>
      <c r="AA173" s="62">
        <f>ABS(Z173-Y173)</f>
        <v>5.7927999999999997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0814-20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/stypes="app*4019*20170420*" /stext=" 15:.+((SYSTEM_STATE.+slice.+state.+changed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5"/>
        <v>"%USERPROFILE%\Documents\GitHub\eaglep3\Utilities\RefineRTDCRunTimes.py" --tripid 814-20 --locoid 4019 --swversion DE.1.0.9.0 --startMP 300:58643 --initTime 2017-04-20T09:36:06 --startdatetime 2017-04-20T09:38:31 --delay 1 --endMP 204:715 --enddatetime 2017-04-20T09:54:23 --enforcementcount 0 &gt;&gt;C:\Users\stu\Documents\GitHub\eaglep3-reporting\EC\2017-04-20-refined-times.txt</v>
      </c>
      <c r="AI173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ID","value":"814-20"},{"id":16,"name":"Locomotive ID","value":"4019"},{"id":130,"name":"Impact","value":""},{"id":150,"name":"Time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17"/>
        <v>start /low /b %USERPROFILE%\Documents\GitHub\eaglep3\Utilities\DownloadLogsFromS3.py --loco 4019 --day 2017-04-20</v>
      </c>
      <c r="AN173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710</v>
      </c>
      <c r="B174" s="7">
        <v>4020</v>
      </c>
      <c r="C174" s="21" t="s">
        <v>213</v>
      </c>
      <c r="D174" s="21" t="s">
        <v>977</v>
      </c>
      <c r="E174" s="13">
        <v>42845.429085648146</v>
      </c>
      <c r="F174" s="13">
        <v>42845.431458333333</v>
      </c>
      <c r="G174" s="7">
        <v>1</v>
      </c>
      <c r="H174" s="21" t="s">
        <v>978</v>
      </c>
      <c r="I174" s="13">
        <v>42845.440451388888</v>
      </c>
      <c r="J174" s="7">
        <v>0</v>
      </c>
      <c r="K174" s="97" t="str">
        <f>IF(ISEVEN(B174),(B174-1)&amp;"/"&amp;B174,B174&amp;"/"&amp;(B174+1))</f>
        <v>4019/4020</v>
      </c>
      <c r="L174" s="21" t="str">
        <f>VLOOKUP(A174,'Trips&amp;Operators'!$C$1:$G$99999,5,FALSE)</f>
        <v>LOZA FIDEL</v>
      </c>
      <c r="M174" s="6">
        <f>I174-F174</f>
        <v>8.9930555550381541E-3</v>
      </c>
      <c r="N174" s="7">
        <f>24*60*SUM($M174:$M174)</f>
        <v>12.949999999254942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-20T09:17:53-0600',mode:absolute,to:'2017-04-20T11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0.1</v>
      </c>
      <c r="Z174" s="62">
        <f>RIGHT(H174,LEN(H174)-4)/10000</f>
        <v>5.8958000000000004</v>
      </c>
      <c r="AA174" s="62">
        <f>ABS(Z174-Y174)</f>
        <v>5.7958000000000007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0815-20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/stypes="app*4020*20170420*" /stext=" 16:.+((SYSTEM_STATE.+slice.+state.+changed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5"/>
        <v>"%USERPROFILE%\Documents\GitHub\eaglep3\Utilities\RefineRTDCRunTimes.py" --tripid 815-20 --locoid 4020 --swversion DE.1.0.9.0 --startMP 204:1000 --initTime 2017-04-20T10:17:53 --startdatetime 2017-04-20T10:21:18 --delay 1 --endMP 300:58958 --enddatetime 2017-04-20T10:34:15 --enforcementcount 0 &gt;&gt;C:\Users\stu\Documents\GitHub\eaglep3-reporting\EC\2017-04-20-refined-times.txt</v>
      </c>
      <c r="AI174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{"issue":{"subject":"","project_id":79,"tracker_id":40,"status_id":1,"priority_id":2,"assigned_to_id":23,"start_date":"2017-04-20","description":"","custom_fields":[{"id":1,"name":"Subdivision","value":"NW"},{"id":4,"name":"Milepost","value":"5.8958"},{"id":17,"name":"Train ID","value":"815-20"},{"id":16,"name":"Locomotive ID","value":"4020"},{"id":130,"name":"Impact","value":""},{"id":150,"name":"Time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17"/>
        <v>start /low /b %USERPROFILE%\Documents\GitHub\eaglep3\Utilities\DownloadLogsFromS3.py --loco 4020 --day 2017-04-20</v>
      </c>
      <c r="AN174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714</v>
      </c>
      <c r="B175" s="7">
        <v>4019</v>
      </c>
      <c r="C175" s="21" t="s">
        <v>213</v>
      </c>
      <c r="D175" s="21" t="s">
        <v>979</v>
      </c>
      <c r="E175" s="13">
        <v>42845.441631944443</v>
      </c>
      <c r="F175" s="13">
        <v>42845.443518518521</v>
      </c>
      <c r="G175" s="7">
        <v>1</v>
      </c>
      <c r="H175" s="21" t="s">
        <v>980</v>
      </c>
      <c r="I175" s="13">
        <v>42845.456134259257</v>
      </c>
      <c r="J175" s="7">
        <v>0</v>
      </c>
      <c r="K175" s="97" t="str">
        <f>IF(ISEVEN(B175),(B175-1)&amp;"/"&amp;B175,B175&amp;"/"&amp;(B175+1))</f>
        <v>4019/4020</v>
      </c>
      <c r="L175" s="21" t="str">
        <f>VLOOKUP(A175,'Trips&amp;Operators'!$C$1:$G$99999,5,FALSE)</f>
        <v>LOZA FIDEL</v>
      </c>
      <c r="M175" s="6">
        <f>I175-F175</f>
        <v>1.261574073578231E-2</v>
      </c>
      <c r="N175" s="7">
        <f>24*60*SUM($M175:$M175)</f>
        <v>18.166666659526527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-20T09:35:57-0600',mode:absolute,to:'2017-04-20T11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5.8651</v>
      </c>
      <c r="Z175" s="62">
        <f>RIGHT(H175,LEN(H175)-4)/10000</f>
        <v>7.2400000000000006E-2</v>
      </c>
      <c r="AA175" s="62">
        <f>ABS(Z175-Y175)</f>
        <v>5.7927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0816-20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/stypes="app*4019*20170420*" /stext=" 16:.+((SYSTEM_STATE.+slice.+state.+changed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5"/>
        <v>"%USERPROFILE%\Documents\GitHub\eaglep3\Utilities\RefineRTDCRunTimes.py" --tripid 816-20 --locoid 4019 --swversion DE.1.0.9.0 --startMP 300:58651 --initTime 2017-04-20T10:35:57 --startdatetime 2017-04-20T10:38:40 --delay 1 --endMP 204:724 --enddatetime 2017-04-20T10:56:50 --enforcementcount 0 &gt;&gt;C:\Users\stu\Documents\GitHub\eaglep3-reporting\EC\2017-04-20-refined-times.txt</v>
      </c>
      <c r="AI175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{"issue":{"subject":"","project_id":79,"tracker_id":40,"status_id":1,"priority_id":2,"assigned_to_id":23,"start_date":"2017-04-20","description":"","custom_fields":[{"id":1,"name":"Subdivision","value":"NW"},{"id":4,"name":"Milepost","value":"0.0724"},{"id":17,"name":"Train ID","value":"816-20"},{"id":16,"name":"Locomotive ID","value":"4019"},{"id":130,"name":"Impact","value":""},{"id":150,"name":"Time of Event (Mountain Time)","value":"10:56:50"},{"id":151,"name":"Denver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17"/>
        <v>start /low /b %USERPROFILE%\Documents\GitHub\eaglep3\Utilities\DownloadLogsFromS3.py --loco 4019 --day 2017-04-20</v>
      </c>
      <c r="AN175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16:56:50"},{"id":29,"name":"Sharepoint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719</v>
      </c>
      <c r="B176" s="7">
        <v>4020</v>
      </c>
      <c r="C176" s="21" t="s">
        <v>213</v>
      </c>
      <c r="D176" s="21" t="s">
        <v>604</v>
      </c>
      <c r="E176" s="13">
        <v>42845.470312500001</v>
      </c>
      <c r="F176" s="13">
        <v>42845.473136574074</v>
      </c>
      <c r="G176" s="7">
        <v>1</v>
      </c>
      <c r="H176" s="21" t="s">
        <v>962</v>
      </c>
      <c r="I176" s="13">
        <v>42845.482037037036</v>
      </c>
      <c r="J176" s="7">
        <v>0</v>
      </c>
      <c r="K176" s="97" t="str">
        <f>IF(ISEVEN(B176),(B176-1)&amp;"/"&amp;B176,B176&amp;"/"&amp;(B176+1))</f>
        <v>4019/4020</v>
      </c>
      <c r="L176" s="21" t="str">
        <f>VLOOKUP(A176,'Trips&amp;Operators'!$C$1:$G$99999,5,FALSE)</f>
        <v>LOZA FIDEL</v>
      </c>
      <c r="M176" s="6">
        <f>I176-F176</f>
        <v>8.9004629626288079E-3</v>
      </c>
      <c r="N176" s="7">
        <f>24*60*SUM($M176:$M176)</f>
        <v>12.816666666185483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-20T10:17:15-0600',mode:absolute,to:'2017-04-20T12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9.8299999999999998E-2</v>
      </c>
      <c r="Z176" s="62">
        <f>RIGHT(H176,LEN(H176)-4)/10000</f>
        <v>5.8963000000000001</v>
      </c>
      <c r="AA176" s="62">
        <f>ABS(Z176-Y176)</f>
        <v>5.798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0817-20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/stypes="app*4020*20170420*" /stext=" 17:.+((SYSTEM_STATE.+slice.+state.+changed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5"/>
        <v>"%USERPROFILE%\Documents\GitHub\eaglep3\Utilities\RefineRTDCRunTimes.py" --tripid 817-20 --locoid 4020 --swversion DE.1.0.9.0 --startMP 204:983 --initTime 2017-04-20T11:17:15 --startdatetime 2017-04-20T11:21:19 --delay 1 --endMP 300:58963 --enddatetime 2017-04-20T11:34:08 --enforcementcount 0 &gt;&gt;C:\Users\stu\Documents\GitHub\eaglep3-reporting\EC\2017-04-20-refined-times.txt</v>
      </c>
      <c r="AI176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{"issue":{"subject":"","project_id":79,"tracker_id":40,"status_id":1,"priority_id":2,"assigned_to_id":23,"start_date":"2017-04-20","description":"","custom_fields":[{"id":1,"name":"Subdivision","value":"NW"},{"id":4,"name":"Milepost","value":"5.8963"},{"id":17,"name":"Train ID","value":"817-20"},{"id":16,"name":"Locomotive ID","value":"4020"},{"id":130,"name":"Impact","value":""},{"id":150,"name":"Time of Event (Mountain Time)","value":"11:34:08"},{"id":151,"name":"Denver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7"/>
        <v>start /low /b %USERPROFILE%\Documents\GitHub\eaglep3\Utilities\DownloadLogsFromS3.py --loco 4020 --day 2017-04-20</v>
      </c>
      <c r="AN176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722</v>
      </c>
      <c r="B177" s="7">
        <v>4019</v>
      </c>
      <c r="C177" s="21" t="s">
        <v>213</v>
      </c>
      <c r="D177" s="21" t="s">
        <v>602</v>
      </c>
      <c r="E177" s="13">
        <v>42845.483287037037</v>
      </c>
      <c r="F177" s="13">
        <v>42845.484872685185</v>
      </c>
      <c r="G177" s="7">
        <v>1</v>
      </c>
      <c r="H177" s="21" t="s">
        <v>609</v>
      </c>
      <c r="I177" s="13">
        <v>42845.496631944443</v>
      </c>
      <c r="J177" s="7">
        <v>0</v>
      </c>
      <c r="K177" s="97" t="str">
        <f>IF(ISEVEN(B177),(B177-1)&amp;"/"&amp;B177,B177&amp;"/"&amp;(B177+1))</f>
        <v>4019/4020</v>
      </c>
      <c r="L177" s="21" t="str">
        <f>VLOOKUP(A177,'Trips&amp;Operators'!$C$1:$G$99999,5,FALSE)</f>
        <v>LOZA FIDEL</v>
      </c>
      <c r="M177" s="6">
        <f>I177-F177</f>
        <v>1.1759259257814847E-2</v>
      </c>
      <c r="N177" s="7">
        <f>24*60*SUM($M177:$M177)</f>
        <v>16.93333333125338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-20T10:35:56-0600',mode:absolute,to:'2017-04-20T12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5.8640999999999996</v>
      </c>
      <c r="Z177" s="62">
        <f>RIGHT(H177,LEN(H177)-4)/10000</f>
        <v>6.8400000000000002E-2</v>
      </c>
      <c r="AA177" s="62">
        <f>ABS(Z177-Y177)</f>
        <v>5.7957000000000001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0818-20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/stypes="app*4019*20170420*" /stext=" 17:.+((SYSTEM_STATE.+slice.+state.+changed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5"/>
        <v>"%USERPROFILE%\Documents\GitHub\eaglep3\Utilities\RefineRTDCRunTimes.py" --tripid 818-20 --locoid 4019 --swversion DE.1.0.9.0 --startMP 300:58641 --initTime 2017-04-20T11:35:56 --startdatetime 2017-04-20T11:38:13 --delay 1 --endMP 204:684 --enddatetime 2017-04-20T11:55:09 --enforcementcount 0 &gt;&gt;C:\Users\stu\Documents\GitHub\eaglep3-reporting\EC\2017-04-20-refined-times.txt</v>
      </c>
      <c r="AI177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{"issue":{"subject":"","project_id":79,"tracker_id":40,"status_id":1,"priority_id":2,"assigned_to_id":23,"start_date":"2017-04-20","description":"","custom_fields":[{"id":1,"name":"Subdivision","value":"NW"},{"id":4,"name":"Milepost","value":"0.0684"},{"id":17,"name":"Train ID","value":"818-20"},{"id":16,"name":"Locomotive ID","value":"4019"},{"id":130,"name":"Impact","value":""},{"id":150,"name":"Time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7"/>
        <v>start /low /b %USERPROFILE%\Documents\GitHub\eaglep3\Utilities\DownloadLogsFromS3.py --loco 4019 --day 2017-04-20</v>
      </c>
      <c r="AN177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728</v>
      </c>
      <c r="B178" s="7">
        <v>4020</v>
      </c>
      <c r="C178" s="21" t="s">
        <v>213</v>
      </c>
      <c r="D178" s="21" t="s">
        <v>499</v>
      </c>
      <c r="E178" s="13">
        <v>42845.510671296295</v>
      </c>
      <c r="F178" s="13">
        <v>42845.514791666668</v>
      </c>
      <c r="G178" s="7">
        <v>1</v>
      </c>
      <c r="H178" s="21" t="s">
        <v>981</v>
      </c>
      <c r="I178" s="13">
        <v>42845.523599537039</v>
      </c>
      <c r="J178" s="7">
        <v>0</v>
      </c>
      <c r="K178" s="97" t="str">
        <f>IF(ISEVEN(B178),(B178-1)&amp;"/"&amp;B178,B178&amp;"/"&amp;(B178+1))</f>
        <v>4019/4020</v>
      </c>
      <c r="L178" s="21" t="str">
        <f>VLOOKUP(A178,'Trips&amp;Operators'!$C$1:$G$99999,5,FALSE)</f>
        <v>LOZA FIDEL</v>
      </c>
      <c r="M178" s="6">
        <f>I178-F178</f>
        <v>8.8078703702194616E-3</v>
      </c>
      <c r="N178" s="7">
        <f>24*60*SUM($M178:$M178)</f>
        <v>12.683333333116025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-20T11:15:22-0600',mode:absolute,to:'2017-04-20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9.74E-2</v>
      </c>
      <c r="Z178" s="62">
        <f>RIGHT(H178,LEN(H178)-4)/10000</f>
        <v>5.8960999999999997</v>
      </c>
      <c r="AA178" s="62">
        <f>ABS(Z178-Y178)</f>
        <v>5.7986999999999993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0819-20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/stypes="app*4020*20170420*" /stext=" 18:.+((SYSTEM_STATE.+slice.+state.+changed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5"/>
        <v>"%USERPROFILE%\Documents\GitHub\eaglep3\Utilities\RefineRTDCRunTimes.py" --tripid 819-20 --locoid 4020 --swversion DE.1.0.9.0 --startMP 204:974 --initTime 2017-04-20T12:15:22 --startdatetime 2017-04-20T12:21:18 --delay 1 --endMP 300:58961 --enddatetime 2017-04-20T12:33:59 --enforcementcount 0 &gt;&gt;C:\Users\stu\Documents\GitHub\eaglep3-reporting\EC\2017-04-20-refined-times.txt</v>
      </c>
      <c r="AI178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ID","value":"819-20"},{"id":16,"name":"Locomotive ID","value":"4020"},{"id":130,"name":"Impact","value":""},{"id":150,"name":"Time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7"/>
        <v>start /low /b %USERPROFILE%\Documents\GitHub\eaglep3\Utilities\DownloadLogsFromS3.py --loco 4020 --day 2017-04-20</v>
      </c>
      <c r="AN178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734</v>
      </c>
      <c r="B179" s="7">
        <v>4019</v>
      </c>
      <c r="C179" s="21" t="s">
        <v>213</v>
      </c>
      <c r="D179" s="21" t="s">
        <v>982</v>
      </c>
      <c r="E179" s="13">
        <v>42845.524918981479</v>
      </c>
      <c r="F179" s="13">
        <v>42845.526504629626</v>
      </c>
      <c r="G179" s="7">
        <v>1</v>
      </c>
      <c r="H179" s="21" t="s">
        <v>983</v>
      </c>
      <c r="I179" s="13">
        <v>42845.538344907407</v>
      </c>
      <c r="J179" s="7">
        <v>0</v>
      </c>
      <c r="K179" s="97" t="str">
        <f>IF(ISEVEN(B179),(B179-1)&amp;"/"&amp;B179,B179&amp;"/"&amp;(B179+1))</f>
        <v>4019/4020</v>
      </c>
      <c r="L179" s="21" t="str">
        <f>VLOOKUP(A179,'Trips&amp;Operators'!$C$1:$G$99999,5,FALSE)</f>
        <v>LOZA FIDEL</v>
      </c>
      <c r="M179" s="6">
        <f>I179-F179</f>
        <v>1.1840277780720498E-2</v>
      </c>
      <c r="N179" s="7">
        <f>24*60*SUM($M179:$M179)</f>
        <v>17.050000004237518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-20T11:35:53-0600',mode:absolute,to:'2017-04-20T13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5.8647</v>
      </c>
      <c r="Z179" s="62">
        <f>RIGHT(H179,LEN(H179)-4)/10000</f>
        <v>7.1199999999999999E-2</v>
      </c>
      <c r="AA179" s="62">
        <f>ABS(Z179-Y179)</f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0820-20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/stypes="app*4019*20170420*" /stext=" 18:.+((SYSTEM_STATE.+slice.+state.+changed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5"/>
        <v>"%USERPROFILE%\Documents\GitHub\eaglep3\Utilities\RefineRTDCRunTimes.py" --tripid 820-20 --locoid 4019 --swversion DE.1.0.9.0 --startMP 300:58647 --initTime 2017-04-20T12:35:53 --startdatetime 2017-04-20T12:38:10 --delay 1 --endMP 204:712 --enddatetime 2017-04-20T12:55:13 --enforcementcount 0 &gt;&gt;C:\Users\stu\Documents\GitHub\eaglep3-reporting\EC\2017-04-20-refined-times.txt</v>
      </c>
      <c r="AI179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{"issue":{"subject":"","project_id":79,"tracker_id":40,"status_id":1,"priority_id":2,"assigned_to_id":23,"start_date":"2017-04-20","description":"","custom_fields":[{"id":1,"name":"Subdivision","value":"NW"},{"id":4,"name":"Milepost","value":"0.0712"},{"id":17,"name":"Train ID","value":"820-20"},{"id":16,"name":"Locomotive ID","value":"4019"},{"id":130,"name":"Impact","value":""},{"id":150,"name":"Time of Event (Mountain Time)","value":"12:55:13"},{"id":151,"name":"Denver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7"/>
        <v>start /low /b %USERPROFILE%\Documents\GitHub\eaglep3\Utilities\DownloadLogsFromS3.py --loco 4019 --day 2017-04-20</v>
      </c>
      <c r="AN179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18:55:13"},{"id":29,"name":"Sharepoint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739</v>
      </c>
      <c r="B180" s="7">
        <v>4020</v>
      </c>
      <c r="C180" s="21" t="s">
        <v>213</v>
      </c>
      <c r="D180" s="21" t="s">
        <v>499</v>
      </c>
      <c r="E180" s="13">
        <v>42845.548425925925</v>
      </c>
      <c r="F180" s="13">
        <v>42845.55641203704</v>
      </c>
      <c r="G180" s="7">
        <v>1</v>
      </c>
      <c r="H180" s="21" t="s">
        <v>534</v>
      </c>
      <c r="I180" s="13">
        <v>42845.566006944442</v>
      </c>
      <c r="J180" s="7">
        <v>0</v>
      </c>
      <c r="K180" s="97" t="str">
        <f>IF(ISEVEN(B180),(B180-1)&amp;"/"&amp;B180,B180&amp;"/"&amp;(B180+1))</f>
        <v>4019/4020</v>
      </c>
      <c r="L180" s="21" t="str">
        <f>VLOOKUP(A180,'Trips&amp;Operators'!$C$1:$G$99999,5,FALSE)</f>
        <v>THOMPSON LESTER</v>
      </c>
      <c r="M180" s="6">
        <f>I180-F180</f>
        <v>9.594907402060926E-3</v>
      </c>
      <c r="N180" s="7">
        <f>24*60*SUM($M180:$M180)</f>
        <v>13.816666658967733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-20T12:09:44-0600',mode:absolute,to:'2017-04-20T14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9.74E-2</v>
      </c>
      <c r="Z180" s="62">
        <f>RIGHT(H180,LEN(H180)-4)/10000</f>
        <v>5.8948</v>
      </c>
      <c r="AA180" s="62">
        <f>ABS(Z180-Y180)</f>
        <v>5.7973999999999997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0821-20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/stypes="app*4020*20170420*" /stext=" 19:.+((SYSTEM_STATE.+slice.+state.+changed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5"/>
        <v>"%USERPROFILE%\Documents\GitHub\eaglep3\Utilities\RefineRTDCRunTimes.py" --tripid 821-20 --locoid 4020 --swversion DE.1.0.9.0 --startMP 204:974 --initTime 2017-04-20T13:09:44 --startdatetime 2017-04-20T13:21:14 --delay 1 --endMP 300:58948 --enddatetime 2017-04-20T13:35:03 --enforcementcount 0 &gt;&gt;C:\Users\stu\Documents\GitHub\eaglep3-reporting\EC\2017-04-20-refined-times.txt</v>
      </c>
      <c r="AI180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ID","value":"821-20"},{"id":16,"name":"Locomotive ID","value":"4020"},{"id":130,"name":"Impact","value":""},{"id":150,"name":"Time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17"/>
        <v>start /low /b %USERPROFILE%\Documents\GitHub\eaglep3\Utilities\DownloadLogsFromS3.py --loco 4020 --day 2017-04-20</v>
      </c>
      <c r="AN180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3" t="s">
        <v>745</v>
      </c>
      <c r="B181" s="7">
        <v>4019</v>
      </c>
      <c r="C181" s="21" t="s">
        <v>213</v>
      </c>
      <c r="D181" s="21" t="s">
        <v>535</v>
      </c>
      <c r="E181" s="13">
        <v>42845.567025462966</v>
      </c>
      <c r="F181" s="13">
        <v>42845.568958333337</v>
      </c>
      <c r="G181" s="7">
        <v>1</v>
      </c>
      <c r="H181" s="21" t="s">
        <v>984</v>
      </c>
      <c r="I181" s="13">
        <v>42845.580231481479</v>
      </c>
      <c r="J181" s="7">
        <v>0</v>
      </c>
      <c r="K181" s="97" t="str">
        <f>IF(ISEVEN(B181),(B181-1)&amp;"/"&amp;B181,B181&amp;"/"&amp;(B181+1))</f>
        <v>4019/4020</v>
      </c>
      <c r="L181" s="21" t="str">
        <f>VLOOKUP(A181,'Trips&amp;Operators'!$C$1:$G$99999,5,FALSE)</f>
        <v>THOMPSON LESTER</v>
      </c>
      <c r="M181" s="6">
        <f>I181-F181</f>
        <v>1.1273148142208811E-2</v>
      </c>
      <c r="N181" s="7">
        <f>24*60*SUM($M181:$M181)</f>
        <v>16.233333324780688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-20T12:36:31-0600',mode:absolute,to:'2017-04-20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5.8635999999999999</v>
      </c>
      <c r="Z181" s="62">
        <f>RIGHT(H181,LEN(H181)-4)/10000</f>
        <v>6.9800000000000001E-2</v>
      </c>
      <c r="AA181" s="62">
        <f>ABS(Z181-Y181)</f>
        <v>5.7938000000000001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0822-20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/stypes="app*4019*20170420*" /stext=" 19:.+((SYSTEM_STATE.+slice.+state.+changed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5"/>
        <v>"%USERPROFILE%\Documents\GitHub\eaglep3\Utilities\RefineRTDCRunTimes.py" --tripid 822-20 --locoid 4019 --swversion DE.1.0.9.0 --startMP 300:58636 --initTime 2017-04-20T13:36:31 --startdatetime 2017-04-20T13:39:18 --delay 1 --endMP 204:698 --enddatetime 2017-04-20T13:55:32 --enforcementcount 0 &gt;&gt;C:\Users\stu\Documents\GitHub\eaglep3-reporting\EC\2017-04-20-refined-times.txt</v>
      </c>
      <c r="AI181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{"issue":{"subject":"","project_id":79,"tracker_id":40,"status_id":1,"priority_id":2,"assigned_to_id":23,"start_date":"2017-04-20","description":"","custom_fields":[{"id":1,"name":"Subdivision","value":"NW"},{"id":4,"name":"Milepost","value":"0.0698"},{"id":17,"name":"Train ID","value":"822-20"},{"id":16,"name":"Locomotive ID","value":"4019"},{"id":130,"name":"Impact","value":""},{"id":150,"name":"Time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17"/>
        <v>start /low /b %USERPROFILE%\Documents\GitHub\eaglep3\Utilities\DownloadLogsFromS3.py --loco 4019 --day 2017-04-20</v>
      </c>
      <c r="AN181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3" t="s">
        <v>751</v>
      </c>
      <c r="B182" s="7">
        <v>4020</v>
      </c>
      <c r="C182" s="21" t="s">
        <v>213</v>
      </c>
      <c r="D182" s="21" t="s">
        <v>502</v>
      </c>
      <c r="E182" s="13">
        <v>42845.592164351852</v>
      </c>
      <c r="F182" s="13">
        <v>42845.598101851851</v>
      </c>
      <c r="G182" s="7">
        <v>1</v>
      </c>
      <c r="H182" s="21" t="s">
        <v>981</v>
      </c>
      <c r="I182" s="13">
        <v>42845.608576388891</v>
      </c>
      <c r="J182" s="7">
        <v>0</v>
      </c>
      <c r="K182" s="97" t="str">
        <f>IF(ISEVEN(B182),(B182-1)&amp;"/"&amp;B182,B182&amp;"/"&amp;(B182+1))</f>
        <v>4019/4020</v>
      </c>
      <c r="L182" s="21" t="str">
        <f>VLOOKUP(A182,'Trips&amp;Operators'!$C$1:$G$99999,5,FALSE)</f>
        <v>THOMPSON LESTER</v>
      </c>
      <c r="M182" s="6">
        <f>I182-F182</f>
        <v>1.0474537040863652E-2</v>
      </c>
      <c r="N182" s="7">
        <f>24*60*SUM($M182:$M182)</f>
        <v>15.083333338843659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-20T13:12:43-0600',mode:absolute,to:'2017-04-20T15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9.7199999999999995E-2</v>
      </c>
      <c r="Z182" s="62">
        <f>RIGHT(H182,LEN(H182)-4)/10000</f>
        <v>5.8960999999999997</v>
      </c>
      <c r="AA182" s="62">
        <f>ABS(Z182-Y182)</f>
        <v>5.7988999999999997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0823-20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/stypes="app*4020*20170420*" /stext=" 20:.+((SYSTEM_STATE.+slice.+state.+changed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5"/>
        <v>"%USERPROFILE%\Documents\GitHub\eaglep3\Utilities\RefineRTDCRunTimes.py" --tripid 823-20 --locoid 4020 --swversion DE.1.0.9.0 --startMP 204:972 --initTime 2017-04-20T14:12:43 --startdatetime 2017-04-20T14:21:16 --delay 1 --endMP 300:58961 --enddatetime 2017-04-20T14:36:21 --enforcementcount 0 &gt;&gt;C:\Users\stu\Documents\GitHub\eaglep3-reporting\EC\2017-04-20-refined-times.txt</v>
      </c>
      <c r="AI182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ID","value":"823-20"},{"id":16,"name":"Locomotive ID","value":"4020"},{"id":130,"name":"Impact","value":""},{"id":150,"name":"Time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8"/>
      <c r="AL182" s="48"/>
      <c r="AM182" s="150" t="str">
        <f t="shared" si="17"/>
        <v>start /low /b %USERPROFILE%\Documents\GitHub\eaglep3\Utilities\DownloadLogsFromS3.py --loco 4020 --day 2017-04-20</v>
      </c>
      <c r="AN182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757</v>
      </c>
      <c r="B183" s="7">
        <v>4019</v>
      </c>
      <c r="C183" s="21" t="s">
        <v>213</v>
      </c>
      <c r="D183" s="21" t="s">
        <v>982</v>
      </c>
      <c r="E183" s="13">
        <v>42845.609722222223</v>
      </c>
      <c r="F183" s="13">
        <v>42845.61141203704</v>
      </c>
      <c r="G183" s="7">
        <v>1</v>
      </c>
      <c r="H183" s="21" t="s">
        <v>536</v>
      </c>
      <c r="I183" s="13">
        <v>42845.623888888891</v>
      </c>
      <c r="J183" s="7">
        <v>0</v>
      </c>
      <c r="K183" s="97" t="str">
        <f>IF(ISEVEN(B183),(B183-1)&amp;"/"&amp;B183,B183&amp;"/"&amp;(B183+1))</f>
        <v>4019/4020</v>
      </c>
      <c r="L183" s="21" t="str">
        <f>VLOOKUP(A183,'Trips&amp;Operators'!$C$1:$G$99999,5,FALSE)</f>
        <v>THOMPSON LESTER</v>
      </c>
      <c r="M183" s="6">
        <f>I183-F183</f>
        <v>1.247685185080627E-2</v>
      </c>
      <c r="N183" s="7">
        <f>24*60*SUM($M183:$M183)</f>
        <v>17.966666665161029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-20T13:38:00-0600',mode:absolute,to:'2017-04-20T15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5.8647</v>
      </c>
      <c r="Z183" s="62">
        <f>RIGHT(H183,LEN(H183)-4)/10000</f>
        <v>6.7699999999999996E-2</v>
      </c>
      <c r="AA183" s="62">
        <f>ABS(Z183-Y183)</f>
        <v>5.7969999999999997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0824-20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/stypes="app*4019*20170420*" /stext=" 20:.+((SYSTEM_STATE.+slice.+state.+changed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5"/>
        <v>"%USERPROFILE%\Documents\GitHub\eaglep3\Utilities\RefineRTDCRunTimes.py" --tripid 824-20 --locoid 4019 --swversion DE.1.0.9.0 --startMP 300:58647 --initTime 2017-04-20T14:38:00 --startdatetime 2017-04-20T14:40:26 --delay 1 --endMP 204:677 --enddatetime 2017-04-20T14:58:24 --enforcementcount 0 &gt;&gt;C:\Users\stu\Documents\GitHub\eaglep3-reporting\EC\2017-04-20-refined-times.txt</v>
      </c>
      <c r="AI183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{"issue":{"subject":"","project_id":79,"tracker_id":40,"status_id":1,"priority_id":2,"assigned_to_id":23,"start_date":"2017-04-20","description":"","custom_fields":[{"id":1,"name":"Subdivision","value":"NW"},{"id":4,"name":"Milepost","value":"0.0677"},{"id":17,"name":"Train ID","value":"824-20"},{"id":16,"name":"Locomotive ID","value":"4019"},{"id":130,"name":"Impact","value":""},{"id":150,"name":"Time of Event (Mountain Time)","value":"14:58:24"},{"id":151,"name":"Denver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7"/>
        <v>start /low /b %USERPROFILE%\Documents\GitHub\eaglep3\Utilities\DownloadLogsFromS3.py --loco 4019 --day 2017-04-20</v>
      </c>
      <c r="AN183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761</v>
      </c>
      <c r="B184" s="7">
        <v>4020</v>
      </c>
      <c r="C184" s="21" t="s">
        <v>213</v>
      </c>
      <c r="D184" s="21" t="s">
        <v>985</v>
      </c>
      <c r="E184" s="13">
        <v>42845.629212962966</v>
      </c>
      <c r="F184" s="13">
        <v>42845.639861111114</v>
      </c>
      <c r="G184" s="7">
        <v>1</v>
      </c>
      <c r="H184" s="21" t="s">
        <v>986</v>
      </c>
      <c r="I184" s="13">
        <v>42845.649351851855</v>
      </c>
      <c r="J184" s="7">
        <v>0</v>
      </c>
      <c r="K184" s="97" t="str">
        <f>IF(ISEVEN(B184),(B184-1)&amp;"/"&amp;B184,B184&amp;"/"&amp;(B184+1))</f>
        <v>4019/4020</v>
      </c>
      <c r="L184" s="21" t="str">
        <f>VLOOKUP(A184,'Trips&amp;Operators'!$C$1:$G$99999,5,FALSE)</f>
        <v>THOMPSON LESTER</v>
      </c>
      <c r="M184" s="6">
        <f>I184-F184</f>
        <v>9.4907407401478849E-3</v>
      </c>
      <c r="N184" s="7">
        <f>24*60*SUM($M184:$M184)</f>
        <v>13.666666665812954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-20T14:06:04-0600',mode:absolute,to:'2017-04-20T16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9.8799999999999999E-2</v>
      </c>
      <c r="Z184" s="62">
        <f>RIGHT(H184,LEN(H184)-4)/10000</f>
        <v>5.8967000000000001</v>
      </c>
      <c r="AA184" s="62">
        <f>ABS(Z184-Y184)</f>
        <v>5.7979000000000003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0825-20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/stypes="app*4020*20170420*" /stext=" 21:.+((SYSTEM_STATE.+slice.+state.+changed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5"/>
        <v>"%USERPROFILE%\Documents\GitHub\eaglep3\Utilities\RefineRTDCRunTimes.py" --tripid 825-20 --locoid 4020 --swversion DE.1.0.9.0 --startMP 204:988 --initTime 2017-04-20T15:06:04 --startdatetime 2017-04-20T15:21:24 --delay 1 --endMP 300:58967 --enddatetime 2017-04-20T15:35:04 --enforcementcount 0 &gt;&gt;C:\Users\stu\Documents\GitHub\eaglep3-reporting\EC\2017-04-20-refined-times.txt</v>
      </c>
      <c r="AI184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{"issue":{"subject":"","project_id":79,"tracker_id":40,"status_id":1,"priority_id":2,"assigned_to_id":23,"start_date":"2017-04-20","description":"","custom_fields":[{"id":1,"name":"Subdivision","value":"NW"},{"id":4,"name":"Milepost","value":"5.8967"},{"id":17,"name":"Train ID","value":"825-20"},{"id":16,"name":"Locomotive ID","value":"4020"},{"id":130,"name":"Impact","value":""},{"id":150,"name":"Time of Event (Mountain Time)","value":"15:35:04"},{"id":151,"name":"Denver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17"/>
        <v>start /low /b %USERPROFILE%\Documents\GitHub\eaglep3\Utilities\DownloadLogsFromS3.py --loco 4020 --day 2017-04-20</v>
      </c>
      <c r="AN184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766</v>
      </c>
      <c r="B185" s="7">
        <v>4019</v>
      </c>
      <c r="C185" s="21" t="s">
        <v>213</v>
      </c>
      <c r="D185" s="21" t="s">
        <v>975</v>
      </c>
      <c r="E185" s="13">
        <v>42845.650347222225</v>
      </c>
      <c r="F185" s="13">
        <v>42845.653333333335</v>
      </c>
      <c r="G185" s="7">
        <v>1</v>
      </c>
      <c r="H185" s="21" t="s">
        <v>537</v>
      </c>
      <c r="I185" s="13">
        <v>42845.665555555555</v>
      </c>
      <c r="J185" s="7">
        <v>0</v>
      </c>
      <c r="K185" s="97" t="str">
        <f>IF(ISEVEN(B185),(B185-1)&amp;"/"&amp;B185,B185&amp;"/"&amp;(B185+1))</f>
        <v>4019/4020</v>
      </c>
      <c r="L185" s="21" t="str">
        <f>VLOOKUP(A185,'Trips&amp;Operators'!$C$1:$G$99999,5,FALSE)</f>
        <v>THOMPSON LESTER</v>
      </c>
      <c r="M185" s="6">
        <f>I185-F185</f>
        <v>1.2222222219861578E-2</v>
      </c>
      <c r="N185" s="7">
        <f>24*60*SUM($M185:$M185)</f>
        <v>17.599999996600673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-20T14:36:30-0600',mode:absolute,to:'2017-04-20T16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5.8643000000000001</v>
      </c>
      <c r="Z185" s="62">
        <f>RIGHT(H185,LEN(H185)-4)/10000</f>
        <v>6.9599999999999995E-2</v>
      </c>
      <c r="AA185" s="62">
        <f>ABS(Z185-Y185)</f>
        <v>5.7946999999999997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0826-20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/stypes="app*4019*20170420*" /stext=" 21:.+((SYSTEM_STATE.+slice.+state.+changed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5"/>
        <v>"%USERPROFILE%\Documents\GitHub\eaglep3\Utilities\RefineRTDCRunTimes.py" --tripid 826-20 --locoid 4019 --swversion DE.1.0.9.0 --startMP 300:58643 --initTime 2017-04-20T15:36:30 --startdatetime 2017-04-20T15:40:48 --delay 1 --endMP 204:696 --enddatetime 2017-04-20T15:58:24 --enforcementcount 0 &gt;&gt;C:\Users\stu\Documents\GitHub\eaglep3-reporting\EC\2017-04-20-refined-times.txt</v>
      </c>
      <c r="AI185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ID","value":"826-20"},{"id":16,"name":"Locomotive ID","value":"4019"},{"id":130,"name":"Impact","value":""},{"id":150,"name":"Time of Event (Mountain Time)","value":"15:58:24"},{"id":151,"name":"Denver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17"/>
        <v>start /low /b %USERPROFILE%\Documents\GitHub\eaglep3\Utilities\DownloadLogsFromS3.py --loco 4019 --day 2017-04-20</v>
      </c>
      <c r="AN185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765</v>
      </c>
      <c r="B186" s="7">
        <v>4030</v>
      </c>
      <c r="C186" s="21" t="s">
        <v>213</v>
      </c>
      <c r="D186" s="21" t="s">
        <v>987</v>
      </c>
      <c r="E186" s="13">
        <v>42845.649756944447</v>
      </c>
      <c r="F186" s="13">
        <v>42845.660868055558</v>
      </c>
      <c r="G186" s="7">
        <v>2</v>
      </c>
      <c r="H186" s="21" t="s">
        <v>501</v>
      </c>
      <c r="I186" s="13">
        <v>42845.670127314814</v>
      </c>
      <c r="J186" s="7">
        <v>0</v>
      </c>
      <c r="K186" s="97" t="str">
        <f>IF(ISEVEN(B186),(B186-1)&amp;"/"&amp;B186,B186&amp;"/"&amp;(B186+1))</f>
        <v>4029/4030</v>
      </c>
      <c r="L186" s="21" t="str">
        <f>VLOOKUP(A186,'Trips&amp;Operators'!$C$1:$G$99999,5,FALSE)</f>
        <v>STORY SAMANTHA</v>
      </c>
      <c r="M186" s="6">
        <f>I186-F186</f>
        <v>9.2592592554865405E-3</v>
      </c>
      <c r="N186" s="7">
        <f>24*60*SUM($M186:$M186)</f>
        <v>13.333333327900618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-20T14:35:39-0600',mode:absolute,to:'2017-04-20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0.1013</v>
      </c>
      <c r="Z186" s="62">
        <f>RIGHT(H186,LEN(H186)-4)/10000</f>
        <v>5.8944000000000001</v>
      </c>
      <c r="AA186" s="62">
        <f>ABS(Z186-Y186)</f>
        <v>5.7930999999999999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0827-20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/stypes="app*4030*20170420*"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5"/>
        <v>"%USERPROFILE%\Documents\GitHub\eaglep3\Utilities\RefineRTDCRunTimes.py" --tripid 827-20 --locoid 4030 --swversion DE.1.0.9.0 --startMP 204:1013 --initTime 2017-04-20T15:35:39 --startdatetime 2017-04-20T15:51:39 --delay 2 --endMP 300:58944 --enddatetime 2017-04-20T16:04:59 --enforcementcount 0 &gt;&gt;C:\Users\stu\Documents\GitHub\eaglep3-reporting\EC\2017-04-20-refined-times.txt</v>
      </c>
      <c r="AI186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{"issue":{"subject":"","project_id":79,"tracker_id":40,"status_id":1,"priority_id":2,"assigned_to_id":23,"start_date":"2017-04-20","description":"","custom_fields":[{"id":1,"name":"Subdivision","value":"NW"},{"id":4,"name":"Milepost","value":"5.8944"},{"id":17,"name":"Train ID","value":"827-20"},{"id":16,"name":"Locomotive ID","value":"4030"},{"id":130,"name":"Impact","value":""},{"id":150,"name":"Time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17"/>
        <v>start /low /b %USERPROFILE%\Documents\GitHub\eaglep3\Utilities\DownloadLogsFromS3.py --loco 4030 --day 2017-04-20</v>
      </c>
      <c r="AN186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636</v>
      </c>
      <c r="B187" s="7">
        <v>4029</v>
      </c>
      <c r="C187" s="21" t="s">
        <v>213</v>
      </c>
      <c r="D187" s="21" t="s">
        <v>500</v>
      </c>
      <c r="E187" s="13">
        <v>42845.670902777776</v>
      </c>
      <c r="F187" s="13">
        <v>42845.672199074077</v>
      </c>
      <c r="G187" s="7">
        <v>1</v>
      </c>
      <c r="H187" s="21" t="s">
        <v>988</v>
      </c>
      <c r="I187" s="13">
        <v>42845.684664351851</v>
      </c>
      <c r="J187" s="7">
        <v>0</v>
      </c>
      <c r="K187" s="97" t="str">
        <f>IF(ISEVEN(B187),(B187-1)&amp;"/"&amp;B187,B187&amp;"/"&amp;(B187+1))</f>
        <v>4029/4030</v>
      </c>
      <c r="L187" s="21" t="str">
        <f>VLOOKUP(A187,'Trips&amp;Operators'!$C$1:$G$99999,5,FALSE)</f>
        <v>STORY SAMANTHA</v>
      </c>
      <c r="M187" s="6">
        <f>I187-F187</f>
        <v>1.2465277774026617E-2</v>
      </c>
      <c r="N187" s="7">
        <f>24*60*SUM($M187:$M187)</f>
        <v>17.949999994598329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5.8634000000000004</v>
      </c>
      <c r="Z187" s="62">
        <f>RIGHT(H187,LEN(H187)-4)/10000</f>
        <v>6.9099999999999995E-2</v>
      </c>
      <c r="AA187" s="62">
        <f>ABS(Z187-Y187)</f>
        <v>5.7943000000000007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0828-20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/stypes="app*4029*20170420*"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5"/>
        <v>"%USERPROFILE%\Documents\GitHub\eaglep3\Utilities\RefineRTDCRunTimes.py" --tripid 828-20 --locoid 4029 --swversion DE.1.0.9.0 --startMP 300:58634 --initTime 2017-04-20T16:06:06 --startdatetime 2017-04-20T16:07:58 --delay 1 --endMP 204:691 --enddatetime 2017-04-20T16:25:55 --enforcementcount 0 &gt;&gt;C:\Users\stu\Documents\GitHub\eaglep3-reporting\EC\2017-04-20-refined-times.txt</v>
      </c>
      <c r="AI187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17"/>
        <v>start /low /b %USERPROFILE%\Documents\GitHub\eaglep3\Utilities\DownloadLogsFromS3.py --loco 4029 --day 2017-04-20</v>
      </c>
      <c r="AN187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772</v>
      </c>
      <c r="B188" s="7">
        <v>4020</v>
      </c>
      <c r="C188" s="21" t="s">
        <v>213</v>
      </c>
      <c r="D188" s="21" t="s">
        <v>989</v>
      </c>
      <c r="E188" s="13">
        <v>42845.67454861111</v>
      </c>
      <c r="F188" s="13">
        <v>42845.681631944448</v>
      </c>
      <c r="G188" s="7">
        <v>1</v>
      </c>
      <c r="H188" s="21" t="s">
        <v>990</v>
      </c>
      <c r="I188" s="13">
        <v>42845.692013888889</v>
      </c>
      <c r="J188" s="7">
        <v>0</v>
      </c>
      <c r="K188" s="97" t="str">
        <f>IF(ISEVEN(B188),(B188-1)&amp;"/"&amp;B188,B188&amp;"/"&amp;(B188+1))</f>
        <v>4019/4020</v>
      </c>
      <c r="L188" s="21" t="str">
        <f>VLOOKUP(A188,'Trips&amp;Operators'!$C$1:$G$99999,5,FALSE)</f>
        <v>THOMPSON LESTER</v>
      </c>
      <c r="M188" s="6">
        <f>I188-F188</f>
        <v>1.0381944441178348E-2</v>
      </c>
      <c r="N188" s="7">
        <f>24*60*SUM($M188:$M188)</f>
        <v>14.949999995296821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-20T15:11:21-0600',mode:absolute,to:'2017-04-20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9.69E-2</v>
      </c>
      <c r="Z188" s="62">
        <f>RIGHT(H188,LEN(H188)-4)/10000</f>
        <v>5.8971</v>
      </c>
      <c r="AA188" s="62">
        <f>ABS(Z188-Y188)</f>
        <v>5.8002000000000002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0829-20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/stypes="app*4020*20170420*" /stext=" 22:.+((SYSTEM_STATE.+slice.+state.+changed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5"/>
        <v>"%USERPROFILE%\Documents\GitHub\eaglep3\Utilities\RefineRTDCRunTimes.py" --tripid 829-20 --locoid 4020 --swversion DE.1.0.9.0 --startMP 204:969 --initTime 2017-04-20T16:11:21 --startdatetime 2017-04-20T16:21:33 --delay 1 --endMP 300:58971 --enddatetime 2017-04-20T16:36:30 --enforcementcount 0 &gt;&gt;C:\Users\stu\Documents\GitHub\eaglep3-reporting\EC\2017-04-20-refined-times.txt</v>
      </c>
      <c r="AI188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{"issue":{"subject":"","project_id":79,"tracker_id":40,"status_id":1,"priority_id":2,"assigned_to_id":23,"start_date":"2017-04-20","description":"","custom_fields":[{"id":1,"name":"Subdivision","value":"NW"},{"id":4,"name":"Milepost","value":"5.8971"},{"id":17,"name":"Train ID","value":"829-20"},{"id":16,"name":"Locomotive ID","value":"4020"},{"id":130,"name":"Impact","value":""},{"id":150,"name":"Time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17"/>
        <v>start /low /b %USERPROFILE%\Documents\GitHub\eaglep3\Utilities\DownloadLogsFromS3.py --loco 4020 --day 2017-04-20</v>
      </c>
      <c r="AN188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775</v>
      </c>
      <c r="B189" s="7">
        <v>4019</v>
      </c>
      <c r="C189" s="21" t="s">
        <v>213</v>
      </c>
      <c r="D189" s="21" t="s">
        <v>991</v>
      </c>
      <c r="E189" s="13">
        <v>42845.693206018521</v>
      </c>
      <c r="F189" s="13">
        <v>42845.695277777777</v>
      </c>
      <c r="G189" s="7">
        <v>1</v>
      </c>
      <c r="H189" s="21" t="s">
        <v>976</v>
      </c>
      <c r="I189" s="13">
        <v>42845.706307870372</v>
      </c>
      <c r="J189" s="7">
        <v>0</v>
      </c>
      <c r="K189" s="97" t="str">
        <f>IF(ISEVEN(B189),(B189-1)&amp;"/"&amp;B189,B189&amp;"/"&amp;(B189+1))</f>
        <v>4019/4020</v>
      </c>
      <c r="L189" s="21" t="str">
        <f>VLOOKUP(A189,'Trips&amp;Operators'!$C$1:$G$99999,5,FALSE)</f>
        <v>THOMPSON LESTER</v>
      </c>
      <c r="M189" s="6">
        <f>I189-F189</f>
        <v>1.1030092595319729E-2</v>
      </c>
      <c r="N189" s="7">
        <f>24*60*SUM($M189:$M189)</f>
        <v>15.88333333726041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-20T15:38:13-0600',mode:absolute,to:'2017-04-20T17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5.8653000000000004</v>
      </c>
      <c r="Z189" s="62">
        <f>RIGHT(H189,LEN(H189)-4)/10000</f>
        <v>7.1499999999999994E-2</v>
      </c>
      <c r="AA189" s="62">
        <f>ABS(Z189-Y189)</f>
        <v>5.7938000000000001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0830-20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/stypes="app*4019*20170420*" /stext=" 22:.+((SYSTEM_STATE.+slice.+state.+changed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5"/>
        <v>"%USERPROFILE%\Documents\GitHub\eaglep3\Utilities\RefineRTDCRunTimes.py" --tripid 830-20 --locoid 4019 --swversion DE.1.0.9.0 --startMP 300:58653 --initTime 2017-04-20T16:38:13 --startdatetime 2017-04-20T16:41:12 --delay 1 --endMP 204:715 --enddatetime 2017-04-20T16:57:05 --enforcementcount 0 &gt;&gt;C:\Users\stu\Documents\GitHub\eaglep3-reporting\EC\2017-04-20-refined-times.txt</v>
      </c>
      <c r="AI189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{"issue":{"subject":"","project_id":79,"tracker_id":40,"status_id":1,"priority_id":2,"assigned_to_id":23,"start_date":"2017-04-20","description":"","custom_fields":[{"id":1,"name":"Subdivision","value":"NW"},{"id":4,"name":"Milepost","value":"0.0715"},{"id":17,"name":"Train ID","value":"830-20"},{"id":16,"name":"Locomotive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7"/>
        <v>start /low /b %USERPROFILE%\Documents\GitHub\eaglep3\Utilities\DownloadLogsFromS3.py --loco 4019 --day 2017-04-20</v>
      </c>
      <c r="AN189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22:57:05"},{"id":29,"name":"Sharepoint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774</v>
      </c>
      <c r="B190" s="7">
        <v>4030</v>
      </c>
      <c r="C190" s="21" t="s">
        <v>213</v>
      </c>
      <c r="D190" s="21" t="s">
        <v>989</v>
      </c>
      <c r="E190" s="13">
        <v>42845.685925925929</v>
      </c>
      <c r="F190" s="13">
        <v>42845.702291666668</v>
      </c>
      <c r="G190" s="7">
        <v>1</v>
      </c>
      <c r="H190" s="21" t="s">
        <v>534</v>
      </c>
      <c r="I190" s="13">
        <v>42845.711550925924</v>
      </c>
      <c r="J190" s="7">
        <v>0</v>
      </c>
      <c r="K190" s="97" t="str">
        <f>IF(ISEVEN(B190),(B190-1)&amp;"/"&amp;B190,B190&amp;"/"&amp;(B190+1))</f>
        <v>4029/4030</v>
      </c>
      <c r="L190" s="21" t="str">
        <f>VLOOKUP(A190,'Trips&amp;Operators'!$C$1:$G$99999,5,FALSE)</f>
        <v>STORY SAMANTHA</v>
      </c>
      <c r="M190" s="6">
        <f>I190-F190</f>
        <v>9.2592592554865405E-3</v>
      </c>
      <c r="N190" s="7">
        <f>24*60*SUM($M190:$M190)</f>
        <v>13.333333327900618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-20T15:27:44-0600',mode:absolute,to:'2017-04-20T18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9.69E-2</v>
      </c>
      <c r="Z190" s="62">
        <f>RIGHT(H190,LEN(H190)-4)/10000</f>
        <v>5.8948</v>
      </c>
      <c r="AA190" s="62">
        <f>ABS(Z190-Y190)</f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0831-20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/stypes="app*4030*20170420*"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5"/>
        <v>"%USERPROFILE%\Documents\GitHub\eaglep3\Utilities\RefineRTDCRunTimes.py" --tripid 831-20 --locoid 4030 --swversion DE.1.0.9.0 --startMP 204:969 --initTime 2017-04-20T16:27:44 --startdatetime 2017-04-20T16:51:18 --delay 1 --endMP 300:58948 --enddatetime 2017-04-20T17:04:38 --enforcementcount 0 &gt;&gt;C:\Users\stu\Documents\GitHub\eaglep3-reporting\EC\2017-04-20-refined-times.txt</v>
      </c>
      <c r="AI190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{"issue":{"subject":"","project_id":79,"tracker_id":40,"status_id":1,"priority_id":2,"assigned_to_id":23,"start_date":"2017-04-20","description":"","custom_fields":[{"id":1,"name":"Subdivision","value":"NW"},{"id":4,"name":"Milepost","value":"5.8948"},{"id":17,"name":"Train ID","value":"831-20"},{"id":16,"name":"Locomotive ID","value":"4030"},{"id":130,"name":"Impact","value":""},{"id":150,"name":"Time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7"/>
        <v>start /low /b %USERPROFILE%\Documents\GitHub\eaglep3\Utilities\DownloadLogsFromS3.py --loco 4030 --day 2017-04-20</v>
      </c>
      <c r="AN190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780</v>
      </c>
      <c r="B191" s="7">
        <v>4029</v>
      </c>
      <c r="C191" s="21" t="s">
        <v>213</v>
      </c>
      <c r="D191" s="21" t="s">
        <v>500</v>
      </c>
      <c r="E191" s="13">
        <v>42845.712523148148</v>
      </c>
      <c r="F191" s="13">
        <v>42845.713993055557</v>
      </c>
      <c r="G191" s="7">
        <v>1</v>
      </c>
      <c r="H191" s="21" t="s">
        <v>603</v>
      </c>
      <c r="I191" s="13">
        <v>42845.72625</v>
      </c>
      <c r="J191" s="7">
        <v>0</v>
      </c>
      <c r="K191" s="97" t="str">
        <f>IF(ISEVEN(B191),(B191-1)&amp;"/"&amp;B191,B191&amp;"/"&amp;(B191+1))</f>
        <v>4029/4030</v>
      </c>
      <c r="L191" s="21" t="str">
        <f>VLOOKUP(A191,'Trips&amp;Operators'!$C$1:$G$99999,5,FALSE)</f>
        <v>STORY SAMANTHA</v>
      </c>
      <c r="M191" s="6">
        <f>I191-F191</f>
        <v>1.2256944442924578E-2</v>
      </c>
      <c r="N191" s="7">
        <f>24*60*SUM($M191:$M191)</f>
        <v>17.649999997811392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-20T16:06:02-0600',mode:absolute,to:'2017-04-20T18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5.8634000000000004</v>
      </c>
      <c r="Z191" s="62">
        <f>RIGHT(H191,LEN(H191)-4)/10000</f>
        <v>6.9400000000000003E-2</v>
      </c>
      <c r="AA191" s="62">
        <f>ABS(Z191-Y191)</f>
        <v>5.7940000000000005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0832-20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/stypes="app*4029*20170420*"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5"/>
        <v>"%USERPROFILE%\Documents\GitHub\eaglep3\Utilities\RefineRTDCRunTimes.py" --tripid 832-20 --locoid 4029 --swversion DE.1.0.9.0 --startMP 300:58634 --initTime 2017-04-20T17:06:02 --startdatetime 2017-04-20T17:08:09 --delay 1 --endMP 204:694 --enddatetime 2017-04-20T17:25:48 --enforcementcount 0 &gt;&gt;C:\Users\stu\Documents\GitHub\eaglep3-reporting\EC\2017-04-20-refined-times.txt</v>
      </c>
      <c r="AI191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ID","value":"832-20"},{"id":16,"name":"Locomotive ID","value":"4029"},{"id":130,"name":"Impact","value":""},{"id":150,"name":"Time of Event (Mountain Time)","value":"17:25:48"},{"id":151,"name":"Denver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7"/>
        <v>start /low /b %USERPROFILE%\Documents\GitHub\eaglep3\Utilities\DownloadLogsFromS3.py --loco 4029 --day 2017-04-20</v>
      </c>
      <c r="AN191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639</v>
      </c>
      <c r="B192" s="7">
        <v>4020</v>
      </c>
      <c r="C192" s="21" t="s">
        <v>213</v>
      </c>
      <c r="D192" s="21" t="s">
        <v>604</v>
      </c>
      <c r="E192" s="13">
        <v>42845.718946759262</v>
      </c>
      <c r="F192" s="13">
        <v>42845.723113425927</v>
      </c>
      <c r="G192" s="7">
        <v>1</v>
      </c>
      <c r="H192" s="21" t="s">
        <v>992</v>
      </c>
      <c r="I192" s="13">
        <v>42845.734398148146</v>
      </c>
      <c r="J192" s="7">
        <v>0</v>
      </c>
      <c r="K192" s="97" t="str">
        <f>IF(ISEVEN(B192),(B192-1)&amp;"/"&amp;B192,B192&amp;"/"&amp;(B192+1))</f>
        <v>4019/4020</v>
      </c>
      <c r="L192" s="21" t="str">
        <f>VLOOKUP(A192,'Trips&amp;Operators'!$C$1:$G$99999,5,FALSE)</f>
        <v>THOMPSON LESTER</v>
      </c>
      <c r="M192" s="6">
        <f>I192-F192</f>
        <v>1.1284722218988463E-2</v>
      </c>
      <c r="N192" s="7">
        <f>24*60*SUM($M192:$M192)</f>
        <v>16.249999995343387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9.8299999999999998E-2</v>
      </c>
      <c r="Z192" s="62">
        <f>RIGHT(H192,LEN(H192)-4)/10000</f>
        <v>5.8849999999999998</v>
      </c>
      <c r="AA192" s="62">
        <f>ABS(Z192-Y192)</f>
        <v>5.7866999999999997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0833-20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/stypes="app*4020*20170420*" /stext=" 23:.+((SYSTEM_STATE.+slice.+state.+changed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5"/>
        <v>"%USERPROFILE%\Documents\GitHub\eaglep3\Utilities\RefineRTDCRunTimes.py" --tripid 833-20 --locoid 4020 --swversion DE.1.0.9.0 --startMP 204:983 --initTime 2017-04-20T17:15:17 --startdatetime 2017-04-20T17:21:17 --delay 1 --endMP 300:58850 --enddatetime 2017-04-20T17:37:32 --enforcementcount 0 &gt;&gt;C:\Users\stu\Documents\GitHub\eaglep3-reporting\EC\2017-04-20-refined-times.txt</v>
      </c>
      <c r="AI192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{"issue":{"subject":"","project_id":79,"tracker_id":40,"status_id":1,"priority_id":2,"assigned_to_id":23,"start_date":"2017-04-20","description":"","custom_fields":[{"id":1,"name":"Subdivision","value":"NW"},{"id":4,"name":"Milepost","value":"5.885"},{"id":17,"name":"Train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7"/>
        <v>start /low /b %USERPROFILE%\Documents\GitHub\eaglep3\Utilities\DownloadLogsFromS3.py --loco 4020 --day 2017-04-20</v>
      </c>
      <c r="AN192" s="159" t="str">
        <f t="shared" si="18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s="20" customFormat="1" x14ac:dyDescent="0.25">
      <c r="A193" s="33" t="s">
        <v>789</v>
      </c>
      <c r="B193" s="7">
        <v>4019</v>
      </c>
      <c r="C193" s="21" t="s">
        <v>213</v>
      </c>
      <c r="D193" s="21" t="s">
        <v>993</v>
      </c>
      <c r="E193" s="13">
        <v>42845.73574074074</v>
      </c>
      <c r="F193" s="13">
        <v>42845.73741898148</v>
      </c>
      <c r="G193" s="7">
        <v>1</v>
      </c>
      <c r="H193" s="21" t="s">
        <v>608</v>
      </c>
      <c r="I193" s="13">
        <v>42845.749143518522</v>
      </c>
      <c r="J193" s="7">
        <v>0</v>
      </c>
      <c r="K193" s="97" t="str">
        <f>IF(ISEVEN(B193),(B193-1)&amp;"/"&amp;B193,B193&amp;"/"&amp;(B193+1))</f>
        <v>4019/4020</v>
      </c>
      <c r="L193" s="21" t="str">
        <f>VLOOKUP(A193,'Trips&amp;Operators'!$C$1:$G$99999,5,FALSE)</f>
        <v>THOMPSON LESTER</v>
      </c>
      <c r="M193" s="6">
        <f>I193-F193</f>
        <v>1.1724537042027805E-2</v>
      </c>
      <c r="N193" s="7">
        <f>24*60*SUM($M193:$M193)</f>
        <v>16.883333340520039</v>
      </c>
      <c r="O193" s="7"/>
      <c r="P193" s="7"/>
      <c r="Q193" s="22"/>
      <c r="R193" s="22" t="s">
        <v>1028</v>
      </c>
      <c r="S193" s="31">
        <f>SUM(U193:U193)/IF(AG193="EC",12,1)</f>
        <v>1</v>
      </c>
      <c r="T193" s="46" t="str">
        <f>IF(ISEVEN(LEFT(AD193,4)),"Southbound","NorthBound")</f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-20T16:39:28-0600',mode:absolute,to:'2017-04-20T18:58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5.8525999999999998</v>
      </c>
      <c r="Z193" s="62">
        <f>RIGHT(H193,LEN(H193)-4)/10000</f>
        <v>7.0099999999999996E-2</v>
      </c>
      <c r="AA193" s="62">
        <f>ABS(Z193-Y193)</f>
        <v>5.7824999999999998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0834-20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/stypes="app*4019*20170420*" /stext=" 23:.+((SYSTEM_STATE.+slice.+state.+changed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5"/>
        <v>"%USERPROFILE%\Documents\GitHub\eaglep3\Utilities\RefineRTDCRunTimes.py" --tripid 834-20 --locoid 4019 --swversion DE.1.0.9.0 --startMP 300:58526 --initTime 2017-04-20T17:39:28 --startdatetime 2017-04-20T17:41:53 --delay 1 --endMP 204:701 --enddatetime 2017-04-20T17:58:46 --enforcementcount 0 &gt;&gt;C:\Users\stu\Documents\GitHub\eaglep3-reporting\EC\2017-04-20-refined-times.txt</v>
      </c>
      <c r="AI193" s="104" t="str">
        <f t="shared" si="16"/>
        <v>echo {"issue":{"subject":"Went active too close to signal, got unknown status until train got closer to signal (1500 ft rule)","project_id":79,"tracker_id":40,"status_id":1,"priority_id":2,"assigned_to_id":23,"start_date":"2017-04-20","description":"","custom_fields":[{"id":1,"name":"Subdivision","value":"NW"},{"id":4,"name":"Milepost","value":"0.0701"},{"id":17,"name":"Train ID","value":"834-20"},{"id":16,"name":"Locomotive ID","value":"4019"},{"id":130,"name":"Impact","value":""},{"id":150,"name":"Time of Event (Mountain Time)","value":"17:58:46"},{"id":151,"name":"Denver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17"/>
        <v>start /low /b %USERPROFILE%\Documents\GitHub\eaglep3\Utilities\DownloadLogsFromS3.py --loco 4019 --day 2017-04-20</v>
      </c>
      <c r="AN193" s="159" t="str">
        <f t="shared" si="18"/>
        <v>echo {"issue":{"subject":"Went active too close to signal, got unknown status until train got closer to signal (1500 ft rule)","project_id":30,"tracker_id":4,"status_id":1,"priority_id":1,"assigned_to_id":10,"start_date":"2017-04-20","description":"","custom_fields":[{"id":30,"name":"Category","value":"Issue"},{"id":3,"name":"Functional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23:58:46"},{"id":29,"name":"Sharepoint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644</v>
      </c>
      <c r="B194" s="7">
        <v>4030</v>
      </c>
      <c r="C194" s="21" t="s">
        <v>213</v>
      </c>
      <c r="D194" s="21" t="s">
        <v>596</v>
      </c>
      <c r="E194" s="13">
        <v>42845.727708333332</v>
      </c>
      <c r="F194" s="13">
        <v>42845.744050925925</v>
      </c>
      <c r="G194" s="7">
        <v>1</v>
      </c>
      <c r="H194" s="21" t="s">
        <v>605</v>
      </c>
      <c r="I194" s="13">
        <v>42845.754363425927</v>
      </c>
      <c r="J194" s="7">
        <v>0</v>
      </c>
      <c r="K194" s="97" t="str">
        <f>IF(ISEVEN(B194),(B194-1)&amp;"/"&amp;B194,B194&amp;"/"&amp;(B194+1))</f>
        <v>4029/4030</v>
      </c>
      <c r="L194" s="21" t="str">
        <f>VLOOKUP(A194,'Trips&amp;Operators'!$C$1:$G$99999,5,FALSE)</f>
        <v>STORY SAMANTHA</v>
      </c>
      <c r="M194" s="6">
        <f>I194-F194</f>
        <v>1.0312500002328306E-2</v>
      </c>
      <c r="N194" s="7">
        <f>24*60*SUM($M194:$M194)</f>
        <v>14.850000003352761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9.8100000000000007E-2</v>
      </c>
      <c r="Z194" s="62">
        <f>RIGHT(H194,LEN(H194)-4)/10000</f>
        <v>5.8952</v>
      </c>
      <c r="AA194" s="62">
        <f>ABS(Z194-Y194)</f>
        <v>5.7971000000000004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0835-20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/stypes="app*4030*20170421*"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5"/>
        <v>"%USERPROFILE%\Documents\GitHub\eaglep3\Utilities\RefineRTDCRunTimes.py" --tripid 835-20 --locoid 4030 --swversion DE.1.0.9.0 --startMP 204:981 --initTime 2017-04-20T17:27:54 --startdatetime 2017-04-20T17:51:26 --delay 1 --endMP 300:58952 --enddatetime 2017-04-20T18:06:17 --enforcementcount 0 &gt;&gt;C:\Users\stu\Documents\GitHub\eaglep3-reporting\EC\2017-04-20-refined-times.txt</v>
      </c>
      <c r="AI194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ID","value":"835-20"},{"id":16,"name":"Locomotive ID","value":"4030"},{"id":130,"name":"Impact","value":""},{"id":150,"name":"Time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7"/>
        <v>start /low /b %USERPROFILE%\Documents\GitHub\eaglep3\Utilities\DownloadLogsFromS3.py --loco 4030 --day 2017-04-20</v>
      </c>
      <c r="AN194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794</v>
      </c>
      <c r="B195" s="7">
        <v>4029</v>
      </c>
      <c r="C195" s="21" t="s">
        <v>213</v>
      </c>
      <c r="D195" s="21" t="s">
        <v>597</v>
      </c>
      <c r="E195" s="13">
        <v>42845.755231481482</v>
      </c>
      <c r="F195" s="13">
        <v>42845.756678240738</v>
      </c>
      <c r="G195" s="7">
        <v>1</v>
      </c>
      <c r="H195" s="21" t="s">
        <v>988</v>
      </c>
      <c r="I195" s="13">
        <v>42845.767997685187</v>
      </c>
      <c r="J195" s="7">
        <v>0</v>
      </c>
      <c r="K195" s="97" t="str">
        <f>IF(ISEVEN(B195),(B195-1)&amp;"/"&amp;B195,B195&amp;"/"&amp;(B195+1))</f>
        <v>4029/4030</v>
      </c>
      <c r="L195" s="21" t="str">
        <f>VLOOKUP(A195,'Trips&amp;Operators'!$C$1:$G$99999,5,FALSE)</f>
        <v>STORY SAMANTHA</v>
      </c>
      <c r="M195" s="6">
        <f>I195-F195</f>
        <v>1.131944444932742E-2</v>
      </c>
      <c r="N195" s="7">
        <f>24*60*SUM($M195:$M195)</f>
        <v>16.300000007031485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-20T17:07:32-0600',mode:absolute,to:'2017-04-20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5.8632</v>
      </c>
      <c r="Z195" s="62">
        <f>RIGHT(H195,LEN(H195)-4)/10000</f>
        <v>6.9099999999999995E-2</v>
      </c>
      <c r="AA195" s="62">
        <f>ABS(Z195-Y195)</f>
        <v>5.7941000000000003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0836-20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/stypes="app*4029*20170421*"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5"/>
        <v>"%USERPROFILE%\Documents\GitHub\eaglep3\Utilities\RefineRTDCRunTimes.py" --tripid 836-20 --locoid 4029 --swversion DE.1.0.9.0 --startMP 300:58632 --initTime 2017-04-20T18:07:32 --startdatetime 2017-04-20T18:09:37 --delay 1 --endMP 204:691 --enddatetime 2017-04-20T18:25:55 --enforcementcount 0 &gt;&gt;C:\Users\stu\Documents\GitHub\eaglep3-reporting\EC\2017-04-20-refined-times.txt</v>
      </c>
      <c r="AI195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ID","value":"836-20"},{"id":16,"name":"Locomotive ID","value":"4029"},{"id":130,"name":"Impact","value":""},{"id":150,"name":"Time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7"/>
        <v>start /low /b %USERPROFILE%\Documents\GitHub\eaglep3\Utilities\DownloadLogsFromS3.py --loco 4029 --day 2017-04-20</v>
      </c>
      <c r="AN195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796</v>
      </c>
      <c r="B196" s="7">
        <v>4020</v>
      </c>
      <c r="C196" s="21" t="s">
        <v>213</v>
      </c>
      <c r="D196" s="21" t="s">
        <v>977</v>
      </c>
      <c r="E196" s="13">
        <v>42845.758090277777</v>
      </c>
      <c r="F196" s="13">
        <v>42845.764918981484</v>
      </c>
      <c r="G196" s="7">
        <v>1</v>
      </c>
      <c r="H196" s="21" t="s">
        <v>981</v>
      </c>
      <c r="I196" s="13">
        <v>42845.774178240739</v>
      </c>
      <c r="J196" s="7">
        <v>0</v>
      </c>
      <c r="K196" s="97" t="str">
        <f>IF(ISEVEN(B196),(B196-1)&amp;"/"&amp;B196,B196&amp;"/"&amp;(B196+1))</f>
        <v>4019/4020</v>
      </c>
      <c r="L196" s="21" t="str">
        <f>VLOOKUP(A196,'Trips&amp;Operators'!$C$1:$G$99999,5,FALSE)</f>
        <v>THOMPSON LESTER</v>
      </c>
      <c r="M196" s="6">
        <f>I196-F196</f>
        <v>9.2592592554865405E-3</v>
      </c>
      <c r="N196" s="7">
        <f>24*60*SUM($M196:$M196)</f>
        <v>13.333333327900618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-20T17:11:39-0600',mode:absolute,to:'2017-04-20T19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0.1</v>
      </c>
      <c r="Z196" s="62">
        <f>RIGHT(H196,LEN(H196)-4)/10000</f>
        <v>5.8960999999999997</v>
      </c>
      <c r="AA196" s="62">
        <f>ABS(Z196-Y196)</f>
        <v>5.7961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0837-20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/stypes="app*4020*20170421*" /stext=" 00:.+((SYSTEM_STATE.+slice.+state.+changed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15"/>
        <v>"%USERPROFILE%\Documents\GitHub\eaglep3\Utilities\RefineRTDCRunTimes.py" --tripid 837-20 --locoid 4020 --swversion DE.1.0.9.0 --startMP 204:1000 --initTime 2017-04-20T18:11:39 --startdatetime 2017-04-20T18:21:29 --delay 1 --endMP 300:58961 --enddatetime 2017-04-20T18:34:49 --enforcementcount 0 &gt;&gt;C:\Users\stu\Documents\GitHub\eaglep3-reporting\EC\2017-04-20-refined-times.txt</v>
      </c>
      <c r="AI196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ID","value":"837-20"},{"id":16,"name":"Locomotive ID","value":"4020"},{"id":130,"name":"Impact","value":""},{"id":150,"name":"Time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7"/>
        <v>start /low /b %USERPROFILE%\Documents\GitHub\eaglep3\Utilities\DownloadLogsFromS3.py --loco 4020 --day 2017-04-20</v>
      </c>
      <c r="AN196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802</v>
      </c>
      <c r="B197" s="7">
        <v>4019</v>
      </c>
      <c r="C197" s="21" t="s">
        <v>213</v>
      </c>
      <c r="D197" s="21" t="s">
        <v>994</v>
      </c>
      <c r="E197" s="13">
        <v>42845.775694444441</v>
      </c>
      <c r="F197" s="13">
        <v>42845.777326388888</v>
      </c>
      <c r="G197" s="7">
        <v>1</v>
      </c>
      <c r="H197" s="21" t="s">
        <v>537</v>
      </c>
      <c r="I197" s="13">
        <v>42845.789467592593</v>
      </c>
      <c r="J197" s="7">
        <v>0</v>
      </c>
      <c r="K197" s="97" t="str">
        <f>IF(ISEVEN(B197),(B197-1)&amp;"/"&amp;B197,B197&amp;"/"&amp;(B197+1))</f>
        <v>4019/4020</v>
      </c>
      <c r="L197" s="21" t="str">
        <f>VLOOKUP(A197,'Trips&amp;Operators'!$C$1:$G$99999,5,FALSE)</f>
        <v>THOMPSON LESTER</v>
      </c>
      <c r="M197" s="6">
        <f>I197-F197</f>
        <v>1.2141203704231884E-2</v>
      </c>
      <c r="N197" s="7">
        <f>24*60*SUM($M197:$M197)</f>
        <v>17.483333334093913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-20T17:37:00-0600',mode:absolute,to:'2017-04-20T19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5.8642000000000003</v>
      </c>
      <c r="Z197" s="62">
        <f>RIGHT(H197,LEN(H197)-4)/10000</f>
        <v>6.9599999999999995E-2</v>
      </c>
      <c r="AA197" s="62">
        <f>ABS(Z197-Y197)</f>
        <v>5.7946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0838-20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/stypes="app*4019*20170421*" /stext=" 00:.+((SYSTEM_STATE.+slice.+state.+changed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15"/>
        <v>"%USERPROFILE%\Documents\GitHub\eaglep3\Utilities\RefineRTDCRunTimes.py" --tripid 838-20 --locoid 4019 --swversion DE.1.0.9.0 --startMP 300:58642 --initTime 2017-04-20T18:37:00 --startdatetime 2017-04-20T18:39:21 --delay 1 --endMP 204:696 --enddatetime 2017-04-20T18:56:50 --enforcementcount 0 &gt;&gt;C:\Users\stu\Documents\GitHub\eaglep3-reporting\EC\2017-04-20-refined-times.txt</v>
      </c>
      <c r="AI197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ID","value":"838-20"},{"id":16,"name":"Locomotive ID","value":"4019"},{"id":130,"name":"Impact","value":""},{"id":150,"name":"Time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17"/>
        <v>start /low /b %USERPROFILE%\Documents\GitHub\eaglep3\Utilities\DownloadLogsFromS3.py --loco 4019 --day 2017-04-20</v>
      </c>
      <c r="AN197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646</v>
      </c>
      <c r="B198" s="7">
        <v>4030</v>
      </c>
      <c r="C198" s="21" t="s">
        <v>213</v>
      </c>
      <c r="D198" s="21" t="s">
        <v>538</v>
      </c>
      <c r="E198" s="13">
        <v>42845.775266203702</v>
      </c>
      <c r="F198" s="13">
        <v>42845.785682870373</v>
      </c>
      <c r="G198" s="7">
        <v>2</v>
      </c>
      <c r="H198" s="21" t="s">
        <v>605</v>
      </c>
      <c r="I198" s="13">
        <v>42845.795277777775</v>
      </c>
      <c r="J198" s="7">
        <v>0</v>
      </c>
      <c r="K198" s="97" t="str">
        <f>IF(ISEVEN(B198),(B198-1)&amp;"/"&amp;B198,B198&amp;"/"&amp;(B198+1))</f>
        <v>4029/4030</v>
      </c>
      <c r="L198" s="21" t="str">
        <f>VLOOKUP(A198,'Trips&amp;Operators'!$C$1:$G$99999,5,FALSE)</f>
        <v>STORY SAMANTHA</v>
      </c>
      <c r="M198" s="6">
        <f>I198-F198</f>
        <v>9.594907402060926E-3</v>
      </c>
      <c r="N198" s="7">
        <f>24*60*SUM($M198:$M198)</f>
        <v>13.816666658967733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9.4399999999999998E-2</v>
      </c>
      <c r="Z198" s="62">
        <f>RIGHT(H198,LEN(H198)-4)/10000</f>
        <v>5.8952</v>
      </c>
      <c r="AA198" s="62">
        <f>ABS(Z198-Y198)</f>
        <v>5.8007999999999997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0839-20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/stypes="app*4030*20170421*"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15"/>
        <v>"%USERPROFILE%\Documents\GitHub\eaglep3\Utilities\RefineRTDCRunTimes.py" --tripid 839-20 --locoid 4030 --swversion DE.1.0.9.0 --startMP 204:944 --initTime 2017-04-20T18:36:23 --startdatetime 2017-04-20T18:51:23 --delay 2 --endMP 300:58952 --enddatetime 2017-04-20T19:05:12 --enforcementcount 0 &gt;&gt;C:\Users\stu\Documents\GitHub\eaglep3-reporting\EC\2017-04-20-refined-times.txt</v>
      </c>
      <c r="AI198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ID","value":"839-20"},{"id":16,"name":"Locomotive ID","value":"4030"},{"id":130,"name":"Impact","value":""},{"id":150,"name":"Time of Event (Mountain Time)","value":"19:05:12"},{"id":151,"name":"Denver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7"/>
        <v>start /low /b %USERPROFILE%\Documents\GitHub\eaglep3\Utilities\DownloadLogsFromS3.py --loco 4030 --day 2017-04-20</v>
      </c>
      <c r="AN198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811</v>
      </c>
      <c r="B199" s="7">
        <v>4019</v>
      </c>
      <c r="C199" s="21" t="s">
        <v>213</v>
      </c>
      <c r="D199" s="21" t="s">
        <v>982</v>
      </c>
      <c r="E199" s="13">
        <v>42845.817847222221</v>
      </c>
      <c r="F199" s="13">
        <v>42845.819444444445</v>
      </c>
      <c r="G199" s="7">
        <v>1</v>
      </c>
      <c r="H199" s="21" t="s">
        <v>988</v>
      </c>
      <c r="I199" s="13">
        <v>42845.833518518521</v>
      </c>
      <c r="J199" s="7">
        <v>0</v>
      </c>
      <c r="K199" s="97" t="str">
        <f>IF(ISEVEN(B199),(B199-1)&amp;"/"&amp;B199,B199&amp;"/"&amp;(B199+1))</f>
        <v>4019/4020</v>
      </c>
      <c r="L199" s="21" t="str">
        <f>VLOOKUP(A199,'Trips&amp;Operators'!$C$1:$G$99999,5,FALSE)</f>
        <v>THOMPSON LESTER</v>
      </c>
      <c r="M199" s="6">
        <f>I199-F199</f>
        <v>1.4074074075324461E-2</v>
      </c>
      <c r="N199" s="7">
        <f>24*60*SUM($M199:$M199)</f>
        <v>20.266666668467224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-20T18:37:42-0600',mode:absolute,to:'2017-04-20T21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5.8647</v>
      </c>
      <c r="Z199" s="62">
        <f>RIGHT(H199,LEN(H199)-4)/10000</f>
        <v>6.9099999999999995E-2</v>
      </c>
      <c r="AA199" s="62">
        <f>ABS(Z199-Y199)</f>
        <v>5.7956000000000003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0840-20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15"/>
        <v>"%USERPROFILE%\Documents\GitHub\eaglep3\Utilities\RefineRTDCRunTimes.py" --tripid 840-20 --locoid 4019 --swversion DE.1.0.9.0 --startMP 300:58647 --initTime 2017-04-20T19:37:42 --startdatetime 2017-04-20T19:40:00 --delay 1 --endMP 204:691 --enddatetime 2017-04-20T20:00:16 --enforcementcount 0 &gt;&gt;C:\Users\stu\Documents\GitHub\eaglep3-reporting\EC\2017-04-20-refined-times.txt</v>
      </c>
      <c r="AI199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{"issue":{"subject":"","project_id":79,"tracker_id":40,"status_id":1,"priority_id":2,"assigned_to_id":23,"start_date":"2017-04-20","description":"","custom_fields":[{"id":1,"name":"Subdivision","value":"NW"},{"id":4,"name":"Milepost","value":"0.0691"},{"id":17,"name":"Train ID","value":"840-20"},{"id":16,"name":"Locomotive ID","value":"4019"},{"id":130,"name":"Impact","value":""},{"id":150,"name":"Time of Event (Mountain Time)","value":"20:00:16"},{"id":151,"name":"Denver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7"/>
        <v>start /low /b %USERPROFILE%\Documents\GitHub\eaglep3\Utilities\DownloadLogsFromS3.py --loco 4019 --day 2017-04-20</v>
      </c>
      <c r="AN199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s="20" customFormat="1" x14ac:dyDescent="0.25">
      <c r="A200" s="33" t="s">
        <v>808</v>
      </c>
      <c r="B200" s="7">
        <v>4020</v>
      </c>
      <c r="C200" s="21" t="s">
        <v>213</v>
      </c>
      <c r="D200" s="21" t="s">
        <v>596</v>
      </c>
      <c r="E200" s="13">
        <v>42845.801458333335</v>
      </c>
      <c r="F200" s="13">
        <v>42845.806469907409</v>
      </c>
      <c r="G200" s="7">
        <v>1</v>
      </c>
      <c r="H200" s="21" t="s">
        <v>981</v>
      </c>
      <c r="I200" s="13">
        <v>42845.81653935185</v>
      </c>
      <c r="J200" s="7">
        <v>0</v>
      </c>
      <c r="K200" s="97" t="str">
        <f>IF(ISEVEN(B200),(B200-1)&amp;"/"&amp;B200,B200&amp;"/"&amp;(B200+1))</f>
        <v>4019/4020</v>
      </c>
      <c r="L200" s="21" t="str">
        <f>VLOOKUP(A200,'Trips&amp;Operators'!$C$1:$G$99999,5,FALSE)</f>
        <v>THOMPSON LESTER</v>
      </c>
      <c r="M200" s="6">
        <f>I200-F200</f>
        <v>1.006944444088731E-2</v>
      </c>
      <c r="N200" s="7">
        <f>24*60*SUM($M200:$M200)</f>
        <v>14.499999994877726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-20T18:14:06-0600',mode:absolute,to:'2017-04-20T20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9.8100000000000007E-2</v>
      </c>
      <c r="Z200" s="62">
        <f>RIGHT(H200,LEN(H200)-4)/10000</f>
        <v>5.8960999999999997</v>
      </c>
      <c r="AA200" s="62">
        <f>ABS(Z200-Y200)</f>
        <v>5.798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0841-20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/stypes="app*4020*20170421*" /stext=" 01:.+((SYSTEM_STATE.+slice.+state.+changed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15"/>
        <v>"%USERPROFILE%\Documents\GitHub\eaglep3\Utilities\RefineRTDCRunTimes.py" --tripid 841-20 --locoid 4020 --swversion DE.1.0.9.0 --startMP 204:981 --initTime 2017-04-20T19:14:06 --startdatetime 2017-04-20T19:21:19 --delay 1 --endMP 300:58961 --enddatetime 2017-04-20T19:35:49 --enforcementcount 0 &gt;&gt;C:\Users\stu\Documents\GitHub\eaglep3-reporting\EC\2017-04-20-refined-times.txt</v>
      </c>
      <c r="AI200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{"issue":{"subject":"","project_id":79,"tracker_id":40,"status_id":1,"priority_id":2,"assigned_to_id":23,"start_date":"2017-04-20","description":"","custom_fields":[{"id":1,"name":"Subdivision","value":"NW"},{"id":4,"name":"Milepost","value":"5.8961"},{"id":17,"name":"Train ID","value":"841-20"},{"id":16,"name":"Locomotive ID","value":"4020"},{"id":130,"name":"Impact","value":""},{"id":150,"name":"Time of Event (Mountain Time)","value":"19:35:49"},{"id":151,"name":"Denver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17"/>
        <v>start /low /b %USERPROFILE%\Documents\GitHub\eaglep3\Utilities\DownloadLogsFromS3.py --loco 4020 --day 2017-04-20</v>
      </c>
      <c r="AN200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820</v>
      </c>
      <c r="B201" s="7">
        <v>4019</v>
      </c>
      <c r="C201" s="21" t="s">
        <v>213</v>
      </c>
      <c r="D201" s="21" t="s">
        <v>466</v>
      </c>
      <c r="E201" s="13">
        <v>42845.859756944446</v>
      </c>
      <c r="F201" s="13">
        <v>42845.861319444448</v>
      </c>
      <c r="G201" s="7">
        <v>1</v>
      </c>
      <c r="H201" s="21" t="s">
        <v>537</v>
      </c>
      <c r="I201" s="13">
        <v>42845.873564814814</v>
      </c>
      <c r="J201" s="7">
        <v>0</v>
      </c>
      <c r="K201" s="97" t="str">
        <f>IF(ISEVEN(B201),(B201-1)&amp;"/"&amp;B201,B201&amp;"/"&amp;(B201+1))</f>
        <v>4019/4020</v>
      </c>
      <c r="L201" s="21" t="str">
        <f>VLOOKUP(A201,'Trips&amp;Operators'!$C$1:$G$99999,5,FALSE)</f>
        <v>THOMPSON LESTER</v>
      </c>
      <c r="M201" s="6">
        <f>I201-F201</f>
        <v>1.2245370366144925E-2</v>
      </c>
      <c r="N201" s="7">
        <f>24*60*SUM($M201:$M201)</f>
        <v>17.633333327248693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-20T19:38:03-0600',mode:absolute,to:'2017-04-20T21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5.8620999999999999</v>
      </c>
      <c r="Z201" s="62">
        <f>RIGHT(H201,LEN(H201)-4)/10000</f>
        <v>6.9599999999999995E-2</v>
      </c>
      <c r="AA201" s="62">
        <f>ABS(Z201-Y201)</f>
        <v>5.7924999999999995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0842-20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/stypes="app*4019*20170421*" /stext=" 02:.+((SYSTEM_STATE.+slice.+state.+changed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15"/>
        <v>"%USERPROFILE%\Documents\GitHub\eaglep3\Utilities\RefineRTDCRunTimes.py" --tripid 842-20 --locoid 4019 --swversion DE.1.0.9.0 --startMP 300:58621 --initTime 2017-04-20T20:38:03 --startdatetime 2017-04-20T20:40:18 --delay 1 --endMP 204:696 --enddatetime 2017-04-20T20:57:56 --enforcementcount 0 &gt;&gt;C:\Users\stu\Documents\GitHub\eaglep3-reporting\EC\2017-04-20-refined-times.txt</v>
      </c>
      <c r="AI201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{"issue":{"subject":"","project_id":79,"tracker_id":40,"status_id":1,"priority_id":2,"assigned_to_id":23,"start_date":"2017-04-20","description":"","custom_fields":[{"id":1,"name":"Subdivision","value":"NW"},{"id":4,"name":"Milepost","value":"0.0696"},{"id":17,"name":"Train ID","value":"842-20"},{"id":16,"name":"Locomotive ID","value":"4019"},{"id":130,"name":"Impact","value":""},{"id":150,"name":"Time of Event (Mountain Time)","value":"20:57:56"},{"id":151,"name":"Denver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7"/>
        <v>start /low /b %USERPROFILE%\Documents\GitHub\eaglep3\Utilities\DownloadLogsFromS3.py --loco 4019 --day 2017-04-20</v>
      </c>
      <c r="AN201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817</v>
      </c>
      <c r="B202" s="7">
        <v>4020</v>
      </c>
      <c r="C202" s="21" t="s">
        <v>213</v>
      </c>
      <c r="D202" s="21" t="s">
        <v>985</v>
      </c>
      <c r="E202" s="13">
        <v>42845.844143518516</v>
      </c>
      <c r="F202" s="13">
        <v>42845.848101851851</v>
      </c>
      <c r="G202" s="7">
        <v>1</v>
      </c>
      <c r="H202" s="21" t="s">
        <v>605</v>
      </c>
      <c r="I202" s="13">
        <v>42845.858217592591</v>
      </c>
      <c r="J202" s="7">
        <v>0</v>
      </c>
      <c r="K202" s="97" t="str">
        <f>IF(ISEVEN(B202),(B202-1)&amp;"/"&amp;B202,B202&amp;"/"&amp;(B202+1))</f>
        <v>4019/4020</v>
      </c>
      <c r="L202" s="21" t="str">
        <f>VLOOKUP(A202,'Trips&amp;Operators'!$C$1:$G$99999,5,FALSE)</f>
        <v>THOMPSON LESTER</v>
      </c>
      <c r="M202" s="6">
        <f>I202-F202</f>
        <v>1.0115740740729962E-2</v>
      </c>
      <c r="N202" s="7">
        <f>24*60*SUM($M202:$M202)</f>
        <v>14.566666666651145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-20T19:15:34-0600',mode:absolute,to:'2017-04-20T21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9.8799999999999999E-2</v>
      </c>
      <c r="Z202" s="62">
        <f>RIGHT(H202,LEN(H202)-4)/10000</f>
        <v>5.8952</v>
      </c>
      <c r="AA202" s="62">
        <f>ABS(Z202-Y202)</f>
        <v>5.7964000000000002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0843-20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/stypes="app*4020*20170421*" /stext=" 02:.+((SYSTEM_STATE.+slice.+state.+changed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15"/>
        <v>"%USERPROFILE%\Documents\GitHub\eaglep3\Utilities\RefineRTDCRunTimes.py" --tripid 843-20 --locoid 4020 --swversion DE.1.0.9.0 --startMP 204:988 --initTime 2017-04-20T20:15:34 --startdatetime 2017-04-20T20:21:16 --delay 1 --endMP 300:58952 --enddatetime 2017-04-20T20:35:50 --enforcementcount 0 &gt;&gt;C:\Users\stu\Documents\GitHub\eaglep3-reporting\EC\2017-04-20-refined-times.txt</v>
      </c>
      <c r="AI202" s="104" t="str">
        <f t="shared" si="16"/>
        <v>echo {"issue":{"subject":"","project_id":79,"tracker_id":40,"status_id":1,"priority_id":2,"assigned_to_id":23,"start_date":"2017-04-20","description":"","custom_fields":[{"id":1,"name":"Subdivision","value":"NW"},{"id":4,"name":"Milepost","value":"5.8952"},{"id":17,"name":"Train ID","value":"843-20"},{"id":16,"name":"Locomotive ID","value":"4020"},{"id":130,"name":"Impact","value":""},{"id":150,"name":"Time of Event (Mountain Time)","value":"20:35:50"},{"id":151,"name":"Denver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7"/>
        <v>start /low /b %USERPROFILE%\Documents\GitHub\eaglep3\Utilities\DownloadLogsFromS3.py --loco 4020 --day 2017-04-20</v>
      </c>
      <c r="AN202" s="159" t="str">
        <f t="shared" si="18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829</v>
      </c>
      <c r="B203" s="7">
        <v>4019</v>
      </c>
      <c r="C203" s="21" t="s">
        <v>213</v>
      </c>
      <c r="D203" s="21" t="s">
        <v>995</v>
      </c>
      <c r="E203" s="13">
        <v>42845.899733796294</v>
      </c>
      <c r="F203" s="13">
        <v>42845.901597222219</v>
      </c>
      <c r="G203" s="7">
        <v>1</v>
      </c>
      <c r="H203" s="21" t="s">
        <v>603</v>
      </c>
      <c r="I203" s="13">
        <v>42845.913356481484</v>
      </c>
      <c r="J203" s="7">
        <v>0</v>
      </c>
      <c r="K203" s="97" t="str">
        <f>IF(ISEVEN(B203),(B203-1)&amp;"/"&amp;B203,B203&amp;"/"&amp;(B203+1))</f>
        <v>4019/4020</v>
      </c>
      <c r="L203" s="21" t="str">
        <f>VLOOKUP(A203,'Trips&amp;Operators'!$C$1:$G$99999,5,FALSE)</f>
        <v>STORY SAMANTHA</v>
      </c>
      <c r="M203" s="6">
        <f>I203-F203</f>
        <v>1.1759259265090805E-2</v>
      </c>
      <c r="N203" s="7">
        <f>24*60*SUM($M203:$M203)</f>
        <v>16.933333341730759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-20T20:35:37-0600',mode:absolute,to:'2017-04-20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83" t="str">
        <f>IF(AA203&lt;IF(AG203="EC",23,5.65),"Y","N")</f>
        <v>N</v>
      </c>
      <c r="X203" s="183">
        <f>VALUE(LEFT(AD203,4))-VALUE(LEFT(AD202,4))</f>
        <v>1</v>
      </c>
      <c r="Y203" s="62">
        <f>RIGHT(D203,LEN(D203)-4)/10000</f>
        <v>5.8624999999999998</v>
      </c>
      <c r="Z203" s="62">
        <f>RIGHT(H203,LEN(H203)-4)/10000</f>
        <v>6.9400000000000003E-2</v>
      </c>
      <c r="AA203" s="62">
        <f>ABS(Z203-Y203)</f>
        <v>5.7930999999999999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0844-20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/stypes="app*4019*20170421*" /stext=" 03:.+((SYSTEM_STATE.+slice.+state.+changed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ref="AH203:AH240" si="1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844-20 --locoid 4019 --swversion DE.1.0.9.0 --startMP 300:58625 --initTime 2017-04-20T21:35:37 --startdatetime 2017-04-20T21:38:18 --delay 1 --endMP 204:694 --enddatetime 2017-04-20T21:55:14 --enforcementcount 0 &gt;&gt;C:\Users\stu\Documents\GitHub\eaglep3-reporting\EC\2017-04-20-refined-times.txt</v>
      </c>
      <c r="AI203" s="104" t="str">
        <f t="shared" ref="AI203:AI240" si="2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{"issue":{"subject":"","project_id":79,"tracker_id":40,"status_id":1,"priority_id":2,"assigned_to_id":23,"start_date":"2017-04-20","description":"","custom_fields":[{"id":1,"name":"Subdivision","value":"NW"},{"id":4,"name":"Milepost","value":"0.0694"},{"id":17,"name":"Train ID","value":"844-20"},{"id":16,"name":"Locomotive ID","value":"4019"},{"id":130,"name":"Impact","value":""},{"id":150,"name":"Time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ref="AM203:AM240" si="21">"start /low /b "&amp;dls3logs&amp;" --loco "&amp;B203&amp;" --day "&amp;TEXT(F203,"YYYY-MM-DD")</f>
        <v>start /low /b %USERPROFILE%\Documents\GitHub\eaglep3\Utilities\DownloadLogsFromS3.py --loco 4019 --day 2017-04-20</v>
      </c>
      <c r="AN203" s="159" t="str">
        <f t="shared" ref="AN203:AN240" si="2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823</v>
      </c>
      <c r="B204" s="7">
        <v>4020</v>
      </c>
      <c r="C204" s="21" t="s">
        <v>213</v>
      </c>
      <c r="D204" s="21" t="s">
        <v>596</v>
      </c>
      <c r="E204" s="13">
        <v>42845.879178240742</v>
      </c>
      <c r="F204" s="13">
        <v>42845.889849537038</v>
      </c>
      <c r="G204" s="7">
        <v>2</v>
      </c>
      <c r="H204" s="21" t="s">
        <v>532</v>
      </c>
      <c r="I204" s="13">
        <v>42845.89875</v>
      </c>
      <c r="J204" s="7">
        <v>0</v>
      </c>
      <c r="K204" s="97" t="str">
        <f>IF(ISEVEN(B204),(B204-1)&amp;"/"&amp;B204,B204&amp;"/"&amp;(B204+1))</f>
        <v>4019/4020</v>
      </c>
      <c r="L204" s="21" t="str">
        <f>VLOOKUP(A204,'Trips&amp;Operators'!$C$1:$G$99999,5,FALSE)</f>
        <v>STORY SAMANTHA</v>
      </c>
      <c r="M204" s="6">
        <f>I204-F204</f>
        <v>8.9004629626288079E-3</v>
      </c>
      <c r="N204" s="7">
        <f>24*60*SUM($M204:$M204)</f>
        <v>12.816666666185483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-20T20:06:01-0600',mode:absolute,to:'2017-04-20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83" t="str">
        <f>IF(AA204&lt;IF(AG204="EC",23,5.65),"Y","N")</f>
        <v>N</v>
      </c>
      <c r="X204" s="183">
        <f>VALUE(LEFT(AD204,4))-VALUE(LEFT(AD203,4))</f>
        <v>1</v>
      </c>
      <c r="Y204" s="62">
        <f>RIGHT(D204,LEN(D204)-4)/10000</f>
        <v>9.8100000000000007E-2</v>
      </c>
      <c r="Z204" s="62">
        <f>RIGHT(H204,LEN(H204)-4)/10000</f>
        <v>5.8939000000000004</v>
      </c>
      <c r="AA204" s="62">
        <f>ABS(Z204-Y204)</f>
        <v>5.7958000000000007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0845-20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/stypes="app*4020*20170421*" /stext=" 03:.+((SYSTEM_STATE.+slice.+state.+changed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NW</v>
      </c>
      <c r="AH204" s="86" t="str">
        <f t="shared" si="19"/>
        <v>"%USERPROFILE%\Documents\GitHub\eaglep3\Utilities\RefineRTDCRunTimes.py" --tripid 845-20 --locoid 4020 --swversion DE.1.0.9.0 --startMP 204:981 --initTime 2017-04-20T21:06:01 --startdatetime 2017-04-20T21:21:23 --delay 2 --endMP 300:58939 --enddatetime 2017-04-20T21:34:12 --enforcementcount 0 &gt;&gt;C:\Users\stu\Documents\GitHub\eaglep3-reporting\EC\2017-04-20-refined-times.txt</v>
      </c>
      <c r="AI204" s="104" t="str">
        <f t="shared" si="20"/>
        <v>echo {"issue":{"subject":"","project_id":79,"tracker_id":40,"status_id":1,"priority_id":2,"assigned_to_id":23,"start_date":"2017-04-20","description":"","custom_fields":[{"id":1,"name":"Subdivision","value":"NW"},{"id":4,"name":"Milepost","value":"5.8939"},{"id":17,"name":"Train ID","value":"845-20"},{"id":16,"name":"Locomotive ID","value":"4020"},{"id":130,"name":"Impact","value":""},{"id":150,"name":"Time of Event (Mountain Time)","value":"21:34:12"},{"id":151,"name":"Denver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21"/>
        <v>start /low /b %USERPROFILE%\Documents\GitHub\eaglep3\Utilities\DownloadLogsFromS3.py --loco 4020 --day 2017-04-20</v>
      </c>
      <c r="AN204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833</v>
      </c>
      <c r="B205" s="7">
        <v>4020</v>
      </c>
      <c r="C205" s="21" t="s">
        <v>213</v>
      </c>
      <c r="D205" s="21" t="s">
        <v>996</v>
      </c>
      <c r="E205" s="13">
        <v>42845.927245370367</v>
      </c>
      <c r="F205" s="13">
        <v>42845.931712962964</v>
      </c>
      <c r="G205" s="7">
        <v>1</v>
      </c>
      <c r="H205" s="21" t="s">
        <v>997</v>
      </c>
      <c r="I205" s="13">
        <v>42845.941238425927</v>
      </c>
      <c r="J205" s="7">
        <v>0</v>
      </c>
      <c r="K205" s="97" t="str">
        <f>IF(ISEVEN(B205),(B205-1)&amp;"/"&amp;B205,B205&amp;"/"&amp;(B205+1))</f>
        <v>4019/4020</v>
      </c>
      <c r="L205" s="21" t="str">
        <f>VLOOKUP(A205,'Trips&amp;Operators'!$C$1:$G$99999,5,FALSE)</f>
        <v>STORY SAMANTHA</v>
      </c>
      <c r="M205" s="6">
        <f>I205-F205</f>
        <v>9.5254629632108845E-3</v>
      </c>
      <c r="N205" s="7">
        <f>24*60*SUM($M205:$M205)</f>
        <v>13.716666667023674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-20T21:15:14-0600',mode:absolute,to:'2017-04-20T23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83" t="str">
        <f>IF(AA205&lt;IF(AG205="EC",23,5.65),"Y","N")</f>
        <v>N</v>
      </c>
      <c r="X205" s="183">
        <f>VALUE(LEFT(AD205,4))-VALUE(LEFT(AD204,4))</f>
        <v>2</v>
      </c>
      <c r="Y205" s="62">
        <f>RIGHT(D205,LEN(D205)-4)/10000</f>
        <v>9.9299999999999999E-2</v>
      </c>
      <c r="Z205" s="62">
        <f>RIGHT(H205,LEN(H205)-4)/10000</f>
        <v>5.8936999999999999</v>
      </c>
      <c r="AA205" s="62">
        <f>ABS(Z205-Y205)</f>
        <v>5.7943999999999996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0847-20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/stypes="app*4020*20170421*" /stext=" 04:.+((SYSTEM_STATE.+slice.+state.+changed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NW</v>
      </c>
      <c r="AH205" s="86" t="str">
        <f t="shared" si="19"/>
        <v>"%USERPROFILE%\Documents\GitHub\eaglep3\Utilities\RefineRTDCRunTimes.py" --tripid 847-20 --locoid 4020 --swversion DE.1.0.9.0 --startMP 204:993 --initTime 2017-04-20T22:15:14 --startdatetime 2017-04-20T22:21:40 --delay 1 --endMP 300:58937 --enddatetime 2017-04-20T22:35:23 --enforcementcount 0 &gt;&gt;C:\Users\stu\Documents\GitHub\eaglep3-reporting\EC\2017-04-20-refined-times.txt</v>
      </c>
      <c r="AI205" s="104" t="str">
        <f t="shared" si="20"/>
        <v>echo {"issue":{"subject":"","project_id":79,"tracker_id":40,"status_id":1,"priority_id":2,"assigned_to_id":23,"start_date":"2017-04-20","description":"","custom_fields":[{"id":1,"name":"Subdivision","value":"NW"},{"id":4,"name":"Milepost","value":"5.8937"},{"id":17,"name":"Train ID","value":"847-20"},{"id":16,"name":"Locomotive ID","value":"4020"},{"id":130,"name":"Impact","value":""},{"id":150,"name":"Time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21"/>
        <v>start /low /b %USERPROFILE%\Documents\GitHub\eaglep3\Utilities\DownloadLogsFromS3.py --loco 4020 --day 2017-04-20</v>
      </c>
      <c r="AN205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612</v>
      </c>
      <c r="B206" s="7">
        <v>4023</v>
      </c>
      <c r="C206" s="21" t="s">
        <v>213</v>
      </c>
      <c r="D206" s="21" t="s">
        <v>928</v>
      </c>
      <c r="E206" s="13">
        <v>42845.11519675926</v>
      </c>
      <c r="F206" s="13">
        <v>42845.119074074071</v>
      </c>
      <c r="G206" s="7">
        <v>5</v>
      </c>
      <c r="H206" s="21" t="s">
        <v>197</v>
      </c>
      <c r="I206" s="13">
        <v>42845.125081018516</v>
      </c>
      <c r="J206" s="7">
        <v>0</v>
      </c>
      <c r="K206" s="97" t="str">
        <f>IF(ISEVEN(B206),(B206-1)&amp;"/"&amp;B206,B206&amp;"/"&amp;(B206+1))</f>
        <v>4023/4024</v>
      </c>
      <c r="L206" s="21" t="str">
        <f>VLOOKUP(A206,'Trips&amp;Operators'!$C$1:$G$99999,5,FALSE)</f>
        <v>BADERTSCHER DIANE</v>
      </c>
      <c r="M206" s="6">
        <f>I206-F206</f>
        <v>6.0069444443797693E-3</v>
      </c>
      <c r="N206" s="7">
        <f>24*60*SUM($M206:$M206)</f>
        <v>8.6499999999068677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183" t="str">
        <f>IF(AA206&lt;IF(AG206="EC",23,5.65),"Y","N")</f>
        <v>Y</v>
      </c>
      <c r="X206" s="183">
        <f>VALUE(LEFT(AD206,4))-VALUE(LEFT(AD205,4))</f>
        <v>-545</v>
      </c>
      <c r="Y206" s="62">
        <f>RIGHT(D206,LEN(D206)-4)/10000</f>
        <v>2.2845</v>
      </c>
      <c r="Z206" s="62">
        <f>RIGHT(H206,LEN(H206)-4)/10000</f>
        <v>1.52E-2</v>
      </c>
      <c r="AA206" s="62">
        <f>ABS(Z206-Y206)</f>
        <v>2.2692999999999999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0302-20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/stypes="app*4023*20170420*" /stext=" 09:.+((SYSTEM_STATE.+slice.+state.+changed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9"/>
        <v>"%USERPROFILE%\Documents\GitHub\eaglep3\Utilities\RefineRTDCRunTimes.py" --tripid 302-20 --locoid 4023 --swversion DE.1.0.9.0 --startMP 300:22845 --initTime 2017-04-20T02:45:53 --startdatetime 2017-04-20T02:51:28 --delay 5 --endMP 204:152 --enddatetime 2017-04-20T03:00:07 --enforcementcount 0 &gt;&gt;C:\Users\stu\Documents\GitHub\eaglep3-reporting\EC\2017-04-20-refined-times.txt</v>
      </c>
      <c r="AI206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{"issue":{"subject":"","project_id":79,"tracker_id":40,"status_id":1,"priority_id":2,"assigned_to_id":23,"start_date":"2017-04-20","description":"","custom_fields":[{"id":1,"name":"Subdivision","value":"Other"},{"id":4,"name":"Milepost","value":"0.0152"},{"id":17,"name":"Train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21"/>
        <v>start /low /b %USERPROFILE%\Documents\GitHub\eaglep3\Utilities\DownloadLogsFromS3.py --loco 4023 --day 2017-04-20</v>
      </c>
      <c r="AN206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803</v>
      </c>
      <c r="B207" s="7">
        <v>4054</v>
      </c>
      <c r="C207" s="21" t="s">
        <v>213</v>
      </c>
      <c r="D207" s="21" t="s">
        <v>209</v>
      </c>
      <c r="E207" s="13">
        <v>42845.775972222225</v>
      </c>
      <c r="F207" s="13">
        <v>42845.777696759258</v>
      </c>
      <c r="G207" s="7">
        <v>1</v>
      </c>
      <c r="H207" s="21" t="s">
        <v>929</v>
      </c>
      <c r="I207" s="13">
        <v>42845.78261574074</v>
      </c>
      <c r="J207" s="7">
        <v>0</v>
      </c>
      <c r="K207" s="97" t="str">
        <f>IF(ISEVEN(B207),(B207-1)&amp;"/"&amp;B207,B207&amp;"/"&amp;(B207+1))</f>
        <v>4053/4054</v>
      </c>
      <c r="L207" s="21" t="str">
        <f>VLOOKUP(A207,'Trips&amp;Operators'!$C$1:$G$99999,5,FALSE)</f>
        <v>SMITH MICHAEL</v>
      </c>
      <c r="M207" s="6">
        <f>I207-F207</f>
        <v>4.9189814817509614E-3</v>
      </c>
      <c r="N207" s="7">
        <f>24*60*SUM($M207:$M207)</f>
        <v>7.0833333337213844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-20T17:37:24-0600',mode:absolute,to:'2017-04-20T19:46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3" t="str">
        <f>IF(AA207&lt;IF(AG207="EC",23,5.65),"Y","N")</f>
        <v>Y</v>
      </c>
      <c r="X207" s="183">
        <f>VALUE(LEFT(AD207,4))-VALUE(LEFT(AD206,4))</f>
        <v>1</v>
      </c>
      <c r="Y207" s="62">
        <f>RIGHT(D207,LEN(D207)-4)/10000</f>
        <v>4.5499999999999999E-2</v>
      </c>
      <c r="Z207" s="62">
        <f>RIGHT(H207,LEN(H207)-4)/10000</f>
        <v>2.3302</v>
      </c>
      <c r="AA207" s="62">
        <f>ABS(Z207-Y207)</f>
        <v>2.2847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0303-20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/stypes="app*4054*20170421*" /stext=" 00:.+((SYSTEM_STATE.+slice.+state.+changed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9"/>
        <v>"%USERPROFILE%\Documents\GitHub\eaglep3\Utilities\RefineRTDCRunTimes.py" --tripid 303-20 --locoid 4054 --swversion DE.1.0.9.0 --startMP 204:455 --initTime 2017-04-20T18:37:24 --startdatetime 2017-04-20T18:39:53 --delay 1 --endMP 300:23302 --enddatetime 2017-04-20T18:46:58 --enforcementcount 0 &gt;&gt;C:\Users\stu\Documents\GitHub\eaglep3-reporting\EC\2017-04-20-refined-times.txt</v>
      </c>
      <c r="AI207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{"issue":{"subject":"","project_id":79,"tracker_id":40,"status_id":1,"priority_id":2,"assigned_to_id":23,"start_date":"2017-04-20","description":"","custom_fields":[{"id":1,"name":"Subdivision","value":"Other"},{"id":4,"name":"Milepost","value":"2.3302"},{"id":17,"name":"Train ID","value":"303-20"},{"id":16,"name":"Locomotive ID","value":"4054"},{"id":130,"name":"Impact","value":""},{"id":150,"name":"Time of Event (Mountain Time)","value":"18:46:58"},{"id":151,"name":"Denver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21"/>
        <v>start /low /b %USERPROFILE%\Documents\GitHub\eaglep3\Utilities\DownloadLogsFromS3.py --loco 4054 --day 2017-04-20</v>
      </c>
      <c r="AN207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00:46:58"},{"id":29,"name":"Sharepoint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613</v>
      </c>
      <c r="B208" s="7">
        <v>4001</v>
      </c>
      <c r="C208" s="21" t="s">
        <v>213</v>
      </c>
      <c r="D208" s="21" t="s">
        <v>930</v>
      </c>
      <c r="E208" s="13">
        <v>42845.135462962964</v>
      </c>
      <c r="F208" s="13">
        <v>42845.139016203706</v>
      </c>
      <c r="G208" s="7">
        <v>5</v>
      </c>
      <c r="H208" s="21" t="s">
        <v>591</v>
      </c>
      <c r="I208" s="13">
        <v>42845.144537037035</v>
      </c>
      <c r="J208" s="7">
        <v>0</v>
      </c>
      <c r="K208" s="97" t="str">
        <f>IF(ISEVEN(B208),(B208-1)&amp;"/"&amp;B208,B208&amp;"/"&amp;(B208+1))</f>
        <v>4001/4002</v>
      </c>
      <c r="L208" s="21" t="str">
        <f>VLOOKUP(A208,'Trips&amp;Operators'!$C$1:$G$99999,5,FALSE)</f>
        <v>YANAI IAN</v>
      </c>
      <c r="M208" s="6">
        <f>I208-F208</f>
        <v>5.5208333287737332E-3</v>
      </c>
      <c r="N208" s="7">
        <f>24*60*SUM($M208:$M208)</f>
        <v>7.9499999934341758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2.323</v>
      </c>
      <c r="Z208" s="62">
        <f>RIGHT(H208,LEN(H208)-4)/10000</f>
        <v>1.8100000000000002E-2</v>
      </c>
      <c r="AA208" s="62">
        <f>ABS(Z208-Y208)</f>
        <v>2.3048999999999999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0304-20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s3://rtdc.mdm.uploadarchive.raw/RTDC4001/ "%USERPROFILE%\AppData\Local\Temp\OnboardLogs"\RTDC4001\2017-04-20 --exclude "*" --recursive --include "*20170420*" &amp; "%USERPROFILE%\Documents\GitHub\mrs-test-scripts\Headless Mode &amp; Sideloading\WalkAndUnGZ.bat" "%USERPROFILE%\AppData\Local\Temp\OnboardLogs"\RTDC4001\2017-04-20 &amp; aws s3 cp s3://rtdc.mdm.uploadarchive.raw/RTDC4001/ "%USERPROFILE%\AppData\Local\Temp\OnboardLogs"\RTDC4001\2017-04-21 --exclude "*" --recursive --include "*20170421*" &amp; "%USERPROFILE%\Documents\GitHub\mrs-test-scripts\Headless Mode &amp; Sideloading\WalkAndUnGZ.bat" "%USERPROFILE%\AppData\Local\Temp\OnboardLogs"\RTDC4001\2017-04-21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/stypes="app*4001*20170420*" /stext=" 09:.+((SYSTEM_STATE.+slice.+state.+changed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9"/>
        <v>"%USERPROFILE%\Documents\GitHub\eaglep3\Utilities\RefineRTDCRunTimes.py" --tripid 304-20 --locoid 4001 --swversion DE.1.0.9.0 --startMP 300:23230 --initTime 2017-04-20T03:15:04 --startdatetime 2017-04-20T03:20:11 --delay 5 --endMP 204:181 --enddatetime 2017-04-20T03:28:08 --enforcementcount 0 &gt;&gt;C:\Users\stu\Documents\GitHub\eaglep3-reporting\EC\2017-04-20-refined-times.txt</v>
      </c>
      <c r="AI208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{"issue":{"subject":"","project_id":79,"tracker_id":40,"status_id":1,"priority_id":2,"assigned_to_id":23,"start_date":"2017-04-20","description":"","custom_fields":[{"id":1,"name":"Subdivision","value":"Other"},{"id":4,"name":"Milepost","value":"0.0181"},{"id":17,"name":"Train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21"/>
        <v>start /low /b %USERPROFILE%\Documents\GitHub\eaglep3\Utilities\DownloadLogsFromS3.py --loco 4001 --day 2017-04-20</v>
      </c>
      <c r="AN208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807</v>
      </c>
      <c r="B209" s="7">
        <v>4024</v>
      </c>
      <c r="C209" s="21" t="s">
        <v>213</v>
      </c>
      <c r="D209" s="21" t="s">
        <v>406</v>
      </c>
      <c r="E209" s="13">
        <v>42845.796909722223</v>
      </c>
      <c r="F209" s="13">
        <v>42845.802511574075</v>
      </c>
      <c r="G209" s="7">
        <v>1</v>
      </c>
      <c r="H209" s="21" t="s">
        <v>482</v>
      </c>
      <c r="I209" s="13">
        <v>42845.816284722219</v>
      </c>
      <c r="J209" s="7">
        <v>0</v>
      </c>
      <c r="K209" s="97" t="str">
        <f>IF(ISEVEN(B209),(B209-1)&amp;"/"&amp;B209,B209&amp;"/"&amp;(B209+1))</f>
        <v>4023/4024</v>
      </c>
      <c r="L209" s="21" t="str">
        <f>VLOOKUP(A209,'Trips&amp;Operators'!$C$1:$G$99999,5,FALSE)</f>
        <v>LOPES KIMBERLY</v>
      </c>
      <c r="M209" s="6">
        <f>I209-F209</f>
        <v>1.3773148144537117E-2</v>
      </c>
      <c r="N209" s="7">
        <f>24*60*SUM($M209:$M209)</f>
        <v>19.833333328133449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-20T18:07:33-0600',mode:absolute,to:'2017-04-20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4.4600000000000001E-2</v>
      </c>
      <c r="Z209" s="62">
        <f>RIGHT(H209,LEN(H209)-4)/10000</f>
        <v>2.3304</v>
      </c>
      <c r="AA209" s="62">
        <f>ABS(Z209-Y209)</f>
        <v>2.2858000000000001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0305-20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s3://rtdc.mdm.uploadarchive.raw/RTDC4024/ "%USERPROFILE%\AppData\Local\Temp\OnboardLogs"\RTDC4024\2017-04-20 --exclude "*" --recursive --include "*20170420*" &amp; "%USERPROFILE%\Documents\GitHub\mrs-test-scripts\Headless Mode &amp; Sideloading\WalkAndUnGZ.bat" "%USERPROFILE%\AppData\Local\Temp\OnboardLogs"\RTDC4024\2017-04-20 &amp; aws s3 cp s3://rtdc.mdm.uploadarchive.raw/RTDC4024/ "%USERPROFILE%\AppData\Local\Temp\OnboardLogs"\RTDC4024\2017-04-21 --exclude "*" --recursive --include "*20170421*" &amp; "%USERPROFILE%\Documents\GitHub\mrs-test-scripts\Headless Mode &amp; Sideloading\WalkAndUnGZ.bat" "%USERPROFILE%\AppData\Local\Temp\OnboardLogs"\RTDC4024\2017-04-21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/stypes="app*4024*20170421*" /stext=" 01:.+((SYSTEM_STATE.+slice.+state.+changed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9"/>
        <v>"%USERPROFILE%\Documents\GitHub\eaglep3\Utilities\RefineRTDCRunTimes.py" --tripid 305-20 --locoid 4024 --swversion DE.1.0.9.0 --startMP 204:446 --initTime 2017-04-20T19:07:33 --startdatetime 2017-04-20T19:15:37 --delay 1 --endMP 300:23304 --enddatetime 2017-04-20T19:35:27 --enforcementcount 0 &gt;&gt;C:\Users\stu\Documents\GitHub\eaglep3-reporting\EC\2017-04-20-refined-times.txt</v>
      </c>
      <c r="AI209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{"issue":{"subject":"","project_id":79,"tracker_id":40,"status_id":1,"priority_id":2,"assigned_to_id":23,"start_date":"2017-04-20","description":"","custom_fields":[{"id":1,"name":"Subdivision","value":"Other"},{"id":4,"name":"Milepost","value":"2.3304"},{"id":17,"name":"Train ID","value":"305-20"},{"id":16,"name":"Locomotive ID","value":"4024"},{"id":130,"name":"Impact","value":""},{"id":150,"name":"Time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21"/>
        <v>start /low /b %USERPROFILE%\Documents\GitHub\eaglep3\Utilities\DownloadLogsFromS3.py --loco 4024 --day 2017-04-20</v>
      </c>
      <c r="AN209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614</v>
      </c>
      <c r="B210" s="7">
        <v>4027</v>
      </c>
      <c r="C210" s="21" t="s">
        <v>213</v>
      </c>
      <c r="D210" s="21" t="s">
        <v>931</v>
      </c>
      <c r="E210" s="13">
        <v>42845.156805555554</v>
      </c>
      <c r="F210" s="13">
        <v>42845.159733796296</v>
      </c>
      <c r="G210" s="7">
        <v>3</v>
      </c>
      <c r="H210" s="21" t="s">
        <v>932</v>
      </c>
      <c r="I210" s="13">
        <v>42845.159791666665</v>
      </c>
      <c r="J210" s="7">
        <v>0</v>
      </c>
      <c r="K210" s="97" t="str">
        <f>IF(ISEVEN(B210),(B210-1)&amp;"/"&amp;B210,B210&amp;"/"&amp;(B210+1))</f>
        <v>4027/4028</v>
      </c>
      <c r="L210" s="21" t="str">
        <f>VLOOKUP(A210,'Trips&amp;Operators'!$C$1:$G$99999,5,FALSE)</f>
        <v>COOLAHAN JOHN</v>
      </c>
      <c r="M210" s="6">
        <f>I210-F210</f>
        <v>5.7870369346346706E-5</v>
      </c>
      <c r="N210" s="7">
        <f>24*60*SUM($M210:$M210)</f>
        <v>8.3333331858739257E-2</v>
      </c>
      <c r="O210" s="7"/>
      <c r="P210" s="7"/>
      <c r="Q210" s="22"/>
      <c r="R210" s="22"/>
      <c r="S210" s="31">
        <f>SUM(U210:U210)/IF(AG210="EC",12,1)</f>
        <v>0</v>
      </c>
      <c r="T210" s="46" t="str">
        <f>IF(ISEVEN(LEFT(AD210,4)),"Southbound","NorthBound")</f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2.3523000000000001</v>
      </c>
      <c r="Z210" s="62">
        <f>RIGHT(H210,LEN(H210)-4)/10000</f>
        <v>2.3111999999999999</v>
      </c>
      <c r="AA210" s="62">
        <f>ABS(Z210-Y210)</f>
        <v>4.1100000000000136E-2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0306-20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/stypes="app*4027*20170420*" /stext=" 09:.+((SYSTEM_STATE.+slice.+state.+changed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9"/>
        <v>"%USERPROFILE%\Documents\GitHub\eaglep3\Utilities\RefineRTDCRunTimes.py" --tripid 306-20 --locoid 4027 --swversion DE.1.0.9.0 --startMP 300:23523 --initTime 2017-04-20T03:45:48 --startdatetime 2017-04-20T03:50:01 --delay 3 --endMP 300:23112 --enddatetime 2017-04-20T03:50:06 --enforcementcount 0 &gt;&gt;C:\Users\stu\Documents\GitHub\eaglep3-reporting\EC\2017-04-20-refined-times.txt</v>
      </c>
      <c r="AI210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{"issue":{"subject":"","project_id":79,"tracker_id":40,"status_id":1,"priority_id":2,"assigned_to_id":23,"start_date":"2017-04-20","description":"","custom_fields":[{"id":1,"name":"Subdivision","value":"Other"},{"id":4,"name":"Milepost","value":"2.3112"},{"id":17,"name":"Train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21"/>
        <v>start /low /b %USERPROFILE%\Documents\GitHub\eaglep3\Utilities\DownloadLogsFromS3.py --loco 4027 --day 2017-04-20</v>
      </c>
      <c r="AN210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09:50:06"},{"id":29,"name":"Sharepoint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812</v>
      </c>
      <c r="B211" s="7">
        <v>4002</v>
      </c>
      <c r="C211" s="21" t="s">
        <v>213</v>
      </c>
      <c r="D211" s="21" t="s">
        <v>209</v>
      </c>
      <c r="E211" s="13">
        <v>42845.819212962961</v>
      </c>
      <c r="F211" s="13">
        <v>42845.821655092594</v>
      </c>
      <c r="G211" s="7">
        <v>1</v>
      </c>
      <c r="H211" s="21" t="s">
        <v>529</v>
      </c>
      <c r="I211" s="13">
        <v>42845.828738425924</v>
      </c>
      <c r="J211" s="7">
        <v>0</v>
      </c>
      <c r="K211" s="97" t="str">
        <f>IF(ISEVEN(B211),(B211-1)&amp;"/"&amp;B211,B211&amp;"/"&amp;(B211+1))</f>
        <v>4001/4002</v>
      </c>
      <c r="L211" s="21" t="str">
        <f>VLOOKUP(A211,'Trips&amp;Operators'!$C$1:$G$99999,5,FALSE)</f>
        <v>WHITED DUSTIN</v>
      </c>
      <c r="M211" s="6">
        <f>I211-F211</f>
        <v>7.0833333302289248E-3</v>
      </c>
      <c r="N211" s="7">
        <f>24*60*SUM($M211:$M211)</f>
        <v>10.199999995529652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-20T18:39:40-0600',mode:absolute,to:'2017-04-20T20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4.5499999999999999E-2</v>
      </c>
      <c r="Z211" s="62">
        <f>RIGHT(H211,LEN(H211)-4)/10000</f>
        <v>2.3346</v>
      </c>
      <c r="AA211" s="62">
        <f>ABS(Z211-Y211)</f>
        <v>2.2890999999999999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0307-20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/stypes="app*4002*20170421*" /stext=" 01:.+((SYSTEM_STATE.+slice.+state.+changed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9"/>
        <v>"%USERPROFILE%\Documents\GitHub\eaglep3\Utilities\RefineRTDCRunTimes.py" --tripid 307-20 --locoid 4002 --swversion DE.1.0.9.0 --startMP 204:455 --initTime 2017-04-20T19:39:40 --startdatetime 2017-04-20T19:43:11 --delay 1 --endMP 300:23346 --enddatetime 2017-04-20T19:53:23 --enforcementcount 0 &gt;&gt;C:\Users\stu\Documents\GitHub\eaglep3-reporting\EC\2017-04-20-refined-times.txt</v>
      </c>
      <c r="AI211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{"issue":{"subject":"","project_id":79,"tracker_id":40,"status_id":1,"priority_id":2,"assigned_to_id":23,"start_date":"2017-04-20","description":"","custom_fields":[{"id":1,"name":"Subdivision","value":"Other"},{"id":4,"name":"Milepost","value":"2.3346"},{"id":17,"name":"Train ID","value":"307-20"},{"id":16,"name":"Locomotive ID","value":"4002"},{"id":130,"name":"Impact","value":""},{"id":150,"name":"Time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21"/>
        <v>start /low /b %USERPROFILE%\Documents\GitHub\eaglep3\Utilities\DownloadLogsFromS3.py --loco 4002 --day 2017-04-20</v>
      </c>
      <c r="AN211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653</v>
      </c>
      <c r="B212" s="7">
        <v>4025</v>
      </c>
      <c r="C212" s="21" t="s">
        <v>213</v>
      </c>
      <c r="D212" s="21" t="s">
        <v>933</v>
      </c>
      <c r="E212" s="13">
        <v>42845.166296296295</v>
      </c>
      <c r="F212" s="13">
        <v>42845.172824074078</v>
      </c>
      <c r="G212" s="7">
        <v>8</v>
      </c>
      <c r="H212" s="21" t="s">
        <v>440</v>
      </c>
      <c r="I212" s="13">
        <v>42845.18041666667</v>
      </c>
      <c r="J212" s="7">
        <v>0</v>
      </c>
      <c r="K212" s="97" t="str">
        <f>IF(ISEVEN(B212),(B212-1)&amp;"/"&amp;B212,B212&amp;"/"&amp;(B212+1))</f>
        <v>4025/4026</v>
      </c>
      <c r="L212" s="21" t="str">
        <f>VLOOKUP(A212,'Trips&amp;Operators'!$C$1:$G$99999,5,FALSE)</f>
        <v>GEBRETEKLE DAGNEW</v>
      </c>
      <c r="M212" s="6">
        <f>I212-F212</f>
        <v>7.5925925921183079E-3</v>
      </c>
      <c r="N212" s="7">
        <f>24*60*SUM($M212:$M212)</f>
        <v>10.933333332650363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-20T02:59:28-0600',mode:absolute,to:'2017-04-20T05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183" t="str">
        <f>IF(AA212&lt;IF(AG212="EC",23,5.65),"Y","N")</f>
        <v>Y</v>
      </c>
      <c r="X212" s="183">
        <f>VALUE(LEFT(AD212,4))-VALUE(LEFT(AD211,4))</f>
        <v>1</v>
      </c>
      <c r="Y212" s="62">
        <f>RIGHT(D212,LEN(D212)-4)/10000</f>
        <v>2.3081999999999998</v>
      </c>
      <c r="Z212" s="62">
        <f>RIGHT(H212,LEN(H212)-4)/10000</f>
        <v>1.4999999999999999E-2</v>
      </c>
      <c r="AA212" s="62">
        <f>ABS(Z212-Y212)</f>
        <v>2.2931999999999997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0308-20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/stypes="app*4025*20170420*" /stext=" 10:.+((SYSTEM_STATE.+slice.+state.+changed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9"/>
        <v>"%USERPROFILE%\Documents\GitHub\eaglep3\Utilities\RefineRTDCRunTimes.py" --tripid 308-20 --locoid 4025 --swversion DE.1.0.9.0 --startMP 300:23082 --initTime 2017-04-20T03:59:28 --startdatetime 2017-04-20T04:08:52 --delay 8 --endMP 204:150 --enddatetime 2017-04-20T04:19:48 --enforcementcount 0 &gt;&gt;C:\Users\stu\Documents\GitHub\eaglep3-reporting\EC\2017-04-20-refined-times.txt</v>
      </c>
      <c r="AI212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{"issue":{"subject":"","project_id":79,"tracker_id":40,"status_id":1,"priority_id":2,"assigned_to_id":23,"start_date":"2017-04-20","description":"","custom_fields":[{"id":1,"name":"Subdivision","value":"Other"},{"id":4,"name":"Milepost","value":"0.015"},{"id":17,"name":"Train ID","value":"308-20"},{"id":16,"name":"Locomotive ID","value":"4025"},{"id":130,"name":"Impact","value":""},{"id":150,"name":"Time of Event (Mountain Time)","value":"04:19:48"},{"id":151,"name":"Denver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21"/>
        <v>start /low /b %USERPROFILE%\Documents\GitHub\eaglep3\Utilities\DownloadLogsFromS3.py --loco 4025 --day 2017-04-20</v>
      </c>
      <c r="AN212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847</v>
      </c>
      <c r="B213" s="7">
        <v>4042</v>
      </c>
      <c r="C213" s="21" t="s">
        <v>213</v>
      </c>
      <c r="D213" s="21" t="s">
        <v>205</v>
      </c>
      <c r="E213" s="13">
        <v>42846.052662037036</v>
      </c>
      <c r="F213" s="13">
        <v>42846.054097222222</v>
      </c>
      <c r="G213" s="7">
        <v>1</v>
      </c>
      <c r="H213" s="21" t="s">
        <v>934</v>
      </c>
      <c r="I213" s="13">
        <v>42846.062534722223</v>
      </c>
      <c r="J213" s="7">
        <v>0</v>
      </c>
      <c r="K213" s="97" t="str">
        <f>IF(ISEVEN(B213),(B213-1)&amp;"/"&amp;B213,B213&amp;"/"&amp;(B213+1))</f>
        <v>4041/4042</v>
      </c>
      <c r="L213" s="21" t="str">
        <f>VLOOKUP(A213,'Trips&amp;Operators'!$C$1:$G$99999,5,FALSE)</f>
        <v>NEWELL JAMES</v>
      </c>
      <c r="M213" s="6">
        <f>I213-F213</f>
        <v>8.4375000005820766E-3</v>
      </c>
      <c r="N213" s="7">
        <f>24*60*SUM($M213:$M213)</f>
        <v>12.15000000083819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-21T00:15:50-0600',mode:absolute,to:'2017-04-21T02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3" t="str">
        <f>IF(AA213&lt;IF(AG213="EC",23,5.65),"Y","N")</f>
        <v>Y</v>
      </c>
      <c r="X213" s="183">
        <f>VALUE(LEFT(AD213,4))-VALUE(LEFT(AD212,4))</f>
        <v>1</v>
      </c>
      <c r="Y213" s="62">
        <f>RIGHT(D213,LEN(D213)-4)/10000</f>
        <v>4.5999999999999999E-2</v>
      </c>
      <c r="Z213" s="62">
        <f>RIGHT(H213,LEN(H213)-4)/10000</f>
        <v>2.3306</v>
      </c>
      <c r="AA213" s="62">
        <f>ABS(Z213-Y213)</f>
        <v>2.2846000000000002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0309-20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 &amp; aws s3 cp s3://rtdc.mdm.uploadarchive.raw/RTDC4042/ "%USERPROFILE%\AppData\Local\Temp\OnboardLogs"\RTDC4042\2017-04-22 --exclude "*" --recursive --include "*20170422*" &amp; "%USERPROFILE%\Documents\GitHub\mrs-test-scripts\Headless Mode &amp; Sideloading\WalkAndUnGZ.bat" "%USERPROFILE%\AppData\Local\Temp\OnboardLogs"\RTDC4042\2017-04-22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/stypes="app*4042*20170421*" /stext=" 07:.+((SYSTEM_STATE.+slice.+state.+changed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9"/>
        <v>"%USERPROFILE%\Documents\GitHub\eaglep3\Utilities\RefineRTDCRunTimes.py" --tripid 309-20 --locoid 4042 --swversion DE.1.0.9.0 --startMP 204:460 --initTime 2017-04-21T01:15:50 --startdatetime 2017-04-21T01:17:54 --delay 1 --endMP 300:23306 --enddatetime 2017-04-21T01:30:03 --enforcementcount 0 &gt;&gt;C:\Users\stu\Documents\GitHub\eaglep3-reporting\EC\2017-04-20-refined-times.txt</v>
      </c>
      <c r="AI213" s="104" t="str">
        <f t="shared" si="20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ID","value":"309-20"},{"id":16,"name":"Locomotive ID","value":"4042"},{"id":130,"name":"Impact","value":""},{"id":150,"name":"Time of Event (Mountain Time)","value":"01:30:03"},{"id":151,"name":"Denver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21"/>
        <v>start /low /b %USERPROFILE%\Documents\GitHub\eaglep3\Utilities\DownloadLogsFromS3.py --loco 4042 --day 2017-04-21</v>
      </c>
      <c r="AN213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658</v>
      </c>
      <c r="B214" s="7">
        <v>4053</v>
      </c>
      <c r="C214" s="21" t="s">
        <v>213</v>
      </c>
      <c r="D214" s="21" t="s">
        <v>935</v>
      </c>
      <c r="E214" s="13">
        <v>42845.185231481482</v>
      </c>
      <c r="F214" s="13">
        <v>42845.188009259262</v>
      </c>
      <c r="G214" s="7">
        <v>4</v>
      </c>
      <c r="H214" s="21" t="s">
        <v>447</v>
      </c>
      <c r="I214" s="13">
        <v>42845.192974537036</v>
      </c>
      <c r="J214" s="7">
        <v>0</v>
      </c>
      <c r="K214" s="97" t="str">
        <f>IF(ISEVEN(B214),(B214-1)&amp;"/"&amp;B214,B214&amp;"/"&amp;(B214+1))</f>
        <v>4053/4054</v>
      </c>
      <c r="L214" s="21" t="str">
        <f>VLOOKUP(A214,'Trips&amp;Operators'!$C$1:$G$99999,5,FALSE)</f>
        <v>ROCHA YAOTL</v>
      </c>
      <c r="M214" s="6">
        <f>I214-F214</f>
        <v>4.9652777743176557E-3</v>
      </c>
      <c r="N214" s="7">
        <f>24*60*SUM($M214:$M214)</f>
        <v>7.1499999950174242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4" s="183" t="str">
        <f>IF(AA214&lt;IF(AG214="EC",23,5.65),"Y","N")</f>
        <v>Y</v>
      </c>
      <c r="X214" s="183">
        <f>VALUE(LEFT(AD214,4))-VALUE(LEFT(AD213,4))</f>
        <v>1</v>
      </c>
      <c r="Y214" s="62">
        <f>RIGHT(D214,LEN(D214)-4)/10000</f>
        <v>2.2174</v>
      </c>
      <c r="Z214" s="62">
        <f>RIGHT(H214,LEN(H214)-4)/10000</f>
        <v>1.43E-2</v>
      </c>
      <c r="AA214" s="62">
        <f>ABS(Z214-Y214)</f>
        <v>2.2031000000000001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0310-20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9"/>
        <v>"%USERPROFILE%\Documents\GitHub\eaglep3\Utilities\RefineRTDCRunTimes.py" --tripid 310-20 --locoid 4053 --swversion DE.1.0.9.0 --startMP 300:22174 --initTime 2017-04-20T04:26:44 --startdatetime 2017-04-20T04:30:44 --delay 4 --endMP 204:143 --enddatetime 2017-04-20T04:37:53 --enforcementcount 0 &gt;&gt;C:\Users\stu\Documents\GitHub\eaglep3-reporting\EC\2017-04-20-refined-times.txt</v>
      </c>
      <c r="AI214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21"/>
        <v>start /low /b %USERPROFILE%\Documents\GitHub\eaglep3\Utilities\DownloadLogsFromS3.py --loco 4053 --day 2017-04-20</v>
      </c>
      <c r="AN214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658</v>
      </c>
      <c r="B215" s="7">
        <v>4053</v>
      </c>
      <c r="C215" s="21" t="s">
        <v>213</v>
      </c>
      <c r="D215" s="21" t="s">
        <v>936</v>
      </c>
      <c r="E215" s="13">
        <v>42845.185231481482</v>
      </c>
      <c r="F215" s="13">
        <v>42845.188009259262</v>
      </c>
      <c r="G215" s="7">
        <v>3</v>
      </c>
      <c r="H215" s="21" t="s">
        <v>447</v>
      </c>
      <c r="I215" s="13">
        <v>42845.192974537036</v>
      </c>
      <c r="J215" s="7">
        <v>0</v>
      </c>
      <c r="K215" s="97" t="str">
        <f>IF(ISEVEN(B215),(B215-1)&amp;"/"&amp;B215,B215&amp;"/"&amp;(B215+1))</f>
        <v>4053/4054</v>
      </c>
      <c r="L215" s="21" t="str">
        <f>VLOOKUP(A215,'Trips&amp;Operators'!$C$1:$G$99999,5,FALSE)</f>
        <v>ROCHA YAOTL</v>
      </c>
      <c r="M215" s="6">
        <f>I215-F215</f>
        <v>4.9652777743176557E-3</v>
      </c>
      <c r="N215" s="7">
        <f>24*60*SUM($M215:$M215)</f>
        <v>7.1499999950174242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-20T03:26:44-0600',mode:absolute,to:'2017-04-20T05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183" t="str">
        <f>IF(AA215&lt;IF(AG215="EC",23,5.65),"Y","N")</f>
        <v>Y</v>
      </c>
      <c r="X215" s="183">
        <f>VALUE(LEFT(AD215,4))-VALUE(LEFT(AD214,4))</f>
        <v>0</v>
      </c>
      <c r="Y215" s="62">
        <f>RIGHT(D215,LEN(D215)-4)/10000</f>
        <v>2.3121999999999998</v>
      </c>
      <c r="Z215" s="62">
        <f>RIGHT(H215,LEN(H215)-4)/10000</f>
        <v>1.43E-2</v>
      </c>
      <c r="AA215" s="62">
        <f>ABS(Z215-Y215)</f>
        <v>2.2978999999999998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0310-20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s3://rtdc.mdm.uploadarchive.raw/RTDC4053/ "%USERPROFILE%\AppData\Local\Temp\OnboardLogs"\RTDC4053\2017-04-20 --exclude "*" --recursive --include "*20170420*" &amp; "%USERPROFILE%\Documents\GitHub\mrs-test-scripts\Headless Mode &amp; Sideloading\WalkAndUnGZ.bat" "%USERPROFILE%\AppData\Local\Temp\OnboardLogs"\RTDC4053\2017-04-20 &amp; aws s3 cp s3://rtdc.mdm.uploadarchive.raw/RTDC4053/ "%USERPROFILE%\AppData\Local\Temp\OnboardLogs"\RTDC4053\2017-04-21 --exclude "*" --recursive --include "*20170421*" &amp; "%USERPROFILE%\Documents\GitHub\mrs-test-scripts\Headless Mode &amp; Sideloading\WalkAndUnGZ.bat" "%USERPROFILE%\AppData\Local\Temp\OnboardLogs"\RTDC4053\2017-04-21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/stypes="app*4053*20170420*" /stext=" 10:.+((SYSTEM_STATE.+slice.+state.+changed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9"/>
        <v>"%USERPROFILE%\Documents\GitHub\eaglep3\Utilities\RefineRTDCRunTimes.py" --tripid 310-20 --locoid 4053 --swversion DE.1.0.9.0 --startMP 300:23122 --initTime 2017-04-20T04:26:44 --startdatetime 2017-04-20T04:30:44 --delay 3 --endMP 204:143 --enddatetime 2017-04-20T04:37:53 --enforcementcount 0 &gt;&gt;C:\Users\stu\Documents\GitHub\eaglep3-reporting\EC\2017-04-20-refined-times.txt</v>
      </c>
      <c r="AI215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{"issue":{"subject":"","project_id":79,"tracker_id":40,"status_id":1,"priority_id":2,"assigned_to_id":23,"start_date":"2017-04-20","description":"","custom_fields":[{"id":1,"name":"Subdivision","value":"Other"},{"id":4,"name":"Milepost","value":"0.0143"},{"id":17,"name":"Train ID","value":"310-20"},{"id":16,"name":"Locomotive ID","value":"4053"},{"id":130,"name":"Impact","value":""},{"id":150,"name":"Time of Event (Mountain Time)","value":"04:37:53"},{"id":151,"name":"Denver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21"/>
        <v>start /low /b %USERPROFILE%\Documents\GitHub\eaglep3\Utilities\DownloadLogsFromS3.py --loco 4053 --day 2017-04-20</v>
      </c>
      <c r="AN215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849</v>
      </c>
      <c r="B216" s="7">
        <v>4028</v>
      </c>
      <c r="C216" s="21" t="s">
        <v>213</v>
      </c>
      <c r="D216" s="21" t="s">
        <v>937</v>
      </c>
      <c r="E216" s="13">
        <v>42846.071666666663</v>
      </c>
      <c r="F216" s="13">
        <v>42846.073414351849</v>
      </c>
      <c r="G216" s="7">
        <v>1</v>
      </c>
      <c r="H216" s="21" t="s">
        <v>934</v>
      </c>
      <c r="I216" s="13">
        <v>42846.082083333335</v>
      </c>
      <c r="J216" s="7">
        <v>0</v>
      </c>
      <c r="K216" s="97" t="str">
        <f>IF(ISEVEN(B216),(B216-1)&amp;"/"&amp;B216,B216&amp;"/"&amp;(B216+1))</f>
        <v>4027/4028</v>
      </c>
      <c r="L216" s="21" t="str">
        <f>VLOOKUP(A216,'Trips&amp;Operators'!$C$1:$G$99999,5,FALSE)</f>
        <v>BROWN JACOB</v>
      </c>
      <c r="M216" s="6">
        <f>I216-F216</f>
        <v>8.668981485243421E-3</v>
      </c>
      <c r="N216" s="7">
        <f>24*60*SUM($M216:$M216)</f>
        <v>12.483333338750526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-21T00:43:12-0600',mode:absolute,to:'2017-04-21T02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83" t="str">
        <f>IF(AA216&lt;IF(AG216="EC",23,5.65),"Y","N")</f>
        <v>Y</v>
      </c>
      <c r="X216" s="183">
        <f>VALUE(LEFT(AD216,4))-VALUE(LEFT(AD215,4))</f>
        <v>1</v>
      </c>
      <c r="Y216" s="62">
        <f>RIGHT(D216,LEN(D216)-4)/10000</f>
        <v>4.7800000000000002E-2</v>
      </c>
      <c r="Z216" s="62">
        <f>RIGHT(H216,LEN(H216)-4)/10000</f>
        <v>2.3306</v>
      </c>
      <c r="AA216" s="62">
        <f>ABS(Z216-Y216)</f>
        <v>2.2827999999999999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0311-20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 &amp; aws s3 cp s3://rtdc.mdm.uploadarchive.raw/RTDC4028/ "%USERPROFILE%\AppData\Local\Temp\OnboardLogs"\RTDC4028\2017-04-22 --exclude "*" --recursive --include "*20170422*" &amp; "%USERPROFILE%\Documents\GitHub\mrs-test-scripts\Headless Mode &amp; Sideloading\WalkAndUnGZ.bat" "%USERPROFILE%\AppData\Local\Temp\OnboardLogs"\RTDC4028\2017-04-22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/stypes="app*4028*20170421*" /stext=" 07:.+((SYSTEM_STATE.+slice.+state.+changed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9"/>
        <v>"%USERPROFILE%\Documents\GitHub\eaglep3\Utilities\RefineRTDCRunTimes.py" --tripid 311-20 --locoid 4028 --swversion DE.1.0.9.0 --startMP 204:478 --initTime 2017-04-21T01:43:12 --startdatetime 2017-04-21T01:45:43 --delay 1 --endMP 300:23306 --enddatetime 2017-04-21T01:58:12 --enforcementcount 0 &gt;&gt;C:\Users\stu\Documents\GitHub\eaglep3-reporting\EC\2017-04-20-refined-times.txt</v>
      </c>
      <c r="AI216" s="104" t="str">
        <f t="shared" si="20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ID","value":"311-20"},{"id":16,"name":"Locomotive ID","value":"4028"},{"id":130,"name":"Impact","value":""},{"id":150,"name":"Time of Event (Mountain Time)","value":"01:58:12"},{"id":151,"name":"Denver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21"/>
        <v>start /low /b %USERPROFILE%\Documents\GitHub\eaglep3\Utilities\DownloadLogsFromS3.py --loco 4028 --day 2017-04-21</v>
      </c>
      <c r="AN216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568</v>
      </c>
      <c r="B217" s="7">
        <v>4014</v>
      </c>
      <c r="C217" s="21" t="s">
        <v>213</v>
      </c>
      <c r="D217" s="21" t="s">
        <v>450</v>
      </c>
      <c r="E217" s="13">
        <v>42845.08934027778</v>
      </c>
      <c r="F217" s="13">
        <v>42845.090532407405</v>
      </c>
      <c r="G217" s="7">
        <v>1</v>
      </c>
      <c r="H217" s="21" t="s">
        <v>530</v>
      </c>
      <c r="I217" s="13">
        <v>42845.097557870373</v>
      </c>
      <c r="J217" s="7">
        <v>0</v>
      </c>
      <c r="K217" s="97" t="str">
        <f>IF(ISEVEN(B217),(B217-1)&amp;"/"&amp;B217,B217&amp;"/"&amp;(B217+1))</f>
        <v>4013/4014</v>
      </c>
      <c r="L217" s="21" t="str">
        <f>VLOOKUP(A217,'Trips&amp;Operators'!$C$1:$G$99999,5,FALSE)</f>
        <v>NEWELL JAMES</v>
      </c>
      <c r="M217" s="6">
        <f>I217-F217</f>
        <v>7.0254629681585357E-3</v>
      </c>
      <c r="N217" s="7">
        <f>24*60*SUM($M217:$M217)</f>
        <v>10.116666674148291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-20T01:08:39-0600',mode:absolute,to:'2017-04-20T03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>IF(AA217&lt;IF(AG217="EC",23,5.65),"Y","N")</f>
        <v>Y</v>
      </c>
      <c r="X217" s="183">
        <f>VALUE(LEFT(AD217,4))-VALUE(LEFT(AD216,4))</f>
        <v>2</v>
      </c>
      <c r="Y217" s="62">
        <f>RIGHT(D217,LEN(D217)-4)/10000</f>
        <v>4.4200000000000003E-2</v>
      </c>
      <c r="Z217" s="62">
        <f>RIGHT(H217,LEN(H217)-4)/10000</f>
        <v>2.3300999999999998</v>
      </c>
      <c r="AA217" s="62">
        <f>ABS(Z217-Y217)</f>
        <v>2.2858999999999998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0313-19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s3://rtdc.mdm.uploadarchive.raw/RTDC4014/ "%USERPROFILE%\AppData\Local\Temp\OnboardLogs"\RTDC4014\2017-04-20 --exclude "*" --recursive --include "*20170420*" &amp; "%USERPROFILE%\Documents\GitHub\mrs-test-scripts\Headless Mode &amp; Sideloading\WalkAndUnGZ.bat" "%USERPROFILE%\AppData\Local\Temp\OnboardLogs"\RTDC4014\2017-04-20 &amp; aws s3 cp s3://rtdc.mdm.uploadarchive.raw/RTDC4014/ "%USERPROFILE%\AppData\Local\Temp\OnboardLogs"\RTDC4014\2017-04-21 --exclude "*" --recursive --include "*20170421*" &amp; "%USERPROFILE%\Documents\GitHub\mrs-test-scripts\Headless Mode &amp; Sideloading\WalkAndUnGZ.bat" "%USERPROFILE%\AppData\Local\Temp\OnboardLogs"\RTDC4014\2017-04-21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/stypes="app*4014*20170420*" /stext=" 08:.+((SYSTEM_STATE.+slice.+state.+changed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9"/>
        <v>"%USERPROFILE%\Documents\GitHub\eaglep3\Utilities\RefineRTDCRunTimes.py" --tripid 313-19 --locoid 4014 --swversion DE.1.0.9.0 --startMP 204:442 --initTime 2017-04-20T02:08:39 --startdatetime 2017-04-20T02:10:22 --delay 1 --endMP 300:23301 --enddatetime 2017-04-20T02:20:29 --enforcementcount 0 &gt;&gt;C:\Users\stu\Documents\GitHub\eaglep3-reporting\EC\2017-04-20-refined-times.txt</v>
      </c>
      <c r="AI217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{"issue":{"subject":"","project_id":79,"tracker_id":40,"status_id":1,"priority_id":2,"assigned_to_id":23,"start_date":"2017-04-20","description":"","custom_fields":[{"id":1,"name":"Subdivision","value":"Other"},{"id":4,"name":"Milepost","value":"2.3301"},{"id":17,"name":"Train ID","value":"313-19"},{"id":16,"name":"Locomotive ID","value":"4014"},{"id":130,"name":"Impact","value":""},{"id":150,"name":"Time of Event (Mountain Time)","value":"02:20:29"},{"id":151,"name":"Denver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21"/>
        <v>start /low /b %USERPROFILE%\Documents\GitHub\eaglep3\Utilities\DownloadLogsFromS3.py --loco 4014 --day 2017-04-20</v>
      </c>
      <c r="AN217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08:20:29"},{"id":29,"name":"Sharepoint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850</v>
      </c>
      <c r="B218" s="7">
        <v>4026</v>
      </c>
      <c r="C218" s="21" t="s">
        <v>213</v>
      </c>
      <c r="D218" s="21" t="s">
        <v>450</v>
      </c>
      <c r="E218" s="13">
        <v>42846.090208333335</v>
      </c>
      <c r="F218" s="13">
        <v>42846.091666666667</v>
      </c>
      <c r="G218" s="7">
        <v>1</v>
      </c>
      <c r="H218" s="21" t="s">
        <v>934</v>
      </c>
      <c r="I218" s="13">
        <v>42846.09684027778</v>
      </c>
      <c r="J218" s="7">
        <v>0</v>
      </c>
      <c r="K218" s="97" t="str">
        <f>IF(ISEVEN(B218),(B218-1)&amp;"/"&amp;B218,B218&amp;"/"&amp;(B218+1))</f>
        <v>4025/4026</v>
      </c>
      <c r="L218" s="21" t="str">
        <f>VLOOKUP(A218,'Trips&amp;Operators'!$C$1:$G$99999,5,FALSE)</f>
        <v>YANG JAN</v>
      </c>
      <c r="M218" s="6">
        <f>I218-F218</f>
        <v>5.173611112695653E-3</v>
      </c>
      <c r="N218" s="7">
        <f>24*60*SUM($M218:$M218)</f>
        <v>7.4500000022817403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-21T01:09:54-0600',mode:absolute,to:'2017-04-21T03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3" t="str">
        <f>IF(AA218&lt;IF(AG218="EC",23,5.65),"Y","N")</f>
        <v>Y</v>
      </c>
      <c r="X218" s="183">
        <f>VALUE(LEFT(AD218,4))-VALUE(LEFT(AD217,4))</f>
        <v>0</v>
      </c>
      <c r="Y218" s="62">
        <f>RIGHT(D218,LEN(D218)-4)/10000</f>
        <v>4.4200000000000003E-2</v>
      </c>
      <c r="Z218" s="62">
        <f>RIGHT(H218,LEN(H218)-4)/10000</f>
        <v>2.3306</v>
      </c>
      <c r="AA218" s="62">
        <f>ABS(Z218-Y218)</f>
        <v>2.2864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0313-20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s3://rtdc.mdm.uploadarchive.raw/RTDC4026/ "%USERPROFILE%\AppData\Local\Temp\OnboardLogs"\RTDC4026\2017-04-21 --exclude "*" --recursive --include "*20170421*" &amp; "%USERPROFILE%\Documents\GitHub\mrs-test-scripts\Headless Mode &amp; Sideloading\WalkAndUnGZ.bat" "%USERPROFILE%\AppData\Local\Temp\OnboardLogs"\RTDC4026\2017-04-21 &amp; aws s3 cp s3://rtdc.mdm.uploadarchive.raw/RTDC4026/ "%USERPROFILE%\AppData\Local\Temp\OnboardLogs"\RTDC4026\2017-04-22 --exclude "*" --recursive --include "*20170422*" &amp; "%USERPROFILE%\Documents\GitHub\mrs-test-scripts\Headless Mode &amp; Sideloading\WalkAndUnGZ.bat" "%USERPROFILE%\AppData\Local\Temp\OnboardLogs"\RTDC4026\2017-04-22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/stypes="app*4026*20170421*" /stext=" 08:.+((SYSTEM_STATE.+slice.+state.+changed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9"/>
        <v>"%USERPROFILE%\Documents\GitHub\eaglep3\Utilities\RefineRTDCRunTimes.py" --tripid 313-20 --locoid 4026 --swversion DE.1.0.9.0 --startMP 204:442 --initTime 2017-04-21T02:09:54 --startdatetime 2017-04-21T02:12:00 --delay 1 --endMP 300:23306 --enddatetime 2017-04-21T02:19:27 --enforcementcount 0 &gt;&gt;C:\Users\stu\Documents\GitHub\eaglep3-reporting\EC\2017-04-20-refined-times.txt</v>
      </c>
      <c r="AI218" s="104" t="str">
        <f t="shared" si="20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ID","value":"313-20"},{"id":16,"name":"Locomotive ID","value":"4026"},{"id":130,"name":"Impact","value":""},{"id":150,"name":"Time of Event (Mountain Time)","value":"02:19:27"},{"id":151,"name":"Denver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21"/>
        <v>start /low /b %USERPROFILE%\Documents\GitHub\eaglep3\Utilities\DownloadLogsFromS3.py --loco 4026 --day 2017-04-21</v>
      </c>
      <c r="AN218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08:19:27"},{"id":29,"name":"Sharepoint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845</v>
      </c>
      <c r="B219" s="7">
        <v>4008</v>
      </c>
      <c r="C219" s="21" t="s">
        <v>213</v>
      </c>
      <c r="D219" s="21" t="s">
        <v>413</v>
      </c>
      <c r="E219" s="13">
        <v>42846.028541666667</v>
      </c>
      <c r="F219" s="13">
        <v>42846.029988425929</v>
      </c>
      <c r="G219" s="7">
        <v>1</v>
      </c>
      <c r="H219" s="21" t="s">
        <v>934</v>
      </c>
      <c r="I219" s="13">
        <v>42846.050729166665</v>
      </c>
      <c r="J219" s="7">
        <v>0</v>
      </c>
      <c r="K219" s="97" t="str">
        <f>IF(ISEVEN(B219),(B219-1)&amp;"/"&amp;B219,B219&amp;"/"&amp;(B219+1))</f>
        <v>4007/4008</v>
      </c>
      <c r="L219" s="21" t="str">
        <f>VLOOKUP(A219,'Trips&amp;Operators'!$C$1:$G$99999,5,FALSE)</f>
        <v>MACDONALD THOMAS</v>
      </c>
      <c r="M219" s="6">
        <f>I219-F219</f>
        <v>2.0740740736073349E-2</v>
      </c>
      <c r="N219" s="7">
        <f>24*60*SUM($M219:$M219)</f>
        <v>29.866666659945622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-20T23:41:06-0600',mode:absolute,to:'2017-04-21T02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3" t="str">
        <f>IF(AA219&lt;IF(AG219="EC",23,5.65),"Y","N")</f>
        <v>Y</v>
      </c>
      <c r="X219" s="183">
        <f>VALUE(LEFT(AD219,4))-VALUE(LEFT(AD218,4))</f>
        <v>2</v>
      </c>
      <c r="Y219" s="62">
        <f>RIGHT(D219,LEN(D219)-4)/10000</f>
        <v>4.58E-2</v>
      </c>
      <c r="Z219" s="62">
        <f>RIGHT(H219,LEN(H219)-4)/10000</f>
        <v>2.3306</v>
      </c>
      <c r="AA219" s="62">
        <f>ABS(Z219-Y219)</f>
        <v>2.2848000000000002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0315-20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 &amp; aws s3 cp s3://rtdc.mdm.uploadarchive.raw/RTDC4008/ "%USERPROFILE%\AppData\Local\Temp\OnboardLogs"\RTDC4008\2017-04-22 --exclude "*" --recursive --include "*20170422*" &amp; "%USERPROFILE%\Documents\GitHub\mrs-test-scripts\Headless Mode &amp; Sideloading\WalkAndUnGZ.bat" "%USERPROFILE%\AppData\Local\Temp\OnboardLogs"\RTDC4008\2017-04-22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/stypes="app*4008*20170421*" /stext=" 07:.+((SYSTEM_STATE.+slice.+state.+changed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9"/>
        <v>"%USERPROFILE%\Documents\GitHub\eaglep3\Utilities\RefineRTDCRunTimes.py" --tripid 315-20 --locoid 4008 --swversion DE.1.0.9.0 --startMP 204:458 --initTime 2017-04-21T00:41:06 --startdatetime 2017-04-21T00:43:11 --delay 1 --endMP 300:23306 --enddatetime 2017-04-21T01:13:03 --enforcementcount 0 &gt;&gt;C:\Users\stu\Documents\GitHub\eaglep3-reporting\EC\2017-04-20-refined-times.txt</v>
      </c>
      <c r="AI219" s="104" t="str">
        <f t="shared" si="20"/>
        <v>echo {"issue":{"subject":"","project_id":79,"tracker_id":40,"status_id":1,"priority_id":2,"assigned_to_id":23,"start_date":"2017-04-21","description":"","custom_fields":[{"id":1,"name":"Subdivision","value":"Other"},{"id":4,"name":"Milepost","value":"2.3306"},{"id":17,"name":"Train ID","value":"315-20"},{"id":16,"name":"Locomotive ID","value":"4008"},{"id":130,"name":"Impact","value":""},{"id":150,"name":"Time of Event (Mountain Time)","value":"01:13:03"},{"id":151,"name":"Denver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21"/>
        <v>start /low /b %USERPROFILE%\Documents\GitHub\eaglep3\Utilities\DownloadLogsFromS3.py --loco 4008 --day 2017-04-21</v>
      </c>
      <c r="AN219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07:13:03"},{"id":29,"name":"Sharepoint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659</v>
      </c>
      <c r="B220" s="7">
        <v>4030</v>
      </c>
      <c r="C220" s="21" t="s">
        <v>213</v>
      </c>
      <c r="D220" s="21" t="s">
        <v>998</v>
      </c>
      <c r="E220" s="13">
        <v>42845.204062500001</v>
      </c>
      <c r="F220" s="13">
        <v>42845.207800925928</v>
      </c>
      <c r="G220" s="7">
        <v>5</v>
      </c>
      <c r="H220" s="21" t="s">
        <v>479</v>
      </c>
      <c r="I220" s="13">
        <v>42845.213472222225</v>
      </c>
      <c r="J220" s="7">
        <v>0</v>
      </c>
      <c r="K220" s="97" t="str">
        <f>IF(ISEVEN(B220),(B220-1)&amp;"/"&amp;B220,B220&amp;"/"&amp;(B220+1))</f>
        <v>4029/4030</v>
      </c>
      <c r="L220" s="21" t="str">
        <f>VLOOKUP(A220,'Trips&amp;Operators'!$C$1:$G$99999,5,FALSE)</f>
        <v>BEAM ROSS</v>
      </c>
      <c r="M220" s="6">
        <f>I220-F220</f>
        <v>5.6712962978053838E-3</v>
      </c>
      <c r="N220" s="7">
        <f>24*60*SUM($M220:$M220)</f>
        <v>8.1666666688397527</v>
      </c>
      <c r="O220" s="7"/>
      <c r="P220" s="7"/>
      <c r="Q220" s="22"/>
      <c r="R220" s="22"/>
      <c r="S220" s="31">
        <f>SUM(U220:U220)/IF(AG220="EC",12,1)</f>
        <v>0</v>
      </c>
      <c r="T220" s="46" t="str">
        <f>IF(ISEVEN(LEFT(AD220,4)),"Southbound","NorthBound")</f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-20T03:53:51-0600',mode:absolute,to:'2017-04-20T06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183" t="str">
        <f>IF(AA220&lt;IF(AG220="EC",23,5.65),"Y","N")</f>
        <v>Y</v>
      </c>
      <c r="X220" s="183">
        <f>VALUE(LEFT(AD220,4))-VALUE(LEFT(AD219,4))</f>
        <v>586</v>
      </c>
      <c r="Y220" s="62">
        <f>RIGHT(D220,LEN(D220)-4)/10000</f>
        <v>2.9870000000000001</v>
      </c>
      <c r="Z220" s="62">
        <f>RIGHT(H220,LEN(H220)-4)/10000</f>
        <v>5.8933</v>
      </c>
      <c r="AA220" s="62">
        <f>ABS(Z220-Y220)</f>
        <v>2.9062999999999999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0901-20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/stypes="app*4030*20170420*" /stext=" 11:.+((SYSTEM_STATE.+slice.+state.+changed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9"/>
        <v>"%USERPROFILE%\Documents\GitHub\eaglep3\Utilities\RefineRTDCRunTimes.py" --tripid 901-20 --locoid 4030 --swversion DE.1.0.9.0 --startMP 300:29870 --initTime 2017-04-20T04:53:51 --startdatetime 2017-04-20T04:59:14 --delay 5 --endMP 300:58933 --enddatetime 2017-04-20T05:07:24 --enforcementcount 0 &gt;&gt;C:\Users\stu\Documents\GitHub\eaglep3-reporting\EC\2017-04-20-refined-times.txt</v>
      </c>
      <c r="AI220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{"issue":{"subject":"","project_id":79,"tracker_id":40,"status_id":1,"priority_id":2,"assigned_to_id":23,"start_date":"2017-04-20","description":"","custom_fields":[{"id":1,"name":"Subdivision","value":"Other"},{"id":4,"name":"Milepost","value":"5.8933"},{"id":17,"name":"Train ID","value":"901-20"},{"id":16,"name":"Locomotive ID","value":"4030"},{"id":130,"name":"Impact","value":""},{"id":150,"name":"Time of Event (Mountain Time)","value":"05:07:24"},{"id":151,"name":"Denver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21"/>
        <v>start /low /b %USERPROFILE%\Documents\GitHub\eaglep3\Utilities\DownloadLogsFromS3.py --loco 4030 --day 2017-04-20</v>
      </c>
      <c r="AN220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3" t="s">
        <v>671</v>
      </c>
      <c r="B221" s="7">
        <v>4019</v>
      </c>
      <c r="C221" s="21" t="s">
        <v>213</v>
      </c>
      <c r="D221" s="21" t="s">
        <v>999</v>
      </c>
      <c r="E221" s="13">
        <v>42845.249502314815</v>
      </c>
      <c r="F221" s="13">
        <v>42845.251782407409</v>
      </c>
      <c r="G221" s="7">
        <v>3</v>
      </c>
      <c r="H221" s="21" t="s">
        <v>603</v>
      </c>
      <c r="I221" s="13">
        <v>42845.25675925926</v>
      </c>
      <c r="J221" s="7">
        <v>0</v>
      </c>
      <c r="K221" s="97" t="str">
        <f>IF(ISEVEN(B221),(B221-1)&amp;"/"&amp;B221,B221&amp;"/"&amp;(B221+1))</f>
        <v>4019/4020</v>
      </c>
      <c r="L221" s="21" t="str">
        <f>VLOOKUP(A221,'Trips&amp;Operators'!$C$1:$G$99999,5,FALSE)</f>
        <v>LOZA FIDEL</v>
      </c>
      <c r="M221" s="6">
        <f>I221-F221</f>
        <v>4.9768518510973081E-3</v>
      </c>
      <c r="N221" s="7">
        <f>24*60*SUM($M221:$M221)</f>
        <v>7.1666666655801237</v>
      </c>
      <c r="O221" s="7"/>
      <c r="P221" s="7"/>
      <c r="Q221" s="22"/>
      <c r="R221" s="22"/>
      <c r="S221" s="31">
        <f>SUM(U221:U221)/IF(AG221="EC",12,1)</f>
        <v>1</v>
      </c>
      <c r="T221" s="46" t="str">
        <f>IF(ISEVEN(LEFT(AD221,4)),"Southbound","NorthBound")</f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-20T04:59:17-0600',mode:absolute,to:'2017-04-20T07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83" t="str">
        <f>IF(AA221&lt;IF(AG221="EC",23,5.65),"Y","N")</f>
        <v>Y</v>
      </c>
      <c r="X221" s="183">
        <f>VALUE(LEFT(AD221,4))-VALUE(LEFT(AD220,4))</f>
        <v>1</v>
      </c>
      <c r="Y221" s="62">
        <f>RIGHT(D221,LEN(D221)-4)/10000</f>
        <v>2.3452999999999999</v>
      </c>
      <c r="Z221" s="62">
        <f>RIGHT(H221,LEN(H221)-4)/10000</f>
        <v>6.9400000000000003E-2</v>
      </c>
      <c r="AA221" s="62">
        <f>ABS(Z221-Y221)</f>
        <v>2.2759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0902-20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/stypes="app*4019*20170420*" /stext=" 12:.+((SYSTEM_STATE.+slice.+state.+changed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9"/>
        <v>"%USERPROFILE%\Documents\GitHub\eaglep3\Utilities\RefineRTDCRunTimes.py" --tripid 902-20 --locoid 4019 --swversion DE.1.0.9.0 --startMP 300:23453 --initTime 2017-04-20T05:59:17 --startdatetime 2017-04-20T06:02:34 --delay 3 --endMP 204:694 --enddatetime 2017-04-20T06:09:44 --enforcementcount 0 &gt;&gt;C:\Users\stu\Documents\GitHub\eaglep3-reporting\EC\2017-04-20-refined-times.txt</v>
      </c>
      <c r="AI221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{"issue":{"subject":"","project_id":79,"tracker_id":40,"status_id":1,"priority_id":2,"assigned_to_id":23,"start_date":"2017-04-20","description":"","custom_fields":[{"id":1,"name":"Subdivision","value":"Other"},{"id":4,"name":"Milepost","value":"0.0694"},{"id":17,"name":"Train ID","value":"902-20"},{"id":16,"name":"Locomotive ID","value":"4019"},{"id":130,"name":"Impact","value":""},{"id":150,"name":"Time of Event (Mountain Time)","value":"06:09:44"},{"id":151,"name":"Denver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8"/>
      <c r="AL221" s="48"/>
      <c r="AM221" s="150" t="str">
        <f t="shared" si="21"/>
        <v>start /low /b %USERPROFILE%\Documents\GitHub\eaglep3\Utilities\DownloadLogsFromS3.py --loco 4019 --day 2017-04-20</v>
      </c>
      <c r="AN221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695</v>
      </c>
      <c r="B222" s="7">
        <v>4030</v>
      </c>
      <c r="C222" s="21" t="s">
        <v>213</v>
      </c>
      <c r="D222" s="21" t="s">
        <v>977</v>
      </c>
      <c r="E222" s="13">
        <v>42845.354548611111</v>
      </c>
      <c r="F222" s="13">
        <v>42845.355671296296</v>
      </c>
      <c r="G222" s="7">
        <v>0</v>
      </c>
      <c r="H222" s="21" t="s">
        <v>610</v>
      </c>
      <c r="I222" s="13">
        <v>42845.362037037034</v>
      </c>
      <c r="J222" s="7">
        <v>0</v>
      </c>
      <c r="K222" s="97" t="str">
        <f>IF(ISEVEN(B222),(B222-1)&amp;"/"&amp;B222,B222&amp;"/"&amp;(B222+1))</f>
        <v>4029/4030</v>
      </c>
      <c r="L222" s="21" t="str">
        <f>VLOOKUP(A222,'Trips&amp;Operators'!$C$1:$G$99999,5,FALSE)</f>
        <v>BEAM ROSS</v>
      </c>
      <c r="M222" s="6">
        <f>I222-F222</f>
        <v>6.3657407372375019E-3</v>
      </c>
      <c r="N222" s="7">
        <f>24*60*SUM($M222:$M222)</f>
        <v>9.1666666616220027</v>
      </c>
      <c r="O222" s="7"/>
      <c r="P222" s="7"/>
      <c r="Q222" s="22"/>
      <c r="R222" s="22"/>
      <c r="S222" s="31">
        <f>SUM(U222:U222)/IF(AG222="EC",12,1)</f>
        <v>1</v>
      </c>
      <c r="T222" s="46" t="str">
        <f>IF(ISEVEN(LEFT(AD222,4)),"Southbound","NorthBound")</f>
        <v>NorthBound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-20T07:30:33-0600',mode:absolute,to:'2017-04-20T09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2" s="183" t="str">
        <f>IF(AA222&lt;IF(AG222="EC",23,5.65),"Y","N")</f>
        <v>Y</v>
      </c>
      <c r="X222" s="183">
        <f>VALUE(LEFT(AD222,4))-VALUE(LEFT(AD221,4))</f>
        <v>1</v>
      </c>
      <c r="Y222" s="62">
        <f>RIGHT(D222,LEN(D222)-4)/10000</f>
        <v>0.1</v>
      </c>
      <c r="Z222" s="62">
        <f>RIGHT(H222,LEN(H222)-4)/10000</f>
        <v>2.4256000000000002</v>
      </c>
      <c r="AA222" s="62">
        <f>ABS(Z222-Y222)</f>
        <v>2.3256000000000001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0903-20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/stypes="app*4030*20170420*" /stext=" 14:.+((SYSTEM_STATE.+slice.+state.+changed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9"/>
        <v>"%USERPROFILE%\Documents\GitHub\eaglep3\Utilities\RefineRTDCRunTimes.py" --tripid 903-20 --locoid 4030 --swversion DE.1.0.9.0 --startMP 204:1000 --initTime 2017-04-20T08:30:33 --startdatetime 2017-04-20T08:32:10 --delay 0 --endMP 300:24256 --enddatetime 2017-04-20T08:41:20 --enforcementcount 0 &gt;&gt;C:\Users\stu\Documents\GitHub\eaglep3-reporting\EC\2017-04-20-refined-times.txt</v>
      </c>
      <c r="AI222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{"issue":{"subject":"","project_id":79,"tracker_id":40,"status_id":1,"priority_id":2,"assigned_to_id":23,"start_date":"2017-04-20","description":"","custom_fields":[{"id":1,"name":"Subdivision","value":"Other"},{"id":4,"name":"Milepost","value":"2.4256"},{"id":17,"name":"Train ID","value":"903-20"},{"id":16,"name":"Locomotive ID","value":"4030"},{"id":130,"name":"Impact","value":""},{"id":150,"name":"Time of Event (Mountain Time)","value":"08:41:20"},{"id":151,"name":"Denver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21"/>
        <v>start /low /b %USERPROFILE%\Documents\GitHub\eaglep3\Utilities\DownloadLogsFromS3.py --loco 4030 --day 2017-04-20</v>
      </c>
      <c r="AN222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14:41:20"},{"id":29,"name":"Sharepoint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634</v>
      </c>
      <c r="B223" s="7">
        <v>4029</v>
      </c>
      <c r="C223" s="21" t="s">
        <v>213</v>
      </c>
      <c r="D223" s="21" t="s">
        <v>1000</v>
      </c>
      <c r="E223" s="13">
        <v>42845.642905092594</v>
      </c>
      <c r="F223" s="13">
        <v>42845.643657407411</v>
      </c>
      <c r="G223" s="7">
        <v>0</v>
      </c>
      <c r="H223" s="21" t="s">
        <v>960</v>
      </c>
      <c r="I223" s="13">
        <v>42845.648587962962</v>
      </c>
      <c r="J223" s="7">
        <v>0</v>
      </c>
      <c r="K223" s="97" t="str">
        <f>IF(ISEVEN(B223),(B223-1)&amp;"/"&amp;B223,B223&amp;"/"&amp;(B223+1))</f>
        <v>4029/4030</v>
      </c>
      <c r="L223" s="21" t="str">
        <f>VLOOKUP(A223,'Trips&amp;Operators'!$C$1:$G$99999,5,FALSE)</f>
        <v>STORY SAMANTHA</v>
      </c>
      <c r="M223" s="6">
        <f>I223-F223</f>
        <v>4.9305555512546562E-3</v>
      </c>
      <c r="N223" s="7">
        <f>24*60*SUM($M223:$M223)</f>
        <v>7.0999999938067049</v>
      </c>
      <c r="O223" s="7"/>
      <c r="P223" s="7"/>
      <c r="Q223" s="22"/>
      <c r="R223" s="22"/>
      <c r="S223" s="31">
        <f>SUM(U223:U223)/IF(AG223="EC",12,1)</f>
        <v>1</v>
      </c>
      <c r="T223" s="46" t="str">
        <f>IF(ISEVEN(LEFT(AD223,4)),"Southbound","NorthBound")</f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3" s="183" t="str">
        <f>IF(AA223&lt;IF(AG223="EC",23,5.65),"Y","N")</f>
        <v>Y</v>
      </c>
      <c r="X223" s="183">
        <f>VALUE(LEFT(AD223,4))-VALUE(LEFT(AD222,4))</f>
        <v>1</v>
      </c>
      <c r="Y223" s="62">
        <f>RIGHT(D223,LEN(D223)-4)/10000</f>
        <v>2.1808000000000001</v>
      </c>
      <c r="Z223" s="62">
        <f>RIGHT(H223,LEN(H223)-4)/10000</f>
        <v>7.3300000000000004E-2</v>
      </c>
      <c r="AA223" s="62">
        <f>ABS(Z223-Y223)</f>
        <v>2.1074999999999999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0904-20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9"/>
        <v>"%USERPROFILE%\Documents\GitHub\eaglep3\Utilities\RefineRTDCRunTimes.py" --tripid 904-20 --locoid 4029 --swversion DE.1.0.9.0 --startMP 300:21808 --initTime 2017-04-20T15:25:47 --startdatetime 2017-04-20T15:26:52 --delay 0 --endMP 204:733 --enddatetime 2017-04-20T15:33:58 --enforcementcount 0 &gt;&gt;C:\Users\stu\Documents\GitHub\eaglep3-reporting\EC\2017-04-20-refined-times.txt</v>
      </c>
      <c r="AI223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{"issue":{"subject":"","project_id":79,"tracker_id":40,"status_id":1,"priority_id":2,"assigned_to_id":23,"start_date":"2017-04-20","description":"","custom_fields":[{"id":1,"name":"Subdivision","value":"Other"},{"id":4,"name":"Milepost","value":"0.0733"},{"id":17,"name":"Train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21"/>
        <v>start /low /b %USERPROFILE%\Documents\GitHub\eaglep3\Utilities\DownloadLogsFromS3.py --loco 4029 --day 2017-04-20</v>
      </c>
      <c r="AN223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634</v>
      </c>
      <c r="B224" s="7">
        <v>4029</v>
      </c>
      <c r="C224" s="21" t="s">
        <v>213</v>
      </c>
      <c r="D224" s="21" t="s">
        <v>1001</v>
      </c>
      <c r="E224" s="13">
        <v>42845.638368055559</v>
      </c>
      <c r="F224" s="13">
        <v>42845.643657407411</v>
      </c>
      <c r="G224" s="7">
        <v>5</v>
      </c>
      <c r="H224" s="21" t="s">
        <v>1002</v>
      </c>
      <c r="I224" s="13">
        <v>42845.648587962962</v>
      </c>
      <c r="J224" s="7">
        <v>0</v>
      </c>
      <c r="K224" s="97" t="str">
        <f>IF(ISEVEN(B224),(B224-1)&amp;"/"&amp;B224,B224&amp;"/"&amp;(B224+1))</f>
        <v>4029/4030</v>
      </c>
      <c r="L224" s="21" t="str">
        <f>VLOOKUP(A224,'Trips&amp;Operators'!$C$1:$G$99999,5,FALSE)</f>
        <v>STORY SAMANTHA</v>
      </c>
      <c r="M224" s="6">
        <f>I224-F224</f>
        <v>4.9305555512546562E-3</v>
      </c>
      <c r="N224" s="7">
        <f>24*60*SUM($M224:$M224)</f>
        <v>7.0999999938067049</v>
      </c>
      <c r="O224" s="7"/>
      <c r="P224" s="7"/>
      <c r="Q224" s="22"/>
      <c r="R224" s="22"/>
      <c r="S224" s="31">
        <f>SUM(U224:U224)/IF(AG224="EC",12,1)</f>
        <v>0</v>
      </c>
      <c r="T224" s="46" t="str">
        <f>IF(ISEVEN(LEFT(AD224,4)),"Southbound","NorthBound")</f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-20T14:19:15-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183" t="str">
        <f>IF(AA224&lt;IF(AG224="EC",23,5.65),"Y","N")</f>
        <v>Y</v>
      </c>
      <c r="X224" s="183">
        <f>VALUE(LEFT(AD224,4))-VALUE(LEFT(AD223,4))</f>
        <v>0</v>
      </c>
      <c r="Y224" s="62">
        <f>RIGHT(D224,LEN(D224)-4)/10000</f>
        <v>2.3650000000000002</v>
      </c>
      <c r="Z224" s="62">
        <f>RIGHT(H224,LEN(H224)-4)/10000</f>
        <v>2.3094999999999999</v>
      </c>
      <c r="AA224" s="62">
        <f>ABS(Z224-Y224)</f>
        <v>5.5500000000000327E-2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0904-20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/stypes="app*4029*20170420*" /stext=" 21:.+((SYSTEM_STATE.+slice.+state.+changed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9"/>
        <v>"%USERPROFILE%\Documents\GitHub\eaglep3\Utilities\RefineRTDCRunTimes.py" --tripid 904-20 --locoid 4029 --swversion DE.1.0.9.0 --startMP 300:23650 --initTime 2017-04-20T15:19:15 --startdatetime 2017-04-20T15:26:52 --delay 5 --endMP 300:23095 --enddatetime 2017-04-20T15:33:58 --enforcementcount 0 &gt;&gt;C:\Users\stu\Documents\GitHub\eaglep3-reporting\EC\2017-04-20-refined-times.txt</v>
      </c>
      <c r="AI224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{"issue":{"subject":"","project_id":79,"tracker_id":40,"status_id":1,"priority_id":2,"assigned_to_id":23,"start_date":"2017-04-20","description":"","custom_fields":[{"id":1,"name":"Subdivision","value":"Other"},{"id":4,"name":"Milepost","value":"2.3095"},{"id":17,"name":"Train ID","value":"904-20"},{"id":16,"name":"Locomotive ID","value":"4029"},{"id":130,"name":"Impact","value":""},{"id":150,"name":"Time of Event (Mountain Time)","value":"15:33:58"},{"id":151,"name":"Denver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21"/>
        <v>start /low /b %USERPROFILE%\Documents\GitHub\eaglep3\Utilities\DownloadLogsFromS3.py --loco 4029 --day 2017-04-20</v>
      </c>
      <c r="AN224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21:33:58"},{"id":29,"name":"Sharepoint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836</v>
      </c>
      <c r="B225" s="7">
        <v>4019</v>
      </c>
      <c r="C225" s="21" t="s">
        <v>213</v>
      </c>
      <c r="D225" s="21" t="s">
        <v>607</v>
      </c>
      <c r="E225" s="13">
        <v>42845.942337962966</v>
      </c>
      <c r="F225" s="13">
        <v>25568.708333333332</v>
      </c>
      <c r="G225" s="7">
        <v>1</v>
      </c>
      <c r="H225" s="21" t="s">
        <v>1003</v>
      </c>
      <c r="I225" s="13">
        <v>25568.708333333332</v>
      </c>
      <c r="J225" s="7">
        <v>0</v>
      </c>
      <c r="K225" s="97" t="str">
        <f>IF(ISEVEN(B225),(B225-1)&amp;"/"&amp;B225,B225&amp;"/"&amp;(B225+1))</f>
        <v>4019/4020</v>
      </c>
      <c r="L225" s="21" t="str">
        <f>VLOOKUP(A225,'Trips&amp;Operators'!$C$1:$G$99999,5,FALSE)</f>
        <v>STORY SAMANTHA</v>
      </c>
      <c r="M225" s="6">
        <f>I225-F225</f>
        <v>0</v>
      </c>
      <c r="N225" s="7">
        <f>24*60*SUM($M225:$M225)</f>
        <v>0</v>
      </c>
      <c r="O225" s="7"/>
      <c r="P225" s="7"/>
      <c r="Q225" s="22"/>
      <c r="R225" s="22"/>
      <c r="S225" s="31">
        <f>SUM(U225:U225)/IF(AG225="EC",12,1)</f>
        <v>0</v>
      </c>
      <c r="T225" s="46" t="str">
        <f>IF(ISEVEN(LEFT(AD225,4)),"Southbound","NorthBound")</f>
        <v>Southbound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-20T21:36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>IF(AA225&lt;IF(AG225="EC",23,5.65),"Y","N")</f>
        <v>Y</v>
      </c>
      <c r="X225" s="183">
        <f>VALUE(LEFT(AD225,4))-VALUE(LEFT(AD224,4))</f>
        <v>4</v>
      </c>
      <c r="Y225" s="62">
        <f>RIGHT(D225,LEN(D225)-4)/10000</f>
        <v>5.8615000000000004</v>
      </c>
      <c r="Z225" s="62">
        <f>RIGHT(H225,LEN(H225)-4)/10000</f>
        <v>2.1753</v>
      </c>
      <c r="AA225" s="62">
        <f>ABS(Z225-Y225)</f>
        <v>3.6862000000000004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0908-20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9"/>
        <v>"%USERPROFILE%\Documents\GitHub\eaglep3\Utilities\RefineRTDCRunTimes.py" --tripid 908-20 --locoid 4019 --swversion DE.1.0.9.0 --startMP 300:58615 --initTime 2017-04-20T22:36:58 --startdatetime 1969-12-31T17:00:00 --delay 1 --endMP 300:21753 --enddatetime 1969-12-31T17:00:00 --enforcementcount 0 &gt;&gt;C:\Users\stu\Documents\GitHub\eaglep3-reporting\EC\2017-04-20-refined-times.txt</v>
      </c>
      <c r="AI225" s="104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{"issue":{"subject":"","project_id":79,"tracker_id":40,"status_id":1,"priority_id":2,"assigned_to_id":23,"start_date":"1969-12-31","description":"","custom_fields":[{"id":1,"name":"Subdivision","value":"Other"},{"id":4,"name":"Milepost","value":"2.1753"},{"id":17,"name":"Train ID","value":"908-20"},{"id":16,"name":"Locomotive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21"/>
        <v>start /low /b %USERPROFILE%\Documents\GitHub\eaglep3\Utilities\DownloadLogsFromS3.py --loco 4019 --day 1969-12-31</v>
      </c>
      <c r="AN225" s="159" t="str">
        <f t="shared" si="2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836</v>
      </c>
      <c r="B226" s="7">
        <v>4020</v>
      </c>
      <c r="C226" s="21" t="s">
        <v>213</v>
      </c>
      <c r="D226" s="21" t="s">
        <v>1004</v>
      </c>
      <c r="E226" s="13">
        <v>42845.950196759259</v>
      </c>
      <c r="F226" s="13">
        <v>25568.708333333332</v>
      </c>
      <c r="G226" s="7">
        <v>1</v>
      </c>
      <c r="H226" s="21" t="s">
        <v>1004</v>
      </c>
      <c r="I226" s="13">
        <v>25568.708333333332</v>
      </c>
      <c r="J226" s="7">
        <v>0</v>
      </c>
      <c r="K226" s="97" t="str">
        <f>IF(ISEVEN(B226),(B226-1)&amp;"/"&amp;B226,B226&amp;"/"&amp;(B226+1))</f>
        <v>4019/4020</v>
      </c>
      <c r="L226" s="21" t="str">
        <f>VLOOKUP(A226,'Trips&amp;Operators'!$C$1:$G$99999,5,FALSE)</f>
        <v>STORY SAMANTHA</v>
      </c>
      <c r="M226" s="6">
        <f>I226-F226</f>
        <v>0</v>
      </c>
      <c r="N226" s="7">
        <f>24*60*SUM($M226:$M226)</f>
        <v>0</v>
      </c>
      <c r="O226" s="7"/>
      <c r="P226" s="7"/>
      <c r="Q226" s="22"/>
      <c r="R226" s="22"/>
      <c r="S226" s="31">
        <f>SUM(U226:U226)/IF(AG226="EC",12,1)</f>
        <v>0</v>
      </c>
      <c r="T226" s="46" t="str">
        <f>IF(ISEVEN(LEFT(AD226,4)),"Southbound","NorthBound")</f>
        <v>Southbound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-20T21:48:17-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>IF(AA226&lt;IF(AG226="EC",23,5.65),"Y","N")</f>
        <v>Y</v>
      </c>
      <c r="X226" s="183">
        <f>VALUE(LEFT(AD226,4))-VALUE(LEFT(AD225,4))</f>
        <v>0</v>
      </c>
      <c r="Y226" s="62">
        <f>RIGHT(D226,LEN(D226)-4)/10000</f>
        <v>2.2063999999999999</v>
      </c>
      <c r="Z226" s="62">
        <f>RIGHT(H226,LEN(H226)-4)/10000</f>
        <v>2.2063999999999999</v>
      </c>
      <c r="AA226" s="62">
        <f>ABS(Z226-Y226)</f>
        <v>0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0908-20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9"/>
        <v>"%USERPROFILE%\Documents\GitHub\eaglep3\Utilities\RefineRTDCRunTimes.py" --tripid 908-20 --locoid 4020 --swversion DE.1.0.9.0 --startMP 300:22064 --initTime 2017-04-20T22:48:17 --startdatetime 1969-12-31T17:00:00 --delay 1 --endMP 300:22064 --enddatetime 1969-12-31T17:00:00 --enforcementcount 0 &gt;&gt;C:\Users\stu\Documents\GitHub\eaglep3-reporting\EC\2017-04-20-refined-times.txt</v>
      </c>
      <c r="AI226" s="104" t="str">
        <f t="shared" si="20"/>
        <v>echo {"issue":{"subject":"","project_id":79,"tracker_id":40,"status_id":1,"priority_id":2,"assigned_to_id":23,"start_date":"1969-12-31","description":"","custom_fields":[{"id":1,"name":"Subdivision","value":"Other"},{"id":4,"name":"Milepost","value":"2.2064"},{"id":17,"name":"Train ID","value":"908-20"},{"id":16,"name":"Locomotive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21"/>
        <v>start /low /b %USERPROFILE%\Documents\GitHub\eaglep3\Utilities\DownloadLogsFromS3.py --loco 4020 --day 1969-12-31</v>
      </c>
      <c r="AN226" s="159" t="str">
        <f t="shared" si="2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832</v>
      </c>
      <c r="B227" s="7">
        <v>4017</v>
      </c>
      <c r="C227" s="21" t="s">
        <v>213</v>
      </c>
      <c r="D227" s="21" t="s">
        <v>918</v>
      </c>
      <c r="E227" s="13">
        <v>42845.920578703706</v>
      </c>
      <c r="F227" s="13">
        <v>42845.935324074075</v>
      </c>
      <c r="G227" s="7">
        <v>1</v>
      </c>
      <c r="H227" s="21" t="s">
        <v>938</v>
      </c>
      <c r="I227" s="13">
        <v>42845.97184027778</v>
      </c>
      <c r="J227" s="7">
        <v>0</v>
      </c>
      <c r="K227" s="97" t="str">
        <f>IF(ISEVEN(B227),(B227-1)&amp;"/"&amp;B227,B227&amp;"/"&amp;(B227+1))</f>
        <v>4017/4018</v>
      </c>
      <c r="L227" s="21" t="str">
        <f>VLOOKUP(A227,'Trips&amp;Operators'!$C$1:$G$99999,5,FALSE)</f>
        <v>MCREYNOLDS KYLE</v>
      </c>
      <c r="M227" s="6">
        <f>I227-F227</f>
        <v>3.6516203705104999E-2</v>
      </c>
      <c r="N227" s="7">
        <f>24*60*SUM($M227:$M227)</f>
        <v>52.583333335351199</v>
      </c>
      <c r="O227" s="7"/>
      <c r="P227" s="7"/>
      <c r="Q227" s="22"/>
      <c r="R227" s="22"/>
      <c r="S227" s="31">
        <f>SUM(U227:U227)/IF(AG227="EC",12,1)</f>
        <v>0</v>
      </c>
      <c r="T227" s="46" t="str">
        <f>IF(ISEVEN(LEFT(AD227,4)),"Southbound","NorthBound")</f>
        <v>NorthBound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-20T21:05:38-0600',mode:absolute,to:'2017-04-21T00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183" t="str">
        <f>IF(AA227&lt;IF(AG227="EC",23,5.65),"Y","N")</f>
        <v>N</v>
      </c>
      <c r="X227" s="183">
        <f>VALUE(LEFT(AD227,4))-VALUE(LEFT(AD226,4))</f>
        <v>3109</v>
      </c>
      <c r="Y227" s="62">
        <f>RIGHT(D227,LEN(D227)-4)/10000</f>
        <v>23.299199999999999</v>
      </c>
      <c r="Z227" s="62">
        <f>RIGHT(H227,LEN(H227)-4)/10000</f>
        <v>8.7099999999999997E-2</v>
      </c>
      <c r="AA227" s="62">
        <f>ABS(Z227-Y227)</f>
        <v>23.2121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4017-20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/stypes="app*4017*20170421*" /stext=" 05:.+((SYSTEM_STATE.+slice.+state.+changed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9"/>
        <v>"%USERPROFILE%\Documents\GitHub\eaglep3\Utilities\RefineRTDCRunTimes.py" --tripid 4017-20 --locoid 4017 --swversion DE.1.0.9.0 --startMP 204:232992 --initTime 2017-04-20T22:05:38 --startdatetime 2017-04-20T22:26:52 --delay 1 --endMP 204:871 --enddatetime 2017-04-20T23:19:27 --enforcementcount 0 &gt;&gt;C:\Users\stu\Documents\GitHub\eaglep3-reporting\EC\2017-04-20-refined-times.txt</v>
      </c>
      <c r="AI227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{"issue":{"subject":"","project_id":79,"tracker_id":40,"status_id":1,"priority_id":2,"assigned_to_id":23,"start_date":"2017-04-20","description":"","custom_fields":[{"id":1,"name":"Subdivision","value":"Other"},{"id":4,"name":"Milepost","value":"0.0871"},{"id":17,"name":"Train ID","value":"4017-20"},{"id":16,"name":"Locomotive ID","value":"4017"},{"id":130,"name":"Impact","value":""},{"id":150,"name":"Time of Event (Mountain Time)","value":"23:19:27"},{"id":151,"name":"Denver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21"/>
        <v>start /low /b %USERPROFILE%\Documents\GitHub\eaglep3\Utilities\DownloadLogsFromS3.py --loco 4017 --day 2017-04-20</v>
      </c>
      <c r="AN227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05:19:27"},{"id":29,"name":"Sharepoint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641</v>
      </c>
      <c r="B228" s="7">
        <v>4043</v>
      </c>
      <c r="C228" s="21" t="s">
        <v>213</v>
      </c>
      <c r="D228" s="21" t="s">
        <v>939</v>
      </c>
      <c r="E228" s="13">
        <v>42845.730312500003</v>
      </c>
      <c r="F228" s="13">
        <v>42845.733518518522</v>
      </c>
      <c r="G228" s="7">
        <v>4</v>
      </c>
      <c r="H228" s="21" t="s">
        <v>940</v>
      </c>
      <c r="I228" s="13">
        <v>42845.739849537036</v>
      </c>
      <c r="J228" s="7">
        <v>0</v>
      </c>
      <c r="K228" s="97" t="str">
        <f>IF(ISEVEN(B228),(B228-1)&amp;"/"&amp;B228,B228&amp;"/"&amp;(B228+1))</f>
        <v>4043/4044</v>
      </c>
      <c r="L228" s="21" t="str">
        <f>VLOOKUP(A228,'Trips&amp;Operators'!$C$1:$G$99999,5,FALSE)</f>
        <v>BROWN JACOB</v>
      </c>
      <c r="M228" s="6">
        <f>I228-F228</f>
        <v>6.3310185141745023E-3</v>
      </c>
      <c r="N228" s="7">
        <f>24*60*SUM($M228:$M228)</f>
        <v>9.1166666604112834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83" t="str">
        <f>IF(AA228&lt;IF(AG228="EC",23,5.65),"Y","N")</f>
        <v>Y</v>
      </c>
      <c r="X228" s="183" t="e">
        <f>VALUE(LEFT(AD228,4))-VALUE(LEFT(AD227,4))</f>
        <v>#VALUE!</v>
      </c>
      <c r="Y228" s="62">
        <f>RIGHT(D228,LEN(D228)-4)/10000</f>
        <v>2.3218000000000001</v>
      </c>
      <c r="Z228" s="62">
        <f>RIGHT(H228,LEN(H228)-4)/10000</f>
        <v>8.2000000000000007E-3</v>
      </c>
      <c r="AA228" s="62">
        <f>ABS(Z228-Y228)</f>
        <v>2.3136000000000001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50-20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s3://rtdc.mdm.uploadarchive.raw/RTDC4043/ "%USERPROFILE%\AppData\Local\Temp\OnboardLogs"\RTDC4043\2017-04-20 --exclude "*" --recursive --include "*20170420*" &amp; "%USERPROFILE%\Documents\GitHub\mrs-test-scripts\Headless Mode &amp; Sideloading\WalkAndUnGZ.bat" "%USERPROFILE%\AppData\Local\Temp\OnboardLogs"\RTDC4043\2017-04-20 &amp; aws s3 cp s3://rtdc.mdm.uploadarchive.raw/RTDC4043/ "%USERPROFILE%\AppData\Local\Temp\OnboardLogs"\RTDC4043\2017-04-21 --exclude "*" --recursive --include "*20170421*" &amp; "%USERPROFILE%\Documents\GitHub\mrs-test-scripts\Headless Mode &amp; Sideloading\WalkAndUnGZ.bat" "%USERPROFILE%\AppData\Local\Temp\OnboardLogs"\RTDC4043\2017-04-21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/stypes="app*4043*20170420*" /stext=" 23:.+((SYSTEM_STATE.+slice.+state.+changed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9"/>
        <v>"%USERPROFILE%\Documents\GitHub\eaglep3\Utilities\RefineRTDCRunTimes.py" --tripid 50-20 --locoid 4043 --swversion DE.1.0.9.0 --startMP 300:23218 --initTime 2017-04-20T17:31:39 --startdatetime 2017-04-20T17:36:16 --delay 4 --endMP 204:82 --enddatetime 2017-04-20T17:45:23 --enforcementcount 0 &gt;&gt;C:\Users\stu\Documents\GitHub\eaglep3-reporting\EC\2017-04-20-refined-times.txt</v>
      </c>
      <c r="AI228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{"issue":{"subject":"","project_id":79,"tracker_id":40,"status_id":1,"priority_id":2,"assigned_to_id":23,"start_date":"2017-04-20","description":"","custom_fields":[{"id":1,"name":"Subdivision","value":"Other"},{"id":4,"name":"Milepost","value":"0.0082"},{"id":17,"name":"Train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21"/>
        <v>start /low /b %USERPROFILE%\Documents\GitHub\eaglep3\Utilities\DownloadLogsFromS3.py --loco 4043 --day 2017-04-20</v>
      </c>
      <c r="AN228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799</v>
      </c>
      <c r="B229" s="7">
        <v>4044</v>
      </c>
      <c r="C229" s="21" t="s">
        <v>213</v>
      </c>
      <c r="D229" s="21" t="s">
        <v>941</v>
      </c>
      <c r="E229" s="13">
        <v>42845.765393518515</v>
      </c>
      <c r="F229" s="13">
        <v>42845.766921296294</v>
      </c>
      <c r="G229" s="7">
        <v>1</v>
      </c>
      <c r="H229" s="21" t="s">
        <v>942</v>
      </c>
      <c r="I229" s="13">
        <v>42845.773101851853</v>
      </c>
      <c r="J229" s="7">
        <v>0</v>
      </c>
      <c r="K229" s="97" t="str">
        <f>IF(ISEVEN(B229),(B229-1)&amp;"/"&amp;B229,B229&amp;"/"&amp;(B229+1))</f>
        <v>4043/4044</v>
      </c>
      <c r="L229" s="21" t="str">
        <f>VLOOKUP(A229,'Trips&amp;Operators'!$C$1:$G$99999,5,FALSE)</f>
        <v>ARVIDSON DANIEL</v>
      </c>
      <c r="M229" s="6">
        <f>I229-F229</f>
        <v>6.180555559694767E-3</v>
      </c>
      <c r="N229" s="7">
        <f>24*60*SUM($M229:$M229)</f>
        <v>8.9000000059604645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-20T17:22:10-0600',mode:absolute,to:'2017-04-20T19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183" t="str">
        <f>IF(AA229&lt;IF(AG229="EC",23,5.65),"Y","N")</f>
        <v>Y</v>
      </c>
      <c r="X229" s="183" t="e">
        <f>VALUE(LEFT(AD229,4))-VALUE(LEFT(AD228,4))</f>
        <v>#VALUE!</v>
      </c>
      <c r="Y229" s="62">
        <f>RIGHT(D229,LEN(D229)-4)/10000</f>
        <v>3.8600000000000002E-2</v>
      </c>
      <c r="Z229" s="62">
        <f>RIGHT(H229,LEN(H229)-4)/10000</f>
        <v>2.3085</v>
      </c>
      <c r="AA229" s="62">
        <f>ABS(Z229-Y229)</f>
        <v>2.2698999999999998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51-20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s3://rtdc.mdm.uploadarchive.raw/RTDC4044/ "%USERPROFILE%\AppData\Local\Temp\OnboardLogs"\RTDC4044\2017-04-20 --exclude "*" --recursive --include "*20170420*" &amp; "%USERPROFILE%\Documents\GitHub\mrs-test-scripts\Headless Mode &amp; Sideloading\WalkAndUnGZ.bat" "%USERPROFILE%\AppData\Local\Temp\OnboardLogs"\RTDC4044\2017-04-20 &amp; aws s3 cp s3://rtdc.mdm.uploadarchive.raw/RTDC4044/ "%USERPROFILE%\AppData\Local\Temp\OnboardLogs"\RTDC4044\2017-04-21 --exclude "*" --recursive --include "*20170421*" &amp; "%USERPROFILE%\Documents\GitHub\mrs-test-scripts\Headless Mode &amp; Sideloading\WalkAndUnGZ.bat" "%USERPROFILE%\AppData\Local\Temp\OnboardLogs"\RTDC4044\2017-04-21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/stypes="app*4044*20170421*" /stext=" 00:.+((SYSTEM_STATE.+slice.+state.+changed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9"/>
        <v>"%USERPROFILE%\Documents\GitHub\eaglep3\Utilities\RefineRTDCRunTimes.py" --tripid 51-20 --locoid 4044 --swversion DE.1.0.9.0 --startMP 204:386 --initTime 2017-04-20T18:22:10 --startdatetime 2017-04-20T18:24:22 --delay 1 --endMP 300:23085 --enddatetime 2017-04-20T18:33:16 --enforcementcount 0 &gt;&gt;C:\Users\stu\Documents\GitHub\eaglep3-reporting\EC\2017-04-20-refined-times.txt</v>
      </c>
      <c r="AI229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{"issue":{"subject":"","project_id":79,"tracker_id":40,"status_id":1,"priority_id":2,"assigned_to_id":23,"start_date":"2017-04-20","description":"","custom_fields":[{"id":1,"name":"Subdivision","value":"Other"},{"id":4,"name":"Milepost","value":"2.3085"},{"id":17,"name":"Train ID","value":"51-20"},{"id":16,"name":"Locomotive ID","value":"4044"},{"id":130,"name":"Impact","value":""},{"id":150,"name":"Time of Event (Mountain Time)","value":"18:33:16"},{"id":151,"name":"Denver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21"/>
        <v>start /low /b %USERPROFILE%\Documents\GitHub\eaglep3\Utilities\DownloadLogsFromS3.py --loco 4044 --day 2017-04-20</v>
      </c>
      <c r="AN229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642</v>
      </c>
      <c r="B230" s="7">
        <v>4013</v>
      </c>
      <c r="C230" s="21" t="s">
        <v>213</v>
      </c>
      <c r="D230" s="21" t="s">
        <v>943</v>
      </c>
      <c r="E230" s="13">
        <v>42845.746990740743</v>
      </c>
      <c r="F230" s="13">
        <v>42845.747777777775</v>
      </c>
      <c r="G230" s="7">
        <v>1</v>
      </c>
      <c r="H230" s="21" t="s">
        <v>592</v>
      </c>
      <c r="I230" s="13">
        <v>42845.75440972222</v>
      </c>
      <c r="J230" s="7">
        <v>0</v>
      </c>
      <c r="K230" s="97" t="str">
        <f>IF(ISEVEN(B230),(B230-1)&amp;"/"&amp;B230,B230&amp;"/"&amp;(B230+1))</f>
        <v>4013/4014</v>
      </c>
      <c r="L230" s="21" t="str">
        <f>VLOOKUP(A230,'Trips&amp;Operators'!$C$1:$G$99999,5,FALSE)</f>
        <v>PERKINS DARREN</v>
      </c>
      <c r="M230" s="6">
        <f>I230-F230</f>
        <v>6.6319444449618459E-3</v>
      </c>
      <c r="N230" s="7">
        <f>24*60*SUM($M230:$M230)</f>
        <v>9.5500000007450581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83" t="str">
        <f>IF(AA230&lt;IF(AG230="EC",23,5.65),"Y","N")</f>
        <v>Y</v>
      </c>
      <c r="X230" s="183" t="e">
        <f>VALUE(LEFT(AD230,4))-VALUE(LEFT(AD229,4))</f>
        <v>#VALUE!</v>
      </c>
      <c r="Y230" s="62">
        <f>RIGHT(D230,LEN(D230)-4)/10000</f>
        <v>2.0638000000000001</v>
      </c>
      <c r="Z230" s="62">
        <f>RIGHT(H230,LEN(H230)-4)/10000</f>
        <v>8.9800000000000005E-2</v>
      </c>
      <c r="AA230" s="62">
        <f>ABS(Z230-Y230)</f>
        <v>1.974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52-20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9"/>
        <v>"%USERPROFILE%\Documents\GitHub\eaglep3\Utilities\RefineRTDCRunTimes.py" --tripid 52-20 --locoid 4013 --swversion DE.1.0.9.0 --startMP 300:20638 --initTime 2017-04-20T17:55:40 --startdatetime 2017-04-20T17:56:48 --delay 1 --endMP 204:898 --enddatetime 2017-04-20T18:06:21 --enforcementcount 0 &gt;&gt;C:\Users\stu\Documents\GitHub\eaglep3-reporting\EC\2017-04-20-refined-times.txt</v>
      </c>
      <c r="AI230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{"issue":{"subject":"","project_id":79,"tracker_id":40,"status_id":1,"priority_id":2,"assigned_to_id":23,"start_date":"2017-04-20","description":"","custom_fields":[{"id":1,"name":"Subdivision","value":"Other"},{"id":4,"name":"Milepost","value":"0.0898"},{"id":17,"name":"Train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21"/>
        <v>start /low /b %USERPROFILE%\Documents\GitHub\eaglep3\Utilities\DownloadLogsFromS3.py --loco 4013 --day 2017-04-20</v>
      </c>
      <c r="AN230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642</v>
      </c>
      <c r="B231" s="7">
        <v>4013</v>
      </c>
      <c r="C231" s="21" t="s">
        <v>213</v>
      </c>
      <c r="D231" s="21" t="s">
        <v>944</v>
      </c>
      <c r="E231" s="13">
        <v>42845.738541666666</v>
      </c>
      <c r="F231" s="13">
        <v>42845.747777777775</v>
      </c>
      <c r="G231" s="7">
        <v>2</v>
      </c>
      <c r="H231" s="21" t="s">
        <v>945</v>
      </c>
      <c r="I231" s="13">
        <v>42845.75440972222</v>
      </c>
      <c r="J231" s="7">
        <v>0</v>
      </c>
      <c r="K231" s="97" t="str">
        <f>IF(ISEVEN(B231),(B231-1)&amp;"/"&amp;B231,B231&amp;"/"&amp;(B231+1))</f>
        <v>4013/4014</v>
      </c>
      <c r="L231" s="21" t="str">
        <f>VLOOKUP(A231,'Trips&amp;Operators'!$C$1:$G$99999,5,FALSE)</f>
        <v>PERKINS DARREN</v>
      </c>
      <c r="M231" s="6">
        <f>I231-F231</f>
        <v>6.6319444449618459E-3</v>
      </c>
      <c r="N231" s="7">
        <f>24*60*SUM($M231:$M231)</f>
        <v>9.5500000007450581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-20T16:43:30-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83" t="str">
        <f>IF(AA231&lt;IF(AG231="EC",23,5.65),"Y","N")</f>
        <v>Y</v>
      </c>
      <c r="X231" s="183" t="e">
        <f>VALUE(LEFT(AD231,4))-VALUE(LEFT(AD230,4))</f>
        <v>#VALUE!</v>
      </c>
      <c r="Y231" s="62">
        <f>RIGHT(D231,LEN(D231)-4)/10000</f>
        <v>2.4285999999999999</v>
      </c>
      <c r="Z231" s="62">
        <f>RIGHT(H231,LEN(H231)-4)/10000</f>
        <v>2.3759999999999999</v>
      </c>
      <c r="AA231" s="62">
        <f>ABS(Z231-Y231)</f>
        <v>5.259999999999998E-2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52-20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s3://rtdc.mdm.uploadarchive.raw/RTDC4013/ "%USERPROFILE%\AppData\Local\Temp\OnboardLogs"\RTDC4013\2017-04-20 --exclude "*" --recursive --include "*20170420*" &amp; "%USERPROFILE%\Documents\GitHub\mrs-test-scripts\Headless Mode &amp; Sideloading\WalkAndUnGZ.bat" "%USERPROFILE%\AppData\Local\Temp\OnboardLogs"\RTDC4013\2017-04-20 &amp; aws s3 cp s3://rtdc.mdm.uploadarchive.raw/RTDC4013/ "%USERPROFILE%\AppData\Local\Temp\OnboardLogs"\RTDC4013\2017-04-21 --exclude "*" --recursive --include "*20170421*" &amp; "%USERPROFILE%\Documents\GitHub\mrs-test-scripts\Headless Mode &amp; Sideloading\WalkAndUnGZ.bat" "%USERPROFILE%\AppData\Local\Temp\OnboardLogs"\RTDC4013\2017-04-21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/stypes="app*4013*20170421*" /stext=" 00:.+((SYSTEM_STATE.+slice.+state.+changed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9"/>
        <v>"%USERPROFILE%\Documents\GitHub\eaglep3\Utilities\RefineRTDCRunTimes.py" --tripid 52-20 --locoid 4013 --swversion DE.1.0.9.0 --startMP 300:24286 --initTime 2017-04-20T17:43:30 --startdatetime 2017-04-20T17:56:48 --delay 2 --endMP 300:23760 --enddatetime 2017-04-20T18:06:21 --enforcementcount 0 &gt;&gt;C:\Users\stu\Documents\GitHub\eaglep3-reporting\EC\2017-04-20-refined-times.txt</v>
      </c>
      <c r="AI231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{"issue":{"subject":"","project_id":79,"tracker_id":40,"status_id":1,"priority_id":2,"assigned_to_id":23,"start_date":"2017-04-20","description":"","custom_fields":[{"id":1,"name":"Subdivision","value":"Other"},{"id":4,"name":"Milepost","value":"2.376"},{"id":17,"name":"Train ID","value":"52-20"},{"id":16,"name":"Locomotive ID","value":"4013"},{"id":130,"name":"Impact","value":""},{"id":150,"name":"Time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21"/>
        <v>start /low /b %USERPROFILE%\Documents\GitHub\eaglep3\Utilities\DownloadLogsFromS3.py --loco 4013 --day 2017-04-20</v>
      </c>
      <c r="AN231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753</v>
      </c>
      <c r="B232" s="7">
        <v>4027</v>
      </c>
      <c r="C232" s="21" t="s">
        <v>213</v>
      </c>
      <c r="D232" s="21" t="s">
        <v>946</v>
      </c>
      <c r="E232" s="13">
        <v>42845.602094907408</v>
      </c>
      <c r="F232" s="13">
        <v>42845.603391203702</v>
      </c>
      <c r="G232" s="7">
        <v>0</v>
      </c>
      <c r="H232" s="21" t="s">
        <v>587</v>
      </c>
      <c r="I232" s="13">
        <v>42845.604710648149</v>
      </c>
      <c r="J232" s="7">
        <v>0</v>
      </c>
      <c r="K232" s="97" t="str">
        <f>IF(ISEVEN(B232),(B232-1)&amp;"/"&amp;B232,B232&amp;"/"&amp;(B232+1))</f>
        <v>4027/4028</v>
      </c>
      <c r="L232" s="21" t="str">
        <f>VLOOKUP(A232,'Trips&amp;Operators'!$C$1:$G$99999,5,FALSE)</f>
        <v>DELGADO DIANAH</v>
      </c>
      <c r="M232" s="6">
        <f>I232-F232</f>
        <v>1.3194444472901523E-3</v>
      </c>
      <c r="N232" s="7">
        <f>24*60*SUM($M232:$M232)</f>
        <v>1.9000000040978193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-20T13:27:01-0600',mode:absolute,to:'2017-04-20T15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2" s="183" t="str">
        <f>IF(AA232&lt;IF(AG232="EC",23,5.65),"Y","N")</f>
        <v>Y</v>
      </c>
      <c r="X232" s="183" t="e">
        <f>VALUE(LEFT(AD232,4))-VALUE(LEFT(AD231,4))</f>
        <v>#VALUE!</v>
      </c>
      <c r="Y232" s="62">
        <f>RIGHT(D232,LEN(D232)-4)/10000</f>
        <v>0.33950000000000002</v>
      </c>
      <c r="Z232" s="62">
        <f>RIGHT(H232,LEN(H232)-4)/10000</f>
        <v>1.32E-2</v>
      </c>
      <c r="AA232" s="62">
        <f>ABS(Z232-Y232)</f>
        <v>0.32630000000000003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60-20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/stypes="app*4027*20170420*" /stext=" 20:.+((SYSTEM_STATE.+slice.+state.+changed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 t="shared" si="19"/>
        <v>"%USERPROFILE%\Documents\GitHub\eaglep3\Utilities\RefineRTDCRunTimes.py" --tripid 60-20 --locoid 4027 --swversion DE.1.0.9.0 --startMP 204:3395 --initTime 2017-04-20T14:27:01 --startdatetime 2017-04-20T14:28:53 --delay 0 --endMP 204:132 --enddatetime 2017-04-20T14:30:47 --enforcementcount 0 &gt;&gt;C:\Users\stu\Documents\GitHub\eaglep3-reporting\EC\2017-04-20-refined-times.txt</v>
      </c>
      <c r="AI232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{"issue":{"subject":"","project_id":79,"tracker_id":40,"status_id":1,"priority_id":2,"assigned_to_id":23,"start_date":"2017-04-20","description":"","custom_fields":[{"id":1,"name":"Subdivision","value":"Other"},{"id":4,"name":"Milepost","value":"0.0132"},{"id":17,"name":"Train ID","value":"60-20"},{"id":16,"name":"Locomotive ID","value":"4027"},{"id":130,"name":"Impact","value":""},{"id":150,"name":"Time of Event (Mountain Time)","value":"14:30:47"},{"id":151,"name":"Denver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21"/>
        <v>start /low /b %USERPROFILE%\Documents\GitHub\eaglep3\Utilities\DownloadLogsFromS3.py --loco 4027 --day 2017-04-20</v>
      </c>
      <c r="AN232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672</v>
      </c>
      <c r="B233" s="7">
        <v>4027</v>
      </c>
      <c r="C233" s="21" t="s">
        <v>213</v>
      </c>
      <c r="D233" s="21" t="s">
        <v>947</v>
      </c>
      <c r="E233" s="13">
        <v>42845.256018518521</v>
      </c>
      <c r="F233" s="13">
        <v>42845.257581018515</v>
      </c>
      <c r="G233" s="7">
        <v>1</v>
      </c>
      <c r="H233" s="21" t="s">
        <v>948</v>
      </c>
      <c r="I233" s="13">
        <v>42845.258611111109</v>
      </c>
      <c r="J233" s="7">
        <v>0</v>
      </c>
      <c r="K233" s="97" t="str">
        <f>IF(ISEVEN(B233),(B233-1)&amp;"/"&amp;B233,B233&amp;"/"&amp;(B233+1))</f>
        <v>4027/4028</v>
      </c>
      <c r="L233" s="21" t="str">
        <f>VLOOKUP(A233,'Trips&amp;Operators'!$C$1:$G$99999,5,FALSE)</f>
        <v>SPECTOR MICHAEL</v>
      </c>
      <c r="M233" s="6">
        <f>I233-F233</f>
        <v>1.0300925932824612E-3</v>
      </c>
      <c r="N233" s="7">
        <f>24*60*SUM($M233:$M233)</f>
        <v>1.4833333343267441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-20T05:08:40-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3" t="str">
        <f>IF(AA233&lt;IF(AG233="EC",23,5.65),"Y","N")</f>
        <v>Y</v>
      </c>
      <c r="X233" s="183" t="e">
        <f>VALUE(LEFT(AD233,4))-VALUE(LEFT(AD232,4))</f>
        <v>#VALUE!</v>
      </c>
      <c r="Y233" s="62">
        <f>RIGHT(D233,LEN(D233)-4)/10000</f>
        <v>0.32250000000000001</v>
      </c>
      <c r="Z233" s="62">
        <f>RIGHT(H233,LEN(H233)-4)/10000</f>
        <v>0.11650000000000001</v>
      </c>
      <c r="AA233" s="62">
        <f>ABS(Z233-Y233)</f>
        <v>0.20600000000000002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61-20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/stypes="app*4027*20170420*" /stext=" 12:.+((SYSTEM_STATE.+slice.+state.+changed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 t="shared" si="19"/>
        <v>"%USERPROFILE%\Documents\GitHub\eaglep3\Utilities\RefineRTDCRunTimes.py" --tripid 61-20 --locoid 4027 --swversion DE.1.0.9.0 --startMP 204:3225 --initTime 2017-04-20T06:08:40 --startdatetime 2017-04-20T06:10:55 --delay 1 --endMP 204:1165 --enddatetime 2017-04-20T06:12:24 --enforcementcount 0 &gt;&gt;C:\Users\stu\Documents\GitHub\eaglep3-reporting\EC\2017-04-20-refined-times.txt</v>
      </c>
      <c r="AI233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{"issue":{"subject":"","project_id":79,"tracker_id":40,"status_id":1,"priority_id":2,"assigned_to_id":23,"start_date":"2017-04-20","description":"","custom_fields":[{"id":1,"name":"Subdivision","value":"Other"},{"id":4,"name":"Milepost","value":"0.1165"},{"id":17,"name":"Train ID","value":"61-20"},{"id":16,"name":"Locomotive ID","value":"4027"},{"id":130,"name":"Impact","value":""},{"id":150,"name":"Time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21"/>
        <v>start /low /b %USERPROFILE%\Documents\GitHub\eaglep3\Utilities\DownloadLogsFromS3.py --loco 4027 --day 2017-04-20</v>
      </c>
      <c r="AN233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672</v>
      </c>
      <c r="B234" s="7">
        <v>4028</v>
      </c>
      <c r="C234" s="21" t="s">
        <v>213</v>
      </c>
      <c r="D234" s="21" t="s">
        <v>406</v>
      </c>
      <c r="E234" s="13">
        <v>42845.252627314818</v>
      </c>
      <c r="F234" s="13">
        <v>42845.257581018515</v>
      </c>
      <c r="G234" s="7">
        <v>1</v>
      </c>
      <c r="H234" s="21" t="s">
        <v>949</v>
      </c>
      <c r="I234" s="13">
        <v>42845.258611111109</v>
      </c>
      <c r="J234" s="7">
        <v>0</v>
      </c>
      <c r="K234" s="97" t="str">
        <f>IF(ISEVEN(B234),(B234-1)&amp;"/"&amp;B234,B234&amp;"/"&amp;(B234+1))</f>
        <v>4027/4028</v>
      </c>
      <c r="L234" s="21" t="str">
        <f>VLOOKUP(A234,'Trips&amp;Operators'!$C$1:$G$99999,5,FALSE)</f>
        <v>SPECTOR MICHAEL</v>
      </c>
      <c r="M234" s="6">
        <f>I234-F234</f>
        <v>1.0300925932824612E-3</v>
      </c>
      <c r="N234" s="7">
        <f>24*60*SUM($M234:$M234)</f>
        <v>1.4833333343267441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-20T05:03:47-0600',mode:absolute,to:'2017-04-20T07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83" t="str">
        <f>IF(AA234&lt;IF(AG234="EC",23,5.65),"Y","N")</f>
        <v>Y</v>
      </c>
      <c r="X234" s="183" t="e">
        <f>VALUE(LEFT(AD234,4))-VALUE(LEFT(AD233,4))</f>
        <v>#VALUE!</v>
      </c>
      <c r="Y234" s="62">
        <f>RIGHT(D234,LEN(D234)-4)/10000</f>
        <v>4.4600000000000001E-2</v>
      </c>
      <c r="Z234" s="62">
        <f>RIGHT(H234,LEN(H234)-4)/10000</f>
        <v>0.35320000000000001</v>
      </c>
      <c r="AA234" s="62">
        <f>ABS(Z234-Y234)</f>
        <v>0.30859999999999999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61-20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/stypes="app*4028*20170420*" /stext=" 12:.+((SYSTEM_STATE.+slice.+state.+changed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 t="shared" si="19"/>
        <v>"%USERPROFILE%\Documents\GitHub\eaglep3\Utilities\RefineRTDCRunTimes.py" --tripid 61-20 --locoid 4028 --swversion DE.1.0.9.0 --startMP 204:446 --initTime 2017-04-20T06:03:47 --startdatetime 2017-04-20T06:10:55 --delay 1 --endMP 204:3532 --enddatetime 2017-04-20T06:12:24 --enforcementcount 0 &gt;&gt;C:\Users\stu\Documents\GitHub\eaglep3-reporting\EC\2017-04-20-refined-times.txt</v>
      </c>
      <c r="AI234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{"issue":{"subject":"","project_id":79,"tracker_id":40,"status_id":1,"priority_id":2,"assigned_to_id":23,"start_date":"2017-04-20","description":"","custom_fields":[{"id":1,"name":"Subdivision","value":"Other"},{"id":4,"name":"Milepost","value":"0.3532"},{"id":17,"name":"Train ID","value":"61-20"},{"id":16,"name":"Locomotive ID","value":"4028"},{"id":130,"name":"Impact","value":""},{"id":150,"name":"Time of Event (Mountain Time)","value":"06:12:24"},{"id":151,"name":"Denver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21"/>
        <v>start /low /b %USERPROFILE%\Documents\GitHub\eaglep3\Utilities\DownloadLogsFromS3.py --loco 4028 --day 2017-04-20</v>
      </c>
      <c r="AN234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12:12:24"},{"id":29,"name":"Sharepoint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750</v>
      </c>
      <c r="B235" s="7">
        <v>4028</v>
      </c>
      <c r="C235" s="21" t="s">
        <v>213</v>
      </c>
      <c r="D235" s="21" t="s">
        <v>950</v>
      </c>
      <c r="E235" s="13">
        <v>42845.590740740743</v>
      </c>
      <c r="F235" s="13">
        <v>42845.598344907405</v>
      </c>
      <c r="G235" s="7">
        <v>1</v>
      </c>
      <c r="H235" s="21" t="s">
        <v>951</v>
      </c>
      <c r="I235" s="13">
        <v>42845.599444444444</v>
      </c>
      <c r="J235" s="7">
        <v>0</v>
      </c>
      <c r="K235" s="97" t="str">
        <f>IF(ISEVEN(B235),(B235-1)&amp;"/"&amp;B235,B235&amp;"/"&amp;(B235+1))</f>
        <v>4027/4028</v>
      </c>
      <c r="L235" s="21" t="str">
        <f>VLOOKUP(A235,'Trips&amp;Operators'!$C$1:$G$99999,5,FALSE)</f>
        <v>DELGADO DIANAH</v>
      </c>
      <c r="M235" s="6">
        <f>I235-F235</f>
        <v>1.0995370394084603E-3</v>
      </c>
      <c r="N235" s="7">
        <f>24*60*SUM($M235:$M235)</f>
        <v>1.5833333367481828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-20T13:10:40-0600',mode:absolute,to:'2017-04-20T15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183" t="str">
        <f>IF(AA235&lt;IF(AG235="EC",23,5.65),"Y","N")</f>
        <v>Y</v>
      </c>
      <c r="X235" s="183" t="e">
        <f>VALUE(LEFT(AD235,4))-VALUE(LEFT(AD234,4))</f>
        <v>#VALUE!</v>
      </c>
      <c r="Y235" s="62">
        <f>RIGHT(D235,LEN(D235)-4)/10000</f>
        <v>0.1477</v>
      </c>
      <c r="Z235" s="62">
        <f>RIGHT(H235,LEN(H235)-4)/10000</f>
        <v>0.37019999999999997</v>
      </c>
      <c r="AA235" s="62">
        <f>ABS(Z235-Y235)</f>
        <v>0.22249999999999998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63-20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/stypes="app*4028*20170420*" /stext=" 20:.+((SYSTEM_STATE.+slice.+state.+changed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 t="shared" si="19"/>
        <v>"%USERPROFILE%\Documents\GitHub\eaglep3\Utilities\RefineRTDCRunTimes.py" --tripid 63-20 --locoid 4028 --swversion DE.1.0.9.0 --startMP 204:1477 --initTime 2017-04-20T14:10:40 --startdatetime 2017-04-20T14:21:37 --delay 1 --endMP 204:3702 --enddatetime 2017-04-20T14:23:12 --enforcementcount 0 &gt;&gt;C:\Users\stu\Documents\GitHub\eaglep3-reporting\EC\2017-04-20-refined-times.txt</v>
      </c>
      <c r="AI235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{"issue":{"subject":"","project_id":79,"tracker_id":40,"status_id":1,"priority_id":2,"assigned_to_id":23,"start_date":"2017-04-20","description":"","custom_fields":[{"id":1,"name":"Subdivision","value":"Other"},{"id":4,"name":"Milepost","value":"0.3702"},{"id":17,"name":"Train ID","value":"63-20"},{"id":16,"name":"Locomotive ID","value":"4028"},{"id":130,"name":"Impact","value":""},{"id":150,"name":"Time of Event (Mountain Time)","value":"14:23:12"},{"id":151,"name":"Denver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21"/>
        <v>start /low /b %USERPROFILE%\Documents\GitHub\eaglep3\Utilities\DownloadLogsFromS3.py --loco 4028 --day 2017-04-20</v>
      </c>
      <c r="AN235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20:23:12"},{"id":29,"name":"Sharepoint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816</v>
      </c>
      <c r="B236" s="7">
        <v>4018</v>
      </c>
      <c r="C236" s="21" t="s">
        <v>213</v>
      </c>
      <c r="D236" s="21" t="s">
        <v>952</v>
      </c>
      <c r="E236" s="13">
        <v>42845.895127314812</v>
      </c>
      <c r="F236" s="13">
        <v>42845.896365740744</v>
      </c>
      <c r="G236" s="7">
        <v>1</v>
      </c>
      <c r="H236" s="21" t="s">
        <v>496</v>
      </c>
      <c r="I236" s="13">
        <v>42845.907824074071</v>
      </c>
      <c r="J236" s="7">
        <v>0</v>
      </c>
      <c r="K236" s="97" t="str">
        <f>IF(ISEVEN(B236),(B236-1)&amp;"/"&amp;B236,B236&amp;"/"&amp;(B236+1))</f>
        <v>4017/4018</v>
      </c>
      <c r="L236" s="21" t="str">
        <f>VLOOKUP(A236,'Trips&amp;Operators'!$C$1:$G$99999,5,FALSE)</f>
        <v>MCREYNOLDS KYLE</v>
      </c>
      <c r="M236" s="6">
        <f>I236-F236</f>
        <v>1.1458333327027503E-2</v>
      </c>
      <c r="N236" s="7">
        <f>24*60*SUM($M236:$M236)</f>
        <v>16.499999990919605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-20T20:28:59-0600',mode:absolute,to:'2017-04-20T22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6" s="183" t="str">
        <f>IF(AA236&lt;IF(AG236="EC",23,5.65),"Y","N")</f>
        <v>N</v>
      </c>
      <c r="X236" s="183" t="e">
        <f>VALUE(LEFT(AD236,4))-VALUE(LEFT(AD235,4))</f>
        <v>#VALUE!</v>
      </c>
      <c r="Y236" s="62">
        <f>RIGHT(D236,LEN(D236)-4)/10000</f>
        <v>12.5845</v>
      </c>
      <c r="Z236" s="62">
        <f>RIGHT(H236,LEN(H236)-4)/10000</f>
        <v>23.331099999999999</v>
      </c>
      <c r="AA236" s="62">
        <f>ABS(Z236-Y236)</f>
        <v>10.746599999999999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69-20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/stypes="app*4018*20170421*" /stext=" 03:.+((SYSTEM_STATE.+slice.+state.+changed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 t="shared" si="19"/>
        <v>"%USERPROFILE%\Documents\GitHub\eaglep3\Utilities\RefineRTDCRunTimes.py" --tripid 69-20 --locoid 4018 --swversion DE.1.0.9.0 --startMP 204:125845 --initTime 2017-04-20T21:28:59 --startdatetime 2017-04-20T21:30:46 --delay 1 --endMP 204:233311 --enddatetime 2017-04-20T21:47:16 --enforcementcount 0 &gt;&gt;C:\Users\stu\Documents\GitHub\eaglep3-reporting\EC\2017-04-20-refined-times.txt</v>
      </c>
      <c r="AI236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{"issue":{"subject":"","project_id":79,"tracker_id":40,"status_id":1,"priority_id":2,"assigned_to_id":23,"start_date":"2017-04-20","description":"","custom_fields":[{"id":1,"name":"Subdivision","value":"Other"},{"id":4,"name":"Milepost","value":"23.3311"},{"id":17,"name":"Train ID","value":"69-20"},{"id":16,"name":"Locomotive ID","value":"4018"},{"id":130,"name":"Impact","value":""},{"id":150,"name":"Time of Event (Mountain Time)","value":"21:47:16"},{"id":151,"name":"Denver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21"/>
        <v>start /low /b %USERPROFILE%\Documents\GitHub\eaglep3\Utilities\DownloadLogsFromS3.py --loco 4018 --day 2017-04-20</v>
      </c>
      <c r="AN236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816</v>
      </c>
      <c r="B237" s="7">
        <v>4018</v>
      </c>
      <c r="C237" s="21" t="s">
        <v>213</v>
      </c>
      <c r="D237" s="21" t="s">
        <v>953</v>
      </c>
      <c r="E237" s="13">
        <v>42845.84170138889</v>
      </c>
      <c r="F237" s="13">
        <v>42845.847233796296</v>
      </c>
      <c r="G237" s="7">
        <v>1</v>
      </c>
      <c r="H237" s="21" t="s">
        <v>886</v>
      </c>
      <c r="I237" s="13">
        <v>42845.874305555553</v>
      </c>
      <c r="J237" s="7">
        <v>0</v>
      </c>
      <c r="K237" s="97" t="str">
        <f>IF(ISEVEN(B237),(B237-1)&amp;"/"&amp;B237,B237&amp;"/"&amp;(B237+1))</f>
        <v>4017/4018</v>
      </c>
      <c r="L237" s="21" t="str">
        <f>VLOOKUP(A237,'Trips&amp;Operators'!$C$1:$G$99999,5,FALSE)</f>
        <v>MCREYNOLDS KYLE</v>
      </c>
      <c r="M237" s="6">
        <f>I237-F237</f>
        <v>2.7071759257523809E-2</v>
      </c>
      <c r="N237" s="7">
        <f>24*60*SUM($M237:$M237)</f>
        <v>38.983333330834284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-20T19:12:03-0600',mode:absolute,to:'2017-04-20T21:59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83" t="str">
        <f>IF(AA237&lt;IF(AG237="EC",23,5.65),"Y","N")</f>
        <v>N</v>
      </c>
      <c r="X237" s="183" t="e">
        <f>VALUE(LEFT(AD237,4))-VALUE(LEFT(AD236,4))</f>
        <v>#VALUE!</v>
      </c>
      <c r="Y237" s="62">
        <f>RIGHT(D237,LEN(D237)-4)/10000</f>
        <v>3.9E-2</v>
      </c>
      <c r="Z237" s="62">
        <f>RIGHT(H237,LEN(H237)-4)/10000</f>
        <v>23.330500000000001</v>
      </c>
      <c r="AA237" s="62">
        <f>ABS(Z237-Y237)</f>
        <v>23.291499999999999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69-20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s3://rtdc.mdm.uploadarchive.raw/RTDC4018/ "%USERPROFILE%\AppData\Local\Temp\OnboardLogs"\RTDC4018\2017-04-20 --exclude "*" --recursive --include "*20170420*" &amp; "%USERPROFILE%\Documents\GitHub\mrs-test-scripts\Headless Mode &amp; Sideloading\WalkAndUnGZ.bat" "%USERPROFILE%\AppData\Local\Temp\OnboardLogs"\RTDC4018\2017-04-20 &amp; aws s3 cp s3://rtdc.mdm.uploadarchive.raw/RTDC4018/ "%USERPROFILE%\AppData\Local\Temp\OnboardLogs"\RTDC4018\2017-04-21 --exclude "*" --recursive --include "*20170421*" &amp; "%USERPROFILE%\Documents\GitHub\mrs-test-scripts\Headless Mode &amp; Sideloading\WalkAndUnGZ.bat" "%USERPROFILE%\AppData\Local\Temp\OnboardLogs"\RTDC4018\2017-04-21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/stypes="app*4018*20170421*" /stext=" 02:.+((SYSTEM_STATE.+slice.+state.+changed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 t="shared" si="19"/>
        <v>"%USERPROFILE%\Documents\GitHub\eaglep3\Utilities\RefineRTDCRunTimes.py" --tripid 69-20 --locoid 4018 --swversion DE.1.0.9.0 --startMP 204:390 --initTime 2017-04-20T20:12:03 --startdatetime 2017-04-20T20:20:01 --delay 1 --endMP 204:233305 --enddatetime 2017-04-20T20:59:00 --enforcementcount 0 &gt;&gt;C:\Users\stu\Documents\GitHub\eaglep3-reporting\EC\2017-04-20-refined-times.txt</v>
      </c>
      <c r="AI237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{"issue":{"subject":"","project_id":79,"tracker_id":40,"status_id":1,"priority_id":2,"assigned_to_id":23,"start_date":"2017-04-20","description":"","custom_fields":[{"id":1,"name":"Subdivision","value":"Other"},{"id":4,"name":"Milepost","value":"23.3305"},{"id":17,"name":"Train ID","value":"69-20"},{"id":16,"name":"Locomotive ID","value":"4018"},{"id":130,"name":"Impact","value":""},{"id":150,"name":"Time of Event (Mountain Time)","value":"20:59:00"},{"id":151,"name":"Denver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21"/>
        <v>start /low /b %USERPROFILE%\Documents\GitHub\eaglep3\Utilities\DownloadLogsFromS3.py --loco 4018 --day 2017-04-20</v>
      </c>
      <c r="AN237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814</v>
      </c>
      <c r="B238" s="7">
        <v>4017</v>
      </c>
      <c r="C238" s="21" t="s">
        <v>213</v>
      </c>
      <c r="D238" s="21" t="s">
        <v>494</v>
      </c>
      <c r="E238" s="13">
        <v>42845.878900462965</v>
      </c>
      <c r="F238" s="13">
        <v>42845.881469907406</v>
      </c>
      <c r="G238" s="7">
        <v>1</v>
      </c>
      <c r="H238" s="21" t="s">
        <v>954</v>
      </c>
      <c r="I238" s="13">
        <v>42845.894236111111</v>
      </c>
      <c r="J238" s="7">
        <v>0</v>
      </c>
      <c r="K238" s="97" t="str">
        <f>IF(ISEVEN(B238),(B238-1)&amp;"/"&amp;B238,B238&amp;"/"&amp;(B238+1))</f>
        <v>4017/4018</v>
      </c>
      <c r="L238" s="21" t="str">
        <f>VLOOKUP(A238,'Trips&amp;Operators'!$C$1:$G$99999,5,FALSE)</f>
        <v>MCREYNOLDS KYLE</v>
      </c>
      <c r="M238" s="6">
        <f>I238-F238</f>
        <v>1.2766203704813961E-2</v>
      </c>
      <c r="N238" s="7">
        <f>24*60*SUM($M238:$M238)</f>
        <v>18.383333334932104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-04-20T20:05:37-0600',mode:absolute,to:'2017-04-20T22:27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8" s="183" t="str">
        <f>IF(AA238&lt;IF(AG238="EC",23,5.65),"Y","N")</f>
        <v>N</v>
      </c>
      <c r="X238" s="183" t="e">
        <f>VALUE(LEFT(AD238,4))-VALUE(LEFT(AD237,4))</f>
        <v>#VALUE!</v>
      </c>
      <c r="Y238" s="62">
        <f>RIGHT(D238,LEN(D238)-4)/10000</f>
        <v>23.297999999999998</v>
      </c>
      <c r="Z238" s="62">
        <f>RIGHT(H238,LEN(H238)-4)/10000</f>
        <v>12.5527</v>
      </c>
      <c r="AA238" s="62">
        <f>ABS(Z238-Y238)</f>
        <v>10.745299999999999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70-20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/stypes="app*4017*20170421*" /stext=" 03:.+((SYSTEM_STATE.+slice.+state.+changed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 t="shared" si="19"/>
        <v>"%USERPROFILE%\Documents\GitHub\eaglep3\Utilities\RefineRTDCRunTimes.py" --tripid 70-20 --locoid 4017 --swversion DE.1.0.9.0 --startMP 204:232980 --initTime 2017-04-20T21:05:37 --startdatetime 2017-04-20T21:09:19 --delay 1 --endMP 204:125527 --enddatetime 2017-04-20T21:27:42 --enforcementcount 0 &gt;&gt;C:\Users\stu\Documents\GitHub\eaglep3-reporting\EC\2017-04-20-refined-times.txt</v>
      </c>
      <c r="AI238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{"issue":{"subject":"","project_id":79,"tracker_id":40,"status_id":1,"priority_id":2,"assigned_to_id":23,"start_date":"2017-04-20","description":"","custom_fields":[{"id":1,"name":"Subdivision","value":"Other"},{"id":4,"name":"Milepost","value":"12.5527"},{"id":17,"name":"Train ID","value":"70-20"},{"id":16,"name":"Locomotive ID","value":"4017"},{"id":130,"name":"Impact","value":""},{"id":150,"name":"Time of Event (Mountain Time)","value":"21:27:42"},{"id":151,"name":"Denver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21"/>
        <v>start /low /b %USERPROFILE%\Documents\GitHub\eaglep3\Utilities\DownloadLogsFromS3.py --loco 4017 --day 2017-04-20</v>
      </c>
      <c r="AN238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03:27:42"},{"id":29,"name":"Sharepoint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814</v>
      </c>
      <c r="B239" s="7">
        <v>4017</v>
      </c>
      <c r="C239" s="21" t="s">
        <v>213</v>
      </c>
      <c r="D239" s="21" t="s">
        <v>955</v>
      </c>
      <c r="E239" s="13">
        <v>42845.831504629627</v>
      </c>
      <c r="F239" s="13">
        <v>42845.833981481483</v>
      </c>
      <c r="G239" s="7">
        <v>3</v>
      </c>
      <c r="H239" s="21" t="s">
        <v>956</v>
      </c>
      <c r="I239" s="13">
        <v>42845.839722222219</v>
      </c>
      <c r="J239" s="7">
        <v>0</v>
      </c>
      <c r="K239" s="97" t="str">
        <f>IF(ISEVEN(B239),(B239-1)&amp;"/"&amp;B239,B239&amp;"/"&amp;(B239+1))</f>
        <v>4017/4018</v>
      </c>
      <c r="L239" s="21" t="str">
        <f>VLOOKUP(A239,'Trips&amp;Operators'!$C$1:$G$99999,5,FALSE)</f>
        <v>MCREYNOLDS KYLE</v>
      </c>
      <c r="M239" s="6">
        <f>I239-F239</f>
        <v>5.7407407366554253E-3</v>
      </c>
      <c r="N239" s="7">
        <f>24*60*SUM($M239:$M239)</f>
        <v>8.2666666607838124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-04-20T18:57:22-0600',mode:absolute,to:'2017-04-20T21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9" s="183" t="str">
        <f>IF(AA239&lt;IF(AG239="EC",23,5.65),"Y","N")</f>
        <v>Y</v>
      </c>
      <c r="X239" s="183" t="e">
        <f>VALUE(LEFT(AD239,4))-VALUE(LEFT(AD238,4))</f>
        <v>#VALUE!</v>
      </c>
      <c r="Y239" s="62">
        <f>RIGHT(D239,LEN(D239)-4)/10000</f>
        <v>2.3656000000000001</v>
      </c>
      <c r="Z239" s="62">
        <f>RIGHT(H239,LEN(H239)-4)/10000</f>
        <v>6.6E-3</v>
      </c>
      <c r="AA239" s="62">
        <f>ABS(Z239-Y239)</f>
        <v>2.359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70-20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s3://rtdc.mdm.uploadarchive.raw/RTDC4017/ "%USERPROFILE%\AppData\Local\Temp\OnboardLogs"\RTDC4017\2017-04-20 --exclude "*" --recursive --include "*20170420*" &amp; "%USERPROFILE%\Documents\GitHub\mrs-test-scripts\Headless Mode &amp; Sideloading\WalkAndUnGZ.bat" "%USERPROFILE%\AppData\Local\Temp\OnboardLogs"\RTDC4017\2017-04-20 &amp; aws s3 cp s3://rtdc.mdm.uploadarchive.raw/RTDC4017/ "%USERPROFILE%\AppData\Local\Temp\OnboardLogs"\RTDC4017\2017-04-21 --exclude "*" --recursive --include "*20170421*" &amp; "%USERPROFILE%\Documents\GitHub\mrs-test-scripts\Headless Mode &amp; Sideloading\WalkAndUnGZ.bat" "%USERPROFILE%\AppData\Local\Temp\OnboardLogs"\RTDC4017\2017-04-21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/stypes="app*4017*20170421*" /stext=" 02:.+((SYSTEM_STATE.+slice.+state.+changed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 t="shared" si="19"/>
        <v>"%USERPROFILE%\Documents\GitHub\eaglep3\Utilities\RefineRTDCRunTimes.py" --tripid 70-20 --locoid 4017 --swversion DE.1.0.9.0 --startMP 300:23656 --initTime 2017-04-20T19:57:22 --startdatetime 2017-04-20T20:00:56 --delay 3 --endMP 204:66 --enddatetime 2017-04-20T20:09:12 --enforcementcount 0 &gt;&gt;C:\Users\stu\Documents\GitHub\eaglep3-reporting\EC\2017-04-20-refined-times.txt</v>
      </c>
      <c r="AI239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{"issue":{"subject":"","project_id":79,"tracker_id":40,"status_id":1,"priority_id":2,"assigned_to_id":23,"start_date":"2017-04-20","description":"","custom_fields":[{"id":1,"name":"Subdivision","value":"Other"},{"id":4,"name":"Milepost","value":"0.0066"},{"id":17,"name":"Train ID","value":"70-20"},{"id":16,"name":"Locomotive ID","value":"4017"},{"id":130,"name":"Impact","value":""},{"id":150,"name":"Time of Event (Mountain Time)","value":"20:09:12"},{"id":151,"name":"Denver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21"/>
        <v>start /low /b %USERPROFILE%\Documents\GitHub\eaglep3\Utilities\DownloadLogsFromS3.py --loco 4017 --day 2017-04-20</v>
      </c>
      <c r="AN239" s="159" t="str">
        <f t="shared" si="22"/>
        <v>echo {"issue":{"subject":"","project_id":30,"tracker_id":4,"status_id":1,"priority_id":1,"assigned_to_id":10,"start_date":"2017-04-21","description":"","custom_fields":[{"id":30,"name":"Category","value":"Issue"},{"id":3,"name":"Functional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UTC","value":"2017-04-21 02:09:12"},{"id":29,"name":"Sharepoint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786</v>
      </c>
      <c r="B240" s="7">
        <v>4046</v>
      </c>
      <c r="C240" s="21" t="s">
        <v>213</v>
      </c>
      <c r="D240" s="21" t="s">
        <v>957</v>
      </c>
      <c r="E240" s="13">
        <v>42845.729502314818</v>
      </c>
      <c r="F240" s="13">
        <v>42845.731898148151</v>
      </c>
      <c r="G240" s="7">
        <v>2</v>
      </c>
      <c r="H240" s="21" t="s">
        <v>958</v>
      </c>
      <c r="I240" s="13">
        <v>42845.741064814814</v>
      </c>
      <c r="J240" s="7">
        <v>0</v>
      </c>
      <c r="K240" s="97" t="str">
        <f>IF(ISEVEN(B240),(B240-1)&amp;"/"&amp;B240,B240&amp;"/"&amp;(B240+1))</f>
        <v>4045/4046</v>
      </c>
      <c r="L240" s="21" t="str">
        <f>VLOOKUP(A240,'Trips&amp;Operators'!$C$1:$G$99999,5,FALSE)</f>
        <v>DELGADO DIANAH</v>
      </c>
      <c r="M240" s="6">
        <f>I240-F240</f>
        <v>9.1666666630771942E-3</v>
      </c>
      <c r="N240" s="7">
        <f>24*60*SUM($M240:$M240)</f>
        <v>13.19999999483116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-04-20T16:30:29-0600',mode:absolute,to:'2017-04-20T18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83" t="str">
        <f>IF(AA240&lt;IF(AG240="EC",23,5.65),"Y","N")</f>
        <v>Y</v>
      </c>
      <c r="X240" s="183" t="e">
        <f>VALUE(LEFT(AD240,4))-VALUE(LEFT(AD239,4))</f>
        <v>#VALUE!</v>
      </c>
      <c r="Y240" s="62">
        <f>RIGHT(D240,LEN(D240)-4)/10000</f>
        <v>0.1464</v>
      </c>
      <c r="Z240" s="62">
        <f>RIGHT(H240,LEN(H240)-4)/10000</f>
        <v>2.3311999999999999</v>
      </c>
      <c r="AA240" s="62">
        <f>ABS(Z240-Y240)</f>
        <v>2.1848000000000001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71-20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/stypes="app*4046*20170420*" /stext=" 23:.+((SYSTEM_STATE.+slice.+state.+changed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 t="shared" si="19"/>
        <v>"%USERPROFILE%\Documents\GitHub\eaglep3\Utilities\RefineRTDCRunTimes.py" --tripid 71-20 --locoid 4046 --swversion DE.1.0.9.0 --startMP 204:1464 --initTime 2017-04-20T17:30:29 --startdatetime 2017-04-20T17:33:56 --delay 2 --endMP 300:23312 --enddatetime 2017-04-20T17:47:08 --enforcementcount 0 &gt;&gt;C:\Users\stu\Documents\GitHub\eaglep3-reporting\EC\2017-04-20-refined-times.txt</v>
      </c>
      <c r="AI240" s="104" t="str">
        <f t="shared" si="20"/>
        <v>echo {"issue":{"subject":"","project_id":79,"tracker_id":40,"status_id":1,"priority_id":2,"assigned_to_id":23,"start_date":"2017-04-20","description":"","custom_fields":[{"id":1,"name":"Subdivision","value":"Other"},{"id":4,"name":"Milepost","value":"2.3312"},{"id":17,"name":"Train ID","value":"71-20"},{"id":16,"name":"Locomotive ID","value":"4046"},{"id":130,"name":"Impact","value":""},{"id":150,"name":"Time of Event (Mountain Time)","value":"17:47:08"},{"id":151,"name":"Denver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21"/>
        <v>start /low /b %USERPROFILE%\Documents\GitHub\eaglep3\Utilities\DownloadLogsFromS3.py --loco 4046 --day 2017-04-20</v>
      </c>
      <c r="AN240" s="159" t="str">
        <f t="shared" si="22"/>
        <v>echo {"issue":{"subject":"","project_id":30,"tracker_id":4,"status_id":1,"priority_id":1,"assigned_to_id":10,"start_date":"2017-04-20","description":"","custom_fields":[{"id":30,"name":"Category","value":"Issue"},{"id":3,"name":"Functional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UTC","value":"2017-04-20 23:47:08"},{"id":29,"name":"Sharepoint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56">
    <sortState ref="A13:AG259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40">
    <cfRule type="cellIs" dxfId="14" priority="374" operator="equal">
      <formula>"Y"</formula>
    </cfRule>
  </conditionalFormatting>
  <conditionalFormatting sqref="X263:X1048576 X13:X240">
    <cfRule type="cellIs" dxfId="13" priority="357" operator="greaterThan">
      <formula>1</formula>
    </cfRule>
  </conditionalFormatting>
  <conditionalFormatting sqref="X263:X1048576 X12:X240">
    <cfRule type="cellIs" dxfId="12" priority="354" operator="equal">
      <formula>0</formula>
    </cfRule>
  </conditionalFormatting>
  <conditionalFormatting sqref="A13:S107 A110:S240 A108:M109">
    <cfRule type="expression" dxfId="11" priority="348" stopIfTrue="1">
      <formula>$P13&gt;0</formula>
    </cfRule>
    <cfRule type="expression" dxfId="10" priority="349" stopIfTrue="1">
      <formula>$O13&gt;0</formula>
    </cfRule>
  </conditionalFormatting>
  <conditionalFormatting sqref="N108:S109">
    <cfRule type="expression" dxfId="3" priority="2" stopIfTrue="1">
      <formula>$P108&gt;0</formula>
    </cfRule>
    <cfRule type="expression" dxfId="2" priority="3" stopIfTrue="1">
      <formula>$O108&gt;0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3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A13:S107 A110:S240 A108:M109</xm:sqref>
        </x14:conditionalFormatting>
        <x14:conditionalFormatting xmlns:xm="http://schemas.microsoft.com/office/excel/2006/main">
          <x14:cfRule type="expression" priority="4" stopIfTrue="1" id="{975134B1-FD51-400E-B990-D79091D5A2EF}">
            <xm:f>IF($AG108="EC",OR($N108&gt;Variables!$C$2,$N108&lt;Variables!$C$5),OR($N108&gt;Variables!$D$2,$N108&lt;Variables!$D$5))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  <x14:conditionalFormatting xmlns:xm="http://schemas.microsoft.com/office/excel/2006/main">
          <x14:cfRule type="expression" priority="1" stopIfTrue="1" id="{ADE90236-4AC1-4B94-942F-E47A6F41DD5E}">
            <xm:f>IF($AG108="EC",OR($N108&gt;Variables!#REF!,$N108&lt;Variables!#REF!),OR($N108&gt;Variables!#REF!,$N108&lt;Variables!#REF!))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N108:S109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21" customWidth="1"/>
    <col min="5" max="5" width="17.71093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13.85546875" style="121" customWidth="1"/>
    <col min="13" max="13" width="7.85546875" style="2" customWidth="1"/>
    <col min="14" max="14" width="14.28515625" style="120" customWidth="1"/>
    <col min="15" max="15" width="4.425781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COUNTIF($O$7:$O$294,"=Y")</f>
        <v>3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COUNTA($O$7:$O$294)-O2</f>
        <v>33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- 2017-04-20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42845.255347222221</v>
      </c>
      <c r="B7" s="30" t="s">
        <v>375</v>
      </c>
      <c r="C7" s="30" t="s">
        <v>617</v>
      </c>
      <c r="D7" s="30" t="s">
        <v>49</v>
      </c>
      <c r="E7" s="30" t="s">
        <v>191</v>
      </c>
      <c r="F7" s="43">
        <v>0</v>
      </c>
      <c r="G7" s="43">
        <v>174</v>
      </c>
      <c r="H7" s="43">
        <v>26976</v>
      </c>
      <c r="I7" s="43">
        <v>27217</v>
      </c>
      <c r="J7" s="30" t="s">
        <v>192</v>
      </c>
      <c r="K7" s="43">
        <v>27053</v>
      </c>
      <c r="L7" s="139" t="s">
        <v>50</v>
      </c>
      <c r="M7" s="140">
        <f>CONVERT((I7-K7)/10000,"mi","ft")*IF(L7="Increasing Mileposts (1)",-1,1)</f>
        <v>-86.592000000000013</v>
      </c>
      <c r="N7" s="141" t="str">
        <f>VLOOKUP(C7,'Trips&amp;Operators'!$C$1:$G$99999,5,FALSE)</f>
        <v>COOLAHAN JOHN</v>
      </c>
      <c r="O7" s="190" t="s">
        <v>184</v>
      </c>
      <c r="P7" s="142" t="s">
        <v>483</v>
      </c>
      <c r="Q7" s="30"/>
      <c r="R7" s="89" t="str">
        <f>IF(VLOOKUP(C7,'Train Runs'!$A$13:$AE$9932,1,1)=C7,VLOOKUP(C7,'Train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7" s="92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-04-20T04:54:55-0600',mode:absolute,to:'2017-04-20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/stypes="*4046*201704201*" /stext=" 12:.+((SYSTEM_STATE.+slice.+state.+changed )|(ment ac)|(multiple cpu faults)|(system.+state.+changed )|(\[timeout)|(PRM\|1\|D)|(kpr)|(kdp)|(\|lc)|(penalty))"</v>
      </c>
      <c r="U7" s="9" t="str">
        <f>MID(B7,13,4)</f>
        <v>4046</v>
      </c>
      <c r="V7" s="32">
        <f>A7-utc_offset/24</f>
        <v>42845.505347222221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arrival","project_id":79,"tracker_id":40,"status_id":1,"priority_id":2,"assigned_to_id":23,"start_date":"2017-04-20","description":"","custom_fields":[{"id":1,"name":"Subdivision","value":"EC"},{"id":4,"name":"Milepost","value":"2.7053"},{"id":17,"name":"Train ID","value":"119-20"},{"id":16,"name":"Locomotive ID","value":"4046"},{"id":130,"name":"Impact","value":""},{"id":150,"name":"Time of Event (Mountain Time)","value":"06:07:42"},{"id":151,"name":"Denver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"%USERPROFILE%\AppData\Local\Temp\OnboardLogs"\RTDC4046\*4046*201704201*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7" s="153" t="str">
        <f t="shared" ref="AE7" si="0">"start /low /b "&amp;dls3logs&amp;" --loco "&amp;U7&amp;" --day "&amp;TEXT(V7,"YYYY-MM-DD")</f>
        <v>start /low /b %USERPROFILE%\Documents\GitHub\eaglep3\Utilities\DownloadLogsFromS3.py --loco 4046 --day 2017-04-20</v>
      </c>
    </row>
    <row r="8" spans="1:32" s="1" customFormat="1" x14ac:dyDescent="0.25">
      <c r="A8" s="32">
        <v>42845.707280092596</v>
      </c>
      <c r="B8" s="30" t="s">
        <v>540</v>
      </c>
      <c r="C8" s="30" t="s">
        <v>637</v>
      </c>
      <c r="D8" s="30" t="s">
        <v>49</v>
      </c>
      <c r="E8" s="30" t="s">
        <v>191</v>
      </c>
      <c r="F8" s="43">
        <v>0</v>
      </c>
      <c r="G8" s="43">
        <v>145</v>
      </c>
      <c r="H8" s="43">
        <v>27364</v>
      </c>
      <c r="I8" s="43">
        <v>27168</v>
      </c>
      <c r="J8" s="30" t="s">
        <v>192</v>
      </c>
      <c r="K8" s="43">
        <v>27350</v>
      </c>
      <c r="L8" s="139" t="s">
        <v>51</v>
      </c>
      <c r="M8" s="140">
        <f>CONVERT((I8-K8)/10000,"mi","ft")*IF(L8="Increasing Mileposts (1)",-1,1)</f>
        <v>-96.096000000000004</v>
      </c>
      <c r="N8" s="141" t="str">
        <f>VLOOKUP(C8,'Trips&amp;Operators'!$C$1:$G$99999,5,FALSE)</f>
        <v>LOPES KIMBERLY</v>
      </c>
      <c r="O8" s="190" t="s">
        <v>184</v>
      </c>
      <c r="P8" s="142" t="s">
        <v>483</v>
      </c>
      <c r="Q8" s="30"/>
      <c r="R8" s="89" t="str">
        <f>IF(VLOOKUP(C8,'Train Runs'!$A$13:$AE$9932,1,1)=C8,VLOOKUP(C8,'Train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8" s="92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-04-20T15:20:28-0600',mode:absolute,to:'2017-04-20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/stypes="*4007*201704202*" /stext=" 22:.+((SYSTEM_STATE.+slice.+state.+changed )|(ment ac)|(multiple cpu faults)|(system.+state.+changed )|(\[timeout)|(PRM\|1\|D)|(kpr)|(kdp)|(\|lc)|(penalty))"</v>
      </c>
      <c r="U8" s="9" t="str">
        <f>MID(B8,13,4)</f>
        <v>4007</v>
      </c>
      <c r="V8" s="32">
        <f>A8-utc_offset/24</f>
        <v>42845.957280092596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arrival","project_id":79,"tracker_id":40,"status_id":1,"priority_id":2,"assigned_to_id":23,"start_date":"2017-04-20","description":"","custom_fields":[{"id":1,"name":"Subdivision","value":"EC"},{"id":4,"name":"Milepost","value":"2.735"},{"id":17,"name":"Train ID","value":"196-20"},{"id":16,"name":"Locomotive ID","value":"4007"},{"id":130,"name":"Impact","value":""},{"id":150,"name":"Time of Event (Mountain Time)","value":"16:58:29"},{"id":151,"name":"Denver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"%USERPROFILE%\AppData\Local\Temp\OnboardLogs"\RTDC4007\*4007*201704202*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"%USERPROFILE%\AppData\Local\Temp\OnboardLogs"\RTDC4007\*4007*201704202* &gt;&gt; 2017-04-20-SliceDisagreementCheck.txt</v>
      </c>
      <c r="AE8" s="153" t="str">
        <f t="shared" ref="AE8:AE42" si="1">"start /low /b "&amp;dls3logs&amp;" --loco "&amp;U8&amp;" --day "&amp;TEXT(V8,"YYYY-MM-DD")</f>
        <v>start /low /b %USERPROFILE%\Documents\GitHub\eaglep3\Utilities\DownloadLogsFromS3.py --loco 4007 --day 2017-04-20</v>
      </c>
    </row>
    <row r="9" spans="1:32" s="1" customFormat="1" x14ac:dyDescent="0.25">
      <c r="A9" s="32">
        <v>42845.571018518516</v>
      </c>
      <c r="B9" s="30" t="s">
        <v>474</v>
      </c>
      <c r="C9" s="30" t="s">
        <v>633</v>
      </c>
      <c r="D9" s="30" t="s">
        <v>49</v>
      </c>
      <c r="E9" s="30" t="s">
        <v>191</v>
      </c>
      <c r="F9" s="43">
        <v>0</v>
      </c>
      <c r="G9" s="43">
        <v>201</v>
      </c>
      <c r="H9" s="43">
        <v>31134</v>
      </c>
      <c r="I9" s="43">
        <v>30913</v>
      </c>
      <c r="J9" s="30" t="s">
        <v>192</v>
      </c>
      <c r="K9" s="43">
        <v>30970</v>
      </c>
      <c r="L9" s="139" t="s">
        <v>51</v>
      </c>
      <c r="M9" s="140">
        <f>CONVERT((I9-K9)/10000,"mi","ft")*IF(L9="Increasing Mileposts (1)",-1,1)</f>
        <v>-30.096</v>
      </c>
      <c r="N9" s="141" t="str">
        <f>VLOOKUP(C9,'Trips&amp;Operators'!$C$1:$G$99999,5,FALSE)</f>
        <v>HELVIE ADAM</v>
      </c>
      <c r="O9" s="190" t="s">
        <v>184</v>
      </c>
      <c r="P9" s="142" t="s">
        <v>483</v>
      </c>
      <c r="Q9" s="30"/>
      <c r="R9" s="89" t="str">
        <f>IF(VLOOKUP(C9,'Train Runs'!$A$13:$AE$9932,1,1)=C9,VLOOKUP(C9,'Train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9" s="92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-04-20T12:08:00-0600',mode:absolute,to:'2017-04-20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/stypes="*4023*201704201*" /stext=" 19:.+((SYSTEM_STATE.+slice.+state.+changed )|(ment ac)|(multiple cpu faults)|(system.+state.+changed )|(\[timeout)|(PRM\|1\|D)|(kpr)|(kdp)|(\|lc)|(penalty))"</v>
      </c>
      <c r="U9" s="9" t="str">
        <f>MID(B9,13,4)</f>
        <v>4023</v>
      </c>
      <c r="V9" s="32">
        <f>A9-utc_offset/24</f>
        <v>42845.821018518516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ID","value":"170-20"},{"id":16,"name":"Locomotive ID","value":"4023"},{"id":130,"name":"Impact","value":""},{"id":150,"name":"Time of Event (Mountain Time)","value":"13:42:16"},{"id":151,"name":"Denver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"%USERPROFILE%\AppData\Local\Temp\OnboardLogs"\RTDC4023\*4023*201704201*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9" s="153" t="str">
        <f t="shared" si="1"/>
        <v>start /low /b %USERPROFILE%\Documents\GitHub\eaglep3\Utilities\DownloadLogsFromS3.py --loco 4023 --day 2017-04-20</v>
      </c>
    </row>
    <row r="10" spans="1:32" s="1" customFormat="1" x14ac:dyDescent="0.25">
      <c r="A10" s="32">
        <v>42845.977210648147</v>
      </c>
      <c r="B10" s="30" t="s">
        <v>372</v>
      </c>
      <c r="C10" s="30" t="s">
        <v>648</v>
      </c>
      <c r="D10" s="30" t="s">
        <v>49</v>
      </c>
      <c r="E10" s="30" t="s">
        <v>191</v>
      </c>
      <c r="F10" s="43">
        <v>0</v>
      </c>
      <c r="G10" s="43">
        <v>230</v>
      </c>
      <c r="H10" s="43">
        <v>31038</v>
      </c>
      <c r="I10" s="43">
        <v>30671</v>
      </c>
      <c r="J10" s="30" t="s">
        <v>192</v>
      </c>
      <c r="K10" s="43">
        <v>30970</v>
      </c>
      <c r="L10" s="139" t="s">
        <v>51</v>
      </c>
      <c r="M10" s="140">
        <f>CONVERT((I10-K10)/10000,"mi","ft")*IF(L10="Increasing Mileposts (1)",-1,1)</f>
        <v>-157.87200000000001</v>
      </c>
      <c r="N10" s="141" t="str">
        <f>VLOOKUP(C10,'Trips&amp;Operators'!$C$1:$G$99999,5,FALSE)</f>
        <v>BROWN JACOB</v>
      </c>
      <c r="O10" s="190" t="s">
        <v>184</v>
      </c>
      <c r="P10" s="142" t="s">
        <v>483</v>
      </c>
      <c r="Q10" s="30"/>
      <c r="R10" s="89" t="str">
        <f>IF(VLOOKUP(C10,'Train Runs'!$A$13:$AE$9932,1,1)=C10,VLOOKUP(C10,'Train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0" s="92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/stypes="*4027*201704210*" /stext=" 05:.+((SYSTEM_STATE.+slice.+state.+changed )|(ment ac)|(multiple cpu faults)|(system.+state.+changed )|(\[timeout)|(PRM\|1\|D)|(kpr)|(kdp)|(\|lc)|(penalty))"</v>
      </c>
      <c r="U10" s="9" t="str">
        <f>MID(B10,13,4)</f>
        <v>4027</v>
      </c>
      <c r="V10" s="32">
        <f>A10-utc_offset/24</f>
        <v>42846.227210648147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arrival","project_id":79,"tracker_id":40,"status_id":1,"priority_id":2,"assigned_to_id":23,"start_date":"2017-04-20","description":"","custom_fields":[{"id":1,"name":"Subdivision","value":"EC"},{"id":4,"name":"Milepost","value":"3.097"},{"id":17,"name":"Train ID","value":"234-20"},{"id":16,"name":"Locomotive ID","value":"4027"},{"id":130,"name":"Impact","value":""},{"id":150,"name":"Time of Event (Mountain Time)","value":"23:27:11"},{"id":151,"name":"Denver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"%USERPROFILE%\AppData\Local\Temp\OnboardLogs"\RTDC4027\*4027*201704210*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0" s="153" t="str">
        <f t="shared" si="1"/>
        <v>start /low /b %USERPROFILE%\Documents\GitHub\eaglep3\Utilities\DownloadLogsFromS3.py --loco 4027 --day 2017-04-21</v>
      </c>
    </row>
    <row r="11" spans="1:32" s="1" customFormat="1" x14ac:dyDescent="0.25">
      <c r="A11" s="32">
        <v>42845.484398148146</v>
      </c>
      <c r="B11" s="30" t="s">
        <v>540</v>
      </c>
      <c r="C11" s="30" t="s">
        <v>630</v>
      </c>
      <c r="D11" s="30" t="s">
        <v>49</v>
      </c>
      <c r="E11" s="30" t="s">
        <v>191</v>
      </c>
      <c r="F11" s="43">
        <v>0</v>
      </c>
      <c r="G11" s="43">
        <v>326</v>
      </c>
      <c r="H11" s="43">
        <v>43373</v>
      </c>
      <c r="I11" s="43">
        <v>42871</v>
      </c>
      <c r="J11" s="30" t="s">
        <v>192</v>
      </c>
      <c r="K11" s="43">
        <v>42961</v>
      </c>
      <c r="L11" s="139" t="s">
        <v>51</v>
      </c>
      <c r="M11" s="140">
        <f>CONVERT((I11-K11)/10000,"mi","ft")*IF(L11="Increasing Mileposts (1)",-1,1)</f>
        <v>-47.52</v>
      </c>
      <c r="N11" s="141" t="str">
        <f>VLOOKUP(C11,'Trips&amp;Operators'!$C$1:$G$99999,5,FALSE)</f>
        <v>YORK EDGAR</v>
      </c>
      <c r="O11" s="190" t="s">
        <v>184</v>
      </c>
      <c r="P11" s="142" t="s">
        <v>483</v>
      </c>
      <c r="Q11" s="30"/>
      <c r="R11" s="89" t="str">
        <f>IF(VLOOKUP(C11,'Train Runs'!$A$13:$AE$9932,1,1)=C11,VLOOKUP(C11,'Train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1" s="92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-04-20T09:53:39-0600',mode:absolute,to:'2017-04-20T12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/stypes="*4007*201704201*" /stext=" 17:.+((SYSTEM_STATE.+slice.+state.+changed )|(ment ac)|(multiple cpu faults)|(system.+state.+changed )|(\[timeout)|(PRM\|1\|D)|(kpr)|(kdp)|(\|lc)|(penalty))"</v>
      </c>
      <c r="U11" s="9" t="str">
        <f>MID(B11,13,4)</f>
        <v>4007</v>
      </c>
      <c r="V11" s="32">
        <f>A11-utc_offset/24</f>
        <v>42845.734398148146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arrival","project_id":79,"tracker_id":40,"status_id":1,"priority_id":2,"assigned_to_id":23,"start_date":"2017-04-20","description":"","custom_fields":[{"id":1,"name":"Subdivision","value":"EC"},{"id":4,"name":"Milepost","value":"4.2961"},{"id":17,"name":"Train ID","value":"154-20"},{"id":16,"name":"Locomotive ID","value":"4007"},{"id":130,"name":"Impact","value":""},{"id":150,"name":"Time of Event (Mountain Time)","value":"11:37:32"},{"id":151,"name":"Denver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"%USERPROFILE%\AppData\Local\Temp\OnboardLogs"\RTDC4007\*4007*201704201*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1" s="153" t="str">
        <f t="shared" si="1"/>
        <v>start /low /b %USERPROFILE%\Documents\GitHub\eaglep3\Utilities\DownloadLogsFromS3.py --loco 4007 --day 2017-04-20</v>
      </c>
    </row>
    <row r="12" spans="1:32" s="1" customFormat="1" x14ac:dyDescent="0.25">
      <c r="A12" s="32">
        <v>42845.394259259258</v>
      </c>
      <c r="B12" s="30" t="s">
        <v>624</v>
      </c>
      <c r="C12" s="30" t="s">
        <v>628</v>
      </c>
      <c r="D12" s="30" t="s">
        <v>49</v>
      </c>
      <c r="E12" s="30" t="s">
        <v>191</v>
      </c>
      <c r="F12" s="43">
        <v>0</v>
      </c>
      <c r="G12" s="43">
        <v>419</v>
      </c>
      <c r="H12" s="43">
        <v>62648</v>
      </c>
      <c r="I12" s="43">
        <v>63510</v>
      </c>
      <c r="J12" s="30" t="s">
        <v>192</v>
      </c>
      <c r="K12" s="43">
        <v>63069</v>
      </c>
      <c r="L12" s="139" t="s">
        <v>50</v>
      </c>
      <c r="M12" s="140">
        <f>CONVERT((I12-K12)/10000,"mi","ft")*IF(L12="Increasing Mileposts (1)",-1,1)</f>
        <v>-232.84800000000001</v>
      </c>
      <c r="N12" s="141" t="str">
        <f>VLOOKUP(C12,'Trips&amp;Operators'!$C$1:$G$99999,5,FALSE)</f>
        <v>YANAI IAN</v>
      </c>
      <c r="O12" s="190" t="s">
        <v>184</v>
      </c>
      <c r="P12" s="142" t="s">
        <v>483</v>
      </c>
      <c r="Q12" s="30"/>
      <c r="R12" s="89" t="str">
        <f>IF(VLOOKUP(C12,'Train Runs'!$A$13:$AE$9932,1,1)=C12,VLOOKUP(C12,'Train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12" s="92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-04-20T08:08:54-0600',mode:absolute,to:'2017-04-20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/stypes="*4002*201704201*" /stext=" 15:.+((SYSTEM_STATE.+slice.+state.+changed )|(ment ac)|(multiple cpu faults)|(system.+state.+changed )|(\[timeout)|(PRM\|1\|D)|(kpr)|(kdp)|(\|lc)|(penalty))"</v>
      </c>
      <c r="U12" s="9" t="str">
        <f>MID(B12,13,4)</f>
        <v>4002</v>
      </c>
      <c r="V12" s="32">
        <f>A12-utc_offset/24</f>
        <v>42845.644259259258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arrival","project_id":79,"tracker_id":40,"status_id":1,"priority_id":2,"assigned_to_id":23,"start_date":"2017-04-20","description":"","custom_fields":[{"id":1,"name":"Subdivision","value":"EC"},{"id":4,"name":"Milepost","value":"6.3069"},{"id":17,"name":"Train ID","value":"145-20"},{"id":16,"name":"Locomotive ID","value":"4002"},{"id":130,"name":"Impact","value":""},{"id":150,"name":"Time of Event (Mountain Time)","value":"09:27:44"},{"id":151,"name":"Denver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"%USERPROFILE%\AppData\Local\Temp\OnboardLogs"\RTDC4002\*4002*201704201*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12" s="153" t="str">
        <f t="shared" si="1"/>
        <v>start /low /b %USERPROFILE%\Documents\GitHub\eaglep3\Utilities\DownloadLogsFromS3.py --loco 4002 --day 2017-04-20</v>
      </c>
    </row>
    <row r="13" spans="1:32" s="1" customFormat="1" x14ac:dyDescent="0.25">
      <c r="A13" s="32">
        <v>42845.211516203701</v>
      </c>
      <c r="B13" s="30" t="s">
        <v>438</v>
      </c>
      <c r="C13" s="30" t="s">
        <v>615</v>
      </c>
      <c r="D13" s="30" t="s">
        <v>49</v>
      </c>
      <c r="E13" s="30" t="s">
        <v>191</v>
      </c>
      <c r="F13" s="43">
        <v>0</v>
      </c>
      <c r="G13" s="43">
        <v>782</v>
      </c>
      <c r="H13" s="43">
        <v>107479</v>
      </c>
      <c r="I13" s="43">
        <v>111485</v>
      </c>
      <c r="J13" s="30" t="s">
        <v>192</v>
      </c>
      <c r="K13" s="43">
        <v>108954</v>
      </c>
      <c r="L13" s="139" t="s">
        <v>50</v>
      </c>
      <c r="M13" s="140">
        <f>CONVERT((I13-K13)/10000,"mi","ft")*IF(L13="Increasing Mileposts (1)",-1,1)</f>
        <v>-1336.3679999999999</v>
      </c>
      <c r="N13" s="141" t="str">
        <f>VLOOKUP(C13,'Trips&amp;Operators'!$C$1:$G$99999,5,FALSE)</f>
        <v>ROCHA YAOTL</v>
      </c>
      <c r="O13" s="190" t="s">
        <v>184</v>
      </c>
      <c r="P13" s="142" t="s">
        <v>483</v>
      </c>
      <c r="Q13" s="30"/>
      <c r="R13" s="89" t="str">
        <f>IF(VLOOKUP(C13,'Train Runs'!$A$13:$AE$9932,1,1)=C13,VLOOKUP(C13,'Train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13" s="92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-04-20T03:41:06-0600',mode:absolute,to:'2017-04-20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/stypes="*4054*201704201*" /stext=" 11:.+((SYSTEM_STATE.+slice.+state.+changed )|(ment ac)|(multiple cpu faults)|(system.+state.+changed )|(\[timeout)|(PRM\|1\|D)|(kpr)|(kdp)|(\|lc)|(penalty))"</v>
      </c>
      <c r="U13" s="9" t="str">
        <f>MID(B13,13,4)</f>
        <v>4054</v>
      </c>
      <c r="V13" s="32">
        <f>A13-utc_offset/24</f>
        <v>42845.461516203701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arrival","project_id":79,"tracker_id":40,"status_id":1,"priority_id":2,"assigned_to_id":23,"start_date":"2017-04-20","description":"","custom_fields":[{"id":1,"name":"Subdivision","value":"EC"},{"id":4,"name":"Milepost","value":"10.8954"},{"id":17,"name":"Train ID","value":"109-20"},{"id":16,"name":"Locomotive ID","value":"4054"},{"id":130,"name":"Impact","value":""},{"id":150,"name":"Time of Event (Mountain Time)","value":"05:04:35"},{"id":151,"name":"Denver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"%USERPROFILE%\AppData\Local\Temp\OnboardLogs"\RTDC4054\*4054*201704201*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13" s="153" t="str">
        <f t="shared" si="1"/>
        <v>start /low /b %USERPROFILE%\Documents\GitHub\eaglep3\Utilities\DownloadLogsFromS3.py --loco 4054 --day 2017-04-20</v>
      </c>
    </row>
    <row r="14" spans="1:32" x14ac:dyDescent="0.25">
      <c r="A14" s="32">
        <v>42845.811423611114</v>
      </c>
      <c r="B14" s="30" t="s">
        <v>372</v>
      </c>
      <c r="C14" s="30" t="s">
        <v>647</v>
      </c>
      <c r="D14" s="30" t="s">
        <v>49</v>
      </c>
      <c r="E14" s="30" t="s">
        <v>191</v>
      </c>
      <c r="F14" s="43">
        <v>0</v>
      </c>
      <c r="G14" s="43">
        <v>361</v>
      </c>
      <c r="H14" s="43">
        <v>109401</v>
      </c>
      <c r="I14" s="43">
        <v>108932</v>
      </c>
      <c r="J14" s="30" t="s">
        <v>192</v>
      </c>
      <c r="K14" s="43">
        <v>109135</v>
      </c>
      <c r="L14" s="139" t="s">
        <v>51</v>
      </c>
      <c r="M14" s="140">
        <f>CONVERT((I14-K14)/10000,"mi","ft")*IF(L14="Increasing Mileposts (1)",-1,1)</f>
        <v>-107.184</v>
      </c>
      <c r="N14" s="141" t="str">
        <f>VLOOKUP(C14,'Trips&amp;Operators'!$C$1:$G$99999,5,FALSE)</f>
        <v>BROWN JACOB</v>
      </c>
      <c r="O14" s="190" t="s">
        <v>184</v>
      </c>
      <c r="P14" s="142" t="s">
        <v>483</v>
      </c>
      <c r="Q14" s="30"/>
      <c r="R14" s="89" t="str">
        <f>IF(VLOOKUP(C14,'Train Runs'!$A$13:$AE$9932,1,1)=C14,VLOOKUP(C14,'Train Runs'!$A$13:$AE$9932,31,1),NA())</f>
        <v>aws s3 cp s3://rtdc.mdm.uploadarchive.raw/RTDC4027/ "%USERPROFILE%\AppData\Local\Temp\OnboardLogs"\RTDC4027\2017-04-20 --exclude "*" --recursive --include "*20170420*" &amp; "%USERPROFILE%\Documents\GitHub\mrs-test-scripts\Headless Mode &amp; Sideloading\WalkAndUnGZ.bat" "%USERPROFILE%\AppData\Local\Temp\OnboardLogs"\RTDC4027\2017-04-20 &amp; aws s3 cp s3://rtdc.mdm.uploadarchive.raw/RTDC4027/ "%USERPROFILE%\AppData\Local\Temp\OnboardLogs"\RTDC4027\2017-04-21 --exclude "*" --recursive --include "*20170421*" &amp; "%USERPROFILE%\Documents\GitHub\mrs-test-scripts\Headless Mode &amp; Sideloading\WalkAndUnGZ.bat" "%USERPROFILE%\AppData\Local\Temp\OnboardLogs"\RTDC4027\2017-04-21</v>
      </c>
      <c r="S14" s="92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/stypes="*4027*201704210*" /stext=" 01:.+((SYSTEM_STATE.+slice.+state.+changed )|(ment ac)|(multiple cpu faults)|(system.+state.+changed )|(\[timeout)|(PRM\|1\|D)|(kpr)|(kdp)|(\|lc)|(penalty))"</v>
      </c>
      <c r="U14" s="9" t="str">
        <f>MID(B14,13,4)</f>
        <v>4027</v>
      </c>
      <c r="V14" s="32">
        <f>A14-utc_offset/24</f>
        <v>42846.061423611114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ID","value":"218-20"},{"id":16,"name":"Locomotive ID","value":"4027"},{"id":130,"name":"Impact","value":""},{"id":150,"name":"Time of Event (Mountain Time)","value":"19:28:27"},{"id":151,"name":"Denver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"%USERPROFILE%\AppData\Local\Temp\OnboardLogs"\RTDC4027\*4027*201704210*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"%USERPROFILE%\AppData\Local\Temp\OnboardLogs"\RTDC4027\*4027*201704210* &gt;&gt; 2017-04-20-SliceDisagreementCheck.txt</v>
      </c>
      <c r="AE14" s="153" t="str">
        <f t="shared" si="1"/>
        <v>start /low /b %USERPROFILE%\Documents\GitHub\eaglep3\Utilities\DownloadLogsFromS3.py --loco 4027 --day 2017-04-21</v>
      </c>
      <c r="AF14" s="1"/>
    </row>
    <row r="15" spans="1:32" x14ac:dyDescent="0.25">
      <c r="A15" s="32">
        <v>42845.270462962966</v>
      </c>
      <c r="B15" s="30" t="s">
        <v>474</v>
      </c>
      <c r="C15" s="30" t="s">
        <v>618</v>
      </c>
      <c r="D15" s="30" t="s">
        <v>49</v>
      </c>
      <c r="E15" s="30" t="s">
        <v>191</v>
      </c>
      <c r="F15" s="43">
        <v>380</v>
      </c>
      <c r="G15" s="43">
        <v>432</v>
      </c>
      <c r="H15" s="43">
        <v>110278</v>
      </c>
      <c r="I15" s="43">
        <v>109017</v>
      </c>
      <c r="J15" s="30" t="s">
        <v>192</v>
      </c>
      <c r="K15" s="43">
        <v>109135</v>
      </c>
      <c r="L15" s="139" t="s">
        <v>51</v>
      </c>
      <c r="M15" s="140">
        <f>CONVERT((I15-K15)/10000,"mi","ft")*IF(L15="Increasing Mileposts (1)",-1,1)</f>
        <v>-62.304000000000002</v>
      </c>
      <c r="N15" s="141" t="str">
        <f>VLOOKUP(C15,'Trips&amp;Operators'!$C$1:$G$99999,5,FALSE)</f>
        <v>BADERTSCHER DIANE</v>
      </c>
      <c r="O15" s="190" t="s">
        <v>184</v>
      </c>
      <c r="P15" s="142" t="s">
        <v>483</v>
      </c>
      <c r="Q15" s="30"/>
      <c r="R15" s="89" t="str">
        <f>IF(VLOOKUP(C15,'Train Runs'!$A$13:$AE$9932,1,1)=C15,VLOOKUP(C15,'Train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15" s="92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-04-20T04:57:37-0600',mode:absolute,to:'2017-04-20T07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/stypes="*4023*201704201*" /stext=" 12:.+((SYSTEM_STATE.+slice.+state.+changed )|(ment ac)|(multiple cpu faults)|(system.+state.+changed )|(\[timeout)|(PRM\|1\|D)|(kpr)|(kdp)|(\|lc)|(penalty))"</v>
      </c>
      <c r="U15" s="9" t="str">
        <f>MID(B15,13,4)</f>
        <v>4023</v>
      </c>
      <c r="V15" s="32">
        <f>A15-utc_offset/24</f>
        <v>42845.520462962966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arrival","project_id":79,"tracker_id":40,"status_id":1,"priority_id":2,"assigned_to_id":23,"start_date":"2017-04-20","description":"","custom_fields":[{"id":1,"name":"Subdivision","value":"EC"},{"id":4,"name":"Milepost","value":"10.9135"},{"id":17,"name":"Train ID","value":"114-20"},{"id":16,"name":"Locomotive ID","value":"4023"},{"id":130,"name":"Impact","value":""},{"id":150,"name":"Time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"%USERPROFILE%\AppData\Local\Temp\OnboardLogs"\RTDC4023\*4023*201704201*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"%USERPROFILE%\AppData\Local\Temp\OnboardLogs"\RTDC4023\*4023*201704201* &gt;&gt; 2017-04-20-SliceDisagreementCheck.txt</v>
      </c>
      <c r="AE15" s="153" t="str">
        <f t="shared" si="1"/>
        <v>start /low /b %USERPROFILE%\Documents\GitHub\eaglep3\Utilities\DownloadLogsFromS3.py --loco 4023 --day 2017-04-20</v>
      </c>
      <c r="AF15" s="1"/>
    </row>
    <row r="16" spans="1:32" x14ac:dyDescent="0.25">
      <c r="A16" s="32">
        <v>42845.325624999998</v>
      </c>
      <c r="B16" s="30" t="s">
        <v>375</v>
      </c>
      <c r="C16" s="30" t="s">
        <v>622</v>
      </c>
      <c r="D16" s="30" t="s">
        <v>49</v>
      </c>
      <c r="E16" s="30" t="s">
        <v>211</v>
      </c>
      <c r="F16" s="43">
        <v>400</v>
      </c>
      <c r="G16" s="43">
        <v>564</v>
      </c>
      <c r="H16" s="43">
        <v>14744</v>
      </c>
      <c r="I16" s="43">
        <v>17818</v>
      </c>
      <c r="J16" s="30" t="s">
        <v>212</v>
      </c>
      <c r="K16" s="43">
        <v>17867</v>
      </c>
      <c r="L16" s="139" t="s">
        <v>50</v>
      </c>
      <c r="M16" s="140">
        <f>CONVERT((I16-K16)/10000,"mi","ft")*IF(L16="Increasing Mileposts (1)",-1,1)</f>
        <v>25.872</v>
      </c>
      <c r="N16" s="141" t="str">
        <f>VLOOKUP(C16,'Trips&amp;Operators'!$C$1:$G$99999,5,FALSE)</f>
        <v>COOLAHAN JOHN</v>
      </c>
      <c r="O16" s="190" t="s">
        <v>184</v>
      </c>
      <c r="P16" s="142"/>
      <c r="Q16" s="30"/>
      <c r="R16" s="89" t="str">
        <f>IF(VLOOKUP(C16,'Train Runs'!$A$13:$AE$9932,1,1)=C16,VLOOKUP(C16,'Train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16" s="92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/stypes="*4046*201704201*" /stext=" 13:.+((SYSTEM_STATE.+slice.+state.+changed )|(ment ac)|(multiple cpu faults)|(system.+state.+changed )|(\[timeout)|(PRM\|1\|D)|(kpr)|(kdp)|(\|lc)|(penalty))"</v>
      </c>
      <c r="U16" s="9" t="str">
        <f>MID(B16,13,4)</f>
        <v>4046</v>
      </c>
      <c r="V16" s="32">
        <f>A16-utc_offset/24</f>
        <v>42845.575624999998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{"issue":{"subject":"","project_id":79,"tracker_id":40,"status_id":1,"priority_id":2,"assigned_to_id":23,"start_date":"2017-04-20","description":"","custom_fields":[{"id":1,"name":"Subdivision","value":"EC"},{"id":4,"name":"Milepost","value":"1.7867"},{"id":17,"name":"Train ID","value":"133-20"},{"id":16,"name":"Locomotive ID","value":"4046"},{"id":130,"name":"Impact","value":""},{"id":150,"name":"Time of Event (Mountain Time)","value":"07:48:54"},{"id":151,"name":"Denver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"%USERPROFILE%\AppData\Local\Temp\OnboardLogs"\RTDC4046\*4046*201704201*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16" s="153" t="str">
        <f t="shared" si="1"/>
        <v>start /low /b %USERPROFILE%\Documents\GitHub\eaglep3\Utilities\DownloadLogsFromS3.py --loco 4046 --day 2017-04-20</v>
      </c>
      <c r="AF16" s="1"/>
    </row>
    <row r="17" spans="1:32" x14ac:dyDescent="0.25">
      <c r="A17" s="32">
        <v>42845.510798611111</v>
      </c>
      <c r="B17" s="30" t="s">
        <v>414</v>
      </c>
      <c r="C17" s="30" t="s">
        <v>631</v>
      </c>
      <c r="D17" s="30" t="s">
        <v>49</v>
      </c>
      <c r="E17" s="30" t="s">
        <v>211</v>
      </c>
      <c r="F17" s="43">
        <v>300</v>
      </c>
      <c r="G17" s="43">
        <v>500</v>
      </c>
      <c r="H17" s="43">
        <v>24499</v>
      </c>
      <c r="I17" s="43">
        <v>22511</v>
      </c>
      <c r="J17" s="30" t="s">
        <v>212</v>
      </c>
      <c r="K17" s="43">
        <v>21848</v>
      </c>
      <c r="L17" s="139" t="s">
        <v>51</v>
      </c>
      <c r="M17" s="140">
        <f>CONVERT((I17-K17)/10000,"mi","ft")*IF(L17="Increasing Mileposts (1)",-1,1)</f>
        <v>350.06400000000002</v>
      </c>
      <c r="N17" s="141" t="str">
        <f>VLOOKUP(C17,'Trips&amp;Operators'!$C$1:$G$99999,5,FALSE)</f>
        <v>STARKS ANGELINA</v>
      </c>
      <c r="O17" s="190" t="s">
        <v>184</v>
      </c>
      <c r="P17" s="142"/>
      <c r="Q17" s="30"/>
      <c r="R17" s="89" t="str">
        <f>IF(VLOOKUP(C17,'Train Runs'!$A$13:$AE$9932,1,1)=C17,VLOOKUP(C17,'Train Runs'!$A$13:$AE$9932,31,1),NA())</f>
        <v>aws s3 cp s3://rtdc.mdm.uploadarchive.raw/RTDC4041/ "%USERPROFILE%\AppData\Local\Temp\OnboardLogs"\RTDC4041\2017-04-20 --exclude "*" --recursive --include "*20170420*" &amp; "%USERPROFILE%\Documents\GitHub\mrs-test-scripts\Headless Mode &amp; Sideloading\WalkAndUnGZ.bat" "%USERPROFILE%\AppData\Local\Temp\OnboardLogs"\RTDC4041\2017-04-20 &amp; aws s3 cp s3://rtdc.mdm.uploadarchive.raw/RTDC4041/ "%USERPROFILE%\AppData\Local\Temp\OnboardLogs"\RTDC4041\2017-04-21 --exclude "*" --recursive --include "*20170421*" &amp; "%USERPROFILE%\Documents\GitHub\mrs-test-scripts\Headless Mode &amp; Sideloading\WalkAndUnGZ.bat" "%USERPROFILE%\AppData\Local\Temp\OnboardLogs"\RTDC4041\2017-04-21</v>
      </c>
      <c r="S17" s="92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-04-20T10:23:21-0600',mode:absolute,to:'2017-04-20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/stypes="*4041*201704201*" /stext=" 18:.+((SYSTEM_STATE.+slice.+state.+changed )|(ment ac)|(multiple cpu faults)|(system.+state.+changed )|(\[timeout)|(PRM\|1\|D)|(kpr)|(kdp)|(\|lc)|(penalty))"</v>
      </c>
      <c r="U17" s="9" t="str">
        <f>MID(B17,13,4)</f>
        <v>4041</v>
      </c>
      <c r="V17" s="32">
        <f>A17-utc_offset/24</f>
        <v>42845.760798611111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{"issue":{"subject":"","project_id":79,"tracker_id":40,"status_id":1,"priority_id":2,"assigned_to_id":23,"start_date":"2017-04-20","description":"","custom_fields":[{"id":1,"name":"Subdivision","value":"EC"},{"id":4,"name":"Milepost","value":"2.1848"},{"id":17,"name":"Train ID","value":"158-20"},{"id":16,"name":"Locomotive ID","value":"4041"},{"id":130,"name":"Impact","value":""},{"id":150,"name":"Time of Event (Mountain Time)","value":"12:15:33"},{"id":151,"name":"Denver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"%USERPROFILE%\AppData\Local\Temp\OnboardLogs"\RTDC4041\*4041*201704201*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"%USERPROFILE%\AppData\Local\Temp\OnboardLogs"\RTDC4041\*4041*201704201* &gt;&gt; 2017-04-20-SliceDisagreementCheck.txt</v>
      </c>
      <c r="AE17" s="153" t="str">
        <f t="shared" si="1"/>
        <v>start /low /b %USERPROFILE%\Documents\GitHub\eaglep3\Utilities\DownloadLogsFromS3.py --loco 4041 --day 2017-04-20</v>
      </c>
      <c r="AF17" s="1"/>
    </row>
    <row r="18" spans="1:32" x14ac:dyDescent="0.25">
      <c r="A18" s="32">
        <v>42845.377604166664</v>
      </c>
      <c r="B18" s="30" t="s">
        <v>455</v>
      </c>
      <c r="C18" s="30" t="s">
        <v>627</v>
      </c>
      <c r="D18" s="30" t="s">
        <v>98</v>
      </c>
      <c r="E18" s="30" t="s">
        <v>211</v>
      </c>
      <c r="F18" s="43">
        <v>600</v>
      </c>
      <c r="G18" s="43">
        <v>652</v>
      </c>
      <c r="H18" s="43">
        <v>183790</v>
      </c>
      <c r="I18" s="43">
        <v>180557</v>
      </c>
      <c r="J18" s="30" t="s">
        <v>212</v>
      </c>
      <c r="K18" s="43">
        <v>190834</v>
      </c>
      <c r="L18" s="139" t="s">
        <v>51</v>
      </c>
      <c r="M18" s="140">
        <f>CONVERT((I18-K18)/10000,"mi","ft")*IF(L18="Increasing Mileposts (1)",-1,1)</f>
        <v>-5426.2560000000003</v>
      </c>
      <c r="N18" s="141" t="str">
        <f>VLOOKUP(C18,'Trips&amp;Operators'!$C$1:$G$99999,5,FALSE)</f>
        <v>GEBRETEKLE DAGNEW</v>
      </c>
      <c r="O18" s="190" t="s">
        <v>184</v>
      </c>
      <c r="P18" s="142"/>
      <c r="Q18" s="30"/>
      <c r="R18" s="89" t="str">
        <f>IF(VLOOKUP(C18,'Train Runs'!$A$13:$AE$9932,1,1)=C18,VLOOKUP(C18,'Train Runs'!$A$13:$AE$9932,31,1),NA())</f>
        <v>aws s3 cp s3://rtdc.mdm.uploadarchive.raw/RTDC4025/ "%USERPROFILE%\AppData\Local\Temp\OnboardLogs"\RTDC4025\2017-04-20 --exclude "*" --recursive --include "*20170420*" &amp; "%USERPROFILE%\Documents\GitHub\mrs-test-scripts\Headless Mode &amp; Sideloading\WalkAndUnGZ.bat" "%USERPROFILE%\AppData\Local\Temp\OnboardLogs"\RTDC4025\2017-04-20 &amp; aws s3 cp s3://rtdc.mdm.uploadarchive.raw/RTDC4025/ "%USERPROFILE%\AppData\Local\Temp\OnboardLogs"\RTDC4025\2017-04-21 --exclude "*" --recursive --include "*20170421*" &amp; "%USERPROFILE%\Documents\GitHub\mrs-test-scripts\Headless Mode &amp; Sideloading\WalkAndUnGZ.bat" "%USERPROFILE%\AppData\Local\Temp\OnboardLogs"\RTDC4025\2017-04-21</v>
      </c>
      <c r="S18" s="92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/stypes="*4025*201704201*" /stext=" 15:.+((SYSTEM_STATE.+slice.+state.+changed )|(ment ac)|(multiple cpu faults)|(system.+state.+changed )|(\[timeout)|(PRM\|1\|D)|(kpr)|(kdp)|(\|lc)|(penalty))"</v>
      </c>
      <c r="U18" s="9" t="str">
        <f>MID(B18,13,4)</f>
        <v>4025</v>
      </c>
      <c r="V18" s="32">
        <f>A18-utc_offset/24</f>
        <v>42845.627604166664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{"issue":{"subject":"","project_id":79,"tracker_id":40,"status_id":1,"priority_id":2,"assigned_to_id":23,"start_date":"2017-04-20","description":"","custom_fields":[{"id":1,"name":"Subdivision","value":"EC"},{"id":4,"name":"Milepost","value":"19.0834"},{"id":17,"name":"Train ID","value":"136-20"},{"id":16,"name":"Locomotive ID","value":"4025"},{"id":130,"name":"Impact","value":""},{"id":150,"name":"Time of Event (Mountain Time)","value":"09:03:45"},{"id":151,"name":"Denver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"%USERPROFILE%\AppData\Local\Temp\OnboardLogs"\RTDC4025\*4025*201704201*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"%USERPROFILE%\AppData\Local\Temp\OnboardLogs"\RTDC4025\*4025*201704201* &gt;&gt; 2017-04-20-SliceDisagreementCheck.txt</v>
      </c>
      <c r="AE18" s="153" t="str">
        <f t="shared" si="1"/>
        <v>start /low /b %USERPROFILE%\Documents\GitHub\eaglep3\Utilities\DownloadLogsFromS3.py --loco 4025 --day 2017-04-20</v>
      </c>
      <c r="AF18" s="1"/>
    </row>
    <row r="19" spans="1:32" x14ac:dyDescent="0.25">
      <c r="A19" s="32">
        <v>42845.249374999999</v>
      </c>
      <c r="B19" s="30" t="s">
        <v>540</v>
      </c>
      <c r="C19" s="30" t="s">
        <v>616</v>
      </c>
      <c r="D19" s="30" t="s">
        <v>98</v>
      </c>
      <c r="E19" s="30" t="s">
        <v>211</v>
      </c>
      <c r="F19" s="43">
        <v>350</v>
      </c>
      <c r="G19" s="43">
        <v>401</v>
      </c>
      <c r="H19" s="43">
        <v>224631</v>
      </c>
      <c r="I19" s="43">
        <v>223248</v>
      </c>
      <c r="J19" s="30" t="s">
        <v>212</v>
      </c>
      <c r="K19" s="43">
        <v>232080</v>
      </c>
      <c r="L19" s="139" t="s">
        <v>51</v>
      </c>
      <c r="M19" s="140">
        <f>CONVERT((I19-K19)/10000,"mi","ft")*IF(L19="Increasing Mileposts (1)",-1,1)</f>
        <v>-4663.2960000000003</v>
      </c>
      <c r="N19" s="141" t="str">
        <f>VLOOKUP(C19,'Trips&amp;Operators'!$C$1:$G$99999,5,FALSE)</f>
        <v>YORK EDGAR</v>
      </c>
      <c r="O19" s="190" t="s">
        <v>184</v>
      </c>
      <c r="P19" s="142"/>
      <c r="Q19" s="30"/>
      <c r="R19" s="89" t="str">
        <f>IF(VLOOKUP(C19,'Train Runs'!$A$13:$AE$9932,1,1)=C19,VLOOKUP(C19,'Train Runs'!$A$13:$AE$9932,31,1),NA())</f>
        <v>aws s3 cp s3://rtdc.mdm.uploadarchive.raw/RTDC4007/ "%USERPROFILE%\AppData\Local\Temp\OnboardLogs"\RTDC4007\2017-04-20 --exclude "*" --recursive --include "*20170420*" &amp; "%USERPROFILE%\Documents\GitHub\mrs-test-scripts\Headless Mode &amp; Sideloading\WalkAndUnGZ.bat" "%USERPROFILE%\AppData\Local\Temp\OnboardLogs"\RTDC4007\2017-04-20 &amp; aws s3 cp s3://rtdc.mdm.uploadarchive.raw/RTDC4007/ "%USERPROFILE%\AppData\Local\Temp\OnboardLogs"\RTDC4007\2017-04-21 --exclude "*" --recursive --include "*20170421*" &amp; "%USERPROFILE%\Documents\GitHub\mrs-test-scripts\Headless Mode &amp; Sideloading\WalkAndUnGZ.bat" "%USERPROFILE%\AppData\Local\Temp\OnboardLogs"\RTDC4007\2017-04-21</v>
      </c>
      <c r="S19" s="92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-04-20T04:36:57-0600',mode:absolute,to:'2017-04-20T07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/stypes="*4007*201704201*" /stext=" 11:.+((SYSTEM_STATE.+slice.+state.+changed )|(ment ac)|(multiple cpu faults)|(system.+state.+changed )|(\[timeout)|(PRM\|1\|D)|(kpr)|(kdp)|(\|lc)|(penalty))"</v>
      </c>
      <c r="U19" s="9" t="str">
        <f>MID(B19,13,4)</f>
        <v>4007</v>
      </c>
      <c r="V19" s="32">
        <f>A19-utc_offset/24</f>
        <v>42845.499374999999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{"issue":{"subject":"","project_id":79,"tracker_id":40,"status_id":1,"priority_id":2,"assigned_to_id":23,"start_date":"2017-04-20","description":"","custom_fields":[{"id":1,"name":"Subdivision","value":"EC"},{"id":4,"name":"Milepost","value":"23.208"},{"id":17,"name":"Train ID","value":"112-20"},{"id":16,"name":"Locomotive ID","value":"4007"},{"id":130,"name":"Impact","value":""},{"id":150,"name":"Time of Event (Mountain Time)","value":"05:59:06"},{"id":151,"name":"Denver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"%USERPROFILE%\AppData\Local\Temp\OnboardLogs"\RTDC4007\*4007*201704201*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"%USERPROFILE%\AppData\Local\Temp\OnboardLogs"\RTDC4007\*4007*201704201* &gt;&gt; 2017-04-20-SliceDisagreementCheck.txt</v>
      </c>
      <c r="AE19" s="153" t="str">
        <f t="shared" si="1"/>
        <v>start /low /b %USERPROFILE%\Documents\GitHub\eaglep3\Utilities\DownloadLogsFromS3.py --loco 4007 --day 2017-04-20</v>
      </c>
      <c r="AF19" s="1"/>
    </row>
    <row r="20" spans="1:32" x14ac:dyDescent="0.25">
      <c r="A20" s="32">
        <v>42845.311620370368</v>
      </c>
      <c r="B20" s="30" t="s">
        <v>417</v>
      </c>
      <c r="C20" s="30" t="s">
        <v>620</v>
      </c>
      <c r="D20" s="30" t="s">
        <v>49</v>
      </c>
      <c r="E20" s="30" t="s">
        <v>484</v>
      </c>
      <c r="F20" s="43">
        <v>0</v>
      </c>
      <c r="G20" s="43">
        <v>345</v>
      </c>
      <c r="H20" s="43">
        <v>63506</v>
      </c>
      <c r="I20" s="43">
        <v>64222</v>
      </c>
      <c r="J20" s="30" t="s">
        <v>485</v>
      </c>
      <c r="K20" s="43">
        <v>63995</v>
      </c>
      <c r="L20" s="139" t="s">
        <v>50</v>
      </c>
      <c r="M20" s="140">
        <f>CONVERT((I20-K20)/10000,"mi","ft")*IF(L20="Increasing Mileposts (1)",-1,1)</f>
        <v>-119.85599999999999</v>
      </c>
      <c r="N20" s="141" t="str">
        <f>VLOOKUP(C20,'Trips&amp;Operators'!$C$1:$G$99999,5,FALSE)</f>
        <v>STARKS ANGELINA</v>
      </c>
      <c r="O20" s="190" t="s">
        <v>457</v>
      </c>
      <c r="P20" s="142" t="s">
        <v>611</v>
      </c>
      <c r="Q20" s="30"/>
      <c r="R20" s="89" t="str">
        <f>IF(VLOOKUP(C20,'Train Runs'!$A$13:$AE$9932,1,1)=C20,VLOOKUP(C20,'Train Runs'!$A$13:$AE$9932,31,1),NA())</f>
        <v>aws s3 cp s3://rtdc.mdm.uploadarchive.raw/RTDC4042/ "%USERPROFILE%\AppData\Local\Temp\OnboardLogs"\RTDC4042\2017-04-20 --exclude "*" --recursive --include "*20170420*" &amp; "%USERPROFILE%\Documents\GitHub\mrs-test-scripts\Headless Mode &amp; Sideloading\WalkAndUnGZ.bat" "%USERPROFILE%\AppData\Local\Temp\OnboardLogs"\RTDC4042\2017-04-20 &amp; aws s3 cp s3://rtdc.mdm.uploadarchive.raw/RTDC4042/ "%USERPROFILE%\AppData\Local\Temp\OnboardLogs"\RTDC4042\2017-04-21 --exclude "*" --recursive --include "*20170421*" &amp; "%USERPROFILE%\Documents\GitHub\mrs-test-scripts\Headless Mode &amp; Sideloading\WalkAndUnGZ.bat" "%USERPROFILE%\AppData\Local\Temp\OnboardLogs"\RTDC4042\2017-04-21</v>
      </c>
      <c r="S20" s="92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-04-20T06:08:38-0600',mode:absolute,to:'2017-04-20T08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/stypes="*4042*201704201*" /stext=" 13:.+((SYSTEM_STATE.+slice.+state.+changed )|(ment ac)|(multiple cpu faults)|(system.+state.+changed )|(\[timeout)|(PRM\|1\|D)|(kpr)|(kdp)|(\|lc)|(penalty))"</v>
      </c>
      <c r="U20" s="9" t="str">
        <f>MID(B20,13,4)</f>
        <v>4042</v>
      </c>
      <c r="V20" s="32">
        <f>A20-utc_offset/24</f>
        <v>42845.561620370368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drop","project_id":79,"tracker_id":40,"status_id":1,"priority_id":2,"assigned_to_id":23,"start_date":"2017-04-20","description":"","custom_fields":[{"id":1,"name":"Subdivision","value":"EC"},{"id":4,"name":"Milepost","value":"6.3995"},{"id":17,"name":"Train ID","value":"129-20"},{"id":16,"name":"Locomotive ID","value":"4042"},{"id":130,"name":"Impact","value":""},{"id":150,"name":"Time of Event (Mountain Time)","value":"07:28:44"},{"id":151,"name":"Denver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"%USERPROFILE%\AppData\Local\Temp\OnboardLogs"\RTDC4042\*4042*201704201*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"%USERPROFILE%\AppData\Local\Temp\OnboardLogs"\RTDC4042\*4042*201704201* &gt;&gt; 2017-04-20-SliceDisagreementCheck.txt</v>
      </c>
      <c r="AE20" s="153" t="str">
        <f t="shared" si="1"/>
        <v>start /low /b %USERPROFILE%\Documents\GitHub\eaglep3\Utilities\DownloadLogsFromS3.py --loco 4042 --day 2017-04-20</v>
      </c>
      <c r="AF20" s="1"/>
    </row>
    <row r="21" spans="1:32" x14ac:dyDescent="0.25">
      <c r="A21" s="32">
        <v>42845.672997685186</v>
      </c>
      <c r="B21" s="30" t="s">
        <v>543</v>
      </c>
      <c r="C21" s="30" t="s">
        <v>635</v>
      </c>
      <c r="D21" s="30" t="s">
        <v>98</v>
      </c>
      <c r="E21" s="30" t="s">
        <v>484</v>
      </c>
      <c r="F21" s="43">
        <v>200</v>
      </c>
      <c r="G21" s="43">
        <v>256</v>
      </c>
      <c r="H21" s="43">
        <v>154992</v>
      </c>
      <c r="I21" s="43">
        <v>155785</v>
      </c>
      <c r="J21" s="30" t="s">
        <v>485</v>
      </c>
      <c r="K21" s="43">
        <v>149694</v>
      </c>
      <c r="L21" s="139" t="s">
        <v>50</v>
      </c>
      <c r="M21" s="140">
        <f>CONVERT((I21-K21)/10000,"mi","ft")*IF(L21="Increasing Mileposts (1)",-1,1)</f>
        <v>-3216.0479999999998</v>
      </c>
      <c r="N21" s="141" t="str">
        <f>VLOOKUP(C21,'Trips&amp;Operators'!$C$1:$G$99999,5,FALSE)</f>
        <v>LOPES KIMBERLY</v>
      </c>
      <c r="O21" s="190" t="s">
        <v>184</v>
      </c>
      <c r="P21" s="142" t="s">
        <v>1024</v>
      </c>
      <c r="Q21" s="30"/>
      <c r="R21" s="89" t="str">
        <f>IF(VLOOKUP(C21,'Train Runs'!$A$13:$AE$9932,1,1)=C21,VLOOKUP(C21,'Train Runs'!$A$13:$AE$9932,31,1),NA())</f>
        <v>aws s3 cp s3://rtdc.mdm.uploadarchive.raw/RTDC4008/ "%USERPROFILE%\AppData\Local\Temp\OnboardLogs"\RTDC4008\2017-04-20 --exclude "*" --recursive --include "*20170420*" &amp; "%USERPROFILE%\Documents\GitHub\mrs-test-scripts\Headless Mode &amp; Sideloading\WalkAndUnGZ.bat" "%USERPROFILE%\AppData\Local\Temp\OnboardLogs"\RTDC4008\2017-04-20 &amp; aws s3 cp s3://rtdc.mdm.uploadarchive.raw/RTDC4008/ "%USERPROFILE%\AppData\Local\Temp\OnboardLogs"\RTDC4008\2017-04-21 --exclude "*" --recursive --include "*20170421*" &amp; "%USERPROFILE%\Documents\GitHub\mrs-test-scripts\Headless Mode &amp; Sideloading\WalkAndUnGZ.bat" "%USERPROFILE%\AppData\Local\Temp\OnboardLogs"\RTDC4008\2017-04-21</v>
      </c>
      <c r="S21" s="92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-04-20T15:02:03-0600',mode:absolute,to:'2017-04-20T17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/stypes="*4008*201704202*" /stext=" 22:.+((SYSTEM_STATE.+slice.+state.+changed )|(ment ac)|(multiple cpu faults)|(system.+state.+changed )|(\[timeout)|(PRM\|1\|D)|(kpr)|(kdp)|(\|lc)|(penalty))"</v>
      </c>
      <c r="U21" s="9" t="str">
        <f>MID(B21,13,4)</f>
        <v>4008</v>
      </c>
      <c r="V21" s="32">
        <f>A21-utc_offset/24</f>
        <v>42845.922997685186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-04-20","description":"","custom_fields":[{"id":1,"name":"Subdivision","value":"EC"},{"id":4,"name":"Milepost","value":"14.9694"},{"id":17,"name":"Train ID","value":"195-20"},{"id":16,"name":"Locomotive ID","value":"4008"},{"id":130,"name":"Impact","value":""},{"id":150,"name":"Time of Event (Mountain Time)","value":"16:09:07"},{"id":151,"name":"Denver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"%USERPROFILE%\AppData\Local\Temp\OnboardLogs"\RTDC4008\*4008*201704202*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"%USERPROFILE%\AppData\Local\Temp\OnboardLogs"\RTDC4008\*4008*201704202* &gt;&gt; 2017-04-20-SliceDisagreementCheck.txt</v>
      </c>
      <c r="AE21" s="153" t="str">
        <f t="shared" si="1"/>
        <v>start /low /b %USERPROFILE%\Documents\GitHub\eaglep3\Utilities\DownloadLogsFromS3.py --loco 4008 --day 2017-04-20</v>
      </c>
      <c r="AF21" s="1"/>
    </row>
    <row r="22" spans="1:32" x14ac:dyDescent="0.25">
      <c r="A22" s="32">
        <v>42845.564120370371</v>
      </c>
      <c r="B22" s="30" t="s">
        <v>375</v>
      </c>
      <c r="C22" s="30" t="s">
        <v>632</v>
      </c>
      <c r="D22" s="30" t="s">
        <v>49</v>
      </c>
      <c r="E22" s="30" t="s">
        <v>470</v>
      </c>
      <c r="F22" s="43">
        <v>0</v>
      </c>
      <c r="G22" s="43">
        <v>789</v>
      </c>
      <c r="H22" s="43">
        <v>212489</v>
      </c>
      <c r="I22" s="43">
        <v>216793</v>
      </c>
      <c r="J22" s="30" t="s">
        <v>471</v>
      </c>
      <c r="K22" s="43">
        <v>217106</v>
      </c>
      <c r="L22" s="139" t="s">
        <v>50</v>
      </c>
      <c r="M22" s="140">
        <f>CONVERT((I22-K22)/10000,"mi","ft")*IF(L22="Increasing Mileposts (1)",-1,1)</f>
        <v>165.26400000000001</v>
      </c>
      <c r="N22" s="141" t="str">
        <f>VLOOKUP(C22,'Trips&amp;Operators'!$C$1:$G$99999,5,FALSE)</f>
        <v>ARVIDSON DANIEL</v>
      </c>
      <c r="O22" s="190" t="s">
        <v>457</v>
      </c>
      <c r="P22" s="142" t="s">
        <v>611</v>
      </c>
      <c r="Q22" s="30"/>
      <c r="R22" s="89" t="str">
        <f>IF(VLOOKUP(C22,'Train Runs'!$A$13:$AE$9932,1,1)=C22,VLOOKUP(C22,'Train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2" s="92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-04-20T11:55:53-0600',mode:absolute,to:'2017-04-20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/stypes="*4046*201704201*" /stext=" 19:.+((SYSTEM_STATE.+slice.+state.+changed )|(ment ac)|(multiple cpu faults)|(system.+state.+changed )|(\[timeout)|(PRM\|1\|D)|(kpr)|(kdp)|(\|lc)|(penalty))"</v>
      </c>
      <c r="U22" s="9" t="str">
        <f>MID(B22,13,4)</f>
        <v>4046</v>
      </c>
      <c r="V22" s="32">
        <f>A22-utc_offset/24</f>
        <v>42845.814120370371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-20","description":"http://stevetu21.github.io/eaglep3/load_kml.html?kml=http://rtdc.gmaps-snips.s3.amazonaws.com/4dabe3fb-8881-4932-b4c5-7a2f8f1af759.kml","custom_fields":[{"id":1,"name":"Subdivision","value":"EC"},{"id":4,"name":"Milepost","value":"21.7106"},{"id":17,"name":"Train ID","value":"175-20"},{"id":16,"name":"Locomotive ID","value":"4046"},{"id":130,"name":"Impact","value":"Enforcement"},{"id":150,"name":"Time of Event (Mountain Time)","value":"13:32:20"},{"id":151,"name":"Denver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1025</v>
      </c>
      <c r="AA22" s="48" t="s">
        <v>124</v>
      </c>
      <c r="AB22" s="48" t="s">
        <v>137</v>
      </c>
      <c r="AC22" s="123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"%USERPROFILE%\AppData\Local\Temp\OnboardLogs"\RTDC4046\*4046*201704201*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2" s="153" t="str">
        <f t="shared" si="1"/>
        <v>start /low /b %USERPROFILE%\Documents\GitHub\eaglep3\Utilities\DownloadLogsFromS3.py --loco 4046 --day 2017-04-20</v>
      </c>
      <c r="AF22" s="1"/>
    </row>
    <row r="23" spans="1:32" x14ac:dyDescent="0.25">
      <c r="A23" s="32">
        <v>42845.315787037034</v>
      </c>
      <c r="B23" s="30" t="s">
        <v>408</v>
      </c>
      <c r="C23" s="30" t="s">
        <v>621</v>
      </c>
      <c r="D23" s="30" t="s">
        <v>49</v>
      </c>
      <c r="E23" s="30" t="s">
        <v>185</v>
      </c>
      <c r="F23" s="43">
        <v>0</v>
      </c>
      <c r="G23" s="43">
        <v>71</v>
      </c>
      <c r="H23" s="43">
        <v>172</v>
      </c>
      <c r="I23" s="43">
        <v>121</v>
      </c>
      <c r="J23" s="30" t="s">
        <v>186</v>
      </c>
      <c r="K23" s="43">
        <v>1</v>
      </c>
      <c r="L23" s="139" t="s">
        <v>51</v>
      </c>
      <c r="M23" s="140">
        <f>CONVERT((I23-K23)/10000,"mi","ft")*IF(L23="Increasing Mileposts (1)",-1,1)</f>
        <v>63.36</v>
      </c>
      <c r="N23" s="141" t="str">
        <f>VLOOKUP(C23,'Trips&amp;Operators'!$C$1:$G$99999,5,FALSE)</f>
        <v>COOLAHAN JOHN</v>
      </c>
      <c r="O23" s="190" t="s">
        <v>184</v>
      </c>
      <c r="P23" s="142"/>
      <c r="Q23" s="30"/>
      <c r="R23" s="89" t="str">
        <f>IF(VLOOKUP(C23,'Train Runs'!$A$13:$AE$9932,1,1)=C23,VLOOKUP(C23,'Train Runs'!$A$13:$AE$9932,31,1),NA())</f>
        <v>aws s3 cp s3://rtdc.mdm.uploadarchive.raw/RTDC4045/ "%USERPROFILE%\AppData\Local\Temp\OnboardLogs"\RTDC4045\2017-04-20 --exclude "*" --recursive --include "*20170420*" &amp; "%USERPROFILE%\Documents\GitHub\mrs-test-scripts\Headless Mode &amp; Sideloading\WalkAndUnGZ.bat" "%USERPROFILE%\AppData\Local\Temp\OnboardLogs"\RTDC4045\2017-04-20 &amp; aws s3 cp s3://rtdc.mdm.uploadarchive.raw/RTDC4045/ "%USERPROFILE%\AppData\Local\Temp\OnboardLogs"\RTDC4045\2017-04-21 --exclude "*" --recursive --include "*20170421*" &amp; "%USERPROFILE%\Documents\GitHub\mrs-test-scripts\Headless Mode &amp; Sideloading\WalkAndUnGZ.bat" "%USERPROFILE%\AppData\Local\Temp\OnboardLogs"\RTDC4045\2017-04-21</v>
      </c>
      <c r="S23" s="92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-04-20T05:51:16-0600',mode:absolute,to:'2017-04-20T08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/stypes="*4045*201704201*" /stext=" 13:.+((SYSTEM_STATE.+slice.+state.+changed )|(ment ac)|(multiple cpu faults)|(system.+state.+changed )|(\[timeout)|(PRM\|1\|D)|(kpr)|(kdp)|(\|lc)|(penalty))"</v>
      </c>
      <c r="U23" s="9" t="str">
        <f>MID(B23,13,4)</f>
        <v>4045</v>
      </c>
      <c r="V23" s="32">
        <f>A23-utc_offset/24</f>
        <v>42845.565787037034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ID","value":"120-20"},{"id":16,"name":"Locomotive ID","value":"4045"},{"id":130,"name":"Impact","value":""},{"id":150,"name":"Time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"%USERPROFILE%\AppData\Local\Temp\OnboardLogs"\RTDC4045\*4045*201704201*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"%USERPROFILE%\AppData\Local\Temp\OnboardLogs"\RTDC4045\*4045*201704201* &gt;&gt; 2017-04-20-SliceDisagreementCheck.txt</v>
      </c>
      <c r="AE23" s="153" t="str">
        <f t="shared" si="1"/>
        <v>start /low /b %USERPROFILE%\Documents\GitHub\eaglep3\Utilities\DownloadLogsFromS3.py --loco 4045 --day 2017-04-20</v>
      </c>
      <c r="AF23" s="1"/>
    </row>
    <row r="24" spans="1:32" x14ac:dyDescent="0.25">
      <c r="A24" s="32">
        <v>42845.723645833335</v>
      </c>
      <c r="B24" s="30" t="s">
        <v>474</v>
      </c>
      <c r="C24" s="30" t="s">
        <v>638</v>
      </c>
      <c r="D24" s="30" t="s">
        <v>49</v>
      </c>
      <c r="E24" s="30" t="s">
        <v>185</v>
      </c>
      <c r="F24" s="43">
        <v>0</v>
      </c>
      <c r="G24" s="43">
        <v>77</v>
      </c>
      <c r="H24" s="43">
        <v>269</v>
      </c>
      <c r="I24" s="43">
        <v>192</v>
      </c>
      <c r="J24" s="30" t="s">
        <v>186</v>
      </c>
      <c r="K24" s="43">
        <v>1</v>
      </c>
      <c r="L24" s="139" t="s">
        <v>51</v>
      </c>
      <c r="M24" s="140">
        <f>CONVERT((I24-K24)/10000,"mi","ft")*IF(L24="Increasing Mileposts (1)",-1,1)</f>
        <v>100.848</v>
      </c>
      <c r="N24" s="141" t="str">
        <f>VLOOKUP(C24,'Trips&amp;Operators'!$C$1:$G$99999,5,FALSE)</f>
        <v>HELVIE ADAM</v>
      </c>
      <c r="O24" s="190" t="s">
        <v>184</v>
      </c>
      <c r="P24" s="142"/>
      <c r="Q24" s="30"/>
      <c r="R24" s="89" t="str">
        <f>IF(VLOOKUP(C24,'Train Runs'!$A$13:$AE$9932,1,1)=C24,VLOOKUP(C24,'Train Runs'!$A$13:$AE$9932,31,1),NA())</f>
        <v>aws s3 cp s3://rtdc.mdm.uploadarchive.raw/RTDC4023/ "%USERPROFILE%\AppData\Local\Temp\OnboardLogs"\RTDC4023\2017-04-20 --exclude "*" --recursive --include "*20170420*" &amp; "%USERPROFILE%\Documents\GitHub\mrs-test-scripts\Headless Mode &amp; Sideloading\WalkAndUnGZ.bat" "%USERPROFILE%\AppData\Local\Temp\OnboardLogs"\RTDC4023\2017-04-20 &amp; aws s3 cp s3://rtdc.mdm.uploadarchive.raw/RTDC4023/ "%USERPROFILE%\AppData\Local\Temp\OnboardLogs"\RTDC4023\2017-04-21 --exclude "*" --recursive --include "*20170421*" &amp; "%USERPROFILE%\Documents\GitHub\mrs-test-scripts\Headless Mode &amp; Sideloading\WalkAndUnGZ.bat" "%USERPROFILE%\AppData\Local\Temp\OnboardLogs"\RTDC4023\2017-04-21</v>
      </c>
      <c r="S24" s="92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-04-20T15:37:52-0600',mode:absolute,to:'2017-04-20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/stypes="*4023*201704202*" /stext=" 23:.+((SYSTEM_STATE.+slice.+state.+changed )|(ment ac)|(multiple cpu faults)|(system.+state.+changed )|(\[timeout)|(PRM\|1\|D)|(kpr)|(kdp)|(\|lc)|(penalty))"</v>
      </c>
      <c r="U24" s="9" t="str">
        <f>MID(B24,13,4)</f>
        <v>4023</v>
      </c>
      <c r="V24" s="32">
        <f>A24-utc_offset/24</f>
        <v>42845.973645833335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{"issue":{"subject":"","project_id":79,"tracker_id":40,"status_id":1,"priority_id":2,"assigned_to_id":23,"start_date":"2017-04-20","description":"","custom_fields":[{"id":1,"name":"Subdivision","value":"EC"},{"id":4,"name":"Milepost","value":"0.0001"},{"id":17,"name":"Train ID","value":"198-20"},{"id":16,"name":"Locomotive ID","value":"4023"},{"id":130,"name":"Impact","value":""},{"id":150,"name":"Time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"%USERPROFILE%\AppData\Local\Temp\OnboardLogs"\RTDC4023\*4023*201704202*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"%USERPROFILE%\AppData\Local\Temp\OnboardLogs"\RTDC4023\*4023*201704202* &gt;&gt; 2017-04-20-SliceDisagreementCheck.txt</v>
      </c>
      <c r="AE24" s="153" t="str">
        <f t="shared" si="1"/>
        <v>start /low /b %USERPROFILE%\Documents\GitHub\eaglep3\Utilities\DownloadLogsFromS3.py --loco 4023 --day 2017-04-20</v>
      </c>
      <c r="AF24" s="1"/>
    </row>
    <row r="25" spans="1:32" x14ac:dyDescent="0.25">
      <c r="A25" s="32">
        <v>42845.295277777775</v>
      </c>
      <c r="B25" s="30" t="s">
        <v>438</v>
      </c>
      <c r="C25" s="30" t="s">
        <v>619</v>
      </c>
      <c r="D25" s="30" t="s">
        <v>49</v>
      </c>
      <c r="E25" s="30" t="s">
        <v>185</v>
      </c>
      <c r="F25" s="43">
        <v>0</v>
      </c>
      <c r="G25" s="43">
        <v>91</v>
      </c>
      <c r="H25" s="43">
        <v>233120</v>
      </c>
      <c r="I25" s="43">
        <v>233218</v>
      </c>
      <c r="J25" s="30" t="s">
        <v>186</v>
      </c>
      <c r="K25" s="43">
        <v>233491</v>
      </c>
      <c r="L25" s="139" t="s">
        <v>50</v>
      </c>
      <c r="M25" s="140">
        <f>CONVERT((I25-K25)/10000,"mi","ft")*IF(L25="Increasing Mileposts (1)",-1,1)</f>
        <v>144.14400000000001</v>
      </c>
      <c r="N25" s="141" t="str">
        <f>VLOOKUP(C25,'Trips&amp;Operators'!$C$1:$G$99999,5,FALSE)</f>
        <v>ROCHA YAOTL</v>
      </c>
      <c r="O25" s="190" t="s">
        <v>184</v>
      </c>
      <c r="P25" s="142"/>
      <c r="Q25" s="30"/>
      <c r="R25" s="89" t="str">
        <f>IF(VLOOKUP(C25,'Train Runs'!$A$13:$AE$9932,1,1)=C25,VLOOKUP(C25,'Train Runs'!$A$13:$AE$9932,31,1),NA())</f>
        <v>aws s3 cp s3://rtdc.mdm.uploadarchive.raw/RTDC4054/ "%USERPROFILE%\AppData\Local\Temp\OnboardLogs"\RTDC4054\2017-04-20 --exclude "*" --recursive --include "*20170420*" &amp; "%USERPROFILE%\Documents\GitHub\mrs-test-scripts\Headless Mode &amp; Sideloading\WalkAndUnGZ.bat" "%USERPROFILE%\AppData\Local\Temp\OnboardLogs"\RTDC4054\2017-04-20 &amp; aws s3 cp s3://rtdc.mdm.uploadarchive.raw/RTDC4054/ "%USERPROFILE%\AppData\Local\Temp\OnboardLogs"\RTDC4054\2017-04-21 --exclude "*" --recursive --include "*20170421*" &amp; "%USERPROFILE%\Documents\GitHub\mrs-test-scripts\Headless Mode &amp; Sideloading\WalkAndUnGZ.bat" "%USERPROFILE%\AppData\Local\Temp\OnboardLogs"\RTDC4054\2017-04-21</v>
      </c>
      <c r="S25" s="92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-04-20T05:18:44-0600',mode:absolute,to:'2017-04-20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/stypes="*4054*201704201*" /stext=" 13:.+((SYSTEM_STATE.+slice.+state.+changed )|(ment ac)|(multiple cpu faults)|(system.+state.+changed )|(\[timeout)|(PRM\|1\|D)|(kpr)|(kdp)|(\|lc)|(penalty))"</v>
      </c>
      <c r="U25" s="9" t="str">
        <f>MID(B25,13,4)</f>
        <v>4054</v>
      </c>
      <c r="V25" s="32">
        <f>A25-utc_offset/24</f>
        <v>42845.545277777775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ID","value":"123-20"},{"id":16,"name":"Locomotive ID","value":"4054"},{"id":130,"name":"Impact","value":""},{"id":150,"name":"Time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"%USERPROFILE%\AppData\Local\Temp\OnboardLogs"\RTDC4054\*4054*201704201*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"%USERPROFILE%\AppData\Local\Temp\OnboardLogs"\RTDC4054\*4054*201704201* &gt;&gt; 2017-04-20-SliceDisagreementCheck.txt</v>
      </c>
      <c r="AE25" s="153" t="str">
        <f t="shared" si="1"/>
        <v>start /low /b %USERPROFILE%\Documents\GitHub\eaglep3\Utilities\DownloadLogsFromS3.py --loco 4054 --day 2017-04-20</v>
      </c>
      <c r="AF25" s="1"/>
    </row>
    <row r="26" spans="1:32" x14ac:dyDescent="0.25">
      <c r="A26" s="32">
        <v>42845.337384259263</v>
      </c>
      <c r="B26" s="30" t="s">
        <v>624</v>
      </c>
      <c r="C26" s="30" t="s">
        <v>625</v>
      </c>
      <c r="D26" s="30" t="s">
        <v>49</v>
      </c>
      <c r="E26" s="30" t="s">
        <v>185</v>
      </c>
      <c r="F26" s="43">
        <v>0</v>
      </c>
      <c r="G26" s="43">
        <v>128</v>
      </c>
      <c r="H26" s="43">
        <v>232952</v>
      </c>
      <c r="I26" s="43">
        <v>233090</v>
      </c>
      <c r="J26" s="30" t="s">
        <v>186</v>
      </c>
      <c r="K26" s="43">
        <v>233491</v>
      </c>
      <c r="L26" s="139" t="s">
        <v>50</v>
      </c>
      <c r="M26" s="140">
        <f>CONVERT((I26-K26)/10000,"mi","ft")*IF(L26="Increasing Mileposts (1)",-1,1)</f>
        <v>211.72800000000001</v>
      </c>
      <c r="N26" s="141" t="str">
        <f>VLOOKUP(C26,'Trips&amp;Operators'!$C$1:$G$99999,5,FALSE)</f>
        <v>YANAI IAN</v>
      </c>
      <c r="O26" s="190" t="s">
        <v>184</v>
      </c>
      <c r="P26" s="142"/>
      <c r="Q26" s="30"/>
      <c r="R26" s="89" t="str">
        <f>IF(VLOOKUP(C26,'Train Runs'!$A$13:$AE$9932,1,1)=C26,VLOOKUP(C26,'Train Runs'!$A$13:$AE$9932,31,1),NA())</f>
        <v>aws s3 cp s3://rtdc.mdm.uploadarchive.raw/RTDC4002/ "%USERPROFILE%\AppData\Local\Temp\OnboardLogs"\RTDC4002\2017-04-20 --exclude "*" --recursive --include "*20170420*" &amp; "%USERPROFILE%\Documents\GitHub\mrs-test-scripts\Headless Mode &amp; Sideloading\WalkAndUnGZ.bat" "%USERPROFILE%\AppData\Local\Temp\OnboardLogs"\RTDC4002\2017-04-20 &amp; aws s3 cp s3://rtdc.mdm.uploadarchive.raw/RTDC4002/ "%USERPROFILE%\AppData\Local\Temp\OnboardLogs"\RTDC4002\2017-04-21 --exclude "*" --recursive --include "*20170421*" &amp; "%USERPROFILE%\Documents\GitHub\mrs-test-scripts\Headless Mode &amp; Sideloading\WalkAndUnGZ.bat" "%USERPROFILE%\AppData\Local\Temp\OnboardLogs"\RTDC4002\2017-04-21</v>
      </c>
      <c r="S26" s="92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-04-20T06:23:28-0600',mode:absolute,to:'2017-04-20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/stypes="*4002*201704201*" /stext=" 14:.+((SYSTEM_STATE.+slice.+state.+changed )|(ment ac)|(multiple cpu faults)|(system.+state.+changed )|(\[timeout)|(PRM\|1\|D)|(kpr)|(kdp)|(\|lc)|(penalty))"</v>
      </c>
      <c r="U26" s="9" t="str">
        <f>MID(B26,13,4)</f>
        <v>4002</v>
      </c>
      <c r="V26" s="32">
        <f>A26-utc_offset/24</f>
        <v>42845.587384259263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ID","value":"131-20"},{"id":16,"name":"Locomotive ID","value":"4002"},{"id":130,"name":"Impact","value":""},{"id":150,"name":"Time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"%USERPROFILE%\AppData\Local\Temp\OnboardLogs"\RTDC4002\*4002*201704201*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"%USERPROFILE%\AppData\Local\Temp\OnboardLogs"\RTDC4002\*4002*201704201* &gt;&gt; 2017-04-20-SliceDisagreementCheck.txt</v>
      </c>
      <c r="AE26" s="153" t="str">
        <f t="shared" si="1"/>
        <v>start /low /b %USERPROFILE%\Documents\GitHub\eaglep3\Utilities\DownloadLogsFromS3.py --loco 4002 --day 2017-04-20</v>
      </c>
      <c r="AF26" s="1"/>
    </row>
    <row r="27" spans="1:32" x14ac:dyDescent="0.25">
      <c r="A27" s="32">
        <v>42845.347997685189</v>
      </c>
      <c r="B27" s="30" t="s">
        <v>375</v>
      </c>
      <c r="C27" s="30" t="s">
        <v>622</v>
      </c>
      <c r="D27" s="30" t="s">
        <v>49</v>
      </c>
      <c r="E27" s="30" t="s">
        <v>185</v>
      </c>
      <c r="F27" s="43">
        <v>0</v>
      </c>
      <c r="G27" s="43">
        <v>64</v>
      </c>
      <c r="H27" s="43">
        <v>233255</v>
      </c>
      <c r="I27" s="43">
        <v>233325</v>
      </c>
      <c r="J27" s="30" t="s">
        <v>186</v>
      </c>
      <c r="K27" s="43">
        <v>233491</v>
      </c>
      <c r="L27" s="139" t="s">
        <v>50</v>
      </c>
      <c r="M27" s="140">
        <f>CONVERT((I27-K27)/10000,"mi","ft")*IF(L27="Increasing Mileposts (1)",-1,1)</f>
        <v>87.647999999999996</v>
      </c>
      <c r="N27" s="141" t="str">
        <f>VLOOKUP(C27,'Trips&amp;Operators'!$C$1:$G$99999,5,FALSE)</f>
        <v>COOLAHAN JOHN</v>
      </c>
      <c r="O27" s="190" t="s">
        <v>184</v>
      </c>
      <c r="P27" s="142"/>
      <c r="Q27" s="30"/>
      <c r="R27" s="89" t="str">
        <f>IF(VLOOKUP(C27,'Train Runs'!$A$13:$AE$9932,1,1)=C27,VLOOKUP(C27,'Train Runs'!$A$13:$AE$9932,31,1),NA())</f>
        <v>aws s3 cp s3://rtdc.mdm.uploadarchive.raw/RTDC4046/ "%USERPROFILE%\AppData\Local\Temp\OnboardLogs"\RTDC4046\2017-04-20 --exclude "*" --recursive --include "*20170420*" &amp; "%USERPROFILE%\Documents\GitHub\mrs-test-scripts\Headless Mode &amp; Sideloading\WalkAndUnGZ.bat" "%USERPROFILE%\AppData\Local\Temp\OnboardLogs"\RTDC4046\2017-04-20 &amp; aws s3 cp s3://rtdc.mdm.uploadarchive.raw/RTDC4046/ "%USERPROFILE%\AppData\Local\Temp\OnboardLogs"\RTDC4046\2017-04-21 --exclude "*" --recursive --include "*20170421*" &amp; "%USERPROFILE%\Documents\GitHub\mrs-test-scripts\Headless Mode &amp; Sideloading\WalkAndUnGZ.bat" "%USERPROFILE%\AppData\Local\Temp\OnboardLogs"\RTDC4046\2017-04-21</v>
      </c>
      <c r="S27" s="92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-04-20T06:39:36-0600',mode:absolute,to:'2017-04-20T09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/stypes="*4046*201704201*" /stext=" 14:.+((SYSTEM_STATE.+slice.+state.+changed )|(ment ac)|(multiple cpu faults)|(system.+state.+changed )|(\[timeout)|(PRM\|1\|D)|(kpr)|(kdp)|(\|lc)|(penalty))"</v>
      </c>
      <c r="U27" s="9" t="str">
        <f>MID(B27,13,4)</f>
        <v>4046</v>
      </c>
      <c r="V27" s="32">
        <f>A27-utc_offset/24</f>
        <v>42845.597997685189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ID","value":"133-20"},{"id":16,"name":"Locomotive ID","value":"4046"},{"id":130,"name":"Impact","value":""},{"id":150,"name":"Time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"%USERPROFILE%\AppData\Local\Temp\OnboardLogs"\RTDC4046\*4046*201704201*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"%USERPROFILE%\AppData\Local\Temp\OnboardLogs"\RTDC4046\*4046*201704201* &gt;&gt; 2017-04-20-SliceDisagreementCheck.txt</v>
      </c>
      <c r="AE27" s="153" t="str">
        <f t="shared" si="1"/>
        <v>start /low /b %USERPROFILE%\Documents\GitHub\eaglep3\Utilities\DownloadLogsFromS3.py --loco 4046 --day 2017-04-20</v>
      </c>
      <c r="AF27" s="1"/>
    </row>
    <row r="28" spans="1:32" x14ac:dyDescent="0.25">
      <c r="A28" s="32">
        <v>42845.786793981482</v>
      </c>
      <c r="B28" s="30" t="s">
        <v>371</v>
      </c>
      <c r="C28" s="30" t="s">
        <v>645</v>
      </c>
      <c r="D28" s="30" t="s">
        <v>49</v>
      </c>
      <c r="E28" s="30" t="s">
        <v>185</v>
      </c>
      <c r="F28" s="43">
        <v>0</v>
      </c>
      <c r="G28" s="43">
        <v>63</v>
      </c>
      <c r="H28" s="43">
        <v>233244</v>
      </c>
      <c r="I28" s="43">
        <v>233315</v>
      </c>
      <c r="J28" s="30" t="s">
        <v>186</v>
      </c>
      <c r="K28" s="43">
        <v>233491</v>
      </c>
      <c r="L28" s="139" t="s">
        <v>50</v>
      </c>
      <c r="M28" s="140">
        <f>CONVERT((I28-K28)/10000,"mi","ft")*IF(L28="Increasing Mileposts (1)",-1,1)</f>
        <v>92.927999999999997</v>
      </c>
      <c r="N28" s="141" t="str">
        <f>VLOOKUP(C28,'Trips&amp;Operators'!$C$1:$G$99999,5,FALSE)</f>
        <v>BROWN JACOB</v>
      </c>
      <c r="O28" s="190" t="s">
        <v>184</v>
      </c>
      <c r="P28" s="142"/>
      <c r="Q28" s="30"/>
      <c r="R28" s="89" t="str">
        <f>IF(VLOOKUP(C28,'Train Runs'!$A$13:$AE$9932,1,1)=C28,VLOOKUP(C28,'Train Runs'!$A$13:$AE$9932,31,1),NA())</f>
        <v>aws s3 cp s3://rtdc.mdm.uploadarchive.raw/RTDC4028/ "%USERPROFILE%\AppData\Local\Temp\OnboardLogs"\RTDC4028\2017-04-20 --exclude "*" --recursive --include "*20170420*" &amp; "%USERPROFILE%\Documents\GitHub\mrs-test-scripts\Headless Mode &amp; Sideloading\WalkAndUnGZ.bat" "%USERPROFILE%\AppData\Local\Temp\OnboardLogs"\RTDC4028\2017-04-20 &amp; aws s3 cp s3://rtdc.mdm.uploadarchive.raw/RTDC4028/ "%USERPROFILE%\AppData\Local\Temp\OnboardLogs"\RTDC4028\2017-04-21 --exclude "*" --recursive --include "*20170421*" &amp; "%USERPROFILE%\Documents\GitHub\mrs-test-scripts\Headless Mode &amp; Sideloading\WalkAndUnGZ.bat" "%USERPROFILE%\AppData\Local\Temp\OnboardLogs"\RTDC4028\2017-04-21</v>
      </c>
      <c r="S28" s="92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-04-20T17:11:36-0600',mode:absolute,to:'2017-04-20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/stypes="*4028*201704210*" /stext=" 00:.+((SYSTEM_STATE.+slice.+state.+changed )|(ment ac)|(multiple cpu faults)|(system.+state.+changed )|(\[timeout)|(PRM\|1\|D)|(kpr)|(kdp)|(\|lc)|(penalty))"</v>
      </c>
      <c r="U28" s="9" t="str">
        <f>MID(B28,13,4)</f>
        <v>4028</v>
      </c>
      <c r="V28" s="32">
        <f>A28-utc_offset/24</f>
        <v>42846.036793981482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{"issue":{"subject":"","project_id":79,"tracker_id":40,"status_id":1,"priority_id":2,"assigned_to_id":23,"start_date":"2017-04-20","description":"","custom_fields":[{"id":1,"name":"Subdivision","value":"EC"},{"id":4,"name":"Milepost","value":"23.3491"},{"id":17,"name":"Train ID","value":"217-20"},{"id":16,"name":"Locomotive ID","value":"4028"},{"id":130,"name":"Impact","value":""},{"id":150,"name":"Time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"%USERPROFILE%\AppData\Local\Temp\OnboardLogs"\RTDC4028\*4028*201704210*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"%USERPROFILE%\AppData\Local\Temp\OnboardLogs"\RTDC4028\*4028*201704210* &gt;&gt; 2017-04-20-SliceDisagreementCheck.txt</v>
      </c>
      <c r="AE28" s="153" t="str">
        <f t="shared" si="1"/>
        <v>start /low /b %USERPROFILE%\Documents\GitHub\eaglep3\Utilities\DownloadLogsFromS3.py --loco 4028 --day 2017-04-21</v>
      </c>
      <c r="AF28" s="1"/>
    </row>
    <row r="29" spans="1:32" x14ac:dyDescent="0.25">
      <c r="A29" s="32">
        <v>42845.750474537039</v>
      </c>
      <c r="B29" s="30" t="s">
        <v>199</v>
      </c>
      <c r="C29" s="30" t="s">
        <v>644</v>
      </c>
      <c r="D29" s="30" t="s">
        <v>49</v>
      </c>
      <c r="E29" s="30" t="s">
        <v>211</v>
      </c>
      <c r="F29" s="43">
        <v>400</v>
      </c>
      <c r="G29" s="43">
        <v>457</v>
      </c>
      <c r="H29" s="43">
        <v>46694</v>
      </c>
      <c r="I29" s="43">
        <v>48068</v>
      </c>
      <c r="J29" s="30" t="s">
        <v>212</v>
      </c>
      <c r="K29" s="43">
        <v>47810</v>
      </c>
      <c r="L29" s="139" t="s">
        <v>50</v>
      </c>
      <c r="M29" s="140">
        <f>CONVERT((I29-K29)/10000,"mi","ft")*IF(L29="Increasing Mileposts (1)",-1,1)</f>
        <v>-136.22399999999999</v>
      </c>
      <c r="N29" s="141" t="str">
        <f>VLOOKUP(C29,'Trips&amp;Operators'!$C$1:$G$99999,5,FALSE)</f>
        <v>STORY SAMANTHA</v>
      </c>
      <c r="O29" s="190" t="s">
        <v>184</v>
      </c>
      <c r="P29" s="142"/>
      <c r="Q29" s="30"/>
      <c r="R29" s="89" t="str">
        <f>IF(VLOOKUP(C29,'Train Runs'!$A$13:$AE$9932,1,1)=C29,VLOOKUP(C29,'Train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29" s="92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-04-20T16:27:54-0600',mode:absolute,to:'2017-04-20T19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29" s="9" t="str">
        <f>MID(B29,13,4)</f>
        <v>4030</v>
      </c>
      <c r="V29" s="32">
        <f>A29-utc_offset/24</f>
        <v>42846.000474537039</v>
      </c>
      <c r="W29" s="46" t="str">
        <f>IFERROR(IF(VALUE(LEFT(IF(LEN(C29)=6,"0"&amp;C29,C29),2))&lt;=2,"EC",IF(OR(VALUE(LEFT(IF(LEN(C29)=6,"0"&amp;C29,C29),2))=8,VALUE(LEFT(IF(LEN(C29)=6,"0"&amp;C29,C29),2))=18),"NW","Other")),"Other")</f>
        <v>NW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ID","value":"835-20"},{"id":16,"name":"Locomotive ID","value":"4030"},{"id":130,"name":"Impact","value":""},{"id":150,"name":"Time of Event (Mountain Time)","value":"18:00:41"},{"id":151,"name":"Denver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"%USERPROFILE%\AppData\Local\Temp\OnboardLogs"\RTDC4030\*4030*201704210*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29" s="153" t="str">
        <f t="shared" si="1"/>
        <v>start /low /b %USERPROFILE%\Documents\GitHub\eaglep3\Utilities\DownloadLogsFromS3.py --loco 4030 --day 2017-04-21</v>
      </c>
      <c r="AF29" s="1"/>
    </row>
    <row r="30" spans="1:32" x14ac:dyDescent="0.25">
      <c r="A30" s="32">
        <v>42845.791631944441</v>
      </c>
      <c r="B30" s="30" t="s">
        <v>199</v>
      </c>
      <c r="C30" s="30" t="s">
        <v>646</v>
      </c>
      <c r="D30" s="30" t="s">
        <v>49</v>
      </c>
      <c r="E30" s="30" t="s">
        <v>211</v>
      </c>
      <c r="F30" s="43">
        <v>400</v>
      </c>
      <c r="G30" s="43">
        <v>459</v>
      </c>
      <c r="H30" s="43">
        <v>46603</v>
      </c>
      <c r="I30" s="43">
        <v>47878</v>
      </c>
      <c r="J30" s="30" t="s">
        <v>212</v>
      </c>
      <c r="K30" s="43">
        <v>47810</v>
      </c>
      <c r="L30" s="139" t="s">
        <v>50</v>
      </c>
      <c r="M30" s="140">
        <f>CONVERT((I30-K30)/10000,"mi","ft")*IF(L30="Increasing Mileposts (1)",-1,1)</f>
        <v>-35.904000000000003</v>
      </c>
      <c r="N30" s="141" t="str">
        <f>VLOOKUP(C30,'Trips&amp;Operators'!$C$1:$G$99999,5,FALSE)</f>
        <v>STORY SAMANTHA</v>
      </c>
      <c r="O30" s="190" t="s">
        <v>184</v>
      </c>
      <c r="P30" s="142"/>
      <c r="Q30" s="30"/>
      <c r="R30" s="89" t="str">
        <f>IF(VLOOKUP(C30,'Train Runs'!$A$13:$AE$9932,1,1)=C30,VLOOKUP(C30,'Train Runs'!$A$13:$AE$9932,31,1),NA())</f>
        <v>aws s3 cp s3://rtdc.mdm.uploadarchive.raw/RTDC4030/ "%USERPROFILE%\AppData\Local\Temp\OnboardLogs"\RTDC4030\2017-04-20 --exclude "*" --recursive --include "*20170420*" &amp; "%USERPROFILE%\Documents\GitHub\mrs-test-scripts\Headless Mode &amp; Sideloading\WalkAndUnGZ.bat" "%USERPROFILE%\AppData\Local\Temp\OnboardLogs"\RTDC4030\2017-04-20 &amp; aws s3 cp s3://rtdc.mdm.uploadarchive.raw/RTDC4030/ "%USERPROFILE%\AppData\Local\Temp\OnboardLogs"\RTDC4030\2017-04-21 --exclude "*" --recursive --include "*20170421*" &amp; "%USERPROFILE%\Documents\GitHub\mrs-test-scripts\Headless Mode &amp; Sideloading\WalkAndUnGZ.bat" "%USERPROFILE%\AppData\Local\Temp\OnboardLogs"\RTDC4030\2017-04-21</v>
      </c>
      <c r="S30" s="92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-04-20T17:36:23-0600',mode:absolute,to:'2017-04-20T20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/stypes="*4030*201704210*" /stext=" 00:.+((SYSTEM_STATE.+slice.+state.+changed )|(ment ac)|(multiple cpu faults)|(system.+state.+changed )|(\[timeout)|(PRM\|1\|D)|(kpr)|(kdp)|(\|lc)|(penalty))"</v>
      </c>
      <c r="U30" s="9" t="str">
        <f>MID(B30,13,4)</f>
        <v>4030</v>
      </c>
      <c r="V30" s="32">
        <f>A30-utc_offset/24</f>
        <v>42846.041631944441</v>
      </c>
      <c r="W30" s="46" t="str">
        <f>IFERROR(IF(VALUE(LEFT(IF(LEN(C30)=6,"0"&amp;C30,C30),2))&lt;=2,"EC",IF(OR(VALUE(LEFT(IF(LEN(C30)=6,"0"&amp;C30,C30),2))=8,VALUE(LEFT(IF(LEN(C30)=6,"0"&amp;C30,C30),2))=18),"NW","Other")),"Other")</f>
        <v>NW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{"issue":{"subject":"","project_id":79,"tracker_id":40,"status_id":1,"priority_id":2,"assigned_to_id":23,"start_date":"2017-04-20","description":"","custom_fields":[{"id":1,"name":"Subdivision","value":"NW"},{"id":4,"name":"Milepost","value":"4.781"},{"id":17,"name":"Train ID","value":"839-20"},{"id":16,"name":"Locomotive ID","value":"4030"},{"id":130,"name":"Impact","value":""},{"id":150,"name":"Time of Event (Mountain Time)","value":"18:59:57"},{"id":151,"name":"Denver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"%USERPROFILE%\AppData\Local\Temp\OnboardLogs"\RTDC4030\*4030*201704210*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"%USERPROFILE%\AppData\Local\Temp\OnboardLogs"\RTDC4030\*4030*201704210* &gt;&gt; 2017-04-20-SliceDisagreementCheck.txt</v>
      </c>
      <c r="AE30" s="153" t="str">
        <f t="shared" si="1"/>
        <v>start /low /b %USERPROFILE%\Documents\GitHub\eaglep3\Utilities\DownloadLogsFromS3.py --loco 4030 --day 2017-04-21</v>
      </c>
      <c r="AF30" s="1"/>
    </row>
    <row r="31" spans="1:32" x14ac:dyDescent="0.25">
      <c r="A31" s="32">
        <v>42845.328148148146</v>
      </c>
      <c r="B31" s="30" t="s">
        <v>503</v>
      </c>
      <c r="C31" s="30" t="s">
        <v>623</v>
      </c>
      <c r="D31" s="30" t="s">
        <v>49</v>
      </c>
      <c r="E31" s="30" t="s">
        <v>484</v>
      </c>
      <c r="F31" s="43">
        <v>0</v>
      </c>
      <c r="G31" s="43">
        <v>153</v>
      </c>
      <c r="H31" s="43">
        <v>5279</v>
      </c>
      <c r="I31" s="43">
        <v>5093</v>
      </c>
      <c r="J31" s="30" t="s">
        <v>485</v>
      </c>
      <c r="K31" s="43">
        <v>4790</v>
      </c>
      <c r="L31" s="139" t="s">
        <v>51</v>
      </c>
      <c r="M31" s="140">
        <f>CONVERT((I31-K31)/10000,"mi","ft")*IF(L31="Increasing Mileposts (1)",-1,1)</f>
        <v>159.98400000000001</v>
      </c>
      <c r="N31" s="141" t="str">
        <f>VLOOKUP(C31,'Trips&amp;Operators'!$C$1:$G$99999,5,FALSE)</f>
        <v>LOZA FIDEL</v>
      </c>
      <c r="O31" s="190" t="s">
        <v>184</v>
      </c>
      <c r="P31" s="142" t="s">
        <v>1026</v>
      </c>
      <c r="Q31" s="30"/>
      <c r="R31" s="89" t="str">
        <f>IF(VLOOKUP(C31,'Train Runs'!$A$13:$AE$9932,1,1)=C31,VLOOKUP(C31,'Train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1" s="92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-04-20T06:35:45-0600',mode:absolute,to:'2017-04-20T08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/stypes="*4019*201704201*" /stext=" 13:.+((SYSTEM_STATE.+slice.+state.+changed )|(ment ac)|(multiple cpu faults)|(system.+state.+changed )|(\[timeout)|(PRM\|1\|D)|(kpr)|(kdp)|(\|lc)|(penalty))"</v>
      </c>
      <c r="U31" s="9" t="str">
        <f>MID(B31,13,4)</f>
        <v>4019</v>
      </c>
      <c r="V31" s="32">
        <f>A31-utc_offset/24</f>
        <v>42845.578148148146</v>
      </c>
      <c r="W31" s="46" t="str">
        <f>IFERROR(IF(VALUE(LEFT(IF(LEN(C31)=6,"0"&amp;C31,C31),2))&lt;=2,"EC",IF(OR(VALUE(LEFT(IF(LEN(C31)=6,"0"&amp;C31,C31),2))=8,VALUE(LEFT(IF(LEN(C31)=6,"0"&amp;C31,C31),2))=18),"NW","Other")),"Other")</f>
        <v>NW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STOP","project_id":79,"tracker_id":40,"status_id":1,"priority_id":2,"assigned_to_id":23,"start_date":"2017-04-20","description":"","custom_fields":[{"id":1,"name":"Subdivision","value":"NW"},{"id":4,"name":"Milepost","value":"0.479"},{"id":17,"name":"Train ID","value":"808-20"},{"id":16,"name":"Locomotive ID","value":"4019"},{"id":130,"name":"Impact","value":""},{"id":150,"name":"Time of Event (Mountain Time)","value":"07:52:32"},{"id":151,"name":"Denver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"%USERPROFILE%\AppData\Local\Temp\OnboardLogs"\RTDC4019\*4019*201704201*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1" s="153" t="str">
        <f t="shared" si="1"/>
        <v>start /low /b %USERPROFILE%\Documents\GitHub\eaglep3\Utilities\DownloadLogsFromS3.py --loco 4019 --day 2017-04-20</v>
      </c>
      <c r="AF31" s="1"/>
    </row>
    <row r="32" spans="1:32" x14ac:dyDescent="0.25">
      <c r="A32" s="32">
        <v>42845.412754629629</v>
      </c>
      <c r="B32" s="30" t="s">
        <v>503</v>
      </c>
      <c r="C32" s="30" t="s">
        <v>629</v>
      </c>
      <c r="D32" s="30" t="s">
        <v>49</v>
      </c>
      <c r="E32" s="30" t="s">
        <v>185</v>
      </c>
      <c r="F32" s="43">
        <v>0</v>
      </c>
      <c r="G32" s="43">
        <v>39</v>
      </c>
      <c r="H32" s="43">
        <v>708</v>
      </c>
      <c r="I32" s="43">
        <v>684</v>
      </c>
      <c r="J32" s="30" t="s">
        <v>186</v>
      </c>
      <c r="K32" s="43">
        <v>575</v>
      </c>
      <c r="L32" s="139" t="s">
        <v>51</v>
      </c>
      <c r="M32" s="140">
        <f>CONVERT((I32-K32)/10000,"mi","ft")*IF(L32="Increasing Mileposts (1)",-1,1)</f>
        <v>57.552</v>
      </c>
      <c r="N32" s="141" t="str">
        <f>VLOOKUP(C32,'Trips&amp;Operators'!$C$1:$G$99999,5,FALSE)</f>
        <v>LOZA FIDEL</v>
      </c>
      <c r="O32" s="190" t="s">
        <v>184</v>
      </c>
      <c r="P32" s="142"/>
      <c r="Q32" s="30"/>
      <c r="R32" s="89" t="str">
        <f>IF(VLOOKUP(C32,'Train Runs'!$A$13:$AE$9932,1,1)=C32,VLOOKUP(C32,'Train Runs'!$A$13:$AE$9932,31,1),NA())</f>
        <v>aws s3 cp s3://rtdc.mdm.uploadarchive.raw/RTDC4019/ "%USERPROFILE%\AppData\Local\Temp\OnboardLogs"\RTDC4019\2017-04-20 --exclude "*" --recursive --include "*20170420*" &amp; "%USERPROFILE%\Documents\GitHub\mrs-test-scripts\Headless Mode &amp; Sideloading\WalkAndUnGZ.bat" "%USERPROFILE%\AppData\Local\Temp\OnboardLogs"\RTDC4019\2017-04-20 &amp; aws s3 cp s3://rtdc.mdm.uploadarchive.raw/RTDC4019/ "%USERPROFILE%\AppData\Local\Temp\OnboardLogs"\RTDC4019\2017-04-21 --exclude "*" --recursive --include "*20170421*" &amp; "%USERPROFILE%\Documents\GitHub\mrs-test-scripts\Headless Mode &amp; Sideloading\WalkAndUnGZ.bat" "%USERPROFILE%\AppData\Local\Temp\OnboardLogs"\RTDC4019\2017-04-21</v>
      </c>
      <c r="S32" s="92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-04-20T08:36:06-0600',mode:absolute,to:'2017-04-20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/stypes="*4019*201704201*" /stext=" 15:.+((SYSTEM_STATE.+slice.+state.+changed )|(ment ac)|(multiple cpu faults)|(system.+state.+changed )|(\[timeout)|(PRM\|1\|D)|(kpr)|(kdp)|(\|lc)|(penalty))"</v>
      </c>
      <c r="U32" s="9" t="str">
        <f>MID(B32,13,4)</f>
        <v>4019</v>
      </c>
      <c r="V32" s="32">
        <f>A32-utc_offset/24</f>
        <v>42845.662754629629</v>
      </c>
      <c r="W32" s="46" t="str">
        <f>IFERROR(IF(VALUE(LEFT(IF(LEN(C32)=6,"0"&amp;C32,C32),2))&lt;=2,"EC",IF(OR(VALUE(LEFT(IF(LEN(C32)=6,"0"&amp;C32,C32),2))=8,VALUE(LEFT(IF(LEN(C32)=6,"0"&amp;C32,C32),2))=18),"NW","Other")),"Other")</f>
        <v>NW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ID","value":"814-20"},{"id":16,"name":"Locomotive ID","value":"4019"},{"id":130,"name":"Impact","value":""},{"id":150,"name":"Time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"%USERPROFILE%\AppData\Local\Temp\OnboardLogs"\RTDC4019\*4019*201704201*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"%USERPROFILE%\AppData\Local\Temp\OnboardLogs"\RTDC4019\*4019*201704201* &gt;&gt; 2017-04-20-SliceDisagreementCheck.txt</v>
      </c>
      <c r="AE32" s="153" t="str">
        <f t="shared" si="1"/>
        <v>start /low /b %USERPROFILE%\Documents\GitHub\eaglep3\Utilities\DownloadLogsFromS3.py --loco 4019 --day 2017-04-20</v>
      </c>
      <c r="AF32" s="1"/>
    </row>
    <row r="33" spans="1:32" x14ac:dyDescent="0.25">
      <c r="A33" s="32">
        <v>42845.684664351851</v>
      </c>
      <c r="B33" s="30" t="s">
        <v>380</v>
      </c>
      <c r="C33" s="30" t="s">
        <v>636</v>
      </c>
      <c r="D33" s="30" t="s">
        <v>49</v>
      </c>
      <c r="E33" s="30" t="s">
        <v>185</v>
      </c>
      <c r="F33" s="43">
        <v>0</v>
      </c>
      <c r="G33" s="43">
        <v>39</v>
      </c>
      <c r="H33" s="43">
        <v>678</v>
      </c>
      <c r="I33" s="43">
        <v>657</v>
      </c>
      <c r="J33" s="30" t="s">
        <v>186</v>
      </c>
      <c r="K33" s="43">
        <v>575</v>
      </c>
      <c r="L33" s="139" t="s">
        <v>51</v>
      </c>
      <c r="M33" s="140">
        <f>CONVERT((I33-K33)/10000,"mi","ft")*IF(L33="Increasing Mileposts (1)",-1,1)</f>
        <v>43.296000000000006</v>
      </c>
      <c r="N33" s="141" t="str">
        <f>VLOOKUP(C33,'Trips&amp;Operators'!$C$1:$G$99999,5,FALSE)</f>
        <v>STORY SAMANTHA</v>
      </c>
      <c r="O33" s="190" t="s">
        <v>184</v>
      </c>
      <c r="P33" s="142"/>
      <c r="Q33" s="30"/>
      <c r="R33" s="89" t="str">
        <f>IF(VLOOKUP(C33,'Train Runs'!$A$13:$AE$9932,1,1)=C33,VLOOKUP(C33,'Train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3" s="92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-04-20T15:06:06-0600',mode:absolute,to:'2017-04-20T17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/stypes="*4029*201704202*" /stext=" 22:.+((SYSTEM_STATE.+slice.+state.+changed )|(ment ac)|(multiple cpu faults)|(system.+state.+changed )|(\[timeout)|(PRM\|1\|D)|(kpr)|(kdp)|(\|lc)|(penalty))"</v>
      </c>
      <c r="U33" s="9" t="str">
        <f>MID(B33,13,4)</f>
        <v>4029</v>
      </c>
      <c r="V33" s="32">
        <f>A33-utc_offset/24</f>
        <v>42845.934664351851</v>
      </c>
      <c r="W33" s="46" t="str">
        <f>IFERROR(IF(VALUE(LEFT(IF(LEN(C33)=6,"0"&amp;C33,C33),2))&lt;=2,"EC",IF(OR(VALUE(LEFT(IF(LEN(C33)=6,"0"&amp;C33,C33),2))=8,VALUE(LEFT(IF(LEN(C33)=6,"0"&amp;C33,C33),2))=18),"NW","Other")),"Other")</f>
        <v>NW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{"issue":{"subject":"","project_id":79,"tracker_id":40,"status_id":1,"priority_id":2,"assigned_to_id":23,"start_date":"2017-04-20","description":"","custom_fields":[{"id":1,"name":"Subdivision","value":"NW"},{"id":4,"name":"Milepost","value":"0.0575"},{"id":17,"name":"Train ID","value":"828-20"},{"id":16,"name":"Locomotive ID","value":"4029"},{"id":130,"name":"Impact","value":""},{"id":150,"name":"Time of Event (Mountain Time)","value":"16:25:55"},{"id":151,"name":"Denver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"%USERPROFILE%\AppData\Local\Temp\OnboardLogs"\RTDC4029\*4029*201704202*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3" s="153" t="str">
        <f t="shared" si="1"/>
        <v>start /low /b %USERPROFILE%\Documents\GitHub\eaglep3\Utilities\DownloadLogsFromS3.py --loco 4029 --day 2017-04-20</v>
      </c>
      <c r="AF33" s="1"/>
    </row>
    <row r="34" spans="1:32" x14ac:dyDescent="0.25">
      <c r="A34" s="32">
        <v>42845.356782407405</v>
      </c>
      <c r="B34" s="30" t="s">
        <v>422</v>
      </c>
      <c r="C34" s="30" t="s">
        <v>626</v>
      </c>
      <c r="D34" s="30" t="s">
        <v>49</v>
      </c>
      <c r="E34" s="30" t="s">
        <v>185</v>
      </c>
      <c r="F34" s="43">
        <v>0</v>
      </c>
      <c r="G34" s="43">
        <v>35</v>
      </c>
      <c r="H34" s="43">
        <v>58993</v>
      </c>
      <c r="I34" s="43">
        <v>59016</v>
      </c>
      <c r="J34" s="30" t="s">
        <v>186</v>
      </c>
      <c r="K34" s="43">
        <v>59048</v>
      </c>
      <c r="L34" s="139" t="s">
        <v>50</v>
      </c>
      <c r="M34" s="140">
        <f>CONVERT((I34-K34)/10000,"mi","ft")*IF(L34="Increasing Mileposts (1)",-1,1)</f>
        <v>16.896000000000001</v>
      </c>
      <c r="N34" s="141" t="str">
        <f>VLOOKUP(C34,'Trips&amp;Operators'!$C$1:$G$99999,5,FALSE)</f>
        <v>LOZA FIDEL</v>
      </c>
      <c r="O34" s="190" t="s">
        <v>184</v>
      </c>
      <c r="P34" s="142"/>
      <c r="Q34" s="30"/>
      <c r="R34" s="89" t="str">
        <f>IF(VLOOKUP(C34,'Train Runs'!$A$13:$AE$9932,1,1)=C34,VLOOKUP(C34,'Train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4" s="92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-04-20T07:17:30-0600',mode:absolute,to:'2017-04-20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/stypes="*4020*201704201*" /stext=" 14:.+((SYSTEM_STATE.+slice.+state.+changed )|(ment ac)|(multiple cpu faults)|(system.+state.+changed )|(\[timeout)|(PRM\|1\|D)|(kpr)|(kdp)|(\|lc)|(penalty))"</v>
      </c>
      <c r="U34" s="9" t="str">
        <f>MID(B34,13,4)</f>
        <v>4020</v>
      </c>
      <c r="V34" s="32">
        <f>A34-utc_offset/24</f>
        <v>42845.606782407405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{"issue":{"subject":"","project_id":79,"tracker_id":40,"status_id":1,"priority_id":2,"assigned_to_id":23,"start_date":"2017-04-20","description":"","custom_fields":[{"id":1,"name":"Subdivision","value":"NW"},{"id":4,"name":"Milepost","value":"5.9048"},{"id":17,"name":"Train ID","value":"811-20"},{"id":16,"name":"Locomotive ID","value":"4020"},{"id":130,"name":"Impact","value":""},{"id":150,"name":"Time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"%USERPROFILE%\AppData\Local\Temp\OnboardLogs"\RTDC4020\*4020*201704201*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"%USERPROFILE%\AppData\Local\Temp\OnboardLogs"\RTDC4020\*4020*201704201* &gt;&gt; 2017-04-20-SliceDisagreementCheck.txt</v>
      </c>
      <c r="AE34" s="153" t="str">
        <f t="shared" si="1"/>
        <v>start /low /b %USERPROFILE%\Documents\GitHub\eaglep3\Utilities\DownloadLogsFromS3.py --loco 4020 --day 2017-04-20</v>
      </c>
      <c r="AF34" s="1"/>
    </row>
    <row r="35" spans="1:32" x14ac:dyDescent="0.25">
      <c r="A35" s="32">
        <v>42845.734398148146</v>
      </c>
      <c r="B35" s="30" t="s">
        <v>422</v>
      </c>
      <c r="C35" s="30" t="s">
        <v>639</v>
      </c>
      <c r="D35" s="30" t="s">
        <v>49</v>
      </c>
      <c r="E35" s="30" t="s">
        <v>185</v>
      </c>
      <c r="F35" s="43">
        <v>0</v>
      </c>
      <c r="G35" s="43">
        <v>48</v>
      </c>
      <c r="H35" s="43">
        <v>58852</v>
      </c>
      <c r="I35" s="43">
        <v>58880</v>
      </c>
      <c r="J35" s="30" t="s">
        <v>186</v>
      </c>
      <c r="K35" s="43">
        <v>59058</v>
      </c>
      <c r="L35" s="139" t="s">
        <v>50</v>
      </c>
      <c r="M35" s="140">
        <f>CONVERT((I35-K35)/10000,"mi","ft")*IF(L35="Increasing Mileposts (1)",-1,1)</f>
        <v>93.983999999999995</v>
      </c>
      <c r="N35" s="141" t="str">
        <f>VLOOKUP(C35,'Trips&amp;Operators'!$C$1:$G$99999,5,FALSE)</f>
        <v>THOMPSON LESTER</v>
      </c>
      <c r="O35" s="190" t="s">
        <v>184</v>
      </c>
      <c r="P35" s="142"/>
      <c r="Q35" s="30"/>
      <c r="R35" s="89" t="str">
        <f>IF(VLOOKUP(C35,'Train Runs'!$A$13:$AE$9932,1,1)=C35,VLOOKUP(C35,'Train Runs'!$A$13:$AE$9932,31,1),NA())</f>
        <v>aws s3 cp s3://rtdc.mdm.uploadarchive.raw/RTDC4020/ "%USERPROFILE%\AppData\Local\Temp\OnboardLogs"\RTDC4020\2017-04-20 --exclude "*" --recursive --include "*20170420*" &amp; "%USERPROFILE%\Documents\GitHub\mrs-test-scripts\Headless Mode &amp; Sideloading\WalkAndUnGZ.bat" "%USERPROFILE%\AppData\Local\Temp\OnboardLogs"\RTDC4020\2017-04-20 &amp; aws s3 cp s3://rtdc.mdm.uploadarchive.raw/RTDC4020/ "%USERPROFILE%\AppData\Local\Temp\OnboardLogs"\RTDC4020\2017-04-21 --exclude "*" --recursive --include "*20170421*" &amp; "%USERPROFILE%\Documents\GitHub\mrs-test-scripts\Headless Mode &amp; Sideloading\WalkAndUnGZ.bat" "%USERPROFILE%\AppData\Local\Temp\OnboardLogs"\RTDC4020\2017-04-21</v>
      </c>
      <c r="S35" s="92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-04-20T16:15:17-0600',mode:absolute,to:'2017-04-20T18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/stypes="*4020*201704202*" /stext=" 23:.+((SYSTEM_STATE.+slice.+state.+changed )|(ment ac)|(multiple cpu faults)|(system.+state.+changed )|(\[timeout)|(PRM\|1\|D)|(kpr)|(kdp)|(\|lc)|(penalty))"</v>
      </c>
      <c r="U35" s="9" t="str">
        <f>MID(B35,13,4)</f>
        <v>4020</v>
      </c>
      <c r="V35" s="32">
        <f>A35-utc_offset/24</f>
        <v>42845.984398148146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{"issue":{"subject":"","project_id":79,"tracker_id":40,"status_id":1,"priority_id":2,"assigned_to_id":23,"start_date":"2017-04-20","description":"","custom_fields":[{"id":1,"name":"Subdivision","value":"NW"},{"id":4,"name":"Milepost","value":"5.9058"},{"id":17,"name":"Train ID","value":"833-20"},{"id":16,"name":"Locomotive ID","value":"4020"},{"id":130,"name":"Impact","value":""},{"id":150,"name":"Time of Event (Mountain Time)","value":"17:37:32"},{"id":151,"name":"Denver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"%USERPROFILE%\AppData\Local\Temp\OnboardLogs"\RTDC4020\*4020*201704202*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"%USERPROFILE%\AppData\Local\Temp\OnboardLogs"\RTDC4020\*4020*201704202* &gt;&gt; 2017-04-20-SliceDisagreementCheck.txt</v>
      </c>
      <c r="AE35" s="153" t="str">
        <f t="shared" si="1"/>
        <v>start /low /b %USERPROFILE%\Documents\GitHub\eaglep3\Utilities\DownloadLogsFromS3.py --loco 4020 --day 2017-04-20</v>
      </c>
      <c r="AF35" s="1"/>
    </row>
    <row r="36" spans="1:32" x14ac:dyDescent="0.25">
      <c r="A36" s="32">
        <v>42845.159791666665</v>
      </c>
      <c r="B36" s="30" t="s">
        <v>372</v>
      </c>
      <c r="C36" s="30" t="s">
        <v>614</v>
      </c>
      <c r="D36" s="30" t="s">
        <v>98</v>
      </c>
      <c r="E36" s="30" t="s">
        <v>484</v>
      </c>
      <c r="F36" s="43">
        <v>0</v>
      </c>
      <c r="G36" s="43">
        <v>66</v>
      </c>
      <c r="H36" s="43">
        <v>23262</v>
      </c>
      <c r="I36" s="43">
        <v>23082</v>
      </c>
      <c r="J36" s="30" t="s">
        <v>485</v>
      </c>
      <c r="K36" s="43">
        <v>24161</v>
      </c>
      <c r="L36" s="139" t="s">
        <v>51</v>
      </c>
      <c r="M36" s="140">
        <f>CONVERT((I36-K36)/10000,"mi","ft")*IF(L36="Increasing Mileposts (1)",-1,1)</f>
        <v>-569.71199999999999</v>
      </c>
      <c r="N36" s="141" t="str">
        <f>VLOOKUP(C36,'Trips&amp;Operators'!$C$1:$G$99999,5,FALSE)</f>
        <v>COOLAHAN JOHN</v>
      </c>
      <c r="O36" s="190" t="s">
        <v>184</v>
      </c>
      <c r="P36" s="142"/>
      <c r="Q36" s="30"/>
      <c r="R36" s="89" t="e">
        <f>IF(VLOOKUP(C36,'Train Runs'!$A$13:$AE$9932,1,1)=C36,VLOOKUP(C36,'Train Runs'!$A$13:$AE$9932,31,1),NA())</f>
        <v>#N/A</v>
      </c>
      <c r="S36" s="92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-04-20T02:45:48-0600',mode:absolute,to:'2017-04-20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/stypes="*4027*201704200*" /stext=" 09:.+((SYSTEM_STATE.+slice.+state.+changed )|(ment ac)|(multiple cpu faults)|(system.+state.+changed )|(\[timeout)|(PRM\|1\|D)|(kpr)|(kdp)|(\|lc)|(penalty))"</v>
      </c>
      <c r="U36" s="9" t="str">
        <f>MID(B36,13,4)</f>
        <v>4027</v>
      </c>
      <c r="V36" s="32">
        <f>A36-utc_offset/24</f>
        <v>42845.409791666665</v>
      </c>
      <c r="W36" s="46" t="str">
        <f>IFERROR(IF(VALUE(LEFT(IF(LEN(C36)=6,"0"&amp;C36,C36),2))&lt;=2,"EC",IF(OR(VALUE(LEFT(IF(LEN(C36)=6,"0"&amp;C36,C36),2))=8,VALUE(LEFT(IF(LEN(C36)=6,"0"&amp;C36,C36),2))=18),"NW","Other")),"Other")</f>
        <v>Other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{"issue":{"subject":"","project_id":79,"tracker_id":40,"status_id":1,"priority_id":2,"assigned_to_id":23,"start_date":"2017-04-20","description":"","custom_fields":[{"id":1,"name":"Subdivision","value":"Other"},{"id":4,"name":"Milepost","value":"2.4161"},{"id":17,"name":"Train ID","value":"306-20"},{"id":16,"name":"Locomotive ID","value":"4027"},{"id":130,"name":"Impact","value":""},{"id":150,"name":"Time of Event (Mountain Time)","value":"03:50:06"},{"id":151,"name":"Denver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"%USERPROFILE%\AppData\Local\Temp\OnboardLogs"\RTDC4027\*4027*201704200*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"%USERPROFILE%\AppData\Local\Temp\OnboardLogs"\RTDC4027\*4027*201704200* &gt;&gt; 2017-04-20-SliceDisagreementCheck.txt</v>
      </c>
      <c r="AE36" s="153" t="str">
        <f t="shared" si="1"/>
        <v>start /low /b %USERPROFILE%\Documents\GitHub\eaglep3\Utilities\DownloadLogsFromS3.py --loco 4027 --day 2017-04-20</v>
      </c>
      <c r="AF36" s="1"/>
    </row>
    <row r="37" spans="1:32" x14ac:dyDescent="0.25">
      <c r="A37" s="32">
        <v>42845.745879629627</v>
      </c>
      <c r="B37" s="30" t="s">
        <v>396</v>
      </c>
      <c r="C37" s="30" t="s">
        <v>642</v>
      </c>
      <c r="D37" s="30" t="s">
        <v>98</v>
      </c>
      <c r="E37" s="30" t="s">
        <v>643</v>
      </c>
      <c r="F37" s="43">
        <v>0</v>
      </c>
      <c r="G37" s="43">
        <v>111</v>
      </c>
      <c r="H37" s="43">
        <v>23932</v>
      </c>
      <c r="I37" s="43">
        <v>23728</v>
      </c>
      <c r="J37" s="30" t="s">
        <v>471</v>
      </c>
      <c r="K37" s="43">
        <v>24235</v>
      </c>
      <c r="L37" s="139" t="s">
        <v>51</v>
      </c>
      <c r="M37" s="140">
        <f>CONVERT((I37-K37)/10000,"mi","ft")*IF(L37="Increasing Mileposts (1)",-1,1)</f>
        <v>-267.69600000000003</v>
      </c>
      <c r="N37" s="141" t="str">
        <f>VLOOKUP(C37,'Trips&amp;Operators'!$C$1:$G$99999,5,FALSE)</f>
        <v>PERKINS DARREN</v>
      </c>
      <c r="O37" s="190" t="s">
        <v>184</v>
      </c>
      <c r="P37" s="142" t="s">
        <v>1029</v>
      </c>
      <c r="Q37" s="30"/>
      <c r="R37" s="89" t="e">
        <f>IF(VLOOKUP(C37,'Train Runs'!$A$13:$AE$9932,1,1)=C37,VLOOKUP(C37,'Train Runs'!$A$13:$AE$9932,31,1),NA())</f>
        <v>#N/A</v>
      </c>
      <c r="S37" s="92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/stypes="*4013*201704202*" /stext=" 23:.+((SYSTEM_STATE.+slice.+state.+changed )|(ment ac)|(multiple cpu faults)|(system.+state.+changed )|(\[timeout)|(PRM\|1\|D)|(kpr)|(kdp)|(\|lc)|(penalty))"</v>
      </c>
      <c r="U37" s="9" t="str">
        <f>MID(B37,13,4)</f>
        <v>4013</v>
      </c>
      <c r="V37" s="32">
        <f>A37-utc_offset/24</f>
        <v>42845.995879629627</v>
      </c>
      <c r="W37" s="46" t="str">
        <f>IFERROR(IF(VALUE(LEFT(IF(LEN(C37)=6,"0"&amp;C37,C37),2))&lt;=2,"EC",IF(OR(VALUE(LEFT(IF(LEN(C37)=6,"0"&amp;C37,C37),2))=8,VALUE(LEFT(IF(LEN(C37)=6,"0"&amp;C37,C37),2))=18),"NW","Other")),"Other")</f>
        <v>Other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{"issue":{"subject":"Selected wrong track (should have selected 'CRMF YD' or '2CT', not 'MAIN 1')","project_id":79,"tracker_id":40,"status_id":1,"priority_id":2,"assigned_to_id":23,"start_date":"2017-04-20","description":"","custom_fields":[{"id":1,"name":"Subdivision","value":"Other"},{"id":4,"name":"Milepost","value":"2.4235"},{"id":17,"name":"Train ID","value":"52-20"},{"id":16,"name":"Locomotive ID","value":"4013"},{"id":130,"name":"Impact","value":""},{"id":150,"name":"Time of Event (Mountain Time)","value":"17:54:04"},{"id":151,"name":"Denver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"%USERPROFILE%\AppData\Local\Temp\OnboardLogs"\RTDC4013\*4013*201704202*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"%USERPROFILE%\AppData\Local\Temp\OnboardLogs"\RTDC4013\*4013*201704202* &gt;&gt; 2017-04-20-SliceDisagreementCheck.txt</v>
      </c>
      <c r="AE37" s="153" t="str">
        <f t="shared" si="1"/>
        <v>start /low /b %USERPROFILE%\Documents\GitHub\eaglep3\Utilities\DownloadLogsFromS3.py --loco 4013 --day 2017-04-20</v>
      </c>
      <c r="AF37" s="1"/>
    </row>
    <row r="38" spans="1:32" x14ac:dyDescent="0.25">
      <c r="A38" s="32">
        <v>42845.64162037037</v>
      </c>
      <c r="B38" s="30" t="s">
        <v>380</v>
      </c>
      <c r="C38" s="30" t="s">
        <v>634</v>
      </c>
      <c r="D38" s="30" t="s">
        <v>98</v>
      </c>
      <c r="E38" s="30" t="s">
        <v>470</v>
      </c>
      <c r="F38" s="43">
        <v>0</v>
      </c>
      <c r="G38" s="43">
        <v>112</v>
      </c>
      <c r="H38" s="43">
        <v>23186</v>
      </c>
      <c r="I38" s="43">
        <v>23067</v>
      </c>
      <c r="J38" s="30" t="s">
        <v>471</v>
      </c>
      <c r="K38" s="43">
        <v>24235</v>
      </c>
      <c r="L38" s="139" t="s">
        <v>51</v>
      </c>
      <c r="M38" s="140">
        <f>CONVERT((I38-K38)/10000,"mi","ft")*IF(L38="Increasing Mileposts (1)",-1,1)</f>
        <v>-616.70399999999995</v>
      </c>
      <c r="N38" s="141" t="str">
        <f>VLOOKUP(C38,'Trips&amp;Operators'!$C$1:$G$99999,5,FALSE)</f>
        <v>STORY SAMANTHA</v>
      </c>
      <c r="O38" s="190" t="s">
        <v>457</v>
      </c>
      <c r="P38" s="142" t="s">
        <v>611</v>
      </c>
      <c r="Q38" s="30"/>
      <c r="R38" s="89" t="str">
        <f>IF(VLOOKUP(C38,'Train Runs'!$A$13:$AE$9932,1,1)=C38,VLOOKUP(C38,'Train Runs'!$A$13:$AE$9932,31,1),NA())</f>
        <v>aws s3 cp s3://rtdc.mdm.uploadarchive.raw/RTDC4029/ "%USERPROFILE%\AppData\Local\Temp\OnboardLogs"\RTDC4029\2017-04-20 --exclude "*" --recursive --include "*20170420*" &amp; "%USERPROFILE%\Documents\GitHub\mrs-test-scripts\Headless Mode &amp; Sideloading\WalkAndUnGZ.bat" "%USERPROFILE%\AppData\Local\Temp\OnboardLogs"\RTDC4029\2017-04-20 &amp; aws s3 cp s3://rtdc.mdm.uploadarchive.raw/RTDC4029/ "%USERPROFILE%\AppData\Local\Temp\OnboardLogs"\RTDC4029\2017-04-21 --exclude "*" --recursive --include "*20170421*" &amp; "%USERPROFILE%\Documents\GitHub\mrs-test-scripts\Headless Mode &amp; Sideloading\WalkAndUnGZ.bat" "%USERPROFILE%\AppData\Local\Temp\OnboardLogs"\RTDC4029\2017-04-21</v>
      </c>
      <c r="S38" s="92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-04-20T14:25:47-0600',mode:absolute,to:'2017-04-20T16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/stypes="*4029*201704202*" /stext=" 21:.+((SYSTEM_STATE.+slice.+state.+changed )|(ment ac)|(multiple cpu faults)|(system.+state.+changed )|(\[timeout)|(PRM\|1\|D)|(kpr)|(kdp)|(\|lc)|(penalty))"</v>
      </c>
      <c r="U38" s="9" t="str">
        <f>MID(B38,13,4)</f>
        <v>4029</v>
      </c>
      <c r="V38" s="32">
        <f>A38-utc_offset/24</f>
        <v>42845.89162037037</v>
      </c>
      <c r="W38" s="46" t="str">
        <f>IFERROR(IF(VALUE(LEFT(IF(LEN(C38)=6,"0"&amp;C38,C38),2))&lt;=2,"EC",IF(OR(VALUE(LEFT(IF(LEN(C38)=6,"0"&amp;C38,C38),2))=8,VALUE(LEFT(IF(LEN(C38)=6,"0"&amp;C38,C38),2))=18),"NW","Other")),"Other")</f>
        <v>Other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-20","description":"http://stevetu21.github.io/eaglep3/load_kml.html?kml=http://rtdc.gmaps-snips.s3.amazonaws.com/e26b8c7d-5793-4f07-8a8b-eaf3c6522dfb.kml","custom_fields":[{"id":1,"name":"Subdivision","value":"Other"},{"id":4,"name":"Milepost","value":"2.4235"},{"id":17,"name":"Train ID","value":"904-20"},{"id":16,"name":"Locomotive ID","value":"4029"},{"id":130,"name":"Impact","value":"Enforcement"},{"id":150,"name":"Time of Event (Mountain Time)","value":"15:23:56"},{"id":151,"name":"Denver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8" t="s">
        <v>1027</v>
      </c>
      <c r="AA38" s="48" t="s">
        <v>124</v>
      </c>
      <c r="AB38" s="48" t="s">
        <v>137</v>
      </c>
      <c r="AC38" s="123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"%USERPROFILE%\AppData\Local\Temp\OnboardLogs"\RTDC4029\*4029*201704202*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"%USERPROFILE%\AppData\Local\Temp\OnboardLogs"\RTDC4029\*4029*201704202* &gt;&gt; 2017-04-20-SliceDisagreementCheck.txt</v>
      </c>
      <c r="AE38" s="153" t="str">
        <f t="shared" si="1"/>
        <v>start /low /b %USERPROFILE%\Documents\GitHub\eaglep3\Utilities\DownloadLogsFromS3.py --loco 4029 --day 2017-04-20</v>
      </c>
      <c r="AF38" s="1"/>
    </row>
    <row r="39" spans="1:32" x14ac:dyDescent="0.25">
      <c r="A39" s="32">
        <v>42845.125081018516</v>
      </c>
      <c r="B39" s="30" t="s">
        <v>474</v>
      </c>
      <c r="C39" s="30" t="s">
        <v>612</v>
      </c>
      <c r="D39" s="30" t="s">
        <v>49</v>
      </c>
      <c r="E39" s="30" t="s">
        <v>185</v>
      </c>
      <c r="F39" s="43">
        <v>0</v>
      </c>
      <c r="G39" s="43">
        <v>35</v>
      </c>
      <c r="H39" s="43">
        <v>139</v>
      </c>
      <c r="I39" s="43">
        <v>125</v>
      </c>
      <c r="J39" s="30" t="s">
        <v>186</v>
      </c>
      <c r="K39" s="43">
        <v>1</v>
      </c>
      <c r="L39" s="139" t="s">
        <v>51</v>
      </c>
      <c r="M39" s="140">
        <f>CONVERT((I39-K39)/10000,"mi","ft")*IF(L39="Increasing Mileposts (1)",-1,1)</f>
        <v>65.471999999999994</v>
      </c>
      <c r="N39" s="141" t="str">
        <f>VLOOKUP(C39,'Trips&amp;Operators'!$C$1:$G$99999,5,FALSE)</f>
        <v>BADERTSCHER DIANE</v>
      </c>
      <c r="O39" s="190" t="s">
        <v>184</v>
      </c>
      <c r="P39" s="142"/>
      <c r="Q39" s="30"/>
      <c r="R39" s="89" t="e">
        <f>IF(VLOOKUP(C39,'Train Runs'!$A$13:$AE$9932,1,1)=C39,VLOOKUP(C39,'Train Runs'!$A$13:$AE$9932,31,1),NA())</f>
        <v>#N/A</v>
      </c>
      <c r="S39" s="92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-04-20T01:45:53-0600',mode:absolute,to:'2017-04-20T04:00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/stypes="*4023*201704200*" /stext=" 09:.+((SYSTEM_STATE.+slice.+state.+changed )|(ment ac)|(multiple cpu faults)|(system.+state.+changed )|(\[timeout)|(PRM\|1\|D)|(kpr)|(kdp)|(\|lc)|(penalty))"</v>
      </c>
      <c r="U39" s="9" t="str">
        <f>MID(B39,13,4)</f>
        <v>4023</v>
      </c>
      <c r="V39" s="32">
        <f>A39-utc_offset/24</f>
        <v>42845.375081018516</v>
      </c>
      <c r="W39" s="46" t="str">
        <f>IFERROR(IF(VALUE(LEFT(IF(LEN(C39)=6,"0"&amp;C39,C39),2))&lt;=2,"EC",IF(OR(VALUE(LEFT(IF(LEN(C39)=6,"0"&amp;C39,C39),2))=8,VALUE(LEFT(IF(LEN(C39)=6,"0"&amp;C39,C39),2))=18),"NW","Other")),"Other")</f>
        <v>Other</v>
      </c>
      <c r="X39" s="46" t="str">
        <f>IF(AND(E39="TRACK WARRANT AUTHORITY",G39&lt;10),"OMIT","KEEP")</f>
        <v>KEEP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ID","value":"302-20"},{"id":16,"name":"Locomotive ID","value":"4023"},{"id":130,"name":"Impact","value":""},{"id":150,"name":"Time of Event (Mountain Time)","value":"03:00:07"},{"id":151,"name":"Denver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"%USERPROFILE%\AppData\Local\Temp\OnboardLogs"\RTDC4023\*4023*201704200*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"%USERPROFILE%\AppData\Local\Temp\OnboardLogs"\RTDC4023\*4023*201704200* &gt;&gt; 2017-04-20-SliceDisagreementCheck.txt</v>
      </c>
      <c r="AE39" s="153" t="str">
        <f t="shared" si="1"/>
        <v>start /low /b %USERPROFILE%\Documents\GitHub\eaglep3\Utilities\DownloadLogsFromS3.py --loco 4023 --day 2017-04-20</v>
      </c>
      <c r="AF39" s="1"/>
    </row>
    <row r="40" spans="1:32" x14ac:dyDescent="0.25">
      <c r="A40" s="32">
        <v>42845.144537037035</v>
      </c>
      <c r="B40" s="30" t="s">
        <v>486</v>
      </c>
      <c r="C40" s="30" t="s">
        <v>613</v>
      </c>
      <c r="D40" s="30" t="s">
        <v>49</v>
      </c>
      <c r="E40" s="30" t="s">
        <v>185</v>
      </c>
      <c r="F40" s="43">
        <v>0</v>
      </c>
      <c r="G40" s="43">
        <v>45</v>
      </c>
      <c r="H40" s="43">
        <v>181</v>
      </c>
      <c r="I40" s="43">
        <v>139</v>
      </c>
      <c r="J40" s="30" t="s">
        <v>186</v>
      </c>
      <c r="K40" s="43">
        <v>1</v>
      </c>
      <c r="L40" s="139" t="s">
        <v>51</v>
      </c>
      <c r="M40" s="140">
        <f>CONVERT((I40-K40)/10000,"mi","ft")*IF(L40="Increasing Mileposts (1)",-1,1)</f>
        <v>72.864000000000004</v>
      </c>
      <c r="N40" s="141" t="str">
        <f>VLOOKUP(C40,'Trips&amp;Operators'!$C$1:$G$99999,5,FALSE)</f>
        <v>YANAI IAN</v>
      </c>
      <c r="O40" s="190" t="s">
        <v>184</v>
      </c>
      <c r="P40" s="142"/>
      <c r="Q40" s="30"/>
      <c r="R40" s="89" t="e">
        <f>IF(VLOOKUP(C40,'Train Runs'!$A$13:$AE$9932,1,1)=C40,VLOOKUP(C40,'Train Runs'!$A$13:$AE$9932,31,1),NA())</f>
        <v>#N/A</v>
      </c>
      <c r="S40" s="92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-04-20T02:15:04-0600',mode:absolute,to:'2017-04-20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/stypes="*4001*201704200*" /stext=" 09:.+((SYSTEM_STATE.+slice.+state.+changed )|(ment ac)|(multiple cpu faults)|(system.+state.+changed )|(\[timeout)|(PRM\|1\|D)|(kpr)|(kdp)|(\|lc)|(penalty))"</v>
      </c>
      <c r="U40" s="9" t="str">
        <f>MID(B40,13,4)</f>
        <v>4001</v>
      </c>
      <c r="V40" s="32">
        <f>A40-utc_offset/24</f>
        <v>42845.394537037035</v>
      </c>
      <c r="W40" s="46" t="str">
        <f>IFERROR(IF(VALUE(LEFT(IF(LEN(C40)=6,"0"&amp;C40,C40),2))&lt;=2,"EC",IF(OR(VALUE(LEFT(IF(LEN(C40)=6,"0"&amp;C40,C40),2))=8,VALUE(LEFT(IF(LEN(C40)=6,"0"&amp;C40,C40),2))=18),"NW","Other")),"Other")</f>
        <v>Other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ID","value":"304-20"},{"id":16,"name":"Locomotive ID","value":"4001"},{"id":130,"name":"Impact","value":""},{"id":150,"name":"Time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"%USERPROFILE%\AppData\Local\Temp\OnboardLogs"\RTDC4001\*4001*201704200*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"%USERPROFILE%\AppData\Local\Temp\OnboardLogs"\RTDC4001\*4001*201704200* &gt;&gt; 2017-04-20-SliceDisagreementCheck.txt</v>
      </c>
      <c r="AE40" s="153" t="str">
        <f t="shared" si="1"/>
        <v>start /low /b %USERPROFILE%\Documents\GitHub\eaglep3\Utilities\DownloadLogsFromS3.py --loco 4001 --day 2017-04-20</v>
      </c>
      <c r="AF40" s="1"/>
    </row>
    <row r="41" spans="1:32" x14ac:dyDescent="0.25">
      <c r="A41" s="32">
        <v>42845.739849537036</v>
      </c>
      <c r="B41" s="30" t="s">
        <v>640</v>
      </c>
      <c r="C41" s="30" t="s">
        <v>641</v>
      </c>
      <c r="D41" s="30" t="s">
        <v>49</v>
      </c>
      <c r="E41" s="30" t="s">
        <v>185</v>
      </c>
      <c r="F41" s="43">
        <v>0</v>
      </c>
      <c r="G41" s="43">
        <v>31</v>
      </c>
      <c r="H41" s="43">
        <v>72</v>
      </c>
      <c r="I41" s="43">
        <v>46</v>
      </c>
      <c r="J41" s="30" t="s">
        <v>186</v>
      </c>
      <c r="K41" s="43">
        <v>1</v>
      </c>
      <c r="L41" s="139" t="s">
        <v>51</v>
      </c>
      <c r="M41" s="140">
        <f>CONVERT((I41-K41)/10000,"mi","ft")*IF(L41="Increasing Mileposts (1)",-1,1)</f>
        <v>23.76</v>
      </c>
      <c r="N41" s="141" t="str">
        <f>VLOOKUP(C41,'Trips&amp;Operators'!$C$1:$G$99999,5,FALSE)</f>
        <v>BROWN JACOB</v>
      </c>
      <c r="O41" s="190" t="s">
        <v>184</v>
      </c>
      <c r="P41" s="142"/>
      <c r="Q41" s="30"/>
      <c r="R41" s="89" t="e">
        <f>IF(VLOOKUP(C41,'Train Runs'!$A$13:$AE$9932,1,1)=C41,VLOOKUP(C41,'Train Runs'!$A$13:$AE$9932,31,1),NA())</f>
        <v>#N/A</v>
      </c>
      <c r="S41" s="92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-04-20T16:31:39-0600',mode:absolute,to:'2017-04-20T18:45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/stypes="*4043*201704202*" /stext=" 23:.+((SYSTEM_STATE.+slice.+state.+changed )|(ment ac)|(multiple cpu faults)|(system.+state.+changed )|(\[timeout)|(PRM\|1\|D)|(kpr)|(kdp)|(\|lc)|(penalty))"</v>
      </c>
      <c r="U41" s="9" t="str">
        <f>MID(B41,13,4)</f>
        <v>4043</v>
      </c>
      <c r="V41" s="32">
        <f>A41-utc_offset/24</f>
        <v>42845.989849537036</v>
      </c>
      <c r="W41" s="46" t="str">
        <f>IFERROR(IF(VALUE(LEFT(IF(LEN(C41)=6,"0"&amp;C41,C41),2))&lt;=2,"EC",IF(OR(VALUE(LEFT(IF(LEN(C41)=6,"0"&amp;C41,C41),2))=8,VALUE(LEFT(IF(LEN(C41)=6,"0"&amp;C41,C41),2))=18),"NW","Other")),"Other")</f>
        <v>Other</v>
      </c>
      <c r="X41" s="46" t="str">
        <f>IF(AND(E41="TRACK WARRANT AUTHORITY",G41&lt;10),"OMIT","KEEP")</f>
        <v>KEEP</v>
      </c>
      <c r="Y41" s="10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{"issue":{"subject":"","project_id":79,"tracker_id":40,"status_id":1,"priority_id":2,"assigned_to_id":23,"start_date":"2017-04-20","description":"","custom_fields":[{"id":1,"name":"Subdivision","value":"Other"},{"id":4,"name":"Milepost","value":"0.0001"},{"id":17,"name":"Train ID","value":"50-20"},{"id":16,"name":"Locomotive ID","value":"4043"},{"id":130,"name":"Impact","value":""},{"id":150,"name":"Time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"%USERPROFILE%\AppData\Local\Temp\OnboardLogs"\RTDC4043\*4043*201704202*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"%USERPROFILE%\AppData\Local\Temp\OnboardLogs"\RTDC4043\*4043*201704202* &gt;&gt; 2017-04-20-SliceDisagreementCheck.txt</v>
      </c>
      <c r="AE41" s="153" t="str">
        <f t="shared" si="1"/>
        <v>start /low /b %USERPROFILE%\Documents\GitHub\eaglep3\Utilities\DownloadLogsFromS3.py --loco 4043 --day 2017-04-20</v>
      </c>
      <c r="AF41" s="1"/>
    </row>
    <row r="42" spans="1:32" x14ac:dyDescent="0.25">
      <c r="A42" s="32">
        <v>42845.754421296297</v>
      </c>
      <c r="B42" s="30" t="s">
        <v>396</v>
      </c>
      <c r="C42" s="30" t="s">
        <v>642</v>
      </c>
      <c r="D42" s="30" t="s">
        <v>49</v>
      </c>
      <c r="E42" s="30" t="s">
        <v>185</v>
      </c>
      <c r="F42" s="43">
        <v>0</v>
      </c>
      <c r="G42" s="43">
        <v>20</v>
      </c>
      <c r="H42" s="43">
        <v>884</v>
      </c>
      <c r="I42" s="43">
        <v>871</v>
      </c>
      <c r="J42" s="30" t="s">
        <v>186</v>
      </c>
      <c r="K42" s="43">
        <v>839</v>
      </c>
      <c r="L42" s="139" t="s">
        <v>51</v>
      </c>
      <c r="M42" s="140">
        <f>CONVERT((I42-K42)/10000,"mi","ft")*IF(L42="Increasing Mileposts (1)",-1,1)</f>
        <v>16.896000000000001</v>
      </c>
      <c r="N42" s="141" t="str">
        <f>VLOOKUP(C42,'Trips&amp;Operators'!$C$1:$G$99999,5,FALSE)</f>
        <v>PERKINS DARREN</v>
      </c>
      <c r="O42" s="190" t="s">
        <v>184</v>
      </c>
      <c r="P42" s="142"/>
      <c r="Q42" s="30"/>
      <c r="R42" s="89" t="e">
        <f>IF(VLOOKUP(C42,'Train Runs'!$A$13:$AE$9932,1,1)=C42,VLOOKUP(C42,'Train Runs'!$A$13:$AE$9932,31,1),NA())</f>
        <v>#N/A</v>
      </c>
      <c r="S42" s="92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-04-20T16:55:40-0600',mode:absolute,to:'2017-04-20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/stypes="*4013*201704210*" /stext=" 00:.+((SYSTEM_STATE.+slice.+state.+changed )|(ment ac)|(multiple cpu faults)|(system.+state.+changed )|(\[timeout)|(PRM\|1\|D)|(kpr)|(kdp)|(\|lc)|(penalty))"</v>
      </c>
      <c r="U42" s="9" t="str">
        <f>MID(B42,13,4)</f>
        <v>4013</v>
      </c>
      <c r="V42" s="32">
        <f>A42-utc_offset/24</f>
        <v>42846.004421296297</v>
      </c>
      <c r="W42" s="46" t="str">
        <f>IFERROR(IF(VALUE(LEFT(IF(LEN(C42)=6,"0"&amp;C42,C42),2))&lt;=2,"EC",IF(OR(VALUE(LEFT(IF(LEN(C42)=6,"0"&amp;C42,C42),2))=8,VALUE(LEFT(IF(LEN(C42)=6,"0"&amp;C42,C42),2))=18),"NW","Other")),"Other")</f>
        <v>Other</v>
      </c>
      <c r="X42" s="46" t="str">
        <f>IF(AND(E42="TRACK WARRANT AUTHORITY",G42&lt;10),"OMIT","KEEP")</f>
        <v>KEEP</v>
      </c>
      <c r="Y42" s="10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{"issue":{"subject":"","project_id":79,"tracker_id":40,"status_id":1,"priority_id":2,"assigned_to_id":23,"start_date":"2017-04-20","description":"","custom_fields":[{"id":1,"name":"Subdivision","value":"Other"},{"id":4,"name":"Milepost","value":"0.0839"},{"id":17,"name":"Train ID","value":"52-20"},{"id":16,"name":"Locomotive ID","value":"4013"},{"id":130,"name":"Impact","value":""},{"id":150,"name":"Time of Event (Mountain Time)","value":"18:06:22"},{"id":151,"name":"Denver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"%USERPROFILE%\AppData\Local\Temp\OnboardLogs"\RTDC4013\*4013*201704210*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"%USERPROFILE%\AppData\Local\Temp\OnboardLogs"\RTDC4013\*4013*201704210* &gt;&gt; 2017-04-20-SliceDisagreementCheck.txt</v>
      </c>
      <c r="AE42" s="153" t="str">
        <f t="shared" si="1"/>
        <v>start /low /b %USERPROFILE%\Documents\GitHub\eaglep3\Utilities\DownloadLogsFromS3.py --loco 4013 --day 2017-04-21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7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2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42">
    <cfRule type="expression" dxfId="5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6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2017-04-20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-20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Runs'!$A$13:$A$99929,1,FALSE)</f>
        <v>#N/A</v>
      </c>
    </row>
    <row r="4" spans="1:10" x14ac:dyDescent="0.25">
      <c r="A4" s="181"/>
      <c r="B4" s="43" t="str">
        <f>A4&amp;"-"&amp;IF(DAY(Variables!$A$2)&lt;10,0,"")&amp;DAY(Variables!$A$2)</f>
        <v>-20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Runs'!$A$13:$A$99929,1,FALSE)</f>
        <v>#N/A</v>
      </c>
    </row>
    <row r="5" spans="1:10" x14ac:dyDescent="0.25">
      <c r="A5" s="181"/>
      <c r="B5" s="43" t="str">
        <f>A5&amp;"-"&amp;IF(DAY(Variables!$A$2)&lt;10,0,"")&amp;DAY(Variables!$A$2)</f>
        <v>-20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Runs'!$A$13:$A$99929,1,FALSE)</f>
        <v>#N/A</v>
      </c>
    </row>
    <row r="6" spans="1:10" x14ac:dyDescent="0.25">
      <c r="A6" s="181"/>
      <c r="B6" s="43" t="str">
        <f>A6&amp;"-"&amp;IF(DAY(Variables!$A$2)&lt;10,0,"")&amp;DAY(Variables!$A$2)</f>
        <v>-20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Runs'!$A$13:$A$99929,1,FALSE)</f>
        <v>#N/A</v>
      </c>
    </row>
    <row r="7" spans="1:10" x14ac:dyDescent="0.25">
      <c r="A7" s="181"/>
      <c r="B7" s="43" t="str">
        <f>A7&amp;"-"&amp;IF(DAY(Variables!$A$2)&lt;10,0,"")&amp;DAY(Variables!$A$2)</f>
        <v>-20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Runs'!$A$13:$A$99929,1,FALSE)</f>
        <v>#N/A</v>
      </c>
    </row>
    <row r="8" spans="1:10" x14ac:dyDescent="0.25">
      <c r="A8" s="181"/>
      <c r="B8" s="43" t="str">
        <f>A8&amp;"-"&amp;IF(DAY(Variables!$A$2)&lt;10,0,"")&amp;DAY(Variables!$A$2)</f>
        <v>-20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Runs'!$A$13:$A$99929,1,FALSE)</f>
        <v>#N/A</v>
      </c>
    </row>
    <row r="9" spans="1:10" x14ac:dyDescent="0.25">
      <c r="A9" s="181"/>
      <c r="B9" s="43" t="str">
        <f>A9&amp;"-"&amp;IF(DAY(Variables!$A$2)&lt;10,0,"")&amp;DAY(Variables!$A$2)</f>
        <v>-20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Runs'!$A$13:$A$99929,1,FALSE)</f>
        <v>#N/A</v>
      </c>
    </row>
    <row r="10" spans="1:10" x14ac:dyDescent="0.25">
      <c r="A10" s="181"/>
      <c r="B10" s="43" t="str">
        <f>A10&amp;"-"&amp;IF(DAY(Variables!$A$2)&lt;10,0,"")&amp;DAY(Variables!$A$2)</f>
        <v>-20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Runs'!$A$13:$A$99929,1,FALSE)</f>
        <v>#N/A</v>
      </c>
    </row>
    <row r="11" spans="1:10" x14ac:dyDescent="0.25">
      <c r="A11" s="181"/>
      <c r="B11" s="43" t="str">
        <f>A11&amp;"-"&amp;IF(DAY(Variables!$A$2)&lt;10,0,"")&amp;DAY(Variables!$A$2)</f>
        <v>-20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Runs'!$A$13:$A$99929,1,FALSE)</f>
        <v>#N/A</v>
      </c>
    </row>
    <row r="12" spans="1:10" x14ac:dyDescent="0.25">
      <c r="A12" s="181"/>
      <c r="B12" s="43" t="str">
        <f>A12&amp;"-"&amp;IF(DAY(Variables!$A$2)&lt;10,0,"")&amp;DAY(Variables!$A$2)</f>
        <v>-20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Runs'!$A$13:$A$99929,1,FALSE)</f>
        <v>#N/A</v>
      </c>
    </row>
    <row r="13" spans="1:10" x14ac:dyDescent="0.25">
      <c r="A13" s="181"/>
      <c r="B13" s="43" t="str">
        <f>A13&amp;"-"&amp;IF(DAY(Variables!$A$2)&lt;10,0,"")&amp;DAY(Variables!$A$2)</f>
        <v>-20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Runs'!$A$13:$A$99929,1,FALSE)</f>
        <v>#N/A</v>
      </c>
    </row>
    <row r="14" spans="1:10" x14ac:dyDescent="0.25">
      <c r="A14" s="181"/>
      <c r="B14" s="43" t="str">
        <f>A14&amp;"-"&amp;IF(DAY(Variables!$A$2)&lt;10,0,"")&amp;DAY(Variables!$A$2)</f>
        <v>-20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Runs'!$A$13:$A$99929,1,FALSE)</f>
        <v>#N/A</v>
      </c>
    </row>
    <row r="15" spans="1:10" x14ac:dyDescent="0.25">
      <c r="A15" s="181"/>
      <c r="B15" s="43" t="str">
        <f>A15&amp;"-"&amp;IF(DAY(Variables!$A$2)&lt;10,0,"")&amp;DAY(Variables!$A$2)</f>
        <v>-20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Runs'!$A$13:$A$99929,1,FALSE)</f>
        <v>#N/A</v>
      </c>
    </row>
    <row r="16" spans="1:10" x14ac:dyDescent="0.25">
      <c r="A16" s="181"/>
      <c r="B16" s="43" t="str">
        <f>A16&amp;"-"&amp;IF(DAY(Variables!$A$2)&lt;10,0,"")&amp;DAY(Variables!$A$2)</f>
        <v>-20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Runs'!$A$13:$A$99929,1,FALSE)</f>
        <v>#N/A</v>
      </c>
    </row>
    <row r="17" spans="1:10" x14ac:dyDescent="0.25">
      <c r="A17" s="181"/>
      <c r="B17" s="43" t="str">
        <f>A17&amp;"-"&amp;IF(DAY(Variables!$A$2)&lt;10,0,"")&amp;DAY(Variables!$A$2)</f>
        <v>-20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Runs'!$A$13:$A$99929,1,FALSE)</f>
        <v>#N/A</v>
      </c>
    </row>
    <row r="18" spans="1:10" x14ac:dyDescent="0.25">
      <c r="A18" s="181"/>
      <c r="B18" s="43" t="str">
        <f>A18&amp;"-"&amp;IF(DAY(Variables!$A$2)&lt;10,0,"")&amp;DAY(Variables!$A$2)</f>
        <v>-20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Runs'!$A$13:$A$99929,1,FALSE)</f>
        <v>#N/A</v>
      </c>
    </row>
    <row r="19" spans="1:10" x14ac:dyDescent="0.25">
      <c r="A19" s="181"/>
      <c r="B19" s="43" t="str">
        <f>A19&amp;"-"&amp;IF(DAY(Variables!$A$2)&lt;10,0,"")&amp;DAY(Variables!$A$2)</f>
        <v>-20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Runs'!$A$13:$A$99929,1,FALSE)</f>
        <v>#N/A</v>
      </c>
    </row>
    <row r="20" spans="1:10" x14ac:dyDescent="0.25">
      <c r="A20" s="181"/>
      <c r="B20" s="43" t="str">
        <f>A20&amp;"-"&amp;IF(DAY(Variables!$A$2)&lt;10,0,"")&amp;DAY(Variables!$A$2)</f>
        <v>-20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Runs'!$A$13:$A$99929,1,FALSE)</f>
        <v>#N/A</v>
      </c>
    </row>
    <row r="21" spans="1:10" x14ac:dyDescent="0.25">
      <c r="A21" s="181"/>
      <c r="B21" s="43" t="str">
        <f>A21&amp;"-"&amp;IF(DAY(Variables!$A$2)&lt;10,0,"")&amp;DAY(Variables!$A$2)</f>
        <v>-20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Runs'!$A$13:$A$99929,1,FALSE)</f>
        <v>#N/A</v>
      </c>
    </row>
    <row r="22" spans="1:10" x14ac:dyDescent="0.25">
      <c r="A22" s="181"/>
      <c r="B22" s="43" t="str">
        <f>A22&amp;"-"&amp;IF(DAY(Variables!$A$2)&lt;10,0,"")&amp;DAY(Variables!$A$2)</f>
        <v>-20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Runs'!$A$13:$A$99929,1,FALSE)</f>
        <v>#N/A</v>
      </c>
    </row>
    <row r="23" spans="1:10" x14ac:dyDescent="0.25">
      <c r="A23" s="181"/>
      <c r="B23" s="43" t="str">
        <f>A23&amp;"-"&amp;IF(DAY(Variables!$A$2)&lt;10,0,"")&amp;DAY(Variables!$A$2)</f>
        <v>-20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Runs'!$A$13:$A$99929,1,FALSE)</f>
        <v>#N/A</v>
      </c>
    </row>
    <row r="24" spans="1:10" x14ac:dyDescent="0.25">
      <c r="A24" s="181"/>
      <c r="B24" s="43" t="str">
        <f>A24&amp;"-"&amp;IF(DAY(Variables!$A$2)&lt;10,0,"")&amp;DAY(Variables!$A$2)</f>
        <v>-20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Runs'!$A$13:$A$99929,1,FALSE)</f>
        <v>#N/A</v>
      </c>
    </row>
    <row r="25" spans="1:10" x14ac:dyDescent="0.25">
      <c r="A25" s="181"/>
      <c r="B25" s="43" t="str">
        <f>A25&amp;"-"&amp;IF(DAY(Variables!$A$2)&lt;10,0,"")&amp;DAY(Variables!$A$2)</f>
        <v>-20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Runs'!$A$13:$A$99929,1,FALSE)</f>
        <v>#N/A</v>
      </c>
    </row>
    <row r="26" spans="1:10" x14ac:dyDescent="0.25">
      <c r="A26" s="181"/>
      <c r="B26" s="43" t="str">
        <f>A26&amp;"-"&amp;IF(DAY(Variables!$A$2)&lt;10,0,"")&amp;DAY(Variables!$A$2)</f>
        <v>-20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Runs'!$A$13:$A$99929,1,FALSE)</f>
        <v>#N/A</v>
      </c>
    </row>
    <row r="27" spans="1:10" x14ac:dyDescent="0.25">
      <c r="A27" s="181"/>
      <c r="B27" s="43" t="str">
        <f>A27&amp;"-"&amp;IF(DAY(Variables!$A$2)&lt;10,0,"")&amp;DAY(Variables!$A$2)</f>
        <v>-20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Runs'!$A$13:$A$99929,1,FALSE)</f>
        <v>#N/A</v>
      </c>
    </row>
    <row r="28" spans="1:10" x14ac:dyDescent="0.25">
      <c r="A28" s="181"/>
      <c r="B28" s="43" t="str">
        <f>A28&amp;"-"&amp;IF(DAY(Variables!$A$2)&lt;10,0,"")&amp;DAY(Variables!$A$2)</f>
        <v>-20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Runs'!$A$13:$A$99929,1,FALSE)</f>
        <v>#N/A</v>
      </c>
    </row>
    <row r="29" spans="1:10" x14ac:dyDescent="0.25">
      <c r="A29" s="181"/>
      <c r="B29" s="43" t="str">
        <f>A29&amp;"-"&amp;IF(DAY(Variables!$A$2)&lt;10,0,"")&amp;DAY(Variables!$A$2)</f>
        <v>-20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Runs'!$A$13:$A$99929,1,FALSE)</f>
        <v>#N/A</v>
      </c>
    </row>
    <row r="30" spans="1:10" x14ac:dyDescent="0.25">
      <c r="A30" s="181"/>
      <c r="B30" s="43" t="str">
        <f>A30&amp;"-"&amp;IF(DAY(Variables!$A$2)&lt;10,0,"")&amp;DAY(Variables!$A$2)</f>
        <v>-20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Runs'!$A$13:$A$99929,1,FALSE)</f>
        <v>#N/A</v>
      </c>
    </row>
    <row r="31" spans="1:10" x14ac:dyDescent="0.25">
      <c r="A31" s="181"/>
      <c r="B31" s="43" t="str">
        <f>A31&amp;"-"&amp;IF(DAY(Variables!$A$2)&lt;10,0,"")&amp;DAY(Variables!$A$2)</f>
        <v>-20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Runs'!$A$13:$A$99929,1,FALSE)</f>
        <v>#N/A</v>
      </c>
    </row>
    <row r="32" spans="1:10" x14ac:dyDescent="0.25">
      <c r="A32" s="181"/>
      <c r="B32" s="43" t="str">
        <f>A32&amp;"-"&amp;IF(DAY(Variables!$A$2)&lt;10,0,"")&amp;DAY(Variables!$A$2)</f>
        <v>-20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Runs'!$A$13:$A$99929,1,FALSE)</f>
        <v>#N/A</v>
      </c>
    </row>
    <row r="33" spans="1:10" x14ac:dyDescent="0.25">
      <c r="A33" s="181"/>
      <c r="B33" s="43" t="str">
        <f>A33&amp;"-"&amp;IF(DAY(Variables!$A$2)&lt;10,0,"")&amp;DAY(Variables!$A$2)</f>
        <v>-20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Runs'!$A$13:$A$99929,1,FALSE)</f>
        <v>#N/A</v>
      </c>
    </row>
    <row r="34" spans="1:10" x14ac:dyDescent="0.25">
      <c r="A34" s="181"/>
      <c r="B34" s="43" t="str">
        <f>A34&amp;"-"&amp;IF(DAY(Variables!$A$2)&lt;10,0,"")&amp;DAY(Variables!$A$2)</f>
        <v>-20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Runs'!$A$13:$A$99929,1,FALSE)</f>
        <v>#N/A</v>
      </c>
    </row>
    <row r="35" spans="1:10" x14ac:dyDescent="0.25">
      <c r="A35" s="181"/>
      <c r="B35" s="43" t="str">
        <f>A35&amp;"-"&amp;IF(DAY(Variables!$A$2)&lt;10,0,"")&amp;DAY(Variables!$A$2)</f>
        <v>-20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Runs'!$A$13:$A$99929,1,FALSE)</f>
        <v>#N/A</v>
      </c>
    </row>
    <row r="36" spans="1:10" x14ac:dyDescent="0.25">
      <c r="A36" s="181"/>
      <c r="B36" s="43" t="str">
        <f>A36&amp;"-"&amp;IF(DAY(Variables!$A$2)&lt;10,0,"")&amp;DAY(Variables!$A$2)</f>
        <v>-20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Runs'!$A$13:$A$99929,1,FALSE)</f>
        <v>#N/A</v>
      </c>
    </row>
    <row r="37" spans="1:10" x14ac:dyDescent="0.25">
      <c r="A37" s="181"/>
      <c r="B37" s="43" t="str">
        <f>A37&amp;"-"&amp;IF(DAY(Variables!$A$2)&lt;10,0,"")&amp;DAY(Variables!$A$2)</f>
        <v>-20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Runs'!$A$13:$A$99929,1,FALSE)</f>
        <v>#N/A</v>
      </c>
    </row>
    <row r="38" spans="1:10" x14ac:dyDescent="0.25">
      <c r="A38" s="181"/>
      <c r="B38" s="43" t="str">
        <f>A38&amp;"-"&amp;IF(DAY(Variables!$A$2)&lt;10,0,"")&amp;DAY(Variables!$A$2)</f>
        <v>-20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Runs'!$A$13:$A$99929,1,FALSE)</f>
        <v>#N/A</v>
      </c>
    </row>
    <row r="39" spans="1:10" x14ac:dyDescent="0.25">
      <c r="A39" s="181"/>
      <c r="B39" s="43" t="str">
        <f>A39&amp;"-"&amp;IF(DAY(Variables!$A$2)&lt;10,0,"")&amp;DAY(Variables!$A$2)</f>
        <v>-20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Runs'!$A$13:$A$99929,1,FALSE)</f>
        <v>#N/A</v>
      </c>
    </row>
    <row r="40" spans="1:10" x14ac:dyDescent="0.25">
      <c r="A40" s="181"/>
      <c r="B40" s="43" t="str">
        <f>A40&amp;"-"&amp;IF(DAY(Variables!$A$2)&lt;10,0,"")&amp;DAY(Variables!$A$2)</f>
        <v>-20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Runs'!$A$13:$A$99929,1,FALSE)</f>
        <v>#N/A</v>
      </c>
    </row>
    <row r="41" spans="1:10" x14ac:dyDescent="0.25">
      <c r="A41" s="181"/>
      <c r="B41" s="43" t="str">
        <f>A41&amp;"-"&amp;IF(DAY(Variables!$A$2)&lt;10,0,"")&amp;DAY(Variables!$A$2)</f>
        <v>-20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Runs'!$A$13:$A$99929,1,FALSE)</f>
        <v>#N/A</v>
      </c>
    </row>
    <row r="42" spans="1:10" x14ac:dyDescent="0.25">
      <c r="A42" s="181"/>
      <c r="B42" s="43" t="str">
        <f>A42&amp;"-"&amp;IF(DAY(Variables!$A$2)&lt;10,0,"")&amp;DAY(Variables!$A$2)</f>
        <v>-20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Runs'!$A$13:$A$99929,1,FALSE)</f>
        <v>#N/A</v>
      </c>
    </row>
    <row r="43" spans="1:10" x14ac:dyDescent="0.25">
      <c r="A43" s="181"/>
      <c r="B43" s="43" t="str">
        <f>A43&amp;"-"&amp;IF(DAY(Variables!$A$2)&lt;10,0,"")&amp;DAY(Variables!$A$2)</f>
        <v>-20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Runs'!$A$13:$A$99929,1,FALSE)</f>
        <v>#N/A</v>
      </c>
    </row>
    <row r="44" spans="1:10" x14ac:dyDescent="0.25">
      <c r="A44" s="181"/>
      <c r="B44" s="43" t="str">
        <f>A44&amp;"-"&amp;IF(DAY(Variables!$A$2)&lt;10,0,"")&amp;DAY(Variables!$A$2)</f>
        <v>-20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Runs'!$A$13:$A$99929,1,FALSE)</f>
        <v>#N/A</v>
      </c>
    </row>
    <row r="45" spans="1:10" x14ac:dyDescent="0.25">
      <c r="A45" s="181"/>
      <c r="B45" s="43" t="str">
        <f>A45&amp;"-"&amp;IF(DAY(Variables!$A$2)&lt;10,0,"")&amp;DAY(Variables!$A$2)</f>
        <v>-20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Runs'!$A$13:$A$99929,1,FALSE)</f>
        <v>#N/A</v>
      </c>
    </row>
    <row r="46" spans="1:10" x14ac:dyDescent="0.25">
      <c r="A46" s="181"/>
      <c r="B46" s="43" t="str">
        <f>A46&amp;"-"&amp;IF(DAY(Variables!$A$2)&lt;10,0,"")&amp;DAY(Variables!$A$2)</f>
        <v>-20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Runs'!$A$13:$A$99929,1,FALSE)</f>
        <v>#N/A</v>
      </c>
    </row>
    <row r="47" spans="1:10" x14ac:dyDescent="0.25">
      <c r="A47" s="181"/>
      <c r="B47" s="43" t="str">
        <f>A47&amp;"-"&amp;IF(DAY(Variables!$A$2)&lt;10,0,"")&amp;DAY(Variables!$A$2)</f>
        <v>-20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Runs'!$A$13:$A$99929,1,FALSE)</f>
        <v>#N/A</v>
      </c>
    </row>
    <row r="48" spans="1:10" x14ac:dyDescent="0.25">
      <c r="A48" s="181"/>
      <c r="B48" s="43" t="str">
        <f>A48&amp;"-"&amp;IF(DAY(Variables!$A$2)&lt;10,0,"")&amp;DAY(Variables!$A$2)</f>
        <v>-20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Runs'!$A$13:$A$99929,1,FALSE)</f>
        <v>#N/A</v>
      </c>
    </row>
    <row r="49" spans="1:10" x14ac:dyDescent="0.25">
      <c r="A49" s="181"/>
      <c r="B49" s="43" t="str">
        <f>A49&amp;"-"&amp;IF(DAY(Variables!$A$2)&lt;10,0,"")&amp;DAY(Variables!$A$2)</f>
        <v>-20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Runs'!$A$13:$A$99929,1,FALSE)</f>
        <v>#N/A</v>
      </c>
    </row>
    <row r="50" spans="1:10" x14ac:dyDescent="0.25">
      <c r="A50" s="181"/>
      <c r="B50" s="43" t="str">
        <f>A50&amp;"-"&amp;IF(DAY(Variables!$A$2)&lt;10,0,"")&amp;DAY(Variables!$A$2)</f>
        <v>-20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Runs'!$A$13:$A$99929,1,FALSE)</f>
        <v>#N/A</v>
      </c>
    </row>
    <row r="51" spans="1:10" x14ac:dyDescent="0.25">
      <c r="A51" s="181"/>
      <c r="B51" s="43" t="str">
        <f>A51&amp;"-"&amp;IF(DAY(Variables!$A$2)&lt;10,0,"")&amp;DAY(Variables!$A$2)</f>
        <v>-20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Runs'!$A$13:$A$99929,1,FALSE)</f>
        <v>#N/A</v>
      </c>
    </row>
    <row r="52" spans="1:10" x14ac:dyDescent="0.25">
      <c r="A52" s="181"/>
      <c r="B52" s="43" t="str">
        <f>A52&amp;"-"&amp;IF(DAY(Variables!$A$2)&lt;10,0,"")&amp;DAY(Variables!$A$2)</f>
        <v>-20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Runs'!$A$13:$A$99929,1,FALSE)</f>
        <v>#N/A</v>
      </c>
    </row>
    <row r="53" spans="1:10" x14ac:dyDescent="0.25">
      <c r="A53" s="181"/>
      <c r="B53" s="43" t="str">
        <f>A53&amp;"-"&amp;IF(DAY(Variables!$A$2)&lt;10,0,"")&amp;DAY(Variables!$A$2)</f>
        <v>-20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Runs'!$A$13:$A$99929,1,FALSE)</f>
        <v>#N/A</v>
      </c>
    </row>
    <row r="54" spans="1:10" x14ac:dyDescent="0.25">
      <c r="A54" s="181"/>
      <c r="B54" s="43" t="str">
        <f>A54&amp;"-"&amp;IF(DAY(Variables!$A$2)&lt;10,0,"")&amp;DAY(Variables!$A$2)</f>
        <v>-20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Runs'!$A$13:$A$99929,1,FALSE)</f>
        <v>#N/A</v>
      </c>
    </row>
    <row r="55" spans="1:10" x14ac:dyDescent="0.25">
      <c r="A55" s="181"/>
      <c r="B55" s="43" t="str">
        <f>A55&amp;"-"&amp;IF(DAY(Variables!$A$2)&lt;10,0,"")&amp;DAY(Variables!$A$2)</f>
        <v>-20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Runs'!$A$13:$A$99929,1,FALSE)</f>
        <v>#N/A</v>
      </c>
    </row>
    <row r="56" spans="1:10" x14ac:dyDescent="0.25">
      <c r="A56" s="181"/>
      <c r="B56" s="43" t="str">
        <f>A56&amp;"-"&amp;IF(DAY(Variables!$A$2)&lt;10,0,"")&amp;DAY(Variables!$A$2)</f>
        <v>-20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Runs'!$A$13:$A$99929,1,FALSE)</f>
        <v>#N/A</v>
      </c>
    </row>
    <row r="57" spans="1:10" x14ac:dyDescent="0.25">
      <c r="A57" s="181"/>
      <c r="B57" s="43" t="str">
        <f>A57&amp;"-"&amp;IF(DAY(Variables!$A$2)&lt;10,0,"")&amp;DAY(Variables!$A$2)</f>
        <v>-20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Runs'!$A$13:$A$99929,1,FALSE)</f>
        <v>#N/A</v>
      </c>
    </row>
    <row r="58" spans="1:10" x14ac:dyDescent="0.25">
      <c r="A58" s="181"/>
      <c r="B58" s="43" t="str">
        <f>A58&amp;"-"&amp;IF(DAY(Variables!$A$2)&lt;10,0,"")&amp;DAY(Variables!$A$2)</f>
        <v>-20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Runs'!$A$13:$A$99929,1,FALSE)</f>
        <v>#N/A</v>
      </c>
    </row>
    <row r="59" spans="1:10" x14ac:dyDescent="0.25">
      <c r="A59" s="181"/>
      <c r="B59" s="43" t="str">
        <f>A59&amp;"-"&amp;IF(DAY(Variables!$A$2)&lt;10,0,"")&amp;DAY(Variables!$A$2)</f>
        <v>-20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Runs'!$A$13:$A$99929,1,FALSE)</f>
        <v>#N/A</v>
      </c>
    </row>
    <row r="60" spans="1:10" x14ac:dyDescent="0.25">
      <c r="A60" s="181"/>
      <c r="B60" s="43" t="str">
        <f>A60&amp;"-"&amp;IF(DAY(Variables!$A$2)&lt;10,0,"")&amp;DAY(Variables!$A$2)</f>
        <v>-20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Runs'!$A$13:$A$99929,1,FALSE)</f>
        <v>#N/A</v>
      </c>
    </row>
    <row r="61" spans="1:10" x14ac:dyDescent="0.25">
      <c r="A61" s="181"/>
      <c r="B61" s="43" t="str">
        <f>A61&amp;"-"&amp;IF(DAY(Variables!$A$2)&lt;10,0,"")&amp;DAY(Variables!$A$2)</f>
        <v>-20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Runs'!$A$13:$A$99929,1,FALSE)</f>
        <v>#N/A</v>
      </c>
    </row>
    <row r="62" spans="1:10" x14ac:dyDescent="0.25">
      <c r="A62" s="181"/>
      <c r="B62" s="43" t="str">
        <f>A62&amp;"-"&amp;IF(DAY(Variables!$A$2)&lt;10,0,"")&amp;DAY(Variables!$A$2)</f>
        <v>-20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Runs'!$A$13:$A$99929,1,FALSE)</f>
        <v>#N/A</v>
      </c>
    </row>
    <row r="63" spans="1:10" x14ac:dyDescent="0.25">
      <c r="A63" s="181"/>
      <c r="B63" s="43" t="str">
        <f>A63&amp;"-"&amp;IF(DAY(Variables!$A$2)&lt;10,0,"")&amp;DAY(Variables!$A$2)</f>
        <v>-20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Runs'!$A$13:$A$99929,1,FALSE)</f>
        <v>#N/A</v>
      </c>
    </row>
    <row r="64" spans="1:10" x14ac:dyDescent="0.25">
      <c r="A64" s="181"/>
      <c r="B64" s="43" t="str">
        <f>A64&amp;"-"&amp;IF(DAY(Variables!$A$2)&lt;10,0,"")&amp;DAY(Variables!$A$2)</f>
        <v>-20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Runs'!$A$13:$A$99929,1,FALSE)</f>
        <v>#N/A</v>
      </c>
    </row>
    <row r="65" spans="1:10" x14ac:dyDescent="0.25">
      <c r="A65" s="181"/>
      <c r="B65" s="43" t="str">
        <f>A65&amp;"-"&amp;IF(DAY(Variables!$A$2)&lt;10,0,"")&amp;DAY(Variables!$A$2)</f>
        <v>-20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Runs'!$A$13:$A$99929,1,FALSE)</f>
        <v>#N/A</v>
      </c>
    </row>
    <row r="66" spans="1:10" x14ac:dyDescent="0.25">
      <c r="A66" s="181"/>
      <c r="B66" s="43" t="str">
        <f>A66&amp;"-"&amp;IF(DAY(Variables!$A$2)&lt;10,0,"")&amp;DAY(Variables!$A$2)</f>
        <v>-20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Runs'!$A$13:$A$99929,1,FALSE)</f>
        <v>#N/A</v>
      </c>
    </row>
    <row r="67" spans="1:10" x14ac:dyDescent="0.25">
      <c r="A67" s="181"/>
      <c r="B67" s="43" t="str">
        <f>A67&amp;"-"&amp;IF(DAY(Variables!$A$2)&lt;10,0,"")&amp;DAY(Variables!$A$2)</f>
        <v>-20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Runs'!$A$13:$A$99929,1,FALSE)</f>
        <v>#N/A</v>
      </c>
    </row>
    <row r="68" spans="1:10" x14ac:dyDescent="0.25">
      <c r="A68" s="181"/>
      <c r="B68" s="43" t="str">
        <f>A68&amp;"-"&amp;IF(DAY(Variables!$A$2)&lt;10,0,"")&amp;DAY(Variables!$A$2)</f>
        <v>-20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Runs'!$A$13:$A$99929,1,FALSE)</f>
        <v>#N/A</v>
      </c>
    </row>
    <row r="69" spans="1:10" x14ac:dyDescent="0.25">
      <c r="A69" s="181"/>
      <c r="B69" s="43" t="str">
        <f>A69&amp;"-"&amp;IF(DAY(Variables!$A$2)&lt;10,0,"")&amp;DAY(Variables!$A$2)</f>
        <v>-20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Runs'!$A$13:$A$99929,1,FALSE)</f>
        <v>#N/A</v>
      </c>
    </row>
    <row r="70" spans="1:10" x14ac:dyDescent="0.25">
      <c r="A70" s="181"/>
      <c r="B70" s="43" t="str">
        <f>A70&amp;"-"&amp;IF(DAY(Variables!$A$2)&lt;10,0,"")&amp;DAY(Variables!$A$2)</f>
        <v>-20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Runs'!$A$13:$A$99929,1,FALSE)</f>
        <v>#N/A</v>
      </c>
    </row>
    <row r="71" spans="1:10" x14ac:dyDescent="0.25">
      <c r="A71" s="181"/>
      <c r="B71" s="43" t="str">
        <f>A71&amp;"-"&amp;IF(DAY(Variables!$A$2)&lt;10,0,"")&amp;DAY(Variables!$A$2)</f>
        <v>-20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Runs'!$A$13:$A$99929,1,FALSE)</f>
        <v>#N/A</v>
      </c>
    </row>
    <row r="72" spans="1:10" x14ac:dyDescent="0.25">
      <c r="A72" s="181"/>
      <c r="B72" s="43" t="str">
        <f>A72&amp;"-"&amp;IF(DAY(Variables!$A$2)&lt;10,0,"")&amp;DAY(Variables!$A$2)</f>
        <v>-20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Runs'!$A$13:$A$99929,1,FALSE)</f>
        <v>#N/A</v>
      </c>
    </row>
    <row r="73" spans="1:10" x14ac:dyDescent="0.25">
      <c r="A73" s="181"/>
      <c r="B73" s="43" t="str">
        <f>A73&amp;"-"&amp;IF(DAY(Variables!$A$2)&lt;10,0,"")&amp;DAY(Variables!$A$2)</f>
        <v>-20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Runs'!$A$13:$A$99929,1,FALSE)</f>
        <v>#N/A</v>
      </c>
    </row>
    <row r="74" spans="1:10" x14ac:dyDescent="0.25">
      <c r="A74" s="181"/>
      <c r="B74" s="43" t="str">
        <f>A74&amp;"-"&amp;IF(DAY(Variables!$A$2)&lt;10,0,"")&amp;DAY(Variables!$A$2)</f>
        <v>-20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Runs'!$A$13:$A$99929,1,FALSE)</f>
        <v>#N/A</v>
      </c>
    </row>
    <row r="75" spans="1:10" x14ac:dyDescent="0.25">
      <c r="A75" s="181"/>
      <c r="B75" s="43" t="str">
        <f>A75&amp;"-"&amp;IF(DAY(Variables!$A$2)&lt;10,0,"")&amp;DAY(Variables!$A$2)</f>
        <v>-20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Runs'!$A$13:$A$99929,1,FALSE)</f>
        <v>#N/A</v>
      </c>
    </row>
    <row r="76" spans="1:10" x14ac:dyDescent="0.25">
      <c r="A76" s="181"/>
      <c r="B76" s="43" t="str">
        <f>A76&amp;"-"&amp;IF(DAY(Variables!$A$2)&lt;10,0,"")&amp;DAY(Variables!$A$2)</f>
        <v>-20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Runs'!$A$13:$A$99929,1,FALSE)</f>
        <v>#N/A</v>
      </c>
    </row>
    <row r="77" spans="1:10" x14ac:dyDescent="0.25">
      <c r="A77" s="181"/>
      <c r="B77" s="43" t="str">
        <f>A77&amp;"-"&amp;IF(DAY(Variables!$A$2)&lt;10,0,"")&amp;DAY(Variables!$A$2)</f>
        <v>-20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Runs'!$A$13:$A$99929,1,FALSE)</f>
        <v>#N/A</v>
      </c>
    </row>
    <row r="78" spans="1:10" x14ac:dyDescent="0.25">
      <c r="A78" s="181"/>
      <c r="B78" s="43" t="str">
        <f>A78&amp;"-"&amp;IF(DAY(Variables!$A$2)&lt;10,0,"")&amp;DAY(Variables!$A$2)</f>
        <v>-20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Runs'!$A$13:$A$99929,1,FALSE)</f>
        <v>#N/A</v>
      </c>
    </row>
    <row r="79" spans="1:10" x14ac:dyDescent="0.25">
      <c r="A79" s="181"/>
      <c r="B79" s="43" t="str">
        <f>A79&amp;"-"&amp;IF(DAY(Variables!$A$2)&lt;10,0,"")&amp;DAY(Variables!$A$2)</f>
        <v>-20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Runs'!$A$13:$A$99929,1,FALSE)</f>
        <v>#N/A</v>
      </c>
    </row>
    <row r="80" spans="1:10" x14ac:dyDescent="0.25">
      <c r="A80" s="181"/>
      <c r="B80" s="43" t="str">
        <f>A80&amp;"-"&amp;IF(DAY(Variables!$A$2)&lt;10,0,"")&amp;DAY(Variables!$A$2)</f>
        <v>-20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Runs'!$A$13:$A$99929,1,FALSE)</f>
        <v>#N/A</v>
      </c>
    </row>
    <row r="81" spans="1:10" x14ac:dyDescent="0.25">
      <c r="A81" s="181"/>
      <c r="B81" s="43" t="str">
        <f>A81&amp;"-"&amp;IF(DAY(Variables!$A$2)&lt;10,0,"")&amp;DAY(Variables!$A$2)</f>
        <v>-20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Runs'!$A$13:$A$99929,1,FALSE)</f>
        <v>#N/A</v>
      </c>
    </row>
    <row r="82" spans="1:10" x14ac:dyDescent="0.25">
      <c r="A82" s="181"/>
      <c r="B82" s="43" t="str">
        <f>A82&amp;"-"&amp;IF(DAY(Variables!$A$2)&lt;10,0,"")&amp;DAY(Variables!$A$2)</f>
        <v>-20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Runs'!$A$13:$A$99929,1,FALSE)</f>
        <v>#N/A</v>
      </c>
    </row>
    <row r="83" spans="1:10" x14ac:dyDescent="0.25">
      <c r="A83" s="181"/>
      <c r="B83" s="43" t="str">
        <f>A83&amp;"-"&amp;IF(DAY(Variables!$A$2)&lt;10,0,"")&amp;DAY(Variables!$A$2)</f>
        <v>-20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Runs'!$A$13:$A$99929,1,FALSE)</f>
        <v>#N/A</v>
      </c>
    </row>
    <row r="84" spans="1:10" x14ac:dyDescent="0.25">
      <c r="A84" s="181"/>
      <c r="B84" s="43" t="str">
        <f>A84&amp;"-"&amp;IF(DAY(Variables!$A$2)&lt;10,0,"")&amp;DAY(Variables!$A$2)</f>
        <v>-20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Runs'!$A$13:$A$99929,1,FALSE)</f>
        <v>#N/A</v>
      </c>
    </row>
    <row r="85" spans="1:10" x14ac:dyDescent="0.25">
      <c r="A85" s="181"/>
      <c r="B85" s="43" t="str">
        <f>A85&amp;"-"&amp;IF(DAY(Variables!$A$2)&lt;10,0,"")&amp;DAY(Variables!$A$2)</f>
        <v>-20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Runs'!$A$13:$A$99929,1,FALSE)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346</v>
      </c>
      <c r="B1" s="203" t="s">
        <v>347</v>
      </c>
      <c r="C1" s="195" t="s">
        <v>355</v>
      </c>
      <c r="D1" s="207" t="s">
        <v>58</v>
      </c>
      <c r="E1" s="192" t="s">
        <v>24</v>
      </c>
      <c r="F1" s="207" t="s">
        <v>361</v>
      </c>
      <c r="G1" s="211" t="s">
        <v>94</v>
      </c>
      <c r="H1" s="213" t="s">
        <v>365</v>
      </c>
      <c r="I1" s="209" t="s">
        <v>364</v>
      </c>
      <c r="J1" s="205" t="s">
        <v>84</v>
      </c>
      <c r="K1" s="205" t="s">
        <v>360</v>
      </c>
      <c r="L1" s="200" t="s">
        <v>357</v>
      </c>
      <c r="M1" s="200" t="s">
        <v>348</v>
      </c>
      <c r="N1" s="200" t="s">
        <v>350</v>
      </c>
      <c r="O1" s="200" t="s">
        <v>351</v>
      </c>
      <c r="P1" s="200" t="s">
        <v>352</v>
      </c>
      <c r="Q1" s="199" t="s">
        <v>349</v>
      </c>
    </row>
    <row r="2" spans="1:17" x14ac:dyDescent="0.25">
      <c r="A2" s="197">
        <v>42800.21875</v>
      </c>
      <c r="B2" s="204" t="s">
        <v>354</v>
      </c>
      <c r="C2" s="194" t="s">
        <v>356</v>
      </c>
      <c r="D2" s="208">
        <v>104</v>
      </c>
      <c r="E2" s="30" t="s">
        <v>359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"%USERPROFILE%\AppData\Local\Temp\OnboardLogs"\RTDC4001\*4001*201703061*</v>
      </c>
      <c r="I2" s="210" t="str">
        <f>IF(VLOOKUP(K2,'Train Runs'!$A$13:$V$985,1,TRUE)=K2,VLOOKUP(K2,'Train Runs'!$A$13:$V$985,22,TRUE),NA())</f>
        <v>https://d0f6bd738d7f1b3e5a7ca70fe4ff75f0.us-east-1.aws.found.io/app/kibana#/discover/Steve-Slow-Train-Analysis-(2080s-and-2083s)?_g=(refreshInterval:(display:Off,pause:!f,section:0,value:0),time:(from:'2017-04-20T03:26:05-0600',mode:absolute,to:'2017-04-20T06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104-20</v>
      </c>
      <c r="L2" s="202">
        <f>IF(VLOOKUP(K2,'Train Runs'!$A$12:$B$985,1,TRUE)=K2,VLOOKUP(K2,'Train Runs'!$A$12:$B$985,2,TRUE),NA())</f>
        <v>4001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354</v>
      </c>
      <c r="C3" s="194" t="s">
        <v>356</v>
      </c>
      <c r="D3" s="208">
        <v>126</v>
      </c>
      <c r="E3" s="30" t="s">
        <v>358</v>
      </c>
      <c r="F3" s="208" t="b">
        <v>1</v>
      </c>
      <c r="G3" s="212" t="str">
        <f t="shared" si="0"/>
        <v>"C:\Program Files (x86)\AstroGrep\AstroGrep.exe" /e /r /s /spath="%USERPROFILE%\AppData\Local\Temp\OnboardLogs" /stypes="*4007*201703061*"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"%USERPROFILE%\AppData\Local\Temp\OnboardLogs"\RTDC4007\*4007*201703061*</v>
      </c>
      <c r="I3" s="210" t="str">
        <f>IF(VLOOKUP(K3,'Train Runs'!$A$13:$V$985,1,TRUE)=K3,VLOOKUP(K3,'Train Runs'!$A$13:$V$985,22,TRUE),NA())</f>
        <v>https://d0f6bd738d7f1b3e5a7ca70fe4ff75f0.us-east-1.aws.found.io/app/kibana#/discover/Steve-Slow-Train-Analysis-(2080s-and-2083s)?_g=(refreshInterval:(display:Off,pause:!f,section:0,value:0),time:(from:'2017-04-20T06:21:41-0600',mode:absolute,to:'2017-04-20T09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126-20</v>
      </c>
      <c r="L3" s="202">
        <f>IF(VLOOKUP(K3,'Train Runs'!$A$12:$B$985,1,TRUE)=K3,VLOOKUP(K3,'Train Runs'!$A$12:$B$985,2,TRUE),NA())</f>
        <v>4007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354</v>
      </c>
      <c r="C4" s="194" t="s">
        <v>356</v>
      </c>
      <c r="D4" s="208">
        <v>128</v>
      </c>
      <c r="E4" s="30" t="s">
        <v>358</v>
      </c>
      <c r="F4" s="208" t="b">
        <v>1</v>
      </c>
      <c r="G4" s="212" t="str">
        <f t="shared" si="0"/>
        <v>"C:\Program Files (x86)\AstroGrep\AstroGrep.exe" /e /r /s /spath="%USERPROFILE%\AppData\Local\Temp\OnboardLogs" /stypes="*4023*201703061*"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"%USERPROFILE%\AppData\Local\Temp\OnboardLogs"\RTDC4023\*4023*201703061*</v>
      </c>
      <c r="I4" s="210" t="str">
        <f>IF(VLOOKUP(K4,'Train Runs'!$A$13:$V$985,1,TRUE)=K4,VLOOKUP(K4,'Train Runs'!$A$13:$V$985,22,TRUE),NA())</f>
        <v>https://d0f6bd738d7f1b3e5a7ca70fe4ff75f0.us-east-1.aws.found.io/app/kibana#/discover/Steve-Slow-Train-Analysis-(2080s-and-2083s)?_g=(refreshInterval:(display:Off,pause:!f,section:0,value:0),time:(from:'2017-04-20T06:48:14-0600',mode:absolute,to:'2017-04-20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128-20</v>
      </c>
      <c r="L4" s="202">
        <f>IF(VLOOKUP(K4,'Train Runs'!$A$12:$B$985,1,TRUE)=K4,VLOOKUP(K4,'Train Runs'!$A$12:$B$985,2,TRUE),NA())</f>
        <v>4023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354</v>
      </c>
      <c r="C5" s="194" t="s">
        <v>356</v>
      </c>
      <c r="D5" s="208">
        <f>D4+2</f>
        <v>130</v>
      </c>
      <c r="E5" s="30" t="s">
        <v>358</v>
      </c>
      <c r="F5" s="208" t="b">
        <v>1</v>
      </c>
      <c r="G5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"%USERPROFILE%\AppData\Local\Temp\OnboardLogs"\RTDC4041\*4041*201703061*</v>
      </c>
      <c r="I5" s="210" t="str">
        <f>IF(VLOOKUP(K5,'Train Runs'!$A$13:$V$985,1,TRUE)=K5,VLOOKUP(K5,'Train Runs'!$A$13:$V$985,22,TRUE),NA())</f>
        <v>https://d0f6bd738d7f1b3e5a7ca70fe4ff75f0.us-east-1.aws.found.io/app/kibana#/discover/Steve-Slow-Train-Analysis-(2080s-and-2083s)?_g=(refreshInterval:(display:Off,pause:!f,section:0,value:0),time:(from:'2017-04-20T07:08:01-0600',mode:absolute,to:'2017-04-20T09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130-20</v>
      </c>
      <c r="L5" s="202">
        <f>IF(VLOOKUP(K5,'Train Runs'!$A$12:$B$985,1,TRUE)=K5,VLOOKUP(K5,'Train Runs'!$A$12:$B$985,2,TRUE),NA())</f>
        <v>4041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354</v>
      </c>
      <c r="C6" s="194" t="s">
        <v>356</v>
      </c>
      <c r="D6" s="208">
        <f>D5+2</f>
        <v>132</v>
      </c>
      <c r="E6" s="30" t="s">
        <v>358</v>
      </c>
      <c r="F6" s="208" t="b">
        <v>1</v>
      </c>
      <c r="G6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"%USERPROFILE%\AppData\Local\Temp\OnboardLogs"\RTDC4001\*4001*201703061*</v>
      </c>
      <c r="I6" s="210" t="str">
        <f>IF(VLOOKUP(K6,'Train Runs'!$A$13:$V$985,1,TRUE)=K6,VLOOKUP(K6,'Train Runs'!$A$13:$V$985,22,TRUE),NA())</f>
        <v>https://d0f6bd738d7f1b3e5a7ca70fe4ff75f0.us-east-1.aws.found.io/app/kibana#/discover/Steve-Slow-Train-Analysis-(2080s-and-2083s)?_g=(refreshInterval:(display:Off,pause:!f,section:0,value:0),time:(from:'2017-04-20T07:10:30-0600',mode:absolute,to:'2017-04-20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6" s="206">
        <f t="shared" si="2"/>
        <v>42800.625</v>
      </c>
      <c r="K6" s="206" t="str">
        <f>D6&amp;"-"&amp;IF(DAY(Variables!$A$2)&lt;10,0,"")&amp;DAY(Variables!$A$2)</f>
        <v>132-20</v>
      </c>
      <c r="L6" s="202">
        <f>IF(VLOOKUP(K6,'Train Runs'!$A$12:$B$985,1,TRUE)=K6,VLOOKUP(K6,'Train Runs'!$A$12:$B$985,2,TRUE),NA())</f>
        <v>4001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354</v>
      </c>
      <c r="C7" s="194" t="s">
        <v>356</v>
      </c>
      <c r="D7" s="208">
        <f t="shared" ref="D7:D11" si="4">D6+2</f>
        <v>134</v>
      </c>
      <c r="E7" s="30" t="s">
        <v>358</v>
      </c>
      <c r="F7" s="208" t="b">
        <v>1</v>
      </c>
      <c r="G7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"%USERPROFILE%\AppData\Local\Temp\OnboardLogs"\RTDC4045\*4045*201703061*</v>
      </c>
      <c r="I7" s="210" t="str">
        <f>IF(VLOOKUP(K7,'Train Runs'!$A$13:$V$985,1,TRUE)=K7,VLOOKUP(K7,'Train Runs'!$A$13:$V$985,22,TRUE),NA())</f>
        <v>https://d0f6bd738d7f1b3e5a7ca70fe4ff75f0.us-east-1.aws.found.io/app/kibana#/discover/Steve-Slow-Train-Analysis-(2080s-and-2083s)?_g=(refreshInterval:(display:Off,pause:!f,section:0,value:0),time:(from:'2017-04-20T07:32:35-0600',mode:absolute,to:'2017-04-20T10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134-20</v>
      </c>
      <c r="L7" s="202">
        <f>IF(VLOOKUP(K7,'Train Runs'!$A$12:$B$985,1,TRUE)=K7,VLOOKUP(K7,'Train Runs'!$A$12:$B$985,2,TRUE),NA())</f>
        <v>4045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354</v>
      </c>
      <c r="C8" s="194" t="s">
        <v>356</v>
      </c>
      <c r="D8" s="208">
        <f t="shared" si="4"/>
        <v>136</v>
      </c>
      <c r="E8" s="30" t="s">
        <v>358</v>
      </c>
      <c r="F8" s="208" t="b">
        <v>1</v>
      </c>
      <c r="G8" s="212" t="str">
        <f t="shared" si="0"/>
        <v>"C:\Program Files (x86)\AstroGrep\AstroGrep.exe" /e /r /s /spath="%USERPROFILE%\AppData\Local\Temp\OnboardLogs" /stypes="*4025*201703061*"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"%USERPROFILE%\AppData\Local\Temp\OnboardLogs"\RTDC4025\*4025*201703061*</v>
      </c>
      <c r="I8" s="210" t="str">
        <f>IF(VLOOKUP(K8,'Train Runs'!$A$13:$V$985,1,TRUE)=K8,VLOOKUP(K8,'Train Runs'!$A$13:$V$985,22,TRUE),NA())</f>
        <v>https://d0f6bd738d7f1b3e5a7ca70fe4ff75f0.us-east-1.aws.found.io/app/kibana#/discover/Steve-Slow-Train-Analysis-(2080s-and-2083s)?_g=(refreshInterval:(display:Off,pause:!f,section:0,value:0),time:(from:'2017-04-20T07:45:05-0600',mode:absolute,to:'2017-04-20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136-20</v>
      </c>
      <c r="L8" s="202">
        <f>IF(VLOOKUP(K8,'Train Runs'!$A$12:$B$985,1,TRUE)=K8,VLOOKUP(K8,'Train Runs'!$A$12:$B$985,2,TRUE),NA())</f>
        <v>4025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354</v>
      </c>
      <c r="C9" s="194" t="s">
        <v>356</v>
      </c>
      <c r="D9" s="208">
        <f t="shared" si="4"/>
        <v>138</v>
      </c>
      <c r="E9" s="30" t="s">
        <v>358</v>
      </c>
      <c r="F9" s="208" t="b">
        <v>1</v>
      </c>
      <c r="G9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"%USERPROFILE%\AppData\Local\Temp\OnboardLogs"\RTDC4053\*4053*201703061*</v>
      </c>
      <c r="I9" s="210" t="str">
        <f>IF(VLOOKUP(K9,'Train Runs'!$A$13:$V$985,1,TRUE)=K9,VLOOKUP(K9,'Train Runs'!$A$13:$V$985,22,TRUE),NA())</f>
        <v>https://d0f6bd738d7f1b3e5a7ca70fe4ff75f0.us-east-1.aws.found.io/app/kibana#/discover/Steve-Slow-Train-Analysis-(2080s-and-2083s)?_g=(refreshInterval:(display:Off,pause:!f,section:0,value:0),time:(from:'2017-04-20T08:09:48-0600',mode:absolute,to:'2017-04-20T10:48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138-20</v>
      </c>
      <c r="L9" s="202">
        <f>IF(VLOOKUP(K9,'Train Runs'!$A$12:$B$985,1,TRUE)=K9,VLOOKUP(K9,'Train Runs'!$A$12:$B$985,2,TRUE),NA())</f>
        <v>4053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354</v>
      </c>
      <c r="C10" s="194" t="s">
        <v>356</v>
      </c>
      <c r="D10" s="208">
        <f t="shared" si="4"/>
        <v>140</v>
      </c>
      <c r="E10" s="30" t="s">
        <v>358</v>
      </c>
      <c r="F10" s="208" t="b">
        <v>1</v>
      </c>
      <c r="G10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"%USERPROFILE%\AppData\Local\Temp\OnboardLogs"\RTDC4007\*4007*201703061*</v>
      </c>
      <c r="I10" s="210" t="str">
        <f>IF(VLOOKUP(K10,'Train Runs'!$A$13:$V$985,1,TRUE)=K10,VLOOKUP(K10,'Train Runs'!$A$13:$V$985,22,TRUE),NA())</f>
        <v>https://d0f6bd738d7f1b3e5a7ca70fe4ff75f0.us-east-1.aws.found.io/app/kibana#/discover/Steve-Slow-Train-Analysis-(2080s-and-2083s)?_g=(refreshInterval:(display:Off,pause:!f,section:0,value:0),time:(from:'2017-04-20T08:06:19-0600',mode:absolute,to:'2017-04-20T11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140-20</v>
      </c>
      <c r="L10" s="202">
        <f>IF(VLOOKUP(K10,'Train Runs'!$A$12:$B$985,1,TRUE)=K10,VLOOKUP(K10,'Train Runs'!$A$12:$B$985,2,TRUE),NA())</f>
        <v>4007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354</v>
      </c>
      <c r="C11" s="194" t="s">
        <v>356</v>
      </c>
      <c r="D11" s="208">
        <f t="shared" si="4"/>
        <v>142</v>
      </c>
      <c r="E11" s="30" t="s">
        <v>358</v>
      </c>
      <c r="F11" s="208" t="b">
        <v>1</v>
      </c>
      <c r="G11" s="212" t="str">
        <f t="shared" si="0"/>
        <v>"C:\Program Files (x86)\AstroGrep\AstroGrep.exe" /e /r /s /spath="%USERPROFILE%\AppData\Local\Temp\OnboardLogs" /stypes="*4023*201703061*"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"%USERPROFILE%\AppData\Local\Temp\OnboardLogs"\RTDC4023\*4023*201703061*</v>
      </c>
      <c r="I11" s="210" t="str">
        <f>IF(VLOOKUP(K11,'Train Runs'!$A$13:$V$985,1,TRUE)=K11,VLOOKUP(K11,'Train Runs'!$A$13:$V$985,22,TRUE),NA())</f>
        <v>https://d0f6bd738d7f1b3e5a7ca70fe4ff75f0.us-east-1.aws.found.io/app/kibana#/discover/Steve-Slow-Train-Analysis-(2080s-and-2083s)?_g=(refreshInterval:(display:Off,pause:!f,section:0,value:0),time:(from:'2017-04-20T08:34:29-0600',mode:absolute,to:'2017-04-20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142-20</v>
      </c>
      <c r="L11" s="202">
        <f>IF(VLOOKUP(K11,'Train Runs'!$A$12:$B$985,1,TRUE)=K11,VLOOKUP(K11,'Train Runs'!$A$12:$B$985,2,TRUE),NA())</f>
        <v>4023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354</v>
      </c>
      <c r="C12" s="194" t="s">
        <v>356</v>
      </c>
      <c r="D12" s="208">
        <v>144</v>
      </c>
      <c r="E12" s="30" t="s">
        <v>358</v>
      </c>
      <c r="F12" s="208" t="b">
        <v>1</v>
      </c>
      <c r="G12" s="212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"%USERPROFILE%\AppData\Local\Temp\OnboardLogs"\RTDC4041\*4041*201703061*</v>
      </c>
      <c r="I12" s="210" t="str">
        <f>IF(VLOOKUP(K12,'Train Runs'!$A$13:$V$985,1,TRUE)=K12,VLOOKUP(K12,'Train Runs'!$A$13:$V$985,22,TRUE),NA())</f>
        <v>https://d0f6bd738d7f1b3e5a7ca70fe4ff75f0.us-east-1.aws.found.io/app/kibana#/discover/Steve-Slow-Train-Analysis-(2080s-and-2083s)?_g=(refreshInterval:(display:Off,pause:!f,section:0,value:0),time:(from:'2017-04-20T08:53:05-0600',mode:absolute,to:'2017-04-20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144-20</v>
      </c>
      <c r="L12" s="202">
        <f>IF(VLOOKUP(K12,'Train Runs'!$A$12:$B$985,1,TRUE)=K12,VLOOKUP(K12,'Train Runs'!$A$12:$B$985,2,TRUE),NA())</f>
        <v>4041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354</v>
      </c>
      <c r="C13" s="194" t="s">
        <v>356</v>
      </c>
      <c r="D13" s="208">
        <v>146</v>
      </c>
      <c r="E13" s="30" t="s">
        <v>358</v>
      </c>
      <c r="F13" s="208" t="b">
        <v>1</v>
      </c>
      <c r="G13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"%USERPROFILE%\AppData\Local\Temp\OnboardLogs"\RTDC4001\*4001*201703061*</v>
      </c>
      <c r="I13" s="210" t="str">
        <f>IF(VLOOKUP(K13,'Train Runs'!$A$13:$V$985,1,TRUE)=K13,VLOOKUP(K13,'Train Runs'!$A$13:$V$985,22,TRUE),NA())</f>
        <v>https://d0f6bd738d7f1b3e5a7ca70fe4ff75f0.us-east-1.aws.found.io/app/kibana#/discover/Steve-Slow-Train-Analysis-(2080s-and-2083s)?_g=(refreshInterval:(display:Off,pause:!f,section:0,value:0),time:(from:'2017-04-20T08:53:55-0600',mode:absolute,to:'2017-04-20T11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146-20</v>
      </c>
      <c r="L13" s="202">
        <f>IF(VLOOKUP(K13,'Train Runs'!$A$12:$B$985,1,TRUE)=K13,VLOOKUP(K13,'Train Runs'!$A$12:$B$985,2,TRUE),NA())</f>
        <v>4001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354</v>
      </c>
      <c r="C14" s="194" t="s">
        <v>356</v>
      </c>
      <c r="D14" s="208">
        <v>148</v>
      </c>
      <c r="E14" s="30" t="s">
        <v>362</v>
      </c>
      <c r="F14" s="208" t="b">
        <v>1</v>
      </c>
      <c r="G14" s="212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"%USERPROFILE%\AppData\Local\Temp\OnboardLogs"\RTDC4045\*4045*201703061*</v>
      </c>
      <c r="I14" s="210" t="str">
        <f>IF(VLOOKUP(K14,'Train Runs'!$A$13:$V$985,1,TRUE)=K14,VLOOKUP(K14,'Train Runs'!$A$13:$V$985,22,TRUE),NA())</f>
        <v>https://d0f6bd738d7f1b3e5a7ca70fe4ff75f0.us-east-1.aws.found.io/app/kibana#/discover/Steve-Slow-Train-Analysis-(2080s-and-2083s)?_g=(refreshInterval:(display:Off,pause:!f,section:0,value:0),time:(from:'2017-04-20T09:17:54-0600',mode:absolute,to:'2017-04-20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148-20</v>
      </c>
      <c r="L14" s="202">
        <f>IF(VLOOKUP(K14,'Train Runs'!$A$12:$B$985,1,TRUE)=K14,VLOOKUP(K14,'Train Runs'!$A$12:$B$985,2,TRUE),NA())</f>
        <v>4045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354</v>
      </c>
      <c r="C15" s="194" t="s">
        <v>356</v>
      </c>
      <c r="D15" s="208">
        <v>178</v>
      </c>
      <c r="E15" s="30" t="s">
        <v>363</v>
      </c>
      <c r="F15" s="208" t="b">
        <v>1</v>
      </c>
      <c r="G15" s="212" t="str">
        <f t="shared" si="0"/>
        <v>"C:\Program Files (x86)\AstroGrep\AstroGrep.exe" /e /r /s /spath="%USERPROFILE%\AppData\Local\Temp\OnboardLogs" /stypes="*4025*201703062*"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"%USERPROFILE%\AppData\Local\Temp\OnboardLogs"\RTDC4025\*4025*201703062*</v>
      </c>
      <c r="I15" s="210" t="str">
        <f>IF(VLOOKUP(K15,'Train Runs'!$A$13:$V$985,1,TRUE)=K15,VLOOKUP(K15,'Train Runs'!$A$13:$V$985,22,TRUE),NA())</f>
        <v>https://d0f6bd738d7f1b3e5a7ca70fe4ff75f0.us-east-1.aws.found.io/app/kibana#/discover/Steve-Slow-Train-Analysis-(2080s-and-2083s)?_g=(refreshInterval:(display:Off,pause:!f,section:0,value:0),time:(from:'2017-04-20T13:02:18-0600',mode:absolute,to:'2017-04-20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178-20</v>
      </c>
      <c r="L15" s="202">
        <f>IF(VLOOKUP(K15,'Train Runs'!$A$12:$B$985,1,TRUE)=K15,VLOOKUP(K15,'Train Runs'!$A$12:$B$985,2,TRUE),NA())</f>
        <v>4025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354</v>
      </c>
      <c r="C16" s="194" t="s">
        <v>356</v>
      </c>
      <c r="D16" s="208">
        <v>194</v>
      </c>
      <c r="E16" s="30" t="s">
        <v>363</v>
      </c>
      <c r="F16" s="208" t="b">
        <v>1</v>
      </c>
      <c r="G16" s="212" t="str">
        <f t="shared" si="0"/>
        <v>"C:\Program Files (x86)\AstroGrep\AstroGrep.exe" /e /r /s /spath="%USERPROFILE%\AppData\Local\Temp\OnboardLogs" /stypes="*4053*201703062*"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"%USERPROFILE%\AppData\Local\Temp\OnboardLogs"\RTDC4053\*4053*201703062*</v>
      </c>
      <c r="I16" s="210" t="str">
        <f>IF(VLOOKUP(K16,'Train Runs'!$A$13:$V$985,1,TRUE)=K16,VLOOKUP(K16,'Train Runs'!$A$13:$V$985,22,TRUE),NA())</f>
        <v>https://d0f6bd738d7f1b3e5a7ca70fe4ff75f0.us-east-1.aws.found.io/app/kibana#/discover/Steve-Slow-Train-Analysis-(2080s-and-2083s)?_g=(refreshInterval:(display:Off,pause:!f,section:0,value:0),time:(from:'2017-04-20T14:59:51-0600',mode:absolute,to:'2017-04-20T17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194-20</v>
      </c>
      <c r="L16" s="202">
        <f>IF(VLOOKUP(K16,'Train Runs'!$A$12:$B$985,1,TRUE)=K16,VLOOKUP(K16,'Train Runs'!$A$12:$B$985,2,TRUE),NA())</f>
        <v>4053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354</v>
      </c>
      <c r="C17" s="194" t="s">
        <v>356</v>
      </c>
      <c r="D17" s="208">
        <v>206</v>
      </c>
      <c r="E17" s="30" t="s">
        <v>358</v>
      </c>
      <c r="F17" s="208" t="b">
        <v>1</v>
      </c>
      <c r="G17" s="212" t="str">
        <f t="shared" si="0"/>
        <v>"C:\Program Files (x86)\AstroGrep\AstroGrep.exe" /e /r /s /spath="%USERPROFILE%\AppData\Local\Temp\OnboardLogs" /stypes="*4025*201703070*"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"%USERPROFILE%\AppData\Local\Temp\OnboardLogs"\RTDC4025\*4025*201703070*</v>
      </c>
      <c r="I17" s="210" t="str">
        <f>IF(VLOOKUP(K17,'Train Runs'!$A$13:$V$985,1,TRUE)=K17,VLOOKUP(K17,'Train Runs'!$A$13:$V$985,22,TRUE),NA())</f>
        <v>https://d0f6bd738d7f1b3e5a7ca70fe4ff75f0.us-east-1.aws.found.io/app/kibana#/discover/Steve-Slow-Train-Analysis-(2080s-and-2083s)?_g=(refreshInterval:(display:Off,pause:!f,section:0,value:0),time:(from:'2017-04-20T16:31:33-0600',mode:absolute,to:'2017-04-20T19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206-20</v>
      </c>
      <c r="L17" s="202">
        <f>IF(VLOOKUP(K17,'Train Runs'!$A$12:$B$985,1,TRUE)=K17,VLOOKUP(K17,'Train Runs'!$A$12:$B$985,2,TRUE),NA())</f>
        <v>4025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354</v>
      </c>
      <c r="C18" s="194" t="s">
        <v>356</v>
      </c>
      <c r="D18" s="208">
        <v>210</v>
      </c>
      <c r="E18" s="30" t="s">
        <v>358</v>
      </c>
      <c r="F18" s="208" t="b">
        <v>1</v>
      </c>
      <c r="G18" s="212" t="str">
        <f t="shared" si="0"/>
        <v>"C:\Program Files (x86)\AstroGrep\AstroGrep.exe" /e /r /s /spath="%USERPROFILE%\AppData\Local\Temp\OnboardLogs" /stypes="*4007*201703070*"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"%USERPROFILE%\AppData\Local\Temp\OnboardLogs"\RTDC4007\*4007*201703070*</v>
      </c>
      <c r="I18" s="210" t="str">
        <f>IF(VLOOKUP(K18,'Train Runs'!$A$13:$V$985,1,TRUE)=K18,VLOOKUP(K18,'Train Runs'!$A$13:$V$985,22,TRUE),NA())</f>
        <v>https://d0f6bd738d7f1b3e5a7ca70fe4ff75f0.us-east-1.aws.found.io/app/kibana#/discover/Steve-Slow-Train-Analysis-(2080s-and-2083s)?_g=(refreshInterval:(display:Off,pause:!f,section:0,value:0),time:(from:'2017-04-20T17:08:09-0600',mode:absolute,to:'2017-04-20T19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210-20</v>
      </c>
      <c r="L18" s="202">
        <f>IF(VLOOKUP(K18,'Train Runs'!$A$12:$B$985,1,TRUE)=K18,VLOOKUP(K18,'Train Runs'!$A$12:$B$985,2,TRUE),NA())</f>
        <v>4007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354</v>
      </c>
      <c r="C19" s="194" t="s">
        <v>356</v>
      </c>
      <c r="D19" s="208">
        <f>D18+2</f>
        <v>212</v>
      </c>
      <c r="E19" s="30" t="s">
        <v>358</v>
      </c>
      <c r="F19" s="208" t="b">
        <v>1</v>
      </c>
      <c r="G19" s="212" t="str">
        <f t="shared" si="0"/>
        <v>"C:\Program Files (x86)\AstroGrep\AstroGrep.exe" /e /r /s /spath="%USERPROFILE%\AppData\Local\Temp\OnboardLogs" /stypes="*4023*201703070*"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"%USERPROFILE%\AppData\Local\Temp\OnboardLogs"\RTDC4023\*4023*201703070*</v>
      </c>
      <c r="I19" s="210" t="str">
        <f>IF(VLOOKUP(K19,'Train Runs'!$A$13:$V$985,1,TRUE)=K19,VLOOKUP(K19,'Train Runs'!$A$13:$V$985,22,TRUE),NA())</f>
        <v>https://d0f6bd738d7f1b3e5a7ca70fe4ff75f0.us-east-1.aws.found.io/app/kibana#/discover/Steve-Slow-Train-Analysis-(2080s-and-2083s)?_g=(refreshInterval:(display:Off,pause:!f,section:0,value:0),time:(from:'2017-04-20T17:16:25-0600',mode:absolute,to:'2017-04-20T20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212-20</v>
      </c>
      <c r="L19" s="202">
        <f>IF(VLOOKUP(K19,'Train Runs'!$A$12:$B$985,1,TRUE)=K19,VLOOKUP(K19,'Train Runs'!$A$12:$B$985,2,TRUE),NA())</f>
        <v>4023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354</v>
      </c>
      <c r="C20" s="194" t="s">
        <v>356</v>
      </c>
      <c r="D20" s="208">
        <v>214</v>
      </c>
      <c r="E20" s="30" t="s">
        <v>358</v>
      </c>
      <c r="F20" s="208" t="b">
        <v>1</v>
      </c>
      <c r="G20" s="212" t="str">
        <f t="shared" si="0"/>
        <v>"C:\Program Files (x86)\AstroGrep\AstroGrep.exe" /e /r /s /spath="%USERPROFILE%\AppData\Local\Temp\OnboardLogs" /stypes="*4041*201703070*"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"%USERPROFILE%\AppData\Local\Temp\OnboardLogs"\RTDC4041\*4041*201703070*</v>
      </c>
      <c r="I20" s="210" t="str">
        <f>IF(VLOOKUP(K20,'Train Runs'!$A$13:$V$985,1,TRUE)=K20,VLOOKUP(K20,'Train Runs'!$A$13:$V$985,22,TRUE),NA())</f>
        <v>https://d0f6bd738d7f1b3e5a7ca70fe4ff75f0.us-east-1.aws.found.io/app/kibana#/discover/Steve-Slow-Train-Analysis-(2080s-and-2083s)?_g=(refreshInterval:(display:Off,pause:!f,section:0,value:0),time:(from:'2017-04-20T17:28:47-0600',mode:absolute,to:'2017-04-20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214-20</v>
      </c>
      <c r="L20" s="202">
        <f>IF(VLOOKUP(K20,'Train Runs'!$A$12:$B$985,1,TRUE)=K20,VLOOKUP(K20,'Train Runs'!$A$12:$B$985,2,TRUE),NA())</f>
        <v>4041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354</v>
      </c>
      <c r="C21" s="194" t="s">
        <v>356</v>
      </c>
      <c r="D21" s="208">
        <v>216</v>
      </c>
      <c r="E21" s="30" t="s">
        <v>358</v>
      </c>
      <c r="F21" s="208" t="b">
        <v>1</v>
      </c>
      <c r="G21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"%USERPROFILE%\AppData\Local\Temp\OnboardLogs"\RTDC4001\*4001*201703070*</v>
      </c>
      <c r="I21" s="210" t="str">
        <f>IF(VLOOKUP(K21,'Train Runs'!$A$13:$V$985,1,TRUE)=K21,VLOOKUP(K21,'Train Runs'!$A$13:$V$985,22,TRUE),NA())</f>
        <v>https://d0f6bd738d7f1b3e5a7ca70fe4ff75f0.us-east-1.aws.found.io/app/kibana#/discover/Steve-Slow-Train-Analysis-(2080s-and-2083s)?_g=(refreshInterval:(display:Off,pause:!f,section:0,value:0),time:(from:'2017-04-20T17:47:35-0600',mode:absolute,to:'2017-04-20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216-20</v>
      </c>
      <c r="L21" s="202">
        <f>IF(VLOOKUP(K21,'Train Runs'!$A$12:$B$985,1,TRUE)=K21,VLOOKUP(K21,'Train Runs'!$A$12:$B$985,2,TRUE),NA())</f>
        <v>4001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354</v>
      </c>
      <c r="C22" s="194" t="s">
        <v>356</v>
      </c>
      <c r="D22" s="208">
        <f>D21+2</f>
        <v>218</v>
      </c>
      <c r="E22" s="30" t="s">
        <v>358</v>
      </c>
      <c r="F22" s="208" t="b">
        <v>1</v>
      </c>
      <c r="G22" s="212" t="str">
        <f t="shared" si="0"/>
        <v>"C:\Program Files (x86)\AstroGrep\AstroGrep.exe" /e /r /s /spath="%USERPROFILE%\AppData\Local\Temp\OnboardLogs" /stypes="*4027*201703070*"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"%USERPROFILE%\AppData\Local\Temp\OnboardLogs"\RTDC4027\*4027*201703070*</v>
      </c>
      <c r="I22" s="210" t="str">
        <f>IF(VLOOKUP(K22,'Train Runs'!$A$13:$V$985,1,TRUE)=K22,VLOOKUP(K22,'Train Runs'!$A$13:$V$985,22,TRUE),NA())</f>
        <v>https://d0f6bd738d7f1b3e5a7ca70fe4ff75f0.us-east-1.aws.found.io/app/kibana#/discover/Steve-Slow-Train-Analysis-(2080s-and-2083s)?_g=(refreshInterval:(display:Off,pause:!f,section:0,value:0),time:(from:'2017-04-20T18:07:09-0600',mode:absolute,to:'2017-04-20T20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218-20</v>
      </c>
      <c r="L22" s="202">
        <f>IF(VLOOKUP(K22,'Train Runs'!$A$12:$B$985,1,TRUE)=K22,VLOOKUP(K22,'Train Runs'!$A$12:$B$985,2,TRUE),NA())</f>
        <v>4027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354</v>
      </c>
      <c r="C23" s="194" t="s">
        <v>356</v>
      </c>
      <c r="D23" s="208">
        <f>D22+2</f>
        <v>220</v>
      </c>
      <c r="E23" s="30" t="s">
        <v>358</v>
      </c>
      <c r="F23" s="208" t="b">
        <v>1</v>
      </c>
      <c r="G23" s="212" t="str">
        <f t="shared" si="0"/>
        <v>"C:\Program Files (x86)\AstroGrep\AstroGrep.exe" /e /r /s /spath="%USERPROFILE%\AppData\Local\Temp\OnboardLogs" /stypes="*4025*201703070*"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"%USERPROFILE%\AppData\Local\Temp\OnboardLogs"\RTDC4025\*4025*201703070*</v>
      </c>
      <c r="I23" s="210" t="str">
        <f>IF(VLOOKUP(K23,'Train Runs'!$A$13:$V$985,1,TRUE)=K23,VLOOKUP(K23,'Train Runs'!$A$13:$V$985,22,TRUE),NA())</f>
        <v>https://d0f6bd738d7f1b3e5a7ca70fe4ff75f0.us-east-1.aws.found.io/app/kibana#/discover/Steve-Slow-Train-Analysis-(2080s-and-2083s)?_g=(refreshInterval:(display:Off,pause:!f,section:0,value:0),time:(from:'2017-04-20T18:16:13-0600',mode:absolute,to:'2017-04-20T21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220-20</v>
      </c>
      <c r="L23" s="202">
        <f>IF(VLOOKUP(K23,'Train Runs'!$A$12:$B$985,1,TRUE)=K23,VLOOKUP(K23,'Train Runs'!$A$12:$B$985,2,TRUE),NA())</f>
        <v>4025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354</v>
      </c>
      <c r="C24" s="194" t="s">
        <v>356</v>
      </c>
      <c r="D24" s="208">
        <f>D23+2</f>
        <v>222</v>
      </c>
      <c r="E24" s="30" t="s">
        <v>358</v>
      </c>
      <c r="F24" s="208" t="b">
        <v>1</v>
      </c>
      <c r="G24" s="212" t="str">
        <f t="shared" si="0"/>
        <v>"C:\Program Files (x86)\AstroGrep\AstroGrep.exe" /e /r /s /spath="%USERPROFILE%\AppData\Local\Temp\OnboardLogs" /stypes="*4007*201703070*"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"%USERPROFILE%\AppData\Local\Temp\OnboardLogs"\RTDC4007\*4007*201703070*</v>
      </c>
      <c r="I24" s="210" t="str">
        <f>IF(VLOOKUP(K24,'Train Runs'!$A$13:$V$985,1,TRUE)=K24,VLOOKUP(K24,'Train Runs'!$A$13:$V$985,22,TRUE),NA())</f>
        <v>https://d0f6bd738d7f1b3e5a7ca70fe4ff75f0.us-east-1.aws.found.io/app/kibana#/discover/Steve-Slow-Train-Analysis-(2080s-and-2083s)?_g=(refreshInterval:(display:Off,pause:!f,section:0,value:0),time:(from:'2017-04-20T18:49:06-0600',mode:absolute,to:'2017-04-20T21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222-20</v>
      </c>
      <c r="L24" s="202">
        <f>IF(VLOOKUP(K24,'Train Runs'!$A$12:$B$985,1,TRUE)=K24,VLOOKUP(K24,'Train Runs'!$A$12:$B$985,2,TRUE),NA())</f>
        <v>4007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354</v>
      </c>
      <c r="C25" s="194" t="s">
        <v>356</v>
      </c>
      <c r="D25" s="208">
        <f>D24+2</f>
        <v>224</v>
      </c>
      <c r="E25" s="30" t="s">
        <v>358</v>
      </c>
      <c r="F25" s="208" t="b">
        <v>1</v>
      </c>
      <c r="G25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"%USERPROFILE%\AppData\Local\Temp\OnboardLogs"\RTDC4041\*4041*201703070*</v>
      </c>
      <c r="I25" s="210" t="str">
        <f>IF(VLOOKUP(K25,'Train Runs'!$A$13:$V$985,1,TRUE)=K25,VLOOKUP(K25,'Train Runs'!$A$13:$V$985,22,TRUE),NA())</f>
        <v>https://d0f6bd738d7f1b3e5a7ca70fe4ff75f0.us-east-1.aws.found.io/app/kibana#/discover/Steve-Slow-Train-Analysis-(2080s-and-2083s)?_g=(refreshInterval:(display:Off,pause:!f,section:0,value:0),time:(from:'2017-04-20T19:21:14-0600',mode:absolute,to:'2017-04-20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224-20</v>
      </c>
      <c r="L25" s="202">
        <f>IF(VLOOKUP(K25,'Train Runs'!$A$12:$B$985,1,TRUE)=K25,VLOOKUP(K25,'Train Runs'!$A$12:$B$985,2,TRUE),NA())</f>
        <v>4041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354</v>
      </c>
      <c r="C26" s="194" t="s">
        <v>356</v>
      </c>
      <c r="D26" s="208">
        <f>D25+2</f>
        <v>226</v>
      </c>
      <c r="E26" s="30" t="s">
        <v>358</v>
      </c>
      <c r="F26" s="208" t="b">
        <v>1</v>
      </c>
      <c r="G26" s="212" t="str">
        <f t="shared" si="0"/>
        <v>"C:\Program Files (x86)\AstroGrep\AstroGrep.exe" /e /r /s /spath="%USERPROFILE%\AppData\Local\Temp\OnboardLogs" /stypes="*4027*201703070*"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"%USERPROFILE%\AppData\Local\Temp\OnboardLogs"\RTDC4027\*4027*201703070*</v>
      </c>
      <c r="I26" s="210" t="str">
        <f>IF(VLOOKUP(K26,'Train Runs'!$A$13:$V$985,1,TRUE)=K26,VLOOKUP(K26,'Train Runs'!$A$13:$V$985,22,TRUE),NA())</f>
        <v>https://d0f6bd738d7f1b3e5a7ca70fe4ff75f0.us-east-1.aws.found.io/app/kibana#/discover/Steve-Slow-Train-Analysis-(2080s-and-2083s)?_g=(refreshInterval:(display:Off,pause:!f,section:0,value:0),time:(from:'2017-04-20T19:48:01-0600',mode:absolute,to:'2017-04-20T22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226-20</v>
      </c>
      <c r="L26" s="202">
        <f>IF(VLOOKUP(K26,'Train Runs'!$A$12:$B$985,1,TRUE)=K26,VLOOKUP(K26,'Train Runs'!$A$12:$B$985,2,TRUE),NA())</f>
        <v>4027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354</v>
      </c>
      <c r="C27" s="194" t="s">
        <v>356</v>
      </c>
      <c r="D27" s="208">
        <f t="shared" ref="D27:D33" si="5">D26+2</f>
        <v>228</v>
      </c>
      <c r="E27" s="30" t="s">
        <v>358</v>
      </c>
      <c r="F27" s="208" t="b">
        <v>1</v>
      </c>
      <c r="G27" s="212" t="str">
        <f t="shared" si="0"/>
        <v>"C:\Program Files (x86)\AstroGrep\AstroGrep.exe" /e /r /s /spath="%USERPROFILE%\AppData\Local\Temp\OnboardLogs" /stypes="*4025*201703070*"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"%USERPROFILE%\AppData\Local\Temp\OnboardLogs"\RTDC4025\*4025*201703070*</v>
      </c>
      <c r="I27" s="210" t="str">
        <f>IF(VLOOKUP(K27,'Train Runs'!$A$13:$V$985,1,TRUE)=K27,VLOOKUP(K27,'Train Runs'!$A$13:$V$985,22,TRUE),NA())</f>
        <v>https://d0f6bd738d7f1b3e5a7ca70fe4ff75f0.us-east-1.aws.found.io/app/kibana#/discover/Steve-Slow-Train-Analysis-(2080s-and-2083s)?_g=(refreshInterval:(display:Off,pause:!f,section:0,value:0),time:(from:'2017-04-20T20:21:04-0600',mode:absolute,to:'2017-04-20T23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228-20</v>
      </c>
      <c r="L27" s="202">
        <f>IF(VLOOKUP(K27,'Train Runs'!$A$12:$B$985,1,TRUE)=K27,VLOOKUP(K27,'Train Runs'!$A$12:$B$985,2,TRUE),NA())</f>
        <v>4025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354</v>
      </c>
      <c r="C28" s="194" t="s">
        <v>356</v>
      </c>
      <c r="D28" s="208">
        <f t="shared" si="5"/>
        <v>230</v>
      </c>
      <c r="E28" s="30" t="s">
        <v>358</v>
      </c>
      <c r="F28" s="208" t="b">
        <v>1</v>
      </c>
      <c r="G28" s="212" t="str">
        <f t="shared" si="0"/>
        <v>"C:\Program Files (x86)\AstroGrep\AstroGrep.exe" /e /r /s /spath="%USERPROFILE%\AppData\Local\Temp\OnboardLogs" /stypes="*4007*201703070*"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"%USERPROFILE%\AppData\Local\Temp\OnboardLogs"\RTDC4007\*4007*201703070*</v>
      </c>
      <c r="I28" s="210" t="str">
        <f>IF(VLOOKUP(K28,'Train Runs'!$A$13:$V$985,1,TRUE)=K28,VLOOKUP(K28,'Train Runs'!$A$13:$V$985,22,TRUE),NA())</f>
        <v>https://d0f6bd738d7f1b3e5a7ca70fe4ff75f0.us-east-1.aws.found.io/app/kibana#/discover/Steve-Slow-Train-Analysis-(2080s-and-2083s)?_g=(refreshInterval:(display:Off,pause:!f,section:0,value:0),time:(from:'2017-04-20T20:52:55-0600',mode:absolute,to:'2017-04-20T23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230-20</v>
      </c>
      <c r="L28" s="202">
        <f>IF(VLOOKUP(K28,'Train Runs'!$A$12:$B$985,1,TRUE)=K28,VLOOKUP(K28,'Train Runs'!$A$12:$B$985,2,TRUE),NA())</f>
        <v>4007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354</v>
      </c>
      <c r="C29" s="194" t="s">
        <v>356</v>
      </c>
      <c r="D29" s="208">
        <f t="shared" si="5"/>
        <v>232</v>
      </c>
      <c r="E29" s="30" t="s">
        <v>358</v>
      </c>
      <c r="F29" s="208" t="b">
        <v>1</v>
      </c>
      <c r="G29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"%USERPROFILE%\AppData\Local\Temp\OnboardLogs"\RTDC4041\*4041*201703070*</v>
      </c>
      <c r="I29" s="210" t="str">
        <f>IF(VLOOKUP(K29,'Train Runs'!$A$13:$V$985,1,TRUE)=K29,VLOOKUP(K29,'Train Runs'!$A$13:$V$985,22,TRUE),NA())</f>
        <v>https://d0f6bd738d7f1b3e5a7ca70fe4ff75f0.us-east-1.aws.found.io/app/kibana#/discover/Steve-Slow-Train-Analysis-(2080s-and-2083s)?_g=(refreshInterval:(display:Off,pause:!f,section:0,value:0),time:(from:'2017-04-20T21:20:08-0600',mode:absolute,to:'2017-04-21T00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232-20</v>
      </c>
      <c r="L29" s="202">
        <f>IF(VLOOKUP(K29,'Train Runs'!$A$12:$B$985,1,TRUE)=K29,VLOOKUP(K29,'Train Runs'!$A$12:$B$985,2,TRUE),NA())</f>
        <v>4041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354</v>
      </c>
      <c r="C30" s="194" t="s">
        <v>356</v>
      </c>
      <c r="D30" s="208">
        <f t="shared" si="5"/>
        <v>234</v>
      </c>
      <c r="E30" s="30" t="s">
        <v>358</v>
      </c>
      <c r="F30" s="208" t="b">
        <v>1</v>
      </c>
      <c r="G30" s="212" t="str">
        <f t="shared" si="0"/>
        <v>"C:\Program Files (x86)\AstroGrep\AstroGrep.exe" /e /r /s /spath="%USERPROFILE%\AppData\Local\Temp\OnboardLogs" /stypes="*4027*201703070*"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"%USERPROFILE%\AppData\Local\Temp\OnboardLogs"\RTDC4027\*4027*201703070*</v>
      </c>
      <c r="I30" s="210" t="str">
        <f>IF(VLOOKUP(K30,'Train Runs'!$A$13:$V$985,1,TRUE)=K30,VLOOKUP(K30,'Train Runs'!$A$13:$V$985,22,TRUE),NA())</f>
        <v>https://d0f6bd738d7f1b3e5a7ca70fe4ff75f0.us-east-1.aws.found.io/app/kibana#/discover/Steve-Slow-Train-Analysis-(2080s-and-2083s)?_g=(refreshInterval:(display:Off,pause:!f,section:0,value:0),time:(from:'2017-04-20T21:46:21-0600',mode:absolute,to:'2017-04-21T00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234-20</v>
      </c>
      <c r="L30" s="202">
        <f>IF(VLOOKUP(K30,'Train Runs'!$A$12:$B$985,1,TRUE)=K30,VLOOKUP(K30,'Train Runs'!$A$12:$B$985,2,TRUE),NA())</f>
        <v>4027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354</v>
      </c>
      <c r="C31" s="194" t="s">
        <v>356</v>
      </c>
      <c r="D31" s="208">
        <f t="shared" si="5"/>
        <v>236</v>
      </c>
      <c r="E31" s="30" t="s">
        <v>358</v>
      </c>
      <c r="F31" s="208" t="b">
        <v>1</v>
      </c>
      <c r="G31" s="212" t="str">
        <f t="shared" si="0"/>
        <v>"C:\Program Files (x86)\AstroGrep\AstroGrep.exe" /e /r /s /spath="%USERPROFILE%\AppData\Local\Temp\OnboardLogs" /stypes="*4025*201703070*"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"%USERPROFILE%\AppData\Local\Temp\OnboardLogs"\RTDC4025\*4025*201703070*</v>
      </c>
      <c r="I31" s="210" t="str">
        <f>IF(VLOOKUP(K31,'Train Runs'!$A$13:$V$985,1,TRUE)=K31,VLOOKUP(K31,'Train Runs'!$A$13:$V$985,22,TRUE),NA())</f>
        <v>https://d0f6bd738d7f1b3e5a7ca70fe4ff75f0.us-east-1.aws.found.io/app/kibana#/discover/Steve-Slow-Train-Analysis-(2080s-and-2083s)?_g=(refreshInterval:(display:Off,pause:!f,section:0,value:0),time:(from:'2017-04-20T22:24:13-0600',mode:absolute,to:'2017-04-21T01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236-20</v>
      </c>
      <c r="L31" s="202">
        <f>IF(VLOOKUP(K31,'Train Runs'!$A$12:$B$985,1,TRUE)=K31,VLOOKUP(K31,'Train Runs'!$A$12:$B$985,2,TRUE),NA())</f>
        <v>4025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354</v>
      </c>
      <c r="C32" s="194" t="s">
        <v>356</v>
      </c>
      <c r="D32" s="208">
        <f t="shared" si="5"/>
        <v>238</v>
      </c>
      <c r="E32" s="30" t="s">
        <v>358</v>
      </c>
      <c r="F32" s="208" t="b">
        <v>1</v>
      </c>
      <c r="G32" s="212" t="str">
        <f t="shared" si="0"/>
        <v>"C:\Program Files (x86)\AstroGrep\AstroGrep.exe" /e /r /s /spath="%USERPROFILE%\AppData\Local\Temp\OnboardLogs" /stypes="*4007*201703070*"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"%USERPROFILE%\AppData\Local\Temp\OnboardLogs"\RTDC4007\*4007*201703070*</v>
      </c>
      <c r="I32" s="210" t="str">
        <f>IF(VLOOKUP(K32,'Train Runs'!$A$13:$V$985,1,TRUE)=K32,VLOOKUP(K32,'Train Runs'!$A$13:$V$985,22,TRUE),NA())</f>
        <v>https://d0f6bd738d7f1b3e5a7ca70fe4ff75f0.us-east-1.aws.found.io/app/kibana#/discover/Steve-Slow-Train-Analysis-(2080s-and-2083s)?_g=(refreshInterval:(display:Off,pause:!f,section:0,value:0),time:(from:'2017-04-20T22:53:14-0600',mode:absolute,to:'2017-04-21T01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238-20</v>
      </c>
      <c r="L32" s="202">
        <f>IF(VLOOKUP(K32,'Train Runs'!$A$12:$B$985,1,TRUE)=K32,VLOOKUP(K32,'Train Runs'!$A$12:$B$985,2,TRUE),NA())</f>
        <v>4007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354</v>
      </c>
      <c r="C33" s="194" t="s">
        <v>356</v>
      </c>
      <c r="D33" s="208">
        <f t="shared" si="5"/>
        <v>240</v>
      </c>
      <c r="E33" s="30" t="s">
        <v>358</v>
      </c>
      <c r="F33" s="208" t="b">
        <v>1</v>
      </c>
      <c r="G33" s="212" t="str">
        <f t="shared" si="0"/>
        <v>"C:\Program Files (x86)\AstroGrep\AstroGrep.exe" /e /r /s /spath="%USERPROFILE%\AppData\Local\Temp\OnboardLogs" /stypes="*4041*201703070*"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"%USERPROFILE%\AppData\Local\Temp\OnboardLogs"\RTDC4041\*4041*201703070*</v>
      </c>
      <c r="I33" s="210" t="str">
        <f>IF(VLOOKUP(K33,'Train Runs'!$A$13:$V$985,1,TRUE)=K33,VLOOKUP(K33,'Train Runs'!$A$13:$V$985,22,TRUE),NA())</f>
        <v>https://d0f6bd738d7f1b3e5a7ca70fe4ff75f0.us-east-1.aws.found.io/app/kibana#/discover/Steve-Slow-Train-Analysis-(2080s-and-2083s)?_g=(refreshInterval:(display:Off,pause:!f,section:0,value:0),time:(from:'2017-04-20T23:21:03-0600',mode:absolute,to:'2017-04-21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240-20</v>
      </c>
      <c r="L33" s="202">
        <f>IF(VLOOKUP(K33,'Train Runs'!$A$12:$B$985,1,TRUE)=K33,VLOOKUP(K33,'Train Runs'!$A$12:$B$985,2,TRUE),NA())</f>
        <v>4041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354</v>
      </c>
      <c r="C34" s="194" t="s">
        <v>356</v>
      </c>
      <c r="D34" s="208">
        <v>240</v>
      </c>
      <c r="E34" s="30" t="s">
        <v>358</v>
      </c>
      <c r="F34" s="208" t="b">
        <v>1</v>
      </c>
      <c r="G34" s="212" t="str">
        <f t="shared" si="0"/>
        <v>"C:\Program Files (x86)\AstroGrep\AstroGrep.exe" /e /r /s /spath="%USERPROFILE%\AppData\Local\Temp\OnboardLogs" /stypes="*4041*201703070*"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"%USERPROFILE%\AppData\Local\Temp\OnboardLogs"\RTDC4041\*4041*201703070*</v>
      </c>
      <c r="I34" s="210" t="str">
        <f>IF(VLOOKUP(K34,'Train Runs'!$A$13:$V$985,1,TRUE)=K34,VLOOKUP(K34,'Train Runs'!$A$13:$V$985,22,TRUE),NA())</f>
        <v>https://d0f6bd738d7f1b3e5a7ca70fe4ff75f0.us-east-1.aws.found.io/app/kibana#/discover/Steve-Slow-Train-Analysis-(2080s-and-2083s)?_g=(refreshInterval:(display:Off,pause:!f,section:0,value:0),time:(from:'2017-04-20T23:21:03-0600',mode:absolute,to:'2017-04-21T02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240-20</v>
      </c>
      <c r="L34" s="202">
        <f>IF(VLOOKUP(K34,'Train Runs'!$A$12:$B$985,1,TRUE)=K34,VLOOKUP(K34,'Train Runs'!$A$12:$B$985,2,TRUE),NA())</f>
        <v>4041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354</v>
      </c>
      <c r="C35" s="194" t="s">
        <v>356</v>
      </c>
      <c r="D35" s="208">
        <v>242</v>
      </c>
      <c r="E35" s="30" t="s">
        <v>358</v>
      </c>
      <c r="F35" s="208" t="b">
        <v>1</v>
      </c>
      <c r="G35" s="212" t="str">
        <f t="shared" si="0"/>
        <v>"C:\Program Files (x86)\AstroGrep\AstroGrep.exe" /e /r /s /spath="%USERPROFILE%\AppData\Local\Temp\OnboardLogs" /stypes="*4027*201703070*"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"%USERPROFILE%\AppData\Local\Temp\OnboardLogs"\RTDC4027\*4027*201703070*</v>
      </c>
      <c r="I35" s="210" t="str">
        <f>IF(VLOOKUP(K35,'Train Runs'!$A$13:$V$985,1,TRUE)=K35,VLOOKUP(K35,'Train Runs'!$A$13:$V$985,22,TRUE),NA())</f>
        <v>https://d0f6bd738d7f1b3e5a7ca70fe4ff75f0.us-east-1.aws.found.io/app/kibana#/discover/Steve-Slow-Train-Analysis-(2080s-and-2083s)?_g=(refreshInterval:(display:Off,pause:!f,section:0,value:0),time:(from:'2017-04-20T23:55:23-0600',mode:absolute,to:'2017-04-21T02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242-20</v>
      </c>
      <c r="L35" s="202">
        <f>IF(VLOOKUP(K35,'Train Runs'!$A$12:$B$985,1,TRUE)=K35,VLOOKUP(K35,'Train Runs'!$A$12:$B$985,2,TRUE),NA())</f>
        <v>4027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42845.035798611112</v>
      </c>
      <c r="B2" s="20" t="s">
        <v>416</v>
      </c>
      <c r="C2" s="20" t="s">
        <v>564</v>
      </c>
      <c r="D2" s="146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42845.047743055555</v>
      </c>
      <c r="B3" s="20" t="s">
        <v>542</v>
      </c>
      <c r="C3" s="20" t="s">
        <v>565</v>
      </c>
      <c r="D3" s="146">
        <v>1740000</v>
      </c>
      <c r="E3" s="20" t="s">
        <v>392</v>
      </c>
      <c r="F3" s="20" t="s">
        <v>393</v>
      </c>
      <c r="G3" s="8" t="str">
        <f t="shared" ref="G3:G66" si="0">E3&amp;" "&amp;F3</f>
        <v>STORY SAMANTHA</v>
      </c>
    </row>
    <row r="4" spans="1:7" x14ac:dyDescent="0.25">
      <c r="A4" s="8">
        <v>42845.056550925925</v>
      </c>
      <c r="B4" s="20" t="s">
        <v>396</v>
      </c>
      <c r="C4" s="20" t="s">
        <v>566</v>
      </c>
      <c r="D4" s="146">
        <v>1810000</v>
      </c>
      <c r="E4" s="20" t="s">
        <v>391</v>
      </c>
      <c r="F4" s="20" t="s">
        <v>193</v>
      </c>
      <c r="G4" s="8" t="str">
        <f t="shared" si="0"/>
        <v>NEWELL JAMES</v>
      </c>
    </row>
    <row r="5" spans="1:7" x14ac:dyDescent="0.25">
      <c r="A5" s="8">
        <v>42845.068842592591</v>
      </c>
      <c r="B5" s="20" t="s">
        <v>415</v>
      </c>
      <c r="C5" s="20" t="s">
        <v>567</v>
      </c>
      <c r="D5" s="146">
        <v>2270000</v>
      </c>
      <c r="E5" s="20" t="s">
        <v>206</v>
      </c>
      <c r="F5" s="20" t="s">
        <v>207</v>
      </c>
      <c r="G5" s="8" t="str">
        <f t="shared" si="0"/>
        <v>BROWN JACOB</v>
      </c>
    </row>
    <row r="6" spans="1:7" x14ac:dyDescent="0.25">
      <c r="A6" s="8">
        <v>42845.089733796296</v>
      </c>
      <c r="B6" s="20" t="s">
        <v>395</v>
      </c>
      <c r="C6" s="20" t="s">
        <v>568</v>
      </c>
      <c r="D6" s="146">
        <v>1810000</v>
      </c>
      <c r="E6" s="20" t="s">
        <v>391</v>
      </c>
      <c r="F6" s="20" t="s">
        <v>193</v>
      </c>
      <c r="G6" s="8" t="str">
        <f t="shared" si="0"/>
        <v>NEWELL JAMES</v>
      </c>
    </row>
    <row r="7" spans="1:7" x14ac:dyDescent="0.25">
      <c r="A7" s="8">
        <v>42845.115729166668</v>
      </c>
      <c r="B7" s="20" t="s">
        <v>474</v>
      </c>
      <c r="C7" s="20" t="s">
        <v>612</v>
      </c>
      <c r="D7" s="146">
        <v>2550000</v>
      </c>
      <c r="E7" s="20" t="s">
        <v>545</v>
      </c>
      <c r="F7" s="20" t="s">
        <v>546</v>
      </c>
      <c r="G7" s="8" t="str">
        <f t="shared" si="0"/>
        <v>BADERTSCHER DIANE</v>
      </c>
    </row>
    <row r="8" spans="1:7" x14ac:dyDescent="0.25">
      <c r="A8" s="8">
        <v>42845.128576388888</v>
      </c>
      <c r="B8" s="20" t="s">
        <v>543</v>
      </c>
      <c r="C8" s="20" t="s">
        <v>649</v>
      </c>
      <c r="D8" s="146">
        <v>2550000</v>
      </c>
      <c r="E8" s="20" t="s">
        <v>545</v>
      </c>
      <c r="F8" s="20" t="s">
        <v>546</v>
      </c>
      <c r="G8" s="8" t="str">
        <f t="shared" si="0"/>
        <v>BADERTSCHER DIANE</v>
      </c>
    </row>
    <row r="9" spans="1:7" ht="15.75" thickBot="1" x14ac:dyDescent="0.3">
      <c r="A9" s="24">
        <v>42845.136099537034</v>
      </c>
      <c r="B9" s="20" t="s">
        <v>486</v>
      </c>
      <c r="C9" s="20" t="s">
        <v>613</v>
      </c>
      <c r="D9" s="146">
        <v>1230000</v>
      </c>
      <c r="E9" s="20" t="s">
        <v>547</v>
      </c>
      <c r="F9" s="20" t="s">
        <v>548</v>
      </c>
      <c r="G9" s="8" t="str">
        <f t="shared" si="0"/>
        <v>YANAI IAN</v>
      </c>
    </row>
    <row r="10" spans="1:7" x14ac:dyDescent="0.25">
      <c r="A10" s="8">
        <v>42845.148935185185</v>
      </c>
      <c r="B10" s="20" t="s">
        <v>417</v>
      </c>
      <c r="C10" s="20" t="s">
        <v>650</v>
      </c>
      <c r="D10" s="146">
        <v>1230000</v>
      </c>
      <c r="E10" s="20" t="s">
        <v>547</v>
      </c>
      <c r="F10" s="20" t="s">
        <v>548</v>
      </c>
      <c r="G10" s="8" t="str">
        <f t="shared" si="0"/>
        <v>YANAI IAN</v>
      </c>
    </row>
    <row r="11" spans="1:7" x14ac:dyDescent="0.25">
      <c r="A11" s="8">
        <v>42845.157233796293</v>
      </c>
      <c r="B11" s="20" t="s">
        <v>372</v>
      </c>
      <c r="C11" s="20" t="s">
        <v>614</v>
      </c>
      <c r="D11" s="146">
        <v>1290000</v>
      </c>
      <c r="E11" s="20" t="s">
        <v>651</v>
      </c>
      <c r="F11" s="20" t="s">
        <v>652</v>
      </c>
      <c r="G11" s="8" t="str">
        <f t="shared" si="0"/>
        <v>COOLAHAN JOHN</v>
      </c>
    </row>
    <row r="12" spans="1:7" x14ac:dyDescent="0.25">
      <c r="A12" s="8">
        <v>42845.168946759259</v>
      </c>
      <c r="B12" s="20" t="s">
        <v>455</v>
      </c>
      <c r="C12" s="20" t="s">
        <v>653</v>
      </c>
      <c r="D12" s="146">
        <v>1100000</v>
      </c>
      <c r="E12" s="20" t="s">
        <v>549</v>
      </c>
      <c r="F12" s="20" t="s">
        <v>550</v>
      </c>
      <c r="G12" s="8" t="str">
        <f t="shared" si="0"/>
        <v>GEBRETEKLE DAGNEW</v>
      </c>
    </row>
    <row r="13" spans="1:7" x14ac:dyDescent="0.25">
      <c r="A13" s="8">
        <v>42845.17019675926</v>
      </c>
      <c r="B13" s="20" t="s">
        <v>375</v>
      </c>
      <c r="C13" s="20" t="s">
        <v>654</v>
      </c>
      <c r="D13" s="146">
        <v>1290000</v>
      </c>
      <c r="E13" s="20" t="s">
        <v>651</v>
      </c>
      <c r="F13" s="20" t="s">
        <v>652</v>
      </c>
      <c r="G13" s="8" t="str">
        <f t="shared" si="0"/>
        <v>COOLAHAN JOHN</v>
      </c>
    </row>
    <row r="14" spans="1:7" x14ac:dyDescent="0.25">
      <c r="A14" s="8">
        <v>42845.170810185184</v>
      </c>
      <c r="B14" s="20" t="s">
        <v>474</v>
      </c>
      <c r="C14" s="20" t="s">
        <v>655</v>
      </c>
      <c r="D14" s="146">
        <v>2550000</v>
      </c>
      <c r="E14" s="20" t="s">
        <v>545</v>
      </c>
      <c r="F14" s="20" t="s">
        <v>546</v>
      </c>
      <c r="G14" s="8" t="str">
        <f t="shared" si="0"/>
        <v>BADERTSCHER DIANE</v>
      </c>
    </row>
    <row r="15" spans="1:7" x14ac:dyDescent="0.25">
      <c r="A15" s="8">
        <v>42845.173495370371</v>
      </c>
      <c r="B15" s="20" t="s">
        <v>474</v>
      </c>
      <c r="C15" s="20" t="s">
        <v>655</v>
      </c>
      <c r="D15" s="146">
        <v>2550000</v>
      </c>
      <c r="E15" s="20" t="s">
        <v>545</v>
      </c>
      <c r="F15" s="20" t="s">
        <v>546</v>
      </c>
      <c r="G15" s="8" t="str">
        <f t="shared" si="0"/>
        <v>BADERTSCHER DIANE</v>
      </c>
    </row>
    <row r="16" spans="1:7" x14ac:dyDescent="0.25">
      <c r="A16" s="8">
        <v>42845.182986111111</v>
      </c>
      <c r="B16" s="20" t="s">
        <v>454</v>
      </c>
      <c r="C16" s="20" t="s">
        <v>656</v>
      </c>
      <c r="D16" s="146">
        <v>1100000</v>
      </c>
      <c r="E16" s="20" t="s">
        <v>549</v>
      </c>
      <c r="F16" s="20" t="s">
        <v>550</v>
      </c>
      <c r="G16" s="8" t="str">
        <f t="shared" si="0"/>
        <v>GEBRETEKLE DAGNEW</v>
      </c>
    </row>
    <row r="17" spans="1:7" x14ac:dyDescent="0.25">
      <c r="A17" s="8">
        <v>42845.185254629629</v>
      </c>
      <c r="B17" s="20" t="s">
        <v>486</v>
      </c>
      <c r="C17" s="20" t="s">
        <v>657</v>
      </c>
      <c r="D17" s="146">
        <v>1230000</v>
      </c>
      <c r="E17" s="20" t="s">
        <v>547</v>
      </c>
      <c r="F17" s="20" t="s">
        <v>548</v>
      </c>
      <c r="G17" s="8" t="str">
        <f t="shared" si="0"/>
        <v>YANAI IAN</v>
      </c>
    </row>
    <row r="18" spans="1:7" x14ac:dyDescent="0.25">
      <c r="A18" s="8">
        <v>42845.185810185183</v>
      </c>
      <c r="B18" s="20" t="s">
        <v>420</v>
      </c>
      <c r="C18" s="20" t="s">
        <v>658</v>
      </c>
      <c r="D18" s="146">
        <v>900000</v>
      </c>
      <c r="E18" s="20" t="s">
        <v>489</v>
      </c>
      <c r="F18" s="20" t="s">
        <v>490</v>
      </c>
      <c r="G18" s="8" t="str">
        <f t="shared" si="0"/>
        <v>ROCHA YAOTL</v>
      </c>
    </row>
    <row r="19" spans="1:7" x14ac:dyDescent="0.25">
      <c r="A19" s="8">
        <v>42845.195891203701</v>
      </c>
      <c r="B19" s="20" t="s">
        <v>438</v>
      </c>
      <c r="C19" s="20" t="s">
        <v>615</v>
      </c>
      <c r="D19" s="146">
        <v>900000</v>
      </c>
      <c r="E19" s="20" t="s">
        <v>489</v>
      </c>
      <c r="F19" s="20" t="s">
        <v>490</v>
      </c>
      <c r="G19" s="8" t="str">
        <f t="shared" si="0"/>
        <v>ROCHA YAOTL</v>
      </c>
    </row>
    <row r="20" spans="1:7" x14ac:dyDescent="0.25">
      <c r="A20" s="8">
        <v>42845.204456018517</v>
      </c>
      <c r="B20" s="20" t="s">
        <v>199</v>
      </c>
      <c r="C20" s="20" t="s">
        <v>659</v>
      </c>
      <c r="D20" s="146">
        <v>1340000</v>
      </c>
      <c r="E20" s="20" t="s">
        <v>660</v>
      </c>
      <c r="F20" s="20" t="s">
        <v>661</v>
      </c>
      <c r="G20" s="8" t="str">
        <f t="shared" si="0"/>
        <v>BEAM ROSS</v>
      </c>
    </row>
    <row r="21" spans="1:7" x14ac:dyDescent="0.25">
      <c r="A21" s="8">
        <v>42845.205694444441</v>
      </c>
      <c r="B21" s="20" t="s">
        <v>543</v>
      </c>
      <c r="C21" s="20" t="s">
        <v>662</v>
      </c>
      <c r="D21" s="146">
        <v>1830000</v>
      </c>
      <c r="E21" s="20" t="s">
        <v>472</v>
      </c>
      <c r="F21" s="20" t="s">
        <v>473</v>
      </c>
      <c r="G21" s="8" t="str">
        <f t="shared" si="0"/>
        <v>YORK EDGAR</v>
      </c>
    </row>
    <row r="22" spans="1:7" x14ac:dyDescent="0.25">
      <c r="A22" s="26">
        <v>42845.211226851854</v>
      </c>
      <c r="B22" s="20" t="s">
        <v>372</v>
      </c>
      <c r="C22" s="20" t="s">
        <v>663</v>
      </c>
      <c r="D22" s="146">
        <v>1290000</v>
      </c>
      <c r="E22" s="20" t="s">
        <v>651</v>
      </c>
      <c r="F22" s="20" t="s">
        <v>652</v>
      </c>
      <c r="G22" s="8" t="str">
        <f t="shared" si="0"/>
        <v>COOLAHAN JOHN</v>
      </c>
    </row>
    <row r="23" spans="1:7" x14ac:dyDescent="0.25">
      <c r="A23" s="8">
        <v>42845.212546296294</v>
      </c>
      <c r="B23" s="20" t="s">
        <v>475</v>
      </c>
      <c r="C23" s="20" t="s">
        <v>664</v>
      </c>
      <c r="D23" s="146">
        <v>2550000</v>
      </c>
      <c r="E23" s="20" t="s">
        <v>545</v>
      </c>
      <c r="F23" s="20" t="s">
        <v>546</v>
      </c>
      <c r="G23" s="8" t="str">
        <f t="shared" si="0"/>
        <v>BADERTSCHER DIANE</v>
      </c>
    </row>
    <row r="24" spans="1:7" x14ac:dyDescent="0.25">
      <c r="A24" s="8">
        <v>42845.215324074074</v>
      </c>
      <c r="B24" s="20" t="s">
        <v>380</v>
      </c>
      <c r="C24" s="20" t="s">
        <v>665</v>
      </c>
      <c r="D24" s="146">
        <v>1340000</v>
      </c>
      <c r="E24" s="20" t="s">
        <v>660</v>
      </c>
      <c r="F24" s="20" t="s">
        <v>661</v>
      </c>
      <c r="G24" s="8" t="str">
        <f t="shared" si="0"/>
        <v>BEAM ROSS</v>
      </c>
    </row>
    <row r="25" spans="1:7" x14ac:dyDescent="0.25">
      <c r="A25" s="8">
        <v>42845.217870370368</v>
      </c>
      <c r="B25" s="20" t="s">
        <v>475</v>
      </c>
      <c r="C25" s="20" t="s">
        <v>664</v>
      </c>
      <c r="D25" s="146">
        <v>2550000</v>
      </c>
      <c r="E25" s="20" t="s">
        <v>545</v>
      </c>
      <c r="F25" s="20" t="s">
        <v>546</v>
      </c>
      <c r="G25" s="8" t="str">
        <f t="shared" si="0"/>
        <v>BADERTSCHER DIANE</v>
      </c>
    </row>
    <row r="26" spans="1:7" x14ac:dyDescent="0.25">
      <c r="A26" s="8">
        <v>42845.220914351848</v>
      </c>
      <c r="B26" s="20" t="s">
        <v>455</v>
      </c>
      <c r="C26" s="20" t="s">
        <v>666</v>
      </c>
      <c r="D26" s="146">
        <v>1100000</v>
      </c>
      <c r="E26" s="20" t="s">
        <v>549</v>
      </c>
      <c r="F26" s="20" t="s">
        <v>550</v>
      </c>
      <c r="G26" s="8" t="str">
        <f t="shared" si="0"/>
        <v>GEBRETEKLE DAGNEW</v>
      </c>
    </row>
    <row r="27" spans="1:7" x14ac:dyDescent="0.25">
      <c r="A27" s="8">
        <v>42845.227349537039</v>
      </c>
      <c r="B27" s="20" t="s">
        <v>417</v>
      </c>
      <c r="C27" s="20" t="s">
        <v>667</v>
      </c>
      <c r="D27" s="146">
        <v>1110000</v>
      </c>
      <c r="E27" s="20" t="s">
        <v>487</v>
      </c>
      <c r="F27" s="20" t="s">
        <v>488</v>
      </c>
      <c r="G27" s="8" t="str">
        <f t="shared" si="0"/>
        <v>STARKS ANGELINA</v>
      </c>
    </row>
    <row r="28" spans="1:7" x14ac:dyDescent="0.25">
      <c r="A28" s="8">
        <v>42845.231712962966</v>
      </c>
      <c r="B28" s="20" t="s">
        <v>624</v>
      </c>
      <c r="C28" s="20" t="s">
        <v>668</v>
      </c>
      <c r="D28" s="146">
        <v>1230000</v>
      </c>
      <c r="E28" s="20" t="s">
        <v>547</v>
      </c>
      <c r="F28" s="20" t="s">
        <v>548</v>
      </c>
      <c r="G28" s="8" t="str">
        <f t="shared" si="0"/>
        <v>YANAI IAN</v>
      </c>
    </row>
    <row r="29" spans="1:7" x14ac:dyDescent="0.25">
      <c r="A29" s="8">
        <v>42845.2344212963</v>
      </c>
      <c r="B29" s="20" t="s">
        <v>540</v>
      </c>
      <c r="C29" s="20" t="s">
        <v>616</v>
      </c>
      <c r="D29" s="146">
        <v>1830000</v>
      </c>
      <c r="E29" s="20" t="s">
        <v>472</v>
      </c>
      <c r="F29" s="20" t="s">
        <v>473</v>
      </c>
      <c r="G29" s="8" t="str">
        <f t="shared" si="0"/>
        <v>YORK EDGAR</v>
      </c>
    </row>
    <row r="30" spans="1:7" x14ac:dyDescent="0.25">
      <c r="A30" s="8">
        <v>42845.234456018516</v>
      </c>
      <c r="B30" s="20" t="s">
        <v>420</v>
      </c>
      <c r="C30" s="20" t="s">
        <v>669</v>
      </c>
      <c r="D30" s="146">
        <v>900000</v>
      </c>
      <c r="E30" s="20" t="s">
        <v>489</v>
      </c>
      <c r="F30" s="20" t="s">
        <v>490</v>
      </c>
      <c r="G30" s="8" t="str">
        <f t="shared" si="0"/>
        <v>ROCHA YAOTL</v>
      </c>
    </row>
    <row r="31" spans="1:7" x14ac:dyDescent="0.25">
      <c r="A31" s="8">
        <v>42845.23951388889</v>
      </c>
      <c r="B31" s="20" t="s">
        <v>199</v>
      </c>
      <c r="C31" s="20" t="s">
        <v>670</v>
      </c>
      <c r="D31" s="146">
        <v>1340000</v>
      </c>
      <c r="E31" s="20" t="s">
        <v>660</v>
      </c>
      <c r="F31" s="20" t="s">
        <v>661</v>
      </c>
      <c r="G31" s="8" t="str">
        <f t="shared" si="0"/>
        <v>BEAM ROSS</v>
      </c>
    </row>
    <row r="32" spans="1:7" x14ac:dyDescent="0.25">
      <c r="A32" s="8">
        <v>42845.247129629628</v>
      </c>
      <c r="B32" s="20" t="s">
        <v>375</v>
      </c>
      <c r="C32" s="20" t="s">
        <v>617</v>
      </c>
      <c r="D32" s="146">
        <v>1290000</v>
      </c>
      <c r="E32" s="20" t="s">
        <v>651</v>
      </c>
      <c r="F32" s="20" t="s">
        <v>652</v>
      </c>
      <c r="G32" s="8" t="str">
        <f t="shared" si="0"/>
        <v>COOLAHAN JOHN</v>
      </c>
    </row>
    <row r="33" spans="1:7" x14ac:dyDescent="0.25">
      <c r="A33" s="8">
        <v>42845.248703703706</v>
      </c>
      <c r="B33" s="20" t="s">
        <v>474</v>
      </c>
      <c r="C33" s="20" t="s">
        <v>618</v>
      </c>
      <c r="D33" s="146">
        <v>2550000</v>
      </c>
      <c r="E33" s="20" t="s">
        <v>545</v>
      </c>
      <c r="F33" s="20" t="s">
        <v>546</v>
      </c>
      <c r="G33" s="8" t="str">
        <f t="shared" si="0"/>
        <v>BADERTSCHER DIANE</v>
      </c>
    </row>
    <row r="34" spans="1:7" x14ac:dyDescent="0.25">
      <c r="A34" s="8">
        <v>42845.249907407408</v>
      </c>
      <c r="B34" s="20" t="s">
        <v>503</v>
      </c>
      <c r="C34" s="20" t="s">
        <v>671</v>
      </c>
      <c r="D34" s="146">
        <v>890000</v>
      </c>
      <c r="E34" s="20" t="s">
        <v>508</v>
      </c>
      <c r="F34" s="20" t="s">
        <v>509</v>
      </c>
      <c r="G34" s="8" t="str">
        <f t="shared" si="0"/>
        <v>LOZA FIDEL</v>
      </c>
    </row>
    <row r="35" spans="1:7" x14ac:dyDescent="0.25">
      <c r="A35" s="8">
        <v>42845.253032407411</v>
      </c>
      <c r="B35" s="20" t="s">
        <v>371</v>
      </c>
      <c r="C35" s="20" t="s">
        <v>672</v>
      </c>
      <c r="D35" s="146">
        <v>1090000</v>
      </c>
      <c r="E35" s="20" t="s">
        <v>544</v>
      </c>
      <c r="F35" s="20" t="s">
        <v>196</v>
      </c>
      <c r="G35" s="8" t="str">
        <f t="shared" si="0"/>
        <v>SPECTOR MICHAEL</v>
      </c>
    </row>
    <row r="36" spans="1:7" x14ac:dyDescent="0.25">
      <c r="A36" s="8">
        <v>42845.254317129627</v>
      </c>
      <c r="B36" s="20" t="s">
        <v>380</v>
      </c>
      <c r="C36" s="20" t="s">
        <v>673</v>
      </c>
      <c r="D36" s="146">
        <v>1340000</v>
      </c>
      <c r="E36" s="20" t="s">
        <v>660</v>
      </c>
      <c r="F36" s="20" t="s">
        <v>661</v>
      </c>
      <c r="G36" s="8" t="str">
        <f t="shared" si="0"/>
        <v>BEAM ROSS</v>
      </c>
    </row>
    <row r="37" spans="1:7" x14ac:dyDescent="0.25">
      <c r="A37" s="8">
        <v>42845.256516203706</v>
      </c>
      <c r="B37" s="20" t="s">
        <v>372</v>
      </c>
      <c r="C37" s="20" t="s">
        <v>672</v>
      </c>
      <c r="D37" s="146">
        <v>1090000</v>
      </c>
      <c r="E37" s="20" t="s">
        <v>544</v>
      </c>
      <c r="F37" s="20" t="s">
        <v>196</v>
      </c>
      <c r="G37" s="8" t="str">
        <f t="shared" si="0"/>
        <v>SPECTOR MICHAEL</v>
      </c>
    </row>
    <row r="38" spans="1:7" x14ac:dyDescent="0.25">
      <c r="A38" s="8">
        <v>42845.25880787037</v>
      </c>
      <c r="B38" s="20" t="s">
        <v>454</v>
      </c>
      <c r="C38" s="20" t="s">
        <v>674</v>
      </c>
      <c r="D38" s="146">
        <v>1100000</v>
      </c>
      <c r="E38" s="20" t="s">
        <v>549</v>
      </c>
      <c r="F38" s="20" t="s">
        <v>550</v>
      </c>
      <c r="G38" s="8" t="str">
        <f t="shared" si="0"/>
        <v>GEBRETEKLE DAGNEW</v>
      </c>
    </row>
    <row r="39" spans="1:7" x14ac:dyDescent="0.25">
      <c r="A39" s="8">
        <v>42845.26053240741</v>
      </c>
      <c r="B39" s="20" t="s">
        <v>422</v>
      </c>
      <c r="C39" s="20" t="s">
        <v>675</v>
      </c>
      <c r="D39" s="146">
        <v>890000</v>
      </c>
      <c r="E39" s="20" t="s">
        <v>508</v>
      </c>
      <c r="F39" s="20" t="s">
        <v>509</v>
      </c>
      <c r="G39" s="8" t="str">
        <f t="shared" si="0"/>
        <v>LOZA FIDEL</v>
      </c>
    </row>
    <row r="40" spans="1:7" x14ac:dyDescent="0.25">
      <c r="A40" s="8">
        <v>42845.263391203705</v>
      </c>
      <c r="B40" s="25" t="s">
        <v>438</v>
      </c>
      <c r="C40" s="20" t="s">
        <v>619</v>
      </c>
      <c r="D40" s="146">
        <v>900000</v>
      </c>
      <c r="E40" s="20" t="s">
        <v>489</v>
      </c>
      <c r="F40" s="20" t="s">
        <v>490</v>
      </c>
      <c r="G40" s="8" t="str">
        <f t="shared" si="0"/>
        <v>ROCHA YAOTL</v>
      </c>
    </row>
    <row r="41" spans="1:7" x14ac:dyDescent="0.25">
      <c r="A41" s="8">
        <v>42845.266608796293</v>
      </c>
      <c r="B41" s="20" t="s">
        <v>486</v>
      </c>
      <c r="C41" s="20" t="s">
        <v>676</v>
      </c>
      <c r="D41" s="146">
        <v>1230000</v>
      </c>
      <c r="E41" s="20" t="s">
        <v>547</v>
      </c>
      <c r="F41" s="20" t="s">
        <v>548</v>
      </c>
      <c r="G41" s="8" t="str">
        <f t="shared" si="0"/>
        <v>YANAI IAN</v>
      </c>
    </row>
    <row r="42" spans="1:7" x14ac:dyDescent="0.25">
      <c r="A42" s="8">
        <v>42845.26667824074</v>
      </c>
      <c r="B42" s="20" t="s">
        <v>414</v>
      </c>
      <c r="C42" s="20" t="s">
        <v>677</v>
      </c>
      <c r="D42" s="146">
        <v>1110000</v>
      </c>
      <c r="E42" s="20" t="s">
        <v>487</v>
      </c>
      <c r="F42" s="20" t="s">
        <v>488</v>
      </c>
      <c r="G42" s="8" t="str">
        <f t="shared" si="0"/>
        <v>STARKS ANGELINA</v>
      </c>
    </row>
    <row r="43" spans="1:7" x14ac:dyDescent="0.25">
      <c r="A43" s="8">
        <v>42845.274756944447</v>
      </c>
      <c r="B43" s="20" t="s">
        <v>543</v>
      </c>
      <c r="C43" s="20" t="s">
        <v>678</v>
      </c>
      <c r="D43" s="146">
        <v>1830000</v>
      </c>
      <c r="E43" s="20" t="s">
        <v>472</v>
      </c>
      <c r="F43" s="20" t="s">
        <v>473</v>
      </c>
      <c r="G43" s="8" t="str">
        <f t="shared" si="0"/>
        <v>YORK EDGAR</v>
      </c>
    </row>
    <row r="44" spans="1:7" x14ac:dyDescent="0.25">
      <c r="A44" s="8">
        <v>42845.277418981481</v>
      </c>
      <c r="B44" s="20" t="s">
        <v>503</v>
      </c>
      <c r="C44" s="20" t="s">
        <v>679</v>
      </c>
      <c r="D44" s="146">
        <v>890000</v>
      </c>
      <c r="E44" s="20" t="s">
        <v>508</v>
      </c>
      <c r="F44" s="20" t="s">
        <v>509</v>
      </c>
      <c r="G44" s="8" t="str">
        <f t="shared" si="0"/>
        <v>LOZA FIDEL</v>
      </c>
    </row>
    <row r="45" spans="1:7" x14ac:dyDescent="0.25">
      <c r="A45" s="8">
        <v>42845.282511574071</v>
      </c>
      <c r="B45" s="20" t="s">
        <v>199</v>
      </c>
      <c r="C45" s="20" t="s">
        <v>680</v>
      </c>
      <c r="D45" s="146">
        <v>1340000</v>
      </c>
      <c r="E45" s="20" t="s">
        <v>660</v>
      </c>
      <c r="F45" s="20" t="s">
        <v>661</v>
      </c>
      <c r="G45" s="8" t="str">
        <f t="shared" si="0"/>
        <v>BEAM ROSS</v>
      </c>
    </row>
    <row r="46" spans="1:7" x14ac:dyDescent="0.25">
      <c r="A46" s="8">
        <v>42845.286168981482</v>
      </c>
      <c r="B46" s="20" t="s">
        <v>408</v>
      </c>
      <c r="C46" s="20" t="s">
        <v>621</v>
      </c>
      <c r="D46" s="146">
        <v>1290000</v>
      </c>
      <c r="E46" s="20" t="s">
        <v>651</v>
      </c>
      <c r="F46" s="20" t="s">
        <v>652</v>
      </c>
      <c r="G46" s="8" t="str">
        <f t="shared" si="0"/>
        <v>COOLAHAN JOHN</v>
      </c>
    </row>
    <row r="47" spans="1:7" x14ac:dyDescent="0.25">
      <c r="A47" s="8">
        <v>42845.287280092591</v>
      </c>
      <c r="B47" s="20" t="s">
        <v>475</v>
      </c>
      <c r="C47" s="20" t="s">
        <v>681</v>
      </c>
      <c r="D47" s="146">
        <v>2550000</v>
      </c>
      <c r="E47" s="20" t="s">
        <v>545</v>
      </c>
      <c r="F47" s="20" t="s">
        <v>546</v>
      </c>
      <c r="G47" s="8" t="str">
        <f t="shared" si="0"/>
        <v>BADERTSCHER DIANE</v>
      </c>
    </row>
    <row r="48" spans="1:7" x14ac:dyDescent="0.25">
      <c r="A48" s="8">
        <v>42845.290011574078</v>
      </c>
      <c r="B48" s="20" t="s">
        <v>475</v>
      </c>
      <c r="C48" s="20" t="s">
        <v>681</v>
      </c>
      <c r="D48" s="146">
        <v>2550000</v>
      </c>
      <c r="E48" s="20" t="s">
        <v>545</v>
      </c>
      <c r="F48" s="20" t="s">
        <v>546</v>
      </c>
      <c r="G48" s="8" t="str">
        <f t="shared" si="0"/>
        <v>BADERTSCHER DIANE</v>
      </c>
    </row>
    <row r="49" spans="1:7" x14ac:dyDescent="0.25">
      <c r="A49" s="8">
        <v>42845.292314814818</v>
      </c>
      <c r="B49" s="20" t="s">
        <v>455</v>
      </c>
      <c r="C49" s="20" t="s">
        <v>682</v>
      </c>
      <c r="D49" s="146">
        <v>1100000</v>
      </c>
      <c r="E49" s="20" t="s">
        <v>549</v>
      </c>
      <c r="F49" s="20" t="s">
        <v>550</v>
      </c>
      <c r="G49" s="8" t="str">
        <f t="shared" si="0"/>
        <v>GEBRETEKLE DAGNEW</v>
      </c>
    </row>
    <row r="50" spans="1:7" x14ac:dyDescent="0.25">
      <c r="A50" s="8">
        <v>42845.29583333333</v>
      </c>
      <c r="B50" s="20" t="s">
        <v>380</v>
      </c>
      <c r="C50" s="20" t="s">
        <v>683</v>
      </c>
      <c r="D50" s="146">
        <v>1340000</v>
      </c>
      <c r="E50" s="20" t="s">
        <v>660</v>
      </c>
      <c r="F50" s="20" t="s">
        <v>661</v>
      </c>
      <c r="G50" s="8" t="str">
        <f t="shared" si="0"/>
        <v>BEAM ROSS</v>
      </c>
    </row>
    <row r="51" spans="1:7" x14ac:dyDescent="0.25">
      <c r="A51" s="8">
        <v>42845.297210648147</v>
      </c>
      <c r="B51" s="20" t="s">
        <v>422</v>
      </c>
      <c r="C51" s="20" t="s">
        <v>684</v>
      </c>
      <c r="D51" s="146">
        <v>890000</v>
      </c>
      <c r="E51" s="20" t="s">
        <v>508</v>
      </c>
      <c r="F51" s="20" t="s">
        <v>509</v>
      </c>
      <c r="G51" s="8" t="str">
        <f t="shared" si="0"/>
        <v>LOZA FIDEL</v>
      </c>
    </row>
    <row r="52" spans="1:7" x14ac:dyDescent="0.25">
      <c r="A52" s="8">
        <v>42845.298090277778</v>
      </c>
      <c r="B52" s="20" t="s">
        <v>417</v>
      </c>
      <c r="C52" s="20" t="s">
        <v>620</v>
      </c>
      <c r="D52" s="146">
        <v>1110000</v>
      </c>
      <c r="E52" s="20" t="s">
        <v>487</v>
      </c>
      <c r="F52" s="20" t="s">
        <v>488</v>
      </c>
      <c r="G52" s="8" t="str">
        <f t="shared" si="0"/>
        <v>STARKS ANGELINA</v>
      </c>
    </row>
    <row r="53" spans="1:7" x14ac:dyDescent="0.25">
      <c r="A53" s="8">
        <v>42845.308310185188</v>
      </c>
      <c r="B53" s="20" t="s">
        <v>624</v>
      </c>
      <c r="C53" s="20" t="s">
        <v>625</v>
      </c>
      <c r="D53" s="146">
        <v>1230000</v>
      </c>
      <c r="E53" s="20" t="s">
        <v>547</v>
      </c>
      <c r="F53" s="20" t="s">
        <v>548</v>
      </c>
      <c r="G53" s="8" t="str">
        <f t="shared" si="0"/>
        <v>YANAI IAN</v>
      </c>
    </row>
    <row r="54" spans="1:7" x14ac:dyDescent="0.25">
      <c r="A54" s="8">
        <v>42845.308738425927</v>
      </c>
      <c r="B54" s="20" t="s">
        <v>540</v>
      </c>
      <c r="C54" s="20" t="s">
        <v>685</v>
      </c>
      <c r="D54" s="146">
        <v>1830000</v>
      </c>
      <c r="E54" s="20" t="s">
        <v>472</v>
      </c>
      <c r="F54" s="20" t="s">
        <v>473</v>
      </c>
      <c r="G54" s="8" t="str">
        <f t="shared" si="0"/>
        <v>YORK EDGAR</v>
      </c>
    </row>
    <row r="55" spans="1:7" x14ac:dyDescent="0.25">
      <c r="A55" s="8">
        <v>42845.309594907405</v>
      </c>
      <c r="B55" s="20" t="s">
        <v>420</v>
      </c>
      <c r="C55" s="20" t="s">
        <v>686</v>
      </c>
      <c r="D55" s="146">
        <v>900000</v>
      </c>
      <c r="E55" s="20" t="s">
        <v>489</v>
      </c>
      <c r="F55" s="20" t="s">
        <v>490</v>
      </c>
      <c r="G55" s="8" t="str">
        <f t="shared" si="0"/>
        <v>ROCHA YAOTL</v>
      </c>
    </row>
    <row r="56" spans="1:7" x14ac:dyDescent="0.25">
      <c r="A56" s="8">
        <v>42845.313946759263</v>
      </c>
      <c r="B56" s="20" t="s">
        <v>417</v>
      </c>
      <c r="C56" s="20" t="s">
        <v>620</v>
      </c>
      <c r="D56" s="146">
        <v>1110000</v>
      </c>
      <c r="E56" s="20" t="s">
        <v>487</v>
      </c>
      <c r="F56" s="20" t="s">
        <v>488</v>
      </c>
      <c r="G56" s="8" t="str">
        <f t="shared" si="0"/>
        <v>STARKS ANGELINA</v>
      </c>
    </row>
    <row r="57" spans="1:7" x14ac:dyDescent="0.25">
      <c r="A57" s="8">
        <v>42845.316805555558</v>
      </c>
      <c r="B57" s="20" t="s">
        <v>503</v>
      </c>
      <c r="C57" s="20" t="s">
        <v>623</v>
      </c>
      <c r="D57" s="146">
        <v>890000</v>
      </c>
      <c r="E57" s="20" t="s">
        <v>508</v>
      </c>
      <c r="F57" s="20" t="s">
        <v>509</v>
      </c>
      <c r="G57" s="8" t="str">
        <f t="shared" si="0"/>
        <v>LOZA FIDEL</v>
      </c>
    </row>
    <row r="58" spans="1:7" x14ac:dyDescent="0.25">
      <c r="A58" s="8">
        <v>42845.319606481484</v>
      </c>
      <c r="B58" s="20" t="s">
        <v>375</v>
      </c>
      <c r="C58" s="20" t="s">
        <v>622</v>
      </c>
      <c r="D58" s="146">
        <v>1290000</v>
      </c>
      <c r="E58" s="20" t="s">
        <v>651</v>
      </c>
      <c r="F58" s="20" t="s">
        <v>652</v>
      </c>
      <c r="G58" s="8" t="str">
        <f t="shared" si="0"/>
        <v>COOLAHAN JOHN</v>
      </c>
    </row>
    <row r="59" spans="1:7" x14ac:dyDescent="0.25">
      <c r="A59" s="8">
        <v>42845.324826388889</v>
      </c>
      <c r="B59" s="20" t="s">
        <v>199</v>
      </c>
      <c r="C59" s="20" t="s">
        <v>687</v>
      </c>
      <c r="D59" s="146">
        <v>1340000</v>
      </c>
      <c r="E59" s="20" t="s">
        <v>660</v>
      </c>
      <c r="F59" s="20" t="s">
        <v>661</v>
      </c>
      <c r="G59" s="8" t="str">
        <f t="shared" si="0"/>
        <v>BEAM ROSS</v>
      </c>
    </row>
    <row r="60" spans="1:7" x14ac:dyDescent="0.25">
      <c r="A60" s="8">
        <v>42845.325590277775</v>
      </c>
      <c r="B60" s="20" t="s">
        <v>474</v>
      </c>
      <c r="C60" s="20" t="s">
        <v>688</v>
      </c>
      <c r="D60" s="146">
        <v>2550000</v>
      </c>
      <c r="E60" s="20" t="s">
        <v>545</v>
      </c>
      <c r="F60" s="20" t="s">
        <v>546</v>
      </c>
      <c r="G60" s="8" t="str">
        <f t="shared" si="0"/>
        <v>BADERTSCHER DIANE</v>
      </c>
    </row>
    <row r="61" spans="1:7" x14ac:dyDescent="0.25">
      <c r="A61" s="8">
        <v>42845.330474537041</v>
      </c>
      <c r="B61" s="20" t="s">
        <v>454</v>
      </c>
      <c r="C61" s="20" t="s">
        <v>689</v>
      </c>
      <c r="D61" s="146">
        <v>1100000</v>
      </c>
      <c r="E61" s="20" t="s">
        <v>549</v>
      </c>
      <c r="F61" s="20" t="s">
        <v>550</v>
      </c>
      <c r="G61" s="8" t="str">
        <f t="shared" si="0"/>
        <v>GEBRETEKLE DAGNEW</v>
      </c>
    </row>
    <row r="62" spans="1:7" x14ac:dyDescent="0.25">
      <c r="A62" s="8">
        <v>42845.337500000001</v>
      </c>
      <c r="B62" s="20" t="s">
        <v>380</v>
      </c>
      <c r="C62" s="20" t="s">
        <v>690</v>
      </c>
      <c r="D62" s="146">
        <v>1340000</v>
      </c>
      <c r="E62" s="20" t="s">
        <v>660</v>
      </c>
      <c r="F62" s="20" t="s">
        <v>661</v>
      </c>
      <c r="G62" s="8" t="str">
        <f t="shared" si="0"/>
        <v>BEAM ROSS</v>
      </c>
    </row>
    <row r="63" spans="1:7" x14ac:dyDescent="0.25">
      <c r="A63" s="8">
        <v>42845.339270833334</v>
      </c>
      <c r="B63" s="20" t="s">
        <v>414</v>
      </c>
      <c r="C63" s="20" t="s">
        <v>691</v>
      </c>
      <c r="D63" s="146">
        <v>1110000</v>
      </c>
      <c r="E63" s="20" t="s">
        <v>487</v>
      </c>
      <c r="F63" s="20" t="s">
        <v>488</v>
      </c>
      <c r="G63" s="8" t="str">
        <f t="shared" si="0"/>
        <v>STARKS ANGELINA</v>
      </c>
    </row>
    <row r="64" spans="1:7" x14ac:dyDescent="0.25">
      <c r="A64" s="26">
        <v>42845.340995370374</v>
      </c>
      <c r="B64" s="20" t="s">
        <v>486</v>
      </c>
      <c r="C64" s="20" t="s">
        <v>692</v>
      </c>
      <c r="D64" s="146">
        <v>1230000</v>
      </c>
      <c r="E64" s="20" t="s">
        <v>547</v>
      </c>
      <c r="F64" s="20" t="s">
        <v>548</v>
      </c>
      <c r="G64" s="8" t="str">
        <f t="shared" si="0"/>
        <v>YANAI IAN</v>
      </c>
    </row>
    <row r="65" spans="1:7" x14ac:dyDescent="0.25">
      <c r="A65" s="8">
        <v>42845.342638888891</v>
      </c>
      <c r="B65" s="20" t="s">
        <v>438</v>
      </c>
      <c r="C65" s="20" t="s">
        <v>693</v>
      </c>
      <c r="D65" s="146">
        <v>900000</v>
      </c>
      <c r="E65" s="20" t="s">
        <v>489</v>
      </c>
      <c r="F65" s="20" t="s">
        <v>490</v>
      </c>
      <c r="G65" s="8" t="str">
        <f t="shared" si="0"/>
        <v>ROCHA YAOTL</v>
      </c>
    </row>
    <row r="66" spans="1:7" x14ac:dyDescent="0.25">
      <c r="A66" s="8">
        <v>42845.34578703704</v>
      </c>
      <c r="B66" s="20" t="s">
        <v>422</v>
      </c>
      <c r="C66" s="20" t="s">
        <v>626</v>
      </c>
      <c r="D66" s="146">
        <v>890000</v>
      </c>
      <c r="E66" s="20" t="s">
        <v>508</v>
      </c>
      <c r="F66" s="20" t="s">
        <v>509</v>
      </c>
      <c r="G66" s="8" t="str">
        <f t="shared" si="0"/>
        <v>LOZA FIDEL</v>
      </c>
    </row>
    <row r="67" spans="1:7" x14ac:dyDescent="0.25">
      <c r="A67" s="8">
        <v>42845.349976851852</v>
      </c>
      <c r="B67" s="20" t="s">
        <v>543</v>
      </c>
      <c r="C67" s="20" t="s">
        <v>694</v>
      </c>
      <c r="D67" s="146">
        <v>1830000</v>
      </c>
      <c r="E67" s="20" t="s">
        <v>472</v>
      </c>
      <c r="F67" s="20" t="s">
        <v>473</v>
      </c>
      <c r="G67" s="8" t="str">
        <f t="shared" ref="G67:G130" si="1">E67&amp;" "&amp;F67</f>
        <v>YORK EDGAR</v>
      </c>
    </row>
    <row r="68" spans="1:7" x14ac:dyDescent="0.25">
      <c r="A68" s="8">
        <v>42845.354861111111</v>
      </c>
      <c r="B68" s="20" t="s">
        <v>199</v>
      </c>
      <c r="C68" s="20" t="s">
        <v>695</v>
      </c>
      <c r="D68" s="146">
        <v>1340000</v>
      </c>
      <c r="E68" s="20" t="s">
        <v>660</v>
      </c>
      <c r="F68" s="20" t="s">
        <v>661</v>
      </c>
      <c r="G68" s="8" t="str">
        <f t="shared" si="1"/>
        <v>BEAM ROSS</v>
      </c>
    </row>
    <row r="69" spans="1:7" x14ac:dyDescent="0.25">
      <c r="A69" s="8">
        <v>42845.356620370374</v>
      </c>
      <c r="B69" s="20" t="s">
        <v>408</v>
      </c>
      <c r="C69" s="20" t="s">
        <v>696</v>
      </c>
      <c r="D69" s="146">
        <v>1290000</v>
      </c>
      <c r="E69" s="20" t="s">
        <v>651</v>
      </c>
      <c r="F69" s="20" t="s">
        <v>652</v>
      </c>
      <c r="G69" s="8" t="str">
        <f t="shared" si="1"/>
        <v>COOLAHAN JOHN</v>
      </c>
    </row>
    <row r="70" spans="1:7" x14ac:dyDescent="0.25">
      <c r="A70" s="8">
        <v>42845.358576388891</v>
      </c>
      <c r="B70" s="20" t="s">
        <v>503</v>
      </c>
      <c r="C70" s="20" t="s">
        <v>697</v>
      </c>
      <c r="D70" s="146">
        <v>890000</v>
      </c>
      <c r="E70" s="20" t="s">
        <v>508</v>
      </c>
      <c r="F70" s="20" t="s">
        <v>509</v>
      </c>
      <c r="G70" s="8" t="str">
        <f t="shared" si="1"/>
        <v>LOZA FIDEL</v>
      </c>
    </row>
    <row r="71" spans="1:7" x14ac:dyDescent="0.25">
      <c r="A71" s="8">
        <v>42845.361087962963</v>
      </c>
      <c r="B71" s="20" t="s">
        <v>475</v>
      </c>
      <c r="C71" s="20" t="s">
        <v>698</v>
      </c>
      <c r="D71" s="146">
        <v>2550000</v>
      </c>
      <c r="E71" s="20" t="s">
        <v>545</v>
      </c>
      <c r="F71" s="20" t="s">
        <v>546</v>
      </c>
      <c r="G71" s="8" t="str">
        <f t="shared" si="1"/>
        <v>BADERTSCHER DIANE</v>
      </c>
    </row>
    <row r="72" spans="1:7" x14ac:dyDescent="0.25">
      <c r="A72" s="8">
        <v>42845.365243055552</v>
      </c>
      <c r="B72" s="20" t="s">
        <v>455</v>
      </c>
      <c r="C72" s="20" t="s">
        <v>627</v>
      </c>
      <c r="D72" s="146">
        <v>1100000</v>
      </c>
      <c r="E72" s="20" t="s">
        <v>549</v>
      </c>
      <c r="F72" s="20" t="s">
        <v>550</v>
      </c>
      <c r="G72" s="8" t="str">
        <f t="shared" si="1"/>
        <v>GEBRETEKLE DAGNEW</v>
      </c>
    </row>
    <row r="73" spans="1:7" x14ac:dyDescent="0.25">
      <c r="A73" s="8">
        <v>42845.372025462966</v>
      </c>
      <c r="B73" s="20" t="s">
        <v>417</v>
      </c>
      <c r="C73" s="20" t="s">
        <v>699</v>
      </c>
      <c r="D73" s="146">
        <v>1110000</v>
      </c>
      <c r="E73" s="20" t="s">
        <v>487</v>
      </c>
      <c r="F73" s="20" t="s">
        <v>488</v>
      </c>
      <c r="G73" s="8" t="str">
        <f t="shared" si="1"/>
        <v>STARKS ANGELINA</v>
      </c>
    </row>
    <row r="74" spans="1:7" x14ac:dyDescent="0.25">
      <c r="A74" s="8">
        <v>42845.379745370374</v>
      </c>
      <c r="B74" s="20" t="s">
        <v>540</v>
      </c>
      <c r="C74" s="20" t="s">
        <v>700</v>
      </c>
      <c r="D74" s="146">
        <v>1830000</v>
      </c>
      <c r="E74" s="20" t="s">
        <v>472</v>
      </c>
      <c r="F74" s="20" t="s">
        <v>473</v>
      </c>
      <c r="G74" s="8" t="str">
        <f t="shared" si="1"/>
        <v>YORK EDGAR</v>
      </c>
    </row>
    <row r="75" spans="1:7" x14ac:dyDescent="0.25">
      <c r="A75" s="8">
        <v>42845.381493055553</v>
      </c>
      <c r="B75" s="20" t="s">
        <v>624</v>
      </c>
      <c r="C75" s="20" t="s">
        <v>628</v>
      </c>
      <c r="D75" s="146">
        <v>1230000</v>
      </c>
      <c r="E75" s="20" t="s">
        <v>547</v>
      </c>
      <c r="F75" s="20" t="s">
        <v>548</v>
      </c>
      <c r="G75" s="8" t="str">
        <f t="shared" si="1"/>
        <v>YANAI IAN</v>
      </c>
    </row>
    <row r="76" spans="1:7" x14ac:dyDescent="0.25">
      <c r="A76" s="8">
        <v>42845.38212962963</v>
      </c>
      <c r="B76" s="20" t="s">
        <v>420</v>
      </c>
      <c r="C76" s="20" t="s">
        <v>701</v>
      </c>
      <c r="D76" s="146">
        <v>900000</v>
      </c>
      <c r="E76" s="20" t="s">
        <v>489</v>
      </c>
      <c r="F76" s="20" t="s">
        <v>490</v>
      </c>
      <c r="G76" s="8" t="str">
        <f t="shared" si="1"/>
        <v>ROCHA YAOTL</v>
      </c>
    </row>
    <row r="77" spans="1:7" x14ac:dyDescent="0.25">
      <c r="A77" s="8">
        <v>42845.386284722219</v>
      </c>
      <c r="B77" s="20" t="s">
        <v>422</v>
      </c>
      <c r="C77" s="20" t="s">
        <v>702</v>
      </c>
      <c r="D77" s="146">
        <v>890000</v>
      </c>
      <c r="E77" s="20" t="s">
        <v>508</v>
      </c>
      <c r="F77" s="20" t="s">
        <v>509</v>
      </c>
      <c r="G77" s="8" t="str">
        <f t="shared" si="1"/>
        <v>LOZA FIDEL</v>
      </c>
    </row>
    <row r="78" spans="1:7" x14ac:dyDescent="0.25">
      <c r="A78" s="8">
        <v>42845.392858796295</v>
      </c>
      <c r="B78" s="20" t="s">
        <v>375</v>
      </c>
      <c r="C78" s="20" t="s">
        <v>703</v>
      </c>
      <c r="D78" s="146">
        <v>1290000</v>
      </c>
      <c r="E78" s="20" t="s">
        <v>651</v>
      </c>
      <c r="F78" s="20" t="s">
        <v>652</v>
      </c>
      <c r="G78" s="8" t="str">
        <f t="shared" si="1"/>
        <v>COOLAHAN JOHN</v>
      </c>
    </row>
    <row r="79" spans="1:7" x14ac:dyDescent="0.25">
      <c r="A79" s="8">
        <v>42845.399386574078</v>
      </c>
      <c r="B79" s="20" t="s">
        <v>474</v>
      </c>
      <c r="C79" s="20" t="s">
        <v>704</v>
      </c>
      <c r="D79" s="146">
        <v>2550000</v>
      </c>
      <c r="E79" s="20" t="s">
        <v>545</v>
      </c>
      <c r="F79" s="20" t="s">
        <v>546</v>
      </c>
      <c r="G79" s="8" t="str">
        <f t="shared" si="1"/>
        <v>BADERTSCHER DIANE</v>
      </c>
    </row>
    <row r="80" spans="1:7" x14ac:dyDescent="0.25">
      <c r="A80" s="8">
        <v>42845.400405092594</v>
      </c>
      <c r="B80" s="20" t="s">
        <v>503</v>
      </c>
      <c r="C80" s="20" t="s">
        <v>629</v>
      </c>
      <c r="D80" s="146">
        <v>890000</v>
      </c>
      <c r="E80" s="20" t="s">
        <v>508</v>
      </c>
      <c r="F80" s="20" t="s">
        <v>509</v>
      </c>
      <c r="G80" s="8" t="str">
        <f t="shared" si="1"/>
        <v>LOZA FIDEL</v>
      </c>
    </row>
    <row r="81" spans="1:7" x14ac:dyDescent="0.25">
      <c r="A81" s="8">
        <v>42845.403391203705</v>
      </c>
      <c r="B81" s="20" t="s">
        <v>454</v>
      </c>
      <c r="C81" s="20" t="s">
        <v>705</v>
      </c>
      <c r="D81" s="146">
        <v>1100000</v>
      </c>
      <c r="E81" s="20" t="s">
        <v>549</v>
      </c>
      <c r="F81" s="20" t="s">
        <v>550</v>
      </c>
      <c r="G81" s="8" t="str">
        <f t="shared" si="1"/>
        <v>GEBRETEKLE DAGNEW</v>
      </c>
    </row>
    <row r="82" spans="1:7" x14ac:dyDescent="0.25">
      <c r="A82" s="8">
        <v>42845.41233796296</v>
      </c>
      <c r="B82" s="20" t="s">
        <v>414</v>
      </c>
      <c r="C82" s="20" t="s">
        <v>706</v>
      </c>
      <c r="D82" s="146">
        <v>1110000</v>
      </c>
      <c r="E82" s="20" t="s">
        <v>487</v>
      </c>
      <c r="F82" s="20" t="s">
        <v>488</v>
      </c>
      <c r="G82" s="8" t="str">
        <f t="shared" si="1"/>
        <v>STARKS ANGELINA</v>
      </c>
    </row>
    <row r="83" spans="1:7" x14ac:dyDescent="0.25">
      <c r="A83" s="8">
        <v>42845.412766203706</v>
      </c>
      <c r="B83" s="20" t="s">
        <v>486</v>
      </c>
      <c r="C83" s="20" t="s">
        <v>707</v>
      </c>
      <c r="D83" s="146">
        <v>1230000</v>
      </c>
      <c r="E83" s="20" t="s">
        <v>547</v>
      </c>
      <c r="F83" s="20" t="s">
        <v>548</v>
      </c>
      <c r="G83" s="8" t="str">
        <f t="shared" si="1"/>
        <v>YANAI IAN</v>
      </c>
    </row>
    <row r="84" spans="1:7" x14ac:dyDescent="0.25">
      <c r="A84" s="8">
        <v>42845.41511574074</v>
      </c>
      <c r="B84" s="20" t="s">
        <v>438</v>
      </c>
      <c r="C84" s="20" t="s">
        <v>708</v>
      </c>
      <c r="D84" s="146">
        <v>900000</v>
      </c>
      <c r="E84" s="20" t="s">
        <v>489</v>
      </c>
      <c r="F84" s="20" t="s">
        <v>490</v>
      </c>
      <c r="G84" s="8" t="str">
        <f t="shared" si="1"/>
        <v>ROCHA YAOTL</v>
      </c>
    </row>
    <row r="85" spans="1:7" x14ac:dyDescent="0.25">
      <c r="A85" s="8">
        <v>42845.420347222222</v>
      </c>
      <c r="B85" s="20" t="s">
        <v>543</v>
      </c>
      <c r="C85" s="20" t="s">
        <v>709</v>
      </c>
      <c r="D85" s="146">
        <v>1830000</v>
      </c>
      <c r="E85" s="20" t="s">
        <v>472</v>
      </c>
      <c r="F85" s="20" t="s">
        <v>473</v>
      </c>
      <c r="G85" s="8" t="str">
        <f t="shared" si="1"/>
        <v>YORK EDGAR</v>
      </c>
    </row>
    <row r="86" spans="1:7" x14ac:dyDescent="0.25">
      <c r="A86" s="8">
        <v>42845.429594907408</v>
      </c>
      <c r="B86" s="20" t="s">
        <v>422</v>
      </c>
      <c r="C86" s="20" t="s">
        <v>710</v>
      </c>
      <c r="D86" s="146">
        <v>890000</v>
      </c>
      <c r="E86" s="20" t="s">
        <v>508</v>
      </c>
      <c r="F86" s="20" t="s">
        <v>509</v>
      </c>
      <c r="G86" s="8" t="str">
        <f t="shared" si="1"/>
        <v>LOZA FIDEL</v>
      </c>
    </row>
    <row r="87" spans="1:7" x14ac:dyDescent="0.25">
      <c r="A87" s="8">
        <v>42845.4296412037</v>
      </c>
      <c r="B87" s="20" t="s">
        <v>408</v>
      </c>
      <c r="C87" s="20" t="s">
        <v>711</v>
      </c>
      <c r="D87" s="146">
        <v>1290000</v>
      </c>
      <c r="E87" s="20" t="s">
        <v>651</v>
      </c>
      <c r="F87" s="20" t="s">
        <v>652</v>
      </c>
      <c r="G87" s="8" t="str">
        <f t="shared" si="1"/>
        <v>COOLAHAN JOHN</v>
      </c>
    </row>
    <row r="88" spans="1:7" x14ac:dyDescent="0.25">
      <c r="A88" s="8">
        <v>42845.434513888889</v>
      </c>
      <c r="B88" s="20" t="s">
        <v>475</v>
      </c>
      <c r="C88" s="20" t="s">
        <v>712</v>
      </c>
      <c r="D88" s="146">
        <v>1340000</v>
      </c>
      <c r="E88" s="20" t="s">
        <v>660</v>
      </c>
      <c r="F88" s="20" t="s">
        <v>661</v>
      </c>
      <c r="G88" s="8" t="str">
        <f t="shared" si="1"/>
        <v>BEAM ROSS</v>
      </c>
    </row>
    <row r="89" spans="1:7" x14ac:dyDescent="0.25">
      <c r="A89" s="8">
        <v>42845.438726851855</v>
      </c>
      <c r="B89" s="20" t="s">
        <v>455</v>
      </c>
      <c r="C89" s="20" t="s">
        <v>713</v>
      </c>
      <c r="D89" s="146">
        <v>1100000</v>
      </c>
      <c r="E89" s="20" t="s">
        <v>549</v>
      </c>
      <c r="F89" s="20" t="s">
        <v>550</v>
      </c>
      <c r="G89" s="8" t="str">
        <f t="shared" si="1"/>
        <v>GEBRETEKLE DAGNEW</v>
      </c>
    </row>
    <row r="90" spans="1:7" x14ac:dyDescent="0.25">
      <c r="A90" s="8">
        <v>42845.442106481481</v>
      </c>
      <c r="B90" s="20" t="s">
        <v>503</v>
      </c>
      <c r="C90" s="20" t="s">
        <v>714</v>
      </c>
      <c r="D90" s="146">
        <v>890000</v>
      </c>
      <c r="E90" s="20" t="s">
        <v>508</v>
      </c>
      <c r="F90" s="20" t="s">
        <v>509</v>
      </c>
      <c r="G90" s="8" t="str">
        <f t="shared" si="1"/>
        <v>LOZA FIDEL</v>
      </c>
    </row>
    <row r="91" spans="1:7" x14ac:dyDescent="0.25">
      <c r="A91" s="8">
        <v>42845.446273148147</v>
      </c>
      <c r="B91" s="20" t="s">
        <v>417</v>
      </c>
      <c r="C91" s="20" t="s">
        <v>715</v>
      </c>
      <c r="D91" s="146">
        <v>1110000</v>
      </c>
      <c r="E91" s="20" t="s">
        <v>487</v>
      </c>
      <c r="F91" s="20" t="s">
        <v>488</v>
      </c>
      <c r="G91" s="8" t="str">
        <f t="shared" si="1"/>
        <v>STARKS ANGELINA</v>
      </c>
    </row>
    <row r="92" spans="1:7" x14ac:dyDescent="0.25">
      <c r="A92" s="8">
        <v>42845.45380787037</v>
      </c>
      <c r="B92" s="20" t="s">
        <v>624</v>
      </c>
      <c r="C92" s="20" t="s">
        <v>716</v>
      </c>
      <c r="D92" s="146">
        <v>930000</v>
      </c>
      <c r="E92" s="20" t="s">
        <v>491</v>
      </c>
      <c r="F92" s="20" t="s">
        <v>492</v>
      </c>
      <c r="G92" s="8" t="str">
        <f t="shared" si="1"/>
        <v>CLARK KATHLEEN</v>
      </c>
    </row>
    <row r="93" spans="1:7" x14ac:dyDescent="0.25">
      <c r="A93" s="8">
        <v>42845.454293981478</v>
      </c>
      <c r="B93" s="20" t="s">
        <v>540</v>
      </c>
      <c r="C93" s="20" t="s">
        <v>630</v>
      </c>
      <c r="D93" s="146">
        <v>1830000</v>
      </c>
      <c r="E93" s="20" t="s">
        <v>472</v>
      </c>
      <c r="F93" s="20" t="s">
        <v>473</v>
      </c>
      <c r="G93" s="8" t="str">
        <f t="shared" si="1"/>
        <v>YORK EDGAR</v>
      </c>
    </row>
    <row r="94" spans="1:7" x14ac:dyDescent="0.25">
      <c r="A94" s="8">
        <v>42845.454942129632</v>
      </c>
      <c r="B94" s="20" t="s">
        <v>420</v>
      </c>
      <c r="C94" s="20" t="s">
        <v>717</v>
      </c>
      <c r="D94" s="146">
        <v>900000</v>
      </c>
      <c r="E94" s="20" t="s">
        <v>489</v>
      </c>
      <c r="F94" s="20" t="s">
        <v>490</v>
      </c>
      <c r="G94" s="8" t="str">
        <f t="shared" si="1"/>
        <v>ROCHA YAOTL</v>
      </c>
    </row>
    <row r="95" spans="1:7" x14ac:dyDescent="0.25">
      <c r="A95" s="8">
        <v>42845.46497685185</v>
      </c>
      <c r="B95" s="20" t="s">
        <v>375</v>
      </c>
      <c r="C95" s="20" t="s">
        <v>718</v>
      </c>
      <c r="D95" s="146">
        <v>2260000</v>
      </c>
      <c r="E95" s="20" t="s">
        <v>559</v>
      </c>
      <c r="F95" s="20" t="s">
        <v>560</v>
      </c>
      <c r="G95" s="8" t="str">
        <f t="shared" si="1"/>
        <v>ARVIDSON DANIEL</v>
      </c>
    </row>
    <row r="96" spans="1:7" x14ac:dyDescent="0.25">
      <c r="A96" s="8">
        <v>42845.470891203702</v>
      </c>
      <c r="B96" s="20" t="s">
        <v>422</v>
      </c>
      <c r="C96" s="20" t="s">
        <v>719</v>
      </c>
      <c r="D96" s="146">
        <v>890000</v>
      </c>
      <c r="E96" s="20" t="s">
        <v>508</v>
      </c>
      <c r="F96" s="20" t="s">
        <v>509</v>
      </c>
      <c r="G96" s="8" t="str">
        <f t="shared" si="1"/>
        <v>LOZA FIDEL</v>
      </c>
    </row>
    <row r="97" spans="1:7" x14ac:dyDescent="0.25">
      <c r="A97" s="8">
        <v>42845.47284722222</v>
      </c>
      <c r="B97" s="20" t="s">
        <v>474</v>
      </c>
      <c r="C97" s="20" t="s">
        <v>720</v>
      </c>
      <c r="D97" s="146">
        <v>1340000</v>
      </c>
      <c r="E97" s="20" t="s">
        <v>660</v>
      </c>
      <c r="F97" s="20" t="s">
        <v>661</v>
      </c>
      <c r="G97" s="8" t="str">
        <f t="shared" si="1"/>
        <v>BEAM ROSS</v>
      </c>
    </row>
    <row r="98" spans="1:7" x14ac:dyDescent="0.25">
      <c r="A98" s="8">
        <v>42845.475127314814</v>
      </c>
      <c r="B98" s="20" t="s">
        <v>414</v>
      </c>
      <c r="C98" s="20" t="s">
        <v>631</v>
      </c>
      <c r="D98" s="146">
        <v>1110000</v>
      </c>
      <c r="E98" s="20" t="s">
        <v>487</v>
      </c>
      <c r="F98" s="20" t="s">
        <v>488</v>
      </c>
      <c r="G98" s="8" t="str">
        <f t="shared" si="1"/>
        <v>STARKS ANGELINA</v>
      </c>
    </row>
    <row r="99" spans="1:7" x14ac:dyDescent="0.25">
      <c r="A99" s="8">
        <v>42845.475949074076</v>
      </c>
      <c r="B99" s="20" t="s">
        <v>454</v>
      </c>
      <c r="C99" s="20" t="s">
        <v>721</v>
      </c>
      <c r="D99" s="146">
        <v>1770000</v>
      </c>
      <c r="E99" s="20" t="s">
        <v>557</v>
      </c>
      <c r="F99" s="20" t="s">
        <v>558</v>
      </c>
      <c r="G99" s="8" t="str">
        <f t="shared" si="1"/>
        <v>BRUDER RICHARD</v>
      </c>
    </row>
    <row r="100" spans="1:7" x14ac:dyDescent="0.25">
      <c r="A100" s="8">
        <v>42845.48369212963</v>
      </c>
      <c r="B100" s="20" t="s">
        <v>503</v>
      </c>
      <c r="C100" s="20" t="s">
        <v>722</v>
      </c>
      <c r="D100" s="146">
        <v>890000</v>
      </c>
      <c r="E100" s="20" t="s">
        <v>508</v>
      </c>
      <c r="F100" s="20" t="s">
        <v>509</v>
      </c>
      <c r="G100" s="8" t="str">
        <f t="shared" si="1"/>
        <v>LOZA FIDEL</v>
      </c>
    </row>
    <row r="101" spans="1:7" x14ac:dyDescent="0.25">
      <c r="A101" s="8">
        <v>42845.485289351855</v>
      </c>
      <c r="B101" s="20" t="s">
        <v>438</v>
      </c>
      <c r="C101" s="20" t="s">
        <v>723</v>
      </c>
      <c r="D101" s="146">
        <v>2230000</v>
      </c>
      <c r="E101" s="20" t="s">
        <v>378</v>
      </c>
      <c r="F101" s="20" t="s">
        <v>196</v>
      </c>
      <c r="G101" s="8" t="str">
        <f t="shared" si="1"/>
        <v>SMITH MICHAEL</v>
      </c>
    </row>
    <row r="102" spans="1:7" x14ac:dyDescent="0.25">
      <c r="A102" s="8">
        <v>42845.49318287037</v>
      </c>
      <c r="B102" s="20" t="s">
        <v>486</v>
      </c>
      <c r="C102" s="20" t="s">
        <v>724</v>
      </c>
      <c r="D102" s="146">
        <v>930000</v>
      </c>
      <c r="E102" s="20" t="s">
        <v>491</v>
      </c>
      <c r="F102" s="20" t="s">
        <v>492</v>
      </c>
      <c r="G102" s="8" t="str">
        <f t="shared" si="1"/>
        <v>CLARK KATHLEEN</v>
      </c>
    </row>
    <row r="103" spans="1:7" x14ac:dyDescent="0.25">
      <c r="A103" s="8">
        <v>42845.495150462964</v>
      </c>
      <c r="B103" s="20" t="s">
        <v>543</v>
      </c>
      <c r="C103" s="20" t="s">
        <v>725</v>
      </c>
      <c r="D103" s="146">
        <v>2440000</v>
      </c>
      <c r="E103" s="20" t="s">
        <v>555</v>
      </c>
      <c r="F103" s="20" t="s">
        <v>556</v>
      </c>
      <c r="G103" s="8" t="str">
        <f t="shared" si="1"/>
        <v>LOPES KIMBERLY</v>
      </c>
    </row>
    <row r="104" spans="1:7" x14ac:dyDescent="0.25">
      <c r="A104" s="8">
        <v>42845.504201388889</v>
      </c>
      <c r="B104" s="20" t="s">
        <v>408</v>
      </c>
      <c r="C104" s="20" t="s">
        <v>726</v>
      </c>
      <c r="D104" s="146">
        <v>2260000</v>
      </c>
      <c r="E104" s="20" t="s">
        <v>559</v>
      </c>
      <c r="F104" s="20" t="s">
        <v>560</v>
      </c>
      <c r="G104" s="8" t="str">
        <f t="shared" si="1"/>
        <v>ARVIDSON DANIEL</v>
      </c>
    </row>
    <row r="105" spans="1:7" x14ac:dyDescent="0.25">
      <c r="A105" s="8">
        <v>42845.508576388886</v>
      </c>
      <c r="B105" s="20" t="s">
        <v>475</v>
      </c>
      <c r="C105" s="20" t="s">
        <v>727</v>
      </c>
      <c r="D105" s="146">
        <v>1540000</v>
      </c>
      <c r="E105" s="20" t="s">
        <v>551</v>
      </c>
      <c r="F105" s="20" t="s">
        <v>552</v>
      </c>
      <c r="G105" s="8" t="str">
        <f t="shared" si="1"/>
        <v>HELVIE ADAM</v>
      </c>
    </row>
    <row r="106" spans="1:7" x14ac:dyDescent="0.25">
      <c r="A106" s="8">
        <v>42845.510960648149</v>
      </c>
      <c r="B106" s="20" t="s">
        <v>422</v>
      </c>
      <c r="C106" s="20" t="s">
        <v>728</v>
      </c>
      <c r="D106" s="146">
        <v>890000</v>
      </c>
      <c r="E106" s="20" t="s">
        <v>508</v>
      </c>
      <c r="F106" s="20" t="s">
        <v>509</v>
      </c>
      <c r="G106" s="8" t="str">
        <f t="shared" si="1"/>
        <v>LOZA FIDEL</v>
      </c>
    </row>
    <row r="107" spans="1:7" x14ac:dyDescent="0.25">
      <c r="A107" s="8">
        <v>42845.513356481482</v>
      </c>
      <c r="B107" s="20" t="s">
        <v>455</v>
      </c>
      <c r="C107" s="20" t="s">
        <v>729</v>
      </c>
      <c r="D107" s="146">
        <v>1770000</v>
      </c>
      <c r="E107" s="20" t="s">
        <v>557</v>
      </c>
      <c r="F107" s="20" t="s">
        <v>558</v>
      </c>
      <c r="G107" s="8" t="str">
        <f t="shared" si="1"/>
        <v>BRUDER RICHARD</v>
      </c>
    </row>
    <row r="108" spans="1:7" x14ac:dyDescent="0.25">
      <c r="A108" s="8">
        <v>42845.519456018519</v>
      </c>
      <c r="B108" s="20" t="s">
        <v>417</v>
      </c>
      <c r="C108" s="20" t="s">
        <v>730</v>
      </c>
      <c r="D108" s="146">
        <v>2480000</v>
      </c>
      <c r="E108" s="20" t="s">
        <v>731</v>
      </c>
      <c r="F108" s="20" t="s">
        <v>732</v>
      </c>
      <c r="G108" s="8" t="str">
        <f t="shared" si="1"/>
        <v>WHITED DUSTIN</v>
      </c>
    </row>
    <row r="109" spans="1:7" x14ac:dyDescent="0.25">
      <c r="A109" s="8">
        <v>42845.519976851851</v>
      </c>
      <c r="B109" s="20" t="s">
        <v>420</v>
      </c>
      <c r="C109" s="20" t="s">
        <v>733</v>
      </c>
      <c r="D109" s="146">
        <v>2230000</v>
      </c>
      <c r="E109" s="20" t="s">
        <v>378</v>
      </c>
      <c r="F109" s="20" t="s">
        <v>196</v>
      </c>
      <c r="G109" s="8" t="str">
        <f t="shared" si="1"/>
        <v>SMITH MICHAEL</v>
      </c>
    </row>
    <row r="110" spans="1:7" x14ac:dyDescent="0.25">
      <c r="A110" s="8">
        <v>42845.525243055556</v>
      </c>
      <c r="B110" s="20" t="s">
        <v>503</v>
      </c>
      <c r="C110" s="20" t="s">
        <v>734</v>
      </c>
      <c r="D110" s="146">
        <v>890000</v>
      </c>
      <c r="E110" s="20" t="s">
        <v>508</v>
      </c>
      <c r="F110" s="20" t="s">
        <v>509</v>
      </c>
      <c r="G110" s="8" t="str">
        <f t="shared" si="1"/>
        <v>LOZA FIDEL</v>
      </c>
    </row>
    <row r="111" spans="1:7" x14ac:dyDescent="0.25">
      <c r="A111" s="8">
        <v>42845.527060185188</v>
      </c>
      <c r="B111" s="20" t="s">
        <v>624</v>
      </c>
      <c r="C111" s="20" t="s">
        <v>735</v>
      </c>
      <c r="D111" s="146">
        <v>930000</v>
      </c>
      <c r="E111" s="20" t="s">
        <v>491</v>
      </c>
      <c r="F111" s="20" t="s">
        <v>492</v>
      </c>
      <c r="G111" s="8" t="str">
        <f t="shared" si="1"/>
        <v>CLARK KATHLEEN</v>
      </c>
    </row>
    <row r="112" spans="1:7" x14ac:dyDescent="0.25">
      <c r="A112" s="8">
        <v>42845.533113425925</v>
      </c>
      <c r="B112" s="20" t="s">
        <v>540</v>
      </c>
      <c r="C112" s="20" t="s">
        <v>736</v>
      </c>
      <c r="D112" s="146">
        <v>2440000</v>
      </c>
      <c r="E112" s="20" t="s">
        <v>555</v>
      </c>
      <c r="F112" s="20" t="s">
        <v>556</v>
      </c>
      <c r="G112" s="8" t="str">
        <f t="shared" si="1"/>
        <v>LOPES KIMBERLY</v>
      </c>
    </row>
    <row r="113" spans="1:7" x14ac:dyDescent="0.25">
      <c r="A113" s="8">
        <v>42845.539305555554</v>
      </c>
      <c r="B113" s="20" t="s">
        <v>375</v>
      </c>
      <c r="C113" s="20" t="s">
        <v>632</v>
      </c>
      <c r="D113" s="146">
        <v>2260000</v>
      </c>
      <c r="E113" s="20" t="s">
        <v>559</v>
      </c>
      <c r="F113" s="20" t="s">
        <v>560</v>
      </c>
      <c r="G113" s="8" t="str">
        <f t="shared" si="1"/>
        <v>ARVIDSON DANIEL</v>
      </c>
    </row>
    <row r="114" spans="1:7" x14ac:dyDescent="0.25">
      <c r="A114" s="8">
        <v>42845.546365740738</v>
      </c>
      <c r="B114" s="20" t="s">
        <v>474</v>
      </c>
      <c r="C114" s="20" t="s">
        <v>737</v>
      </c>
      <c r="D114" s="146">
        <v>1540000</v>
      </c>
      <c r="E114" s="20" t="s">
        <v>551</v>
      </c>
      <c r="F114" s="20" t="s">
        <v>552</v>
      </c>
      <c r="G114" s="8" t="str">
        <f t="shared" si="1"/>
        <v>HELVIE ADAM</v>
      </c>
    </row>
    <row r="115" spans="1:7" x14ac:dyDescent="0.25">
      <c r="A115" s="8">
        <v>42845.547500000001</v>
      </c>
      <c r="B115" s="20" t="s">
        <v>474</v>
      </c>
      <c r="C115" s="20" t="s">
        <v>633</v>
      </c>
      <c r="D115" s="146">
        <v>1540000</v>
      </c>
      <c r="E115" s="20" t="s">
        <v>551</v>
      </c>
      <c r="F115" s="20" t="s">
        <v>552</v>
      </c>
      <c r="G115" s="8" t="str">
        <f t="shared" si="1"/>
        <v>HELVIE ADAM</v>
      </c>
    </row>
    <row r="116" spans="1:7" x14ac:dyDescent="0.25">
      <c r="A116" s="8">
        <v>42845.547835648147</v>
      </c>
      <c r="B116" s="20" t="s">
        <v>454</v>
      </c>
      <c r="C116" s="20" t="s">
        <v>738</v>
      </c>
      <c r="D116" s="146">
        <v>1770000</v>
      </c>
      <c r="E116" s="20" t="s">
        <v>557</v>
      </c>
      <c r="F116" s="20" t="s">
        <v>558</v>
      </c>
      <c r="G116" s="8" t="str">
        <f t="shared" si="1"/>
        <v>BRUDER RICHARD</v>
      </c>
    </row>
    <row r="117" spans="1:7" x14ac:dyDescent="0.25">
      <c r="A117" s="8">
        <v>42845.54928240741</v>
      </c>
      <c r="B117" s="20" t="s">
        <v>422</v>
      </c>
      <c r="C117" s="20" t="s">
        <v>739</v>
      </c>
      <c r="D117" s="146">
        <v>3120000</v>
      </c>
      <c r="E117" s="20" t="s">
        <v>740</v>
      </c>
      <c r="F117" s="20" t="s">
        <v>741</v>
      </c>
      <c r="G117" s="8" t="str">
        <f t="shared" si="1"/>
        <v>THOMPSON LESTER</v>
      </c>
    </row>
    <row r="118" spans="1:7" x14ac:dyDescent="0.25">
      <c r="A118" s="8">
        <v>42845.554131944446</v>
      </c>
      <c r="B118" s="20" t="s">
        <v>414</v>
      </c>
      <c r="C118" s="20" t="s">
        <v>742</v>
      </c>
      <c r="D118" s="146">
        <v>2480000</v>
      </c>
      <c r="E118" s="20" t="s">
        <v>731</v>
      </c>
      <c r="F118" s="20" t="s">
        <v>732</v>
      </c>
      <c r="G118" s="8" t="str">
        <f t="shared" si="1"/>
        <v>WHITED DUSTIN</v>
      </c>
    </row>
    <row r="119" spans="1:7" x14ac:dyDescent="0.25">
      <c r="A119" s="8">
        <v>42845.558645833335</v>
      </c>
      <c r="B119" s="20" t="s">
        <v>438</v>
      </c>
      <c r="C119" s="20" t="s">
        <v>743</v>
      </c>
      <c r="D119" s="146">
        <v>2230000</v>
      </c>
      <c r="E119" s="20" t="s">
        <v>378</v>
      </c>
      <c r="F119" s="20" t="s">
        <v>196</v>
      </c>
      <c r="G119" s="8" t="str">
        <f t="shared" si="1"/>
        <v>SMITH MICHAEL</v>
      </c>
    </row>
    <row r="120" spans="1:7" x14ac:dyDescent="0.25">
      <c r="A120" s="8">
        <v>42845.565879629627</v>
      </c>
      <c r="B120" s="20" t="s">
        <v>486</v>
      </c>
      <c r="C120" s="20" t="s">
        <v>744</v>
      </c>
      <c r="D120" s="146">
        <v>930000</v>
      </c>
      <c r="E120" s="20" t="s">
        <v>491</v>
      </c>
      <c r="F120" s="20" t="s">
        <v>492</v>
      </c>
      <c r="G120" s="8" t="str">
        <f t="shared" si="1"/>
        <v>CLARK KATHLEEN</v>
      </c>
    </row>
    <row r="121" spans="1:7" x14ac:dyDescent="0.25">
      <c r="A121" s="8">
        <v>42845.567546296297</v>
      </c>
      <c r="B121" s="20" t="s">
        <v>503</v>
      </c>
      <c r="C121" s="20" t="s">
        <v>745</v>
      </c>
      <c r="D121" s="146">
        <v>3120000</v>
      </c>
      <c r="E121" s="20" t="s">
        <v>740</v>
      </c>
      <c r="F121" s="20" t="s">
        <v>741</v>
      </c>
      <c r="G121" s="8" t="str">
        <f t="shared" si="1"/>
        <v>THOMPSON LESTER</v>
      </c>
    </row>
    <row r="122" spans="1:7" x14ac:dyDescent="0.25">
      <c r="A122" s="8">
        <v>42845.56759259259</v>
      </c>
      <c r="B122" s="25" t="s">
        <v>543</v>
      </c>
      <c r="C122" s="20" t="s">
        <v>746</v>
      </c>
      <c r="D122" s="146">
        <v>2440000</v>
      </c>
      <c r="E122" s="20" t="s">
        <v>555</v>
      </c>
      <c r="F122" s="20" t="s">
        <v>556</v>
      </c>
      <c r="G122" s="8" t="str">
        <f t="shared" si="1"/>
        <v>LOPES KIMBERLY</v>
      </c>
    </row>
    <row r="123" spans="1:7" x14ac:dyDescent="0.25">
      <c r="A123" s="8">
        <v>42845.580694444441</v>
      </c>
      <c r="B123" s="20" t="s">
        <v>475</v>
      </c>
      <c r="C123" s="20" t="s">
        <v>737</v>
      </c>
      <c r="D123" s="146">
        <v>1540000</v>
      </c>
      <c r="E123" s="20" t="s">
        <v>551</v>
      </c>
      <c r="F123" s="20" t="s">
        <v>552</v>
      </c>
      <c r="G123" s="8" t="str">
        <f t="shared" si="1"/>
        <v>HELVIE ADAM</v>
      </c>
    </row>
    <row r="124" spans="1:7" x14ac:dyDescent="0.25">
      <c r="A124" s="8">
        <v>42845.58525462963</v>
      </c>
      <c r="B124" s="20" t="s">
        <v>455</v>
      </c>
      <c r="C124" s="20" t="s">
        <v>747</v>
      </c>
      <c r="D124" s="146">
        <v>1770000</v>
      </c>
      <c r="E124" s="20" t="s">
        <v>557</v>
      </c>
      <c r="F124" s="20" t="s">
        <v>558</v>
      </c>
      <c r="G124" s="8" t="str">
        <f t="shared" si="1"/>
        <v>BRUDER RICHARD</v>
      </c>
    </row>
    <row r="125" spans="1:7" x14ac:dyDescent="0.25">
      <c r="A125" s="8">
        <v>42845.590138888889</v>
      </c>
      <c r="B125" s="20" t="s">
        <v>417</v>
      </c>
      <c r="C125" s="20" t="s">
        <v>748</v>
      </c>
      <c r="D125" s="146">
        <v>2480000</v>
      </c>
      <c r="E125" s="20" t="s">
        <v>731</v>
      </c>
      <c r="F125" s="20" t="s">
        <v>732</v>
      </c>
      <c r="G125" s="8" t="str">
        <f t="shared" si="1"/>
        <v>WHITED DUSTIN</v>
      </c>
    </row>
    <row r="126" spans="1:7" x14ac:dyDescent="0.25">
      <c r="A126" s="8">
        <v>42845.591319444444</v>
      </c>
      <c r="B126" s="20" t="s">
        <v>420</v>
      </c>
      <c r="C126" s="20" t="s">
        <v>749</v>
      </c>
      <c r="D126" s="146">
        <v>2230000</v>
      </c>
      <c r="E126" s="20" t="s">
        <v>378</v>
      </c>
      <c r="F126" s="20" t="s">
        <v>196</v>
      </c>
      <c r="G126" s="8" t="str">
        <f t="shared" si="1"/>
        <v>SMITH MICHAEL</v>
      </c>
    </row>
    <row r="127" spans="1:7" x14ac:dyDescent="0.25">
      <c r="A127" s="8">
        <v>42845.591319444444</v>
      </c>
      <c r="B127" s="20" t="s">
        <v>371</v>
      </c>
      <c r="C127" s="20" t="s">
        <v>750</v>
      </c>
      <c r="D127" s="146">
        <v>2370000</v>
      </c>
      <c r="E127" s="20" t="s">
        <v>553</v>
      </c>
      <c r="F127" s="20" t="s">
        <v>554</v>
      </c>
      <c r="G127" s="8" t="str">
        <f t="shared" si="1"/>
        <v>DELGADO DIANAH</v>
      </c>
    </row>
    <row r="128" spans="1:7" x14ac:dyDescent="0.25">
      <c r="A128" s="8">
        <v>42845.592997685184</v>
      </c>
      <c r="B128" s="20" t="s">
        <v>422</v>
      </c>
      <c r="C128" s="20" t="s">
        <v>751</v>
      </c>
      <c r="D128" s="146">
        <v>3120000</v>
      </c>
      <c r="E128" s="20" t="s">
        <v>740</v>
      </c>
      <c r="F128" s="20" t="s">
        <v>741</v>
      </c>
      <c r="G128" s="8" t="str">
        <f t="shared" si="1"/>
        <v>THOMPSON LESTER</v>
      </c>
    </row>
    <row r="129" spans="1:7" x14ac:dyDescent="0.25">
      <c r="A129" s="8">
        <v>42845.594826388886</v>
      </c>
      <c r="B129" s="20" t="s">
        <v>408</v>
      </c>
      <c r="C129" s="20" t="s">
        <v>752</v>
      </c>
      <c r="D129" s="146">
        <v>2260000</v>
      </c>
      <c r="E129" s="20" t="s">
        <v>559</v>
      </c>
      <c r="F129" s="20" t="s">
        <v>560</v>
      </c>
      <c r="G129" s="8" t="str">
        <f t="shared" si="1"/>
        <v>ARVIDSON DANIEL</v>
      </c>
    </row>
    <row r="130" spans="1:7" x14ac:dyDescent="0.25">
      <c r="A130" s="8">
        <v>42845.601053240738</v>
      </c>
      <c r="B130" s="20" t="s">
        <v>372</v>
      </c>
      <c r="C130" s="20" t="s">
        <v>753</v>
      </c>
      <c r="D130" s="146">
        <v>2370000</v>
      </c>
      <c r="E130" s="20" t="s">
        <v>553</v>
      </c>
      <c r="F130" s="20" t="s">
        <v>554</v>
      </c>
      <c r="G130" s="8" t="str">
        <f t="shared" si="1"/>
        <v>DELGADO DIANAH</v>
      </c>
    </row>
    <row r="131" spans="1:7" x14ac:dyDescent="0.25">
      <c r="A131" s="8">
        <v>42845.601585648146</v>
      </c>
      <c r="B131" s="20" t="s">
        <v>624</v>
      </c>
      <c r="C131" s="20" t="s">
        <v>754</v>
      </c>
      <c r="D131" s="146">
        <v>930000</v>
      </c>
      <c r="E131" s="20" t="s">
        <v>491</v>
      </c>
      <c r="F131" s="20" t="s">
        <v>492</v>
      </c>
      <c r="G131" s="8" t="str">
        <f t="shared" ref="G131:G194" si="2">E131&amp;" "&amp;F131</f>
        <v>CLARK KATHLEEN</v>
      </c>
    </row>
    <row r="132" spans="1:7" x14ac:dyDescent="0.25">
      <c r="A132" s="8">
        <v>42845.602384259262</v>
      </c>
      <c r="B132" s="20" t="s">
        <v>372</v>
      </c>
      <c r="C132" s="20" t="s">
        <v>753</v>
      </c>
      <c r="D132" s="146">
        <v>2370000</v>
      </c>
      <c r="E132" s="20" t="s">
        <v>553</v>
      </c>
      <c r="F132" s="20" t="s">
        <v>554</v>
      </c>
      <c r="G132" s="8" t="str">
        <f t="shared" si="2"/>
        <v>DELGADO DIANAH</v>
      </c>
    </row>
    <row r="133" spans="1:7" x14ac:dyDescent="0.25">
      <c r="A133" s="8">
        <v>42845.605671296296</v>
      </c>
      <c r="B133" s="20" t="s">
        <v>540</v>
      </c>
      <c r="C133" s="20" t="s">
        <v>755</v>
      </c>
      <c r="D133" s="146">
        <v>2440000</v>
      </c>
      <c r="E133" s="20" t="s">
        <v>555</v>
      </c>
      <c r="F133" s="20" t="s">
        <v>556</v>
      </c>
      <c r="G133" s="8" t="str">
        <f t="shared" si="2"/>
        <v>LOPES KIMBERLY</v>
      </c>
    </row>
    <row r="134" spans="1:7" x14ac:dyDescent="0.25">
      <c r="A134" s="8">
        <v>42845.608657407407</v>
      </c>
      <c r="B134" s="20" t="s">
        <v>371</v>
      </c>
      <c r="C134" s="20" t="s">
        <v>756</v>
      </c>
      <c r="D134" s="146">
        <v>2370000</v>
      </c>
      <c r="E134" s="20" t="s">
        <v>553</v>
      </c>
      <c r="F134" s="20" t="s">
        <v>554</v>
      </c>
      <c r="G134" s="8" t="str">
        <f t="shared" si="2"/>
        <v>DELGADO DIANAH</v>
      </c>
    </row>
    <row r="135" spans="1:7" x14ac:dyDescent="0.25">
      <c r="A135" s="8">
        <v>42845.610300925924</v>
      </c>
      <c r="B135" s="20" t="s">
        <v>503</v>
      </c>
      <c r="C135" s="20" t="s">
        <v>757</v>
      </c>
      <c r="D135" s="146">
        <v>3120000</v>
      </c>
      <c r="E135" s="20" t="s">
        <v>740</v>
      </c>
      <c r="F135" s="20" t="s">
        <v>741</v>
      </c>
      <c r="G135" s="8" t="str">
        <f t="shared" si="2"/>
        <v>THOMPSON LESTER</v>
      </c>
    </row>
    <row r="136" spans="1:7" x14ac:dyDescent="0.25">
      <c r="A136" s="8">
        <v>42845.618634259263</v>
      </c>
      <c r="B136" s="20" t="s">
        <v>474</v>
      </c>
      <c r="C136" s="20" t="s">
        <v>758</v>
      </c>
      <c r="D136" s="146">
        <v>1540000</v>
      </c>
      <c r="E136" s="20" t="s">
        <v>551</v>
      </c>
      <c r="F136" s="20" t="s">
        <v>552</v>
      </c>
      <c r="G136" s="8" t="str">
        <f t="shared" si="2"/>
        <v>HELVIE ADAM</v>
      </c>
    </row>
    <row r="137" spans="1:7" x14ac:dyDescent="0.25">
      <c r="A137" s="8">
        <v>42845.620625000003</v>
      </c>
      <c r="B137" s="20" t="s">
        <v>454</v>
      </c>
      <c r="C137" s="20" t="s">
        <v>759</v>
      </c>
      <c r="D137" s="146">
        <v>1770000</v>
      </c>
      <c r="E137" s="20" t="s">
        <v>557</v>
      </c>
      <c r="F137" s="20" t="s">
        <v>558</v>
      </c>
      <c r="G137" s="8" t="str">
        <f t="shared" si="2"/>
        <v>BRUDER RICHARD</v>
      </c>
    </row>
    <row r="138" spans="1:7" x14ac:dyDescent="0.25">
      <c r="A138" s="8">
        <v>42845.627511574072</v>
      </c>
      <c r="B138" s="20" t="s">
        <v>414</v>
      </c>
      <c r="C138" s="20" t="s">
        <v>760</v>
      </c>
      <c r="D138" s="146">
        <v>2480000</v>
      </c>
      <c r="E138" s="20" t="s">
        <v>731</v>
      </c>
      <c r="F138" s="20" t="s">
        <v>732</v>
      </c>
      <c r="G138" s="8" t="str">
        <f t="shared" si="2"/>
        <v>WHITED DUSTIN</v>
      </c>
    </row>
    <row r="139" spans="1:7" x14ac:dyDescent="0.25">
      <c r="A139" s="8">
        <v>42845.629641203705</v>
      </c>
      <c r="B139" s="20" t="s">
        <v>422</v>
      </c>
      <c r="C139" s="20" t="s">
        <v>761</v>
      </c>
      <c r="D139" s="146">
        <v>3120000</v>
      </c>
      <c r="E139" s="20" t="s">
        <v>740</v>
      </c>
      <c r="F139" s="20" t="s">
        <v>741</v>
      </c>
      <c r="G139" s="8" t="str">
        <f t="shared" si="2"/>
        <v>THOMPSON LESTER</v>
      </c>
    </row>
    <row r="140" spans="1:7" x14ac:dyDescent="0.25">
      <c r="A140" s="8">
        <v>42845.631828703707</v>
      </c>
      <c r="B140" s="20" t="s">
        <v>438</v>
      </c>
      <c r="C140" s="20" t="s">
        <v>762</v>
      </c>
      <c r="D140" s="146">
        <v>2230000</v>
      </c>
      <c r="E140" s="20" t="s">
        <v>378</v>
      </c>
      <c r="F140" s="20" t="s">
        <v>196</v>
      </c>
      <c r="G140" s="8" t="str">
        <f t="shared" si="2"/>
        <v>SMITH MICHAEL</v>
      </c>
    </row>
    <row r="141" spans="1:7" x14ac:dyDescent="0.25">
      <c r="A141" s="8">
        <v>42845.63795138889</v>
      </c>
      <c r="B141" s="20" t="s">
        <v>486</v>
      </c>
      <c r="C141" s="20" t="s">
        <v>763</v>
      </c>
      <c r="D141" s="146">
        <v>930000</v>
      </c>
      <c r="E141" s="20" t="s">
        <v>491</v>
      </c>
      <c r="F141" s="20" t="s">
        <v>492</v>
      </c>
      <c r="G141" s="8" t="str">
        <f t="shared" si="2"/>
        <v>CLARK KATHLEEN</v>
      </c>
    </row>
    <row r="142" spans="1:7" x14ac:dyDescent="0.25">
      <c r="A142" s="8">
        <v>42845.639780092592</v>
      </c>
      <c r="B142" s="20" t="s">
        <v>380</v>
      </c>
      <c r="C142" s="20" t="s">
        <v>634</v>
      </c>
      <c r="D142" s="146">
        <v>1740000</v>
      </c>
      <c r="E142" s="20" t="s">
        <v>392</v>
      </c>
      <c r="F142" s="20" t="s">
        <v>393</v>
      </c>
      <c r="G142" s="8" t="str">
        <f t="shared" si="2"/>
        <v>STORY SAMANTHA</v>
      </c>
    </row>
    <row r="143" spans="1:7" x14ac:dyDescent="0.25">
      <c r="A143" s="8">
        <v>42845.641412037039</v>
      </c>
      <c r="B143" s="20" t="s">
        <v>543</v>
      </c>
      <c r="C143" s="20" t="s">
        <v>635</v>
      </c>
      <c r="D143" s="146">
        <v>2440000</v>
      </c>
      <c r="E143" s="20" t="s">
        <v>555</v>
      </c>
      <c r="F143" s="20" t="s">
        <v>556</v>
      </c>
      <c r="G143" s="8" t="str">
        <f t="shared" si="2"/>
        <v>LOPES KIMBERLY</v>
      </c>
    </row>
    <row r="144" spans="1:7" x14ac:dyDescent="0.25">
      <c r="A144" s="8">
        <v>42845.643067129633</v>
      </c>
      <c r="B144" s="20" t="s">
        <v>380</v>
      </c>
      <c r="C144" s="20" t="s">
        <v>634</v>
      </c>
      <c r="D144" s="146">
        <v>1740000</v>
      </c>
      <c r="E144" s="20" t="s">
        <v>392</v>
      </c>
      <c r="F144" s="20" t="s">
        <v>393</v>
      </c>
      <c r="G144" s="8" t="str">
        <f t="shared" si="2"/>
        <v>STORY SAMANTHA</v>
      </c>
    </row>
    <row r="145" spans="1:7" x14ac:dyDescent="0.25">
      <c r="A145" s="8">
        <v>42845.649606481478</v>
      </c>
      <c r="B145" s="20" t="s">
        <v>372</v>
      </c>
      <c r="C145" s="20" t="s">
        <v>764</v>
      </c>
      <c r="D145" s="146">
        <v>2370000</v>
      </c>
      <c r="E145" s="20" t="s">
        <v>553</v>
      </c>
      <c r="F145" s="20" t="s">
        <v>554</v>
      </c>
      <c r="G145" s="8" t="str">
        <f t="shared" si="2"/>
        <v>DELGADO DIANAH</v>
      </c>
    </row>
    <row r="146" spans="1:7" x14ac:dyDescent="0.25">
      <c r="A146" s="8">
        <v>42845.650659722225</v>
      </c>
      <c r="B146" s="20" t="s">
        <v>372</v>
      </c>
      <c r="C146" s="20" t="s">
        <v>764</v>
      </c>
      <c r="D146" s="146">
        <v>2370000</v>
      </c>
      <c r="E146" s="20" t="s">
        <v>553</v>
      </c>
      <c r="F146" s="20" t="s">
        <v>554</v>
      </c>
      <c r="G146" s="8" t="str">
        <f t="shared" si="2"/>
        <v>DELGADO DIANAH</v>
      </c>
    </row>
    <row r="147" spans="1:7" x14ac:dyDescent="0.25">
      <c r="A147" s="8">
        <v>42845.650682870371</v>
      </c>
      <c r="B147" s="20" t="s">
        <v>199</v>
      </c>
      <c r="C147" s="20" t="s">
        <v>765</v>
      </c>
      <c r="D147" s="146">
        <v>1740000</v>
      </c>
      <c r="E147" s="20" t="s">
        <v>392</v>
      </c>
      <c r="F147" s="20" t="s">
        <v>393</v>
      </c>
      <c r="G147" s="8" t="str">
        <f t="shared" si="2"/>
        <v>STORY SAMANTHA</v>
      </c>
    </row>
    <row r="148" spans="1:7" x14ac:dyDescent="0.25">
      <c r="A148" s="8">
        <v>42845.650740740741</v>
      </c>
      <c r="B148" s="20" t="s">
        <v>503</v>
      </c>
      <c r="C148" s="20" t="s">
        <v>766</v>
      </c>
      <c r="D148" s="146">
        <v>3120000</v>
      </c>
      <c r="E148" s="20" t="s">
        <v>740</v>
      </c>
      <c r="F148" s="20" t="s">
        <v>741</v>
      </c>
      <c r="G148" s="8" t="str">
        <f t="shared" si="2"/>
        <v>THOMPSON LESTER</v>
      </c>
    </row>
    <row r="149" spans="1:7" x14ac:dyDescent="0.25">
      <c r="A149" s="8">
        <v>42845.654317129629</v>
      </c>
      <c r="B149" s="20" t="s">
        <v>475</v>
      </c>
      <c r="C149" s="20" t="s">
        <v>767</v>
      </c>
      <c r="D149" s="146">
        <v>1540000</v>
      </c>
      <c r="E149" s="20" t="s">
        <v>551</v>
      </c>
      <c r="F149" s="20" t="s">
        <v>552</v>
      </c>
      <c r="G149" s="8" t="str">
        <f t="shared" si="2"/>
        <v>HELVIE ADAM</v>
      </c>
    </row>
    <row r="150" spans="1:7" x14ac:dyDescent="0.25">
      <c r="A150" s="8">
        <v>42845.65865740741</v>
      </c>
      <c r="B150" s="20" t="s">
        <v>455</v>
      </c>
      <c r="C150" s="20" t="s">
        <v>768</v>
      </c>
      <c r="D150" s="146">
        <v>1770000</v>
      </c>
      <c r="E150" s="20" t="s">
        <v>557</v>
      </c>
      <c r="F150" s="20" t="s">
        <v>558</v>
      </c>
      <c r="G150" s="8" t="str">
        <f t="shared" si="2"/>
        <v>BRUDER RICHARD</v>
      </c>
    </row>
    <row r="151" spans="1:7" x14ac:dyDescent="0.25">
      <c r="A151" s="8">
        <v>42845.6640162037</v>
      </c>
      <c r="B151" s="20" t="s">
        <v>417</v>
      </c>
      <c r="C151" s="20" t="s">
        <v>769</v>
      </c>
      <c r="D151" s="146">
        <v>2480000</v>
      </c>
      <c r="E151" s="20" t="s">
        <v>731</v>
      </c>
      <c r="F151" s="20" t="s">
        <v>732</v>
      </c>
      <c r="G151" s="8" t="str">
        <f t="shared" si="2"/>
        <v>WHITED DUSTIN</v>
      </c>
    </row>
    <row r="152" spans="1:7" x14ac:dyDescent="0.25">
      <c r="A152" s="8">
        <v>42845.667025462964</v>
      </c>
      <c r="B152" s="20" t="s">
        <v>420</v>
      </c>
      <c r="C152" s="20" t="s">
        <v>770</v>
      </c>
      <c r="D152" s="146">
        <v>2230000</v>
      </c>
      <c r="E152" s="20" t="s">
        <v>378</v>
      </c>
      <c r="F152" s="20" t="s">
        <v>196</v>
      </c>
      <c r="G152" s="8" t="str">
        <f t="shared" si="2"/>
        <v>SMITH MICHAEL</v>
      </c>
    </row>
    <row r="153" spans="1:7" x14ac:dyDescent="0.25">
      <c r="A153" s="8">
        <v>42845.668437499997</v>
      </c>
      <c r="B153" s="20" t="s">
        <v>543</v>
      </c>
      <c r="C153" s="20" t="s">
        <v>635</v>
      </c>
      <c r="D153" s="146">
        <v>2440000</v>
      </c>
      <c r="E153" s="20" t="s">
        <v>555</v>
      </c>
      <c r="F153" s="20" t="s">
        <v>556</v>
      </c>
      <c r="G153" s="8" t="str">
        <f t="shared" si="2"/>
        <v>LOPES KIMBERLY</v>
      </c>
    </row>
    <row r="154" spans="1:7" x14ac:dyDescent="0.25">
      <c r="A154" s="8">
        <v>42845.671296296299</v>
      </c>
      <c r="B154" s="20" t="s">
        <v>380</v>
      </c>
      <c r="C154" s="20" t="s">
        <v>636</v>
      </c>
      <c r="D154" s="146">
        <v>1740000</v>
      </c>
      <c r="E154" s="20" t="s">
        <v>392</v>
      </c>
      <c r="F154" s="20" t="s">
        <v>393</v>
      </c>
      <c r="G154" s="8" t="str">
        <f t="shared" si="2"/>
        <v>STORY SAMANTHA</v>
      </c>
    </row>
    <row r="155" spans="1:7" x14ac:dyDescent="0.25">
      <c r="A155" s="8">
        <v>42845.673750000002</v>
      </c>
      <c r="B155" s="20" t="s">
        <v>624</v>
      </c>
      <c r="C155" s="20" t="s">
        <v>771</v>
      </c>
      <c r="D155" s="146">
        <v>930000</v>
      </c>
      <c r="E155" s="20" t="s">
        <v>491</v>
      </c>
      <c r="F155" s="20" t="s">
        <v>492</v>
      </c>
      <c r="G155" s="8" t="str">
        <f t="shared" si="2"/>
        <v>CLARK KATHLEEN</v>
      </c>
    </row>
    <row r="156" spans="1:7" x14ac:dyDescent="0.25">
      <c r="A156" s="8">
        <v>42845.675208333334</v>
      </c>
      <c r="B156" s="20" t="s">
        <v>422</v>
      </c>
      <c r="C156" s="20" t="s">
        <v>772</v>
      </c>
      <c r="D156" s="146">
        <v>3120000</v>
      </c>
      <c r="E156" s="20" t="s">
        <v>740</v>
      </c>
      <c r="F156" s="20" t="s">
        <v>741</v>
      </c>
      <c r="G156" s="8" t="str">
        <f t="shared" si="2"/>
        <v>THOMPSON LESTER</v>
      </c>
    </row>
    <row r="157" spans="1:7" x14ac:dyDescent="0.25">
      <c r="A157" s="8">
        <v>42845.681192129632</v>
      </c>
      <c r="B157" s="20" t="s">
        <v>540</v>
      </c>
      <c r="C157" s="20" t="s">
        <v>637</v>
      </c>
      <c r="D157" s="146">
        <v>2440000</v>
      </c>
      <c r="E157" s="20" t="s">
        <v>555</v>
      </c>
      <c r="F157" s="20" t="s">
        <v>556</v>
      </c>
      <c r="G157" s="8" t="str">
        <f t="shared" si="2"/>
        <v>LOPES KIMBERLY</v>
      </c>
    </row>
    <row r="158" spans="1:7" x14ac:dyDescent="0.25">
      <c r="A158" s="8">
        <v>42845.685208333336</v>
      </c>
      <c r="B158" s="20" t="s">
        <v>371</v>
      </c>
      <c r="C158" s="20" t="s">
        <v>773</v>
      </c>
      <c r="D158" s="146">
        <v>2260000</v>
      </c>
      <c r="E158" s="20" t="s">
        <v>559</v>
      </c>
      <c r="F158" s="20" t="s">
        <v>560</v>
      </c>
      <c r="G158" s="8" t="str">
        <f t="shared" si="2"/>
        <v>ARVIDSON DANIEL</v>
      </c>
    </row>
    <row r="159" spans="1:7" x14ac:dyDescent="0.25">
      <c r="A159" s="8">
        <v>42845.686365740738</v>
      </c>
      <c r="B159" s="20" t="s">
        <v>199</v>
      </c>
      <c r="C159" s="20" t="s">
        <v>774</v>
      </c>
      <c r="D159" s="146">
        <v>1740000</v>
      </c>
      <c r="E159" s="20" t="s">
        <v>392</v>
      </c>
      <c r="F159" s="20" t="s">
        <v>393</v>
      </c>
      <c r="G159" s="8" t="str">
        <f t="shared" si="2"/>
        <v>STORY SAMANTHA</v>
      </c>
    </row>
    <row r="160" spans="1:7" x14ac:dyDescent="0.25">
      <c r="A160" s="8">
        <v>42845.687164351853</v>
      </c>
      <c r="B160" s="20" t="s">
        <v>371</v>
      </c>
      <c r="C160" s="20" t="s">
        <v>773</v>
      </c>
      <c r="D160" s="146">
        <v>2260000</v>
      </c>
      <c r="E160" s="20" t="s">
        <v>559</v>
      </c>
      <c r="F160" s="20" t="s">
        <v>560</v>
      </c>
      <c r="G160" s="8" t="str">
        <f t="shared" si="2"/>
        <v>ARVIDSON DANIEL</v>
      </c>
    </row>
    <row r="161" spans="1:7" x14ac:dyDescent="0.25">
      <c r="A161" s="8">
        <v>42845.693344907406</v>
      </c>
      <c r="B161" s="20" t="s">
        <v>474</v>
      </c>
      <c r="C161" s="20" t="s">
        <v>638</v>
      </c>
      <c r="D161" s="146">
        <v>1540000</v>
      </c>
      <c r="E161" s="20" t="s">
        <v>551</v>
      </c>
      <c r="F161" s="20" t="s">
        <v>552</v>
      </c>
      <c r="G161" s="8" t="str">
        <f t="shared" si="2"/>
        <v>HELVIE ADAM</v>
      </c>
    </row>
    <row r="162" spans="1:7" x14ac:dyDescent="0.25">
      <c r="A162" s="8">
        <v>42845.693865740737</v>
      </c>
      <c r="B162" s="20" t="s">
        <v>503</v>
      </c>
      <c r="C162" s="20" t="s">
        <v>775</v>
      </c>
      <c r="D162" s="146">
        <v>3120000</v>
      </c>
      <c r="E162" s="20" t="s">
        <v>740</v>
      </c>
      <c r="F162" s="20" t="s">
        <v>741</v>
      </c>
      <c r="G162" s="8" t="str">
        <f t="shared" si="2"/>
        <v>THOMPSON LESTER</v>
      </c>
    </row>
    <row r="163" spans="1:7" x14ac:dyDescent="0.25">
      <c r="A163" s="8">
        <v>42845.694664351853</v>
      </c>
      <c r="B163" s="20" t="s">
        <v>454</v>
      </c>
      <c r="C163" s="20" t="s">
        <v>776</v>
      </c>
      <c r="D163" s="146">
        <v>1770000</v>
      </c>
      <c r="E163" s="20" t="s">
        <v>557</v>
      </c>
      <c r="F163" s="20" t="s">
        <v>558</v>
      </c>
      <c r="G163" s="8" t="str">
        <f t="shared" si="2"/>
        <v>BRUDER RICHARD</v>
      </c>
    </row>
    <row r="164" spans="1:7" x14ac:dyDescent="0.25">
      <c r="A164" s="8">
        <v>42845.69935185185</v>
      </c>
      <c r="B164" s="20" t="s">
        <v>414</v>
      </c>
      <c r="C164" s="20" t="s">
        <v>777</v>
      </c>
      <c r="D164" s="146">
        <v>2480000</v>
      </c>
      <c r="E164" s="20" t="s">
        <v>731</v>
      </c>
      <c r="F164" s="20" t="s">
        <v>732</v>
      </c>
      <c r="G164" s="8" t="str">
        <f t="shared" si="2"/>
        <v>WHITED DUSTIN</v>
      </c>
    </row>
    <row r="165" spans="1:7" x14ac:dyDescent="0.25">
      <c r="A165" s="8">
        <v>42845.703842592593</v>
      </c>
      <c r="B165" s="20" t="s">
        <v>438</v>
      </c>
      <c r="C165" s="20" t="s">
        <v>778</v>
      </c>
      <c r="D165" s="146">
        <v>2230000</v>
      </c>
      <c r="E165" s="20" t="s">
        <v>378</v>
      </c>
      <c r="F165" s="20" t="s">
        <v>196</v>
      </c>
      <c r="G165" s="8" t="str">
        <f t="shared" si="2"/>
        <v>SMITH MICHAEL</v>
      </c>
    </row>
    <row r="166" spans="1:7" x14ac:dyDescent="0.25">
      <c r="A166" s="8">
        <v>42845.709131944444</v>
      </c>
      <c r="B166" s="20" t="s">
        <v>486</v>
      </c>
      <c r="C166" s="20" t="s">
        <v>779</v>
      </c>
      <c r="D166" s="146">
        <v>930000</v>
      </c>
      <c r="E166" s="20" t="s">
        <v>491</v>
      </c>
      <c r="F166" s="20" t="s">
        <v>492</v>
      </c>
      <c r="G166" s="8" t="str">
        <f t="shared" si="2"/>
        <v>CLARK KATHLEEN</v>
      </c>
    </row>
    <row r="167" spans="1:7" x14ac:dyDescent="0.25">
      <c r="A167" s="8">
        <v>42845.712939814817</v>
      </c>
      <c r="B167" s="20" t="s">
        <v>380</v>
      </c>
      <c r="C167" s="20" t="s">
        <v>780</v>
      </c>
      <c r="D167" s="146">
        <v>1740000</v>
      </c>
      <c r="E167" s="20" t="s">
        <v>392</v>
      </c>
      <c r="F167" s="20" t="s">
        <v>393</v>
      </c>
      <c r="G167" s="8" t="str">
        <f t="shared" si="2"/>
        <v>STORY SAMANTHA</v>
      </c>
    </row>
    <row r="168" spans="1:7" x14ac:dyDescent="0.25">
      <c r="A168" s="8">
        <v>42845.716145833336</v>
      </c>
      <c r="B168" s="20" t="s">
        <v>543</v>
      </c>
      <c r="C168" s="20" t="s">
        <v>781</v>
      </c>
      <c r="D168" s="146">
        <v>2560000</v>
      </c>
      <c r="E168" s="20" t="s">
        <v>782</v>
      </c>
      <c r="F168" s="20" t="s">
        <v>783</v>
      </c>
      <c r="G168" s="8" t="str">
        <f t="shared" si="2"/>
        <v>MACDONALD THOMAS</v>
      </c>
    </row>
    <row r="169" spans="1:7" x14ac:dyDescent="0.25">
      <c r="A169" s="8">
        <v>42845.719444444447</v>
      </c>
      <c r="B169" s="20" t="s">
        <v>422</v>
      </c>
      <c r="C169" s="20" t="s">
        <v>639</v>
      </c>
      <c r="D169" s="146">
        <v>3120000</v>
      </c>
      <c r="E169" s="20" t="s">
        <v>740</v>
      </c>
      <c r="F169" s="20" t="s">
        <v>741</v>
      </c>
      <c r="G169" s="8" t="str">
        <f t="shared" si="2"/>
        <v>THOMPSON LESTER</v>
      </c>
    </row>
    <row r="170" spans="1:7" x14ac:dyDescent="0.25">
      <c r="A170" s="8">
        <v>42845.722291666665</v>
      </c>
      <c r="B170" s="20" t="s">
        <v>372</v>
      </c>
      <c r="C170" s="20" t="s">
        <v>784</v>
      </c>
      <c r="D170" s="146">
        <v>2260000</v>
      </c>
      <c r="E170" s="20" t="s">
        <v>559</v>
      </c>
      <c r="F170" s="20" t="s">
        <v>560</v>
      </c>
      <c r="G170" s="8" t="str">
        <f t="shared" si="2"/>
        <v>ARVIDSON DANIEL</v>
      </c>
    </row>
    <row r="171" spans="1:7" x14ac:dyDescent="0.25">
      <c r="A171" s="8">
        <v>42845.725937499999</v>
      </c>
      <c r="B171" s="20" t="s">
        <v>475</v>
      </c>
      <c r="C171" s="20" t="s">
        <v>785</v>
      </c>
      <c r="D171" s="146">
        <v>2440000</v>
      </c>
      <c r="E171" s="20" t="s">
        <v>555</v>
      </c>
      <c r="F171" s="20" t="s">
        <v>556</v>
      </c>
      <c r="G171" s="8" t="str">
        <f t="shared" si="2"/>
        <v>LOPES KIMBERLY</v>
      </c>
    </row>
    <row r="172" spans="1:7" x14ac:dyDescent="0.25">
      <c r="A172" s="8">
        <v>42845.726643518516</v>
      </c>
      <c r="B172" s="20" t="s">
        <v>375</v>
      </c>
      <c r="C172" s="20" t="s">
        <v>786</v>
      </c>
      <c r="D172" s="146">
        <v>2370000</v>
      </c>
      <c r="E172" s="20" t="s">
        <v>553</v>
      </c>
      <c r="F172" s="20" t="s">
        <v>554</v>
      </c>
      <c r="G172" s="8" t="str">
        <f t="shared" si="2"/>
        <v>DELGADO DIANAH</v>
      </c>
    </row>
    <row r="173" spans="1:7" x14ac:dyDescent="0.25">
      <c r="A173" s="8">
        <v>42845.727986111109</v>
      </c>
      <c r="B173" s="20" t="s">
        <v>375</v>
      </c>
      <c r="C173" s="20" t="s">
        <v>786</v>
      </c>
      <c r="D173" s="146">
        <v>2370000</v>
      </c>
      <c r="E173" s="20" t="s">
        <v>553</v>
      </c>
      <c r="F173" s="20" t="s">
        <v>554</v>
      </c>
      <c r="G173" s="8" t="str">
        <f t="shared" si="2"/>
        <v>DELGADO DIANAH</v>
      </c>
    </row>
    <row r="174" spans="1:7" x14ac:dyDescent="0.25">
      <c r="A174" s="8">
        <v>42845.728321759256</v>
      </c>
      <c r="B174" s="20" t="s">
        <v>199</v>
      </c>
      <c r="C174" s="20" t="s">
        <v>644</v>
      </c>
      <c r="D174" s="146">
        <v>1740000</v>
      </c>
      <c r="E174" s="20" t="s">
        <v>392</v>
      </c>
      <c r="F174" s="20" t="s">
        <v>393</v>
      </c>
      <c r="G174" s="8" t="str">
        <f t="shared" si="2"/>
        <v>STORY SAMANTHA</v>
      </c>
    </row>
    <row r="175" spans="1:7" x14ac:dyDescent="0.25">
      <c r="A175" s="8">
        <v>42845.729942129627</v>
      </c>
      <c r="B175" s="20" t="s">
        <v>375</v>
      </c>
      <c r="C175" s="20" t="s">
        <v>786</v>
      </c>
      <c r="D175" s="146">
        <v>2370000</v>
      </c>
      <c r="E175" s="20" t="s">
        <v>553</v>
      </c>
      <c r="F175" s="20" t="s">
        <v>554</v>
      </c>
      <c r="G175" s="8" t="str">
        <f t="shared" si="2"/>
        <v>DELGADO DIANAH</v>
      </c>
    </row>
    <row r="176" spans="1:7" x14ac:dyDescent="0.25">
      <c r="A176" s="8">
        <v>42845.730555555558</v>
      </c>
      <c r="B176" s="20" t="s">
        <v>455</v>
      </c>
      <c r="C176" s="20" t="s">
        <v>787</v>
      </c>
      <c r="D176" s="146">
        <v>1770000</v>
      </c>
      <c r="E176" s="20" t="s">
        <v>557</v>
      </c>
      <c r="F176" s="20" t="s">
        <v>558</v>
      </c>
      <c r="G176" s="8" t="str">
        <f t="shared" si="2"/>
        <v>BRUDER RICHARD</v>
      </c>
    </row>
    <row r="177" spans="1:7" x14ac:dyDescent="0.25">
      <c r="A177" s="8">
        <v>42845.730787037035</v>
      </c>
      <c r="B177" s="20" t="s">
        <v>640</v>
      </c>
      <c r="C177" s="20" t="s">
        <v>641</v>
      </c>
      <c r="D177" s="146">
        <v>2270000</v>
      </c>
      <c r="E177" s="20" t="s">
        <v>206</v>
      </c>
      <c r="F177" s="20" t="s">
        <v>207</v>
      </c>
      <c r="G177" s="8" t="str">
        <f t="shared" si="2"/>
        <v>BROWN JACOB</v>
      </c>
    </row>
    <row r="178" spans="1:7" x14ac:dyDescent="0.25">
      <c r="A178" s="8">
        <v>42845.736168981479</v>
      </c>
      <c r="B178" s="20" t="s">
        <v>417</v>
      </c>
      <c r="C178" s="20" t="s">
        <v>788</v>
      </c>
      <c r="D178" s="146">
        <v>1810000</v>
      </c>
      <c r="E178" s="20" t="s">
        <v>391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42845.736273148148</v>
      </c>
      <c r="B179" s="20" t="s">
        <v>503</v>
      </c>
      <c r="C179" s="20" t="s">
        <v>789</v>
      </c>
      <c r="D179" s="146">
        <v>3120000</v>
      </c>
      <c r="E179" s="20" t="s">
        <v>740</v>
      </c>
      <c r="F179" s="20" t="s">
        <v>741</v>
      </c>
      <c r="G179" s="8" t="str">
        <f t="shared" si="2"/>
        <v>THOMPSON LESTER</v>
      </c>
    </row>
    <row r="180" spans="1:7" x14ac:dyDescent="0.25">
      <c r="A180" s="8">
        <v>42845.738761574074</v>
      </c>
      <c r="B180" s="20" t="s">
        <v>420</v>
      </c>
      <c r="C180" s="20" t="s">
        <v>790</v>
      </c>
      <c r="D180" s="146">
        <v>2230000</v>
      </c>
      <c r="E180" s="20" t="s">
        <v>378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42845.738981481481</v>
      </c>
      <c r="B181" s="20" t="s">
        <v>396</v>
      </c>
      <c r="C181" s="20" t="s">
        <v>642</v>
      </c>
      <c r="D181" s="146">
        <v>2620000</v>
      </c>
      <c r="E181" s="20" t="s">
        <v>791</v>
      </c>
      <c r="F181" s="20" t="s">
        <v>792</v>
      </c>
      <c r="G181" s="8" t="str">
        <f t="shared" si="2"/>
        <v>PERKINS DARREN</v>
      </c>
    </row>
    <row r="182" spans="1:7" x14ac:dyDescent="0.25">
      <c r="A182" s="8">
        <v>42845.747175925928</v>
      </c>
      <c r="B182" s="20" t="s">
        <v>396</v>
      </c>
      <c r="C182" s="20" t="s">
        <v>642</v>
      </c>
      <c r="D182" s="146">
        <v>2620000</v>
      </c>
      <c r="E182" s="20" t="s">
        <v>791</v>
      </c>
      <c r="F182" s="20" t="s">
        <v>792</v>
      </c>
      <c r="G182" s="8" t="str">
        <f t="shared" si="2"/>
        <v>PERKINS DARREN</v>
      </c>
    </row>
    <row r="183" spans="1:7" x14ac:dyDescent="0.25">
      <c r="A183" s="8">
        <v>42845.748136574075</v>
      </c>
      <c r="B183" s="20" t="s">
        <v>624</v>
      </c>
      <c r="C183" s="20" t="s">
        <v>793</v>
      </c>
      <c r="D183" s="146">
        <v>2480000</v>
      </c>
      <c r="E183" s="20" t="s">
        <v>731</v>
      </c>
      <c r="F183" s="20" t="s">
        <v>732</v>
      </c>
      <c r="G183" s="8" t="str">
        <f t="shared" si="2"/>
        <v>WHITED DUSTIN</v>
      </c>
    </row>
    <row r="184" spans="1:7" x14ac:dyDescent="0.25">
      <c r="A184" s="8">
        <v>42845.75577546296</v>
      </c>
      <c r="B184" s="20" t="s">
        <v>380</v>
      </c>
      <c r="C184" s="20" t="s">
        <v>794</v>
      </c>
      <c r="D184" s="146">
        <v>1740000</v>
      </c>
      <c r="E184" s="20" t="s">
        <v>392</v>
      </c>
      <c r="F184" s="20" t="s">
        <v>393</v>
      </c>
      <c r="G184" s="8" t="str">
        <f t="shared" si="2"/>
        <v>STORY SAMANTHA</v>
      </c>
    </row>
    <row r="185" spans="1:7" x14ac:dyDescent="0.25">
      <c r="A185" s="8">
        <v>42845.756203703706</v>
      </c>
      <c r="B185" s="20" t="s">
        <v>540</v>
      </c>
      <c r="C185" s="20" t="s">
        <v>795</v>
      </c>
      <c r="D185" s="146">
        <v>2560000</v>
      </c>
      <c r="E185" s="20" t="s">
        <v>782</v>
      </c>
      <c r="F185" s="20" t="s">
        <v>783</v>
      </c>
      <c r="G185" s="8" t="str">
        <f t="shared" si="2"/>
        <v>MACDONALD THOMAS</v>
      </c>
    </row>
    <row r="186" spans="1:7" x14ac:dyDescent="0.25">
      <c r="A186" s="8">
        <v>42845.758564814816</v>
      </c>
      <c r="B186" s="20" t="s">
        <v>422</v>
      </c>
      <c r="C186" s="20" t="s">
        <v>796</v>
      </c>
      <c r="D186" s="146">
        <v>3120000</v>
      </c>
      <c r="E186" s="20" t="s">
        <v>740</v>
      </c>
      <c r="F186" s="20" t="s">
        <v>741</v>
      </c>
      <c r="G186" s="8" t="str">
        <f t="shared" si="2"/>
        <v>THOMPSON LESTER</v>
      </c>
    </row>
    <row r="187" spans="1:7" x14ac:dyDescent="0.25">
      <c r="A187" s="8">
        <v>42845.758576388886</v>
      </c>
      <c r="B187" s="20" t="s">
        <v>371</v>
      </c>
      <c r="C187" s="20" t="s">
        <v>645</v>
      </c>
      <c r="D187" s="146">
        <v>2270000</v>
      </c>
      <c r="E187" s="20" t="s">
        <v>206</v>
      </c>
      <c r="F187" s="20" t="s">
        <v>207</v>
      </c>
      <c r="G187" s="8" t="str">
        <f t="shared" si="2"/>
        <v>BROWN JACOB</v>
      </c>
    </row>
    <row r="188" spans="1:7" x14ac:dyDescent="0.25">
      <c r="A188" s="8">
        <v>42845.761805555558</v>
      </c>
      <c r="B188" s="20" t="s">
        <v>474</v>
      </c>
      <c r="C188" s="20" t="s">
        <v>797</v>
      </c>
      <c r="D188" s="146">
        <v>2440000</v>
      </c>
      <c r="E188" s="20" t="s">
        <v>555</v>
      </c>
      <c r="F188" s="20" t="s">
        <v>556</v>
      </c>
      <c r="G188" s="8" t="str">
        <f t="shared" si="2"/>
        <v>LOPES KIMBERLY</v>
      </c>
    </row>
    <row r="189" spans="1:7" x14ac:dyDescent="0.25">
      <c r="A189" s="8">
        <v>42845.765775462962</v>
      </c>
      <c r="B189" s="20" t="s">
        <v>798</v>
      </c>
      <c r="C189" s="20" t="s">
        <v>799</v>
      </c>
      <c r="D189" s="146">
        <v>2260000</v>
      </c>
      <c r="E189" s="20" t="s">
        <v>559</v>
      </c>
      <c r="F189" s="20" t="s">
        <v>560</v>
      </c>
      <c r="G189" s="8" t="str">
        <f t="shared" si="2"/>
        <v>ARVIDSON DANIEL</v>
      </c>
    </row>
    <row r="190" spans="1:7" x14ac:dyDescent="0.25">
      <c r="A190" s="8">
        <v>42845.767511574071</v>
      </c>
      <c r="B190" s="20" t="s">
        <v>454</v>
      </c>
      <c r="C190" s="20" t="s">
        <v>800</v>
      </c>
      <c r="D190" s="146">
        <v>2730000</v>
      </c>
      <c r="E190" s="20" t="s">
        <v>510</v>
      </c>
      <c r="F190" s="20" t="s">
        <v>511</v>
      </c>
      <c r="G190" s="8" t="str">
        <f t="shared" si="2"/>
        <v>YANG JAN</v>
      </c>
    </row>
    <row r="191" spans="1:7" x14ac:dyDescent="0.25">
      <c r="A191" s="8">
        <v>42845.770335648151</v>
      </c>
      <c r="B191" s="20" t="s">
        <v>414</v>
      </c>
      <c r="C191" s="20" t="s">
        <v>801</v>
      </c>
      <c r="D191" s="146">
        <v>1810000</v>
      </c>
      <c r="E191" s="20" t="s">
        <v>391</v>
      </c>
      <c r="F191" s="20" t="s">
        <v>193</v>
      </c>
      <c r="G191" s="8" t="str">
        <f t="shared" si="2"/>
        <v>NEWELL JAMES</v>
      </c>
    </row>
    <row r="192" spans="1:7" x14ac:dyDescent="0.25">
      <c r="A192" s="8">
        <v>42845.775729166664</v>
      </c>
      <c r="B192" s="20" t="s">
        <v>199</v>
      </c>
      <c r="C192" s="20" t="s">
        <v>646</v>
      </c>
      <c r="D192" s="146">
        <v>1740000</v>
      </c>
      <c r="E192" s="20" t="s">
        <v>392</v>
      </c>
      <c r="F192" s="20" t="s">
        <v>393</v>
      </c>
      <c r="G192" s="8" t="str">
        <f t="shared" si="2"/>
        <v>STORY SAMANTHA</v>
      </c>
    </row>
    <row r="193" spans="1:7" x14ac:dyDescent="0.25">
      <c r="A193" s="8">
        <v>42845.776192129626</v>
      </c>
      <c r="B193" s="20" t="s">
        <v>503</v>
      </c>
      <c r="C193" s="20" t="s">
        <v>802</v>
      </c>
      <c r="D193" s="146">
        <v>3120000</v>
      </c>
      <c r="E193" s="20" t="s">
        <v>740</v>
      </c>
      <c r="F193" s="20" t="s">
        <v>741</v>
      </c>
      <c r="G193" s="8" t="str">
        <f t="shared" si="2"/>
        <v>THOMPSON LESTER</v>
      </c>
    </row>
    <row r="194" spans="1:7" x14ac:dyDescent="0.25">
      <c r="A194" s="8">
        <v>42845.776354166665</v>
      </c>
      <c r="B194" s="20" t="s">
        <v>438</v>
      </c>
      <c r="C194" s="20" t="s">
        <v>803</v>
      </c>
      <c r="D194" s="146">
        <v>2230000</v>
      </c>
      <c r="E194" s="20" t="s">
        <v>378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42845.78392361111</v>
      </c>
      <c r="B195" s="20" t="s">
        <v>486</v>
      </c>
      <c r="C195" s="20" t="s">
        <v>804</v>
      </c>
      <c r="D195" s="146">
        <v>2480000</v>
      </c>
      <c r="E195" s="20" t="s">
        <v>731</v>
      </c>
      <c r="F195" s="20" t="s">
        <v>732</v>
      </c>
      <c r="G195" s="8" t="str">
        <f t="shared" ref="G195:G258" si="3">E195&amp;" "&amp;F195</f>
        <v>WHITED DUSTIN</v>
      </c>
    </row>
    <row r="196" spans="1:7" x14ac:dyDescent="0.25">
      <c r="A196" s="8">
        <v>42845.787893518522</v>
      </c>
      <c r="B196" s="20" t="s">
        <v>543</v>
      </c>
      <c r="C196" s="20" t="s">
        <v>805</v>
      </c>
      <c r="D196" s="146">
        <v>2560000</v>
      </c>
      <c r="E196" s="20" t="s">
        <v>782</v>
      </c>
      <c r="F196" s="20" t="s">
        <v>783</v>
      </c>
      <c r="G196" s="8" t="str">
        <f t="shared" si="3"/>
        <v>MACDONALD THOMAS</v>
      </c>
    </row>
    <row r="197" spans="1:7" x14ac:dyDescent="0.25">
      <c r="A197" s="8">
        <v>42845.796747685185</v>
      </c>
      <c r="B197" s="20" t="s">
        <v>380</v>
      </c>
      <c r="C197" s="20" t="s">
        <v>806</v>
      </c>
      <c r="D197" s="146">
        <v>1740000</v>
      </c>
      <c r="E197" s="20" t="s">
        <v>392</v>
      </c>
      <c r="F197" s="20" t="s">
        <v>393</v>
      </c>
      <c r="G197" s="8" t="str">
        <f t="shared" si="3"/>
        <v>STORY SAMANTHA</v>
      </c>
    </row>
    <row r="198" spans="1:7" x14ac:dyDescent="0.25">
      <c r="A198" s="8">
        <v>42845.7971875</v>
      </c>
      <c r="B198" s="20" t="s">
        <v>372</v>
      </c>
      <c r="C198" s="20" t="s">
        <v>647</v>
      </c>
      <c r="D198" s="146">
        <v>2270000</v>
      </c>
      <c r="E198" s="20" t="s">
        <v>206</v>
      </c>
      <c r="F198" s="20" t="s">
        <v>207</v>
      </c>
      <c r="G198" s="8" t="str">
        <f t="shared" si="3"/>
        <v>BROWN JACOB</v>
      </c>
    </row>
    <row r="199" spans="1:7" x14ac:dyDescent="0.25">
      <c r="A199" s="8">
        <v>42845.797418981485</v>
      </c>
      <c r="B199" s="20" t="s">
        <v>475</v>
      </c>
      <c r="C199" s="20" t="s">
        <v>807</v>
      </c>
      <c r="D199" s="146">
        <v>2440000</v>
      </c>
      <c r="E199" s="20" t="s">
        <v>555</v>
      </c>
      <c r="F199" s="20" t="s">
        <v>556</v>
      </c>
      <c r="G199" s="8" t="str">
        <f t="shared" si="3"/>
        <v>LOPES KIMBERLY</v>
      </c>
    </row>
    <row r="200" spans="1:7" x14ac:dyDescent="0.25">
      <c r="A200" s="8">
        <v>42845.802152777775</v>
      </c>
      <c r="B200" s="20" t="s">
        <v>422</v>
      </c>
      <c r="C200" s="20" t="s">
        <v>808</v>
      </c>
      <c r="D200" s="146">
        <v>3120000</v>
      </c>
      <c r="E200" s="20" t="s">
        <v>740</v>
      </c>
      <c r="F200" s="20" t="s">
        <v>741</v>
      </c>
      <c r="G200" s="8" t="str">
        <f t="shared" si="3"/>
        <v>THOMPSON LESTER</v>
      </c>
    </row>
    <row r="201" spans="1:7" x14ac:dyDescent="0.25">
      <c r="A201" s="8">
        <v>42845.80364583333</v>
      </c>
      <c r="B201" s="20" t="s">
        <v>455</v>
      </c>
      <c r="C201" s="20" t="s">
        <v>809</v>
      </c>
      <c r="D201" s="146">
        <v>2730000</v>
      </c>
      <c r="E201" s="20" t="s">
        <v>510</v>
      </c>
      <c r="F201" s="20" t="s">
        <v>511</v>
      </c>
      <c r="G201" s="8" t="str">
        <f t="shared" si="3"/>
        <v>YANG JAN</v>
      </c>
    </row>
    <row r="202" spans="1:7" x14ac:dyDescent="0.25">
      <c r="A202" s="26">
        <v>42845.809733796297</v>
      </c>
      <c r="B202" s="20" t="s">
        <v>417</v>
      </c>
      <c r="C202" s="20" t="s">
        <v>810</v>
      </c>
      <c r="D202" s="146">
        <v>1810000</v>
      </c>
      <c r="E202" s="20" t="s">
        <v>391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42845.818391203706</v>
      </c>
      <c r="B203" s="20" t="s">
        <v>503</v>
      </c>
      <c r="C203" s="20" t="s">
        <v>811</v>
      </c>
      <c r="D203" s="146">
        <v>3120000</v>
      </c>
      <c r="E203" s="20" t="s">
        <v>740</v>
      </c>
      <c r="F203" s="20" t="s">
        <v>741</v>
      </c>
      <c r="G203" s="8" t="str">
        <f t="shared" si="3"/>
        <v>THOMPSON LESTER</v>
      </c>
    </row>
    <row r="204" spans="1:7" x14ac:dyDescent="0.25">
      <c r="A204" s="8">
        <v>42845.819606481484</v>
      </c>
      <c r="B204" s="20" t="s">
        <v>624</v>
      </c>
      <c r="C204" s="20" t="s">
        <v>812</v>
      </c>
      <c r="D204" s="146">
        <v>2480000</v>
      </c>
      <c r="E204" s="20" t="s">
        <v>731</v>
      </c>
      <c r="F204" s="20" t="s">
        <v>732</v>
      </c>
      <c r="G204" s="8" t="str">
        <f t="shared" si="3"/>
        <v>WHITED DUSTIN</v>
      </c>
    </row>
    <row r="205" spans="1:7" x14ac:dyDescent="0.25">
      <c r="A205" s="8">
        <v>42845.82608796296</v>
      </c>
      <c r="B205" s="20" t="s">
        <v>540</v>
      </c>
      <c r="C205" s="20" t="s">
        <v>813</v>
      </c>
      <c r="D205" s="146">
        <v>2560000</v>
      </c>
      <c r="E205" s="20" t="s">
        <v>782</v>
      </c>
      <c r="F205" s="20" t="s">
        <v>783</v>
      </c>
      <c r="G205" s="8" t="str">
        <f t="shared" si="3"/>
        <v>MACDONALD THOMAS</v>
      </c>
    </row>
    <row r="206" spans="1:7" x14ac:dyDescent="0.25">
      <c r="A206" s="8">
        <v>42845.832025462965</v>
      </c>
      <c r="B206" s="20" t="s">
        <v>539</v>
      </c>
      <c r="C206" s="20" t="s">
        <v>814</v>
      </c>
      <c r="D206" s="146">
        <v>2540000</v>
      </c>
      <c r="E206" s="20" t="s">
        <v>561</v>
      </c>
      <c r="F206" s="20" t="s">
        <v>562</v>
      </c>
      <c r="G206" s="8" t="str">
        <f t="shared" si="3"/>
        <v>MCREYNOLDS KYLE</v>
      </c>
    </row>
    <row r="207" spans="1:7" x14ac:dyDescent="0.25">
      <c r="A207" s="8">
        <v>42845.832233796296</v>
      </c>
      <c r="B207" s="20" t="s">
        <v>371</v>
      </c>
      <c r="C207" s="20" t="s">
        <v>815</v>
      </c>
      <c r="D207" s="146">
        <v>2270000</v>
      </c>
      <c r="E207" s="20" t="s">
        <v>206</v>
      </c>
      <c r="F207" s="20" t="s">
        <v>207</v>
      </c>
      <c r="G207" s="8" t="str">
        <f t="shared" si="3"/>
        <v>BROWN JACOB</v>
      </c>
    </row>
    <row r="208" spans="1:7" x14ac:dyDescent="0.25">
      <c r="A208" s="8">
        <v>42845.842199074075</v>
      </c>
      <c r="B208" s="20" t="s">
        <v>541</v>
      </c>
      <c r="C208" s="20" t="s">
        <v>816</v>
      </c>
      <c r="D208" s="146">
        <v>2540000</v>
      </c>
      <c r="E208" s="20" t="s">
        <v>561</v>
      </c>
      <c r="F208" s="20" t="s">
        <v>562</v>
      </c>
      <c r="G208" s="8" t="str">
        <f t="shared" si="3"/>
        <v>MCREYNOLDS KYLE</v>
      </c>
    </row>
    <row r="209" spans="1:7" x14ac:dyDescent="0.25">
      <c r="A209" s="8">
        <v>42845.844722222224</v>
      </c>
      <c r="B209" s="20" t="s">
        <v>422</v>
      </c>
      <c r="C209" s="20" t="s">
        <v>817</v>
      </c>
      <c r="D209" s="146">
        <v>3120000</v>
      </c>
      <c r="E209" s="20" t="s">
        <v>740</v>
      </c>
      <c r="F209" s="20" t="s">
        <v>741</v>
      </c>
      <c r="G209" s="8" t="str">
        <f t="shared" si="3"/>
        <v>THOMPSON LESTER</v>
      </c>
    </row>
    <row r="210" spans="1:7" x14ac:dyDescent="0.25">
      <c r="A210" s="8">
        <v>42845.848344907405</v>
      </c>
      <c r="B210" s="20" t="s">
        <v>414</v>
      </c>
      <c r="C210" s="20" t="s">
        <v>818</v>
      </c>
      <c r="D210" s="146">
        <v>1810000</v>
      </c>
      <c r="E210" s="20" t="s">
        <v>391</v>
      </c>
      <c r="F210" s="20" t="s">
        <v>193</v>
      </c>
      <c r="G210" s="8" t="str">
        <f t="shared" si="3"/>
        <v>NEWELL JAMES</v>
      </c>
    </row>
    <row r="211" spans="1:7" x14ac:dyDescent="0.25">
      <c r="A211" s="8">
        <v>42845.84946759259</v>
      </c>
      <c r="B211" s="20" t="s">
        <v>454</v>
      </c>
      <c r="C211" s="20" t="s">
        <v>819</v>
      </c>
      <c r="D211" s="146">
        <v>2730000</v>
      </c>
      <c r="E211" s="20" t="s">
        <v>510</v>
      </c>
      <c r="F211" s="20" t="s">
        <v>511</v>
      </c>
      <c r="G211" s="8" t="str">
        <f t="shared" si="3"/>
        <v>YANG JAN</v>
      </c>
    </row>
    <row r="212" spans="1:7" x14ac:dyDescent="0.25">
      <c r="A212" s="8">
        <v>42845.860335648147</v>
      </c>
      <c r="B212" s="20" t="s">
        <v>503</v>
      </c>
      <c r="C212" s="20" t="s">
        <v>820</v>
      </c>
      <c r="D212" s="146">
        <v>3120000</v>
      </c>
      <c r="E212" s="20" t="s">
        <v>740</v>
      </c>
      <c r="F212" s="20" t="s">
        <v>741</v>
      </c>
      <c r="G212" s="8" t="str">
        <f t="shared" si="3"/>
        <v>THOMPSON LESTER</v>
      </c>
    </row>
    <row r="213" spans="1:7" x14ac:dyDescent="0.25">
      <c r="A213" s="8">
        <v>42845.863726851851</v>
      </c>
      <c r="B213" s="20" t="s">
        <v>543</v>
      </c>
      <c r="C213" s="20" t="s">
        <v>821</v>
      </c>
      <c r="D213" s="146">
        <v>2560000</v>
      </c>
      <c r="E213" s="20" t="s">
        <v>782</v>
      </c>
      <c r="F213" s="20" t="s">
        <v>783</v>
      </c>
      <c r="G213" s="8" t="str">
        <f t="shared" si="3"/>
        <v>MACDONALD THOMAS</v>
      </c>
    </row>
    <row r="214" spans="1:7" x14ac:dyDescent="0.25">
      <c r="A214" s="8">
        <v>42845.866990740738</v>
      </c>
      <c r="B214" s="20" t="s">
        <v>372</v>
      </c>
      <c r="C214" s="20" t="s">
        <v>822</v>
      </c>
      <c r="D214" s="146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42845.879282407404</v>
      </c>
      <c r="B215" s="20" t="s">
        <v>539</v>
      </c>
      <c r="C215" s="20" t="s">
        <v>814</v>
      </c>
      <c r="D215" s="146">
        <v>2540000</v>
      </c>
      <c r="E215" s="20" t="s">
        <v>561</v>
      </c>
      <c r="F215" s="20" t="s">
        <v>562</v>
      </c>
      <c r="G215" s="8" t="str">
        <f t="shared" si="3"/>
        <v>MCREYNOLDS KYLE</v>
      </c>
    </row>
    <row r="216" spans="1:7" x14ac:dyDescent="0.25">
      <c r="A216" s="8">
        <v>42845.880613425928</v>
      </c>
      <c r="B216" s="20" t="s">
        <v>422</v>
      </c>
      <c r="C216" s="20" t="s">
        <v>823</v>
      </c>
      <c r="D216" s="146">
        <v>1740000</v>
      </c>
      <c r="E216" s="20" t="s">
        <v>392</v>
      </c>
      <c r="F216" s="20" t="s">
        <v>393</v>
      </c>
      <c r="G216" s="8" t="str">
        <f t="shared" si="3"/>
        <v>STORY SAMANTHA</v>
      </c>
    </row>
    <row r="217" spans="1:7" x14ac:dyDescent="0.25">
      <c r="A217" s="8">
        <v>42845.883009259262</v>
      </c>
      <c r="B217" s="20" t="s">
        <v>408</v>
      </c>
      <c r="C217" s="20" t="s">
        <v>824</v>
      </c>
      <c r="D217" s="146">
        <v>2420000</v>
      </c>
      <c r="E217" s="20" t="s">
        <v>825</v>
      </c>
      <c r="F217" s="20" t="s">
        <v>826</v>
      </c>
      <c r="G217" s="8" t="str">
        <f t="shared" si="3"/>
        <v>HOLCOMB KAMDEN</v>
      </c>
    </row>
    <row r="218" spans="1:7" x14ac:dyDescent="0.25">
      <c r="A218" s="8">
        <v>42845.890034722222</v>
      </c>
      <c r="B218" s="20" t="s">
        <v>455</v>
      </c>
      <c r="C218" s="20" t="s">
        <v>827</v>
      </c>
      <c r="D218" s="146">
        <v>2730000</v>
      </c>
      <c r="E218" s="20" t="s">
        <v>510</v>
      </c>
      <c r="F218" s="20" t="s">
        <v>511</v>
      </c>
      <c r="G218" s="8" t="str">
        <f t="shared" si="3"/>
        <v>YANG JAN</v>
      </c>
    </row>
    <row r="219" spans="1:7" x14ac:dyDescent="0.25">
      <c r="A219" s="8">
        <v>42845.892627314817</v>
      </c>
      <c r="B219" s="20" t="s">
        <v>417</v>
      </c>
      <c r="C219" s="20" t="s">
        <v>828</v>
      </c>
      <c r="D219" s="146">
        <v>1810000</v>
      </c>
      <c r="E219" s="20" t="s">
        <v>391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42845.895451388889</v>
      </c>
      <c r="B220" s="20" t="s">
        <v>541</v>
      </c>
      <c r="C220" s="20" t="s">
        <v>816</v>
      </c>
      <c r="D220" s="146">
        <v>2540000</v>
      </c>
      <c r="E220" s="20" t="s">
        <v>561</v>
      </c>
      <c r="F220" s="20" t="s">
        <v>562</v>
      </c>
      <c r="G220" s="8" t="str">
        <f t="shared" si="3"/>
        <v>MCREYNOLDS KYLE</v>
      </c>
    </row>
    <row r="221" spans="1:7" x14ac:dyDescent="0.25">
      <c r="A221" s="8">
        <v>42845.900312500002</v>
      </c>
      <c r="B221" s="20" t="s">
        <v>503</v>
      </c>
      <c r="C221" s="20" t="s">
        <v>829</v>
      </c>
      <c r="D221" s="146">
        <v>1740000</v>
      </c>
      <c r="E221" s="20" t="s">
        <v>392</v>
      </c>
      <c r="F221" s="20" t="s">
        <v>393</v>
      </c>
      <c r="G221" s="8" t="str">
        <f t="shared" si="3"/>
        <v>STORY SAMANTHA</v>
      </c>
    </row>
    <row r="222" spans="1:7" x14ac:dyDescent="0.25">
      <c r="A222" s="8">
        <v>42845.912037037036</v>
      </c>
      <c r="B222" s="20" t="s">
        <v>540</v>
      </c>
      <c r="C222" s="20" t="s">
        <v>830</v>
      </c>
      <c r="D222" s="146">
        <v>2560000</v>
      </c>
      <c r="E222" s="20" t="s">
        <v>782</v>
      </c>
      <c r="F222" s="20" t="s">
        <v>783</v>
      </c>
      <c r="G222" s="8" t="str">
        <f t="shared" si="3"/>
        <v>MACDONALD THOMAS</v>
      </c>
    </row>
    <row r="223" spans="1:7" x14ac:dyDescent="0.25">
      <c r="A223" s="8">
        <v>42845.912129629629</v>
      </c>
      <c r="B223" s="20" t="s">
        <v>371</v>
      </c>
      <c r="C223" s="20" t="s">
        <v>831</v>
      </c>
      <c r="D223" s="146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42845.921296296299</v>
      </c>
      <c r="B224" t="s">
        <v>539</v>
      </c>
      <c r="C224" t="s">
        <v>832</v>
      </c>
      <c r="D224" s="146">
        <v>2540000</v>
      </c>
      <c r="E224" t="s">
        <v>561</v>
      </c>
      <c r="F224" s="20" t="s">
        <v>562</v>
      </c>
      <c r="G224" s="8" t="str">
        <f t="shared" si="3"/>
        <v>MCREYNOLDS KYLE</v>
      </c>
    </row>
    <row r="225" spans="1:7" x14ac:dyDescent="0.25">
      <c r="A225" s="8">
        <v>42845.927615740744</v>
      </c>
      <c r="B225" t="s">
        <v>422</v>
      </c>
      <c r="C225" t="s">
        <v>833</v>
      </c>
      <c r="D225" s="146">
        <v>1740000</v>
      </c>
      <c r="E225" t="s">
        <v>392</v>
      </c>
      <c r="F225" s="20" t="s">
        <v>393</v>
      </c>
      <c r="G225" s="8" t="str">
        <f t="shared" si="3"/>
        <v>STORY SAMANTHA</v>
      </c>
    </row>
    <row r="226" spans="1:7" x14ac:dyDescent="0.25">
      <c r="A226" s="8">
        <v>42845.929259259261</v>
      </c>
      <c r="B226" t="s">
        <v>454</v>
      </c>
      <c r="C226" t="s">
        <v>834</v>
      </c>
      <c r="D226" s="146">
        <v>2730000</v>
      </c>
      <c r="E226" t="s">
        <v>510</v>
      </c>
      <c r="F226" s="20" t="s">
        <v>511</v>
      </c>
      <c r="G226" s="8" t="str">
        <f t="shared" si="3"/>
        <v>YANG JAN</v>
      </c>
    </row>
    <row r="227" spans="1:7" x14ac:dyDescent="0.25">
      <c r="A227" s="8">
        <v>42845.931041666663</v>
      </c>
      <c r="B227" t="s">
        <v>414</v>
      </c>
      <c r="C227" t="s">
        <v>835</v>
      </c>
      <c r="D227" s="146">
        <v>1810000</v>
      </c>
      <c r="E227" t="s">
        <v>391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42845.942743055559</v>
      </c>
      <c r="B228" t="s">
        <v>503</v>
      </c>
      <c r="C228" t="s">
        <v>836</v>
      </c>
      <c r="D228" s="146">
        <v>1740000</v>
      </c>
      <c r="E228" t="s">
        <v>392</v>
      </c>
      <c r="F228" s="20" t="s">
        <v>393</v>
      </c>
      <c r="G228" s="8" t="str">
        <f t="shared" si="3"/>
        <v>STORY SAMANTHA</v>
      </c>
    </row>
    <row r="229" spans="1:7" x14ac:dyDescent="0.25">
      <c r="A229" s="8">
        <v>42845.947071759256</v>
      </c>
      <c r="B229" t="s">
        <v>543</v>
      </c>
      <c r="C229" t="s">
        <v>837</v>
      </c>
      <c r="D229" s="146">
        <v>2560000</v>
      </c>
      <c r="E229" t="s">
        <v>782</v>
      </c>
      <c r="F229" s="20" t="s">
        <v>783</v>
      </c>
      <c r="G229" s="8" t="str">
        <f t="shared" si="3"/>
        <v>MACDONALD THOMAS</v>
      </c>
    </row>
    <row r="230" spans="1:7" x14ac:dyDescent="0.25">
      <c r="A230" s="8">
        <v>42845.949166666665</v>
      </c>
      <c r="B230" t="s">
        <v>372</v>
      </c>
      <c r="C230" t="s">
        <v>648</v>
      </c>
      <c r="D230" s="146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42845.950706018521</v>
      </c>
      <c r="B231" t="s">
        <v>422</v>
      </c>
      <c r="C231" t="s">
        <v>836</v>
      </c>
      <c r="D231" s="146">
        <v>1740000</v>
      </c>
      <c r="E231" t="s">
        <v>392</v>
      </c>
      <c r="F231" s="20" t="s">
        <v>393</v>
      </c>
      <c r="G231" s="8" t="str">
        <f t="shared" si="3"/>
        <v>STORY SAMANTHA</v>
      </c>
    </row>
    <row r="232" spans="1:7" x14ac:dyDescent="0.25">
      <c r="A232" s="8">
        <v>42845.965462962966</v>
      </c>
      <c r="B232" t="s">
        <v>417</v>
      </c>
      <c r="C232" t="s">
        <v>838</v>
      </c>
      <c r="D232" s="146">
        <v>1810000</v>
      </c>
      <c r="E232" t="s">
        <v>391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42845.974074074074</v>
      </c>
      <c r="B233" t="s">
        <v>541</v>
      </c>
      <c r="C233" t="s">
        <v>839</v>
      </c>
      <c r="D233" s="146">
        <v>2540000</v>
      </c>
      <c r="E233" t="s">
        <v>561</v>
      </c>
      <c r="F233" s="20" t="s">
        <v>562</v>
      </c>
      <c r="G233" s="8" t="str">
        <f t="shared" si="3"/>
        <v>MCREYNOLDS KYLE</v>
      </c>
    </row>
    <row r="234" spans="1:7" x14ac:dyDescent="0.25">
      <c r="A234" s="8">
        <v>42845.975717592592</v>
      </c>
      <c r="B234" t="s">
        <v>455</v>
      </c>
      <c r="C234" t="s">
        <v>840</v>
      </c>
      <c r="D234" s="146">
        <v>2730000</v>
      </c>
      <c r="E234" t="s">
        <v>510</v>
      </c>
      <c r="F234" s="20" t="s">
        <v>511</v>
      </c>
      <c r="G234" s="8" t="str">
        <f t="shared" si="3"/>
        <v>YANG JAN</v>
      </c>
    </row>
    <row r="235" spans="1:7" x14ac:dyDescent="0.25">
      <c r="A235" s="8">
        <v>42845.993125000001</v>
      </c>
      <c r="B235" t="s">
        <v>371</v>
      </c>
      <c r="C235" t="s">
        <v>841</v>
      </c>
      <c r="D235" s="146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42845.996018518519</v>
      </c>
      <c r="B236" t="s">
        <v>540</v>
      </c>
      <c r="C236" t="s">
        <v>842</v>
      </c>
      <c r="D236" s="146">
        <v>2560000</v>
      </c>
      <c r="E236" t="s">
        <v>782</v>
      </c>
      <c r="F236" s="20" t="s">
        <v>783</v>
      </c>
      <c r="G236" s="8" t="str">
        <f t="shared" si="3"/>
        <v>MACDONALD THOMAS</v>
      </c>
    </row>
    <row r="237" spans="1:7" x14ac:dyDescent="0.25">
      <c r="A237" s="8">
        <v>42846.015127314815</v>
      </c>
      <c r="B237" t="s">
        <v>414</v>
      </c>
      <c r="C237" t="s">
        <v>843</v>
      </c>
      <c r="D237" s="146">
        <v>1810000</v>
      </c>
      <c r="E237" t="s">
        <v>391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42846.016134259262</v>
      </c>
      <c r="B238" t="s">
        <v>454</v>
      </c>
      <c r="C238" t="s">
        <v>844</v>
      </c>
      <c r="D238" s="146">
        <v>2730000</v>
      </c>
      <c r="E238" t="s">
        <v>510</v>
      </c>
      <c r="F238" s="20" t="s">
        <v>511</v>
      </c>
      <c r="G238" s="8" t="str">
        <f t="shared" si="3"/>
        <v>YANG JAN</v>
      </c>
    </row>
    <row r="239" spans="1:7" x14ac:dyDescent="0.25">
      <c r="A239" s="8">
        <v>42846.02920138889</v>
      </c>
      <c r="B239" t="s">
        <v>543</v>
      </c>
      <c r="C239" t="s">
        <v>845</v>
      </c>
      <c r="D239" s="146">
        <v>2560000</v>
      </c>
      <c r="E239" t="s">
        <v>782</v>
      </c>
      <c r="F239" s="20" t="s">
        <v>783</v>
      </c>
      <c r="G239" s="8" t="str">
        <f t="shared" si="3"/>
        <v>MACDONALD THOMAS</v>
      </c>
    </row>
    <row r="240" spans="1:7" x14ac:dyDescent="0.25">
      <c r="A240" s="8">
        <v>42846.038831018515</v>
      </c>
      <c r="B240" t="s">
        <v>372</v>
      </c>
      <c r="C240" t="s">
        <v>846</v>
      </c>
      <c r="D240" s="146">
        <v>2270000</v>
      </c>
      <c r="E240" t="s">
        <v>206</v>
      </c>
      <c r="F240" s="20" t="s">
        <v>207</v>
      </c>
      <c r="G240" s="8" t="str">
        <f t="shared" si="3"/>
        <v>BROWN JACOB</v>
      </c>
    </row>
    <row r="241" spans="1:7" x14ac:dyDescent="0.25">
      <c r="A241" s="8">
        <v>42846.052951388891</v>
      </c>
      <c r="B241" t="s">
        <v>417</v>
      </c>
      <c r="C241" t="s">
        <v>847</v>
      </c>
      <c r="D241" s="146">
        <v>1810000</v>
      </c>
      <c r="E241" t="s">
        <v>391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42846.055810185186</v>
      </c>
      <c r="B242" t="s">
        <v>455</v>
      </c>
      <c r="C242" t="s">
        <v>848</v>
      </c>
      <c r="D242" s="146">
        <v>2730000</v>
      </c>
      <c r="E242" t="s">
        <v>510</v>
      </c>
      <c r="F242" s="20" t="s">
        <v>511</v>
      </c>
      <c r="G242" s="8" t="str">
        <f t="shared" si="3"/>
        <v>YANG JAN</v>
      </c>
    </row>
    <row r="243" spans="1:7" x14ac:dyDescent="0.25">
      <c r="A243" s="8">
        <v>42846.072175925925</v>
      </c>
      <c r="B243" t="s">
        <v>371</v>
      </c>
      <c r="C243" t="s">
        <v>849</v>
      </c>
      <c r="D243" s="146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42846.090555555558</v>
      </c>
      <c r="B244" t="s">
        <v>454</v>
      </c>
      <c r="C244" t="s">
        <v>850</v>
      </c>
      <c r="D244" s="146">
        <v>2730000</v>
      </c>
      <c r="E244" t="s">
        <v>510</v>
      </c>
      <c r="F244" s="20" t="s">
        <v>511</v>
      </c>
      <c r="G244" s="8" t="str">
        <f t="shared" si="3"/>
        <v>YANG JAN</v>
      </c>
    </row>
    <row r="245" spans="1:7" x14ac:dyDescent="0.25">
      <c r="A245" s="8">
        <v>42846.11414351852</v>
      </c>
      <c r="B245" t="s">
        <v>469</v>
      </c>
      <c r="C245" t="s">
        <v>851</v>
      </c>
      <c r="D245" s="146">
        <v>2550000</v>
      </c>
      <c r="E245" t="s">
        <v>545</v>
      </c>
      <c r="F245" s="20" t="s">
        <v>546</v>
      </c>
      <c r="G245" s="8" t="str">
        <f t="shared" si="3"/>
        <v>BADERTSCHER DIANE</v>
      </c>
    </row>
    <row r="246" spans="1:7" x14ac:dyDescent="0.25">
      <c r="A246" s="8">
        <v>42845.028541666667</v>
      </c>
      <c r="B246" t="s">
        <v>438</v>
      </c>
      <c r="C246" t="s">
        <v>563</v>
      </c>
      <c r="D246" s="146">
        <v>2150000</v>
      </c>
      <c r="E246" t="s">
        <v>369</v>
      </c>
      <c r="F246" s="20" t="s">
        <v>370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416</v>
      </c>
      <c r="C247" t="s">
        <v>564</v>
      </c>
      <c r="D247" s="146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542</v>
      </c>
      <c r="C248" t="s">
        <v>565</v>
      </c>
      <c r="D248" s="146">
        <v>1740000</v>
      </c>
      <c r="E248" t="s">
        <v>392</v>
      </c>
      <c r="F248" s="20" t="s">
        <v>393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396</v>
      </c>
      <c r="C249" t="s">
        <v>566</v>
      </c>
      <c r="D249" s="146">
        <v>1810000</v>
      </c>
      <c r="E249" t="s">
        <v>391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415</v>
      </c>
      <c r="C250" t="s">
        <v>567</v>
      </c>
      <c r="D250" s="146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395</v>
      </c>
      <c r="C251" t="s">
        <v>568</v>
      </c>
      <c r="D251" s="146">
        <v>1810000</v>
      </c>
      <c r="E251" t="s">
        <v>391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474</v>
      </c>
      <c r="C252" t="s">
        <v>505</v>
      </c>
      <c r="D252" s="146">
        <v>2730000</v>
      </c>
      <c r="E252" t="s">
        <v>510</v>
      </c>
      <c r="F252" s="20" t="s">
        <v>511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443</v>
      </c>
      <c r="C253" t="s">
        <v>513</v>
      </c>
      <c r="D253" s="146">
        <v>1740000</v>
      </c>
      <c r="E253" t="s">
        <v>392</v>
      </c>
      <c r="F253" s="20" t="s">
        <v>393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475</v>
      </c>
      <c r="C254" t="s">
        <v>512</v>
      </c>
      <c r="D254" s="146">
        <v>2730000</v>
      </c>
      <c r="E254" t="s">
        <v>510</v>
      </c>
      <c r="F254" s="20" t="s">
        <v>511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414</v>
      </c>
      <c r="C255" t="s">
        <v>514</v>
      </c>
      <c r="D255" s="146">
        <v>1800000</v>
      </c>
      <c r="E255" t="s">
        <v>389</v>
      </c>
      <c r="F255" s="20" t="s">
        <v>390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474</v>
      </c>
      <c r="C256" t="s">
        <v>505</v>
      </c>
      <c r="D256" s="146">
        <v>2730000</v>
      </c>
      <c r="E256" t="s">
        <v>510</v>
      </c>
      <c r="F256" s="20" t="s">
        <v>511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375</v>
      </c>
      <c r="C257" t="s">
        <v>506</v>
      </c>
      <c r="D257" s="146">
        <v>2000000</v>
      </c>
      <c r="E257" t="s">
        <v>373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504</v>
      </c>
      <c r="C258" t="s">
        <v>515</v>
      </c>
      <c r="D258" s="146">
        <v>1810000</v>
      </c>
      <c r="E258" t="s">
        <v>391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417</v>
      </c>
      <c r="C259" t="s">
        <v>387</v>
      </c>
      <c r="D259" s="146">
        <v>1800000</v>
      </c>
      <c r="E259" t="s">
        <v>389</v>
      </c>
      <c r="F259" s="20" t="s">
        <v>390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456</v>
      </c>
      <c r="C260" t="s">
        <v>381</v>
      </c>
      <c r="D260" s="146">
        <v>1740000</v>
      </c>
      <c r="E260" t="s">
        <v>392</v>
      </c>
      <c r="F260" s="20" t="s">
        <v>393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475</v>
      </c>
      <c r="C261" t="s">
        <v>512</v>
      </c>
      <c r="D261" s="146">
        <v>2730000</v>
      </c>
      <c r="E261" t="s">
        <v>510</v>
      </c>
      <c r="F261" s="20" t="s">
        <v>511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507</v>
      </c>
      <c r="C262" t="s">
        <v>382</v>
      </c>
      <c r="D262" s="146">
        <v>1810000</v>
      </c>
      <c r="E262" t="s">
        <v>391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408</v>
      </c>
      <c r="C263" t="s">
        <v>383</v>
      </c>
      <c r="D263" s="146">
        <v>2000000</v>
      </c>
      <c r="E263" t="s">
        <v>373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443</v>
      </c>
      <c r="C264" t="s">
        <v>384</v>
      </c>
      <c r="D264" s="146">
        <v>1740000</v>
      </c>
      <c r="E264" t="s">
        <v>392</v>
      </c>
      <c r="F264" s="20" t="s">
        <v>393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375</v>
      </c>
      <c r="C265" t="s">
        <v>386</v>
      </c>
      <c r="D265" s="146">
        <v>2000000</v>
      </c>
      <c r="E265" t="s">
        <v>373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376</v>
      </c>
      <c r="C266" t="s">
        <v>423</v>
      </c>
      <c r="D266" s="146">
        <v>2680000</v>
      </c>
      <c r="E266" t="s">
        <v>411</v>
      </c>
      <c r="F266" s="20" t="s">
        <v>412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377</v>
      </c>
      <c r="C267" t="s">
        <v>421</v>
      </c>
      <c r="D267" s="146">
        <v>2680000</v>
      </c>
      <c r="E267" t="s">
        <v>411</v>
      </c>
      <c r="F267" s="20" t="s">
        <v>412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403</v>
      </c>
      <c r="C268" t="s">
        <v>424</v>
      </c>
      <c r="D268" s="146">
        <v>1740000</v>
      </c>
      <c r="E268" t="s">
        <v>392</v>
      </c>
      <c r="F268" s="20" t="s">
        <v>393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396</v>
      </c>
      <c r="C269" t="s">
        <v>425</v>
      </c>
      <c r="D269" s="146">
        <v>1800000</v>
      </c>
      <c r="E269" t="s">
        <v>389</v>
      </c>
      <c r="F269" s="20" t="s">
        <v>390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376</v>
      </c>
      <c r="C270" t="s">
        <v>423</v>
      </c>
      <c r="D270" s="146">
        <v>2680000</v>
      </c>
      <c r="E270" t="s">
        <v>411</v>
      </c>
      <c r="F270" s="20" t="s">
        <v>412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377</v>
      </c>
      <c r="C271" t="s">
        <v>421</v>
      </c>
      <c r="D271" s="146">
        <v>2680000</v>
      </c>
      <c r="E271" t="s">
        <v>411</v>
      </c>
      <c r="F271" s="20" t="s">
        <v>412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375</v>
      </c>
      <c r="C272" t="s">
        <v>426</v>
      </c>
      <c r="D272" s="146">
        <v>2970000</v>
      </c>
      <c r="E272" t="s">
        <v>418</v>
      </c>
      <c r="F272" s="20" t="s">
        <v>419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376</v>
      </c>
      <c r="C273" t="s">
        <v>423</v>
      </c>
      <c r="D273" s="146">
        <v>2680000</v>
      </c>
      <c r="E273" t="s">
        <v>411</v>
      </c>
      <c r="F273" s="20" t="s">
        <v>412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377</v>
      </c>
      <c r="C274" t="s">
        <v>421</v>
      </c>
      <c r="D274" s="146">
        <v>2680000</v>
      </c>
      <c r="E274" t="s">
        <v>411</v>
      </c>
      <c r="F274" s="20" t="s">
        <v>412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416</v>
      </c>
      <c r="C275" t="s">
        <v>427</v>
      </c>
      <c r="D275" s="146">
        <v>1810000</v>
      </c>
      <c r="E275" t="s">
        <v>391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376</v>
      </c>
      <c r="C276" t="s">
        <v>423</v>
      </c>
      <c r="D276" s="146">
        <v>2680000</v>
      </c>
      <c r="E276" t="s">
        <v>411</v>
      </c>
      <c r="F276" s="20" t="s">
        <v>412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377</v>
      </c>
      <c r="C277" t="s">
        <v>421</v>
      </c>
      <c r="D277" s="146">
        <v>2680000</v>
      </c>
      <c r="E277" t="s">
        <v>411</v>
      </c>
      <c r="F277" s="20" t="s">
        <v>412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376</v>
      </c>
      <c r="C278" t="s">
        <v>423</v>
      </c>
      <c r="D278" s="146">
        <v>2680000</v>
      </c>
      <c r="E278" t="s">
        <v>411</v>
      </c>
      <c r="F278" s="20" t="s">
        <v>412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395</v>
      </c>
      <c r="C279" t="s">
        <v>428</v>
      </c>
      <c r="D279" s="146">
        <v>1800000</v>
      </c>
      <c r="E279" t="s">
        <v>389</v>
      </c>
      <c r="F279" s="20" t="s">
        <v>390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407</v>
      </c>
      <c r="C280" t="s">
        <v>429</v>
      </c>
      <c r="D280" s="146">
        <v>1740000</v>
      </c>
      <c r="E280" t="s">
        <v>392</v>
      </c>
      <c r="F280" s="20" t="s">
        <v>393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408</v>
      </c>
      <c r="C281" t="s">
        <v>430</v>
      </c>
      <c r="D281" s="146">
        <v>2970000</v>
      </c>
      <c r="E281" t="s">
        <v>418</v>
      </c>
      <c r="F281" s="20" t="s">
        <v>419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415</v>
      </c>
      <c r="C282" t="s">
        <v>431</v>
      </c>
      <c r="D282" s="146">
        <v>1810000</v>
      </c>
      <c r="E282" t="s">
        <v>391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403</v>
      </c>
      <c r="C283" t="s">
        <v>432</v>
      </c>
      <c r="D283" s="146">
        <v>1740000</v>
      </c>
      <c r="E283" t="s">
        <v>392</v>
      </c>
      <c r="F283" s="20" t="s">
        <v>393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377</v>
      </c>
      <c r="C284" t="s">
        <v>421</v>
      </c>
      <c r="D284" s="146">
        <v>2680000</v>
      </c>
      <c r="E284" t="s">
        <v>411</v>
      </c>
      <c r="F284" s="20" t="s">
        <v>412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377</v>
      </c>
      <c r="C285" t="s">
        <v>421</v>
      </c>
      <c r="D285" s="146">
        <v>2680000</v>
      </c>
      <c r="E285" t="s">
        <v>411</v>
      </c>
      <c r="F285" s="20" t="s">
        <v>412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375</v>
      </c>
      <c r="C286" t="s">
        <v>433</v>
      </c>
      <c r="D286" s="146">
        <v>2970000</v>
      </c>
      <c r="E286" t="s">
        <v>418</v>
      </c>
      <c r="F286" s="20" t="s">
        <v>419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381</v>
      </c>
      <c r="D287" s="146">
        <v>2230000</v>
      </c>
      <c r="E287" t="s">
        <v>378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374</v>
      </c>
      <c r="C288" t="s">
        <v>382</v>
      </c>
      <c r="D288" s="146">
        <v>2000000</v>
      </c>
      <c r="E288" t="s">
        <v>373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379</v>
      </c>
      <c r="C289" t="s">
        <v>383</v>
      </c>
      <c r="D289" s="146">
        <v>2150000</v>
      </c>
      <c r="E289" t="s">
        <v>369</v>
      </c>
      <c r="F289" s="20" t="s">
        <v>370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379</v>
      </c>
      <c r="C290" t="s">
        <v>383</v>
      </c>
      <c r="D290" s="146">
        <v>2150000</v>
      </c>
      <c r="E290" t="s">
        <v>369</v>
      </c>
      <c r="F290" s="20" t="s">
        <v>370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379</v>
      </c>
      <c r="C291" t="s">
        <v>383</v>
      </c>
      <c r="D291" s="146">
        <v>2150000</v>
      </c>
      <c r="E291" t="s">
        <v>369</v>
      </c>
      <c r="F291" s="20" t="s">
        <v>370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380</v>
      </c>
      <c r="C292" t="s">
        <v>384</v>
      </c>
      <c r="D292" s="146">
        <v>2230000</v>
      </c>
      <c r="E292" t="s">
        <v>378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371</v>
      </c>
      <c r="C293" t="s">
        <v>385</v>
      </c>
      <c r="D293" s="146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371</v>
      </c>
      <c r="C294" t="s">
        <v>385</v>
      </c>
      <c r="D294" s="146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371</v>
      </c>
      <c r="C295" t="s">
        <v>385</v>
      </c>
      <c r="D295" s="146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377</v>
      </c>
      <c r="C296" t="s">
        <v>386</v>
      </c>
      <c r="D296" s="146">
        <v>2150000</v>
      </c>
      <c r="E296" t="s">
        <v>369</v>
      </c>
      <c r="F296" s="20" t="s">
        <v>370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372</v>
      </c>
      <c r="C297" t="s">
        <v>387</v>
      </c>
      <c r="D297" s="146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569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50.52</v>
      </c>
      <c r="B2" s="164">
        <v>0.79</v>
      </c>
      <c r="C2" s="164">
        <v>34</v>
      </c>
      <c r="D2" s="8">
        <v>42845</v>
      </c>
      <c r="E2" s="164">
        <v>0.53</v>
      </c>
      <c r="F2" s="164" t="s">
        <v>444</v>
      </c>
      <c r="G2" s="164">
        <v>308.95999999999998</v>
      </c>
      <c r="H2" s="164">
        <v>0</v>
      </c>
      <c r="I2" s="164">
        <v>0</v>
      </c>
      <c r="J2" s="164"/>
      <c r="K2" s="164">
        <v>1020.5</v>
      </c>
      <c r="L2" s="164" t="s">
        <v>493</v>
      </c>
      <c r="M2" s="164">
        <v>50.52</v>
      </c>
      <c r="N2" s="164">
        <v>1492668000</v>
      </c>
      <c r="O2" s="164">
        <v>6.5</v>
      </c>
      <c r="P2" s="164">
        <v>85</v>
      </c>
      <c r="Q2" s="164">
        <v>2.74</v>
      </c>
      <c r="R2"/>
    </row>
    <row r="3" spans="1:18" x14ac:dyDescent="0.25">
      <c r="A3" s="164">
        <v>49.4</v>
      </c>
      <c r="B3" s="164">
        <v>0.64</v>
      </c>
      <c r="C3" s="164">
        <v>34.5</v>
      </c>
      <c r="D3" s="8">
        <v>42845.041666666664</v>
      </c>
      <c r="E3" s="164">
        <v>0.56000000000000005</v>
      </c>
      <c r="F3" s="164" t="s">
        <v>444</v>
      </c>
      <c r="G3" s="164">
        <v>310.14</v>
      </c>
      <c r="H3" s="164">
        <v>0</v>
      </c>
      <c r="I3" s="164">
        <v>0</v>
      </c>
      <c r="J3" s="164"/>
      <c r="K3" s="164">
        <v>1020.95</v>
      </c>
      <c r="L3" s="164" t="s">
        <v>493</v>
      </c>
      <c r="M3" s="164">
        <v>49.4</v>
      </c>
      <c r="N3" s="164">
        <v>1492671600</v>
      </c>
      <c r="O3" s="164">
        <v>6.74</v>
      </c>
      <c r="P3" s="164">
        <v>64</v>
      </c>
      <c r="Q3" s="164">
        <v>1.81</v>
      </c>
      <c r="R3"/>
    </row>
    <row r="4" spans="1:18" x14ac:dyDescent="0.25">
      <c r="A4" s="164">
        <v>48.04</v>
      </c>
      <c r="B4" s="164">
        <v>0.5</v>
      </c>
      <c r="C4" s="164">
        <v>34.56</v>
      </c>
      <c r="D4" s="8">
        <v>42845.083333333336</v>
      </c>
      <c r="E4" s="164">
        <v>0.59</v>
      </c>
      <c r="F4" s="164" t="s">
        <v>444</v>
      </c>
      <c r="G4" s="164">
        <v>311.32</v>
      </c>
      <c r="H4" s="164">
        <v>0</v>
      </c>
      <c r="I4" s="164">
        <v>0</v>
      </c>
      <c r="J4" s="164"/>
      <c r="K4" s="164">
        <v>1021.38</v>
      </c>
      <c r="L4" s="164" t="s">
        <v>344</v>
      </c>
      <c r="M4" s="164">
        <v>48.04</v>
      </c>
      <c r="N4" s="164">
        <v>1492675200</v>
      </c>
      <c r="O4" s="164">
        <v>6.87</v>
      </c>
      <c r="P4" s="164">
        <v>80</v>
      </c>
      <c r="Q4" s="164">
        <v>1.83</v>
      </c>
      <c r="R4"/>
    </row>
    <row r="5" spans="1:18" x14ac:dyDescent="0.25">
      <c r="A5" s="164">
        <v>45.97</v>
      </c>
      <c r="B5" s="164">
        <v>0.37</v>
      </c>
      <c r="C5" s="164">
        <v>33.97</v>
      </c>
      <c r="D5" s="8">
        <v>42845.125</v>
      </c>
      <c r="E5" s="164">
        <v>0.63</v>
      </c>
      <c r="F5" s="164" t="s">
        <v>444</v>
      </c>
      <c r="G5" s="164">
        <v>312.5</v>
      </c>
      <c r="H5" s="164">
        <v>0</v>
      </c>
      <c r="I5" s="164">
        <v>0</v>
      </c>
      <c r="J5" s="164"/>
      <c r="K5" s="164">
        <v>1021.77</v>
      </c>
      <c r="L5" s="164" t="s">
        <v>344</v>
      </c>
      <c r="M5" s="164">
        <v>45.97</v>
      </c>
      <c r="N5" s="164">
        <v>1492678800</v>
      </c>
      <c r="O5" s="164">
        <v>6.23</v>
      </c>
      <c r="P5" s="164">
        <v>94</v>
      </c>
      <c r="Q5" s="164">
        <v>1.34</v>
      </c>
      <c r="R5"/>
    </row>
    <row r="6" spans="1:18" x14ac:dyDescent="0.25">
      <c r="A6" s="164">
        <v>43.72</v>
      </c>
      <c r="B6" s="164">
        <v>0.33</v>
      </c>
      <c r="C6" s="164">
        <v>33.21</v>
      </c>
      <c r="D6" s="8">
        <v>42845.166666666664</v>
      </c>
      <c r="E6" s="164">
        <v>0.66</v>
      </c>
      <c r="F6" s="164" t="s">
        <v>444</v>
      </c>
      <c r="G6" s="164">
        <v>313.01</v>
      </c>
      <c r="H6" s="164">
        <v>0</v>
      </c>
      <c r="I6" s="164">
        <v>0</v>
      </c>
      <c r="J6" s="164"/>
      <c r="K6" s="164">
        <v>1022.36</v>
      </c>
      <c r="L6" s="164" t="s">
        <v>344</v>
      </c>
      <c r="M6" s="164">
        <v>43.72</v>
      </c>
      <c r="N6" s="164">
        <v>1492682400</v>
      </c>
      <c r="O6" s="164">
        <v>6.53</v>
      </c>
      <c r="P6" s="164">
        <v>98</v>
      </c>
      <c r="Q6" s="164">
        <v>1.68</v>
      </c>
      <c r="R6"/>
    </row>
    <row r="7" spans="1:18" x14ac:dyDescent="0.25">
      <c r="A7" s="164">
        <v>42.23</v>
      </c>
      <c r="B7" s="164">
        <v>0.32</v>
      </c>
      <c r="C7" s="164">
        <v>32.76</v>
      </c>
      <c r="D7" s="8">
        <v>42845.208333333336</v>
      </c>
      <c r="E7" s="164">
        <v>0.69</v>
      </c>
      <c r="F7" s="164" t="s">
        <v>444</v>
      </c>
      <c r="G7" s="164">
        <v>313.32</v>
      </c>
      <c r="H7" s="164">
        <v>0</v>
      </c>
      <c r="I7" s="164">
        <v>0</v>
      </c>
      <c r="J7" s="164"/>
      <c r="K7" s="164">
        <v>1022.99</v>
      </c>
      <c r="L7" s="164" t="s">
        <v>344</v>
      </c>
      <c r="M7" s="164">
        <v>42.23</v>
      </c>
      <c r="N7" s="164">
        <v>1492686000</v>
      </c>
      <c r="O7" s="164">
        <v>5.82</v>
      </c>
      <c r="P7" s="164">
        <v>103</v>
      </c>
      <c r="Q7" s="164">
        <v>2.11</v>
      </c>
      <c r="R7"/>
    </row>
    <row r="8" spans="1:18" x14ac:dyDescent="0.25">
      <c r="A8" s="164">
        <v>41.02</v>
      </c>
      <c r="B8" s="164">
        <v>0.34</v>
      </c>
      <c r="C8" s="164">
        <v>32.130000000000003</v>
      </c>
      <c r="D8" s="8">
        <v>42845.25</v>
      </c>
      <c r="E8" s="164">
        <v>0.7</v>
      </c>
      <c r="F8" s="164" t="s">
        <v>444</v>
      </c>
      <c r="G8" s="164">
        <v>314.25</v>
      </c>
      <c r="H8" s="164">
        <v>0</v>
      </c>
      <c r="I8" s="164">
        <v>0</v>
      </c>
      <c r="J8" s="164"/>
      <c r="K8" s="164">
        <v>1023.23</v>
      </c>
      <c r="L8" s="164" t="s">
        <v>344</v>
      </c>
      <c r="M8" s="164">
        <v>41.02</v>
      </c>
      <c r="N8" s="164">
        <v>1492689600</v>
      </c>
      <c r="O8" s="164">
        <v>6.15</v>
      </c>
      <c r="P8" s="164">
        <v>136</v>
      </c>
      <c r="Q8" s="164">
        <v>2.25</v>
      </c>
      <c r="R8"/>
    </row>
    <row r="9" spans="1:18" x14ac:dyDescent="0.25">
      <c r="A9" s="164">
        <v>42.1</v>
      </c>
      <c r="B9" s="164">
        <v>0.38</v>
      </c>
      <c r="C9" s="164">
        <v>32.75</v>
      </c>
      <c r="D9" s="8">
        <v>42845.291666666664</v>
      </c>
      <c r="E9" s="164">
        <v>0.69</v>
      </c>
      <c r="F9" s="164" t="s">
        <v>458</v>
      </c>
      <c r="G9" s="164">
        <v>316.22000000000003</v>
      </c>
      <c r="H9" s="164">
        <v>0</v>
      </c>
      <c r="I9" s="164">
        <v>0</v>
      </c>
      <c r="J9" s="164"/>
      <c r="K9" s="164">
        <v>1022.74</v>
      </c>
      <c r="L9" s="164" t="s">
        <v>344</v>
      </c>
      <c r="M9" s="164">
        <v>42.1</v>
      </c>
      <c r="N9" s="164">
        <v>1492693200</v>
      </c>
      <c r="O9" s="164">
        <v>5.2</v>
      </c>
      <c r="P9" s="164">
        <v>148</v>
      </c>
      <c r="Q9" s="164">
        <v>2.97</v>
      </c>
      <c r="R9"/>
    </row>
    <row r="10" spans="1:18" x14ac:dyDescent="0.25">
      <c r="A10" s="164">
        <v>45.02</v>
      </c>
      <c r="B10" s="164">
        <v>0.46</v>
      </c>
      <c r="C10" s="164">
        <v>34.65</v>
      </c>
      <c r="D10" s="8">
        <v>42845.333333333336</v>
      </c>
      <c r="E10" s="164">
        <v>0.64</v>
      </c>
      <c r="F10" s="164" t="s">
        <v>458</v>
      </c>
      <c r="G10" s="164">
        <v>318.8</v>
      </c>
      <c r="H10" s="164">
        <v>0</v>
      </c>
      <c r="I10" s="164">
        <v>0</v>
      </c>
      <c r="J10" s="164"/>
      <c r="K10" s="164">
        <v>1021.79</v>
      </c>
      <c r="L10" s="164" t="s">
        <v>344</v>
      </c>
      <c r="M10" s="164">
        <v>46.22</v>
      </c>
      <c r="N10" s="164">
        <v>1492696800</v>
      </c>
      <c r="O10" s="164">
        <v>5.22</v>
      </c>
      <c r="P10" s="164">
        <v>152</v>
      </c>
      <c r="Q10" s="164">
        <v>3.39</v>
      </c>
      <c r="R10"/>
    </row>
    <row r="11" spans="1:18" x14ac:dyDescent="0.25">
      <c r="A11" s="164">
        <v>50.01</v>
      </c>
      <c r="B11" s="164">
        <v>0.54</v>
      </c>
      <c r="C11" s="164">
        <v>35.47</v>
      </c>
      <c r="D11" s="8">
        <v>42845.375</v>
      </c>
      <c r="E11" s="164">
        <v>0.56999999999999995</v>
      </c>
      <c r="F11" s="164" t="s">
        <v>458</v>
      </c>
      <c r="G11" s="164">
        <v>321.49</v>
      </c>
      <c r="H11" s="164">
        <v>0</v>
      </c>
      <c r="I11" s="164">
        <v>0</v>
      </c>
      <c r="J11" s="164"/>
      <c r="K11" s="164">
        <v>1020.61</v>
      </c>
      <c r="L11" s="164" t="s">
        <v>344</v>
      </c>
      <c r="M11" s="164">
        <v>50.01</v>
      </c>
      <c r="N11" s="164">
        <v>1492700400</v>
      </c>
      <c r="O11" s="164">
        <v>5.2</v>
      </c>
      <c r="P11" s="164">
        <v>137</v>
      </c>
      <c r="Q11" s="164">
        <v>4.54</v>
      </c>
      <c r="R11"/>
    </row>
    <row r="12" spans="1:18" x14ac:dyDescent="0.25">
      <c r="A12" s="164">
        <v>54.21</v>
      </c>
      <c r="B12" s="164">
        <v>0.6</v>
      </c>
      <c r="C12" s="164">
        <v>36.67</v>
      </c>
      <c r="D12" s="8">
        <v>42845.416666666664</v>
      </c>
      <c r="E12" s="164">
        <v>0.51</v>
      </c>
      <c r="F12" s="164" t="s">
        <v>458</v>
      </c>
      <c r="G12" s="164">
        <v>324.19</v>
      </c>
      <c r="H12" s="164">
        <v>0</v>
      </c>
      <c r="I12" s="164">
        <v>0</v>
      </c>
      <c r="J12" s="164"/>
      <c r="K12" s="164">
        <v>1019.27</v>
      </c>
      <c r="L12" s="164" t="s">
        <v>493</v>
      </c>
      <c r="M12" s="164">
        <v>54.21</v>
      </c>
      <c r="N12" s="164">
        <v>1492704000</v>
      </c>
      <c r="O12" s="164">
        <v>10</v>
      </c>
      <c r="P12" s="164">
        <v>125</v>
      </c>
      <c r="Q12" s="164">
        <v>4.9800000000000004</v>
      </c>
      <c r="R12"/>
    </row>
    <row r="13" spans="1:18" x14ac:dyDescent="0.25">
      <c r="A13" s="164">
        <v>58.08</v>
      </c>
      <c r="B13" s="164">
        <v>0.68</v>
      </c>
      <c r="C13" s="164">
        <v>38.479999999999997</v>
      </c>
      <c r="D13" s="8">
        <v>42845.458333333336</v>
      </c>
      <c r="E13" s="164">
        <v>0.48</v>
      </c>
      <c r="F13" s="164" t="s">
        <v>458</v>
      </c>
      <c r="G13" s="164">
        <v>327.01</v>
      </c>
      <c r="H13" s="164">
        <v>0</v>
      </c>
      <c r="I13" s="164">
        <v>0</v>
      </c>
      <c r="J13" s="164"/>
      <c r="K13" s="164">
        <v>1017.85</v>
      </c>
      <c r="L13" s="164" t="s">
        <v>493</v>
      </c>
      <c r="M13" s="164">
        <v>58.08</v>
      </c>
      <c r="N13" s="164">
        <v>1492707600</v>
      </c>
      <c r="O13" s="164">
        <v>6.46</v>
      </c>
      <c r="P13" s="164">
        <v>126</v>
      </c>
      <c r="Q13" s="164">
        <v>7.08</v>
      </c>
      <c r="R13"/>
    </row>
    <row r="14" spans="1:18" x14ac:dyDescent="0.25">
      <c r="A14" s="164">
        <v>61.72</v>
      </c>
      <c r="B14" s="164">
        <v>0.73</v>
      </c>
      <c r="C14" s="164">
        <v>38.159999999999997</v>
      </c>
      <c r="D14" s="8">
        <v>42845.5</v>
      </c>
      <c r="E14" s="164">
        <v>0.42</v>
      </c>
      <c r="F14" s="164" t="s">
        <v>458</v>
      </c>
      <c r="G14" s="164">
        <v>329.73</v>
      </c>
      <c r="H14" s="164">
        <v>0</v>
      </c>
      <c r="I14" s="164">
        <v>0</v>
      </c>
      <c r="J14" s="164"/>
      <c r="K14" s="164">
        <v>1016.63</v>
      </c>
      <c r="L14" s="164" t="s">
        <v>493</v>
      </c>
      <c r="M14" s="164">
        <v>61.72</v>
      </c>
      <c r="N14" s="164">
        <v>1492711200</v>
      </c>
      <c r="O14" s="164">
        <v>5.27</v>
      </c>
      <c r="P14" s="164">
        <v>121</v>
      </c>
      <c r="Q14" s="164">
        <v>6.63</v>
      </c>
      <c r="R14"/>
    </row>
    <row r="15" spans="1:18" x14ac:dyDescent="0.25">
      <c r="A15" s="164">
        <v>63.69</v>
      </c>
      <c r="B15" s="164">
        <v>0.72</v>
      </c>
      <c r="C15" s="164">
        <v>38.43</v>
      </c>
      <c r="D15" s="8">
        <v>42845.541666666664</v>
      </c>
      <c r="E15" s="164">
        <v>0.39</v>
      </c>
      <c r="F15" s="164" t="s">
        <v>570</v>
      </c>
      <c r="G15" s="164">
        <v>332.48</v>
      </c>
      <c r="H15" s="164">
        <v>5.4000000000000003E-3</v>
      </c>
      <c r="I15" s="164">
        <v>0.23</v>
      </c>
      <c r="J15" s="164" t="s">
        <v>570</v>
      </c>
      <c r="K15" s="164">
        <v>1015.37</v>
      </c>
      <c r="L15" s="164" t="s">
        <v>571</v>
      </c>
      <c r="M15" s="164">
        <v>63.69</v>
      </c>
      <c r="N15" s="164">
        <v>1492714800</v>
      </c>
      <c r="O15" s="164">
        <v>5.33</v>
      </c>
      <c r="P15" s="164">
        <v>116</v>
      </c>
      <c r="Q15" s="164">
        <v>7.02</v>
      </c>
      <c r="R15"/>
    </row>
    <row r="16" spans="1:18" x14ac:dyDescent="0.25">
      <c r="A16" s="164">
        <v>61.21</v>
      </c>
      <c r="B16" s="164">
        <v>0.7</v>
      </c>
      <c r="C16" s="164">
        <v>37.76</v>
      </c>
      <c r="D16" s="8">
        <v>42845.583333333336</v>
      </c>
      <c r="E16" s="164">
        <v>0.42</v>
      </c>
      <c r="F16" s="164" t="s">
        <v>570</v>
      </c>
      <c r="G16" s="164">
        <v>335.14</v>
      </c>
      <c r="H16" s="164">
        <v>1.5100000000000001E-2</v>
      </c>
      <c r="I16" s="164">
        <v>0.56999999999999995</v>
      </c>
      <c r="J16" s="164" t="s">
        <v>570</v>
      </c>
      <c r="K16" s="164">
        <v>1014.16</v>
      </c>
      <c r="L16" s="164" t="s">
        <v>852</v>
      </c>
      <c r="M16" s="164">
        <v>61.21</v>
      </c>
      <c r="N16" s="164">
        <v>1492718400</v>
      </c>
      <c r="O16" s="164">
        <v>5.31</v>
      </c>
      <c r="P16" s="164">
        <v>123</v>
      </c>
      <c r="Q16" s="164">
        <v>6.8</v>
      </c>
      <c r="R16"/>
    </row>
    <row r="17" spans="1:18" x14ac:dyDescent="0.25">
      <c r="A17" s="164">
        <v>55.55</v>
      </c>
      <c r="B17" s="164">
        <v>0.73</v>
      </c>
      <c r="C17" s="164">
        <v>40.450000000000003</v>
      </c>
      <c r="D17" s="8">
        <v>42845.625</v>
      </c>
      <c r="E17" s="164">
        <v>0.56999999999999995</v>
      </c>
      <c r="F17" s="164" t="s">
        <v>570</v>
      </c>
      <c r="G17" s="164">
        <v>337.17</v>
      </c>
      <c r="H17" s="164">
        <v>4.7800000000000002E-2</v>
      </c>
      <c r="I17" s="164">
        <v>0.72</v>
      </c>
      <c r="J17" s="164" t="s">
        <v>570</v>
      </c>
      <c r="K17" s="164">
        <v>1013.36</v>
      </c>
      <c r="L17" s="164" t="s">
        <v>852</v>
      </c>
      <c r="M17" s="164">
        <v>55.55</v>
      </c>
      <c r="N17" s="164">
        <v>1492722000</v>
      </c>
      <c r="O17" s="164">
        <v>5.22</v>
      </c>
      <c r="P17" s="164">
        <v>148</v>
      </c>
      <c r="Q17" s="164">
        <v>4.1399999999999997</v>
      </c>
      <c r="R17"/>
    </row>
    <row r="18" spans="1:18" x14ac:dyDescent="0.25">
      <c r="A18" s="164">
        <v>52.08</v>
      </c>
      <c r="B18" s="164">
        <v>0.81</v>
      </c>
      <c r="C18" s="164">
        <v>42.1</v>
      </c>
      <c r="D18" s="8">
        <v>42845.666666666664</v>
      </c>
      <c r="E18" s="164">
        <v>0.69</v>
      </c>
      <c r="F18" s="164" t="s">
        <v>570</v>
      </c>
      <c r="G18" s="164">
        <v>338.14</v>
      </c>
      <c r="H18" s="164">
        <v>4.6300000000000001E-2</v>
      </c>
      <c r="I18" s="164">
        <v>0.72</v>
      </c>
      <c r="J18" s="164" t="s">
        <v>570</v>
      </c>
      <c r="K18" s="164">
        <v>1013.35</v>
      </c>
      <c r="L18" s="164" t="s">
        <v>852</v>
      </c>
      <c r="M18" s="164">
        <v>52.08</v>
      </c>
      <c r="N18" s="164">
        <v>1492725600</v>
      </c>
      <c r="O18" s="164">
        <v>4.41</v>
      </c>
      <c r="P18" s="164">
        <v>132</v>
      </c>
      <c r="Q18" s="164">
        <v>4.93</v>
      </c>
      <c r="R18"/>
    </row>
    <row r="19" spans="1:18" x14ac:dyDescent="0.25">
      <c r="A19" s="164">
        <v>52.5</v>
      </c>
      <c r="B19" s="164">
        <v>0.92</v>
      </c>
      <c r="C19" s="164">
        <v>43.63</v>
      </c>
      <c r="D19" s="8">
        <v>42845.708333333336</v>
      </c>
      <c r="E19" s="164">
        <v>0.72</v>
      </c>
      <c r="F19" s="164" t="s">
        <v>570</v>
      </c>
      <c r="G19" s="164">
        <v>338.47</v>
      </c>
      <c r="H19" s="164">
        <v>3.3099999999999997E-2</v>
      </c>
      <c r="I19" s="164">
        <v>0.67</v>
      </c>
      <c r="J19" s="164" t="s">
        <v>570</v>
      </c>
      <c r="K19" s="164">
        <v>1013.86</v>
      </c>
      <c r="L19" s="164" t="s">
        <v>852</v>
      </c>
      <c r="M19" s="164">
        <v>52.5</v>
      </c>
      <c r="N19" s="164">
        <v>1492729200</v>
      </c>
      <c r="O19" s="164">
        <v>8.42</v>
      </c>
      <c r="P19" s="164">
        <v>127</v>
      </c>
      <c r="Q19" s="164">
        <v>4.45</v>
      </c>
      <c r="R19"/>
    </row>
    <row r="20" spans="1:18" x14ac:dyDescent="0.25">
      <c r="A20" s="164">
        <v>47.48</v>
      </c>
      <c r="B20" s="164">
        <v>1</v>
      </c>
      <c r="C20" s="164">
        <v>42.49</v>
      </c>
      <c r="D20" s="8">
        <v>42845.75</v>
      </c>
      <c r="E20" s="164">
        <v>0.75</v>
      </c>
      <c r="F20" s="164" t="s">
        <v>570</v>
      </c>
      <c r="G20" s="164">
        <v>338.91</v>
      </c>
      <c r="H20" s="164">
        <v>3.6700000000000003E-2</v>
      </c>
      <c r="I20" s="164">
        <v>0.69</v>
      </c>
      <c r="J20" s="164" t="s">
        <v>570</v>
      </c>
      <c r="K20" s="164">
        <v>1014.52</v>
      </c>
      <c r="L20" s="164" t="s">
        <v>852</v>
      </c>
      <c r="M20" s="164">
        <v>49.95</v>
      </c>
      <c r="N20" s="164">
        <v>1492732800</v>
      </c>
      <c r="O20" s="164">
        <v>4.2</v>
      </c>
      <c r="P20" s="164">
        <v>154</v>
      </c>
      <c r="Q20" s="164">
        <v>6.25</v>
      </c>
      <c r="R20"/>
    </row>
    <row r="21" spans="1:18" x14ac:dyDescent="0.25">
      <c r="A21" s="164">
        <v>46.68</v>
      </c>
      <c r="B21" s="164">
        <v>0.92</v>
      </c>
      <c r="C21" s="164">
        <v>41.24</v>
      </c>
      <c r="D21" s="8">
        <v>42845.791666666664</v>
      </c>
      <c r="E21" s="164">
        <v>0.75</v>
      </c>
      <c r="F21" s="164" t="s">
        <v>570</v>
      </c>
      <c r="G21" s="164">
        <v>339.63</v>
      </c>
      <c r="H21" s="164">
        <v>4.6699999999999998E-2</v>
      </c>
      <c r="I21" s="164">
        <v>0.72</v>
      </c>
      <c r="J21" s="164" t="s">
        <v>570</v>
      </c>
      <c r="K21" s="164">
        <v>1014.81</v>
      </c>
      <c r="L21" s="164" t="s">
        <v>852</v>
      </c>
      <c r="M21" s="164">
        <v>48.78</v>
      </c>
      <c r="N21" s="164">
        <v>1492736400</v>
      </c>
      <c r="O21" s="164">
        <v>4.1900000000000004</v>
      </c>
      <c r="P21" s="164">
        <v>158</v>
      </c>
      <c r="Q21" s="164">
        <v>5.16</v>
      </c>
      <c r="R21"/>
    </row>
    <row r="22" spans="1:18" x14ac:dyDescent="0.25">
      <c r="A22" s="164">
        <v>43.17</v>
      </c>
      <c r="B22" s="164">
        <v>0.75</v>
      </c>
      <c r="C22" s="164">
        <v>41.33</v>
      </c>
      <c r="D22" s="8">
        <v>42845.833333333336</v>
      </c>
      <c r="E22" s="164">
        <v>0.82</v>
      </c>
      <c r="F22" s="164" t="s">
        <v>570</v>
      </c>
      <c r="G22" s="164">
        <v>340.46</v>
      </c>
      <c r="H22" s="164">
        <v>5.28E-2</v>
      </c>
      <c r="I22" s="164">
        <v>0.73</v>
      </c>
      <c r="J22" s="164" t="s">
        <v>570</v>
      </c>
      <c r="K22" s="164">
        <v>1014.9</v>
      </c>
      <c r="L22" s="164" t="s">
        <v>852</v>
      </c>
      <c r="M22" s="164">
        <v>46.4</v>
      </c>
      <c r="N22" s="164">
        <v>1492740000</v>
      </c>
      <c r="O22" s="164">
        <v>5.17</v>
      </c>
      <c r="P22" s="164">
        <v>135</v>
      </c>
      <c r="Q22" s="164">
        <v>6.38</v>
      </c>
      <c r="R22"/>
    </row>
    <row r="23" spans="1:18" x14ac:dyDescent="0.25">
      <c r="A23" s="164">
        <v>43.94</v>
      </c>
      <c r="B23" s="164">
        <v>0.68</v>
      </c>
      <c r="C23" s="164">
        <v>41.14</v>
      </c>
      <c r="D23" s="8">
        <v>42845.875</v>
      </c>
      <c r="E23" s="164">
        <v>0.81</v>
      </c>
      <c r="F23" s="164" t="s">
        <v>570</v>
      </c>
      <c r="G23" s="164">
        <v>341.57</v>
      </c>
      <c r="H23" s="164">
        <v>7.0999999999999994E-2</v>
      </c>
      <c r="I23" s="164">
        <v>0.76</v>
      </c>
      <c r="J23" s="164" t="s">
        <v>570</v>
      </c>
      <c r="K23" s="164">
        <v>1014.86</v>
      </c>
      <c r="L23" s="164" t="s">
        <v>853</v>
      </c>
      <c r="M23" s="164">
        <v>46.74</v>
      </c>
      <c r="N23" s="164">
        <v>1492743600</v>
      </c>
      <c r="O23" s="164">
        <v>4.3899999999999997</v>
      </c>
      <c r="P23" s="164">
        <v>141</v>
      </c>
      <c r="Q23" s="164">
        <v>5.73</v>
      </c>
      <c r="R23"/>
    </row>
    <row r="24" spans="1:18" x14ac:dyDescent="0.25">
      <c r="A24" s="164">
        <v>44.14</v>
      </c>
      <c r="B24" s="164">
        <v>0.83</v>
      </c>
      <c r="C24" s="164">
        <v>40.520000000000003</v>
      </c>
      <c r="D24" s="8">
        <v>42845.916666666664</v>
      </c>
      <c r="E24" s="164">
        <v>0.81</v>
      </c>
      <c r="F24" s="164" t="s">
        <v>570</v>
      </c>
      <c r="G24" s="164">
        <v>343.16</v>
      </c>
      <c r="H24" s="164">
        <v>5.21E-2</v>
      </c>
      <c r="I24" s="164">
        <v>0.73</v>
      </c>
      <c r="J24" s="164" t="s">
        <v>570</v>
      </c>
      <c r="K24" s="164">
        <v>1014.74</v>
      </c>
      <c r="L24" s="164" t="s">
        <v>852</v>
      </c>
      <c r="M24" s="164">
        <v>46.05</v>
      </c>
      <c r="N24" s="164">
        <v>1492747200</v>
      </c>
      <c r="O24" s="164">
        <v>4.93</v>
      </c>
      <c r="P24" s="164">
        <v>144</v>
      </c>
      <c r="Q24" s="164">
        <v>4.21</v>
      </c>
      <c r="R24"/>
    </row>
    <row r="25" spans="1:18" x14ac:dyDescent="0.25">
      <c r="A25" s="164">
        <v>44.61</v>
      </c>
      <c r="B25" s="164">
        <v>0.88</v>
      </c>
      <c r="C25" s="164">
        <v>39.22</v>
      </c>
      <c r="D25" s="8">
        <v>42845.958333333336</v>
      </c>
      <c r="E25" s="164">
        <v>0.77</v>
      </c>
      <c r="F25" s="164" t="s">
        <v>570</v>
      </c>
      <c r="G25" s="164">
        <v>345.03</v>
      </c>
      <c r="H25" s="164">
        <v>3.9600000000000003E-2</v>
      </c>
      <c r="I25" s="164">
        <v>0.7</v>
      </c>
      <c r="J25" s="164" t="s">
        <v>570</v>
      </c>
      <c r="K25" s="164">
        <v>1014.47</v>
      </c>
      <c r="L25" s="164" t="s">
        <v>852</v>
      </c>
      <c r="M25" s="164">
        <v>45.99</v>
      </c>
      <c r="N25" s="164">
        <v>1492750800</v>
      </c>
      <c r="O25" s="164">
        <v>3.62</v>
      </c>
      <c r="P25" s="164">
        <v>141</v>
      </c>
      <c r="Q25" s="164">
        <v>3.55</v>
      </c>
      <c r="R25"/>
    </row>
    <row r="26" spans="1:18" x14ac:dyDescent="0.25">
      <c r="A26" s="164">
        <v>42.55</v>
      </c>
      <c r="B26" s="164">
        <v>0.96</v>
      </c>
      <c r="C26" s="164">
        <v>38.36</v>
      </c>
      <c r="D26" s="8">
        <v>42846</v>
      </c>
      <c r="E26" s="164">
        <v>0.79</v>
      </c>
      <c r="F26" s="164" t="s">
        <v>570</v>
      </c>
      <c r="G26" s="164">
        <v>346.85</v>
      </c>
      <c r="H26" s="164">
        <v>1.43E-2</v>
      </c>
      <c r="I26" s="164">
        <v>0.56000000000000005</v>
      </c>
      <c r="J26" s="164" t="s">
        <v>570</v>
      </c>
      <c r="K26" s="164">
        <v>1013.96</v>
      </c>
      <c r="L26" s="164" t="s">
        <v>852</v>
      </c>
      <c r="M26" s="164">
        <v>44.57</v>
      </c>
      <c r="N26" s="164">
        <v>1492754400</v>
      </c>
      <c r="O26" s="164">
        <v>3.46</v>
      </c>
      <c r="P26" s="164">
        <v>128</v>
      </c>
      <c r="Q26" s="164">
        <v>4.0599999999999996</v>
      </c>
      <c r="R26"/>
    </row>
    <row r="27" spans="1:18" x14ac:dyDescent="0.25">
      <c r="A27" s="164">
        <v>42.44</v>
      </c>
      <c r="B27" s="164">
        <v>0.96</v>
      </c>
      <c r="C27" s="164">
        <v>38.1</v>
      </c>
      <c r="D27" s="8">
        <v>42846.041666666664</v>
      </c>
      <c r="E27" s="164">
        <v>0.78</v>
      </c>
      <c r="F27" s="164" t="s">
        <v>570</v>
      </c>
      <c r="G27" s="164">
        <v>348.46</v>
      </c>
      <c r="H27" s="164">
        <v>8.6E-3</v>
      </c>
      <c r="I27" s="164">
        <v>0.45</v>
      </c>
      <c r="J27" s="164" t="s">
        <v>570</v>
      </c>
      <c r="K27" s="164">
        <v>1013.04</v>
      </c>
      <c r="L27" s="164" t="s">
        <v>571</v>
      </c>
      <c r="M27" s="164">
        <v>44.62</v>
      </c>
      <c r="N27" s="164">
        <v>1492758000</v>
      </c>
      <c r="O27" s="164">
        <v>3.12</v>
      </c>
      <c r="P27" s="164">
        <v>151</v>
      </c>
      <c r="Q27" s="164">
        <v>4.2699999999999996</v>
      </c>
      <c r="R27"/>
    </row>
    <row r="28" spans="1:18" x14ac:dyDescent="0.25">
      <c r="A28" s="164">
        <v>42.38</v>
      </c>
      <c r="B28" s="164">
        <v>0.96</v>
      </c>
      <c r="C28" s="164">
        <v>38.31</v>
      </c>
      <c r="D28" s="8">
        <v>42846.083333333336</v>
      </c>
      <c r="E28" s="164">
        <v>0.77</v>
      </c>
      <c r="F28" s="164" t="s">
        <v>570</v>
      </c>
      <c r="G28" s="164">
        <v>350.08</v>
      </c>
      <c r="H28" s="164">
        <v>4.8300000000000003E-2</v>
      </c>
      <c r="I28" s="164">
        <v>0.72</v>
      </c>
      <c r="J28" s="164" t="s">
        <v>570</v>
      </c>
      <c r="K28" s="164">
        <v>1012.15</v>
      </c>
      <c r="L28" s="164" t="s">
        <v>852</v>
      </c>
      <c r="M28" s="164">
        <v>44.94</v>
      </c>
      <c r="N28" s="164">
        <v>1492761600</v>
      </c>
      <c r="O28" s="164">
        <v>3.36</v>
      </c>
      <c r="P28" s="164">
        <v>158</v>
      </c>
      <c r="Q28" s="164">
        <v>4.84</v>
      </c>
      <c r="R28"/>
    </row>
    <row r="29" spans="1:18" x14ac:dyDescent="0.25">
      <c r="A29" s="164">
        <v>43.39</v>
      </c>
      <c r="B29" s="164">
        <v>0.96</v>
      </c>
      <c r="C29" s="164">
        <v>39.06</v>
      </c>
      <c r="D29" s="8">
        <v>42846.125</v>
      </c>
      <c r="E29" s="164">
        <v>0.77</v>
      </c>
      <c r="F29" s="164" t="s">
        <v>570</v>
      </c>
      <c r="G29" s="164">
        <v>351.69</v>
      </c>
      <c r="H29" s="164">
        <v>9.2499999999999999E-2</v>
      </c>
      <c r="I29" s="164">
        <v>0.79</v>
      </c>
      <c r="J29" s="164" t="s">
        <v>570</v>
      </c>
      <c r="K29" s="164">
        <v>1011.32</v>
      </c>
      <c r="L29" s="164" t="s">
        <v>853</v>
      </c>
      <c r="M29" s="164">
        <v>45.74</v>
      </c>
      <c r="N29" s="164">
        <v>1492765200</v>
      </c>
      <c r="O29" s="164">
        <v>1.88</v>
      </c>
      <c r="P29" s="164">
        <v>160</v>
      </c>
      <c r="Q29" s="164">
        <v>4.75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353</v>
      </c>
      <c r="U1" s="215"/>
      <c r="V1" s="215"/>
      <c r="W1" s="215"/>
      <c r="X1" s="215"/>
    </row>
    <row r="2" spans="1:24" ht="15.75" thickBot="1" x14ac:dyDescent="0.3">
      <c r="A2" s="12">
        <v>42845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354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366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367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368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1005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1006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1007</v>
      </c>
      <c r="J20" s="148" t="s">
        <v>87</v>
      </c>
      <c r="M20" s="164" t="s">
        <v>345</v>
      </c>
      <c r="N20" s="164" t="s">
        <v>345</v>
      </c>
      <c r="T20" s="193"/>
      <c r="U20" s="193"/>
      <c r="V20" s="193"/>
      <c r="W20" s="193"/>
      <c r="X20" s="193"/>
    </row>
    <row r="21" spans="3:24" x14ac:dyDescent="0.25">
      <c r="C21" t="s">
        <v>1008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1009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1010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1011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1012</v>
      </c>
      <c r="J25" s="148" t="s">
        <v>150</v>
      </c>
      <c r="M25" s="164" t="b">
        <v>1</v>
      </c>
    </row>
    <row r="26" spans="3:24" x14ac:dyDescent="0.25">
      <c r="C26" t="s">
        <v>1013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C:\Users\stu\Documents\GitHub\eaglep3-reporting\EC\2017-04-20-refined-times.txt</v>
      </c>
    </row>
    <row r="27" spans="3:24" x14ac:dyDescent="0.25">
      <c r="C27" t="s">
        <v>1014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C:\Users\stu\Documents\GitHub\eaglep3-reporting\EC\2017-04-20-Enforcements.txt</v>
      </c>
    </row>
    <row r="28" spans="3:24" x14ac:dyDescent="0.25">
      <c r="C28" t="s">
        <v>1015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C:\Users\stu\Documents\GitHub\eaglep3-reporting\EC\2017-04-20-Runs-refined.txt</v>
      </c>
    </row>
    <row r="29" spans="3:24" x14ac:dyDescent="0.25">
      <c r="C29" t="s">
        <v>1016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C:\Users\stu\Documents\GitHub\eaglep3-reporting\EC\2017-04-20-Trips.txt</v>
      </c>
    </row>
    <row r="30" spans="3:24" x14ac:dyDescent="0.25">
      <c r="C30" t="s">
        <v>1017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C:\Users\stu\Documents\GitHub\eaglep3-reporting\EC\2017-04-20-Weather.txt</v>
      </c>
    </row>
    <row r="31" spans="3:24" x14ac:dyDescent="0.25">
      <c r="C31" t="s">
        <v>1018</v>
      </c>
      <c r="J31" s="148" t="s">
        <v>201</v>
      </c>
      <c r="M31" s="164" t="s">
        <v>202</v>
      </c>
    </row>
    <row r="32" spans="3:24" x14ac:dyDescent="0.25">
      <c r="C32" t="s">
        <v>1019</v>
      </c>
    </row>
    <row r="33" spans="3:3" x14ac:dyDescent="0.25">
      <c r="C33" t="s">
        <v>1020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401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402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2017-04-21T13:40:07Z</dcterms:modified>
</cp:coreProperties>
</file>