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Trips'!$A$2:$J$100</definedName>
    <definedName name="_xlnm._FilterDatabase" localSheetId="0" hidden="1">'Train Runs'!$A$12:$AG$257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Runs'!$A$12:$J$59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" i="1" l="1"/>
  <c r="P14" i="1"/>
  <c r="K14" i="1"/>
  <c r="L14" i="1"/>
  <c r="M14" i="1"/>
  <c r="V14" i="1"/>
  <c r="Y14" i="1"/>
  <c r="Z14" i="1"/>
  <c r="AA14" i="1"/>
  <c r="AB14" i="1"/>
  <c r="AC14" i="1"/>
  <c r="AD14" i="1"/>
  <c r="AG14" i="1" s="1"/>
  <c r="AE14" i="1"/>
  <c r="AF14" i="1"/>
  <c r="AH14" i="1"/>
  <c r="AM14" i="1"/>
  <c r="AN14" i="1"/>
  <c r="P175" i="1"/>
  <c r="X169" i="1"/>
  <c r="X170" i="1"/>
  <c r="X171" i="1"/>
  <c r="X172" i="1"/>
  <c r="P109" i="1"/>
  <c r="P78" i="1"/>
  <c r="K15" i="1"/>
  <c r="L15" i="1"/>
  <c r="M15" i="1"/>
  <c r="N15" i="1" s="1"/>
  <c r="V15" i="1"/>
  <c r="S13" i="3" s="1"/>
  <c r="Y15" i="1"/>
  <c r="Z15" i="1"/>
  <c r="AB15" i="1"/>
  <c r="AC15" i="1"/>
  <c r="AD15" i="1"/>
  <c r="AE15" i="1"/>
  <c r="R13" i="3" s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A17" i="1" s="1"/>
  <c r="AB17" i="1"/>
  <c r="AC17" i="1"/>
  <c r="AD17" i="1"/>
  <c r="AG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AE19" i="1"/>
  <c r="AF19" i="1"/>
  <c r="AH19" i="1"/>
  <c r="AM19" i="1"/>
  <c r="AN19" i="1"/>
  <c r="K20" i="1"/>
  <c r="L20" i="1"/>
  <c r="M20" i="1"/>
  <c r="N20" i="1"/>
  <c r="V20" i="1"/>
  <c r="Y20" i="1"/>
  <c r="Z20" i="1"/>
  <c r="AB20" i="1"/>
  <c r="AC20" i="1"/>
  <c r="AD20" i="1"/>
  <c r="T20" i="1" s="1"/>
  <c r="AE20" i="1"/>
  <c r="R29" i="3" s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A26" i="1" s="1"/>
  <c r="AB26" i="1"/>
  <c r="AC26" i="1"/>
  <c r="AD26" i="1"/>
  <c r="X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R26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S24" i="3" s="1"/>
  <c r="Y36" i="1"/>
  <c r="Z36" i="1"/>
  <c r="AI36" i="1" s="1"/>
  <c r="AB36" i="1"/>
  <c r="AC36" i="1"/>
  <c r="AD36" i="1"/>
  <c r="AG36" i="1" s="1"/>
  <c r="AE36" i="1"/>
  <c r="R24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S14" i="3" s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I43" i="1" s="1"/>
  <c r="AE43" i="1"/>
  <c r="R7" i="3" s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S10" i="3" s="1"/>
  <c r="Y47" i="1"/>
  <c r="Z47" i="1"/>
  <c r="AB47" i="1"/>
  <c r="AC47" i="1"/>
  <c r="AD47" i="1"/>
  <c r="AG47" i="1" s="1"/>
  <c r="AE47" i="1"/>
  <c r="R9" i="3" s="1"/>
  <c r="AF47" i="1"/>
  <c r="AH47" i="1"/>
  <c r="AM47" i="1"/>
  <c r="AN47" i="1"/>
  <c r="K48" i="1"/>
  <c r="L48" i="1"/>
  <c r="M48" i="1"/>
  <c r="N48" i="1" s="1"/>
  <c r="V48" i="1"/>
  <c r="S27" i="3" s="1"/>
  <c r="Y48" i="1"/>
  <c r="Z48" i="1"/>
  <c r="AB48" i="1"/>
  <c r="AC48" i="1"/>
  <c r="AD48" i="1"/>
  <c r="AE48" i="1"/>
  <c r="R27" i="3" s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S15" i="3" s="1"/>
  <c r="Y52" i="1"/>
  <c r="Z52" i="1"/>
  <c r="AB52" i="1"/>
  <c r="AC52" i="1"/>
  <c r="AD52" i="1"/>
  <c r="T52" i="1" s="1"/>
  <c r="AE52" i="1"/>
  <c r="R15" i="3" s="1"/>
  <c r="AF52" i="1"/>
  <c r="AH52" i="1"/>
  <c r="AM52" i="1"/>
  <c r="AN52" i="1"/>
  <c r="K53" i="1"/>
  <c r="L53" i="1"/>
  <c r="M53" i="1"/>
  <c r="N53" i="1" s="1"/>
  <c r="V53" i="1"/>
  <c r="S34" i="3" s="1"/>
  <c r="Y53" i="1"/>
  <c r="Z53" i="1"/>
  <c r="AB53" i="1"/>
  <c r="AC53" i="1"/>
  <c r="AD53" i="1"/>
  <c r="AG53" i="1" s="1"/>
  <c r="AE53" i="1"/>
  <c r="R34" i="3" s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I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W66" i="1" s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W70" i="1" s="1"/>
  <c r="AB70" i="1"/>
  <c r="AC70" i="1"/>
  <c r="AD70" i="1"/>
  <c r="AG70" i="1" s="1"/>
  <c r="AE70" i="1"/>
  <c r="AF70" i="1"/>
  <c r="AH70" i="1"/>
  <c r="AI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T77" i="1"/>
  <c r="V77" i="1"/>
  <c r="X77" i="1"/>
  <c r="Y77" i="1"/>
  <c r="Z77" i="1"/>
  <c r="AB77" i="1"/>
  <c r="AC77" i="1"/>
  <c r="AD77" i="1"/>
  <c r="AE77" i="1"/>
  <c r="AF77" i="1"/>
  <c r="AG77" i="1"/>
  <c r="AH77" i="1"/>
  <c r="AM77" i="1"/>
  <c r="AN77" i="1"/>
  <c r="K78" i="1"/>
  <c r="L78" i="1"/>
  <c r="M78" i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R16" i="3" s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I92" i="1" s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I96" i="1" s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T106" i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X108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AA111" i="1" s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R35" i="3" s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S8" i="3" s="1"/>
  <c r="Y118" i="1"/>
  <c r="Z118" i="1"/>
  <c r="AB118" i="1"/>
  <c r="AC118" i="1"/>
  <c r="AD118" i="1"/>
  <c r="AE118" i="1"/>
  <c r="R8" i="3" s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R20" i="3" s="1"/>
  <c r="AF120" i="1"/>
  <c r="AH120" i="1"/>
  <c r="AM120" i="1"/>
  <c r="AN120" i="1"/>
  <c r="K121" i="1"/>
  <c r="L121" i="1"/>
  <c r="M121" i="1"/>
  <c r="N121" i="1" s="1"/>
  <c r="V121" i="1"/>
  <c r="Y121" i="1"/>
  <c r="Z121" i="1"/>
  <c r="AA121" i="1" s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S22" i="3" s="1"/>
  <c r="Y126" i="1"/>
  <c r="Z126" i="1"/>
  <c r="AB126" i="1"/>
  <c r="AC126" i="1"/>
  <c r="AD126" i="1"/>
  <c r="AE126" i="1"/>
  <c r="R22" i="3" s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S31" i="3" s="1"/>
  <c r="Y129" i="1"/>
  <c r="Z129" i="1"/>
  <c r="AA129" i="1" s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P137" i="1" s="1"/>
  <c r="V137" i="1"/>
  <c r="Y137" i="1"/>
  <c r="Z137" i="1"/>
  <c r="AA137" i="1" s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T138" i="1"/>
  <c r="V138" i="1"/>
  <c r="Y138" i="1"/>
  <c r="Z138" i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S36" i="3" s="1"/>
  <c r="Y144" i="1"/>
  <c r="Z144" i="1"/>
  <c r="AA144" i="1" s="1"/>
  <c r="AB144" i="1"/>
  <c r="AC144" i="1"/>
  <c r="AD144" i="1"/>
  <c r="AE144" i="1"/>
  <c r="R36" i="3" s="1"/>
  <c r="AF144" i="1"/>
  <c r="AH144" i="1"/>
  <c r="AM144" i="1"/>
  <c r="AN144" i="1"/>
  <c r="K145" i="1"/>
  <c r="L145" i="1"/>
  <c r="M145" i="1"/>
  <c r="N145" i="1"/>
  <c r="V145" i="1"/>
  <c r="Y145" i="1"/>
  <c r="Z145" i="1"/>
  <c r="AA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R32" i="3" s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P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R17" i="3" s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207" i="1"/>
  <c r="L207" i="1"/>
  <c r="M207" i="1"/>
  <c r="N207" i="1" s="1"/>
  <c r="V207" i="1"/>
  <c r="Y207" i="1"/>
  <c r="Z207" i="1"/>
  <c r="AA207" i="1" s="1"/>
  <c r="W207" i="1" s="1"/>
  <c r="AB207" i="1"/>
  <c r="AC207" i="1"/>
  <c r="AD207" i="1"/>
  <c r="AG207" i="1" s="1"/>
  <c r="AE207" i="1"/>
  <c r="AF207" i="1"/>
  <c r="AH158" i="1"/>
  <c r="AM158" i="1"/>
  <c r="AN158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9" i="1"/>
  <c r="AM159" i="1"/>
  <c r="AN159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0" i="1"/>
  <c r="AM160" i="1"/>
  <c r="AN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K211" i="1"/>
  <c r="L211" i="1"/>
  <c r="M211" i="1"/>
  <c r="N211" i="1" s="1"/>
  <c r="V211" i="1"/>
  <c r="Y211" i="1"/>
  <c r="Z211" i="1"/>
  <c r="AA211" i="1" s="1"/>
  <c r="W211" i="1" s="1"/>
  <c r="AB211" i="1"/>
  <c r="AC211" i="1"/>
  <c r="AD211" i="1"/>
  <c r="AG211" i="1" s="1"/>
  <c r="AE211" i="1"/>
  <c r="R41" i="3" s="1"/>
  <c r="AF211" i="1"/>
  <c r="AH162" i="1"/>
  <c r="AM162" i="1"/>
  <c r="AN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K215" i="1"/>
  <c r="L215" i="1"/>
  <c r="M215" i="1"/>
  <c r="N215" i="1" s="1"/>
  <c r="V215" i="1"/>
  <c r="Y215" i="1"/>
  <c r="Z215" i="1"/>
  <c r="AA215" i="1" s="1"/>
  <c r="W215" i="1" s="1"/>
  <c r="AB215" i="1"/>
  <c r="AC215" i="1"/>
  <c r="AD215" i="1"/>
  <c r="AG215" i="1" s="1"/>
  <c r="AE215" i="1"/>
  <c r="AF215" i="1"/>
  <c r="AH166" i="1"/>
  <c r="AM166" i="1"/>
  <c r="AN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G216" i="1"/>
  <c r="AH167" i="1"/>
  <c r="AM167" i="1"/>
  <c r="AN167" i="1"/>
  <c r="K217" i="1"/>
  <c r="L217" i="1"/>
  <c r="M217" i="1"/>
  <c r="N217" i="1"/>
  <c r="V217" i="1"/>
  <c r="Y217" i="1"/>
  <c r="Z217" i="1"/>
  <c r="AB217" i="1"/>
  <c r="AC217" i="1"/>
  <c r="AD217" i="1"/>
  <c r="AE217" i="1"/>
  <c r="AF217" i="1"/>
  <c r="AG217" i="1"/>
  <c r="AH168" i="1"/>
  <c r="AM168" i="1"/>
  <c r="AN168" i="1"/>
  <c r="K218" i="1"/>
  <c r="L218" i="1"/>
  <c r="M218" i="1"/>
  <c r="N218" i="1"/>
  <c r="V218" i="1"/>
  <c r="Y218" i="1"/>
  <c r="Z218" i="1"/>
  <c r="AB218" i="1"/>
  <c r="AC218" i="1"/>
  <c r="AD218" i="1"/>
  <c r="AE218" i="1"/>
  <c r="AF218" i="1"/>
  <c r="AH169" i="1"/>
  <c r="AM169" i="1"/>
  <c r="AN169" i="1"/>
  <c r="K225" i="1"/>
  <c r="L225" i="1"/>
  <c r="M225" i="1"/>
  <c r="N225" i="1" s="1"/>
  <c r="T225" i="1"/>
  <c r="V225" i="1"/>
  <c r="Y225" i="1"/>
  <c r="AA225" i="1" s="1"/>
  <c r="Z225" i="1"/>
  <c r="AB225" i="1"/>
  <c r="AC225" i="1"/>
  <c r="AD225" i="1"/>
  <c r="AG225" i="1" s="1"/>
  <c r="AI225" i="1" s="1"/>
  <c r="AE225" i="1"/>
  <c r="R42" i="3" s="1"/>
  <c r="AF225" i="1"/>
  <c r="K226" i="1"/>
  <c r="L226" i="1"/>
  <c r="M226" i="1"/>
  <c r="N226" i="1" s="1"/>
  <c r="V226" i="1"/>
  <c r="Y226" i="1"/>
  <c r="Z226" i="1"/>
  <c r="AB226" i="1"/>
  <c r="AC226" i="1"/>
  <c r="AD226" i="1"/>
  <c r="X226" i="1" s="1"/>
  <c r="AE226" i="1"/>
  <c r="AF226" i="1"/>
  <c r="AH170" i="1"/>
  <c r="AM170" i="1"/>
  <c r="AN170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1" i="1"/>
  <c r="AM171" i="1"/>
  <c r="AN171" i="1"/>
  <c r="K228" i="1"/>
  <c r="L228" i="1"/>
  <c r="M228" i="1"/>
  <c r="N228" i="1"/>
  <c r="V228" i="1"/>
  <c r="Y228" i="1"/>
  <c r="AA228" i="1" s="1"/>
  <c r="Z228" i="1"/>
  <c r="AB228" i="1"/>
  <c r="AC228" i="1"/>
  <c r="AD228" i="1"/>
  <c r="AE228" i="1"/>
  <c r="AF228" i="1"/>
  <c r="AH172" i="1"/>
  <c r="AM172" i="1"/>
  <c r="AN172" i="1"/>
  <c r="K229" i="1"/>
  <c r="L229" i="1"/>
  <c r="M229" i="1"/>
  <c r="N229" i="1" s="1"/>
  <c r="V229" i="1"/>
  <c r="X229" i="1"/>
  <c r="Y229" i="1"/>
  <c r="Z229" i="1"/>
  <c r="AB229" i="1"/>
  <c r="AC229" i="1"/>
  <c r="AD229" i="1"/>
  <c r="AG229" i="1" s="1"/>
  <c r="AE229" i="1"/>
  <c r="AF229" i="1"/>
  <c r="AH173" i="1"/>
  <c r="AM173" i="1"/>
  <c r="AN173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4" i="1"/>
  <c r="AM174" i="1"/>
  <c r="AN174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75" i="1"/>
  <c r="AM175" i="1"/>
  <c r="AN175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6" i="1"/>
  <c r="AM176" i="1"/>
  <c r="AN176" i="1"/>
  <c r="K233" i="1"/>
  <c r="L233" i="1"/>
  <c r="M233" i="1"/>
  <c r="N233" i="1"/>
  <c r="V233" i="1"/>
  <c r="Y233" i="1"/>
  <c r="Z233" i="1"/>
  <c r="AA233" i="1" s="1"/>
  <c r="W233" i="1" s="1"/>
  <c r="AB233" i="1"/>
  <c r="AC233" i="1"/>
  <c r="AD233" i="1"/>
  <c r="AG233" i="1" s="1"/>
  <c r="AE233" i="1"/>
  <c r="AF233" i="1"/>
  <c r="AH177" i="1"/>
  <c r="AM177" i="1"/>
  <c r="AN177" i="1"/>
  <c r="K234" i="1"/>
  <c r="L234" i="1"/>
  <c r="M234" i="1"/>
  <c r="N234" i="1" s="1"/>
  <c r="V234" i="1"/>
  <c r="Y234" i="1"/>
  <c r="AA234" i="1" s="1"/>
  <c r="Z234" i="1"/>
  <c r="AB234" i="1"/>
  <c r="AC234" i="1"/>
  <c r="AD234" i="1"/>
  <c r="AE234" i="1"/>
  <c r="AF234" i="1"/>
  <c r="AH178" i="1"/>
  <c r="AM178" i="1"/>
  <c r="AN178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79" i="1"/>
  <c r="AM179" i="1"/>
  <c r="AN179" i="1"/>
  <c r="K236" i="1"/>
  <c r="L236" i="1"/>
  <c r="M236" i="1"/>
  <c r="N236" i="1"/>
  <c r="V236" i="1"/>
  <c r="Y236" i="1"/>
  <c r="Z236" i="1"/>
  <c r="AA236" i="1"/>
  <c r="AB236" i="1"/>
  <c r="AC236" i="1"/>
  <c r="AD236" i="1"/>
  <c r="AE236" i="1"/>
  <c r="AF236" i="1"/>
  <c r="AH180" i="1"/>
  <c r="AM180" i="1"/>
  <c r="AN180" i="1"/>
  <c r="K237" i="1"/>
  <c r="L237" i="1"/>
  <c r="M237" i="1"/>
  <c r="N237" i="1"/>
  <c r="V237" i="1"/>
  <c r="Y237" i="1"/>
  <c r="Z237" i="1"/>
  <c r="AB237" i="1"/>
  <c r="AC237" i="1"/>
  <c r="AD237" i="1"/>
  <c r="AE237" i="1"/>
  <c r="AF237" i="1"/>
  <c r="AH181" i="1"/>
  <c r="AM181" i="1"/>
  <c r="AN181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2" i="1"/>
  <c r="AM182" i="1"/>
  <c r="AN182" i="1"/>
  <c r="K239" i="1"/>
  <c r="L239" i="1"/>
  <c r="M239" i="1"/>
  <c r="N239" i="1" s="1"/>
  <c r="V239" i="1"/>
  <c r="Y239" i="1"/>
  <c r="Z239" i="1"/>
  <c r="AB239" i="1"/>
  <c r="AC239" i="1"/>
  <c r="AD239" i="1"/>
  <c r="AG239" i="1" s="1"/>
  <c r="AE239" i="1"/>
  <c r="AF239" i="1"/>
  <c r="AH183" i="1"/>
  <c r="AM183" i="1"/>
  <c r="AN183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4" i="1"/>
  <c r="AM184" i="1"/>
  <c r="AN184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185" i="1"/>
  <c r="AM185" i="1"/>
  <c r="AN185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6" i="1"/>
  <c r="AM186" i="1"/>
  <c r="AN186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7" i="1"/>
  <c r="AM187" i="1"/>
  <c r="AN187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88" i="1"/>
  <c r="AM188" i="1"/>
  <c r="AN188" i="1"/>
  <c r="K245" i="1"/>
  <c r="L245" i="1"/>
  <c r="M245" i="1"/>
  <c r="N245" i="1"/>
  <c r="V245" i="1"/>
  <c r="Y245" i="1"/>
  <c r="Z245" i="1"/>
  <c r="AB245" i="1"/>
  <c r="AC245" i="1"/>
  <c r="AD245" i="1"/>
  <c r="AG245" i="1" s="1"/>
  <c r="AE245" i="1"/>
  <c r="AF245" i="1"/>
  <c r="AH189" i="1"/>
  <c r="AM189" i="1"/>
  <c r="AN189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190" i="1"/>
  <c r="AM190" i="1"/>
  <c r="AN190" i="1"/>
  <c r="K247" i="1"/>
  <c r="L247" i="1"/>
  <c r="M247" i="1"/>
  <c r="N247" i="1" s="1"/>
  <c r="V247" i="1"/>
  <c r="Y247" i="1"/>
  <c r="Z247" i="1"/>
  <c r="AB247" i="1"/>
  <c r="AC247" i="1"/>
  <c r="AD247" i="1"/>
  <c r="AG247" i="1" s="1"/>
  <c r="AE247" i="1"/>
  <c r="AF247" i="1"/>
  <c r="AH191" i="1"/>
  <c r="AM191" i="1"/>
  <c r="AN191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2" i="1"/>
  <c r="AM192" i="1"/>
  <c r="AN192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93" i="1"/>
  <c r="AM193" i="1"/>
  <c r="AN193" i="1"/>
  <c r="K160" i="1"/>
  <c r="L160" i="1"/>
  <c r="M160" i="1"/>
  <c r="N160" i="1" s="1"/>
  <c r="V160" i="1"/>
  <c r="Y160" i="1"/>
  <c r="AA160" i="1" s="1"/>
  <c r="Z160" i="1"/>
  <c r="AB160" i="1"/>
  <c r="AC160" i="1"/>
  <c r="AD160" i="1"/>
  <c r="T160" i="1" s="1"/>
  <c r="AE160" i="1"/>
  <c r="AF160" i="1"/>
  <c r="AH194" i="1"/>
  <c r="AM194" i="1"/>
  <c r="AN19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5" i="1"/>
  <c r="AM195" i="1"/>
  <c r="AN195" i="1"/>
  <c r="K162" i="1"/>
  <c r="L162" i="1"/>
  <c r="M162" i="1"/>
  <c r="N162" i="1"/>
  <c r="V162" i="1"/>
  <c r="Y162" i="1"/>
  <c r="Z162" i="1"/>
  <c r="AB162" i="1"/>
  <c r="AC162" i="1"/>
  <c r="AD162" i="1"/>
  <c r="AE162" i="1"/>
  <c r="AF162" i="1"/>
  <c r="AH196" i="1"/>
  <c r="AM196" i="1"/>
  <c r="AN196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97" i="1"/>
  <c r="AM197" i="1"/>
  <c r="AN19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8" i="1"/>
  <c r="AM198" i="1"/>
  <c r="AN198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99" i="1"/>
  <c r="AM199" i="1"/>
  <c r="AN199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200" i="1"/>
  <c r="AM200" i="1"/>
  <c r="AN200" i="1"/>
  <c r="K167" i="1"/>
  <c r="L167" i="1"/>
  <c r="M167" i="1"/>
  <c r="N167" i="1"/>
  <c r="V167" i="1"/>
  <c r="Y167" i="1"/>
  <c r="Z167" i="1"/>
  <c r="AB167" i="1"/>
  <c r="AC167" i="1"/>
  <c r="AD167" i="1"/>
  <c r="AG167" i="1" s="1"/>
  <c r="AE167" i="1"/>
  <c r="AF167" i="1"/>
  <c r="AH201" i="1"/>
  <c r="AM201" i="1"/>
  <c r="AN201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202" i="1"/>
  <c r="AM202" i="1"/>
  <c r="AN202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203" i="1"/>
  <c r="AM203" i="1"/>
  <c r="AN203" i="1"/>
  <c r="K250" i="1"/>
  <c r="L250" i="1"/>
  <c r="M250" i="1"/>
  <c r="N250" i="1" s="1"/>
  <c r="V250" i="1"/>
  <c r="Y250" i="1"/>
  <c r="Z250" i="1"/>
  <c r="AB250" i="1"/>
  <c r="AC250" i="1"/>
  <c r="AD250" i="1"/>
  <c r="AG250" i="1" s="1"/>
  <c r="AE250" i="1"/>
  <c r="AF250" i="1"/>
  <c r="AH204" i="1"/>
  <c r="AM204" i="1"/>
  <c r="AN204" i="1"/>
  <c r="K251" i="1"/>
  <c r="L251" i="1"/>
  <c r="M251" i="1"/>
  <c r="N251" i="1" s="1"/>
  <c r="V251" i="1"/>
  <c r="Y251" i="1"/>
  <c r="Z251" i="1"/>
  <c r="AB251" i="1"/>
  <c r="AC251" i="1"/>
  <c r="AD251" i="1"/>
  <c r="AG251" i="1" s="1"/>
  <c r="AE251" i="1"/>
  <c r="AF251" i="1"/>
  <c r="AH205" i="1"/>
  <c r="AM205" i="1"/>
  <c r="AN205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R37" i="3" s="1"/>
  <c r="AF168" i="1"/>
  <c r="AH206" i="1"/>
  <c r="AM206" i="1"/>
  <c r="AN206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07" i="1"/>
  <c r="AM207" i="1"/>
  <c r="AN207" i="1"/>
  <c r="AH208" i="1"/>
  <c r="AM208" i="1"/>
  <c r="AN208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209" i="1"/>
  <c r="AM209" i="1"/>
  <c r="AN209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210" i="1"/>
  <c r="AM210" i="1"/>
  <c r="AN210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11" i="1"/>
  <c r="AM211" i="1"/>
  <c r="AN211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12" i="1"/>
  <c r="AM212" i="1"/>
  <c r="AN212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13" i="1"/>
  <c r="AM213" i="1"/>
  <c r="AN213" i="1"/>
  <c r="K175" i="1"/>
  <c r="L175" i="1"/>
  <c r="M175" i="1"/>
  <c r="V175" i="1"/>
  <c r="Y175" i="1"/>
  <c r="Z175" i="1"/>
  <c r="AB175" i="1"/>
  <c r="AC175" i="1"/>
  <c r="AD175" i="1"/>
  <c r="AG175" i="1" s="1"/>
  <c r="AE175" i="1"/>
  <c r="AF175" i="1"/>
  <c r="AH214" i="1"/>
  <c r="AM214" i="1"/>
  <c r="AN214" i="1"/>
  <c r="K176" i="1"/>
  <c r="L176" i="1"/>
  <c r="M176" i="1"/>
  <c r="V176" i="1"/>
  <c r="Y176" i="1"/>
  <c r="Z176" i="1"/>
  <c r="AB176" i="1"/>
  <c r="AC176" i="1"/>
  <c r="AD176" i="1"/>
  <c r="T176" i="1" s="1"/>
  <c r="AE176" i="1"/>
  <c r="AF176" i="1"/>
  <c r="AH215" i="1"/>
  <c r="AM215" i="1"/>
  <c r="AN215" i="1"/>
  <c r="K177" i="1"/>
  <c r="L177" i="1"/>
  <c r="M177" i="1"/>
  <c r="V177" i="1"/>
  <c r="Y177" i="1"/>
  <c r="Z177" i="1"/>
  <c r="AB177" i="1"/>
  <c r="AC177" i="1"/>
  <c r="AD177" i="1"/>
  <c r="AG177" i="1" s="1"/>
  <c r="AE177" i="1"/>
  <c r="AF177" i="1"/>
  <c r="AH216" i="1"/>
  <c r="AM216" i="1"/>
  <c r="AN216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17" i="1"/>
  <c r="AM217" i="1"/>
  <c r="AN217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18" i="1"/>
  <c r="AM218" i="1"/>
  <c r="AN218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19" i="1"/>
  <c r="AM219" i="1"/>
  <c r="AN219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20" i="1"/>
  <c r="AM220" i="1"/>
  <c r="AN220" i="1"/>
  <c r="K182" i="1"/>
  <c r="L182" i="1"/>
  <c r="M182" i="1"/>
  <c r="N182" i="1"/>
  <c r="V182" i="1"/>
  <c r="X182" i="1"/>
  <c r="Y182" i="1"/>
  <c r="Z182" i="1"/>
  <c r="AA182" i="1" s="1"/>
  <c r="W182" i="1" s="1"/>
  <c r="AB182" i="1"/>
  <c r="AC182" i="1"/>
  <c r="AD182" i="1"/>
  <c r="AG182" i="1" s="1"/>
  <c r="AE182" i="1"/>
  <c r="AF182" i="1"/>
  <c r="AH221" i="1"/>
  <c r="AM221" i="1"/>
  <c r="AN221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22" i="1"/>
  <c r="AM222" i="1"/>
  <c r="AN22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3" i="1"/>
  <c r="AM223" i="1"/>
  <c r="AN223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24" i="1"/>
  <c r="AM224" i="1"/>
  <c r="AN224" i="1"/>
  <c r="K186" i="1"/>
  <c r="L186" i="1"/>
  <c r="M186" i="1"/>
  <c r="N186" i="1" s="1"/>
  <c r="V186" i="1"/>
  <c r="Y186" i="1"/>
  <c r="Z186" i="1"/>
  <c r="AA186" i="1" s="1"/>
  <c r="W186" i="1" s="1"/>
  <c r="AB186" i="1"/>
  <c r="AC186" i="1"/>
  <c r="AD186" i="1"/>
  <c r="AG186" i="1" s="1"/>
  <c r="AE186" i="1"/>
  <c r="AF186" i="1"/>
  <c r="AH225" i="1"/>
  <c r="AM225" i="1"/>
  <c r="AN225" i="1"/>
  <c r="K187" i="1"/>
  <c r="L187" i="1"/>
  <c r="M187" i="1"/>
  <c r="N187" i="1" s="1"/>
  <c r="V187" i="1"/>
  <c r="X187" i="1"/>
  <c r="Y187" i="1"/>
  <c r="Z187" i="1"/>
  <c r="AA187" i="1" s="1"/>
  <c r="W187" i="1" s="1"/>
  <c r="AB187" i="1"/>
  <c r="AC187" i="1"/>
  <c r="AD187" i="1"/>
  <c r="AG187" i="1" s="1"/>
  <c r="AE187" i="1"/>
  <c r="AF187" i="1"/>
  <c r="AH226" i="1"/>
  <c r="AM226" i="1"/>
  <c r="AN226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227" i="1"/>
  <c r="AM227" i="1"/>
  <c r="AN227" i="1"/>
  <c r="K189" i="1"/>
  <c r="L189" i="1"/>
  <c r="M189" i="1"/>
  <c r="N189" i="1" s="1"/>
  <c r="V189" i="1"/>
  <c r="Y189" i="1"/>
  <c r="Z189" i="1"/>
  <c r="AA189" i="1" s="1"/>
  <c r="AB189" i="1"/>
  <c r="AC189" i="1"/>
  <c r="AD189" i="1"/>
  <c r="AE189" i="1"/>
  <c r="AF189" i="1"/>
  <c r="AH228" i="1"/>
  <c r="AM228" i="1"/>
  <c r="AN228" i="1"/>
  <c r="K190" i="1"/>
  <c r="L190" i="1"/>
  <c r="M190" i="1"/>
  <c r="N190" i="1"/>
  <c r="V190" i="1"/>
  <c r="Y190" i="1"/>
  <c r="Z190" i="1"/>
  <c r="AB190" i="1"/>
  <c r="AC190" i="1"/>
  <c r="AD190" i="1"/>
  <c r="AG190" i="1" s="1"/>
  <c r="AE190" i="1"/>
  <c r="AF190" i="1"/>
  <c r="AH229" i="1"/>
  <c r="AI229" i="1"/>
  <c r="AM229" i="1"/>
  <c r="AN229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30" i="1"/>
  <c r="AM230" i="1"/>
  <c r="AN230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231" i="1"/>
  <c r="AM231" i="1"/>
  <c r="AN231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32" i="1"/>
  <c r="AM232" i="1"/>
  <c r="AN232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33" i="1"/>
  <c r="AI233" i="1"/>
  <c r="AM233" i="1"/>
  <c r="AN23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4" i="1"/>
  <c r="AM234" i="1"/>
  <c r="AN23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35" i="1"/>
  <c r="AM235" i="1"/>
  <c r="AN235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36" i="1"/>
  <c r="AM236" i="1"/>
  <c r="AN236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37" i="1"/>
  <c r="AM237" i="1"/>
  <c r="AN237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38" i="1"/>
  <c r="AM238" i="1"/>
  <c r="AN23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9" i="1"/>
  <c r="AM239" i="1"/>
  <c r="AN239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40" i="1"/>
  <c r="AM240" i="1"/>
  <c r="AN240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41" i="1"/>
  <c r="AM241" i="1"/>
  <c r="AN241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42" i="1"/>
  <c r="AM242" i="1"/>
  <c r="AN242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43" i="1"/>
  <c r="AM243" i="1"/>
  <c r="AN243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44" i="1"/>
  <c r="AM244" i="1"/>
  <c r="AN244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45" i="1"/>
  <c r="AI245" i="1"/>
  <c r="AM245" i="1"/>
  <c r="AN245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46" i="1"/>
  <c r="AM246" i="1"/>
  <c r="AN24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47" i="1"/>
  <c r="AM247" i="1"/>
  <c r="AN247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48" i="1"/>
  <c r="AM248" i="1"/>
  <c r="AN248" i="1"/>
  <c r="K222" i="1"/>
  <c r="L222" i="1"/>
  <c r="M222" i="1"/>
  <c r="N222" i="1" s="1"/>
  <c r="V222" i="1"/>
  <c r="Y222" i="1"/>
  <c r="Z222" i="1"/>
  <c r="AA222" i="1" s="1"/>
  <c r="W222" i="1" s="1"/>
  <c r="AB222" i="1"/>
  <c r="AC222" i="1"/>
  <c r="AD222" i="1"/>
  <c r="AG222" i="1" s="1"/>
  <c r="AE222" i="1"/>
  <c r="AF222" i="1"/>
  <c r="AH249" i="1"/>
  <c r="AM249" i="1"/>
  <c r="AN24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50" i="1"/>
  <c r="AM250" i="1"/>
  <c r="AN250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51" i="1"/>
  <c r="AM251" i="1"/>
  <c r="AN251" i="1"/>
  <c r="M13" i="3"/>
  <c r="U13" i="3"/>
  <c r="T13" i="3" s="1"/>
  <c r="V13" i="3"/>
  <c r="W13" i="3"/>
  <c r="X13" i="3"/>
  <c r="M43" i="3"/>
  <c r="R43" i="3"/>
  <c r="S43" i="3"/>
  <c r="U43" i="3"/>
  <c r="AD43" i="3" s="1"/>
  <c r="V43" i="3"/>
  <c r="W43" i="3"/>
  <c r="X43" i="3"/>
  <c r="M28" i="3"/>
  <c r="R28" i="3"/>
  <c r="S28" i="3"/>
  <c r="U28" i="3"/>
  <c r="AC28" i="3" s="1"/>
  <c r="V28" i="3"/>
  <c r="W28" i="3"/>
  <c r="X28" i="3"/>
  <c r="M29" i="3"/>
  <c r="S29" i="3"/>
  <c r="U29" i="3"/>
  <c r="T29" i="3" s="1"/>
  <c r="V29" i="3"/>
  <c r="W29" i="3"/>
  <c r="X29" i="3"/>
  <c r="M25" i="3"/>
  <c r="S25" i="3"/>
  <c r="U25" i="3"/>
  <c r="T25" i="3" s="1"/>
  <c r="V25" i="3"/>
  <c r="W25" i="3"/>
  <c r="X25" i="3"/>
  <c r="M12" i="3"/>
  <c r="S12" i="3"/>
  <c r="U12" i="3"/>
  <c r="V12" i="3"/>
  <c r="W12" i="3"/>
  <c r="X12" i="3"/>
  <c r="M26" i="3"/>
  <c r="S26" i="3"/>
  <c r="U26" i="3"/>
  <c r="AC26" i="3" s="1"/>
  <c r="V26" i="3"/>
  <c r="W26" i="3"/>
  <c r="X26" i="3"/>
  <c r="M14" i="3"/>
  <c r="R14" i="3"/>
  <c r="U14" i="3"/>
  <c r="T14" i="3" s="1"/>
  <c r="V14" i="3"/>
  <c r="W14" i="3"/>
  <c r="X14" i="3"/>
  <c r="AC14" i="3"/>
  <c r="M19" i="3"/>
  <c r="R19" i="3"/>
  <c r="U19" i="3"/>
  <c r="T19" i="3" s="1"/>
  <c r="V19" i="3"/>
  <c r="W19" i="3"/>
  <c r="X19" i="3"/>
  <c r="M7" i="3"/>
  <c r="S7" i="3"/>
  <c r="U7" i="3"/>
  <c r="V7" i="3"/>
  <c r="W7" i="3"/>
  <c r="X7" i="3"/>
  <c r="M33" i="3"/>
  <c r="R33" i="3"/>
  <c r="S33" i="3"/>
  <c r="U33" i="3"/>
  <c r="AC33" i="3" s="1"/>
  <c r="V33" i="3"/>
  <c r="W33" i="3"/>
  <c r="X33" i="3"/>
  <c r="M18" i="3"/>
  <c r="R18" i="3"/>
  <c r="S18" i="3"/>
  <c r="U18" i="3"/>
  <c r="V18" i="3"/>
  <c r="W18" i="3"/>
  <c r="X18" i="3"/>
  <c r="AC18" i="3"/>
  <c r="M24" i="3"/>
  <c r="U24" i="3"/>
  <c r="T24" i="3" s="1"/>
  <c r="V24" i="3"/>
  <c r="W24" i="3"/>
  <c r="X24" i="3"/>
  <c r="M9" i="3"/>
  <c r="S9" i="3"/>
  <c r="U9" i="3"/>
  <c r="V9" i="3"/>
  <c r="W9" i="3"/>
  <c r="X9" i="3"/>
  <c r="M10" i="3"/>
  <c r="U10" i="3"/>
  <c r="AC10" i="3" s="1"/>
  <c r="V10" i="3"/>
  <c r="W10" i="3"/>
  <c r="X10" i="3"/>
  <c r="M37" i="3"/>
  <c r="S37" i="3"/>
  <c r="U37" i="3"/>
  <c r="AC37" i="3" s="1"/>
  <c r="V37" i="3"/>
  <c r="W37" i="3"/>
  <c r="X37" i="3"/>
  <c r="M34" i="3"/>
  <c r="U34" i="3"/>
  <c r="T34" i="3" s="1"/>
  <c r="V34" i="3"/>
  <c r="W34" i="3"/>
  <c r="X34" i="3"/>
  <c r="AC34" i="3"/>
  <c r="M27" i="3"/>
  <c r="U27" i="3"/>
  <c r="V27" i="3"/>
  <c r="W27" i="3"/>
  <c r="X27" i="3"/>
  <c r="AC27" i="3"/>
  <c r="M15" i="3"/>
  <c r="U15" i="3"/>
  <c r="AC15" i="3" s="1"/>
  <c r="V15" i="3"/>
  <c r="W15" i="3"/>
  <c r="X15" i="3"/>
  <c r="M42" i="3"/>
  <c r="S42" i="3"/>
  <c r="U42" i="3"/>
  <c r="T42" i="3" s="1"/>
  <c r="V42" i="3"/>
  <c r="W42" i="3"/>
  <c r="X42" i="3"/>
  <c r="AC42" i="3"/>
  <c r="M11" i="3"/>
  <c r="R11" i="3"/>
  <c r="S11" i="3"/>
  <c r="U11" i="3"/>
  <c r="T11" i="3" s="1"/>
  <c r="V11" i="3"/>
  <c r="W11" i="3"/>
  <c r="X11" i="3"/>
  <c r="M23" i="3"/>
  <c r="S23" i="3"/>
  <c r="U23" i="3"/>
  <c r="V23" i="3"/>
  <c r="W23" i="3"/>
  <c r="X23" i="3"/>
  <c r="M16" i="3"/>
  <c r="S16" i="3"/>
  <c r="U16" i="3"/>
  <c r="AC16" i="3" s="1"/>
  <c r="V16" i="3"/>
  <c r="W16" i="3"/>
  <c r="X16" i="3"/>
  <c r="M30" i="3"/>
  <c r="R30" i="3"/>
  <c r="S30" i="3"/>
  <c r="U30" i="3"/>
  <c r="T30" i="3" s="1"/>
  <c r="V30" i="3"/>
  <c r="W30" i="3"/>
  <c r="X30" i="3"/>
  <c r="AC30" i="3"/>
  <c r="M8" i="3"/>
  <c r="U8" i="3"/>
  <c r="T8" i="3" s="1"/>
  <c r="V8" i="3"/>
  <c r="W8" i="3"/>
  <c r="X8" i="3"/>
  <c r="AC8" i="3"/>
  <c r="M35" i="3"/>
  <c r="S35" i="3"/>
  <c r="U35" i="3"/>
  <c r="AD35" i="3" s="1"/>
  <c r="V35" i="3"/>
  <c r="W35" i="3"/>
  <c r="X35" i="3"/>
  <c r="AC35" i="3"/>
  <c r="M20" i="3"/>
  <c r="S20" i="3"/>
  <c r="U20" i="3"/>
  <c r="AC20" i="3" s="1"/>
  <c r="V20" i="3"/>
  <c r="W20" i="3"/>
  <c r="X20" i="3"/>
  <c r="M22" i="3"/>
  <c r="U22" i="3"/>
  <c r="T22" i="3" s="1"/>
  <c r="V22" i="3"/>
  <c r="W22" i="3"/>
  <c r="X22" i="3"/>
  <c r="M38" i="3"/>
  <c r="R38" i="3"/>
  <c r="S38" i="3"/>
  <c r="U38" i="3"/>
  <c r="T38" i="3" s="1"/>
  <c r="V38" i="3"/>
  <c r="W38" i="3"/>
  <c r="X38" i="3"/>
  <c r="AC38" i="3"/>
  <c r="M31" i="3"/>
  <c r="R31" i="3"/>
  <c r="U31" i="3"/>
  <c r="V31" i="3"/>
  <c r="W31" i="3"/>
  <c r="X31" i="3"/>
  <c r="M40" i="3"/>
  <c r="R40" i="3"/>
  <c r="S40" i="3"/>
  <c r="U40" i="3"/>
  <c r="AC40" i="3" s="1"/>
  <c r="V40" i="3"/>
  <c r="W40" i="3"/>
  <c r="X40" i="3"/>
  <c r="M41" i="3"/>
  <c r="S41" i="3"/>
  <c r="U41" i="3"/>
  <c r="V41" i="3"/>
  <c r="W41" i="3"/>
  <c r="X41" i="3"/>
  <c r="AC41" i="3"/>
  <c r="M36" i="3"/>
  <c r="U36" i="3"/>
  <c r="T36" i="3" s="1"/>
  <c r="V36" i="3"/>
  <c r="W36" i="3"/>
  <c r="X36" i="3"/>
  <c r="AC36" i="3"/>
  <c r="M32" i="3"/>
  <c r="S32" i="3"/>
  <c r="U32" i="3"/>
  <c r="V32" i="3"/>
  <c r="W32" i="3"/>
  <c r="X32" i="3"/>
  <c r="AC32" i="3"/>
  <c r="M21" i="3"/>
  <c r="S21" i="3"/>
  <c r="U21" i="3"/>
  <c r="AC21" i="3" s="1"/>
  <c r="V21" i="3"/>
  <c r="W21" i="3"/>
  <c r="X21" i="3"/>
  <c r="M17" i="3"/>
  <c r="S17" i="3"/>
  <c r="U17" i="3"/>
  <c r="T17" i="3" s="1"/>
  <c r="V17" i="3"/>
  <c r="W17" i="3"/>
  <c r="X17" i="3"/>
  <c r="AC17" i="3"/>
  <c r="Y13" i="3" l="1"/>
  <c r="AC22" i="3"/>
  <c r="X14" i="1"/>
  <c r="T14" i="1"/>
  <c r="U14" i="1" s="1"/>
  <c r="S14" i="1" s="1"/>
  <c r="AI14" i="1"/>
  <c r="W14" i="1"/>
  <c r="Y15" i="3"/>
  <c r="Y35" i="3"/>
  <c r="AD29" i="3"/>
  <c r="AC11" i="3"/>
  <c r="R21" i="3"/>
  <c r="R25" i="3"/>
  <c r="R23" i="3"/>
  <c r="Y21" i="3"/>
  <c r="Y31" i="3"/>
  <c r="Y38" i="3"/>
  <c r="AD25" i="3"/>
  <c r="Y7" i="3"/>
  <c r="Y40" i="3"/>
  <c r="Y17" i="3"/>
  <c r="Y33" i="3"/>
  <c r="Y9" i="3"/>
  <c r="Y28" i="3"/>
  <c r="AC29" i="3"/>
  <c r="AI197" i="1"/>
  <c r="R12" i="3"/>
  <c r="AA147" i="1"/>
  <c r="W147" i="1" s="1"/>
  <c r="AD37" i="3"/>
  <c r="AD33" i="3"/>
  <c r="Y30" i="3"/>
  <c r="AD27" i="3"/>
  <c r="S19" i="3"/>
  <c r="Y26" i="3"/>
  <c r="AE13" i="3"/>
  <c r="AA202" i="1"/>
  <c r="W202" i="1" s="1"/>
  <c r="AI177" i="1"/>
  <c r="AA177" i="1"/>
  <c r="AG176" i="1"/>
  <c r="U176" i="1" s="1"/>
  <c r="X176" i="1"/>
  <c r="AA245" i="1"/>
  <c r="W245" i="1" s="1"/>
  <c r="AI241" i="1"/>
  <c r="AA239" i="1"/>
  <c r="AA237" i="1"/>
  <c r="AG155" i="1"/>
  <c r="AA154" i="1"/>
  <c r="AA150" i="1"/>
  <c r="AA138" i="1"/>
  <c r="W138" i="1" s="1"/>
  <c r="AA119" i="1"/>
  <c r="AA108" i="1"/>
  <c r="W108" i="1" s="1"/>
  <c r="AA76" i="1"/>
  <c r="W76" i="1" s="1"/>
  <c r="AA74" i="1"/>
  <c r="AA53" i="1"/>
  <c r="T33" i="1"/>
  <c r="AA20" i="1"/>
  <c r="Y14" i="3"/>
  <c r="AA185" i="1"/>
  <c r="AA183" i="1"/>
  <c r="AA178" i="1"/>
  <c r="W178" i="1" s="1"/>
  <c r="T159" i="1"/>
  <c r="U159" i="1" s="1"/>
  <c r="S159" i="1" s="1"/>
  <c r="W225" i="1"/>
  <c r="AI217" i="1"/>
  <c r="X216" i="1"/>
  <c r="X212" i="1"/>
  <c r="AA124" i="1"/>
  <c r="AI104" i="1"/>
  <c r="AA87" i="1"/>
  <c r="X70" i="1"/>
  <c r="AA43" i="1"/>
  <c r="AA23" i="1"/>
  <c r="X18" i="1"/>
  <c r="X138" i="1"/>
  <c r="W43" i="1"/>
  <c r="AD13" i="3"/>
  <c r="AD12" i="3"/>
  <c r="AA134" i="1"/>
  <c r="W134" i="1" s="1"/>
  <c r="AG113" i="1"/>
  <c r="AA104" i="1"/>
  <c r="W104" i="1" s="1"/>
  <c r="X93" i="1"/>
  <c r="X88" i="1"/>
  <c r="AG81" i="1"/>
  <c r="U81" i="1" s="1"/>
  <c r="X81" i="1"/>
  <c r="AG64" i="1"/>
  <c r="X64" i="1"/>
  <c r="AA51" i="1"/>
  <c r="AG50" i="1"/>
  <c r="U50" i="1" s="1"/>
  <c r="S50" i="1" s="1"/>
  <c r="X50" i="1"/>
  <c r="AA45" i="1"/>
  <c r="X40" i="1"/>
  <c r="AE43" i="3"/>
  <c r="X224" i="1"/>
  <c r="AG223" i="1"/>
  <c r="W223" i="1" s="1"/>
  <c r="X251" i="1"/>
  <c r="AA246" i="1"/>
  <c r="AA230" i="1"/>
  <c r="AA208" i="1"/>
  <c r="X202" i="1"/>
  <c r="AI193" i="1"/>
  <c r="AA193" i="1"/>
  <c r="AG192" i="1"/>
  <c r="W192" i="1" s="1"/>
  <c r="X192" i="1"/>
  <c r="AA175" i="1"/>
  <c r="W175" i="1" s="1"/>
  <c r="T212" i="1"/>
  <c r="X94" i="1"/>
  <c r="AA75" i="1"/>
  <c r="T67" i="1"/>
  <c r="U67" i="1" s="1"/>
  <c r="S67" i="1" s="1"/>
  <c r="X56" i="1"/>
  <c r="AA31" i="1"/>
  <c r="X28" i="1"/>
  <c r="AA21" i="1"/>
  <c r="W21" i="1" s="1"/>
  <c r="AD24" i="3"/>
  <c r="AG248" i="1"/>
  <c r="U248" i="1" s="1"/>
  <c r="S248" i="1" s="1"/>
  <c r="AA226" i="1"/>
  <c r="AG143" i="1"/>
  <c r="U143" i="1" s="1"/>
  <c r="S143" i="1" s="1"/>
  <c r="Y23" i="3"/>
  <c r="Y24" i="3"/>
  <c r="T219" i="1"/>
  <c r="AD41" i="3"/>
  <c r="AD40" i="3"/>
  <c r="AE35" i="3"/>
  <c r="Y16" i="3"/>
  <c r="Y42" i="3"/>
  <c r="Y10" i="3"/>
  <c r="R10" i="3"/>
  <c r="Y12" i="3"/>
  <c r="Y29" i="3"/>
  <c r="AA206" i="1"/>
  <c r="W206" i="1" s="1"/>
  <c r="AA199" i="1"/>
  <c r="W199" i="1" s="1"/>
  <c r="AA194" i="1"/>
  <c r="W194" i="1" s="1"/>
  <c r="X179" i="1"/>
  <c r="AG164" i="1"/>
  <c r="X164" i="1"/>
  <c r="AA162" i="1"/>
  <c r="AA244" i="1"/>
  <c r="AA216" i="1"/>
  <c r="AA153" i="1"/>
  <c r="AA135" i="1"/>
  <c r="X120" i="1"/>
  <c r="AA116" i="1"/>
  <c r="AG102" i="1"/>
  <c r="AI102" i="1" s="1"/>
  <c r="X102" i="1"/>
  <c r="T96" i="1"/>
  <c r="AA93" i="1"/>
  <c r="AA90" i="1"/>
  <c r="AA88" i="1"/>
  <c r="W88" i="1" s="1"/>
  <c r="AA86" i="1"/>
  <c r="AA84" i="1"/>
  <c r="W84" i="1" s="1"/>
  <c r="AA64" i="1"/>
  <c r="W64" i="1" s="1"/>
  <c r="AA61" i="1"/>
  <c r="AA59" i="1"/>
  <c r="W59" i="1" s="1"/>
  <c r="AA55" i="1"/>
  <c r="AG41" i="1"/>
  <c r="AI41" i="1" s="1"/>
  <c r="AA40" i="1"/>
  <c r="W40" i="1" s="1"/>
  <c r="T40" i="1"/>
  <c r="AA37" i="1"/>
  <c r="AG33" i="1"/>
  <c r="AI33" i="1" s="1"/>
  <c r="X32" i="1"/>
  <c r="AA24" i="1"/>
  <c r="AA28" i="1"/>
  <c r="W28" i="1" s="1"/>
  <c r="T28" i="1"/>
  <c r="U28" i="1" s="1"/>
  <c r="S28" i="1" s="1"/>
  <c r="AA27" i="1"/>
  <c r="AA205" i="1"/>
  <c r="AA203" i="1"/>
  <c r="W203" i="1" s="1"/>
  <c r="X198" i="1"/>
  <c r="AA181" i="1"/>
  <c r="AA176" i="1"/>
  <c r="AA170" i="1"/>
  <c r="W170" i="1" s="1"/>
  <c r="AA251" i="1"/>
  <c r="W251" i="1" s="1"/>
  <c r="AA250" i="1"/>
  <c r="AA167" i="1"/>
  <c r="W167" i="1" s="1"/>
  <c r="AI166" i="1"/>
  <c r="AA166" i="1"/>
  <c r="AA159" i="1"/>
  <c r="W159" i="1" s="1"/>
  <c r="X242" i="1"/>
  <c r="AG237" i="1"/>
  <c r="AI237" i="1" s="1"/>
  <c r="X237" i="1"/>
  <c r="W55" i="1"/>
  <c r="AI222" i="1"/>
  <c r="T199" i="1"/>
  <c r="U199" i="1" s="1"/>
  <c r="S199" i="1" s="1"/>
  <c r="AG195" i="1"/>
  <c r="X195" i="1"/>
  <c r="T179" i="1"/>
  <c r="AA173" i="1"/>
  <c r="AA171" i="1"/>
  <c r="W171" i="1" s="1"/>
  <c r="AA163" i="1"/>
  <c r="W163" i="1" s="1"/>
  <c r="X246" i="1"/>
  <c r="AA241" i="1"/>
  <c r="W241" i="1" s="1"/>
  <c r="X238" i="1"/>
  <c r="AG238" i="1"/>
  <c r="AI238" i="1" s="1"/>
  <c r="X234" i="1"/>
  <c r="AA165" i="1"/>
  <c r="T233" i="1"/>
  <c r="AA223" i="1"/>
  <c r="AI221" i="1"/>
  <c r="AA221" i="1"/>
  <c r="W221" i="1" s="1"/>
  <c r="AI206" i="1"/>
  <c r="X204" i="1"/>
  <c r="AA201" i="1"/>
  <c r="AA191" i="1"/>
  <c r="AI185" i="1"/>
  <c r="X180" i="1"/>
  <c r="AG179" i="1"/>
  <c r="AI209" i="1"/>
  <c r="AA242" i="1"/>
  <c r="W242" i="1" s="1"/>
  <c r="AA240" i="1"/>
  <c r="AA229" i="1"/>
  <c r="W229" i="1" s="1"/>
  <c r="AG212" i="1"/>
  <c r="U212" i="1" s="1"/>
  <c r="S212" i="1" s="1"/>
  <c r="AA155" i="1"/>
  <c r="W155" i="1" s="1"/>
  <c r="X154" i="1"/>
  <c r="AA146" i="1"/>
  <c r="X142" i="1"/>
  <c r="AA139" i="1"/>
  <c r="T133" i="1"/>
  <c r="AA132" i="1"/>
  <c r="W132" i="1" s="1"/>
  <c r="AG130" i="1"/>
  <c r="AI130" i="1" s="1"/>
  <c r="X130" i="1"/>
  <c r="AA128" i="1"/>
  <c r="W128" i="1" s="1"/>
  <c r="T128" i="1"/>
  <c r="AA127" i="1"/>
  <c r="AG125" i="1"/>
  <c r="AI125" i="1" s="1"/>
  <c r="AG121" i="1"/>
  <c r="AI121" i="1" s="1"/>
  <c r="AG117" i="1"/>
  <c r="X117" i="1"/>
  <c r="AA115" i="1"/>
  <c r="W115" i="1" s="1"/>
  <c r="AA109" i="1"/>
  <c r="AI108" i="1"/>
  <c r="AA106" i="1"/>
  <c r="AG105" i="1"/>
  <c r="AI105" i="1" s="1"/>
  <c r="X104" i="1"/>
  <c r="T101" i="1"/>
  <c r="AA100" i="1"/>
  <c r="AG98" i="1"/>
  <c r="X98" i="1"/>
  <c r="AG97" i="1"/>
  <c r="X97" i="1"/>
  <c r="AA94" i="1"/>
  <c r="AA91" i="1"/>
  <c r="AG89" i="1"/>
  <c r="X89" i="1"/>
  <c r="AI88" i="1"/>
  <c r="AG85" i="1"/>
  <c r="X85" i="1"/>
  <c r="AA83" i="1"/>
  <c r="AA78" i="1"/>
  <c r="AG73" i="1"/>
  <c r="U73" i="1" s="1"/>
  <c r="X73" i="1"/>
  <c r="AA71" i="1"/>
  <c r="AA63" i="1"/>
  <c r="W63" i="1" s="1"/>
  <c r="AG60" i="1"/>
  <c r="X60" i="1"/>
  <c r="AA58" i="1"/>
  <c r="T55" i="1"/>
  <c r="U55" i="1" s="1"/>
  <c r="S55" i="1" s="1"/>
  <c r="AA54" i="1"/>
  <c r="AG52" i="1"/>
  <c r="X52" i="1"/>
  <c r="X36" i="1"/>
  <c r="AA32" i="1"/>
  <c r="T25" i="1"/>
  <c r="AG22" i="1"/>
  <c r="X22" i="1"/>
  <c r="T18" i="1"/>
  <c r="AA214" i="1"/>
  <c r="X208" i="1"/>
  <c r="AA157" i="1"/>
  <c r="X155" i="1"/>
  <c r="X150" i="1"/>
  <c r="X143" i="1"/>
  <c r="AI115" i="1"/>
  <c r="AA110" i="1"/>
  <c r="X84" i="1"/>
  <c r="AA152" i="1"/>
  <c r="AA149" i="1"/>
  <c r="AA142" i="1"/>
  <c r="T142" i="1"/>
  <c r="AA141" i="1"/>
  <c r="AA133" i="1"/>
  <c r="W133" i="1" s="1"/>
  <c r="AA130" i="1"/>
  <c r="X128" i="1"/>
  <c r="X122" i="1"/>
  <c r="AA120" i="1"/>
  <c r="AA107" i="1"/>
  <c r="AA103" i="1"/>
  <c r="W103" i="1" s="1"/>
  <c r="AA101" i="1"/>
  <c r="W101" i="1" s="1"/>
  <c r="AA98" i="1"/>
  <c r="W98" i="1" s="1"/>
  <c r="AA95" i="1"/>
  <c r="AG93" i="1"/>
  <c r="AI93" i="1" s="1"/>
  <c r="AA92" i="1"/>
  <c r="W92" i="1" s="1"/>
  <c r="AA82" i="1"/>
  <c r="AA80" i="1"/>
  <c r="X76" i="1"/>
  <c r="AA72" i="1"/>
  <c r="AA67" i="1"/>
  <c r="W67" i="1" s="1"/>
  <c r="AI66" i="1"/>
  <c r="AA60" i="1"/>
  <c r="AG51" i="1"/>
  <c r="AI51" i="1" s="1"/>
  <c r="AG49" i="1"/>
  <c r="AI49" i="1" s="1"/>
  <c r="AA48" i="1"/>
  <c r="AG46" i="1"/>
  <c r="X46" i="1"/>
  <c r="AA41" i="1"/>
  <c r="W41" i="1" s="1"/>
  <c r="AA36" i="1"/>
  <c r="W36" i="1" s="1"/>
  <c r="AA35" i="1"/>
  <c r="AG31" i="1"/>
  <c r="AI31" i="1" s="1"/>
  <c r="AA29" i="1"/>
  <c r="W29" i="1" s="1"/>
  <c r="AG25" i="1"/>
  <c r="AG18" i="1"/>
  <c r="W185" i="1"/>
  <c r="T186" i="1"/>
  <c r="U186" i="1" s="1"/>
  <c r="S186" i="1" s="1"/>
  <c r="X203" i="1"/>
  <c r="T202" i="1"/>
  <c r="AA198" i="1"/>
  <c r="W198" i="1" s="1"/>
  <c r="AA197" i="1"/>
  <c r="W197" i="1" s="1"/>
  <c r="T191" i="1"/>
  <c r="T187" i="1"/>
  <c r="U187" i="1" s="1"/>
  <c r="S187" i="1" s="1"/>
  <c r="X186" i="1"/>
  <c r="T175" i="1"/>
  <c r="U175" i="1" s="1"/>
  <c r="S175" i="1" s="1"/>
  <c r="T171" i="1"/>
  <c r="U171" i="1" s="1"/>
  <c r="S171" i="1" s="1"/>
  <c r="X248" i="1"/>
  <c r="X163" i="1"/>
  <c r="T242" i="1"/>
  <c r="T237" i="1"/>
  <c r="AA218" i="1"/>
  <c r="AA217" i="1"/>
  <c r="X215" i="1"/>
  <c r="AA212" i="1"/>
  <c r="T211" i="1"/>
  <c r="AA156" i="1"/>
  <c r="AG151" i="1"/>
  <c r="U151" i="1" s="1"/>
  <c r="S151" i="1" s="1"/>
  <c r="X151" i="1"/>
  <c r="T150" i="1"/>
  <c r="X146" i="1"/>
  <c r="AA143" i="1"/>
  <c r="W143" i="1" s="1"/>
  <c r="AI132" i="1"/>
  <c r="W193" i="1"/>
  <c r="W191" i="1"/>
  <c r="AA220" i="1"/>
  <c r="AA204" i="1"/>
  <c r="AA200" i="1"/>
  <c r="AA190" i="1"/>
  <c r="W190" i="1" s="1"/>
  <c r="AA184" i="1"/>
  <c r="AG183" i="1"/>
  <c r="U183" i="1" s="1"/>
  <c r="S183" i="1" s="1"/>
  <c r="AA174" i="1"/>
  <c r="W174" i="1" s="1"/>
  <c r="AA169" i="1"/>
  <c r="AG168" i="1"/>
  <c r="U168" i="1" s="1"/>
  <c r="S168" i="1" s="1"/>
  <c r="AA164" i="1"/>
  <c r="W164" i="1" s="1"/>
  <c r="AG160" i="1"/>
  <c r="X160" i="1"/>
  <c r="AA158" i="1"/>
  <c r="AA247" i="1"/>
  <c r="W247" i="1" s="1"/>
  <c r="T246" i="1"/>
  <c r="X245" i="1"/>
  <c r="AG242" i="1"/>
  <c r="T241" i="1"/>
  <c r="U241" i="1" s="1"/>
  <c r="S241" i="1" s="1"/>
  <c r="T234" i="1"/>
  <c r="AG230" i="1"/>
  <c r="U230" i="1" s="1"/>
  <c r="S230" i="1" s="1"/>
  <c r="X230" i="1"/>
  <c r="U229" i="1"/>
  <c r="S229" i="1" s="1"/>
  <c r="T229" i="1"/>
  <c r="W216" i="1"/>
  <c r="AA210" i="1"/>
  <c r="AA209" i="1"/>
  <c r="W209" i="1" s="1"/>
  <c r="T208" i="1"/>
  <c r="X207" i="1"/>
  <c r="T154" i="1"/>
  <c r="U154" i="1" s="1"/>
  <c r="S154" i="1" s="1"/>
  <c r="AA148" i="1"/>
  <c r="T147" i="1"/>
  <c r="X135" i="1"/>
  <c r="AG135" i="1"/>
  <c r="U135" i="1" s="1"/>
  <c r="X129" i="1"/>
  <c r="AG129" i="1"/>
  <c r="X118" i="1"/>
  <c r="T118" i="1"/>
  <c r="U60" i="1"/>
  <c r="W177" i="1"/>
  <c r="T170" i="1"/>
  <c r="W166" i="1"/>
  <c r="T163" i="1"/>
  <c r="U163" i="1" s="1"/>
  <c r="S163" i="1" s="1"/>
  <c r="T226" i="1"/>
  <c r="T215" i="1"/>
  <c r="U215" i="1" s="1"/>
  <c r="S215" i="1" s="1"/>
  <c r="T146" i="1"/>
  <c r="U146" i="1" s="1"/>
  <c r="S146" i="1" s="1"/>
  <c r="T139" i="1"/>
  <c r="U139" i="1" s="1"/>
  <c r="S139" i="1" s="1"/>
  <c r="X139" i="1"/>
  <c r="AG139" i="1"/>
  <c r="AI139" i="1" s="1"/>
  <c r="AG124" i="1"/>
  <c r="AI124" i="1" s="1"/>
  <c r="X125" i="1"/>
  <c r="X124" i="1"/>
  <c r="T203" i="1"/>
  <c r="U203" i="1" s="1"/>
  <c r="S203" i="1" s="1"/>
  <c r="AG220" i="1"/>
  <c r="W220" i="1" s="1"/>
  <c r="X220" i="1"/>
  <c r="AA219" i="1"/>
  <c r="W219" i="1" s="1"/>
  <c r="AG200" i="1"/>
  <c r="U200" i="1" s="1"/>
  <c r="S200" i="1" s="1"/>
  <c r="X200" i="1"/>
  <c r="AA195" i="1"/>
  <c r="W195" i="1" s="1"/>
  <c r="T194" i="1"/>
  <c r="AG184" i="1"/>
  <c r="U184" i="1" s="1"/>
  <c r="S184" i="1" s="1"/>
  <c r="X184" i="1"/>
  <c r="AA179" i="1"/>
  <c r="W179" i="1" s="1"/>
  <c r="T178" i="1"/>
  <c r="AG169" i="1"/>
  <c r="U169" i="1" s="1"/>
  <c r="S169" i="1" s="1"/>
  <c r="AA248" i="1"/>
  <c r="W248" i="1" s="1"/>
  <c r="T167" i="1"/>
  <c r="AG246" i="1"/>
  <c r="AI246" i="1" s="1"/>
  <c r="T245" i="1"/>
  <c r="U245" i="1" s="1"/>
  <c r="S245" i="1" s="1"/>
  <c r="AA238" i="1"/>
  <c r="W238" i="1" s="1"/>
  <c r="AG234" i="1"/>
  <c r="AA232" i="1"/>
  <c r="AA231" i="1"/>
  <c r="W231" i="1" s="1"/>
  <c r="AG226" i="1"/>
  <c r="AG208" i="1"/>
  <c r="AI208" i="1" s="1"/>
  <c r="T207" i="1"/>
  <c r="U207" i="1" s="1"/>
  <c r="S207" i="1" s="1"/>
  <c r="AA151" i="1"/>
  <c r="AG147" i="1"/>
  <c r="AI59" i="1"/>
  <c r="AA136" i="1"/>
  <c r="X134" i="1"/>
  <c r="AA123" i="1"/>
  <c r="U121" i="1"/>
  <c r="S121" i="1" s="1"/>
  <c r="AA117" i="1"/>
  <c r="AG114" i="1"/>
  <c r="U114" i="1" s="1"/>
  <c r="S114" i="1" s="1"/>
  <c r="X114" i="1"/>
  <c r="AA113" i="1"/>
  <c r="W113" i="1" s="1"/>
  <c r="AG109" i="1"/>
  <c r="AA99" i="1"/>
  <c r="W99" i="1" s="1"/>
  <c r="AA97" i="1"/>
  <c r="AA96" i="1"/>
  <c r="W96" i="1" s="1"/>
  <c r="X92" i="1"/>
  <c r="AA89" i="1"/>
  <c r="W89" i="1" s="1"/>
  <c r="T84" i="1"/>
  <c r="X80" i="1"/>
  <c r="T76" i="1"/>
  <c r="AG71" i="1"/>
  <c r="AA69" i="1"/>
  <c r="AG63" i="1"/>
  <c r="AA56" i="1"/>
  <c r="X51" i="1"/>
  <c r="AG45" i="1"/>
  <c r="X45" i="1"/>
  <c r="AA42" i="1"/>
  <c r="X41" i="1"/>
  <c r="AI40" i="1"/>
  <c r="AA39" i="1"/>
  <c r="AG37" i="1"/>
  <c r="W37" i="1" s="1"/>
  <c r="AG34" i="1"/>
  <c r="AI34" i="1" s="1"/>
  <c r="X34" i="1"/>
  <c r="AA33" i="1"/>
  <c r="T32" i="1"/>
  <c r="U32" i="1" s="1"/>
  <c r="S32" i="1" s="1"/>
  <c r="AG29" i="1"/>
  <c r="U29" i="1" s="1"/>
  <c r="S29" i="1" s="1"/>
  <c r="X29" i="1"/>
  <c r="AG27" i="1"/>
  <c r="AI27" i="1" s="1"/>
  <c r="T21" i="1"/>
  <c r="U21" i="1" s="1"/>
  <c r="S21" i="1" s="1"/>
  <c r="X17" i="1"/>
  <c r="X109" i="1"/>
  <c r="T108" i="1"/>
  <c r="U108" i="1" s="1"/>
  <c r="S108" i="1" s="1"/>
  <c r="U105" i="1"/>
  <c r="S105" i="1" s="1"/>
  <c r="T88" i="1"/>
  <c r="U88" i="1" s="1"/>
  <c r="S88" i="1" s="1"/>
  <c r="W60" i="1"/>
  <c r="T59" i="1"/>
  <c r="U59" i="1" s="1"/>
  <c r="S59" i="1" s="1"/>
  <c r="T56" i="1"/>
  <c r="X37" i="1"/>
  <c r="T36" i="1"/>
  <c r="AA15" i="1"/>
  <c r="AA140" i="1"/>
  <c r="T134" i="1"/>
  <c r="AA131" i="1"/>
  <c r="AA122" i="1"/>
  <c r="AA114" i="1"/>
  <c r="AA112" i="1"/>
  <c r="W112" i="1" s="1"/>
  <c r="T92" i="1"/>
  <c r="AA81" i="1"/>
  <c r="T80" i="1"/>
  <c r="U80" i="1" s="1"/>
  <c r="S80" i="1" s="1"/>
  <c r="AA73" i="1"/>
  <c r="W73" i="1" s="1"/>
  <c r="X72" i="1"/>
  <c r="AA65" i="1"/>
  <c r="AG56" i="1"/>
  <c r="AA49" i="1"/>
  <c r="W49" i="1" s="1"/>
  <c r="AA44" i="1"/>
  <c r="AG42" i="1"/>
  <c r="X42" i="1"/>
  <c r="AA30" i="1"/>
  <c r="AA25" i="1"/>
  <c r="X21" i="1"/>
  <c r="AA18" i="1"/>
  <c r="T17" i="1"/>
  <c r="U25" i="1"/>
  <c r="U18" i="1"/>
  <c r="S18" i="1" s="1"/>
  <c r="W250" i="1"/>
  <c r="AI247" i="1"/>
  <c r="T180" i="1"/>
  <c r="AI199" i="1"/>
  <c r="AI194" i="1"/>
  <c r="T243" i="1"/>
  <c r="X243" i="1"/>
  <c r="T240" i="1"/>
  <c r="X240" i="1"/>
  <c r="AG240" i="1"/>
  <c r="W240" i="1" s="1"/>
  <c r="AI178" i="1"/>
  <c r="T227" i="1"/>
  <c r="X227" i="1"/>
  <c r="T218" i="1"/>
  <c r="X218" i="1"/>
  <c r="AG218" i="1"/>
  <c r="W218" i="1" s="1"/>
  <c r="AI168" i="1"/>
  <c r="AI163" i="1"/>
  <c r="AI155" i="1"/>
  <c r="AI154" i="1"/>
  <c r="AI147" i="1"/>
  <c r="AI146" i="1"/>
  <c r="U138" i="1"/>
  <c r="S138" i="1" s="1"/>
  <c r="AI138" i="1"/>
  <c r="AI131" i="1"/>
  <c r="AI101" i="1"/>
  <c r="U101" i="1"/>
  <c r="S101" i="1" s="1"/>
  <c r="AI35" i="1"/>
  <c r="T224" i="1"/>
  <c r="U219" i="1"/>
  <c r="S219" i="1" s="1"/>
  <c r="AI231" i="1"/>
  <c r="T181" i="1"/>
  <c r="X181" i="1"/>
  <c r="AG224" i="1"/>
  <c r="AI224" i="1" s="1"/>
  <c r="X219" i="1"/>
  <c r="T201" i="1"/>
  <c r="X201" i="1"/>
  <c r="AG196" i="1"/>
  <c r="X196" i="1"/>
  <c r="U195" i="1"/>
  <c r="S195" i="1" s="1"/>
  <c r="U194" i="1"/>
  <c r="S194" i="1" s="1"/>
  <c r="X191" i="1"/>
  <c r="T190" i="1"/>
  <c r="U190" i="1" s="1"/>
  <c r="S190" i="1" s="1"/>
  <c r="AA188" i="1"/>
  <c r="T185" i="1"/>
  <c r="U185" i="1" s="1"/>
  <c r="S185" i="1" s="1"/>
  <c r="X185" i="1"/>
  <c r="AG181" i="1"/>
  <c r="AG180" i="1"/>
  <c r="U179" i="1"/>
  <c r="S179" i="1" s="1"/>
  <c r="U178" i="1"/>
  <c r="S178" i="1" s="1"/>
  <c r="X175" i="1"/>
  <c r="T174" i="1"/>
  <c r="AA172" i="1"/>
  <c r="AG249" i="1"/>
  <c r="AI249" i="1" s="1"/>
  <c r="X249" i="1"/>
  <c r="U167" i="1"/>
  <c r="S167" i="1" s="1"/>
  <c r="AI198" i="1"/>
  <c r="AA161" i="1"/>
  <c r="T247" i="1"/>
  <c r="X247" i="1"/>
  <c r="T244" i="1"/>
  <c r="X244" i="1"/>
  <c r="AG244" i="1"/>
  <c r="AG243" i="1"/>
  <c r="X241" i="1"/>
  <c r="AI182" i="1"/>
  <c r="AA235" i="1"/>
  <c r="U233" i="1"/>
  <c r="S233" i="1" s="1"/>
  <c r="T231" i="1"/>
  <c r="X231" i="1"/>
  <c r="T228" i="1"/>
  <c r="X228" i="1"/>
  <c r="AG228" i="1"/>
  <c r="W228" i="1" s="1"/>
  <c r="AG227" i="1"/>
  <c r="W226" i="1"/>
  <c r="X225" i="1"/>
  <c r="AI167" i="1"/>
  <c r="AA213" i="1"/>
  <c r="U211" i="1"/>
  <c r="T209" i="1"/>
  <c r="U209" i="1" s="1"/>
  <c r="S209" i="1" s="1"/>
  <c r="X209" i="1"/>
  <c r="T152" i="1"/>
  <c r="X152" i="1"/>
  <c r="AG152" i="1"/>
  <c r="W152" i="1" s="1"/>
  <c r="W150" i="1"/>
  <c r="T144" i="1"/>
  <c r="X144" i="1"/>
  <c r="AG144" i="1"/>
  <c r="W142" i="1"/>
  <c r="T136" i="1"/>
  <c r="X136" i="1"/>
  <c r="AG136" i="1"/>
  <c r="T123" i="1"/>
  <c r="X123" i="1"/>
  <c r="AG123" i="1"/>
  <c r="W123" i="1" s="1"/>
  <c r="T197" i="1"/>
  <c r="U197" i="1" s="1"/>
  <c r="S197" i="1" s="1"/>
  <c r="X197" i="1"/>
  <c r="U191" i="1"/>
  <c r="S191" i="1" s="1"/>
  <c r="U174" i="1"/>
  <c r="T250" i="1"/>
  <c r="U250" i="1" s="1"/>
  <c r="S250" i="1" s="1"/>
  <c r="X250" i="1"/>
  <c r="X223" i="1"/>
  <c r="X206" i="1"/>
  <c r="T204" i="1"/>
  <c r="AG201" i="1"/>
  <c r="AI201" i="1" s="1"/>
  <c r="AI239" i="1"/>
  <c r="U192" i="1"/>
  <c r="S192" i="1" s="1"/>
  <c r="AI230" i="1"/>
  <c r="T189" i="1"/>
  <c r="X189" i="1"/>
  <c r="AI216" i="1"/>
  <c r="T173" i="1"/>
  <c r="X173" i="1"/>
  <c r="AI207" i="1"/>
  <c r="AI200" i="1"/>
  <c r="W165" i="1"/>
  <c r="T161" i="1"/>
  <c r="X161" i="1"/>
  <c r="U160" i="1"/>
  <c r="S160" i="1" s="1"/>
  <c r="T158" i="1"/>
  <c r="X158" i="1"/>
  <c r="AG158" i="1"/>
  <c r="AI158" i="1" s="1"/>
  <c r="AI191" i="1"/>
  <c r="AI186" i="1"/>
  <c r="W239" i="1"/>
  <c r="T235" i="1"/>
  <c r="X235" i="1"/>
  <c r="U234" i="1"/>
  <c r="S234" i="1" s="1"/>
  <c r="T232" i="1"/>
  <c r="X232" i="1"/>
  <c r="AG232" i="1"/>
  <c r="AI232" i="1" s="1"/>
  <c r="AI175" i="1"/>
  <c r="AI170" i="1"/>
  <c r="W217" i="1"/>
  <c r="T213" i="1"/>
  <c r="X213" i="1"/>
  <c r="T210" i="1"/>
  <c r="X210" i="1"/>
  <c r="AG210" i="1"/>
  <c r="AI210" i="1" s="1"/>
  <c r="AI160" i="1"/>
  <c r="U155" i="1"/>
  <c r="S155" i="1" s="1"/>
  <c r="U150" i="1"/>
  <c r="S150" i="1" s="1"/>
  <c r="AI150" i="1"/>
  <c r="U147" i="1"/>
  <c r="S147" i="1" s="1"/>
  <c r="U142" i="1"/>
  <c r="S142" i="1" s="1"/>
  <c r="AI142" i="1"/>
  <c r="S135" i="1"/>
  <c r="AI135" i="1"/>
  <c r="U134" i="1"/>
  <c r="S134" i="1" s="1"/>
  <c r="AI134" i="1"/>
  <c r="AI117" i="1"/>
  <c r="U117" i="1"/>
  <c r="S117" i="1" s="1"/>
  <c r="AI113" i="1"/>
  <c r="AG112" i="1"/>
  <c r="T112" i="1"/>
  <c r="X112" i="1"/>
  <c r="X113" i="1"/>
  <c r="AI215" i="1"/>
  <c r="U223" i="1"/>
  <c r="S223" i="1" s="1"/>
  <c r="T206" i="1"/>
  <c r="U206" i="1" s="1"/>
  <c r="S206" i="1" s="1"/>
  <c r="T222" i="1"/>
  <c r="U222" i="1" s="1"/>
  <c r="S222" i="1" s="1"/>
  <c r="T205" i="1"/>
  <c r="X205" i="1"/>
  <c r="X190" i="1"/>
  <c r="T188" i="1"/>
  <c r="AI223" i="1"/>
  <c r="W176" i="1"/>
  <c r="X174" i="1"/>
  <c r="S174" i="1"/>
  <c r="T172" i="1"/>
  <c r="AA224" i="1"/>
  <c r="W224" i="1" s="1"/>
  <c r="AI250" i="1"/>
  <c r="X222" i="1"/>
  <c r="T221" i="1"/>
  <c r="U221" i="1" s="1"/>
  <c r="S221" i="1" s="1"/>
  <c r="X221" i="1"/>
  <c r="AG205" i="1"/>
  <c r="AI205" i="1" s="1"/>
  <c r="AG204" i="1"/>
  <c r="AI204" i="1" s="1"/>
  <c r="U202" i="1"/>
  <c r="S202" i="1" s="1"/>
  <c r="X199" i="1"/>
  <c r="T198" i="1"/>
  <c r="U198" i="1" s="1"/>
  <c r="S198" i="1" s="1"/>
  <c r="AA196" i="1"/>
  <c r="W196" i="1" s="1"/>
  <c r="AI234" i="1"/>
  <c r="X194" i="1"/>
  <c r="T193" i="1"/>
  <c r="U193" i="1" s="1"/>
  <c r="S193" i="1" s="1"/>
  <c r="X193" i="1"/>
  <c r="AG189" i="1"/>
  <c r="AG188" i="1"/>
  <c r="X183" i="1"/>
  <c r="T182" i="1"/>
  <c r="U182" i="1" s="1"/>
  <c r="S182" i="1" s="1"/>
  <c r="AA180" i="1"/>
  <c r="W180" i="1" s="1"/>
  <c r="X178" i="1"/>
  <c r="T177" i="1"/>
  <c r="U177" i="1" s="1"/>
  <c r="X177" i="1"/>
  <c r="AG173" i="1"/>
  <c r="AG172" i="1"/>
  <c r="U170" i="1"/>
  <c r="S170" i="1" s="1"/>
  <c r="X168" i="1"/>
  <c r="T251" i="1"/>
  <c r="U251" i="1" s="1"/>
  <c r="S251" i="1" s="1"/>
  <c r="AA249" i="1"/>
  <c r="W249" i="1" s="1"/>
  <c r="AI202" i="1"/>
  <c r="X167" i="1"/>
  <c r="T166" i="1"/>
  <c r="U166" i="1" s="1"/>
  <c r="S166" i="1" s="1"/>
  <c r="X166" i="1"/>
  <c r="T165" i="1"/>
  <c r="U165" i="1" s="1"/>
  <c r="S165" i="1" s="1"/>
  <c r="X165" i="1"/>
  <c r="U164" i="1"/>
  <c r="S164" i="1" s="1"/>
  <c r="T162" i="1"/>
  <c r="X162" i="1"/>
  <c r="AG162" i="1"/>
  <c r="AI162" i="1" s="1"/>
  <c r="AG161" i="1"/>
  <c r="W160" i="1"/>
  <c r="X159" i="1"/>
  <c r="U247" i="1"/>
  <c r="S247" i="1" s="1"/>
  <c r="AI190" i="1"/>
  <c r="AA243" i="1"/>
  <c r="W243" i="1" s="1"/>
  <c r="T239" i="1"/>
  <c r="U239" i="1" s="1"/>
  <c r="S239" i="1" s="1"/>
  <c r="X239" i="1"/>
  <c r="U238" i="1"/>
  <c r="S238" i="1" s="1"/>
  <c r="T236" i="1"/>
  <c r="X236" i="1"/>
  <c r="AG236" i="1"/>
  <c r="AI236" i="1" s="1"/>
  <c r="AG235" i="1"/>
  <c r="W234" i="1"/>
  <c r="X233" i="1"/>
  <c r="U231" i="1"/>
  <c r="S231" i="1" s="1"/>
  <c r="AI174" i="1"/>
  <c r="AA227" i="1"/>
  <c r="U225" i="1"/>
  <c r="S225" i="1" s="1"/>
  <c r="T217" i="1"/>
  <c r="U217" i="1" s="1"/>
  <c r="S217" i="1" s="1"/>
  <c r="X217" i="1"/>
  <c r="U216" i="1"/>
  <c r="S216" i="1" s="1"/>
  <c r="T214" i="1"/>
  <c r="X214" i="1"/>
  <c r="AG214" i="1"/>
  <c r="W214" i="1" s="1"/>
  <c r="AG213" i="1"/>
  <c r="AI213" i="1" s="1"/>
  <c r="X211" i="1"/>
  <c r="S211" i="1"/>
  <c r="AI159" i="1"/>
  <c r="T156" i="1"/>
  <c r="X156" i="1"/>
  <c r="AG156" i="1"/>
  <c r="W154" i="1"/>
  <c r="T148" i="1"/>
  <c r="X148" i="1"/>
  <c r="AG148" i="1"/>
  <c r="W146" i="1"/>
  <c r="T140" i="1"/>
  <c r="X140" i="1"/>
  <c r="AG140" i="1"/>
  <c r="W139" i="1"/>
  <c r="W131" i="1"/>
  <c r="X126" i="1"/>
  <c r="AG126" i="1"/>
  <c r="T126" i="1"/>
  <c r="U113" i="1"/>
  <c r="S113" i="1" s="1"/>
  <c r="AG100" i="1"/>
  <c r="X100" i="1"/>
  <c r="T100" i="1"/>
  <c r="X101" i="1"/>
  <c r="AI89" i="1"/>
  <c r="U89" i="1"/>
  <c r="S89" i="1" s="1"/>
  <c r="T78" i="1"/>
  <c r="X78" i="1"/>
  <c r="AG78" i="1"/>
  <c r="AA77" i="1"/>
  <c r="W77" i="1" s="1"/>
  <c r="U77" i="1"/>
  <c r="S77" i="1" s="1"/>
  <c r="AI63" i="1"/>
  <c r="U63" i="1"/>
  <c r="S63" i="1" s="1"/>
  <c r="U133" i="1"/>
  <c r="S133" i="1" s="1"/>
  <c r="AG116" i="1"/>
  <c r="X116" i="1"/>
  <c r="T116" i="1"/>
  <c r="AI114" i="1"/>
  <c r="X110" i="1"/>
  <c r="AG110" i="1"/>
  <c r="T86" i="1"/>
  <c r="X86" i="1"/>
  <c r="AG86" i="1"/>
  <c r="W86" i="1" s="1"/>
  <c r="AA85" i="1"/>
  <c r="W85" i="1" s="1"/>
  <c r="U85" i="1"/>
  <c r="S85" i="1" s="1"/>
  <c r="AG157" i="1"/>
  <c r="AG153" i="1"/>
  <c r="AG149" i="1"/>
  <c r="AG145" i="1"/>
  <c r="W145" i="1" s="1"/>
  <c r="AG141" i="1"/>
  <c r="AG137" i="1"/>
  <c r="X133" i="1"/>
  <c r="T132" i="1"/>
  <c r="U132" i="1" s="1"/>
  <c r="S132" i="1" s="1"/>
  <c r="W130" i="1"/>
  <c r="T127" i="1"/>
  <c r="X127" i="1"/>
  <c r="AG127" i="1"/>
  <c r="T122" i="1"/>
  <c r="AG120" i="1"/>
  <c r="T120" i="1"/>
  <c r="X121" i="1"/>
  <c r="T119" i="1"/>
  <c r="X119" i="1"/>
  <c r="AG118" i="1"/>
  <c r="AI103" i="1"/>
  <c r="U98" i="1"/>
  <c r="S98" i="1" s="1"/>
  <c r="U97" i="1"/>
  <c r="S97" i="1" s="1"/>
  <c r="T54" i="1"/>
  <c r="X54" i="1"/>
  <c r="AG54" i="1"/>
  <c r="W54" i="1" s="1"/>
  <c r="X55" i="1"/>
  <c r="X157" i="1"/>
  <c r="X153" i="1"/>
  <c r="X149" i="1"/>
  <c r="X145" i="1"/>
  <c r="X141" i="1"/>
  <c r="X137" i="1"/>
  <c r="AI133" i="1"/>
  <c r="X132" i="1"/>
  <c r="T131" i="1"/>
  <c r="U131" i="1" s="1"/>
  <c r="S131" i="1" s="1"/>
  <c r="X131" i="1"/>
  <c r="AI128" i="1"/>
  <c r="U128" i="1"/>
  <c r="S128" i="1" s="1"/>
  <c r="AA126" i="1"/>
  <c r="AG122" i="1"/>
  <c r="W122" i="1" s="1"/>
  <c r="AG119" i="1"/>
  <c r="W119" i="1" s="1"/>
  <c r="T111" i="1"/>
  <c r="X111" i="1"/>
  <c r="AG111" i="1"/>
  <c r="T107" i="1"/>
  <c r="X107" i="1"/>
  <c r="AG107" i="1"/>
  <c r="X106" i="1"/>
  <c r="AG106" i="1"/>
  <c r="W106" i="1" s="1"/>
  <c r="U102" i="1"/>
  <c r="S102" i="1" s="1"/>
  <c r="AG62" i="1"/>
  <c r="W62" i="1" s="1"/>
  <c r="X62" i="1"/>
  <c r="T62" i="1"/>
  <c r="X63" i="1"/>
  <c r="AI99" i="1"/>
  <c r="AI97" i="1"/>
  <c r="X96" i="1"/>
  <c r="T95" i="1"/>
  <c r="X95" i="1"/>
  <c r="T94" i="1"/>
  <c r="W90" i="1"/>
  <c r="AI85" i="1"/>
  <c r="U84" i="1"/>
  <c r="S84" i="1" s="1"/>
  <c r="AI84" i="1"/>
  <c r="AI77" i="1"/>
  <c r="U76" i="1"/>
  <c r="S76" i="1" s="1"/>
  <c r="AI76" i="1"/>
  <c r="W65" i="1"/>
  <c r="T57" i="1"/>
  <c r="X57" i="1"/>
  <c r="AG57" i="1"/>
  <c r="AA118" i="1"/>
  <c r="T115" i="1"/>
  <c r="U115" i="1" s="1"/>
  <c r="S115" i="1" s="1"/>
  <c r="X115" i="1"/>
  <c r="X105" i="1"/>
  <c r="T104" i="1"/>
  <c r="U104" i="1" s="1"/>
  <c r="S104" i="1" s="1"/>
  <c r="AA102" i="1"/>
  <c r="W102" i="1" s="1"/>
  <c r="T99" i="1"/>
  <c r="U99" i="1" s="1"/>
  <c r="S99" i="1" s="1"/>
  <c r="X99" i="1"/>
  <c r="AG95" i="1"/>
  <c r="AG94" i="1"/>
  <c r="U92" i="1"/>
  <c r="S92" i="1" s="1"/>
  <c r="T90" i="1"/>
  <c r="U90" i="1" s="1"/>
  <c r="S90" i="1" s="1"/>
  <c r="X90" i="1"/>
  <c r="T87" i="1"/>
  <c r="X87" i="1"/>
  <c r="AG87" i="1"/>
  <c r="T82" i="1"/>
  <c r="X82" i="1"/>
  <c r="AG82" i="1"/>
  <c r="W81" i="1"/>
  <c r="W80" i="1"/>
  <c r="T74" i="1"/>
  <c r="X74" i="1"/>
  <c r="AG74" i="1"/>
  <c r="T69" i="1"/>
  <c r="X69" i="1"/>
  <c r="AG69" i="1"/>
  <c r="X68" i="1"/>
  <c r="AG68" i="1"/>
  <c r="AI65" i="1"/>
  <c r="AI53" i="1"/>
  <c r="AI50" i="1"/>
  <c r="AI45" i="1"/>
  <c r="U45" i="1"/>
  <c r="S45" i="1" s="1"/>
  <c r="U42" i="1"/>
  <c r="S42" i="1" s="1"/>
  <c r="X38" i="1"/>
  <c r="AG38" i="1"/>
  <c r="T38" i="1"/>
  <c r="T103" i="1"/>
  <c r="U103" i="1" s="1"/>
  <c r="S103" i="1" s="1"/>
  <c r="X103" i="1"/>
  <c r="AI98" i="1"/>
  <c r="U96" i="1"/>
  <c r="S96" i="1" s="1"/>
  <c r="T91" i="1"/>
  <c r="X91" i="1"/>
  <c r="AG91" i="1"/>
  <c r="AI90" i="1"/>
  <c r="S81" i="1"/>
  <c r="AI81" i="1"/>
  <c r="AI80" i="1"/>
  <c r="S73" i="1"/>
  <c r="AI73" i="1"/>
  <c r="AI64" i="1"/>
  <c r="U64" i="1"/>
  <c r="S64" i="1" s="1"/>
  <c r="U34" i="1"/>
  <c r="S34" i="1" s="1"/>
  <c r="AI32" i="1"/>
  <c r="T72" i="1"/>
  <c r="T58" i="1"/>
  <c r="X58" i="1"/>
  <c r="AG58" i="1"/>
  <c r="AI52" i="1"/>
  <c r="AI47" i="1"/>
  <c r="AG44" i="1"/>
  <c r="X44" i="1"/>
  <c r="T39" i="1"/>
  <c r="X39" i="1"/>
  <c r="AG39" i="1"/>
  <c r="W39" i="1" s="1"/>
  <c r="AG83" i="1"/>
  <c r="AG79" i="1"/>
  <c r="AG75" i="1"/>
  <c r="AG72" i="1"/>
  <c r="X67" i="1"/>
  <c r="T66" i="1"/>
  <c r="U66" i="1" s="1"/>
  <c r="S66" i="1" s="1"/>
  <c r="T61" i="1"/>
  <c r="X61" i="1"/>
  <c r="AI56" i="1"/>
  <c r="W53" i="1"/>
  <c r="AG48" i="1"/>
  <c r="X48" i="1"/>
  <c r="T48" i="1"/>
  <c r="X49" i="1"/>
  <c r="W35" i="1"/>
  <c r="T23" i="1"/>
  <c r="X23" i="1"/>
  <c r="AG23" i="1"/>
  <c r="W23" i="1" s="1"/>
  <c r="AA22" i="1"/>
  <c r="U22" i="1"/>
  <c r="S22" i="1" s="1"/>
  <c r="X83" i="1"/>
  <c r="X79" i="1"/>
  <c r="X75" i="1"/>
  <c r="X71" i="1"/>
  <c r="T70" i="1"/>
  <c r="U70" i="1" s="1"/>
  <c r="S70" i="1" s="1"/>
  <c r="AA68" i="1"/>
  <c r="AI67" i="1"/>
  <c r="X66" i="1"/>
  <c r="T65" i="1"/>
  <c r="U65" i="1" s="1"/>
  <c r="S65" i="1" s="1"/>
  <c r="X65" i="1"/>
  <c r="AG61" i="1"/>
  <c r="S60" i="1"/>
  <c r="AI60" i="1"/>
  <c r="X59" i="1"/>
  <c r="AA57" i="1"/>
  <c r="T53" i="1"/>
  <c r="U53" i="1" s="1"/>
  <c r="S53" i="1" s="1"/>
  <c r="X53" i="1"/>
  <c r="AA52" i="1"/>
  <c r="W52" i="1" s="1"/>
  <c r="U52" i="1"/>
  <c r="S52" i="1" s="1"/>
  <c r="U49" i="1"/>
  <c r="S49" i="1" s="1"/>
  <c r="AA47" i="1"/>
  <c r="W47" i="1" s="1"/>
  <c r="AI46" i="1"/>
  <c r="U46" i="1"/>
  <c r="S46" i="1" s="1"/>
  <c r="W45" i="1"/>
  <c r="T44" i="1"/>
  <c r="AA46" i="1"/>
  <c r="W46" i="1" s="1"/>
  <c r="T43" i="1"/>
  <c r="U43" i="1" s="1"/>
  <c r="S43" i="1" s="1"/>
  <c r="X43" i="1"/>
  <c r="U36" i="1"/>
  <c r="S36" i="1" s="1"/>
  <c r="T30" i="1"/>
  <c r="X30" i="1"/>
  <c r="AG30" i="1"/>
  <c r="W30" i="1" s="1"/>
  <c r="AI22" i="1"/>
  <c r="AI21" i="1"/>
  <c r="AA50" i="1"/>
  <c r="T47" i="1"/>
  <c r="U47" i="1" s="1"/>
  <c r="S47" i="1" s="1"/>
  <c r="X47" i="1"/>
  <c r="AI42" i="1"/>
  <c r="U40" i="1"/>
  <c r="S40" i="1" s="1"/>
  <c r="AA34" i="1"/>
  <c r="W34" i="1" s="1"/>
  <c r="AI28" i="1"/>
  <c r="U27" i="1"/>
  <c r="S27" i="1" s="1"/>
  <c r="T26" i="1"/>
  <c r="AG26" i="1"/>
  <c r="W25" i="1"/>
  <c r="T19" i="1"/>
  <c r="X19" i="1"/>
  <c r="AG19" i="1"/>
  <c r="W19" i="1" s="1"/>
  <c r="W17" i="1"/>
  <c r="T15" i="1"/>
  <c r="AG15" i="1"/>
  <c r="AA38" i="1"/>
  <c r="T35" i="1"/>
  <c r="U35" i="1" s="1"/>
  <c r="S35" i="1" s="1"/>
  <c r="X35" i="1"/>
  <c r="W32" i="1"/>
  <c r="S25" i="1"/>
  <c r="AI25" i="1"/>
  <c r="AI18" i="1"/>
  <c r="U17" i="1"/>
  <c r="S17" i="1" s="1"/>
  <c r="AI17" i="1"/>
  <c r="AG24" i="1"/>
  <c r="AG20" i="1"/>
  <c r="AG16" i="1"/>
  <c r="W16" i="1" s="1"/>
  <c r="X31" i="1"/>
  <c r="X27" i="1"/>
  <c r="X24" i="1"/>
  <c r="X20" i="1"/>
  <c r="X16" i="1"/>
  <c r="Y32" i="3"/>
  <c r="Y20" i="3"/>
  <c r="Y8" i="3"/>
  <c r="AD20" i="3"/>
  <c r="AD15" i="3"/>
  <c r="AE15" i="3"/>
  <c r="AC12" i="3"/>
  <c r="AE11" i="3"/>
  <c r="Y43" i="3"/>
  <c r="AD32" i="3"/>
  <c r="Y27" i="3"/>
  <c r="AD19" i="3"/>
  <c r="Y19" i="3"/>
  <c r="Y25" i="3"/>
  <c r="AD23" i="3"/>
  <c r="AD17" i="3"/>
  <c r="T12" i="3"/>
  <c r="AD9" i="3"/>
  <c r="AE31" i="3"/>
  <c r="AE27" i="3"/>
  <c r="AD21" i="3"/>
  <c r="AD16" i="3"/>
  <c r="T41" i="3"/>
  <c r="AD36" i="3"/>
  <c r="AD31" i="3"/>
  <c r="AC23" i="3"/>
  <c r="T37" i="3"/>
  <c r="T18" i="3"/>
  <c r="T7" i="3"/>
  <c r="AD11" i="3"/>
  <c r="AC43" i="3"/>
  <c r="AE9" i="3"/>
  <c r="Y11" i="3"/>
  <c r="AE23" i="3"/>
  <c r="Y37" i="3"/>
  <c r="AE19" i="3"/>
  <c r="Y18" i="3"/>
  <c r="Y41" i="3"/>
  <c r="Y36" i="3"/>
  <c r="AC31" i="3"/>
  <c r="Y22" i="3"/>
  <c r="AD28" i="3"/>
  <c r="Y34" i="3"/>
  <c r="AC9" i="3"/>
  <c r="AC7" i="3"/>
  <c r="AE17" i="3"/>
  <c r="T43" i="3"/>
  <c r="AD8" i="3"/>
  <c r="AE42" i="3"/>
  <c r="T21" i="3"/>
  <c r="AE34" i="3"/>
  <c r="T20" i="3"/>
  <c r="AE22" i="3"/>
  <c r="T10" i="3"/>
  <c r="AC24" i="3"/>
  <c r="AE18" i="3"/>
  <c r="T33" i="3"/>
  <c r="AC19" i="3"/>
  <c r="AE14" i="3"/>
  <c r="T26" i="3"/>
  <c r="AC25" i="3"/>
  <c r="AE10" i="3"/>
  <c r="T28" i="3"/>
  <c r="AC13" i="3"/>
  <c r="AE38" i="3"/>
  <c r="T40" i="3"/>
  <c r="AE30" i="3"/>
  <c r="T16" i="3"/>
  <c r="AE26" i="3"/>
  <c r="T15" i="3"/>
  <c r="AD34" i="3"/>
  <c r="AE33" i="3"/>
  <c r="T35" i="3"/>
  <c r="T9" i="3"/>
  <c r="AD14" i="3"/>
  <c r="AD10" i="3"/>
  <c r="AD42" i="3"/>
  <c r="AE41" i="3"/>
  <c r="T32" i="3"/>
  <c r="AD38" i="3"/>
  <c r="AE37" i="3"/>
  <c r="T31" i="3"/>
  <c r="AD30" i="3"/>
  <c r="AE29" i="3"/>
  <c r="T23" i="3"/>
  <c r="AD26" i="3"/>
  <c r="AE25" i="3"/>
  <c r="T27" i="3"/>
  <c r="AD22" i="3"/>
  <c r="AE21" i="3"/>
  <c r="AD18" i="3"/>
  <c r="AE40" i="3"/>
  <c r="AE36" i="3"/>
  <c r="AE32" i="3"/>
  <c r="AE28" i="3"/>
  <c r="AE24" i="3"/>
  <c r="AE20" i="3"/>
  <c r="AE16" i="3"/>
  <c r="AE12" i="3"/>
  <c r="AE8" i="3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U33" i="1" l="1"/>
  <c r="S33" i="1" s="1"/>
  <c r="W82" i="1"/>
  <c r="W156" i="1"/>
  <c r="U41" i="1"/>
  <c r="S41" i="1" s="1"/>
  <c r="U93" i="1"/>
  <c r="S93" i="1" s="1"/>
  <c r="U125" i="1"/>
  <c r="S125" i="1" s="1"/>
  <c r="W97" i="1"/>
  <c r="W135" i="1"/>
  <c r="W57" i="1"/>
  <c r="W78" i="1"/>
  <c r="W227" i="1"/>
  <c r="AI248" i="1"/>
  <c r="W18" i="1"/>
  <c r="U56" i="1"/>
  <c r="S56" i="1" s="1"/>
  <c r="W114" i="1"/>
  <c r="W117" i="1"/>
  <c r="W33" i="1"/>
  <c r="AI29" i="1"/>
  <c r="W68" i="1"/>
  <c r="W83" i="1"/>
  <c r="W212" i="1"/>
  <c r="U220" i="1"/>
  <c r="S220" i="1" s="1"/>
  <c r="AI151" i="1"/>
  <c r="U130" i="1"/>
  <c r="S130" i="1" s="1"/>
  <c r="AI183" i="1"/>
  <c r="U51" i="1"/>
  <c r="S51" i="1" s="1"/>
  <c r="U124" i="1"/>
  <c r="S124" i="1" s="1"/>
  <c r="W126" i="1"/>
  <c r="W151" i="1"/>
  <c r="U237" i="1"/>
  <c r="S237" i="1" s="1"/>
  <c r="W50" i="1"/>
  <c r="U31" i="1"/>
  <c r="S31" i="1" s="1"/>
  <c r="W22" i="1"/>
  <c r="W118" i="1"/>
  <c r="W100" i="1"/>
  <c r="AI218" i="1"/>
  <c r="AI143" i="1"/>
  <c r="W31" i="1"/>
  <c r="W237" i="1"/>
  <c r="W121" i="1"/>
  <c r="W93" i="1"/>
  <c r="W38" i="1"/>
  <c r="W124" i="1"/>
  <c r="W51" i="1"/>
  <c r="W105" i="1"/>
  <c r="W125" i="1"/>
  <c r="U129" i="1"/>
  <c r="S129" i="1" s="1"/>
  <c r="AI129" i="1"/>
  <c r="U208" i="1"/>
  <c r="S208" i="1" s="1"/>
  <c r="W169" i="1"/>
  <c r="W27" i="1"/>
  <c r="W230" i="1"/>
  <c r="AI214" i="1"/>
  <c r="W189" i="1"/>
  <c r="AI189" i="1"/>
  <c r="W181" i="1"/>
  <c r="AI181" i="1"/>
  <c r="U71" i="1"/>
  <c r="S71" i="1" s="1"/>
  <c r="AI71" i="1"/>
  <c r="U246" i="1"/>
  <c r="S246" i="1" s="1"/>
  <c r="W173" i="1"/>
  <c r="AI173" i="1"/>
  <c r="U37" i="1"/>
  <c r="S37" i="1" s="1"/>
  <c r="AI37" i="1"/>
  <c r="W42" i="1"/>
  <c r="W56" i="1"/>
  <c r="U109" i="1"/>
  <c r="S109" i="1" s="1"/>
  <c r="AI109" i="1"/>
  <c r="W71" i="1"/>
  <c r="W200" i="1"/>
  <c r="W129" i="1"/>
  <c r="W183" i="1"/>
  <c r="AI226" i="1"/>
  <c r="U226" i="1"/>
  <c r="S226" i="1" s="1"/>
  <c r="W208" i="1"/>
  <c r="W246" i="1"/>
  <c r="W109" i="1"/>
  <c r="U242" i="1"/>
  <c r="S242" i="1" s="1"/>
  <c r="AI242" i="1"/>
  <c r="W184" i="1"/>
  <c r="W168" i="1"/>
  <c r="AI15" i="1"/>
  <c r="U15" i="1"/>
  <c r="S15" i="1" s="1"/>
  <c r="U20" i="1"/>
  <c r="S20" i="1" s="1"/>
  <c r="AI20" i="1"/>
  <c r="AI26" i="1"/>
  <c r="U26" i="1"/>
  <c r="S26" i="1" s="1"/>
  <c r="W15" i="1"/>
  <c r="AI30" i="1"/>
  <c r="U30" i="1"/>
  <c r="S30" i="1" s="1"/>
  <c r="U48" i="1"/>
  <c r="S48" i="1" s="1"/>
  <c r="AI48" i="1"/>
  <c r="W48" i="1"/>
  <c r="AI72" i="1"/>
  <c r="U72" i="1"/>
  <c r="S72" i="1" s="1"/>
  <c r="U58" i="1"/>
  <c r="S58" i="1" s="1"/>
  <c r="AI58" i="1"/>
  <c r="U91" i="1"/>
  <c r="S91" i="1" s="1"/>
  <c r="AI91" i="1"/>
  <c r="W72" i="1"/>
  <c r="AI94" i="1"/>
  <c r="U94" i="1"/>
  <c r="S94" i="1" s="1"/>
  <c r="U111" i="1"/>
  <c r="S111" i="1" s="1"/>
  <c r="AI111" i="1"/>
  <c r="W111" i="1"/>
  <c r="AI122" i="1"/>
  <c r="U122" i="1"/>
  <c r="S122" i="1" s="1"/>
  <c r="W58" i="1"/>
  <c r="AI118" i="1"/>
  <c r="U118" i="1"/>
  <c r="S118" i="1" s="1"/>
  <c r="U149" i="1"/>
  <c r="S149" i="1" s="1"/>
  <c r="AI149" i="1"/>
  <c r="S110" i="1"/>
  <c r="AI110" i="1"/>
  <c r="U110" i="1"/>
  <c r="U100" i="1"/>
  <c r="S100" i="1" s="1"/>
  <c r="AI100" i="1"/>
  <c r="AI126" i="1"/>
  <c r="U126" i="1"/>
  <c r="S126" i="1" s="1"/>
  <c r="AI164" i="1"/>
  <c r="U213" i="1"/>
  <c r="S213" i="1" s="1"/>
  <c r="U236" i="1"/>
  <c r="S236" i="1" s="1"/>
  <c r="AI180" i="1"/>
  <c r="AI243" i="1"/>
  <c r="U204" i="1"/>
  <c r="S204" i="1" s="1"/>
  <c r="AI136" i="1"/>
  <c r="U136" i="1"/>
  <c r="S136" i="1" s="1"/>
  <c r="W213" i="1"/>
  <c r="U244" i="1"/>
  <c r="S244" i="1" s="1"/>
  <c r="AI188" i="1"/>
  <c r="W204" i="1"/>
  <c r="W20" i="1"/>
  <c r="W136" i="1"/>
  <c r="W149" i="1"/>
  <c r="AI23" i="1"/>
  <c r="U23" i="1"/>
  <c r="S23" i="1" s="1"/>
  <c r="U75" i="1"/>
  <c r="S75" i="1" s="1"/>
  <c r="AI75" i="1"/>
  <c r="AI38" i="1"/>
  <c r="U38" i="1"/>
  <c r="S38" i="1" s="1"/>
  <c r="AI69" i="1"/>
  <c r="U69" i="1"/>
  <c r="S69" i="1" s="1"/>
  <c r="U95" i="1"/>
  <c r="S95" i="1" s="1"/>
  <c r="AI95" i="1"/>
  <c r="AI57" i="1"/>
  <c r="U57" i="1"/>
  <c r="S57" i="1" s="1"/>
  <c r="W69" i="1"/>
  <c r="AI107" i="1"/>
  <c r="U107" i="1"/>
  <c r="S107" i="1" s="1"/>
  <c r="U54" i="1"/>
  <c r="S54" i="1" s="1"/>
  <c r="AI54" i="1"/>
  <c r="U120" i="1"/>
  <c r="S120" i="1" s="1"/>
  <c r="AI120" i="1"/>
  <c r="U137" i="1"/>
  <c r="S137" i="1" s="1"/>
  <c r="AI137" i="1"/>
  <c r="U153" i="1"/>
  <c r="S153" i="1" s="1"/>
  <c r="AI153" i="1"/>
  <c r="W91" i="1"/>
  <c r="AI140" i="1"/>
  <c r="U140" i="1"/>
  <c r="S140" i="1" s="1"/>
  <c r="U214" i="1"/>
  <c r="S214" i="1" s="1"/>
  <c r="AI165" i="1"/>
  <c r="AI227" i="1"/>
  <c r="U188" i="1"/>
  <c r="S188" i="1" s="1"/>
  <c r="U205" i="1"/>
  <c r="S205" i="1" s="1"/>
  <c r="AI244" i="1"/>
  <c r="W205" i="1"/>
  <c r="U210" i="1"/>
  <c r="S210" i="1" s="1"/>
  <c r="AI161" i="1"/>
  <c r="U232" i="1"/>
  <c r="S232" i="1" s="1"/>
  <c r="AI176" i="1"/>
  <c r="U158" i="1"/>
  <c r="S158" i="1" s="1"/>
  <c r="AI192" i="1"/>
  <c r="AI144" i="1"/>
  <c r="U144" i="1"/>
  <c r="S144" i="1" s="1"/>
  <c r="W235" i="1"/>
  <c r="AI203" i="1"/>
  <c r="U249" i="1"/>
  <c r="S249" i="1" s="1"/>
  <c r="W172" i="1"/>
  <c r="AI235" i="1"/>
  <c r="U196" i="1"/>
  <c r="S196" i="1" s="1"/>
  <c r="W236" i="1"/>
  <c r="W210" i="1"/>
  <c r="U24" i="1"/>
  <c r="S24" i="1" s="1"/>
  <c r="AI24" i="1"/>
  <c r="W24" i="1"/>
  <c r="U61" i="1"/>
  <c r="S61" i="1" s="1"/>
  <c r="AI61" i="1"/>
  <c r="W61" i="1"/>
  <c r="U79" i="1"/>
  <c r="AI79" i="1"/>
  <c r="W79" i="1"/>
  <c r="AI74" i="1"/>
  <c r="U74" i="1"/>
  <c r="S74" i="1" s="1"/>
  <c r="U87" i="1"/>
  <c r="S87" i="1" s="1"/>
  <c r="AI87" i="1"/>
  <c r="W87" i="1"/>
  <c r="W74" i="1"/>
  <c r="W75" i="1"/>
  <c r="W107" i="1"/>
  <c r="U141" i="1"/>
  <c r="S141" i="1" s="1"/>
  <c r="AI141" i="1"/>
  <c r="U157" i="1"/>
  <c r="S157" i="1" s="1"/>
  <c r="AI157" i="1"/>
  <c r="AI86" i="1"/>
  <c r="U86" i="1"/>
  <c r="S86" i="1" s="1"/>
  <c r="W94" i="1"/>
  <c r="U116" i="1"/>
  <c r="S116" i="1" s="1"/>
  <c r="AI116" i="1"/>
  <c r="W120" i="1"/>
  <c r="AI148" i="1"/>
  <c r="U148" i="1"/>
  <c r="S148" i="1" s="1"/>
  <c r="AI195" i="1"/>
  <c r="U161" i="1"/>
  <c r="S161" i="1" s="1"/>
  <c r="AI211" i="1"/>
  <c r="U172" i="1"/>
  <c r="S172" i="1" s="1"/>
  <c r="U189" i="1"/>
  <c r="S189" i="1" s="1"/>
  <c r="AI228" i="1"/>
  <c r="U112" i="1"/>
  <c r="S112" i="1" s="1"/>
  <c r="AI112" i="1"/>
  <c r="W148" i="1"/>
  <c r="AI240" i="1"/>
  <c r="U201" i="1"/>
  <c r="S201" i="1" s="1"/>
  <c r="W110" i="1"/>
  <c r="AI152" i="1"/>
  <c r="U152" i="1"/>
  <c r="S152" i="1" s="1"/>
  <c r="AI171" i="1"/>
  <c r="U227" i="1"/>
  <c r="S227" i="1" s="1"/>
  <c r="W161" i="1"/>
  <c r="AI219" i="1"/>
  <c r="U180" i="1"/>
  <c r="S180" i="1" s="1"/>
  <c r="W144" i="1"/>
  <c r="U218" i="1"/>
  <c r="S218" i="1" s="1"/>
  <c r="AI169" i="1"/>
  <c r="W232" i="1"/>
  <c r="W141" i="1"/>
  <c r="W158" i="1"/>
  <c r="W137" i="1"/>
  <c r="W244" i="1"/>
  <c r="U16" i="1"/>
  <c r="S16" i="1" s="1"/>
  <c r="AI16" i="1"/>
  <c r="AI19" i="1"/>
  <c r="U19" i="1"/>
  <c r="S19" i="1" s="1"/>
  <c r="W26" i="1"/>
  <c r="U83" i="1"/>
  <c r="S83" i="1" s="1"/>
  <c r="AI83" i="1"/>
  <c r="AI39" i="1"/>
  <c r="U39" i="1"/>
  <c r="S39" i="1" s="1"/>
  <c r="U44" i="1"/>
  <c r="S44" i="1" s="1"/>
  <c r="AI44" i="1"/>
  <c r="AI68" i="1"/>
  <c r="U68" i="1"/>
  <c r="S68" i="1" s="1"/>
  <c r="AI82" i="1"/>
  <c r="U82" i="1"/>
  <c r="S82" i="1" s="1"/>
  <c r="U62" i="1"/>
  <c r="S62" i="1" s="1"/>
  <c r="AI62" i="1"/>
  <c r="AI106" i="1"/>
  <c r="U106" i="1"/>
  <c r="S106" i="1" s="1"/>
  <c r="AI119" i="1"/>
  <c r="U119" i="1"/>
  <c r="S119" i="1" s="1"/>
  <c r="W95" i="1"/>
  <c r="U127" i="1"/>
  <c r="S127" i="1" s="1"/>
  <c r="AI127" i="1"/>
  <c r="W127" i="1"/>
  <c r="U145" i="1"/>
  <c r="S145" i="1" s="1"/>
  <c r="AI145" i="1"/>
  <c r="W44" i="1"/>
  <c r="AI78" i="1"/>
  <c r="U78" i="1"/>
  <c r="S78" i="1" s="1"/>
  <c r="AI156" i="1"/>
  <c r="U156" i="1"/>
  <c r="S156" i="1" s="1"/>
  <c r="AI179" i="1"/>
  <c r="U235" i="1"/>
  <c r="S235" i="1" s="1"/>
  <c r="U162" i="1"/>
  <c r="S162" i="1" s="1"/>
  <c r="AI196" i="1"/>
  <c r="U173" i="1"/>
  <c r="S173" i="1" s="1"/>
  <c r="AI212" i="1"/>
  <c r="W140" i="1"/>
  <c r="U123" i="1"/>
  <c r="S123" i="1" s="1"/>
  <c r="AI123" i="1"/>
  <c r="U228" i="1"/>
  <c r="S228" i="1" s="1"/>
  <c r="AI172" i="1"/>
  <c r="AI187" i="1"/>
  <c r="U243" i="1"/>
  <c r="S243" i="1" s="1"/>
  <c r="AI220" i="1"/>
  <c r="U181" i="1"/>
  <c r="S181" i="1" s="1"/>
  <c r="W188" i="1"/>
  <c r="AI251" i="1"/>
  <c r="U224" i="1"/>
  <c r="S224" i="1" s="1"/>
  <c r="W116" i="1"/>
  <c r="U240" i="1"/>
  <c r="S240" i="1" s="1"/>
  <c r="AI184" i="1"/>
  <c r="W153" i="1"/>
  <c r="W201" i="1"/>
  <c r="W157" i="1"/>
  <c r="W162" i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S39" i="3"/>
  <c r="R39" i="3"/>
  <c r="I3" i="10"/>
  <c r="I4" i="10"/>
  <c r="I12" i="10"/>
  <c r="I13" i="10"/>
  <c r="I15" i="10"/>
  <c r="I17" i="10"/>
  <c r="I19" i="10"/>
  <c r="I20" i="10"/>
  <c r="I21" i="10"/>
  <c r="I35" i="10"/>
  <c r="M39" i="3"/>
  <c r="U39" i="3"/>
  <c r="V39" i="3"/>
  <c r="W39" i="3"/>
  <c r="X39" i="3"/>
  <c r="I5" i="10" l="1"/>
  <c r="AD39" i="3"/>
  <c r="AE39" i="3"/>
  <c r="AC39" i="3"/>
  <c r="T39" i="3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Y39" i="3"/>
  <c r="K13" i="1"/>
  <c r="M13" i="1"/>
  <c r="N13" i="1" s="1"/>
  <c r="Y13" i="1"/>
  <c r="Z13" i="1"/>
  <c r="AB13" i="1"/>
  <c r="AC13" i="1"/>
  <c r="AD13" i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N13" i="3" s="1"/>
  <c r="G20" i="4"/>
  <c r="G21" i="4"/>
  <c r="N43" i="3" s="1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N28" i="3" s="1"/>
  <c r="G40" i="4"/>
  <c r="G41" i="4"/>
  <c r="G42" i="4"/>
  <c r="G43" i="4"/>
  <c r="N29" i="3" s="1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N33" i="3" s="1"/>
  <c r="G65" i="4"/>
  <c r="G66" i="4"/>
  <c r="G67" i="4"/>
  <c r="N24" i="3" s="1"/>
  <c r="G68" i="4"/>
  <c r="G69" i="4"/>
  <c r="G70" i="4"/>
  <c r="G71" i="4"/>
  <c r="G72" i="4"/>
  <c r="G73" i="4"/>
  <c r="G74" i="4"/>
  <c r="G75" i="4"/>
  <c r="G76" i="4"/>
  <c r="G77" i="4"/>
  <c r="N37" i="3" s="1"/>
  <c r="G78" i="4"/>
  <c r="G79" i="4"/>
  <c r="G80" i="4"/>
  <c r="G81" i="4"/>
  <c r="G82" i="4"/>
  <c r="G83" i="4"/>
  <c r="G84" i="4"/>
  <c r="G85" i="4"/>
  <c r="G86" i="4"/>
  <c r="N34" i="3" s="1"/>
  <c r="G87" i="4"/>
  <c r="N27" i="3" s="1"/>
  <c r="G88" i="4"/>
  <c r="G89" i="4"/>
  <c r="G90" i="4"/>
  <c r="G91" i="4"/>
  <c r="G92" i="4"/>
  <c r="G93" i="4"/>
  <c r="N15" i="3" s="1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N42" i="3" s="1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N11" i="3" s="1"/>
  <c r="G132" i="4"/>
  <c r="G133" i="4"/>
  <c r="G134" i="4"/>
  <c r="G135" i="4"/>
  <c r="G136" i="4"/>
  <c r="G137" i="4"/>
  <c r="G138" i="4"/>
  <c r="G139" i="4"/>
  <c r="G140" i="4"/>
  <c r="G141" i="4"/>
  <c r="G142" i="4"/>
  <c r="G143" i="4"/>
  <c r="N30" i="3" s="1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N35" i="3" s="1"/>
  <c r="G173" i="4"/>
  <c r="G174" i="4"/>
  <c r="G175" i="4"/>
  <c r="N8" i="3" s="1"/>
  <c r="G176" i="4"/>
  <c r="G177" i="4"/>
  <c r="G178" i="4"/>
  <c r="G179" i="4"/>
  <c r="N20" i="3" s="1"/>
  <c r="G180" i="4"/>
  <c r="G181" i="4"/>
  <c r="G182" i="4"/>
  <c r="G183" i="4"/>
  <c r="G184" i="4"/>
  <c r="G185" i="4"/>
  <c r="G186" i="4"/>
  <c r="G187" i="4"/>
  <c r="G188" i="4"/>
  <c r="G189" i="4"/>
  <c r="G190" i="4"/>
  <c r="N22" i="3" s="1"/>
  <c r="G191" i="4"/>
  <c r="G192" i="4"/>
  <c r="G193" i="4"/>
  <c r="G194" i="4"/>
  <c r="G195" i="4"/>
  <c r="G196" i="4"/>
  <c r="G197" i="4"/>
  <c r="N38" i="3" s="1"/>
  <c r="G198" i="4"/>
  <c r="G199" i="4"/>
  <c r="G200" i="4"/>
  <c r="G201" i="4"/>
  <c r="G202" i="4"/>
  <c r="G203" i="4"/>
  <c r="G204" i="4"/>
  <c r="G205" i="4"/>
  <c r="N31" i="3" s="1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N36" i="3" s="1"/>
  <c r="G233" i="4"/>
  <c r="G234" i="4"/>
  <c r="G235" i="4"/>
  <c r="G236" i="4"/>
  <c r="G237" i="4"/>
  <c r="G238" i="4"/>
  <c r="G239" i="4"/>
  <c r="G240" i="4"/>
  <c r="G241" i="4"/>
  <c r="G242" i="4"/>
  <c r="G243" i="4"/>
  <c r="N32" i="3" s="1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7" i="3" l="1"/>
  <c r="N21" i="3"/>
  <c r="N18" i="3"/>
  <c r="N7" i="3"/>
  <c r="N23" i="3"/>
  <c r="N16" i="3"/>
  <c r="N10" i="3"/>
  <c r="N9" i="3"/>
  <c r="N14" i="3"/>
  <c r="N19" i="3"/>
  <c r="N40" i="3"/>
  <c r="N41" i="3"/>
  <c r="N25" i="3"/>
  <c r="N12" i="3"/>
  <c r="N26" i="3"/>
  <c r="N39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H3" i="6"/>
  <c r="J3" i="6"/>
  <c r="G3" i="6"/>
  <c r="I4" i="6" l="1"/>
  <c r="F4" i="6"/>
  <c r="H4" i="6"/>
  <c r="J4" i="6"/>
  <c r="G4" i="6"/>
  <c r="B5" i="6"/>
  <c r="I5" i="6" l="1"/>
  <c r="F5" i="6"/>
  <c r="J5" i="6"/>
  <c r="H5" i="6"/>
  <c r="G5" i="6"/>
  <c r="B6" i="6"/>
  <c r="I6" i="6" l="1"/>
  <c r="F6" i="6"/>
  <c r="B7" i="6"/>
  <c r="G6" i="6"/>
  <c r="H6" i="6"/>
  <c r="J6" i="6"/>
  <c r="I7" i="6" l="1"/>
  <c r="F7" i="6"/>
  <c r="B8" i="6"/>
  <c r="H7" i="6"/>
  <c r="J7" i="6"/>
  <c r="G7" i="6"/>
  <c r="I8" i="6" l="1"/>
  <c r="F8" i="6"/>
  <c r="B9" i="6"/>
  <c r="H8" i="6"/>
  <c r="J8" i="6"/>
  <c r="G8" i="6"/>
  <c r="I9" i="6" l="1"/>
  <c r="F9" i="6"/>
  <c r="G9" i="6"/>
  <c r="J9" i="6"/>
  <c r="H9" i="6"/>
  <c r="B10" i="6"/>
  <c r="I10" i="6" l="1"/>
  <c r="F10" i="6"/>
  <c r="J10" i="6"/>
  <c r="H10" i="6"/>
  <c r="G10" i="6"/>
  <c r="B11" i="6"/>
  <c r="I11" i="6" l="1"/>
  <c r="F11" i="6"/>
  <c r="H11" i="6"/>
  <c r="G11" i="6"/>
  <c r="J11" i="6"/>
  <c r="B12" i="6"/>
  <c r="I12" i="6" l="1"/>
  <c r="F12" i="6"/>
  <c r="B13" i="6"/>
  <c r="G12" i="6"/>
  <c r="H12" i="6"/>
  <c r="J12" i="6"/>
  <c r="I13" i="6" l="1"/>
  <c r="F13" i="6"/>
  <c r="J13" i="6"/>
  <c r="H13" i="6"/>
  <c r="G13" i="6"/>
  <c r="B14" i="6"/>
  <c r="I14" i="6" l="1"/>
  <c r="F14" i="6"/>
  <c r="H14" i="6"/>
  <c r="J14" i="6"/>
  <c r="G14" i="6"/>
  <c r="B15" i="6"/>
  <c r="I15" i="6" l="1"/>
  <c r="F15" i="6"/>
  <c r="H15" i="6"/>
  <c r="J15" i="6"/>
  <c r="G15" i="6"/>
  <c r="B16" i="6"/>
  <c r="I16" i="6" l="1"/>
  <c r="F16" i="6"/>
  <c r="H16" i="6"/>
  <c r="J16" i="6"/>
  <c r="G16" i="6"/>
  <c r="B17" i="6"/>
  <c r="I17" i="6" l="1"/>
  <c r="F17" i="6"/>
  <c r="G17" i="6"/>
  <c r="H17" i="6"/>
  <c r="J17" i="6"/>
  <c r="B18" i="6"/>
  <c r="I18" i="6" l="1"/>
  <c r="F18" i="6"/>
  <c r="B19" i="6"/>
  <c r="J18" i="6"/>
  <c r="G18" i="6"/>
  <c r="H18" i="6"/>
  <c r="I19" i="6" l="1"/>
  <c r="F19" i="6"/>
  <c r="B20" i="6"/>
  <c r="J19" i="6"/>
  <c r="G19" i="6"/>
  <c r="H19" i="6"/>
  <c r="I20" i="6" l="1"/>
  <c r="F20" i="6"/>
  <c r="H20" i="6"/>
  <c r="J20" i="6"/>
  <c r="G20" i="6"/>
  <c r="B21" i="6"/>
  <c r="I21" i="6" l="1"/>
  <c r="F21" i="6"/>
  <c r="B22" i="6"/>
  <c r="G21" i="6"/>
  <c r="J21" i="6"/>
  <c r="H21" i="6"/>
  <c r="I22" i="6" l="1"/>
  <c r="F22" i="6"/>
  <c r="G22" i="6"/>
  <c r="H22" i="6"/>
  <c r="J22" i="6"/>
  <c r="B23" i="6"/>
  <c r="I23" i="6" l="1"/>
  <c r="F23" i="6"/>
  <c r="J23" i="6"/>
  <c r="G23" i="6"/>
  <c r="H23" i="6"/>
  <c r="B24" i="6"/>
  <c r="I24" i="6" l="1"/>
  <c r="F24" i="6"/>
  <c r="G24" i="6"/>
  <c r="H24" i="6"/>
  <c r="J24" i="6"/>
  <c r="B25" i="6"/>
  <c r="I25" i="6" l="1"/>
  <c r="F25" i="6"/>
  <c r="B26" i="6"/>
  <c r="J25" i="6"/>
  <c r="H25" i="6"/>
  <c r="G25" i="6"/>
  <c r="I26" i="6" l="1"/>
  <c r="F26" i="6"/>
  <c r="J26" i="6"/>
  <c r="G26" i="6"/>
  <c r="H26" i="6"/>
  <c r="B27" i="6"/>
  <c r="I27" i="6" l="1"/>
  <c r="F27" i="6"/>
  <c r="B28" i="6"/>
  <c r="G27" i="6"/>
  <c r="J27" i="6"/>
  <c r="H27" i="6"/>
  <c r="I28" i="6" l="1"/>
  <c r="F28" i="6"/>
  <c r="G28" i="6"/>
  <c r="J28" i="6"/>
  <c r="H28" i="6"/>
  <c r="B29" i="6"/>
  <c r="I29" i="6" l="1"/>
  <c r="F29" i="6"/>
  <c r="B30" i="6"/>
  <c r="G29" i="6"/>
  <c r="J29" i="6"/>
  <c r="H29" i="6"/>
  <c r="I30" i="6" l="1"/>
  <c r="F30" i="6"/>
  <c r="G30" i="6"/>
  <c r="H30" i="6"/>
  <c r="J30" i="6"/>
  <c r="B31" i="6"/>
  <c r="I31" i="6" l="1"/>
  <c r="F31" i="6"/>
  <c r="B32" i="6"/>
  <c r="G31" i="6"/>
  <c r="H31" i="6"/>
  <c r="J31" i="6"/>
  <c r="I32" i="6" l="1"/>
  <c r="F32" i="6"/>
  <c r="G32" i="6"/>
  <c r="H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G34" i="6"/>
  <c r="H34" i="6"/>
  <c r="I35" i="6" l="1"/>
  <c r="F35" i="6"/>
  <c r="B36" i="6"/>
  <c r="J35" i="6"/>
  <c r="G35" i="6"/>
  <c r="H35" i="6"/>
  <c r="I36" i="6" l="1"/>
  <c r="F36" i="6"/>
  <c r="H36" i="6"/>
  <c r="G36" i="6"/>
  <c r="J36" i="6"/>
  <c r="B37" i="6"/>
  <c r="I37" i="6" l="1"/>
  <c r="F37" i="6"/>
  <c r="B38" i="6"/>
  <c r="G37" i="6"/>
  <c r="J37" i="6"/>
  <c r="H37" i="6"/>
  <c r="I38" i="6" l="1"/>
  <c r="F38" i="6"/>
  <c r="B39" i="6"/>
  <c r="J38" i="6"/>
  <c r="G38" i="6"/>
  <c r="H38" i="6"/>
  <c r="I39" i="6" l="1"/>
  <c r="F39" i="6"/>
  <c r="J39" i="6"/>
  <c r="G39" i="6"/>
  <c r="H39" i="6"/>
  <c r="B40" i="6"/>
  <c r="I40" i="6" l="1"/>
  <c r="F40" i="6"/>
  <c r="H40" i="6"/>
  <c r="J40" i="6"/>
  <c r="G40" i="6"/>
  <c r="B41" i="6"/>
  <c r="I41" i="6" l="1"/>
  <c r="F41" i="6"/>
  <c r="B42" i="6"/>
  <c r="J41" i="6"/>
  <c r="H41" i="6"/>
  <c r="G41" i="6"/>
  <c r="I42" i="6" l="1"/>
  <c r="F42" i="6"/>
  <c r="J42" i="6"/>
  <c r="G42" i="6"/>
  <c r="H42" i="6"/>
  <c r="B43" i="6"/>
  <c r="I43" i="6" l="1"/>
  <c r="F43" i="6"/>
  <c r="G43" i="6"/>
  <c r="H43" i="6"/>
  <c r="J43" i="6"/>
  <c r="B44" i="6"/>
  <c r="I44" i="6" l="1"/>
  <c r="F44" i="6"/>
  <c r="G44" i="6"/>
  <c r="H44" i="6"/>
  <c r="J44" i="6"/>
  <c r="B45" i="6"/>
  <c r="I45" i="6" l="1"/>
  <c r="F45" i="6"/>
  <c r="B46" i="6"/>
  <c r="J45" i="6"/>
  <c r="H45" i="6"/>
  <c r="G45" i="6"/>
  <c r="I46" i="6" l="1"/>
  <c r="F46" i="6"/>
  <c r="B47" i="6"/>
  <c r="J46" i="6"/>
  <c r="G46" i="6"/>
  <c r="H46" i="6"/>
  <c r="I47" i="6" l="1"/>
  <c r="F47" i="6"/>
  <c r="H47" i="6"/>
  <c r="G47" i="6"/>
  <c r="J47" i="6"/>
  <c r="B48" i="6"/>
  <c r="I48" i="6" l="1"/>
  <c r="F48" i="6"/>
  <c r="G48" i="6"/>
  <c r="H48" i="6"/>
  <c r="J48" i="6"/>
  <c r="B49" i="6"/>
  <c r="I49" i="6" l="1"/>
  <c r="F49" i="6"/>
  <c r="B50" i="6"/>
  <c r="J49" i="6"/>
  <c r="H49" i="6"/>
  <c r="G49" i="6"/>
  <c r="I50" i="6" l="1"/>
  <c r="F50" i="6"/>
  <c r="B51" i="6"/>
  <c r="J50" i="6"/>
  <c r="G50" i="6"/>
  <c r="H50" i="6"/>
  <c r="I51" i="6" l="1"/>
  <c r="F51" i="6"/>
  <c r="B52" i="6"/>
  <c r="J51" i="6"/>
  <c r="G51" i="6"/>
  <c r="H51" i="6"/>
  <c r="I52" i="6" l="1"/>
  <c r="F52" i="6"/>
  <c r="J52" i="6"/>
  <c r="H52" i="6"/>
  <c r="G52" i="6"/>
  <c r="B53" i="6"/>
  <c r="I53" i="6" l="1"/>
  <c r="F53" i="6"/>
  <c r="J53" i="6"/>
  <c r="H53" i="6"/>
  <c r="G53" i="6"/>
  <c r="B54" i="6"/>
  <c r="I54" i="6" l="1"/>
  <c r="F54" i="6"/>
  <c r="J54" i="6"/>
  <c r="G54" i="6"/>
  <c r="H54" i="6"/>
  <c r="B55" i="6"/>
  <c r="I55" i="6" l="1"/>
  <c r="F55" i="6"/>
  <c r="B56" i="6"/>
  <c r="G55" i="6"/>
  <c r="H55" i="6"/>
  <c r="J55" i="6"/>
  <c r="I56" i="6" l="1"/>
  <c r="F56" i="6"/>
  <c r="G56" i="6"/>
  <c r="H56" i="6"/>
  <c r="J56" i="6"/>
  <c r="B57" i="6"/>
  <c r="I57" i="6" l="1"/>
  <c r="F57" i="6"/>
  <c r="B58" i="6"/>
  <c r="J57" i="6"/>
  <c r="G57" i="6"/>
  <c r="H57" i="6"/>
  <c r="I58" i="6" l="1"/>
  <c r="F58" i="6"/>
  <c r="H58" i="6"/>
  <c r="G58" i="6"/>
  <c r="J58" i="6"/>
  <c r="B59" i="6"/>
  <c r="I59" i="6" l="1"/>
  <c r="F59" i="6"/>
  <c r="B60" i="6"/>
  <c r="H59" i="6"/>
  <c r="G59" i="6"/>
  <c r="J59" i="6"/>
  <c r="I60" i="6" l="1"/>
  <c r="F60" i="6"/>
  <c r="B61" i="6"/>
  <c r="J60" i="6"/>
  <c r="H60" i="6"/>
  <c r="G60" i="6"/>
  <c r="I61" i="6" l="1"/>
  <c r="F61" i="6"/>
  <c r="J61" i="6"/>
  <c r="H61" i="6"/>
  <c r="G61" i="6"/>
  <c r="B62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G64" i="6"/>
  <c r="H64" i="6"/>
  <c r="J64" i="6"/>
  <c r="I65" i="6" l="1"/>
  <c r="F65" i="6"/>
  <c r="B66" i="6"/>
  <c r="J65" i="6"/>
  <c r="H65" i="6"/>
  <c r="G65" i="6"/>
  <c r="I66" i="6" l="1"/>
  <c r="F66" i="6"/>
  <c r="B67" i="6"/>
  <c r="H66" i="6"/>
  <c r="J66" i="6"/>
  <c r="G66" i="6"/>
  <c r="I67" i="6" l="1"/>
  <c r="F67" i="6"/>
  <c r="G67" i="6"/>
  <c r="H67" i="6"/>
  <c r="J67" i="6"/>
  <c r="B68" i="6"/>
  <c r="I68" i="6" l="1"/>
  <c r="F68" i="6"/>
  <c r="B69" i="6"/>
  <c r="G68" i="6"/>
  <c r="J68" i="6"/>
  <c r="H68" i="6"/>
  <c r="I69" i="6" l="1"/>
  <c r="F69" i="6"/>
  <c r="H69" i="6"/>
  <c r="J69" i="6"/>
  <c r="G69" i="6"/>
  <c r="B70" i="6"/>
  <c r="I70" i="6" l="1"/>
  <c r="F70" i="6"/>
  <c r="H70" i="6"/>
  <c r="G70" i="6"/>
  <c r="J70" i="6"/>
  <c r="B71" i="6"/>
  <c r="I71" i="6" l="1"/>
  <c r="F71" i="6"/>
  <c r="H71" i="6"/>
  <c r="G71" i="6"/>
  <c r="J71" i="6"/>
  <c r="B72" i="6"/>
  <c r="I72" i="6" l="1"/>
  <c r="F72" i="6"/>
  <c r="H72" i="6"/>
  <c r="J72" i="6"/>
  <c r="G72" i="6"/>
  <c r="B73" i="6"/>
  <c r="I73" i="6" l="1"/>
  <c r="F73" i="6"/>
  <c r="J73" i="6"/>
  <c r="G73" i="6"/>
  <c r="H73" i="6"/>
  <c r="B74" i="6"/>
  <c r="I74" i="6" l="1"/>
  <c r="F74" i="6"/>
  <c r="J74" i="6"/>
  <c r="H74" i="6"/>
  <c r="G74" i="6"/>
  <c r="B75" i="6"/>
  <c r="I75" i="6" l="1"/>
  <c r="F75" i="6"/>
  <c r="G75" i="6"/>
  <c r="H75" i="6"/>
  <c r="J75" i="6"/>
  <c r="B76" i="6"/>
  <c r="I76" i="6" l="1"/>
  <c r="F76" i="6"/>
  <c r="B77" i="6"/>
  <c r="J76" i="6"/>
  <c r="G76" i="6"/>
  <c r="H76" i="6"/>
  <c r="I77" i="6" l="1"/>
  <c r="F77" i="6"/>
  <c r="J77" i="6"/>
  <c r="H77" i="6"/>
  <c r="G77" i="6"/>
  <c r="B78" i="6"/>
  <c r="I78" i="6" l="1"/>
  <c r="F78" i="6"/>
  <c r="B79" i="6"/>
  <c r="J78" i="6"/>
  <c r="G78" i="6"/>
  <c r="H78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B82" i="6"/>
  <c r="J81" i="6"/>
  <c r="H81" i="6"/>
  <c r="G81" i="6"/>
  <c r="I82" i="6" l="1"/>
  <c r="F82" i="6"/>
  <c r="G82" i="6"/>
  <c r="H82" i="6"/>
  <c r="J82" i="6"/>
  <c r="B83" i="6"/>
  <c r="I83" i="6" l="1"/>
  <c r="F83" i="6"/>
  <c r="B84" i="6"/>
  <c r="J83" i="6"/>
  <c r="G83" i="6"/>
  <c r="H83" i="6"/>
  <c r="I84" i="6" l="1"/>
  <c r="F84" i="6"/>
  <c r="G84" i="6"/>
  <c r="H84" i="6"/>
  <c r="J84" i="6"/>
  <c r="B85" i="6"/>
  <c r="I85" i="6" l="1"/>
  <c r="F85" i="6"/>
  <c r="H85" i="6"/>
  <c r="G85" i="6"/>
  <c r="J85" i="6"/>
  <c r="B86" i="6"/>
  <c r="I86" i="6" l="1"/>
  <c r="F86" i="6"/>
  <c r="J86" i="6"/>
  <c r="H86" i="6"/>
  <c r="G86" i="6"/>
  <c r="B87" i="6"/>
  <c r="I87" i="6" l="1"/>
  <c r="F87" i="6"/>
  <c r="H87" i="6"/>
  <c r="G87" i="6"/>
  <c r="J87" i="6"/>
  <c r="B88" i="6"/>
  <c r="I88" i="6" l="1"/>
  <c r="F88" i="6"/>
  <c r="H88" i="6"/>
  <c r="G88" i="6"/>
  <c r="J88" i="6"/>
  <c r="B89" i="6"/>
  <c r="I89" i="6" l="1"/>
  <c r="F89" i="6"/>
  <c r="J89" i="6"/>
  <c r="G89" i="6"/>
  <c r="H89" i="6"/>
  <c r="B90" i="6"/>
  <c r="I90" i="6" l="1"/>
  <c r="F90" i="6"/>
  <c r="G90" i="6"/>
  <c r="H90" i="6"/>
  <c r="J90" i="6"/>
  <c r="B91" i="6"/>
  <c r="I91" i="6" l="1"/>
  <c r="F91" i="6"/>
  <c r="B92" i="6"/>
  <c r="H91" i="6"/>
  <c r="G91" i="6"/>
  <c r="J91" i="6"/>
  <c r="I92" i="6" l="1"/>
  <c r="F92" i="6"/>
  <c r="B93" i="6"/>
  <c r="J92" i="6"/>
  <c r="G92" i="6"/>
  <c r="H92" i="6"/>
  <c r="I93" i="6" l="1"/>
  <c r="F93" i="6"/>
  <c r="H93" i="6"/>
  <c r="G93" i="6"/>
  <c r="J93" i="6"/>
  <c r="B94" i="6"/>
  <c r="I94" i="6" l="1"/>
  <c r="F94" i="6"/>
  <c r="H94" i="6"/>
  <c r="J94" i="6"/>
  <c r="G94" i="6"/>
  <c r="B95" i="6"/>
  <c r="I95" i="6" l="1"/>
  <c r="F95" i="6"/>
  <c r="G95" i="6"/>
  <c r="J95" i="6"/>
  <c r="H95" i="6"/>
  <c r="B96" i="6"/>
  <c r="I96" i="6" l="1"/>
  <c r="F96" i="6"/>
  <c r="B97" i="6"/>
  <c r="H96" i="6"/>
  <c r="J96" i="6"/>
  <c r="G96" i="6"/>
  <c r="I97" i="6" l="1"/>
  <c r="F97" i="6"/>
  <c r="B98" i="6"/>
  <c r="J97" i="6"/>
  <c r="H97" i="6"/>
  <c r="G97" i="6"/>
  <c r="I98" i="6" l="1"/>
  <c r="F98" i="6"/>
  <c r="B100" i="6"/>
  <c r="B99" i="6"/>
  <c r="G98" i="6"/>
  <c r="H98" i="6"/>
  <c r="J98" i="6"/>
  <c r="I99" i="6" l="1"/>
  <c r="F99" i="6"/>
  <c r="I100" i="6"/>
  <c r="F100" i="6"/>
  <c r="G99" i="6"/>
  <c r="H99" i="6"/>
  <c r="J99" i="6"/>
  <c r="J100" i="6"/>
  <c r="G100" i="6"/>
  <c r="H10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<sst xmlns="http://schemas.openxmlformats.org/spreadsheetml/2006/main" count="2896" uniqueCount="1034">
  <si>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</si>
  <si>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</si>
  <si>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</si>
  <si>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</si>
  <si>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</si>
  <si>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</si>
  <si>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</si>
  <si>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</si>
  <si>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</si>
  <si>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</si>
  <si>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</si>
  <si>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</si>
  <si>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</si>
  <si>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</si>
  <si>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</si>
  <si>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</si>
  <si>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</si>
  <si>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</si>
  <si>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</si>
  <si>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</si>
  <si>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</si>
  <si>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</si>
  <si>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</si>
  <si>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</si>
  <si>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</si>
  <si>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</si>
  <si>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</si>
  <si>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</si>
  <si>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</si>
  <si>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</si>
  <si>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</si>
  <si>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</si>
  <si>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</si>
  <si>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</si>
  <si>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</si>
  <si>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</si>
  <si>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</si>
  <si>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</si>
  <si>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</si>
  <si>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</si>
  <si>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</si>
  <si>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</si>
  <si>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</si>
  <si>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</si>
  <si>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</si>
  <si>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</si>
  <si>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</si>
  <si>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</si>
  <si>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</si>
  <si>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</si>
  <si>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</si>
  <si>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</si>
  <si>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</si>
  <si>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</si>
  <si>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</si>
  <si>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</si>
  <si>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</si>
  <si>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</si>
  <si>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</si>
  <si>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</si>
  <si>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</si>
  <si>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</si>
  <si>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</si>
  <si>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</si>
  <si>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</si>
  <si>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</si>
  <si>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</si>
  <si>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</si>
  <si>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</si>
  <si>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</si>
  <si>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</si>
  <si>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</si>
  <si>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</si>
  <si>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</si>
  <si>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</si>
  <si>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</si>
  <si>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</si>
  <si>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</si>
  <si>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</si>
  <si>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</si>
  <si>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</si>
  <si>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</si>
  <si>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</si>
  <si>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</si>
  <si>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</si>
  <si>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</si>
  <si>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</si>
  <si>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</si>
  <si>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</si>
  <si>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</si>
  <si>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</si>
  <si>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</si>
  <si>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</si>
  <si>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</si>
  <si>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</si>
  <si>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</si>
  <si>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</si>
  <si>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</si>
  <si>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</si>
  <si>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</si>
  <si>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</si>
  <si>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</si>
  <si>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</si>
  <si>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</si>
  <si>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</si>
  <si>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</si>
  <si>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</si>
  <si>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</si>
  <si>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</si>
  <si>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</si>
  <si>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</si>
  <si>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</si>
  <si>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</si>
  <si>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</si>
  <si>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</si>
  <si>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</si>
  <si>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</si>
  <si>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</si>
  <si>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</si>
  <si>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</si>
  <si>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</si>
  <si>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</si>
  <si>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</si>
  <si>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</si>
  <si>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</si>
  <si>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</si>
  <si>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</si>
  <si>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</si>
  <si>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</si>
  <si>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</si>
  <si>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</si>
  <si>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</si>
  <si>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</si>
  <si>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</si>
  <si>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</si>
  <si>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</si>
  <si>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</si>
  <si>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</si>
  <si>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</si>
  <si>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</si>
  <si>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</si>
  <si>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</si>
  <si>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</si>
  <si>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</si>
  <si>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</si>
  <si>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</si>
  <si>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</si>
  <si>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</si>
  <si>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</si>
  <si>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</si>
  <si>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</si>
  <si>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</si>
  <si>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</si>
  <si>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</si>
  <si>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</si>
  <si>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</si>
  <si>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</si>
  <si>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</si>
  <si>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</si>
  <si>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</si>
  <si>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</si>
  <si>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</si>
  <si>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</si>
  <si>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</si>
  <si>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</si>
  <si>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</si>
  <si>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</si>
  <si>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</si>
  <si>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</si>
  <si>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</si>
  <si>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</si>
  <si>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</si>
  <si>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</si>
  <si>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</si>
  <si>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</si>
  <si>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</si>
  <si>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</si>
  <si>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</si>
  <si>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</si>
  <si>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</si>
  <si>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</si>
  <si>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</si>
  <si>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</si>
  <si>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</si>
  <si>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</si>
  <si>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</si>
  <si>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</si>
  <si>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</si>
  <si>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</si>
  <si>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</si>
  <si>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</si>
  <si>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</si>
  <si>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</si>
  <si>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</si>
  <si>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</si>
  <si>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</si>
  <si>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</si>
  <si>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</si>
  <si>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</si>
  <si>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</si>
  <si>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</si>
  <si>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</si>
  <si>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</si>
  <si>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</si>
  <si>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</si>
  <si>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</si>
  <si>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</si>
  <si>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</si>
  <si>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</si>
  <si>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HILLS</t>
  </si>
  <si>
    <t>DUSTIN</t>
  </si>
  <si>
    <t>rtdc.l.rtdc.4046:itc</t>
  </si>
  <si>
    <t>rtdc.l.rtdc.4045:itc</t>
  </si>
  <si>
    <t>Uncaught Wi-MAX GREP</t>
  </si>
  <si>
    <t>MCREYNOLDS</t>
  </si>
  <si>
    <t>KYLE</t>
  </si>
  <si>
    <t>204:451</t>
  </si>
  <si>
    <t>204:457</t>
  </si>
  <si>
    <t>204:460</t>
  </si>
  <si>
    <t>BROWN</t>
  </si>
  <si>
    <t>JACOB</t>
  </si>
  <si>
    <t>COMELLA</t>
  </si>
  <si>
    <t>JUSTIN</t>
  </si>
  <si>
    <t>204:453</t>
  </si>
  <si>
    <t>CHANDLER</t>
  </si>
  <si>
    <t>KELVIN</t>
  </si>
  <si>
    <t>204:446</t>
  </si>
  <si>
    <t>204:455</t>
  </si>
  <si>
    <t>204:139</t>
  </si>
  <si>
    <t>204:141</t>
  </si>
  <si>
    <t>204:440</t>
  </si>
  <si>
    <t>rtdc.l.rtdc.4012:itc</t>
  </si>
  <si>
    <t>204:156</t>
  </si>
  <si>
    <t>204:233310</t>
  </si>
  <si>
    <t>204:444</t>
  </si>
  <si>
    <t>204:147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</si>
  <si>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</si>
  <si>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</si>
  <si>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</si>
  <si>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</si>
  <si>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</si>
  <si>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</si>
  <si>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</si>
  <si>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</si>
  <si>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204:232994</t>
  </si>
  <si>
    <t>rtdc.l.rtdc.4050:itc</t>
  </si>
  <si>
    <t>rtdc.l.rtdc.4049:itc</t>
  </si>
  <si>
    <t>204:233314</t>
  </si>
  <si>
    <t>204:233297</t>
  </si>
  <si>
    <t>204:233289</t>
  </si>
  <si>
    <t>204:233304</t>
  </si>
  <si>
    <t>204:233299</t>
  </si>
  <si>
    <t>rtdc.l.rtdc.4013:itc</t>
  </si>
  <si>
    <t>242-23</t>
  </si>
  <si>
    <t>rtdc.l.rtdc.4014:itc</t>
  </si>
  <si>
    <t>60-23</t>
  </si>
  <si>
    <t>81-23</t>
  </si>
  <si>
    <t>309-23</t>
  </si>
  <si>
    <t>244-23</t>
  </si>
  <si>
    <t>311-23</t>
  </si>
  <si>
    <t>313-23</t>
  </si>
  <si>
    <t>204:233312</t>
  </si>
  <si>
    <t>204:232977</t>
  </si>
  <si>
    <t>204:467</t>
  </si>
  <si>
    <t>204:473</t>
  </si>
  <si>
    <t>204:233000</t>
  </si>
  <si>
    <t>204:232975</t>
  </si>
  <si>
    <t>300:58933</t>
  </si>
  <si>
    <t>300:58623</t>
  </si>
  <si>
    <t>Early arrival</t>
  </si>
  <si>
    <t>LOCKLEAR</t>
  </si>
  <si>
    <t>TRAVIS</t>
  </si>
  <si>
    <t>204:134</t>
  </si>
  <si>
    <t>204:233004</t>
  </si>
  <si>
    <t>204:442</t>
  </si>
  <si>
    <t>204:161</t>
  </si>
  <si>
    <t>rtdc.l.rtdc.4016:itc</t>
  </si>
  <si>
    <t>rtdc.l.rtdc.4015:itc</t>
  </si>
  <si>
    <t>clear-night</t>
  </si>
  <si>
    <t>Clear</t>
  </si>
  <si>
    <t>204:233295</t>
  </si>
  <si>
    <t>204:232991</t>
  </si>
  <si>
    <t>204:449</t>
  </si>
  <si>
    <t>204:232971</t>
  </si>
  <si>
    <t>204:477</t>
  </si>
  <si>
    <t>rtdc.l.rtdc.4020:itc</t>
  </si>
  <si>
    <t>rtdc.l.rtdc.4032:itc</t>
  </si>
  <si>
    <t>MOSES</t>
  </si>
  <si>
    <t>BRADLEY</t>
  </si>
  <si>
    <t>204:478</t>
  </si>
  <si>
    <t>204:232988</t>
  </si>
  <si>
    <t>204:232978</t>
  </si>
  <si>
    <t>204:469</t>
  </si>
  <si>
    <t>204:233303</t>
  </si>
  <si>
    <t>204:233291</t>
  </si>
  <si>
    <t>204:233006</t>
  </si>
  <si>
    <t>204:233329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</si>
  <si>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</si>
  <si>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</si>
  <si>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</si>
  <si>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</si>
  <si>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</si>
  <si>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</si>
  <si>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</si>
  <si>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</si>
  <si>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</si>
  <si>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</si>
  <si>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</si>
  <si>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</si>
  <si>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</si>
  <si>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</si>
  <si>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</si>
  <si>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</si>
  <si>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</si>
  <si>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</si>
  <si>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</si>
  <si>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</si>
  <si>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</si>
  <si>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</si>
  <si>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</si>
  <si>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</si>
  <si>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</si>
  <si>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</si>
  <si>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</si>
  <si>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</si>
  <si>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</si>
  <si>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</si>
  <si>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</si>
  <si>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</si>
  <si>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</si>
  <si>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</si>
  <si>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</si>
  <si>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</si>
  <si>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</si>
  <si>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</si>
  <si>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</si>
  <si>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</si>
  <si>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</si>
  <si>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</si>
  <si>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</si>
  <si>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</si>
  <si>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</si>
  <si>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</si>
  <si>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</si>
  <si>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</si>
  <si>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</si>
  <si>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</si>
  <si>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</si>
  <si>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</si>
  <si>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</si>
  <si>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</si>
  <si>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</si>
  <si>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</si>
  <si>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</si>
  <si>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</si>
  <si>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</si>
  <si>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</si>
  <si>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</si>
  <si>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</si>
  <si>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</si>
  <si>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</si>
  <si>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</si>
  <si>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</si>
  <si>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</si>
  <si>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</si>
  <si>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</si>
  <si>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</si>
  <si>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</si>
  <si>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</si>
  <si>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</si>
  <si>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</si>
  <si>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</si>
  <si>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</si>
  <si>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</si>
  <si>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</si>
  <si>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</si>
  <si>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</si>
  <si>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</si>
  <si>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</si>
  <si>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</si>
  <si>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</si>
  <si>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</si>
  <si>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</si>
  <si>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</si>
  <si>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</si>
  <si>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</si>
  <si>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</si>
  <si>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</si>
  <si>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</si>
  <si>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</si>
  <si>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</si>
  <si>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</si>
  <si>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</si>
  <si>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</si>
  <si>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</si>
  <si>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</si>
  <si>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</si>
  <si>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</si>
  <si>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</si>
  <si>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</si>
  <si>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</si>
  <si>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</si>
  <si>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</si>
  <si>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</si>
  <si>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</si>
  <si>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</si>
  <si>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</si>
  <si>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</si>
  <si>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</si>
  <si>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</si>
  <si>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</si>
  <si>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</si>
  <si>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</si>
  <si>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</si>
  <si>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</si>
  <si>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</si>
  <si>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</si>
  <si>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</si>
  <si>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</si>
  <si>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</si>
  <si>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</si>
  <si>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</si>
  <si>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</si>
  <si>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</si>
  <si>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</si>
  <si>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</si>
  <si>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</si>
  <si>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rtdc.l.rtdc.4052:itc</t>
  </si>
  <si>
    <t>rtdc.l.rtdc.4019:itc</t>
  </si>
  <si>
    <t>rtdc.l.rtdc.4004:itc</t>
  </si>
  <si>
    <t>rtdc.l.rtdc.4003:itc</t>
  </si>
  <si>
    <t>rtdc.l.rtdc.4053:itc</t>
  </si>
  <si>
    <t>JOHN</t>
  </si>
  <si>
    <t>204:232982</t>
  </si>
  <si>
    <t>204:143</t>
  </si>
  <si>
    <t>204:484</t>
  </si>
  <si>
    <t>204:233321</t>
  </si>
  <si>
    <t>300:23308</t>
  </si>
  <si>
    <t>300:58624</t>
  </si>
  <si>
    <t>rtdc.l.rtdc.4029:itc</t>
  </si>
  <si>
    <t>rtdc.l.rtdc.4031:itc</t>
  </si>
  <si>
    <t>DUNCAN</t>
  </si>
  <si>
    <t>SHEILA</t>
  </si>
  <si>
    <t>STAMBAUGH</t>
  </si>
  <si>
    <t>SANTIZO</t>
  </si>
  <si>
    <t>D. EDY</t>
  </si>
  <si>
    <t>MAELZER</t>
  </si>
  <si>
    <t>KURT</t>
  </si>
  <si>
    <t>DAVIS</t>
  </si>
  <si>
    <t>rtdc.l.rtdc.4010:itc</t>
  </si>
  <si>
    <t>rtdc.l.rtdc.4009:itc</t>
  </si>
  <si>
    <t>LALONDE</t>
  </si>
  <si>
    <t>GREGORY</t>
  </si>
  <si>
    <t>LEVIN</t>
  </si>
  <si>
    <t>SCOTT</t>
  </si>
  <si>
    <t>partly-cloudy-night</t>
  </si>
  <si>
    <t>Partly Cloudy</t>
  </si>
  <si>
    <t>partly-cloudy-day</t>
  </si>
  <si>
    <t>204:741</t>
  </si>
  <si>
    <t>204:160</t>
  </si>
  <si>
    <t>204:232993</t>
  </si>
  <si>
    <t>204:233013</t>
  </si>
  <si>
    <t>204:233300</t>
  </si>
  <si>
    <t>204:437</t>
  </si>
  <si>
    <t>204:232980</t>
  </si>
  <si>
    <t>204:232989</t>
  </si>
  <si>
    <t>300:58609</t>
  </si>
  <si>
    <t>300:58954</t>
  </si>
  <si>
    <t>300:58941</t>
  </si>
  <si>
    <t>204:233283</t>
  </si>
  <si>
    <t>204:232976</t>
  </si>
  <si>
    <t>204:471</t>
  </si>
  <si>
    <t>Onboard in-route failure</t>
  </si>
  <si>
    <t>SIGNAL</t>
  </si>
  <si>
    <t>Signal based authority (5)</t>
  </si>
  <si>
    <t>rtdc.l.rtdc.4051:itc</t>
  </si>
  <si>
    <t>rtdc.l.rtdc.4054:itc</t>
  </si>
  <si>
    <t>Y</t>
  </si>
  <si>
    <t>STARKS</t>
  </si>
  <si>
    <t>ANGELINA</t>
  </si>
  <si>
    <t>BONDS</t>
  </si>
  <si>
    <t>REYNALDO</t>
  </si>
  <si>
    <t>YORK</t>
  </si>
  <si>
    <t>EDGAR</t>
  </si>
  <si>
    <t>ROCHA</t>
  </si>
  <si>
    <t>YAOTL</t>
  </si>
  <si>
    <t>CLARK</t>
  </si>
  <si>
    <t>KATHLEEN</t>
  </si>
  <si>
    <t>LEVERE</t>
  </si>
  <si>
    <t>CRAIG</t>
  </si>
  <si>
    <t>STORY</t>
  </si>
  <si>
    <t>SAMANTHA</t>
  </si>
  <si>
    <t>204:233307</t>
  </si>
  <si>
    <t>204:233298</t>
  </si>
  <si>
    <t>204:233286</t>
  </si>
  <si>
    <t>204:232965</t>
  </si>
  <si>
    <t>204:475</t>
  </si>
  <si>
    <t>204:232981</t>
  </si>
  <si>
    <t>204:233326</t>
  </si>
  <si>
    <t>204:233308</t>
  </si>
  <si>
    <t>204:482</t>
  </si>
  <si>
    <t>204:232974</t>
  </si>
  <si>
    <t>204:233301</t>
  </si>
  <si>
    <t>204:233019</t>
  </si>
  <si>
    <t>204:128278</t>
  </si>
  <si>
    <t>204:232963</t>
  </si>
  <si>
    <t>204:163</t>
  </si>
  <si>
    <t>204:233336</t>
  </si>
  <si>
    <t>204:233030</t>
  </si>
  <si>
    <t>204:233344</t>
  </si>
  <si>
    <t>204:233268</t>
  </si>
  <si>
    <t>300:23302</t>
  </si>
  <si>
    <t>300:23310</t>
  </si>
  <si>
    <t>300:58598</t>
  </si>
  <si>
    <t>204:682</t>
  </si>
  <si>
    <t>204:659</t>
  </si>
  <si>
    <t>204:958</t>
  </si>
  <si>
    <t>300:58651</t>
  </si>
  <si>
    <t>204:661</t>
  </si>
  <si>
    <t>204:960</t>
  </si>
  <si>
    <t>300:58920</t>
  </si>
  <si>
    <t>204:964</t>
  </si>
  <si>
    <t>300:58935</t>
  </si>
  <si>
    <t>204:944</t>
  </si>
  <si>
    <t>204:664</t>
  </si>
  <si>
    <t>300:58608</t>
  </si>
  <si>
    <t>204:650</t>
  </si>
  <si>
    <t>204:937</t>
  </si>
  <si>
    <t>300:58950</t>
  </si>
  <si>
    <t>:.+((SYSTEM_STATE.+slice.+state.+changed )|(ment ac)|(multiple cpu faults)|(system.+state.+changed )|(\[timeout)|(PRM\|1\|D)|(kpr)|(kdp)|(\|lc)|(penalty))</t>
  </si>
  <si>
    <t>Wi-MAX data drop</t>
  </si>
  <si>
    <t>Form C</t>
  </si>
  <si>
    <t>204:136</t>
  </si>
  <si>
    <t>204:678</t>
  </si>
  <si>
    <t>204:967</t>
  </si>
  <si>
    <t>Did not release brakes for departure test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</si>
  <si>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</si>
  <si>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</si>
  <si>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</si>
  <si>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</si>
  <si>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</si>
  <si>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</si>
  <si>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</si>
  <si>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</si>
  <si>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</si>
  <si>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</si>
  <si>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</si>
  <si>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</si>
  <si>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</si>
  <si>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</si>
  <si>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</si>
  <si>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</si>
  <si>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</si>
  <si>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</si>
  <si>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</si>
  <si>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</si>
  <si>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</si>
  <si>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</si>
  <si>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</si>
  <si>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rtdc.l.rtdc.4064:itc</t>
  </si>
  <si>
    <t>72-07</t>
  </si>
  <si>
    <t>103-08</t>
  </si>
  <si>
    <t>52-08</t>
  </si>
  <si>
    <t>111-08</t>
  </si>
  <si>
    <t>rtdc.l.rtdc.4005:itc</t>
  </si>
  <si>
    <t>108-08</t>
  </si>
  <si>
    <t>rtdc.l.rtdc.4041:itc</t>
  </si>
  <si>
    <t>116-08</t>
  </si>
  <si>
    <t>rtdc.l.rtdc.4042:itc</t>
  </si>
  <si>
    <t>129-08</t>
  </si>
  <si>
    <t>131-08</t>
  </si>
  <si>
    <t>127-08</t>
  </si>
  <si>
    <t>124-08</t>
  </si>
  <si>
    <t>rtdc.l.rtdc.4006:itc</t>
  </si>
  <si>
    <t>135-08</t>
  </si>
  <si>
    <t>rtdc.l.rtdc.4039:itc</t>
  </si>
  <si>
    <t>810-08</t>
  </si>
  <si>
    <t>141-08</t>
  </si>
  <si>
    <t>136-08</t>
  </si>
  <si>
    <t>140-08</t>
  </si>
  <si>
    <t>rtdc.l.rtdc.4023:itc</t>
  </si>
  <si>
    <t>50-08</t>
  </si>
  <si>
    <t>173-08</t>
  </si>
  <si>
    <t>168-08</t>
  </si>
  <si>
    <t>176-08</t>
  </si>
  <si>
    <t>205-08</t>
  </si>
  <si>
    <t>203-08</t>
  </si>
  <si>
    <t>207-08</t>
  </si>
  <si>
    <t>213-08</t>
  </si>
  <si>
    <t>836-08</t>
  </si>
  <si>
    <t>216-08</t>
  </si>
  <si>
    <t>307-08</t>
  </si>
  <si>
    <t>231-08</t>
  </si>
  <si>
    <t>234-08</t>
  </si>
  <si>
    <t>240-08</t>
  </si>
  <si>
    <t>rtdc.l.rtdc.4063:itc</t>
  </si>
  <si>
    <t>73-07</t>
  </si>
  <si>
    <t>242-07</t>
  </si>
  <si>
    <t>244-07</t>
  </si>
  <si>
    <t>311-07</t>
  </si>
  <si>
    <t>313-07</t>
  </si>
  <si>
    <t>302-08</t>
  </si>
  <si>
    <t>YOUNG</t>
  </si>
  <si>
    <t>ELIZABETH</t>
  </si>
  <si>
    <t>101-08</t>
  </si>
  <si>
    <t>304-08</t>
  </si>
  <si>
    <t>ACKERMAN</t>
  </si>
  <si>
    <t>JARED</t>
  </si>
  <si>
    <t>306-08</t>
  </si>
  <si>
    <t>GEBRETEKLE</t>
  </si>
  <si>
    <t>DAGNEW</t>
  </si>
  <si>
    <t>COOLAHAN</t>
  </si>
  <si>
    <t>102-08</t>
  </si>
  <si>
    <t>308-08</t>
  </si>
  <si>
    <t>105-08</t>
  </si>
  <si>
    <t>51-08</t>
  </si>
  <si>
    <t>107-08</t>
  </si>
  <si>
    <t>310-08</t>
  </si>
  <si>
    <t>104-08</t>
  </si>
  <si>
    <t>109-08</t>
  </si>
  <si>
    <t>rtdc.l.rtdc.4040:itc</t>
  </si>
  <si>
    <t>901-08</t>
  </si>
  <si>
    <t>YANAI</t>
  </si>
  <si>
    <t>IAN</t>
  </si>
  <si>
    <t>800-08</t>
  </si>
  <si>
    <t>113-08</t>
  </si>
  <si>
    <t>106-08</t>
  </si>
  <si>
    <t>115-08</t>
  </si>
  <si>
    <t>801-08</t>
  </si>
  <si>
    <t>110-08</t>
  </si>
  <si>
    <t>117-08</t>
  </si>
  <si>
    <t>112-08</t>
  </si>
  <si>
    <t>119-08</t>
  </si>
  <si>
    <t>902-08</t>
  </si>
  <si>
    <t>LOZA</t>
  </si>
  <si>
    <t>FIDEL</t>
  </si>
  <si>
    <t>114-08</t>
  </si>
  <si>
    <t>802-08</t>
  </si>
  <si>
    <t>121-08</t>
  </si>
  <si>
    <t>803-08</t>
  </si>
  <si>
    <t>123-08</t>
  </si>
  <si>
    <t>805-08</t>
  </si>
  <si>
    <t>118-08</t>
  </si>
  <si>
    <t>804-08</t>
  </si>
  <si>
    <t>125-08</t>
  </si>
  <si>
    <t>120-08</t>
  </si>
  <si>
    <t>806-08</t>
  </si>
  <si>
    <t>122-08</t>
  </si>
  <si>
    <t>807-08</t>
  </si>
  <si>
    <t>809-08</t>
  </si>
  <si>
    <t>808-08</t>
  </si>
  <si>
    <t>133-08</t>
  </si>
  <si>
    <t>126-08</t>
  </si>
  <si>
    <t>128-08</t>
  </si>
  <si>
    <t>130-08</t>
  </si>
  <si>
    <t>137-08</t>
  </si>
  <si>
    <t>132-08</t>
  </si>
  <si>
    <t>811-08</t>
  </si>
  <si>
    <t>903-08</t>
  </si>
  <si>
    <t>139-08</t>
  </si>
  <si>
    <t>134-08</t>
  </si>
  <si>
    <t>812-08</t>
  </si>
  <si>
    <t>138-08</t>
  </si>
  <si>
    <t>143-08</t>
  </si>
  <si>
    <t>145-08</t>
  </si>
  <si>
    <t>813-08</t>
  </si>
  <si>
    <t>147-08</t>
  </si>
  <si>
    <t>142-08</t>
  </si>
  <si>
    <t>814-08</t>
  </si>
  <si>
    <t>149-08</t>
  </si>
  <si>
    <t>144-08</t>
  </si>
  <si>
    <t>151-08</t>
  </si>
  <si>
    <t>146-08</t>
  </si>
  <si>
    <t>153-08</t>
  </si>
  <si>
    <t>815-08</t>
  </si>
  <si>
    <t>148-08</t>
  </si>
  <si>
    <t>155-08</t>
  </si>
  <si>
    <t>BEAM</t>
  </si>
  <si>
    <t>ROSS</t>
  </si>
  <si>
    <t>150-08</t>
  </si>
  <si>
    <t>816-08</t>
  </si>
  <si>
    <t>152-08</t>
  </si>
  <si>
    <t>157-08</t>
  </si>
  <si>
    <t>159-08</t>
  </si>
  <si>
    <t>817-08</t>
  </si>
  <si>
    <t>DE LA ROSA</t>
  </si>
  <si>
    <t>ALEX</t>
  </si>
  <si>
    <t>161-08</t>
  </si>
  <si>
    <t>154-08</t>
  </si>
  <si>
    <t>156-08</t>
  </si>
  <si>
    <t>158-08</t>
  </si>
  <si>
    <t>163-08</t>
  </si>
  <si>
    <t>818-08</t>
  </si>
  <si>
    <t>165-08</t>
  </si>
  <si>
    <t>HELVIE</t>
  </si>
  <si>
    <t>ADAM</t>
  </si>
  <si>
    <t>rtdc.l.rtdc.4024:itc</t>
  </si>
  <si>
    <t>53-08</t>
  </si>
  <si>
    <t>160-08</t>
  </si>
  <si>
    <t>167-08</t>
  </si>
  <si>
    <t>819-08</t>
  </si>
  <si>
    <t>162-08</t>
  </si>
  <si>
    <t>169-08</t>
  </si>
  <si>
    <t>164-08</t>
  </si>
  <si>
    <t>171-08</t>
  </si>
  <si>
    <t>BRANNON</t>
  </si>
  <si>
    <t>JEFFREY</t>
  </si>
  <si>
    <t>166-08</t>
  </si>
  <si>
    <t>820-08</t>
  </si>
  <si>
    <t>STRICKLAND</t>
  </si>
  <si>
    <t>EVAN</t>
  </si>
  <si>
    <t>175-08</t>
  </si>
  <si>
    <t>170-08</t>
  </si>
  <si>
    <t>821-08</t>
  </si>
  <si>
    <t>MAYBERRY</t>
  </si>
  <si>
    <t>BILL</t>
  </si>
  <si>
    <t>177-08</t>
  </si>
  <si>
    <t>172-08</t>
  </si>
  <si>
    <t>174-08</t>
  </si>
  <si>
    <t>179-08</t>
  </si>
  <si>
    <t>822-08</t>
  </si>
  <si>
    <t>181-08</t>
  </si>
  <si>
    <t>183-08</t>
  </si>
  <si>
    <t>178-08</t>
  </si>
  <si>
    <t>185-08</t>
  </si>
  <si>
    <t>823-08</t>
  </si>
  <si>
    <t>BRUDER</t>
  </si>
  <si>
    <t>RICHARD</t>
  </si>
  <si>
    <t>180-08</t>
  </si>
  <si>
    <t>187-08</t>
  </si>
  <si>
    <t>824-08</t>
  </si>
  <si>
    <t>182-08</t>
  </si>
  <si>
    <t>189-08</t>
  </si>
  <si>
    <t>184-08</t>
  </si>
  <si>
    <t>186-08</t>
  </si>
  <si>
    <t>191-08</t>
  </si>
  <si>
    <t>193-08</t>
  </si>
  <si>
    <t>825-08</t>
  </si>
  <si>
    <t>188-08</t>
  </si>
  <si>
    <t>195-08</t>
  </si>
  <si>
    <t>904-08</t>
  </si>
  <si>
    <t>826-08</t>
  </si>
  <si>
    <t>190-08</t>
  </si>
  <si>
    <t>197-08</t>
  </si>
  <si>
    <t>827-08</t>
  </si>
  <si>
    <t>192-08</t>
  </si>
  <si>
    <t>199-08</t>
  </si>
  <si>
    <t>194-08</t>
  </si>
  <si>
    <t>828-08</t>
  </si>
  <si>
    <t>201-08</t>
  </si>
  <si>
    <t>829-08</t>
  </si>
  <si>
    <t>196-08</t>
  </si>
  <si>
    <t>198-08</t>
  </si>
  <si>
    <t>830-08</t>
  </si>
  <si>
    <t>831-08</t>
  </si>
  <si>
    <t>200-08</t>
  </si>
  <si>
    <t>202-08</t>
  </si>
  <si>
    <t>209-08</t>
  </si>
  <si>
    <t>SWANSON</t>
  </si>
  <si>
    <t>BRYCE</t>
  </si>
  <si>
    <t>832-08</t>
  </si>
  <si>
    <t>833-08</t>
  </si>
  <si>
    <t>211-08</t>
  </si>
  <si>
    <t>204-08</t>
  </si>
  <si>
    <t>71-08</t>
  </si>
  <si>
    <t>206-08</t>
  </si>
  <si>
    <t>834-08</t>
  </si>
  <si>
    <t>835-08</t>
  </si>
  <si>
    <t>208-08</t>
  </si>
  <si>
    <t>72-08</t>
  </si>
  <si>
    <t>NELSON</t>
  </si>
  <si>
    <t>ARIANE</t>
  </si>
  <si>
    <t>70-08</t>
  </si>
  <si>
    <t>215-08</t>
  </si>
  <si>
    <t>210-08</t>
  </si>
  <si>
    <t>837-08</t>
  </si>
  <si>
    <t>217-08</t>
  </si>
  <si>
    <t>73-08</t>
  </si>
  <si>
    <t>212-08</t>
  </si>
  <si>
    <t>219-08</t>
  </si>
  <si>
    <t>214-08</t>
  </si>
  <si>
    <t>838-08</t>
  </si>
  <si>
    <t>303-08</t>
  </si>
  <si>
    <t>839-08</t>
  </si>
  <si>
    <t>221-08</t>
  </si>
  <si>
    <t>JACKSON</t>
  </si>
  <si>
    <t>WILLIAM</t>
  </si>
  <si>
    <t>906-08</t>
  </si>
  <si>
    <t>218-08</t>
  </si>
  <si>
    <t>305-08</t>
  </si>
  <si>
    <t>841-08</t>
  </si>
  <si>
    <t>220-08</t>
  </si>
  <si>
    <t>223-08</t>
  </si>
  <si>
    <t>WHITED</t>
  </si>
  <si>
    <t>840-08</t>
  </si>
  <si>
    <t>222-08</t>
  </si>
  <si>
    <t>225-08</t>
  </si>
  <si>
    <t>80-08</t>
  </si>
  <si>
    <t>843-08</t>
  </si>
  <si>
    <t>224-08</t>
  </si>
  <si>
    <t>227-08</t>
  </si>
  <si>
    <t>81-08</t>
  </si>
  <si>
    <t>842-08</t>
  </si>
  <si>
    <t>229-08</t>
  </si>
  <si>
    <t>226-08</t>
  </si>
  <si>
    <t>228-08</t>
  </si>
  <si>
    <t>845-08</t>
  </si>
  <si>
    <t>844-08</t>
  </si>
  <si>
    <t>230-08</t>
  </si>
  <si>
    <t>233-08</t>
  </si>
  <si>
    <t>847-08</t>
  </si>
  <si>
    <t>232-08</t>
  </si>
  <si>
    <t>235-08</t>
  </si>
  <si>
    <t>908-08</t>
  </si>
  <si>
    <t>237-08</t>
  </si>
  <si>
    <t>236-08</t>
  </si>
  <si>
    <t>239-08</t>
  </si>
  <si>
    <t>238-08</t>
  </si>
  <si>
    <t>241-08</t>
  </si>
  <si>
    <t>243-08</t>
  </si>
  <si>
    <t>315-08</t>
  </si>
  <si>
    <t>242-08</t>
  </si>
  <si>
    <t>244-08</t>
  </si>
  <si>
    <t>309-08</t>
  </si>
  <si>
    <t>311-08</t>
  </si>
  <si>
    <t>313-08</t>
  </si>
  <si>
    <t>204:775</t>
  </si>
  <si>
    <t>204:728</t>
  </si>
  <si>
    <t>204:233366</t>
  </si>
  <si>
    <t>204:232726</t>
  </si>
  <si>
    <t>204:107</t>
  </si>
  <si>
    <t>204:232690</t>
  </si>
  <si>
    <t>204:1744</t>
  </si>
  <si>
    <t>204:464</t>
  </si>
  <si>
    <t>204:233306</t>
  </si>
  <si>
    <t>204:1156</t>
  </si>
  <si>
    <t>204:766</t>
  </si>
  <si>
    <t>204:233002</t>
  </si>
  <si>
    <t>204:180</t>
  </si>
  <si>
    <t>204:712</t>
  </si>
  <si>
    <t>204:232996</t>
  </si>
  <si>
    <t>204:398</t>
  </si>
  <si>
    <t>204:233311</t>
  </si>
  <si>
    <t>204:233274</t>
  </si>
  <si>
    <t>204:233328</t>
  </si>
  <si>
    <t>204:233015</t>
  </si>
  <si>
    <t>204:232984</t>
  </si>
  <si>
    <t>204:178</t>
  </si>
  <si>
    <t>204:233293</t>
  </si>
  <si>
    <t>204:233202</t>
  </si>
  <si>
    <t>204:232883</t>
  </si>
  <si>
    <t>204:1160</t>
  </si>
  <si>
    <t>204:233288</t>
  </si>
  <si>
    <t>204:431</t>
  </si>
  <si>
    <t>204:96</t>
  </si>
  <si>
    <t>204:189</t>
  </si>
  <si>
    <t>204:427</t>
  </si>
  <si>
    <t>204:1162</t>
  </si>
  <si>
    <t>204:406</t>
  </si>
  <si>
    <t>204:127863</t>
  </si>
  <si>
    <t>204:231880</t>
  </si>
  <si>
    <t>204:233351</t>
  </si>
  <si>
    <t>204:233374</t>
  </si>
  <si>
    <t>204:233066</t>
  </si>
  <si>
    <t>204:119</t>
  </si>
  <si>
    <t>204:233345</t>
  </si>
  <si>
    <t>204:233009</t>
  </si>
  <si>
    <t>204:125</t>
  </si>
  <si>
    <t>204:233347</t>
  </si>
  <si>
    <t>204:181</t>
  </si>
  <si>
    <t>204:165</t>
  </si>
  <si>
    <t>204:438</t>
  </si>
  <si>
    <t>204:233339</t>
  </si>
  <si>
    <t>204:233057</t>
  </si>
  <si>
    <t>204:258</t>
  </si>
  <si>
    <t>204:233316</t>
  </si>
  <si>
    <t>204:170</t>
  </si>
  <si>
    <t>204:486</t>
  </si>
  <si>
    <t>204:127869</t>
  </si>
  <si>
    <t>204:1168</t>
  </si>
  <si>
    <t>204:233385</t>
  </si>
  <si>
    <t>204:548</t>
  </si>
  <si>
    <t>204:192</t>
  </si>
  <si>
    <t>204:232251</t>
  </si>
  <si>
    <t>204:489</t>
  </si>
  <si>
    <t>204:233281</t>
  </si>
  <si>
    <t>204:232964</t>
  </si>
  <si>
    <t>204:502</t>
  </si>
  <si>
    <t>204:233284</t>
  </si>
  <si>
    <t>204:977</t>
  </si>
  <si>
    <t>204:1201</t>
  </si>
  <si>
    <t>204:233327</t>
  </si>
  <si>
    <t>204:169</t>
  </si>
  <si>
    <t>204:233270</t>
  </si>
  <si>
    <t>204:232962</t>
  </si>
  <si>
    <t>204:233451</t>
  </si>
  <si>
    <t>204:233076</t>
  </si>
  <si>
    <t>204:916</t>
  </si>
  <si>
    <t>204:233363</t>
  </si>
  <si>
    <t>204:233240</t>
  </si>
  <si>
    <t>204:232915</t>
  </si>
  <si>
    <t>204:31832</t>
  </si>
  <si>
    <t>204:232969</t>
  </si>
  <si>
    <t>204:1904</t>
  </si>
  <si>
    <t>204:689</t>
  </si>
  <si>
    <t>300:19387</t>
  </si>
  <si>
    <t>300:23125</t>
  </si>
  <si>
    <t>300:23102</t>
  </si>
  <si>
    <t>300:23355</t>
  </si>
  <si>
    <t>204:1522</t>
  </si>
  <si>
    <t>204:1945</t>
  </si>
  <si>
    <t>300:23830</t>
  </si>
  <si>
    <t>204:330</t>
  </si>
  <si>
    <t>300:23299</t>
  </si>
  <si>
    <t>300:19425</t>
  </si>
  <si>
    <t>204:988</t>
  </si>
  <si>
    <t>204:1824</t>
  </si>
  <si>
    <t>300:23312</t>
  </si>
  <si>
    <t>300:21896</t>
  </si>
  <si>
    <t>204:100</t>
  </si>
  <si>
    <t>204:1311</t>
  </si>
  <si>
    <t>300:23304</t>
  </si>
  <si>
    <t>204:3370</t>
  </si>
  <si>
    <t>300:5502</t>
  </si>
  <si>
    <t>204:3685</t>
  </si>
  <si>
    <t>300:5370</t>
  </si>
  <si>
    <t>300:26633</t>
  </si>
  <si>
    <t>204:3347</t>
  </si>
  <si>
    <t>300:5121</t>
  </si>
  <si>
    <t>204:3034</t>
  </si>
  <si>
    <t>300:5217</t>
  </si>
  <si>
    <t>204:1002</t>
  </si>
  <si>
    <t>204:397</t>
  </si>
  <si>
    <t>300:24260</t>
  </si>
  <si>
    <t>300:21833</t>
  </si>
  <si>
    <t>300:21835</t>
  </si>
  <si>
    <t>204:1465</t>
  </si>
  <si>
    <t>300:58596</t>
  </si>
  <si>
    <t>300:14138</t>
  </si>
  <si>
    <t>300:5386</t>
  </si>
  <si>
    <t>300:26618</t>
  </si>
  <si>
    <t>300:23470</t>
  </si>
  <si>
    <t>204:124</t>
  </si>
  <si>
    <t>204:1253</t>
  </si>
  <si>
    <t>300:58922</t>
  </si>
  <si>
    <t>300:14431</t>
  </si>
  <si>
    <t>300:58939</t>
  </si>
  <si>
    <t>300:5698</t>
  </si>
  <si>
    <t>204:128018</t>
  </si>
  <si>
    <t>204:1105</t>
  </si>
  <si>
    <t>204:128025</t>
  </si>
  <si>
    <t>204:10107</t>
  </si>
  <si>
    <t>300:23013</t>
  </si>
  <si>
    <t>300:58619</t>
  </si>
  <si>
    <t>204:1035</t>
  </si>
  <si>
    <t>300:58621</t>
  </si>
  <si>
    <t>204:747</t>
  </si>
  <si>
    <t>204:978</t>
  </si>
  <si>
    <t>300:58615</t>
  </si>
  <si>
    <t>204:680</t>
  </si>
  <si>
    <t>204:1027</t>
  </si>
  <si>
    <t>300:58952</t>
  </si>
  <si>
    <t>204:761</t>
  </si>
  <si>
    <t>204:974</t>
  </si>
  <si>
    <t>300:58958</t>
  </si>
  <si>
    <t>300:58640</t>
  </si>
  <si>
    <t>204:699</t>
  </si>
  <si>
    <t>204:1025</t>
  </si>
  <si>
    <t>204:10339</t>
  </si>
  <si>
    <t>204:1261</t>
  </si>
  <si>
    <t>204:1422</t>
  </si>
  <si>
    <t>204:128268</t>
  </si>
  <si>
    <t>204:824</t>
  </si>
  <si>
    <t>204:981</t>
  </si>
  <si>
    <t>300:58643</t>
  </si>
  <si>
    <t>204:1146</t>
  </si>
  <si>
    <t>204:685</t>
  </si>
  <si>
    <t>300:58948</t>
  </si>
  <si>
    <t>300:58645</t>
  </si>
  <si>
    <t>204:957</t>
  </si>
  <si>
    <t>300:58626</t>
  </si>
  <si>
    <t>204:701</t>
  </si>
  <si>
    <t>204:955</t>
  </si>
  <si>
    <t>204:675</t>
  </si>
  <si>
    <t>204:694</t>
  </si>
  <si>
    <t>300:58901</t>
  </si>
  <si>
    <t>204:971</t>
  </si>
  <si>
    <t>204:687</t>
  </si>
  <si>
    <t>300:58583</t>
  </si>
  <si>
    <t>204:972</t>
  </si>
  <si>
    <t>300:58914</t>
  </si>
  <si>
    <t>300:58594</t>
  </si>
  <si>
    <t>300:58890</t>
  </si>
  <si>
    <t>300:58944</t>
  </si>
  <si>
    <t>300:58579</t>
  </si>
  <si>
    <t>204:663</t>
  </si>
  <si>
    <t>300:58896</t>
  </si>
  <si>
    <t>300:58894</t>
  </si>
  <si>
    <t>300:29825</t>
  </si>
  <si>
    <t>300:58937</t>
  </si>
  <si>
    <t>300:23266</t>
  </si>
  <si>
    <t>204:1116</t>
  </si>
  <si>
    <t>300:24254</t>
  </si>
  <si>
    <t>300:23143</t>
  </si>
  <si>
    <t>204:654</t>
  </si>
  <si>
    <t>300:58577</t>
  </si>
  <si>
    <t>300:21401</t>
  </si>
  <si>
    <t>300:58581</t>
  </si>
  <si>
    <t>300:28763</t>
  </si>
  <si>
    <t>start /low /b %USERPROFILE%\Documents\GitHub\eaglep3\Utilities\DownloadLogsFromS3.py --loco 4030 --day 2017-03-08</t>
  </si>
  <si>
    <t>start /low /b %USERPROFILE%\Documents\GitHub\eaglep3\Utilities\DownloadLogsFromS3.py --loco 4004 --day 2017-03-08</t>
  </si>
  <si>
    <t>start /low /b %USERPROFILE%\Documents\GitHub\eaglep3\Utilities\DownloadLogsFromS3.py --loco 4041 --day 1969-12-31</t>
  </si>
  <si>
    <t>start /low /b %USERPROFILE%\Documents\GitHub\eaglep3\Utilities\DownloadLogsFromS3.py --loco 4052 --day 2017-03-08</t>
  </si>
  <si>
    <t>start /low /b %USERPROFILE%\Documents\GitHub\eaglep3\Utilities\DownloadLogsFromS3.py --loco 4053 --day 2017-03-08</t>
  </si>
  <si>
    <t>start /low /b %USERPROFILE%\Documents\GitHub\eaglep3\Utilities\DownloadLogsFromS3.py --loco 4009 --day 2017-03-08</t>
  </si>
  <si>
    <t>start /low /b %USERPROFILE%\Documents\GitHub\eaglep3\Utilities\DownloadLogsFromS3.py --loco 4046 --day 2017-03-08</t>
  </si>
  <si>
    <t>start /low /b %USERPROFILE%\Documents\GitHub\eaglep3\Utilities\DownloadLogsFromS3.py --loco 4006 --day 2017-03-08</t>
  </si>
  <si>
    <t>start /low /b %USERPROFILE%\Documents\GitHub\eaglep3\Utilities\DownloadLogsFromS3.py --loco 4041 --day 2017-03-08</t>
  </si>
  <si>
    <t>start /low /b %USERPROFILE%\Documents\GitHub\eaglep3\Utilities\DownloadLogsFromS3.py --loco 4042 --day 2017-03-08</t>
  </si>
  <si>
    <t>start /low /b %USERPROFILE%\Documents\GitHub\eaglep3\Utilities\DownloadLogsFromS3.py --loco 4010 --day 2017-03-09</t>
  </si>
  <si>
    <t>start /low /b %USERPROFILE%\Documents\GitHub\eaglep3\Utilities\DownloadLogsFromS3.py --loco 4029 --day 2017-03-09</t>
  </si>
  <si>
    <t>start /low /b %USERPROFILE%\Documents\GitHub\eaglep3\Utilities\DownloadLogsFromS3.py --loco 4042 --day 2017-03-09</t>
  </si>
  <si>
    <t>start /low /b %USERPROFILE%\Documents\GitHub\eaglep3\Utilities\DownloadLogsFromS3.py --loco 4005 --day 2017-03-08</t>
  </si>
  <si>
    <t>start /low /b %USERPROFILE%\Documents\GitHub\eaglep3\Utilities\DownloadLogsFromS3.py --loco 4003 --day 2017-03-08</t>
  </si>
  <si>
    <t>start /low /b %USERPROFILE%\Documents\GitHub\eaglep3\Utilities\DownloadLogsFromS3.py --loco 4015 --day 2017-03-08</t>
  </si>
  <si>
    <t>start /low /b %USERPROFILE%\Documents\GitHub\eaglep3\Utilities\DownloadLogsFromS3.py --loco 4013 --day 2017-03-09</t>
  </si>
  <si>
    <t>start /low /b %USERPROFILE%\Documents\GitHub\eaglep3\Utilities\DownloadLogsFromS3.py --loco 4016 --day 2017-03-09</t>
  </si>
  <si>
    <t>start /low /b %USERPROFILE%\Documents\GitHub\eaglep3\Utilities\DownloadLogsFromS3.py --loco 4009 --day 2017-03-09</t>
  </si>
  <si>
    <t>start /low /b %USERPROFILE%\Documents\GitHub\eaglep3\Utilities\DownloadLogsFromS3.py --loco 4039 --day 2017-03-08</t>
  </si>
  <si>
    <t>start /low /b %USERPROFILE%\Documents\GitHub\eaglep3\Utilities\DownloadLogsFromS3.py --loco 4039 --day 2017-03-09</t>
  </si>
  <si>
    <t>Selected wrong track (chose Main 1, train was on Main 2)</t>
  </si>
  <si>
    <t>http://stevetu21.github.io/eaglep3/load_kml.html?kml=http://rtdc.gmaps-snips.s3.amazonaws.com/f297f543-d931-46f6-a0d4-fc6995f056b5.kml</t>
  </si>
  <si>
    <t>Went active past Westminster 2S</t>
  </si>
  <si>
    <t>Unhealthy @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</si>
</sst>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workbookViewId="0">
      <selection activeCell="AF47" sqref="AF47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4.8554687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710937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42802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42802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COUNTIFS($N$13:$N$9334,"&gt;0",$AG$13:$AG$9334,I1)</f>
        <v>139</v>
      </c>
      <c r="K5" s="40"/>
      <c r="L5" s="40"/>
      <c r="M5" s="41">
        <f>AVERAGEIFS($N$13:$N$9334,$AG$13:$AG$9334,I1)</f>
        <v>39.765587530187631</v>
      </c>
      <c r="N5" s="39">
        <f t="array" ref="N5">MIN(IF($AG$13:$AG$9334=I1,IF(ISNUMBER($N$13:$N$9334),IF($N$13:$N$9334&gt;0,$N$13:$N$9334))))</f>
        <v>34.916666666977108</v>
      </c>
      <c r="O5" s="3">
        <f t="array" ref="O5">MAX(IF($AG$13:$AG$9334=I1,IF(ISNUMBER($N$13:$N$9334),IF($N$13:$N$9334&gt;0,$N$13:$N$9334))))</f>
        <v>49.69999999855645</v>
      </c>
      <c r="P5" s="2"/>
      <c r="R5" s="74" t="s">
        <v>17</v>
      </c>
      <c r="S5" s="50">
        <f>COUNTIFS($N$13:$N$9334,"&gt;0",$AG$13:$AG$9334,R1)</f>
        <v>46</v>
      </c>
      <c r="T5" s="40"/>
      <c r="U5" s="177"/>
      <c r="V5" s="174">
        <f>AVERAGEIFS($N$13:$N$9334,$AG$13:$AG$9334,R1)</f>
        <v>14.660869564901551</v>
      </c>
      <c r="W5" s="175">
        <f t="array" ref="W5">MIN(IF($AG$13:$AG$9334=R1,IF(ISNUMBER($N$13:$N$9334),IF($N$13:$N$9334&gt;0,$N$13:$N$9334))))</f>
        <v>12.049999998416752</v>
      </c>
      <c r="X5" s="176">
        <f t="array" ref="X5">MAX(IF($AG$13:$AG$9334=R1,IF(ISNUMBER($N$13:$N$9334),IF($N$13:$N$9334&gt;0,$N$13:$N$9334))))</f>
        <v>17.916666663950309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COUNT($O$13:$O$112)</f>
        <v>0</v>
      </c>
      <c r="K6" s="40"/>
      <c r="L6" s="40"/>
      <c r="M6" s="41">
        <f>IFERROR(AVERAGE($O$13:$O$112),0)</f>
        <v>0</v>
      </c>
      <c r="N6" s="39">
        <f>MIN($O$13:$O$112)</f>
        <v>0</v>
      </c>
      <c r="O6" s="3">
        <f>MAX($O$13:$O$112)</f>
        <v>0</v>
      </c>
      <c r="P6" s="2"/>
      <c r="R6" s="75" t="s">
        <v>43</v>
      </c>
      <c r="S6" s="50">
        <f>COUNT($O$13:$O$112)</f>
        <v>0</v>
      </c>
      <c r="T6" s="40"/>
      <c r="U6" s="177"/>
      <c r="V6" s="174">
        <f>IFERROR(AVERAGE($O$13:$O$112),0)</f>
        <v>0</v>
      </c>
      <c r="W6" s="175">
        <f>MIN($O$13:$O$112)</f>
        <v>0</v>
      </c>
      <c r="X6" s="176">
        <f>MAX($O$13:$O$112)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COUNTIFS($P$13:$P$9334,"&gt;0",$AG$13:$AG$9334,I1)</f>
        <v>5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COUNTIFS($P$13:$P$9334,"&gt;0",$AG$13:$AG$9334,R1)</f>
        <v>1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139</v>
      </c>
      <c r="K8" s="40"/>
      <c r="L8" s="40"/>
      <c r="M8" s="41">
        <f>M5</f>
        <v>39.765587530187631</v>
      </c>
      <c r="N8" s="39">
        <f>N5</f>
        <v>34.916666666977108</v>
      </c>
      <c r="O8" s="3">
        <f>O5</f>
        <v>49.69999999855645</v>
      </c>
      <c r="P8" s="2"/>
      <c r="R8" s="74" t="s">
        <v>16</v>
      </c>
      <c r="S8" s="50">
        <f>S5</f>
        <v>46</v>
      </c>
      <c r="T8" s="40"/>
      <c r="U8" s="177"/>
      <c r="V8" s="174">
        <f>V5</f>
        <v>14.660869564901551</v>
      </c>
      <c r="W8" s="175">
        <f>W5</f>
        <v>12.049999998416752</v>
      </c>
      <c r="X8" s="176">
        <f>X5</f>
        <v>17.916666663950309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0.96527777777777779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0.97872340425531912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0" t="str">
        <f>"Eagle P3 System Performance - "&amp;TEXT(Variables!A2,"yyyy-mm-dd")</f>
        <v>Eagle P3 System Performance - 2017-03-08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S11" s="64">
        <f>AVERAGE(S13:S82)</f>
        <v>0.98550724637681164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205</v>
      </c>
      <c r="AN12" s="47" t="s">
        <v>213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604</v>
      </c>
      <c r="B13" s="7">
        <v>4046</v>
      </c>
      <c r="C13" s="21" t="s">
        <v>242</v>
      </c>
      <c r="D13" s="21" t="s">
        <v>826</v>
      </c>
      <c r="E13" s="13">
        <v>42802.13076388889</v>
      </c>
      <c r="F13" s="13">
        <v>42802.135671296295</v>
      </c>
      <c r="G13" s="7">
        <v>1</v>
      </c>
      <c r="H13" s="21" t="s">
        <v>462</v>
      </c>
      <c r="I13" s="13">
        <v>42802.164895833332</v>
      </c>
      <c r="J13" s="7">
        <v>0</v>
      </c>
      <c r="K13" s="98" t="str">
        <f t="shared" ref="K13:K76" si="0">IF(ISEVEN(B13),(B13-1)&amp;"/"&amp;B13,B13&amp;"/"&amp;(B13+1))</f>
        <v>4045/4046</v>
      </c>
      <c r="L13" s="21" t="str">
        <f>VLOOKUP(A13,'Trips&amp;Operators'!$C$1:$G$99999,5,FALSE)</f>
        <v>YOUNG ELIZABETH</v>
      </c>
      <c r="M13" s="6">
        <f t="shared" ref="M13:M76" si="1">I13-F13</f>
        <v>2.9224537036498077E-2</v>
      </c>
      <c r="N13" s="7">
        <f>24*60*SUM($M13:$M13)</f>
        <v>42.083333332557231</v>
      </c>
      <c r="O13" s="7"/>
      <c r="P13" s="7"/>
      <c r="Q13" s="22"/>
      <c r="R13" s="22"/>
      <c r="S13" s="31">
        <f t="shared" ref="S13:S44" si="2">SUM(U13:U13)/IF(AG13="EC",12,1)</f>
        <v>1</v>
      </c>
      <c r="T13" s="46" t="str">
        <f t="shared" ref="T13:T76" si="3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-08T02:08:18-0700',mode:absolute,to:'2017-03-08T04:57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" s="187" t="str">
        <f t="shared" ref="W13:W76" si="5">IF(AA13&lt;IF(AG13="EC",23,5.65),"Y","N")</f>
        <v>N</v>
      </c>
      <c r="X13" s="187" t="e">
        <f t="shared" ref="X13:X24" si="6">VALUE(LEFT(AD13,4))-VALUE(LEFT(AD12,4))</f>
        <v>#VALUE!</v>
      </c>
      <c r="Y13" s="62">
        <f t="shared" ref="Y13:Y76" si="7">RIGHT(D13,LEN(D13)-4)/10000</f>
        <v>7.7499999999999999E-2</v>
      </c>
      <c r="Z13" s="62">
        <f t="shared" ref="Z13:Z76" si="8">RIGHT(H13,LEN(H13)-4)/10000</f>
        <v>23.33</v>
      </c>
      <c r="AA13" s="62">
        <f t="shared" ref="AA13:AA76" si="9">ABS(Z13-Y13)</f>
        <v>23.252499999999998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0">IF(LEN(A13)=6,"0"&amp;A13,A13)</f>
        <v>0101-08</v>
      </c>
      <c r="AE13" s="85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"%USERPROFILE%\AppData\Local\Temp\OnboardLogs"\RTDC4046\2017-03-08 --exclude "*" --recursive --include "*20170308*" &amp; "%USERPROFILE%\Documents\GitHub\mrs-test-scripts\Headless Mode &amp; Sideloading\WalkAndUnGZ.bat" "%USERPROFILE%\AppData\Local\Temp\OnboardLogs"\RTDC4046\2017-03-08 &amp; aws s3 cp s3://rtdc.mdm.uploadarchive.raw/RTDC4046/ "%USERPROFILE%\AppData\Local\Temp\OnboardLogs"\RTDC4046\2017-03-09 --exclude "*" --recursive --include "*20170309*" &amp; "%USERPROFILE%\Documents\GitHub\mrs-test-scripts\Headless Mode &amp; Sideloading\WalkAndUnGZ.bat" "%USERPROFILE%\AppData\Local\Temp\OnboardLogs"\RTDC4046\2017-03-09</v>
      </c>
      <c r="AF13" s="82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/stypes="app*4046*20170308*" /stext=" 10:.+((SYSTEM_STATE.+slice.+state.+changed )|(ment ac)|(multiple cpu faults)|(system.+state.+changed )|(\[timeout)|(PRM\|1\|D)|(kpr)|(kdp)|(\|lc)|(penalty))"</v>
      </c>
      <c r="AG13" s="1" t="str">
        <f t="shared" ref="AG13:AG76" si="13">IFERROR(IF(VALUE(LEFT(AD13,2))&lt;=2,"EC",IF(OR(VALUE(LEFT(AD13,2))=8,VALUE(LEFT(AD13,2))=18),"NW","Other")),"Other")</f>
        <v>EC</v>
      </c>
      <c r="AH13" s="86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4046 --swversion DE.1.0.9.0 --startMP 204:775 --initTime 2017-03-08T03:08:18 --startdatetime 2017-03-08T03:15:22 --delay 1 --endMP 204:233300 --enddatetime 2017-03-08T03:57:27 --enforcementcount 0 &gt;&gt;C:\Users\stu\Documents\GitHub\eaglep3-reporting\EC\2017-03-08-refined-times.txt</v>
      </c>
      <c r="AI13" s="108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{"issue":{"subject":"","project_id":79,"tracker_id":40,"status_id":1,"priority_id":2,"assigned_to_id":23,"start_date":"2017-03-08","description":"","custom_fields":[{"id":1,"name":"Subdivision","value":"EC"},{"id":4,"name":"Milepost","value":"23.33"},{"id":17,"name":"Train ID","value":"101-08"},{"id":16,"name":"Locomotive ID","value":"4046"},{"id":130,"name":"Impact","value":""},{"id":150,"name":"Time of Event (Mountain Time)","value":"03:57:27"},{"id":151,"name":"Denver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6">"start /low /b "&amp;dls3logs&amp;" --loco "&amp;B13&amp;" --day "&amp;TEXT(F13,"YYYY-MM-DD")</f>
        <v>start /low /b %USERPROFILE%\Documents\GitHub\eaglep3\Utilities\DownloadLogsFromS3.py --loco 4046 --day 2017-03-08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"%USERPROFILE%\AppData\Local\Temp\OnboardLogs"\RTDC4046\*4046*20170308* | grep -SE "(Enforcement Action)|(\[TIMEOUT)|(CHR.+\|PRM\|1\|D.+(SWITCH|SIGNAL).+UNKNOWN)" - &gt;&gt; 2017-03-08-UncaughtWiMAX.txt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612</v>
      </c>
      <c r="B14" s="7">
        <v>4041</v>
      </c>
      <c r="C14" s="21" t="s">
        <v>242</v>
      </c>
      <c r="D14" s="21" t="s">
        <v>826</v>
      </c>
      <c r="E14" s="13">
        <v>42802.13076388889</v>
      </c>
      <c r="F14" s="13">
        <v>42802.167893518519</v>
      </c>
      <c r="G14" s="7">
        <v>1</v>
      </c>
      <c r="H14" s="21" t="s">
        <v>462</v>
      </c>
      <c r="I14" s="13">
        <v>42802.185219907406</v>
      </c>
      <c r="J14" s="7">
        <v>0</v>
      </c>
      <c r="K14" s="98" t="str">
        <f t="shared" si="0"/>
        <v>4041/4042</v>
      </c>
      <c r="L14" s="21" t="str">
        <f>VLOOKUP(A14,'Trips&amp;Operators'!$C$1:$G$99999,5,FALSE)</f>
        <v>YOUNG ELIZABETH</v>
      </c>
      <c r="M14" s="6">
        <f t="shared" si="1"/>
        <v>1.7326388886431232E-2</v>
      </c>
      <c r="N14" s="7"/>
      <c r="O14" s="7"/>
      <c r="P14" s="7">
        <f>24*60*SUM($M14:$M14)</f>
        <v>24.949999996460974</v>
      </c>
      <c r="Q14" s="22"/>
      <c r="R14" s="22" t="s">
        <v>535</v>
      </c>
      <c r="S14" s="31">
        <f t="shared" si="2"/>
        <v>0</v>
      </c>
      <c r="T14" s="46" t="str">
        <f t="shared" si="3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86" t="str">
        <f t="shared" si="4"/>
        <v>https://d0f6bd738d7f1b3e5a7ca70fe4ff75f0.us-east-1.aws.found.io/app/kibana#/discover/Steve-Slow-Train-Analysis-(2080s-and-2083s)?_g=(refreshInterval:(display:Off,pause:!f,section:0,value:0),time:(from:'2017-03-08T02:08:18-0700',mode:absolute,to:'2017-03-08T05:26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187" t="str">
        <f t="shared" si="5"/>
        <v>N</v>
      </c>
      <c r="X14" s="187">
        <f t="shared" si="6"/>
        <v>1</v>
      </c>
      <c r="Y14" s="62">
        <f t="shared" si="7"/>
        <v>7.7499999999999999E-2</v>
      </c>
      <c r="Z14" s="62">
        <f t="shared" si="8"/>
        <v>23.33</v>
      </c>
      <c r="AA14" s="62">
        <f t="shared" si="9"/>
        <v>23.252499999999998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0"/>
        <v>0102-08</v>
      </c>
      <c r="AE14" s="85" t="str">
        <f t="shared" si="11"/>
        <v>aws s3 cp s3://rtdc.mdm.uploadarchive.raw/RTDC4041/ "%USERPROFILE%\AppData\Local\Temp\OnboardLogs"\RTDC4041\2017-03-08 --exclude "*" --recursive --include "*20170308*" &amp; "%USERPROFILE%\Documents\GitHub\mrs-test-scripts\Headless Mode &amp; Sideloading\WalkAndUnGZ.bat" "%USERPROFILE%\AppData\Local\Temp\OnboardLogs"\RTDC4041\2017-03-08 &amp; aws s3 cp s3://rtdc.mdm.uploadarchive.raw/RTDC4041/ "%USERPROFILE%\AppData\Local\Temp\OnboardLogs"\RTDC4041\2017-03-09 --exclude "*" --recursive --include "*20170309*" &amp; "%USERPROFILE%\Documents\GitHub\mrs-test-scripts\Headless Mode &amp; Sideloading\WalkAndUnGZ.bat" "%USERPROFILE%\AppData\Local\Temp\OnboardLogs"\RTDC4041\2017-03-09</v>
      </c>
      <c r="AF14" s="82" t="str">
        <f t="shared" si="12"/>
        <v>"C:\Program Files (x86)\AstroGrep\AstroGrep.exe" /e /r /s /spath="%USERPROFILE%\AppData\Local\Temp\OnboardLogs" /stypes="app*4041*20170308*" /stext=" 11:.+((SYSTEM_STATE.+slice.+state.+changed )|(ment ac)|(multiple cpu faults)|(system.+state.+changed )|(\[timeout)|(PRM\|1\|D)|(kpr)|(kdp)|(\|lc)|(penalty))"</v>
      </c>
      <c r="AG14" s="1" t="str">
        <f t="shared" si="13"/>
        <v>EC</v>
      </c>
      <c r="AH14" s="86" t="str">
        <f t="shared" ref="AH14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4041 --swversion DE.1.0.9.0 --startMP 204:775 --initTime 2017-03-08T03:08:18 --startdatetime 2017-03-08T04:01:46 --delay 1 --endMP 204:233300 --enddatetime 2017-03-08T04:26:43 --enforcementcount 0 &gt;&gt;C:\Users\stu\Documents\GitHub\eaglep3-reporting\EC\2017-03-08-refined-times.txt</v>
      </c>
      <c r="AI14" s="108" t="str">
        <f t="shared" ref="AI14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{"issue":{"subject":"Did not release brakes for departure test","project_id":79,"tracker_id":40,"status_id":1,"priority_id":2,"assigned_to_id":23,"start_date":"2017-03-08","description":"","custom_fields":[{"id":1,"name":"Subdivision","value":"EC"},{"id":4,"name":"Milepost","value":"23.33"},{"id":17,"name":"Train ID","value":"102-08"},{"id":16,"name":"Locomotive ID","value":"4041"},{"id":130,"name":"Impact","value":""},{"id":150,"name":"Time of Event (Mountain Time)","value":"04:26:43"},{"id":151,"name":"Denver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" si="19">"start /low /b "&amp;dls3logs&amp;" --loco "&amp;B14&amp;" --day "&amp;TEXT(F14,"YYYY-MM-DD")</f>
        <v>start /low /b %USERPROFILE%\Documents\GitHub\eaglep3\Utilities\DownloadLogsFromS3.py --loco 4041 --day 2017-03-08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"%USERPROFILE%\AppData\Local\Temp\OnboardLogs"\RTDC4041\*4041*20170308* | grep -SE "(Enforcement Action)|(\[TIMEOUT)|(CHR.+\|PRM\|1\|D.+(SWITCH|SIGNAL).+UNKNOWN)" - &gt;&gt; 2017-03-08-UncaughtWiMAX.txt</v>
      </c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</row>
    <row r="15" spans="1:91" s="1" customFormat="1" x14ac:dyDescent="0.25">
      <c r="A15" s="33" t="s">
        <v>561</v>
      </c>
      <c r="B15" s="7">
        <v>4009</v>
      </c>
      <c r="C15" s="21" t="s">
        <v>242</v>
      </c>
      <c r="D15" s="21" t="s">
        <v>827</v>
      </c>
      <c r="E15" s="13">
        <v>42802.152800925927</v>
      </c>
      <c r="F15" s="13">
        <v>42802.1565162037</v>
      </c>
      <c r="G15" s="7">
        <v>1</v>
      </c>
      <c r="H15" s="21" t="s">
        <v>828</v>
      </c>
      <c r="I15" s="13">
        <v>42802.184305555558</v>
      </c>
      <c r="J15" s="7">
        <v>0</v>
      </c>
      <c r="K15" s="98" t="str">
        <f t="shared" si="0"/>
        <v>4009/4010</v>
      </c>
      <c r="L15" s="21" t="str">
        <f>VLOOKUP(A15,'Trips&amp;Operators'!$C$1:$G$99999,5,FALSE)</f>
        <v>ACKERMAN JARED</v>
      </c>
      <c r="M15" s="6">
        <f t="shared" si="1"/>
        <v>2.7789351857791189E-2</v>
      </c>
      <c r="N15" s="7">
        <f t="shared" ref="N15:N46" si="20">24*60*SUM($M15:$M15)</f>
        <v>40.016666675219312</v>
      </c>
      <c r="O15" s="7"/>
      <c r="P15" s="7"/>
      <c r="Q15" s="22"/>
      <c r="R15" s="22"/>
      <c r="S15" s="31">
        <f t="shared" si="2"/>
        <v>1</v>
      </c>
      <c r="T15" s="46" t="str">
        <f t="shared" si="3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4"/>
        <v>https://d0f6bd738d7f1b3e5a7ca70fe4ff75f0.us-east-1.aws.found.io/app/kibana#/discover/Steve-Slow-Train-Analysis-(2080s-and-2083s)?_g=(refreshInterval:(display:Off,pause:!f,section:0,value:0),time:(from:'2017-03-08T02:40:02-0700',mode:absolute,to:'2017-03-08T05:25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" s="187" t="str">
        <f t="shared" si="5"/>
        <v>N</v>
      </c>
      <c r="X15" s="187">
        <f t="shared" si="6"/>
        <v>1</v>
      </c>
      <c r="Y15" s="62">
        <f t="shared" si="7"/>
        <v>7.2800000000000004E-2</v>
      </c>
      <c r="Z15" s="62">
        <f t="shared" si="8"/>
        <v>23.336600000000001</v>
      </c>
      <c r="AA15" s="62">
        <f t="shared" si="9"/>
        <v>23.2638</v>
      </c>
      <c r="AB15" s="59" t="str">
        <f>VLOOKUP(A15,Enforcements!$C$7:$K$13,8,0)</f>
        <v>Bulletin (2)</v>
      </c>
      <c r="AC15" s="55" t="str">
        <f>VLOOKUP(A15,Enforcements!$C$7:$E$13,3,0)</f>
        <v>GRADE CROSSING</v>
      </c>
      <c r="AD15" s="56" t="str">
        <f t="shared" si="10"/>
        <v>0103-08</v>
      </c>
      <c r="AE15" s="85" t="str">
        <f t="shared" si="11"/>
        <v>aws s3 cp s3://rtdc.mdm.uploadarchive.raw/RTDC4009/ "%USERPROFILE%\AppData\Local\Temp\OnboardLogs"\RTDC4009\2017-03-08 --exclude "*" --recursive --include "*20170308*" &amp; "%USERPROFILE%\Documents\GitHub\mrs-test-scripts\Headless Mode &amp; Sideloading\WalkAndUnGZ.bat" "%USERPROFILE%\AppData\Local\Temp\OnboardLogs"\RTDC4009\2017-03-08 &amp; aws s3 cp s3://rtdc.mdm.uploadarchive.raw/RTDC4009/ "%USERPROFILE%\AppData\Local\Temp\OnboardLogs"\RTDC4009\2017-03-09 --exclude "*" --recursive --include "*20170309*" &amp; "%USERPROFILE%\Documents\GitHub\mrs-test-scripts\Headless Mode &amp; Sideloading\WalkAndUnGZ.bat" "%USERPROFILE%\AppData\Local\Temp\OnboardLogs"\RTDC4009\2017-03-09</v>
      </c>
      <c r="AF15" s="82" t="str">
        <f t="shared" si="12"/>
        <v>"C:\Program Files (x86)\AstroGrep\AstroGrep.exe" /e /r /s /spath="%USERPROFILE%\AppData\Local\Temp\OnboardLogs" /stypes="app*4009*20170308*" /stext=" 11:.+((SYSTEM_STATE.+slice.+state.+changed )|(ment ac)|(multiple cpu faults)|(system.+state.+changed )|(\[timeout)|(PRM\|1\|D)|(kpr)|(kdp)|(\|lc)|(penalty))"</v>
      </c>
      <c r="AG15" s="1" t="str">
        <f t="shared" si="13"/>
        <v>EC</v>
      </c>
      <c r="AH15" s="86" t="str">
        <f t="shared" ref="AH15:AH77" si="21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103-08 --locoid 4009 --swversion DE.1.0.9.0 --startMP 204:728 --initTime 2017-03-08T03:40:02 --startdatetime 2017-03-08T03:45:23 --delay 1 --endMP 204:233366 --enddatetime 2017-03-08T04:25:24 --enforcementcount 0 &gt;&gt;C:\Users\stu\Documents\GitHub\eaglep3-reporting\EC\2017-03-08-refined-times.txt</v>
      </c>
      <c r="AI15" s="108" t="str">
        <f t="shared" ref="AI15:AI77" si="22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{"issue":{"subject":"","project_id":79,"tracker_id":40,"status_id":1,"priority_id":2,"assigned_to_id":23,"start_date":"2017-03-08","description":"","custom_fields":[{"id":1,"name":"Subdivision","value":"EC"},{"id":4,"name":"Milepost","value":"23.3366"},{"id":17,"name":"Train ID","value":"103-08"},{"id":16,"name":"Locomotive ID","value":"4009"},{"id":130,"name":"Impact","value":""},{"id":150,"name":"Time of Event (Mountain Time)","value":"04:25:24"},{"id":151,"name":"Denver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ref="AM15:AM77" si="23">"start /low /b "&amp;dls3logs&amp;" --loco "&amp;B15&amp;" --day "&amp;TEXT(F15,"YYYY-MM-DD")</f>
        <v>start /low /b %USERPROFILE%\Documents\GitHub\eaglep3\Utilities\DownloadLogsFromS3.py --loco 4009 --day 2017-03-08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"%USERPROFILE%\AppData\Local\Temp\OnboardLogs"\RTDC4009\*4009*20170308* | grep -SE "(Enforcement Action)|(\[TIMEOUT)|(CHR.+\|PRM\|1\|D.+(SWITCH|SIGNAL).+UNKNOWN)" - &gt;&gt; 2017-03-08-UncaughtWiMAX.txt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618</v>
      </c>
      <c r="B16" s="7">
        <v>4015</v>
      </c>
      <c r="C16" s="21" t="s">
        <v>242</v>
      </c>
      <c r="D16" s="21" t="s">
        <v>829</v>
      </c>
      <c r="E16" s="13">
        <v>42802.190486111111</v>
      </c>
      <c r="F16" s="13">
        <v>42802.1953587963</v>
      </c>
      <c r="G16" s="7">
        <v>1</v>
      </c>
      <c r="H16" s="21" t="s">
        <v>830</v>
      </c>
      <c r="I16" s="13">
        <v>42802.225104166668</v>
      </c>
      <c r="J16" s="7">
        <v>0</v>
      </c>
      <c r="K16" s="98" t="str">
        <f t="shared" si="0"/>
        <v>4015/4016</v>
      </c>
      <c r="L16" s="21" t="str">
        <f>VLOOKUP(A16,'Trips&amp;Operators'!$C$1:$G$99999,5,FALSE)</f>
        <v>ACKERMAN JARED</v>
      </c>
      <c r="M16" s="6">
        <f t="shared" si="1"/>
        <v>2.9745370367891155E-2</v>
      </c>
      <c r="N16" s="7">
        <f t="shared" si="20"/>
        <v>42.833333329763263</v>
      </c>
      <c r="O16" s="7"/>
      <c r="P16" s="7"/>
      <c r="Q16" s="22"/>
      <c r="R16" s="22"/>
      <c r="S16" s="31">
        <f t="shared" si="2"/>
        <v>1</v>
      </c>
      <c r="T16" s="46" t="str">
        <f t="shared" si="3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4"/>
        <v>https://d0f6bd738d7f1b3e5a7ca70fe4ff75f0.us-east-1.aws.found.io/app/kibana#/discover/Steve-Slow-Train-Analysis-(2080s-and-2083s)?_g=(refreshInterval:(display:Off,pause:!f,section:0,value:0),time:(from:'2017-03-08T03:34:18-0700',mode:absolute,to:'2017-03-08T06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" s="187" t="str">
        <f t="shared" si="5"/>
        <v>N</v>
      </c>
      <c r="X16" s="187">
        <f t="shared" si="6"/>
        <v>1</v>
      </c>
      <c r="Y16" s="62">
        <f t="shared" si="7"/>
        <v>23.272600000000001</v>
      </c>
      <c r="Z16" s="62">
        <f t="shared" si="8"/>
        <v>1.0699999999999999E-2</v>
      </c>
      <c r="AA16" s="62">
        <f t="shared" si="9"/>
        <v>23.261900000000001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0"/>
        <v>0104-08</v>
      </c>
      <c r="AE16" s="85" t="str">
        <f t="shared" si="11"/>
        <v>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 &amp; 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</v>
      </c>
      <c r="AF16" s="82" t="str">
        <f t="shared" si="12"/>
        <v>"C:\Program Files (x86)\AstroGrep\AstroGrep.exe" /e /r /s /spath="%USERPROFILE%\AppData\Local\Temp\OnboardLogs" /stypes="app*4015*20170308*" /stext=" 12:.+((SYSTEM_STATE.+slice.+state.+changed )|(ment ac)|(multiple cpu faults)|(system.+state.+changed )|(\[timeout)|(PRM\|1\|D)|(kpr)|(kdp)|(\|lc)|(penalty))"</v>
      </c>
      <c r="AG16" s="1" t="str">
        <f t="shared" si="13"/>
        <v>EC</v>
      </c>
      <c r="AH16" s="86" t="str">
        <f t="shared" si="21"/>
        <v>"%USERPROFILE%\Documents\GitHub\eaglep3\Utilities\RefineRTDCRunTimes.py" --tripid 104-08 --locoid 4015 --swversion DE.1.0.9.0 --startMP 204:232726 --initTime 2017-03-08T04:34:18 --startdatetime 2017-03-08T04:41:19 --delay 1 --endMP 204:107 --enddatetime 2017-03-08T05:24:09 --enforcementcount 0 &gt;&gt;C:\Users\stu\Documents\GitHub\eaglep3-reporting\EC\2017-03-08-refined-times.txt</v>
      </c>
      <c r="AI16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{"issue":{"subject":"","project_id":79,"tracker_id":40,"status_id":1,"priority_id":2,"assigned_to_id":23,"start_date":"2017-03-08","description":"","custom_fields":[{"id":1,"name":"Subdivision","value":"EC"},{"id":4,"name":"Milepost","value":"0.0107"},{"id":17,"name":"Train ID","value":"104-08"},{"id":16,"name":"Locomotive ID","value":"4015"},{"id":130,"name":"Impact","value":""},{"id":150,"name":"Time of Event (Mountain Time)","value":"05:24:09"},{"id":151,"name":"Denver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3"/>
        <v>start /low /b %USERPROFILE%\Documents\GitHub\eaglep3\Utilities\DownloadLogsFromS3.py --loco 4015 --day 2017-03-08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"%USERPROFILE%\AppData\Local\Temp\OnboardLogs"\RTDC4015\*4015*20170308* | grep -SE "(Enforcement Action)|(\[TIMEOUT)|(CHR.+\|PRM\|1\|D.+(SWITCH|SIGNAL).+UNKNOWN)" - &gt;&gt; 2017-03-08-UncaughtWiMAX.txt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614</v>
      </c>
      <c r="B17" s="7">
        <v>4031</v>
      </c>
      <c r="C17" s="21" t="s">
        <v>242</v>
      </c>
      <c r="D17" s="21" t="s">
        <v>515</v>
      </c>
      <c r="E17" s="13">
        <v>42802.172743055555</v>
      </c>
      <c r="F17" s="13">
        <v>42802.177303240744</v>
      </c>
      <c r="G17" s="7">
        <v>1</v>
      </c>
      <c r="H17" s="21" t="s">
        <v>247</v>
      </c>
      <c r="I17" s="13">
        <v>42802.203483796293</v>
      </c>
      <c r="J17" s="7">
        <v>0</v>
      </c>
      <c r="K17" s="98" t="str">
        <f t="shared" si="0"/>
        <v>4031/4032</v>
      </c>
      <c r="L17" s="21" t="str">
        <f>VLOOKUP(A17,'Trips&amp;Operators'!$C$1:$G$99999,5,FALSE)</f>
        <v>GEBRETEKLE DAGNEW</v>
      </c>
      <c r="M17" s="6">
        <f t="shared" si="1"/>
        <v>2.6180555549217388E-2</v>
      </c>
      <c r="N17" s="7">
        <f t="shared" si="20"/>
        <v>37.699999990873039</v>
      </c>
      <c r="O17" s="7"/>
      <c r="P17" s="7"/>
      <c r="Q17" s="22"/>
      <c r="R17" s="22"/>
      <c r="S17" s="31">
        <f t="shared" si="2"/>
        <v>1</v>
      </c>
      <c r="T17" s="46" t="str">
        <f t="shared" si="3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4"/>
        <v>https://d0f6bd738d7f1b3e5a7ca70fe4ff75f0.us-east-1.aws.found.io/app/kibana#/discover/Steve-Slow-Train-Analysis-(2080s-and-2083s)?_g=(refreshInterval:(display:Off,pause:!f,section:0,value:0),time:(from:'2017-03-08T03:08:45-0700',mode:absolute,to:'2017-03-08T05:53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" s="187" t="str">
        <f t="shared" si="5"/>
        <v>N</v>
      </c>
      <c r="X17" s="187">
        <f t="shared" si="6"/>
        <v>1</v>
      </c>
      <c r="Y17" s="62">
        <f t="shared" si="7"/>
        <v>6.59E-2</v>
      </c>
      <c r="Z17" s="62">
        <f t="shared" si="8"/>
        <v>23.331399999999999</v>
      </c>
      <c r="AA17" s="62">
        <f t="shared" si="9"/>
        <v>23.265499999999999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0"/>
        <v>0105-08</v>
      </c>
      <c r="AE17" s="85" t="str">
        <f t="shared" si="11"/>
        <v>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 &amp; aws s3 cp s3://rtdc.mdm.uploadarchive.raw/RTDC4031/ "%USERPROFILE%\AppData\Local\Temp\OnboardLogs"\RTDC4031\2017-03-09 --exclude "*" --recursive --include "*20170309*" &amp; "%USERPROFILE%\Documents\GitHub\mrs-test-scripts\Headless Mode &amp; Sideloading\WalkAndUnGZ.bat" "%USERPROFILE%\AppData\Local\Temp\OnboardLogs"\RTDC4031\2017-03-09</v>
      </c>
      <c r="AF17" s="82" t="str">
        <f t="shared" si="12"/>
        <v>"C:\Program Files (x86)\AstroGrep\AstroGrep.exe" /e /r /s /spath="%USERPROFILE%\AppData\Local\Temp\OnboardLogs" /stypes="app*4031*20170308*" /stext=" 11:.+((SYSTEM_STATE.+slice.+state.+changed )|(ment ac)|(multiple cpu faults)|(system.+state.+changed )|(\[timeout)|(PRM\|1\|D)|(kpr)|(kdp)|(\|lc)|(penalty))"</v>
      </c>
      <c r="AG17" s="1" t="str">
        <f t="shared" si="13"/>
        <v>EC</v>
      </c>
      <c r="AH17" s="86" t="str">
        <f t="shared" si="21"/>
        <v>"%USERPROFILE%\Documents\GitHub\eaglep3\Utilities\RefineRTDCRunTimes.py" --tripid 105-08 --locoid 4031 --swversion DE.1.0.9.0 --startMP 204:659 --initTime 2017-03-08T04:08:45 --startdatetime 2017-03-08T04:15:19 --delay 1 --endMP 204:233314 --enddatetime 2017-03-08T04:53:01 --enforcementcount 0 &gt;&gt;C:\Users\stu\Documents\GitHub\eaglep3-reporting\EC\2017-03-08-refined-times.txt</v>
      </c>
      <c r="AI17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{"issue":{"subject":"","project_id":79,"tracker_id":40,"status_id":1,"priority_id":2,"assigned_to_id":23,"start_date":"2017-03-08","description":"","custom_fields":[{"id":1,"name":"Subdivision","value":"EC"},{"id":4,"name":"Milepost","value":"23.3314"},{"id":17,"name":"Train ID","value":"105-08"},{"id":16,"name":"Locomotive ID","value":"4031"},{"id":130,"name":"Impact","value":""},{"id":150,"name":"Time of Event (Mountain Time)","value":"04:53:01"},{"id":151,"name":"Denver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3"/>
        <v>start /low /b %USERPROFILE%\Documents\GitHub\eaglep3\Utilities\DownloadLogsFromS3.py --loco 4031 --day 2017-03-08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2017-03-08-UncaughtWiMAX.txt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626</v>
      </c>
      <c r="B18" s="7">
        <v>4052</v>
      </c>
      <c r="C18" s="21" t="s">
        <v>242</v>
      </c>
      <c r="D18" s="21" t="s">
        <v>831</v>
      </c>
      <c r="E18" s="13">
        <v>42802.21334490741</v>
      </c>
      <c r="F18" s="13">
        <v>42802.216527777775</v>
      </c>
      <c r="G18" s="7">
        <v>1</v>
      </c>
      <c r="H18" s="21" t="s">
        <v>832</v>
      </c>
      <c r="I18" s="13">
        <v>42802.243796296294</v>
      </c>
      <c r="J18" s="7">
        <v>0</v>
      </c>
      <c r="K18" s="98" t="str">
        <f t="shared" si="0"/>
        <v>4051/4052</v>
      </c>
      <c r="L18" s="21" t="str">
        <f>VLOOKUP(A18,'Trips&amp;Operators'!$C$1:$G$99999,5,FALSE)</f>
        <v>GEBRETEKLE DAGNEW</v>
      </c>
      <c r="M18" s="6">
        <f t="shared" si="1"/>
        <v>2.7268518519122154E-2</v>
      </c>
      <c r="N18" s="7">
        <f t="shared" si="20"/>
        <v>39.266666667535901</v>
      </c>
      <c r="O18" s="7"/>
      <c r="P18" s="7"/>
      <c r="Q18" s="22"/>
      <c r="R18" s="22"/>
      <c r="S18" s="31">
        <f t="shared" si="2"/>
        <v>1</v>
      </c>
      <c r="T18" s="46" t="str">
        <f t="shared" si="3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4"/>
        <v>https://d0f6bd738d7f1b3e5a7ca70fe4ff75f0.us-east-1.aws.found.io/app/kibana#/discover/Steve-Slow-Train-Analysis-(2080s-and-2083s)?_g=(refreshInterval:(display:Off,pause:!f,section:0,value:0),time:(from:'2017-03-08T04:07:13-0700',mode:absolute,to:'2017-03-08T06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" s="187" t="str">
        <f t="shared" si="5"/>
        <v>N</v>
      </c>
      <c r="X18" s="187">
        <f t="shared" si="6"/>
        <v>1</v>
      </c>
      <c r="Y18" s="62">
        <f t="shared" si="7"/>
        <v>23.268999999999998</v>
      </c>
      <c r="Z18" s="62">
        <f t="shared" si="8"/>
        <v>0.1744</v>
      </c>
      <c r="AA18" s="62">
        <f t="shared" si="9"/>
        <v>23.0946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0"/>
        <v>0106-08</v>
      </c>
      <c r="AE18" s="85" t="str">
        <f t="shared" si="11"/>
        <v>aws s3 cp s3://rtdc.mdm.uploadarchive.raw/RTDC4052/ "%USERPROFILE%\AppData\Local\Temp\OnboardLogs"\RTDC4052\2017-03-08 --exclude "*" --recursive --include "*20170308*" &amp; "%USERPROFILE%\Documents\GitHub\mrs-test-scripts\Headless Mode &amp; Sideloading\WalkAndUnGZ.bat" "%USERPROFILE%\AppData\Local\Temp\OnboardLogs"\RTDC4052\2017-03-08 &amp; aws s3 cp s3://rtdc.mdm.uploadarchive.raw/RTDC4052/ "%USERPROFILE%\AppData\Local\Temp\OnboardLogs"\RTDC4052\2017-03-09 --exclude "*" --recursive --include "*20170309*" &amp; "%USERPROFILE%\Documents\GitHub\mrs-test-scripts\Headless Mode &amp; Sideloading\WalkAndUnGZ.bat" "%USERPROFILE%\AppData\Local\Temp\OnboardLogs"\RTDC4052\2017-03-09</v>
      </c>
      <c r="AF18" s="82" t="str">
        <f t="shared" si="12"/>
        <v>"C:\Program Files (x86)\AstroGrep\AstroGrep.exe" /e /r /s /spath="%USERPROFILE%\AppData\Local\Temp\OnboardLogs" /stypes="app*4052*20170308*" /stext=" 12:.+((SYSTEM_STATE.+slice.+state.+changed )|(ment ac)|(multiple cpu faults)|(system.+state.+changed )|(\[timeout)|(PRM\|1\|D)|(kpr)|(kdp)|(\|lc)|(penalty))"</v>
      </c>
      <c r="AG18" s="1" t="str">
        <f t="shared" si="13"/>
        <v>EC</v>
      </c>
      <c r="AH18" s="86" t="str">
        <f t="shared" si="21"/>
        <v>"%USERPROFILE%\Documents\GitHub\eaglep3\Utilities\RefineRTDCRunTimes.py" --tripid 106-08 --locoid 4052 --swversion DE.1.0.9.0 --startMP 204:232690 --initTime 2017-03-08T05:07:13 --startdatetime 2017-03-08T05:11:48 --delay 1 --endMP 204:1744 --enddatetime 2017-03-08T05:51:04 --enforcementcount 0 &gt;&gt;C:\Users\stu\Documents\GitHub\eaglep3-reporting\EC\2017-03-08-refined-times.txt</v>
      </c>
      <c r="AI18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{"issue":{"subject":"","project_id":79,"tracker_id":40,"status_id":1,"priority_id":2,"assigned_to_id":23,"start_date":"2017-03-08","description":"","custom_fields":[{"id":1,"name":"Subdivision","value":"EC"},{"id":4,"name":"Milepost","value":"0.1744"},{"id":17,"name":"Train ID","value":"106-08"},{"id":16,"name":"Locomotive ID","value":"4052"},{"id":130,"name":"Impact","value":""},{"id":150,"name":"Time of Event (Mountain Time)","value":"05:51:04"},{"id":151,"name":"Denver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3"/>
        <v>start /low /b %USERPROFILE%\Documents\GitHub\eaglep3\Utilities\DownloadLogsFromS3.py --loco 4052 --day 2017-03-08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"%USERPROFILE%\AppData\Local\Temp\OnboardLogs"\RTDC4052\*4052*20170308* | grep -SE "(Enforcement Action)|(\[TIMEOUT)|(CHR.+\|PRM\|1\|D.+(SWITCH|SIGNAL).+UNKNOWN)" - &gt;&gt; 2017-03-08-UncaughtWiMAX.txt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616</v>
      </c>
      <c r="B19" s="7">
        <v>4006</v>
      </c>
      <c r="C19" s="21" t="s">
        <v>242</v>
      </c>
      <c r="D19" s="21" t="s">
        <v>435</v>
      </c>
      <c r="E19" s="13">
        <v>42802.180347222224</v>
      </c>
      <c r="F19" s="13">
        <v>42802.188055555554</v>
      </c>
      <c r="G19" s="7">
        <v>2</v>
      </c>
      <c r="H19" s="21" t="s">
        <v>249</v>
      </c>
      <c r="I19" s="13">
        <v>42802.214675925927</v>
      </c>
      <c r="J19" s="7">
        <v>0</v>
      </c>
      <c r="K19" s="98" t="str">
        <f t="shared" si="0"/>
        <v>4005/4006</v>
      </c>
      <c r="L19" s="21" t="str">
        <f>VLOOKUP(A19,'Trips&amp;Operators'!$C$1:$G$99999,5,FALSE)</f>
        <v>BONDS REYNALDO</v>
      </c>
      <c r="M19" s="6">
        <f t="shared" si="1"/>
        <v>2.662037037225673E-2</v>
      </c>
      <c r="N19" s="7">
        <f t="shared" si="20"/>
        <v>38.333333336049691</v>
      </c>
      <c r="O19" s="7"/>
      <c r="P19" s="7"/>
      <c r="Q19" s="22"/>
      <c r="R19" s="22"/>
      <c r="S19" s="31">
        <f t="shared" si="2"/>
        <v>1</v>
      </c>
      <c r="T19" s="46" t="str">
        <f t="shared" si="3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4"/>
        <v>https://d0f6bd738d7f1b3e5a7ca70fe4ff75f0.us-east-1.aws.found.io/app/kibana#/discover/Steve-Slow-Train-Analysis-(2080s-and-2083s)?_g=(refreshInterval:(display:Off,pause:!f,section:0,value:0),time:(from:'2017-03-08T03:19:42-0700',mode:absolute,to:'2017-03-08T06:09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" s="187" t="str">
        <f t="shared" si="5"/>
        <v>N</v>
      </c>
      <c r="X19" s="187">
        <f t="shared" si="6"/>
        <v>1</v>
      </c>
      <c r="Y19" s="62">
        <f t="shared" si="7"/>
        <v>4.8399999999999999E-2</v>
      </c>
      <c r="Z19" s="62">
        <f t="shared" si="8"/>
        <v>23.328900000000001</v>
      </c>
      <c r="AA19" s="62">
        <f t="shared" si="9"/>
        <v>23.2805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0"/>
        <v>0107-08</v>
      </c>
      <c r="AE19" s="85" t="str">
        <f t="shared" si="11"/>
        <v>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 &amp; aws s3 cp s3://rtdc.mdm.uploadarchive.raw/RTDC4006/ "%USERPROFILE%\AppData\Local\Temp\OnboardLogs"\RTDC4006\2017-03-09 --exclude "*" --recursive --include "*20170309*" &amp; "%USERPROFILE%\Documents\GitHub\mrs-test-scripts\Headless Mode &amp; Sideloading\WalkAndUnGZ.bat" "%USERPROFILE%\AppData\Local\Temp\OnboardLogs"\RTDC4006\2017-03-09</v>
      </c>
      <c r="AF19" s="82" t="str">
        <f t="shared" si="12"/>
        <v>"C:\Program Files (x86)\AstroGrep\AstroGrep.exe" /e /r /s /spath="%USERPROFILE%\AppData\Local\Temp\OnboardLogs" /stypes="app*4006*20170308*" /stext=" 12:.+((SYSTEM_STATE.+slice.+state.+changed )|(ment ac)|(multiple cpu faults)|(system.+state.+changed )|(\[timeout)|(PRM\|1\|D)|(kpr)|(kdp)|(\|lc)|(penalty))"</v>
      </c>
      <c r="AG19" s="1" t="str">
        <f t="shared" si="13"/>
        <v>EC</v>
      </c>
      <c r="AH19" s="86" t="str">
        <f t="shared" si="21"/>
        <v>"%USERPROFILE%\Documents\GitHub\eaglep3\Utilities\RefineRTDCRunTimes.py" --tripid 107-08 --locoid 4006 --swversion DE.1.0.9.0 --startMP 204:484 --initTime 2017-03-08T04:19:42 --startdatetime 2017-03-08T04:30:48 --delay 2 --endMP 204:233289 --enddatetime 2017-03-08T05:09:08 --enforcementcount 0 &gt;&gt;C:\Users\stu\Documents\GitHub\eaglep3-reporting\EC\2017-03-08-refined-times.txt</v>
      </c>
      <c r="AI19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{"issue":{"subject":"","project_id":79,"tracker_id":40,"status_id":1,"priority_id":2,"assigned_to_id":23,"start_date":"2017-03-08","description":"","custom_fields":[{"id":1,"name":"Subdivision","value":"EC"},{"id":4,"name":"Milepost","value":"23.3289"},{"id":17,"name":"Train ID","value":"107-08"},{"id":16,"name":"Locomotive ID","value":"4006"},{"id":130,"name":"Impact","value":""},{"id":150,"name":"Time of Event (Mountain Time)","value":"05:09:08"},{"id":151,"name":"Denver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3"/>
        <v>start /low /b %USERPROFILE%\Documents\GitHub\eaglep3\Utilities\DownloadLogsFromS3.py --loco 4006 --day 2017-03-08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"%USERPROFILE%\AppData\Local\Temp\OnboardLogs"\RTDC4006\*4006*20170308* | grep -SE "(Enforcement Action)|(\[TIMEOUT)|(CHR.+\|PRM\|1\|D.+(SWITCH|SIGNAL).+UNKNOWN)" - &gt;&gt; 2017-03-08-UncaughtWiMAX.txt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565</v>
      </c>
      <c r="B20" s="7">
        <v>4005</v>
      </c>
      <c r="C20" s="21" t="s">
        <v>242</v>
      </c>
      <c r="D20" s="21" t="s">
        <v>433</v>
      </c>
      <c r="E20" s="13">
        <v>42802.220925925925</v>
      </c>
      <c r="F20" s="13">
        <v>42802.226539351854</v>
      </c>
      <c r="G20" s="7">
        <v>1</v>
      </c>
      <c r="H20" s="21" t="s">
        <v>208</v>
      </c>
      <c r="I20" s="13">
        <v>42802.256493055553</v>
      </c>
      <c r="J20" s="7">
        <v>0</v>
      </c>
      <c r="K20" s="98" t="str">
        <f t="shared" si="0"/>
        <v>4005/4006</v>
      </c>
      <c r="L20" s="21" t="str">
        <f>VLOOKUP(A20,'Trips&amp;Operators'!$C$1:$G$99999,5,FALSE)</f>
        <v>BONDS REYNALDO</v>
      </c>
      <c r="M20" s="6">
        <f t="shared" si="1"/>
        <v>2.9953703698993195E-2</v>
      </c>
      <c r="N20" s="7">
        <f t="shared" si="20"/>
        <v>43.133333326550201</v>
      </c>
      <c r="O20" s="7"/>
      <c r="P20" s="7"/>
      <c r="Q20" s="22"/>
      <c r="R20" s="22"/>
      <c r="S20" s="31">
        <f t="shared" si="2"/>
        <v>1</v>
      </c>
      <c r="T20" s="46" t="str">
        <f t="shared" si="3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4"/>
        <v>https://d0f6bd738d7f1b3e5a7ca70fe4ff75f0.us-east-1.aws.found.io/app/kibana#/discover/Steve-Slow-Train-Analysis-(2080s-and-2083s)?_g=(refreshInterval:(display:Off,pause:!f,section:0,value:0),time:(from:'2017-03-08T04:18:08-0700',mode:absolute,to:'2017-03-08T07:09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" s="187" t="str">
        <f t="shared" si="5"/>
        <v>N</v>
      </c>
      <c r="X20" s="187">
        <f t="shared" si="6"/>
        <v>1</v>
      </c>
      <c r="Y20" s="62">
        <f t="shared" si="7"/>
        <v>23.298200000000001</v>
      </c>
      <c r="Z20" s="62">
        <f t="shared" si="8"/>
        <v>1.54E-2</v>
      </c>
      <c r="AA20" s="62">
        <f t="shared" si="9"/>
        <v>23.282800000000002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0"/>
        <v>0108-08</v>
      </c>
      <c r="AE20" s="85" t="str">
        <f t="shared" si="11"/>
        <v>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 &amp; aws s3 cp s3://rtdc.mdm.uploadarchive.raw/RTDC4005/ "%USERPROFILE%\AppData\Local\Temp\OnboardLogs"\RTDC4005\2017-03-09 --exclude "*" --recursive --include "*20170309*" &amp; "%USERPROFILE%\Documents\GitHub\mrs-test-scripts\Headless Mode &amp; Sideloading\WalkAndUnGZ.bat" "%USERPROFILE%\AppData\Local\Temp\OnboardLogs"\RTDC4005\2017-03-09</v>
      </c>
      <c r="AF20" s="82" t="str">
        <f t="shared" si="12"/>
        <v>"C:\Program Files (x86)\AstroGrep\AstroGrep.exe" /e /r /s /spath="%USERPROFILE%\AppData\Local\Temp\OnboardLogs" /stypes="app*4005*20170308*" /stext=" 13:.+((SYSTEM_STATE.+slice.+state.+changed )|(ment ac)|(multiple cpu faults)|(system.+state.+changed )|(\[timeout)|(PRM\|1\|D)|(kpr)|(kdp)|(\|lc)|(penalty))"</v>
      </c>
      <c r="AG20" s="1" t="str">
        <f t="shared" si="13"/>
        <v>EC</v>
      </c>
      <c r="AH20" s="86" t="str">
        <f t="shared" si="21"/>
        <v>"%USERPROFILE%\Documents\GitHub\eaglep3\Utilities\RefineRTDCRunTimes.py" --tripid 108-08 --locoid 4005 --swversion DE.1.0.9.0 --startMP 204:232982 --initTime 2017-03-08T05:18:08 --startdatetime 2017-03-08T05:26:13 --delay 1 --endMP 204:154 --enddatetime 2017-03-08T06:09:21 --enforcementcount 0 &gt;&gt;C:\Users\stu\Documents\GitHub\eaglep3-reporting\EC\2017-03-08-refined-times.txt</v>
      </c>
      <c r="AI20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{"issue":{"subject":"","project_id":79,"tracker_id":40,"status_id":1,"priority_id":2,"assigned_to_id":23,"start_date":"2017-03-08","description":"","custom_fields":[{"id":1,"name":"Subdivision","value":"EC"},{"id":4,"name":"Milepost","value":"0.0154"},{"id":17,"name":"Train ID","value":"108-08"},{"id":16,"name":"Locomotive ID","value":"4005"},{"id":130,"name":"Impact","value":""},{"id":150,"name":"Time of Event (Mountain Time)","value":"06:09:21"},{"id":151,"name":"Denver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3"/>
        <v>start /low /b %USERPROFILE%\Documents\GitHub\eaglep3\Utilities\DownloadLogsFromS3.py --loco 4005 --day 2017-03-08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"%USERPROFILE%\AppData\Local\Temp\OnboardLogs"\RTDC4005\*4005*20170308* | grep -SE "(Enforcement Action)|(\[TIMEOUT)|(CHR.+\|PRM\|1\|D.+(SWITCH|SIGNAL).+UNKNOWN)" - &gt;&gt; 2017-03-08-UncaughtWiMAX.txt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619</v>
      </c>
      <c r="B21" s="7">
        <v>4029</v>
      </c>
      <c r="C21" s="21" t="s">
        <v>242</v>
      </c>
      <c r="D21" s="21" t="s">
        <v>833</v>
      </c>
      <c r="E21" s="13">
        <v>42802.193124999998</v>
      </c>
      <c r="F21" s="13">
        <v>42802.198518518519</v>
      </c>
      <c r="G21" s="7">
        <v>1</v>
      </c>
      <c r="H21" s="21" t="s">
        <v>834</v>
      </c>
      <c r="I21" s="13">
        <v>42802.224722222221</v>
      </c>
      <c r="J21" s="7">
        <v>0</v>
      </c>
      <c r="K21" s="98" t="str">
        <f t="shared" si="0"/>
        <v>4029/4030</v>
      </c>
      <c r="L21" s="21" t="str">
        <f>VLOOKUP(A21,'Trips&amp;Operators'!$C$1:$G$99999,5,FALSE)</f>
        <v>SANTIZO D. EDY</v>
      </c>
      <c r="M21" s="6">
        <f t="shared" si="1"/>
        <v>2.6203703702776693E-2</v>
      </c>
      <c r="N21" s="7">
        <f t="shared" si="20"/>
        <v>37.733333331998438</v>
      </c>
      <c r="O21" s="7"/>
      <c r="P21" s="7"/>
      <c r="Q21" s="22"/>
      <c r="R21" s="22"/>
      <c r="S21" s="31">
        <f t="shared" si="2"/>
        <v>1</v>
      </c>
      <c r="T21" s="46" t="str">
        <f t="shared" si="3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4"/>
        <v>https://d0f6bd738d7f1b3e5a7ca70fe4ff75f0.us-east-1.aws.found.io/app/kibana#/discover/Steve-Slow-Train-Analysis-(2080s-and-2083s)?_g=(refreshInterval:(display:Off,pause:!f,section:0,value:0),time:(from:'2017-03-08T03:38:06-0700',mode:absolute,to:'2017-03-08T06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" s="187" t="str">
        <f t="shared" si="5"/>
        <v>N</v>
      </c>
      <c r="X21" s="187">
        <f t="shared" si="6"/>
        <v>1</v>
      </c>
      <c r="Y21" s="62">
        <f t="shared" si="7"/>
        <v>4.6399999999999997E-2</v>
      </c>
      <c r="Z21" s="62">
        <f t="shared" si="8"/>
        <v>23.3306</v>
      </c>
      <c r="AA21" s="62">
        <f t="shared" si="9"/>
        <v>23.284200000000002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0"/>
        <v>0109-08</v>
      </c>
      <c r="AE21" s="85" t="str">
        <f t="shared" si="11"/>
        <v>aws s3 cp s3://rtdc.mdm.uploadarchive.raw/RTDC4029/ "%USERPROFILE%\AppData\Local\Temp\OnboardLogs"\RTDC4029\2017-03-08 --exclude "*" --recursive --include "*20170308*" &amp; "%USERPROFILE%\Documents\GitHub\mrs-test-scripts\Headless Mode &amp; Sideloading\WalkAndUnGZ.bat" "%USERPROFILE%\AppData\Local\Temp\OnboardLogs"\RTDC4029\2017-03-08 &amp; 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</v>
      </c>
      <c r="AF21" s="82" t="str">
        <f t="shared" si="12"/>
        <v>"C:\Program Files (x86)\AstroGrep\AstroGrep.exe" /e /r /s /spath="%USERPROFILE%\AppData\Local\Temp\OnboardLogs" /stypes="app*4029*20170308*" /stext=" 12:.+((SYSTEM_STATE.+slice.+state.+changed )|(ment ac)|(multiple cpu faults)|(system.+state.+changed )|(\[timeout)|(PRM\|1\|D)|(kpr)|(kdp)|(\|lc)|(penalty))"</v>
      </c>
      <c r="AG21" s="1" t="str">
        <f t="shared" si="13"/>
        <v>EC</v>
      </c>
      <c r="AH21" s="86" t="str">
        <f t="shared" si="21"/>
        <v>"%USERPROFILE%\Documents\GitHub\eaglep3\Utilities\RefineRTDCRunTimes.py" --tripid 109-08 --locoid 4029 --swversion DE.1.0.9.0 --startMP 204:464 --initTime 2017-03-08T04:38:06 --startdatetime 2017-03-08T04:45:52 --delay 1 --endMP 204:233306 --enddatetime 2017-03-08T05:23:36 --enforcementcount 0 &gt;&gt;C:\Users\stu\Documents\GitHub\eaglep3-reporting\EC\2017-03-08-refined-times.txt</v>
      </c>
      <c r="AI21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{"issue":{"subject":"","project_id":79,"tracker_id":40,"status_id":1,"priority_id":2,"assigned_to_id":23,"start_date":"2017-03-08","description":"","custom_fields":[{"id":1,"name":"Subdivision","value":"EC"},{"id":4,"name":"Milepost","value":"23.3306"},{"id":17,"name":"Train ID","value":"109-08"},{"id":16,"name":"Locomotive ID","value":"4029"},{"id":130,"name":"Impact","value":""},{"id":150,"name":"Time of Event (Mountain Time)","value":"05:23:36"},{"id":151,"name":"Denver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3"/>
        <v>start /low /b %USERPROFILE%\Documents\GitHub\eaglep3\Utilities\DownloadLogsFromS3.py --loco 4029 --day 2017-03-08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"%USERPROFILE%\AppData\Local\Temp\OnboardLogs"\RTDC4029\*4029*20170308* | grep -SE "(Enforcement Action)|(\[TIMEOUT)|(CHR.+\|PRM\|1\|D.+(SWITCH|SIGNAL).+UNKNOWN)" - &gt;&gt; 2017-03-08-UncaughtWiMAX.txt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629</v>
      </c>
      <c r="B22" s="7">
        <v>4030</v>
      </c>
      <c r="C22" s="21" t="s">
        <v>242</v>
      </c>
      <c r="D22" s="21" t="s">
        <v>281</v>
      </c>
      <c r="E22" s="13">
        <v>42802.226782407408</v>
      </c>
      <c r="F22" s="13">
        <v>42802.237453703703</v>
      </c>
      <c r="G22" s="7">
        <v>1</v>
      </c>
      <c r="H22" s="21" t="s">
        <v>208</v>
      </c>
      <c r="I22" s="13">
        <v>42802.265497685185</v>
      </c>
      <c r="J22" s="7">
        <v>0</v>
      </c>
      <c r="K22" s="98" t="str">
        <f t="shared" si="0"/>
        <v>4029/4030</v>
      </c>
      <c r="L22" s="21" t="str">
        <f>VLOOKUP(A22,'Trips&amp;Operators'!$C$1:$G$99999,5,FALSE)</f>
        <v>SANTIZO D. EDY</v>
      </c>
      <c r="M22" s="6">
        <f t="shared" si="1"/>
        <v>2.8043981481459923E-2</v>
      </c>
      <c r="N22" s="7">
        <f t="shared" si="20"/>
        <v>40.383333333302289</v>
      </c>
      <c r="O22" s="7"/>
      <c r="P22" s="7"/>
      <c r="Q22" s="22"/>
      <c r="R22" s="22"/>
      <c r="S22" s="31">
        <f t="shared" si="2"/>
        <v>1</v>
      </c>
      <c r="T22" s="46" t="str">
        <f t="shared" si="3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4"/>
        <v>https://d0f6bd738d7f1b3e5a7ca70fe4ff75f0.us-east-1.aws.found.io/app/kibana#/discover/Steve-Slow-Train-Analysis-(2080s-and-2083s)?_g=(refreshInterval:(display:Off,pause:!f,section:0,value:0),time:(from:'2017-03-08T04:26:34-0700',mode:absolute,to:'2017-03-08T07:22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" s="187" t="str">
        <f t="shared" si="5"/>
        <v>N</v>
      </c>
      <c r="X22" s="187">
        <f t="shared" si="6"/>
        <v>1</v>
      </c>
      <c r="Y22" s="62">
        <f t="shared" si="7"/>
        <v>23.299099999999999</v>
      </c>
      <c r="Z22" s="62">
        <f t="shared" si="8"/>
        <v>1.54E-2</v>
      </c>
      <c r="AA22" s="62">
        <f t="shared" si="9"/>
        <v>23.2837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0"/>
        <v>0110-08</v>
      </c>
      <c r="AE22" s="85" t="str">
        <f t="shared" si="11"/>
        <v>aws s3 cp s3://rtdc.mdm.uploadarchive.raw/RTDC4030/ "%USERPROFILE%\AppData\Local\Temp\OnboardLogs"\RTDC4030\2017-03-08 --exclude "*" --recursive --include "*20170308*" &amp; "%USERPROFILE%\Documents\GitHub\mrs-test-scripts\Headless Mode &amp; Sideloading\WalkAndUnGZ.bat" "%USERPROFILE%\AppData\Local\Temp\OnboardLogs"\RTDC4030\2017-03-08 &amp; 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</v>
      </c>
      <c r="AF22" s="82" t="str">
        <f t="shared" si="12"/>
        <v>"C:\Program Files (x86)\AstroGrep\AstroGrep.exe" /e /r /s /spath="%USERPROFILE%\AppData\Local\Temp\OnboardLogs" /stypes="app*4030*20170308*" /stext=" 13:.+((SYSTEM_STATE.+slice.+state.+changed )|(ment ac)|(multiple cpu faults)|(system.+state.+changed )|(\[timeout)|(PRM\|1\|D)|(kpr)|(kdp)|(\|lc)|(penalty))"</v>
      </c>
      <c r="AG22" s="1" t="str">
        <f t="shared" si="13"/>
        <v>EC</v>
      </c>
      <c r="AH22" s="86" t="str">
        <f t="shared" si="21"/>
        <v>"%USERPROFILE%\Documents\GitHub\eaglep3\Utilities\RefineRTDCRunTimes.py" --tripid 110-08 --locoid 4030 --swversion DE.1.0.9.0 --startMP 204:232991 --initTime 2017-03-08T05:26:34 --startdatetime 2017-03-08T05:41:56 --delay 1 --endMP 204:154 --enddatetime 2017-03-08T06:22:19 --enforcementcount 0 &gt;&gt;C:\Users\stu\Documents\GitHub\eaglep3-reporting\EC\2017-03-08-refined-times.txt</v>
      </c>
      <c r="AI22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{"issue":{"subject":"","project_id":79,"tracker_id":40,"status_id":1,"priority_id":2,"assigned_to_id":23,"start_date":"2017-03-08","description":"","custom_fields":[{"id":1,"name":"Subdivision","value":"EC"},{"id":4,"name":"Milepost","value":"0.0154"},{"id":17,"name":"Train ID","value":"110-08"},{"id":16,"name":"Locomotive ID","value":"4030"},{"id":130,"name":"Impact","value":""},{"id":150,"name":"Time of Event (Mountain Time)","value":"06:22:19"},{"id":151,"name":"Denver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3"/>
        <v>start /low /b %USERPROFILE%\Documents\GitHub\eaglep3\Utilities\DownloadLogsFromS3.py --loco 4030 --day 2017-03-08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"%USERPROFILE%\AppData\Local\Temp\OnboardLogs"\RTDC4030\*4030*20170308* | grep -SE "(Enforcement Action)|(\[TIMEOUT)|(CHR.+\|PRM\|1\|D.+(SWITCH|SIGNAL).+UNKNOWN)" - &gt;&gt; 2017-03-08-UncaughtWiMAX.txt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563</v>
      </c>
      <c r="B23" s="7">
        <v>4003</v>
      </c>
      <c r="C23" s="21" t="s">
        <v>242</v>
      </c>
      <c r="D23" s="21" t="s">
        <v>835</v>
      </c>
      <c r="E23" s="13">
        <v>42802.204884259256</v>
      </c>
      <c r="F23" s="13">
        <v>42802.20853009259</v>
      </c>
      <c r="G23" s="7">
        <v>1</v>
      </c>
      <c r="H23" s="21" t="s">
        <v>251</v>
      </c>
      <c r="I23" s="13">
        <v>42802.234247685185</v>
      </c>
      <c r="J23" s="7">
        <v>0</v>
      </c>
      <c r="K23" s="98" t="str">
        <f t="shared" si="0"/>
        <v>4003/4004</v>
      </c>
      <c r="L23" s="21" t="str">
        <f>VLOOKUP(A23,'Trips&amp;Operators'!$C$1:$G$99999,5,FALSE)</f>
        <v>YANAI IAN</v>
      </c>
      <c r="M23" s="6">
        <f t="shared" si="1"/>
        <v>2.5717592594446614E-2</v>
      </c>
      <c r="N23" s="7">
        <f t="shared" si="20"/>
        <v>37.033333336003125</v>
      </c>
      <c r="O23" s="7"/>
      <c r="P23" s="7"/>
      <c r="Q23" s="22"/>
      <c r="R23" s="22"/>
      <c r="S23" s="31">
        <f t="shared" si="2"/>
        <v>1</v>
      </c>
      <c r="T23" s="46" t="str">
        <f t="shared" si="3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4"/>
        <v>https://d0f6bd738d7f1b3e5a7ca70fe4ff75f0.us-east-1.aws.found.io/app/kibana#/discover/Steve-Slow-Train-Analysis-(2080s-and-2083s)?_g=(refreshInterval:(display:Off,pause:!f,section:0,value:0),time:(from:'2017-03-08T03:55:02-0700',mode:absolute,to:'2017-03-08T06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" s="187" t="str">
        <f t="shared" si="5"/>
        <v>N</v>
      </c>
      <c r="X23" s="187">
        <f t="shared" si="6"/>
        <v>1</v>
      </c>
      <c r="Y23" s="62">
        <f t="shared" si="7"/>
        <v>0.11559999999999999</v>
      </c>
      <c r="Z23" s="62">
        <f t="shared" si="8"/>
        <v>23.329899999999999</v>
      </c>
      <c r="AA23" s="62">
        <f t="shared" si="9"/>
        <v>23.214299999999998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0"/>
        <v>0111-08</v>
      </c>
      <c r="AE23" s="85" t="str">
        <f t="shared" si="11"/>
        <v>aws s3 cp s3://rtdc.mdm.uploadarchive.raw/RTDC4003/ "%USERPROFILE%\AppData\Local\Temp\OnboardLogs"\RTDC4003\2017-03-08 --exclude "*" --recursive --include "*20170308*" &amp; "%USERPROFILE%\Documents\GitHub\mrs-test-scripts\Headless Mode &amp; Sideloading\WalkAndUnGZ.bat" "%USERPROFILE%\AppData\Local\Temp\OnboardLogs"\RTDC4003\2017-03-08 &amp; 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</v>
      </c>
      <c r="AF23" s="82" t="str">
        <f t="shared" si="12"/>
        <v>"C:\Program Files (x86)\AstroGrep\AstroGrep.exe" /e /r /s /spath="%USERPROFILE%\AppData\Local\Temp\OnboardLogs" /stypes="app*4003*20170308*" /stext=" 12:.+((SYSTEM_STATE.+slice.+state.+changed )|(ment ac)|(multiple cpu faults)|(system.+state.+changed )|(\[timeout)|(PRM\|1\|D)|(kpr)|(kdp)|(\|lc)|(penalty))"</v>
      </c>
      <c r="AG23" s="1" t="str">
        <f t="shared" si="13"/>
        <v>EC</v>
      </c>
      <c r="AH23" s="86" t="str">
        <f t="shared" si="21"/>
        <v>"%USERPROFILE%\Documents\GitHub\eaglep3\Utilities\RefineRTDCRunTimes.py" --tripid 111-08 --locoid 4003 --swversion DE.1.0.9.0 --startMP 204:1156 --initTime 2017-03-08T04:55:02 --startdatetime 2017-03-08T05:00:17 --delay 1 --endMP 204:233299 --enddatetime 2017-03-08T05:37:19 --enforcementcount 0 &gt;&gt;C:\Users\stu\Documents\GitHub\eaglep3-reporting\EC\2017-03-08-refined-times.txt</v>
      </c>
      <c r="AI23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{"issue":{"subject":"","project_id":79,"tracker_id":40,"status_id":1,"priority_id":2,"assigned_to_id":23,"start_date":"2017-03-08","description":"","custom_fields":[{"id":1,"name":"Subdivision","value":"EC"},{"id":4,"name":"Milepost","value":"23.3299"},{"id":17,"name":"Train ID","value":"111-08"},{"id":16,"name":"Locomotive ID","value":"4003"},{"id":130,"name":"Impact","value":""},{"id":150,"name":"Time of Event (Mountain Time)","value":"05:37:19"},{"id":151,"name":"Denver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3"/>
        <v>start /low /b %USERPROFILE%\Documents\GitHub\eaglep3\Utilities\DownloadLogsFromS3.py --loco 4003 --day 2017-03-08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"%USERPROFILE%\AppData\Local\Temp\OnboardLogs"\RTDC4003\*4003*20170308* | grep -SE "(Enforcement Action)|(\[TIMEOUT)|(CHR.+\|PRM\|1\|D.+(SWITCH|SIGNAL).+UNKNOWN)" - &gt;&gt; 2017-03-08-UncaughtWiMAX.txt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631</v>
      </c>
      <c r="B24" s="7">
        <v>4004</v>
      </c>
      <c r="C24" s="21" t="s">
        <v>242</v>
      </c>
      <c r="D24" s="21" t="s">
        <v>464</v>
      </c>
      <c r="E24" s="13">
        <v>42802.237754629627</v>
      </c>
      <c r="F24" s="13">
        <v>42802.247372685182</v>
      </c>
      <c r="G24" s="7">
        <v>2</v>
      </c>
      <c r="H24" s="21" t="s">
        <v>228</v>
      </c>
      <c r="I24" s="13">
        <v>42802.27449074074</v>
      </c>
      <c r="J24" s="7">
        <v>0</v>
      </c>
      <c r="K24" s="98" t="str">
        <f t="shared" si="0"/>
        <v>4003/4004</v>
      </c>
      <c r="L24" s="21" t="str">
        <f>VLOOKUP(A24,'Trips&amp;Operators'!$C$1:$G$99999,5,FALSE)</f>
        <v>YANAI IAN</v>
      </c>
      <c r="M24" s="6">
        <f t="shared" si="1"/>
        <v>2.7118055557366461E-2</v>
      </c>
      <c r="N24" s="7">
        <f t="shared" si="20"/>
        <v>39.050000002607703</v>
      </c>
      <c r="O24" s="7"/>
      <c r="P24" s="7"/>
      <c r="Q24" s="22"/>
      <c r="R24" s="22"/>
      <c r="S24" s="31">
        <f t="shared" si="2"/>
        <v>1</v>
      </c>
      <c r="T24" s="46" t="str">
        <f t="shared" si="3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4"/>
        <v>https://d0f6bd738d7f1b3e5a7ca70fe4ff75f0.us-east-1.aws.found.io/app/kibana#/discover/Steve-Slow-Train-Analysis-(2080s-and-2083s)?_g=(refreshInterval:(display:Off,pause:!f,section:0,value:0),time:(from:'2017-03-08T04:42:22-0700',mode:absolute,to:'2017-03-08T07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" s="187" t="str">
        <f t="shared" si="5"/>
        <v>N</v>
      </c>
      <c r="X24" s="187">
        <f t="shared" si="6"/>
        <v>1</v>
      </c>
      <c r="Y24" s="62">
        <f t="shared" si="7"/>
        <v>23.297999999999998</v>
      </c>
      <c r="Z24" s="62">
        <f t="shared" si="8"/>
        <v>1.3899999999999999E-2</v>
      </c>
      <c r="AA24" s="62">
        <f t="shared" si="9"/>
        <v>23.284099999999999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0"/>
        <v>0112-08</v>
      </c>
      <c r="AE24" s="85" t="str">
        <f t="shared" si="11"/>
        <v>aws s3 cp s3://rtdc.mdm.uploadarchive.raw/RTDC4004/ "%USERPROFILE%\AppData\Local\Temp\OnboardLogs"\RTDC4004\2017-03-08 --exclude "*" --recursive --include "*20170308*" &amp; "%USERPROFILE%\Documents\GitHub\mrs-test-scripts\Headless Mode &amp; Sideloading\WalkAndUnGZ.bat" "%USERPROFILE%\AppData\Local\Temp\OnboardLogs"\RTDC4004\2017-03-08 &amp; 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</v>
      </c>
      <c r="AF24" s="82" t="str">
        <f t="shared" si="12"/>
        <v>"C:\Program Files (x86)\AstroGrep\AstroGrep.exe" /e /r /s /spath="%USERPROFILE%\AppData\Local\Temp\OnboardLogs" /stypes="app*4004*20170308*" /stext=" 13:.+((SYSTEM_STATE.+slice.+state.+changed )|(ment ac)|(multiple cpu faults)|(system.+state.+changed )|(\[timeout)|(PRM\|1\|D)|(kpr)|(kdp)|(\|lc)|(penalty))"</v>
      </c>
      <c r="AG24" s="1" t="str">
        <f t="shared" si="13"/>
        <v>EC</v>
      </c>
      <c r="AH24" s="86" t="str">
        <f t="shared" si="21"/>
        <v>"%USERPROFILE%\Documents\GitHub\eaglep3\Utilities\RefineRTDCRunTimes.py" --tripid 112-08 --locoid 4004 --swversion DE.1.0.9.0 --startMP 204:232980 --initTime 2017-03-08T05:42:22 --startdatetime 2017-03-08T05:56:13 --delay 2 --endMP 204:139 --enddatetime 2017-03-08T06:35:16 --enforcementcount 0 &gt;&gt;C:\Users\stu\Documents\GitHub\eaglep3-reporting\EC\2017-03-08-refined-times.txt</v>
      </c>
      <c r="AI24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{"issue":{"subject":"","project_id":79,"tracker_id":40,"status_id":1,"priority_id":2,"assigned_to_id":23,"start_date":"2017-03-08","description":"","custom_fields":[{"id":1,"name":"Subdivision","value":"EC"},{"id":4,"name":"Milepost","value":"0.0139"},{"id":17,"name":"Train ID","value":"112-08"},{"id":16,"name":"Locomotive ID","value":"4004"},{"id":130,"name":"Impact","value":""},{"id":150,"name":"Time of Event (Mountain Time)","value":"06:35:16"},{"id":151,"name":"Denver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3"/>
        <v>start /low /b %USERPROFILE%\Documents\GitHub\eaglep3\Utilities\DownloadLogsFromS3.py --loco 4004 --day 2017-03-08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"%USERPROFILE%\AppData\Local\Temp\OnboardLogs"\RTDC4004\*4004*20170308* | grep -SE "(Enforcement Action)|(\[TIMEOUT)|(CHR.+\|PRM\|1\|D.+(SWITCH|SIGNAL).+UNKNOWN)" - &gt;&gt; 2017-03-08-UncaughtWiMAX.txt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625</v>
      </c>
      <c r="B25" s="7">
        <v>4046</v>
      </c>
      <c r="C25" s="21" t="s">
        <v>242</v>
      </c>
      <c r="D25" s="21" t="s">
        <v>836</v>
      </c>
      <c r="E25" s="13">
        <v>42802.212951388887</v>
      </c>
      <c r="F25" s="13">
        <v>42802.219456018516</v>
      </c>
      <c r="G25" s="7">
        <v>1</v>
      </c>
      <c r="H25" s="21" t="s">
        <v>436</v>
      </c>
      <c r="I25" s="13">
        <v>42802.247245370374</v>
      </c>
      <c r="J25" s="7">
        <v>0</v>
      </c>
      <c r="K25" s="98" t="str">
        <f t="shared" si="0"/>
        <v>4045/4046</v>
      </c>
      <c r="L25" s="21" t="str">
        <f>VLOOKUP(A25,'Trips&amp;Operators'!$C$1:$G$99999,5,FALSE)</f>
        <v>YOUNG ELIZABETH</v>
      </c>
      <c r="M25" s="6">
        <f t="shared" si="1"/>
        <v>2.7789351857791189E-2</v>
      </c>
      <c r="N25" s="7">
        <f t="shared" si="20"/>
        <v>40.016666675219312</v>
      </c>
      <c r="O25" s="7"/>
      <c r="P25" s="7"/>
      <c r="Q25" s="22"/>
      <c r="R25" s="22"/>
      <c r="S25" s="31">
        <f t="shared" si="2"/>
        <v>1</v>
      </c>
      <c r="T25" s="46" t="str">
        <f t="shared" si="3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4"/>
        <v>https://d0f6bd738d7f1b3e5a7ca70fe4ff75f0.us-east-1.aws.found.io/app/kibana#/discover/Steve-Slow-Train-Analysis-(2080s-and-2083s)?_g=(refreshInterval:(display:Off,pause:!f,section:0,value:0),time:(from:'2017-03-08T04:06:39-0700',mode:absolute,to:'2017-03-08T06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5" s="187" t="str">
        <f t="shared" si="5"/>
        <v>N</v>
      </c>
      <c r="X25" s="187">
        <f t="shared" ref="X25:X26" si="24">VALUE(LEFT(AD25,4))-VALUE(LEFT(AD24,4))</f>
        <v>1</v>
      </c>
      <c r="Y25" s="62">
        <f t="shared" si="7"/>
        <v>7.6600000000000001E-2</v>
      </c>
      <c r="Z25" s="62">
        <f t="shared" si="8"/>
        <v>23.332100000000001</v>
      </c>
      <c r="AA25" s="62">
        <f t="shared" si="9"/>
        <v>23.255500000000001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0"/>
        <v>0113-08</v>
      </c>
      <c r="AE25" s="85" t="str">
        <f t="shared" si="11"/>
        <v>aws s3 cp s3://rtdc.mdm.uploadarchive.raw/RTDC4046/ "%USERPROFILE%\AppData\Local\Temp\OnboardLogs"\RTDC4046\2017-03-08 --exclude "*" --recursive --include "*20170308*" &amp; "%USERPROFILE%\Documents\GitHub\mrs-test-scripts\Headless Mode &amp; Sideloading\WalkAndUnGZ.bat" "%USERPROFILE%\AppData\Local\Temp\OnboardLogs"\RTDC4046\2017-03-08 &amp; aws s3 cp s3://rtdc.mdm.uploadarchive.raw/RTDC4046/ "%USERPROFILE%\AppData\Local\Temp\OnboardLogs"\RTDC4046\2017-03-09 --exclude "*" --recursive --include "*20170309*" &amp; "%USERPROFILE%\Documents\GitHub\mrs-test-scripts\Headless Mode &amp; Sideloading\WalkAndUnGZ.bat" "%USERPROFILE%\AppData\Local\Temp\OnboardLogs"\RTDC4046\2017-03-09</v>
      </c>
      <c r="AF25" s="82" t="str">
        <f t="shared" si="12"/>
        <v>"C:\Program Files (x86)\AstroGrep\AstroGrep.exe" /e /r /s /spath="%USERPROFILE%\AppData\Local\Temp\OnboardLogs" /stypes="app*4046*20170308*" /stext=" 12:.+((SYSTEM_STATE.+slice.+state.+changed )|(ment ac)|(multiple cpu faults)|(system.+state.+changed )|(\[timeout)|(PRM\|1\|D)|(kpr)|(kdp)|(\|lc)|(penalty))"</v>
      </c>
      <c r="AG25" s="1" t="str">
        <f t="shared" si="13"/>
        <v>EC</v>
      </c>
      <c r="AH25" s="86" t="str">
        <f t="shared" si="21"/>
        <v>"%USERPROFILE%\Documents\GitHub\eaglep3\Utilities\RefineRTDCRunTimes.py" --tripid 113-08 --locoid 4046 --swversion DE.1.0.9.0 --startMP 204:766 --initTime 2017-03-08T05:06:39 --startdatetime 2017-03-08T05:16:01 --delay 1 --endMP 204:233321 --enddatetime 2017-03-08T05:56:02 --enforcementcount 0 &gt;&gt;C:\Users\stu\Documents\GitHub\eaglep3-reporting\EC\2017-03-08-refined-times.txt</v>
      </c>
      <c r="AI25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{"issue":{"subject":"","project_id":79,"tracker_id":40,"status_id":1,"priority_id":2,"assigned_to_id":23,"start_date":"2017-03-08","description":"","custom_fields":[{"id":1,"name":"Subdivision","value":"EC"},{"id":4,"name":"Milepost","value":"23.3321"},{"id":17,"name":"Train ID","value":"113-08"},{"id":16,"name":"Locomotive ID","value":"4046"},{"id":130,"name":"Impact","value":""},{"id":150,"name":"Time of Event (Mountain Time)","value":"05:56:02"},{"id":151,"name":"Denver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3"/>
        <v>start /low /b %USERPROFILE%\Documents\GitHub\eaglep3\Utilities\DownloadLogsFromS3.py --loco 4046 --day 2017-03-08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"%USERPROFILE%\AppData\Local\Temp\OnboardLogs"\RTDC4046\*4046*20170308* | grep -SE "(Enforcement Action)|(\[TIMEOUT)|(CHR.+\|PRM\|1\|D.+(SWITCH|SIGNAL).+UNKNOWN)" - &gt;&gt; 2017-03-08-UncaughtWiMAX.txt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636</v>
      </c>
      <c r="B26" s="7">
        <v>4045</v>
      </c>
      <c r="C26" s="21" t="s">
        <v>242</v>
      </c>
      <c r="D26" s="21" t="s">
        <v>837</v>
      </c>
      <c r="E26" s="13">
        <v>42802.249722222223</v>
      </c>
      <c r="F26" s="13">
        <v>42802.257847222223</v>
      </c>
      <c r="G26" s="7">
        <v>2</v>
      </c>
      <c r="H26" s="21" t="s">
        <v>838</v>
      </c>
      <c r="I26" s="13">
        <v>42802.286782407406</v>
      </c>
      <c r="J26" s="7">
        <v>0</v>
      </c>
      <c r="K26" s="98" t="str">
        <f t="shared" si="0"/>
        <v>4045/4046</v>
      </c>
      <c r="L26" s="21" t="str">
        <f>VLOOKUP(A26,'Trips&amp;Operators'!$C$1:$G$99999,5,FALSE)</f>
        <v>YOUNG ELIZABETH</v>
      </c>
      <c r="M26" s="6">
        <f t="shared" si="1"/>
        <v>2.8935185182490386E-2</v>
      </c>
      <c r="N26" s="7">
        <f t="shared" si="20"/>
        <v>41.666666662786156</v>
      </c>
      <c r="O26" s="7"/>
      <c r="P26" s="7"/>
      <c r="Q26" s="22"/>
      <c r="R26" s="22"/>
      <c r="S26" s="31">
        <f t="shared" si="2"/>
        <v>1</v>
      </c>
      <c r="T26" s="46" t="str">
        <f t="shared" si="3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4"/>
        <v>https://d0f6bd738d7f1b3e5a7ca70fe4ff75f0.us-east-1.aws.found.io/app/kibana#/discover/Steve-Slow-Train-Analysis-(2080s-and-2083s)?_g=(refreshInterval:(display:Off,pause:!f,section:0,value:0),time:(from:'2017-03-08T04:59:36-0700',mode:absolute,to:'2017-03-08T07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6" s="187" t="str">
        <f t="shared" si="5"/>
        <v>N</v>
      </c>
      <c r="X26" s="187">
        <f t="shared" si="24"/>
        <v>1</v>
      </c>
      <c r="Y26" s="62">
        <f t="shared" si="7"/>
        <v>23.3002</v>
      </c>
      <c r="Z26" s="62">
        <f t="shared" si="8"/>
        <v>1.7999999999999999E-2</v>
      </c>
      <c r="AA26" s="62">
        <f t="shared" si="9"/>
        <v>23.2822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0"/>
        <v>0114-08</v>
      </c>
      <c r="AE26" s="85" t="str">
        <f t="shared" si="11"/>
        <v>aws s3 cp s3://rtdc.mdm.uploadarchive.raw/RTDC4045/ "%USERPROFILE%\AppData\Local\Temp\OnboardLogs"\RTDC4045\2017-03-08 --exclude "*" --recursive --include "*20170308*" &amp; "%USERPROFILE%\Documents\GitHub\mrs-test-scripts\Headless Mode &amp; Sideloading\WalkAndUnGZ.bat" "%USERPROFILE%\AppData\Local\Temp\OnboardLogs"\RTDC4045\2017-03-08 &amp; aws s3 cp s3://rtdc.mdm.uploadarchive.raw/RTDC4045/ "%USERPROFILE%\AppData\Local\Temp\OnboardLogs"\RTDC4045\2017-03-09 --exclude "*" --recursive --include "*20170309*" &amp; "%USERPROFILE%\Documents\GitHub\mrs-test-scripts\Headless Mode &amp; Sideloading\WalkAndUnGZ.bat" "%USERPROFILE%\AppData\Local\Temp\OnboardLogs"\RTDC4045\2017-03-09</v>
      </c>
      <c r="AF26" s="82" t="str">
        <f t="shared" si="12"/>
        <v>"C:\Program Files (x86)\AstroGrep\AstroGrep.exe" /e /r /s /spath="%USERPROFILE%\AppData\Local\Temp\OnboardLogs" /stypes="app*4045*20170308*" /stext=" 13:.+((SYSTEM_STATE.+slice.+state.+changed )|(ment ac)|(multiple cpu faults)|(system.+state.+changed )|(\[timeout)|(PRM\|1\|D)|(kpr)|(kdp)|(\|lc)|(penalty))"</v>
      </c>
      <c r="AG26" s="1" t="str">
        <f t="shared" si="13"/>
        <v>EC</v>
      </c>
      <c r="AH26" s="86" t="str">
        <f t="shared" si="21"/>
        <v>"%USERPROFILE%\Documents\GitHub\eaglep3\Utilities\RefineRTDCRunTimes.py" --tripid 114-08 --locoid 4045 --swversion DE.1.0.9.0 --startMP 204:233002 --initTime 2017-03-08T05:59:36 --startdatetime 2017-03-08T06:11:18 --delay 2 --endMP 204:180 --enddatetime 2017-03-08T06:52:58 --enforcementcount 0 &gt;&gt;C:\Users\stu\Documents\GitHub\eaglep3-reporting\EC\2017-03-08-refined-times.txt</v>
      </c>
      <c r="AI26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{"issue":{"subject":"","project_id":79,"tracker_id":40,"status_id":1,"priority_id":2,"assigned_to_id":23,"start_date":"2017-03-08","description":"","custom_fields":[{"id":1,"name":"Subdivision","value":"EC"},{"id":4,"name":"Milepost","value":"0.018"},{"id":17,"name":"Train ID","value":"114-08"},{"id":16,"name":"Locomotive ID","value":"4045"},{"id":130,"name":"Impact","value":""},{"id":150,"name":"Time of Event (Mountain Time)","value":"06:52:58"},{"id":151,"name":"Denver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3"/>
        <v>start /low /b %USERPROFILE%\Documents\GitHub\eaglep3\Utilities\DownloadLogsFromS3.py --loco 4045 --day 2017-03-08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"%USERPROFILE%\AppData\Local\Temp\OnboardLogs"\RTDC4045\*4045*20170308* | grep -SE "(Enforcement Action)|(\[TIMEOUT)|(CHR.+\|PRM\|1\|D.+(SWITCH|SIGNAL).+UNKNOWN)" - &gt;&gt; 2017-03-08-UncaughtWiMAX.txt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627</v>
      </c>
      <c r="B27" s="7">
        <v>4042</v>
      </c>
      <c r="C27" s="21" t="s">
        <v>242</v>
      </c>
      <c r="D27" s="21" t="s">
        <v>230</v>
      </c>
      <c r="E27" s="13">
        <v>42802.222754629627</v>
      </c>
      <c r="F27" s="13">
        <v>42802.22934027778</v>
      </c>
      <c r="G27" s="7">
        <v>6</v>
      </c>
      <c r="H27" s="21" t="s">
        <v>248</v>
      </c>
      <c r="I27" s="13">
        <v>42802.254421296297</v>
      </c>
      <c r="J27" s="7">
        <v>0</v>
      </c>
      <c r="K27" s="98" t="str">
        <f t="shared" si="0"/>
        <v>4041/4042</v>
      </c>
      <c r="L27" s="21" t="str">
        <f>VLOOKUP(A27,'Trips&amp;Operators'!$C$1:$G$99999,5,FALSE)</f>
        <v>STARKS ANGELINA</v>
      </c>
      <c r="M27" s="6">
        <f t="shared" si="1"/>
        <v>2.5081018517084885E-2</v>
      </c>
      <c r="N27" s="7">
        <f t="shared" si="20"/>
        <v>36.116666664602235</v>
      </c>
      <c r="O27" s="7"/>
      <c r="P27" s="7"/>
      <c r="Q27" s="22"/>
      <c r="R27" s="22"/>
      <c r="S27" s="31">
        <f t="shared" si="2"/>
        <v>1</v>
      </c>
      <c r="T27" s="46" t="str">
        <f t="shared" si="3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4"/>
        <v>https://d0f6bd738d7f1b3e5a7ca70fe4ff75f0.us-east-1.aws.found.io/app/kibana#/discover/Steve-Slow-Train-Analysis-(2080s-and-2083s)?_g=(refreshInterval:(display:Off,pause:!f,section:0,value:0),time:(from:'2017-03-08T04:20:46-0700',mode:absolute,to:'2017-03-08T07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187" t="str">
        <f t="shared" si="5"/>
        <v>N</v>
      </c>
      <c r="X27" s="187">
        <f t="shared" ref="X27:X58" si="25">VALUE(LEFT(AD27,4))-VALUE(LEFT(AD26,4))</f>
        <v>1</v>
      </c>
      <c r="Y27" s="62">
        <f t="shared" si="7"/>
        <v>4.3999999999999997E-2</v>
      </c>
      <c r="Z27" s="62">
        <f t="shared" si="8"/>
        <v>23.329699999999999</v>
      </c>
      <c r="AA27" s="62">
        <f t="shared" si="9"/>
        <v>23.285699999999999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0"/>
        <v>0115-08</v>
      </c>
      <c r="AE27" s="85" t="str">
        <f t="shared" si="11"/>
        <v>aws s3 cp s3://rtdc.mdm.uploadarchive.raw/RTDC4042/ "%USERPROFILE%\AppData\Local\Temp\OnboardLogs"\RTDC4042\2017-03-08 --exclude "*" --recursive --include "*20170308*" &amp; "%USERPROFILE%\Documents\GitHub\mrs-test-scripts\Headless Mode &amp; Sideloading\WalkAndUnGZ.bat" "%USERPROFILE%\AppData\Local\Temp\OnboardLogs"\RTDC4042\2017-03-08 &amp; aws s3 cp s3://rtdc.mdm.uploadarchive.raw/RTDC4042/ "%USERPROFILE%\AppData\Local\Temp\OnboardLogs"\RTDC4042\2017-03-09 --exclude "*" --recursive --include "*20170309*" &amp; "%USERPROFILE%\Documents\GitHub\mrs-test-scripts\Headless Mode &amp; Sideloading\WalkAndUnGZ.bat" "%USERPROFILE%\AppData\Local\Temp\OnboardLogs"\RTDC4042\2017-03-09</v>
      </c>
      <c r="AF27" s="82" t="str">
        <f t="shared" si="12"/>
        <v>"C:\Program Files (x86)\AstroGrep\AstroGrep.exe" /e /r /s /spath="%USERPROFILE%\AppData\Local\Temp\OnboardLogs" /stypes="app*4042*20170308*" /stext=" 13:.+((SYSTEM_STATE.+slice.+state.+changed )|(ment ac)|(multiple cpu faults)|(system.+state.+changed )|(\[timeout)|(PRM\|1\|D)|(kpr)|(kdp)|(\|lc)|(penalty))"</v>
      </c>
      <c r="AG27" s="1" t="str">
        <f t="shared" si="13"/>
        <v>EC</v>
      </c>
      <c r="AH27" s="86" t="str">
        <f t="shared" si="21"/>
        <v>"%USERPROFILE%\Documents\GitHub\eaglep3\Utilities\RefineRTDCRunTimes.py" --tripid 115-08 --locoid 4042 --swversion DE.1.0.9.0 --startMP 204:440 --initTime 2017-03-08T05:20:46 --startdatetime 2017-03-08T05:30:15 --delay 6 --endMP 204:233297 --enddatetime 2017-03-08T06:06:22 --enforcementcount 0 &gt;&gt;C:\Users\stu\Documents\GitHub\eaglep3-reporting\EC\2017-03-08-refined-times.txt</v>
      </c>
      <c r="AI27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{"issue":{"subject":"","project_id":79,"tracker_id":40,"status_id":1,"priority_id":2,"assigned_to_id":23,"start_date":"2017-03-08","description":"","custom_fields":[{"id":1,"name":"Subdivision","value":"EC"},{"id":4,"name":"Milepost","value":"23.3297"},{"id":17,"name":"Train ID","value":"115-08"},{"id":16,"name":"Locomotive ID","value":"4042"},{"id":130,"name":"Impact","value":""},{"id":150,"name":"Time of Event (Mountain Time)","value":"06:06:22"},{"id":151,"name":"Denver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3"/>
        <v>start /low /b %USERPROFILE%\Documents\GitHub\eaglep3\Utilities\DownloadLogsFromS3.py --loco 4042 --day 2017-03-08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"%USERPROFILE%\AppData\Local\Temp\OnboardLogs"\RTDC4042\*4042*20170308* | grep -SE "(Enforcement Action)|(\[TIMEOUT)|(CHR.+\|PRM\|1\|D.+(SWITCH|SIGNAL).+UNKNOWN)" - &gt;&gt; 2017-03-08-UncaughtWiMAX.txt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567</v>
      </c>
      <c r="B28" s="7">
        <v>4041</v>
      </c>
      <c r="C28" s="21" t="s">
        <v>242</v>
      </c>
      <c r="D28" s="21" t="s">
        <v>505</v>
      </c>
      <c r="E28" s="13">
        <v>42802.256412037037</v>
      </c>
      <c r="F28" s="13">
        <v>42802.268217592595</v>
      </c>
      <c r="G28" s="7">
        <v>1</v>
      </c>
      <c r="H28" s="21" t="s">
        <v>228</v>
      </c>
      <c r="I28" s="13">
        <v>42802.297453703701</v>
      </c>
      <c r="J28" s="7">
        <v>0</v>
      </c>
      <c r="K28" s="98" t="str">
        <f t="shared" si="0"/>
        <v>4041/4042</v>
      </c>
      <c r="L28" s="21" t="str">
        <f>VLOOKUP(A28,'Trips&amp;Operators'!$C$1:$G$99999,5,FALSE)</f>
        <v>STARKS ANGELINA</v>
      </c>
      <c r="M28" s="6">
        <f t="shared" si="1"/>
        <v>2.9236111106001772E-2</v>
      </c>
      <c r="N28" s="7">
        <f t="shared" si="20"/>
        <v>42.099999992642552</v>
      </c>
      <c r="O28" s="7"/>
      <c r="P28" s="7"/>
      <c r="Q28" s="22"/>
      <c r="R28" s="22"/>
      <c r="S28" s="31">
        <f t="shared" si="2"/>
        <v>1</v>
      </c>
      <c r="T28" s="46" t="str">
        <f t="shared" si="3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4"/>
        <v>https://d0f6bd738d7f1b3e5a7ca70fe4ff75f0.us-east-1.aws.found.io/app/kibana#/discover/Steve-Slow-Train-Analysis-(2080s-and-2083s)?_g=(refreshInterval:(display:Off,pause:!f,section:0,value:0),time:(from:'2017-03-08T05:09:14-0700',mode:absolute,to:'2017-03-08T08:08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187" t="str">
        <f t="shared" si="5"/>
        <v>N</v>
      </c>
      <c r="X28" s="187">
        <f t="shared" si="25"/>
        <v>1</v>
      </c>
      <c r="Y28" s="62">
        <f t="shared" si="7"/>
        <v>23.296299999999999</v>
      </c>
      <c r="Z28" s="62">
        <f t="shared" si="8"/>
        <v>1.3899999999999999E-2</v>
      </c>
      <c r="AA28" s="62">
        <f t="shared" si="9"/>
        <v>23.282399999999999</v>
      </c>
      <c r="AB28" s="59" t="str">
        <f>VLOOKUP(A28,Enforcements!$C$7:$K$13,8,0)</f>
        <v>Bulletin (2)</v>
      </c>
      <c r="AC28" s="55" t="str">
        <f>VLOOKUP(A28,Enforcements!$C$7:$E$13,3,0)</f>
        <v>GRADE CROSSING</v>
      </c>
      <c r="AD28" s="56" t="str">
        <f t="shared" si="10"/>
        <v>0116-08</v>
      </c>
      <c r="AE28" s="85" t="str">
        <f t="shared" si="11"/>
        <v>aws s3 cp s3://rtdc.mdm.uploadarchive.raw/RTDC4041/ "%USERPROFILE%\AppData\Local\Temp\OnboardLogs"\RTDC4041\2017-03-08 --exclude "*" --recursive --include "*20170308*" &amp; "%USERPROFILE%\Documents\GitHub\mrs-test-scripts\Headless Mode &amp; Sideloading\WalkAndUnGZ.bat" "%USERPROFILE%\AppData\Local\Temp\OnboardLogs"\RTDC4041\2017-03-08 &amp; aws s3 cp s3://rtdc.mdm.uploadarchive.raw/RTDC4041/ "%USERPROFILE%\AppData\Local\Temp\OnboardLogs"\RTDC4041\2017-03-09 --exclude "*" --recursive --include "*20170309*" &amp; "%USERPROFILE%\Documents\GitHub\mrs-test-scripts\Headless Mode &amp; Sideloading\WalkAndUnGZ.bat" "%USERPROFILE%\AppData\Local\Temp\OnboardLogs"\RTDC4041\2017-03-09</v>
      </c>
      <c r="AF28" s="82" t="str">
        <f t="shared" si="12"/>
        <v>"C:\Program Files (x86)\AstroGrep\AstroGrep.exe" /e /r /s /spath="%USERPROFILE%\AppData\Local\Temp\OnboardLogs" /stypes="app*4041*20170308*" /stext=" 14:.+((SYSTEM_STATE.+slice.+state.+changed )|(ment ac)|(multiple cpu faults)|(system.+state.+changed )|(\[timeout)|(PRM\|1\|D)|(kpr)|(kdp)|(\|lc)|(penalty))"</v>
      </c>
      <c r="AG28" s="1" t="str">
        <f t="shared" si="13"/>
        <v>EC</v>
      </c>
      <c r="AH28" s="86" t="str">
        <f t="shared" si="21"/>
        <v>"%USERPROFILE%\Documents\GitHub\eaglep3\Utilities\RefineRTDCRunTimes.py" --tripid 116-08 --locoid 4041 --swversion DE.1.0.9.0 --startMP 204:232963 --initTime 2017-03-08T06:09:14 --startdatetime 2017-03-08T06:26:14 --delay 1 --endMP 204:139 --enddatetime 2017-03-08T07:08:20 --enforcementcount 0 &gt;&gt;C:\Users\stu\Documents\GitHub\eaglep3-reporting\EC\2017-03-08-refined-times.txt</v>
      </c>
      <c r="AI28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{"issue":{"subject":"","project_id":79,"tracker_id":40,"status_id":1,"priority_id":2,"assigned_to_id":23,"start_date":"2017-03-08","description":"","custom_fields":[{"id":1,"name":"Subdivision","value":"EC"},{"id":4,"name":"Milepost","value":"0.0139"},{"id":17,"name":"Train ID","value":"116-08"},{"id":16,"name":"Locomotive ID","value":"4041"},{"id":130,"name":"Impact","value":""},{"id":150,"name":"Time of Event (Mountain Time)","value":"07:08:20"},{"id":151,"name":"Denver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3"/>
        <v>start /low /b %USERPROFILE%\Documents\GitHub\eaglep3\Utilities\DownloadLogsFromS3.py --loco 4041 --day 2017-03-08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"%USERPROFILE%\AppData\Local\Temp\OnboardLogs"\RTDC4041\*4041*20170308* | grep -SE "(Enforcement Action)|(\[TIMEOUT)|(CHR.+\|PRM\|1\|D.+(SWITCH|SIGNAL).+UNKNOWN)" - &gt;&gt; 2017-03-08-UncaughtWiMAX.txt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630</v>
      </c>
      <c r="B29" s="7">
        <v>4009</v>
      </c>
      <c r="C29" s="21" t="s">
        <v>242</v>
      </c>
      <c r="D29" s="21" t="s">
        <v>839</v>
      </c>
      <c r="E29" s="13">
        <v>42802.232766203706</v>
      </c>
      <c r="F29" s="13">
        <v>42802.239837962959</v>
      </c>
      <c r="G29" s="7">
        <v>1</v>
      </c>
      <c r="H29" s="21" t="s">
        <v>296</v>
      </c>
      <c r="I29" s="13">
        <v>42802.265370370369</v>
      </c>
      <c r="J29" s="7">
        <v>0</v>
      </c>
      <c r="K29" s="98" t="str">
        <f t="shared" si="0"/>
        <v>4009/4010</v>
      </c>
      <c r="L29" s="21" t="str">
        <f>VLOOKUP(A29,'Trips&amp;Operators'!$C$1:$G$99999,5,FALSE)</f>
        <v>MAELZER KURT</v>
      </c>
      <c r="M29" s="6">
        <f t="shared" si="1"/>
        <v>2.5532407409627922E-2</v>
      </c>
      <c r="N29" s="7">
        <f t="shared" si="20"/>
        <v>36.766666669864208</v>
      </c>
      <c r="O29" s="7"/>
      <c r="P29" s="7"/>
      <c r="Q29" s="22"/>
      <c r="R29" s="22"/>
      <c r="S29" s="31">
        <f t="shared" si="2"/>
        <v>1</v>
      </c>
      <c r="T29" s="46" t="str">
        <f t="shared" si="3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4"/>
        <v>https://d0f6bd738d7f1b3e5a7ca70fe4ff75f0.us-east-1.aws.found.io/app/kibana#/discover/Steve-Slow-Train-Analysis-(2080s-and-2083s)?_g=(refreshInterval:(display:Off,pause:!f,section:0,value:0),time:(from:'2017-03-08T04:35:11-0700',mode:absolute,to:'2017-03-08T07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9" s="187" t="str">
        <f t="shared" si="5"/>
        <v>N</v>
      </c>
      <c r="X29" s="187">
        <f t="shared" si="25"/>
        <v>1</v>
      </c>
      <c r="Y29" s="62">
        <f t="shared" si="7"/>
        <v>7.1199999999999999E-2</v>
      </c>
      <c r="Z29" s="62">
        <f t="shared" si="8"/>
        <v>23.332899999999999</v>
      </c>
      <c r="AA29" s="62">
        <f t="shared" si="9"/>
        <v>23.261699999999998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0"/>
        <v>0117-08</v>
      </c>
      <c r="AE29" s="85" t="str">
        <f t="shared" si="11"/>
        <v>aws s3 cp s3://rtdc.mdm.uploadarchive.raw/RTDC4009/ "%USERPROFILE%\AppData\Local\Temp\OnboardLogs"\RTDC4009\2017-03-08 --exclude "*" --recursive --include "*20170308*" &amp; "%USERPROFILE%\Documents\GitHub\mrs-test-scripts\Headless Mode &amp; Sideloading\WalkAndUnGZ.bat" "%USERPROFILE%\AppData\Local\Temp\OnboardLogs"\RTDC4009\2017-03-08 &amp; aws s3 cp s3://rtdc.mdm.uploadarchive.raw/RTDC4009/ "%USERPROFILE%\AppData\Local\Temp\OnboardLogs"\RTDC4009\2017-03-09 --exclude "*" --recursive --include "*20170309*" &amp; "%USERPROFILE%\Documents\GitHub\mrs-test-scripts\Headless Mode &amp; Sideloading\WalkAndUnGZ.bat" "%USERPROFILE%\AppData\Local\Temp\OnboardLogs"\RTDC4009\2017-03-09</v>
      </c>
      <c r="AF29" s="82" t="str">
        <f t="shared" si="12"/>
        <v>"C:\Program Files (x86)\AstroGrep\AstroGrep.exe" /e /r /s /spath="%USERPROFILE%\AppData\Local\Temp\OnboardLogs" /stypes="app*4009*20170308*" /stext=" 13:.+((SYSTEM_STATE.+slice.+state.+changed )|(ment ac)|(multiple cpu faults)|(system.+state.+changed )|(\[timeout)|(PRM\|1\|D)|(kpr)|(kdp)|(\|lc)|(penalty))"</v>
      </c>
      <c r="AG29" s="1" t="str">
        <f t="shared" si="13"/>
        <v>EC</v>
      </c>
      <c r="AH29" s="86" t="str">
        <f t="shared" si="21"/>
        <v>"%USERPROFILE%\Documents\GitHub\eaglep3\Utilities\RefineRTDCRunTimes.py" --tripid 117-08 --locoid 4009 --swversion DE.1.0.9.0 --startMP 204:712 --initTime 2017-03-08T05:35:11 --startdatetime 2017-03-08T05:45:22 --delay 1 --endMP 204:233329 --enddatetime 2017-03-08T06:22:08 --enforcementcount 0 &gt;&gt;C:\Users\stu\Documents\GitHub\eaglep3-reporting\EC\2017-03-08-refined-times.txt</v>
      </c>
      <c r="AI29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{"issue":{"subject":"","project_id":79,"tracker_id":40,"status_id":1,"priority_id":2,"assigned_to_id":23,"start_date":"2017-03-08","description":"","custom_fields":[{"id":1,"name":"Subdivision","value":"EC"},{"id":4,"name":"Milepost","value":"23.3329"},{"id":17,"name":"Train ID","value":"117-08"},{"id":16,"name":"Locomotive ID","value":"4009"},{"id":130,"name":"Impact","value":""},{"id":150,"name":"Time of Event (Mountain Time)","value":"06:22:08"},{"id":151,"name":"Denver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3"/>
        <v>start /low /b %USERPROFILE%\Documents\GitHub\eaglep3\Utilities\DownloadLogsFromS3.py --loco 4009 --day 2017-03-08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"%USERPROFILE%\AppData\Local\Temp\OnboardLogs"\RTDC4009\*4009*20170308* | grep -SE "(Enforcement Action)|(\[TIMEOUT)|(CHR.+\|PRM\|1\|D.+(SWITCH|SIGNAL).+UNKNOWN)" - &gt;&gt; 2017-03-08-UncaughtWiMAX.txt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642</v>
      </c>
      <c r="B30" s="7">
        <v>4010</v>
      </c>
      <c r="C30" s="21" t="s">
        <v>242</v>
      </c>
      <c r="D30" s="21" t="s">
        <v>840</v>
      </c>
      <c r="E30" s="13">
        <v>42802.275104166663</v>
      </c>
      <c r="F30" s="13">
        <v>42802.278726851851</v>
      </c>
      <c r="G30" s="7">
        <v>1</v>
      </c>
      <c r="H30" s="21" t="s">
        <v>192</v>
      </c>
      <c r="I30" s="13">
        <v>42802.306296296294</v>
      </c>
      <c r="J30" s="7">
        <v>0</v>
      </c>
      <c r="K30" s="98" t="str">
        <f t="shared" si="0"/>
        <v>4009/4010</v>
      </c>
      <c r="L30" s="21" t="str">
        <f>VLOOKUP(A30,'Trips&amp;Operators'!$C$1:$G$99999,5,FALSE)</f>
        <v>MAELZER KURT</v>
      </c>
      <c r="M30" s="6">
        <f t="shared" si="1"/>
        <v>2.7569444442633539E-2</v>
      </c>
      <c r="N30" s="7">
        <f t="shared" si="20"/>
        <v>39.699999997392297</v>
      </c>
      <c r="O30" s="7"/>
      <c r="P30" s="7"/>
      <c r="Q30" s="22"/>
      <c r="R30" s="22"/>
      <c r="S30" s="31">
        <f t="shared" si="2"/>
        <v>1</v>
      </c>
      <c r="T30" s="46" t="str">
        <f t="shared" si="3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4"/>
        <v>https://d0f6bd738d7f1b3e5a7ca70fe4ff75f0.us-east-1.aws.found.io/app/kibana#/discover/Steve-Slow-Train-Analysis-(2080s-and-2083s)?_g=(refreshInterval:(display:Off,pause:!f,section:0,value:0),time:(from:'2017-03-08T05:36:09-0700',mode:absolute,to:'2017-03-08T08:21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0" s="187" t="str">
        <f t="shared" si="5"/>
        <v>N</v>
      </c>
      <c r="X30" s="187">
        <f t="shared" si="25"/>
        <v>1</v>
      </c>
      <c r="Y30" s="62">
        <f t="shared" si="7"/>
        <v>23.299600000000002</v>
      </c>
      <c r="Z30" s="62">
        <f t="shared" si="8"/>
        <v>1.4999999999999999E-2</v>
      </c>
      <c r="AA30" s="62">
        <f t="shared" si="9"/>
        <v>23.284600000000001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0"/>
        <v>0118-08</v>
      </c>
      <c r="AE30" s="85" t="str">
        <f t="shared" si="11"/>
        <v>aws s3 cp s3://rtdc.mdm.uploadarchive.raw/RTDC4010/ "%USERPROFILE%\AppData\Local\Temp\OnboardLogs"\RTDC4010\2017-03-08 --exclude "*" --recursive --include "*20170308*" &amp; "%USERPROFILE%\Documents\GitHub\mrs-test-scripts\Headless Mode &amp; Sideloading\WalkAndUnGZ.bat" "%USERPROFILE%\AppData\Local\Temp\OnboardLogs"\RTDC4010\2017-03-08 &amp; aws s3 cp s3://rtdc.mdm.uploadarchive.raw/RTDC4010/ "%USERPROFILE%\AppData\Local\Temp\OnboardLogs"\RTDC4010\2017-03-09 --exclude "*" --recursive --include "*20170309*" &amp; "%USERPROFILE%\Documents\GitHub\mrs-test-scripts\Headless Mode &amp; Sideloading\WalkAndUnGZ.bat" "%USERPROFILE%\AppData\Local\Temp\OnboardLogs"\RTDC4010\2017-03-09</v>
      </c>
      <c r="AF30" s="82" t="str">
        <f t="shared" si="12"/>
        <v>"C:\Program Files (x86)\AstroGrep\AstroGrep.exe" /e /r /s /spath="%USERPROFILE%\AppData\Local\Temp\OnboardLogs" /stypes="app*4010*20170308*" /stext=" 14:.+((SYSTEM_STATE.+slice.+state.+changed )|(ment ac)|(multiple cpu faults)|(system.+state.+changed )|(\[timeout)|(PRM\|1\|D)|(kpr)|(kdp)|(\|lc)|(penalty))"</v>
      </c>
      <c r="AG30" s="1" t="str">
        <f t="shared" si="13"/>
        <v>EC</v>
      </c>
      <c r="AH30" s="86" t="str">
        <f t="shared" si="21"/>
        <v>"%USERPROFILE%\Documents\GitHub\eaglep3\Utilities\RefineRTDCRunTimes.py" --tripid 118-08 --locoid 4010 --swversion DE.1.0.9.0 --startMP 204:232996 --initTime 2017-03-08T06:36:09 --startdatetime 2017-03-08T06:41:22 --delay 1 --endMP 204:150 --enddatetime 2017-03-08T07:21:04 --enforcementcount 0 &gt;&gt;C:\Users\stu\Documents\GitHub\eaglep3-reporting\EC\2017-03-08-refined-times.txt</v>
      </c>
      <c r="AI30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{"issue":{"subject":"","project_id":79,"tracker_id":40,"status_id":1,"priority_id":2,"assigned_to_id":23,"start_date":"2017-03-08","description":"","custom_fields":[{"id":1,"name":"Subdivision","value":"EC"},{"id":4,"name":"Milepost","value":"0.015"},{"id":17,"name":"Train ID","value":"118-08"},{"id":16,"name":"Locomotive ID","value":"4010"},{"id":130,"name":"Impact","value":""},{"id":150,"name":"Time of Event (Mountain Time)","value":"07:21:04"},{"id":151,"name":"Denver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3"/>
        <v>start /low /b %USERPROFILE%\Documents\GitHub\eaglep3\Utilities\DownloadLogsFromS3.py --loco 4010 --day 2017-03-08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"%USERPROFILE%\AppData\Local\Temp\OnboardLogs"\RTDC4010\*4010*20170308* | grep -SE "(Enforcement Action)|(\[TIMEOUT)|(CHR.+\|PRM\|1\|D.+(SWITCH|SIGNAL).+UNKNOWN)" - &gt;&gt; 2017-03-08-UncaughtWiMAX.txt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632</v>
      </c>
      <c r="B31" s="7">
        <v>4016</v>
      </c>
      <c r="C31" s="21" t="s">
        <v>242</v>
      </c>
      <c r="D31" s="21" t="s">
        <v>841</v>
      </c>
      <c r="E31" s="13">
        <v>42802.248981481483</v>
      </c>
      <c r="F31" s="13">
        <v>42802.250289351854</v>
      </c>
      <c r="G31" s="7">
        <v>1</v>
      </c>
      <c r="H31" s="21" t="s">
        <v>842</v>
      </c>
      <c r="I31" s="13">
        <v>42802.274988425925</v>
      </c>
      <c r="J31" s="7">
        <v>0</v>
      </c>
      <c r="K31" s="98" t="str">
        <f t="shared" si="0"/>
        <v>4015/4016</v>
      </c>
      <c r="L31" s="21" t="str">
        <f>VLOOKUP(A31,'Trips&amp;Operators'!$C$1:$G$99999,5,FALSE)</f>
        <v>GEBRETEKLE DAGNEW</v>
      </c>
      <c r="M31" s="6">
        <f t="shared" si="1"/>
        <v>2.4699074070667848E-2</v>
      </c>
      <c r="N31" s="7">
        <f t="shared" si="20"/>
        <v>35.566666661761701</v>
      </c>
      <c r="O31" s="7"/>
      <c r="P31" s="7"/>
      <c r="Q31" s="22"/>
      <c r="R31" s="22"/>
      <c r="S31" s="31">
        <f t="shared" si="2"/>
        <v>1</v>
      </c>
      <c r="T31" s="46" t="str">
        <f t="shared" si="3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4"/>
        <v>https://d0f6bd738d7f1b3e5a7ca70fe4ff75f0.us-east-1.aws.found.io/app/kibana#/discover/Steve-Slow-Train-Analysis-(2080s-and-2083s)?_g=(refreshInterval:(display:Off,pause:!f,section:0,value:0),time:(from:'2017-03-08T04:58:32-0700',mode:absolute,to:'2017-03-08T07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1" s="187" t="str">
        <f t="shared" si="5"/>
        <v>N</v>
      </c>
      <c r="X31" s="187">
        <f t="shared" si="25"/>
        <v>1</v>
      </c>
      <c r="Y31" s="62">
        <f t="shared" si="7"/>
        <v>3.9800000000000002E-2</v>
      </c>
      <c r="Z31" s="62">
        <f t="shared" si="8"/>
        <v>23.331099999999999</v>
      </c>
      <c r="AA31" s="62">
        <f t="shared" si="9"/>
        <v>23.2913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0"/>
        <v>0119-08</v>
      </c>
      <c r="AE31" s="85" t="str">
        <f t="shared" si="11"/>
        <v>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 &amp; 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</v>
      </c>
      <c r="AF31" s="82" t="str">
        <f t="shared" si="12"/>
        <v>"C:\Program Files (x86)\AstroGrep\AstroGrep.exe" /e /r /s /spath="%USERPROFILE%\AppData\Local\Temp\OnboardLogs" /stypes="app*4016*20170308*" /stext=" 13:.+((SYSTEM_STATE.+slice.+state.+changed )|(ment ac)|(multiple cpu faults)|(system.+state.+changed )|(\[timeout)|(PRM\|1\|D)|(kpr)|(kdp)|(\|lc)|(penalty))"</v>
      </c>
      <c r="AG31" s="1" t="str">
        <f t="shared" si="13"/>
        <v>EC</v>
      </c>
      <c r="AH31" s="86" t="str">
        <f t="shared" si="21"/>
        <v>"%USERPROFILE%\Documents\GitHub\eaglep3\Utilities\RefineRTDCRunTimes.py" --tripid 119-08 --locoid 4016 --swversion DE.1.0.9.0 --startMP 204:398 --initTime 2017-03-08T05:58:32 --startdatetime 2017-03-08T06:00:25 --delay 1 --endMP 204:233311 --enddatetime 2017-03-08T06:35:59 --enforcementcount 0 &gt;&gt;C:\Users\stu\Documents\GitHub\eaglep3-reporting\EC\2017-03-08-refined-times.txt</v>
      </c>
      <c r="AI31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{"issue":{"subject":"","project_id":79,"tracker_id":40,"status_id":1,"priority_id":2,"assigned_to_id":23,"start_date":"2017-03-08","description":"","custom_fields":[{"id":1,"name":"Subdivision","value":"EC"},{"id":4,"name":"Milepost","value":"23.3311"},{"id":17,"name":"Train ID","value":"119-08"},{"id":16,"name":"Locomotive ID","value":"4016"},{"id":130,"name":"Impact","value":""},{"id":150,"name":"Time of Event (Mountain Time)","value":"06:35:59"},{"id":151,"name":"Denver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3"/>
        <v>start /low /b %USERPROFILE%\Documents\GitHub\eaglep3\Utilities\DownloadLogsFromS3.py --loco 4016 --day 2017-03-08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"%USERPROFILE%\AppData\Local\Temp\OnboardLogs"\RTDC4016\*4016*20170308* | grep -SE "(Enforcement Action)|(\[TIMEOUT)|(CHR.+\|PRM\|1\|D.+(SWITCH|SIGNAL).+UNKNOWN)" - &gt;&gt; 2017-03-08-UncaughtWiMAX.txt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645</v>
      </c>
      <c r="B32" s="7">
        <v>4015</v>
      </c>
      <c r="C32" s="21" t="s">
        <v>242</v>
      </c>
      <c r="D32" s="21" t="s">
        <v>290</v>
      </c>
      <c r="E32" s="13">
        <v>42802.284560185188</v>
      </c>
      <c r="F32" s="13">
        <v>42802.289166666669</v>
      </c>
      <c r="G32" s="7">
        <v>3</v>
      </c>
      <c r="H32" s="21" t="s">
        <v>192</v>
      </c>
      <c r="I32" s="13">
        <v>42802.316817129627</v>
      </c>
      <c r="J32" s="7">
        <v>0</v>
      </c>
      <c r="K32" s="98" t="str">
        <f t="shared" si="0"/>
        <v>4015/4016</v>
      </c>
      <c r="L32" s="21" t="str">
        <f>VLOOKUP(A32,'Trips&amp;Operators'!$C$1:$G$99999,5,FALSE)</f>
        <v>GEBRETEKLE DAGNEW</v>
      </c>
      <c r="M32" s="6">
        <f t="shared" si="1"/>
        <v>2.7650462958263233E-2</v>
      </c>
      <c r="N32" s="7">
        <f t="shared" si="20"/>
        <v>39.816666659899056</v>
      </c>
      <c r="O32" s="7"/>
      <c r="P32" s="7"/>
      <c r="Q32" s="22"/>
      <c r="R32" s="22"/>
      <c r="S32" s="31">
        <f t="shared" si="2"/>
        <v>1</v>
      </c>
      <c r="T32" s="46" t="str">
        <f t="shared" si="3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4"/>
        <v>https://d0f6bd738d7f1b3e5a7ca70fe4ff75f0.us-east-1.aws.found.io/app/kibana#/discover/Steve-Slow-Train-Analysis-(2080s-and-2083s)?_g=(refreshInterval:(display:Off,pause:!f,section:0,value:0),time:(from:'2017-03-08T05:49:46-0700',mode:absolute,to:'2017-03-08T08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2" s="187" t="str">
        <f t="shared" si="5"/>
        <v>N</v>
      </c>
      <c r="X32" s="187">
        <f t="shared" si="25"/>
        <v>1</v>
      </c>
      <c r="Y32" s="62">
        <f t="shared" si="7"/>
        <v>23.2988</v>
      </c>
      <c r="Z32" s="62">
        <f t="shared" si="8"/>
        <v>1.4999999999999999E-2</v>
      </c>
      <c r="AA32" s="62">
        <f t="shared" si="9"/>
        <v>23.283799999999999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0"/>
        <v>0120-08</v>
      </c>
      <c r="AE32" s="85" t="str">
        <f t="shared" si="11"/>
        <v>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 &amp; 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</v>
      </c>
      <c r="AF32" s="82" t="str">
        <f t="shared" si="12"/>
        <v>"C:\Program Files (x86)\AstroGrep\AstroGrep.exe" /e /r /s /spath="%USERPROFILE%\AppData\Local\Temp\OnboardLogs" /stypes="app*4015*20170308*" /stext=" 14:.+((SYSTEM_STATE.+slice.+state.+changed )|(ment ac)|(multiple cpu faults)|(system.+state.+changed )|(\[timeout)|(PRM\|1\|D)|(kpr)|(kdp)|(\|lc)|(penalty))"</v>
      </c>
      <c r="AG32" s="1" t="str">
        <f t="shared" si="13"/>
        <v>EC</v>
      </c>
      <c r="AH32" s="86" t="str">
        <f t="shared" si="21"/>
        <v>"%USERPROFILE%\Documents\GitHub\eaglep3\Utilities\RefineRTDCRunTimes.py" --tripid 120-08 --locoid 4015 --swversion DE.1.0.9.0 --startMP 204:232988 --initTime 2017-03-08T06:49:46 --startdatetime 2017-03-08T06:56:24 --delay 3 --endMP 204:150 --enddatetime 2017-03-08T07:36:13 --enforcementcount 0 &gt;&gt;C:\Users\stu\Documents\GitHub\eaglep3-reporting\EC\2017-03-08-refined-times.txt</v>
      </c>
      <c r="AI32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{"issue":{"subject":"","project_id":79,"tracker_id":40,"status_id":1,"priority_id":2,"assigned_to_id":23,"start_date":"2017-03-08","description":"","custom_fields":[{"id":1,"name":"Subdivision","value":"EC"},{"id":4,"name":"Milepost","value":"0.015"},{"id":17,"name":"Train ID","value":"120-08"},{"id":16,"name":"Locomotive ID","value":"4015"},{"id":130,"name":"Impact","value":""},{"id":150,"name":"Time of Event (Mountain Time)","value":"07:36:13"},{"id":151,"name":"Denver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3"/>
        <v>start /low /b %USERPROFILE%\Documents\GitHub\eaglep3\Utilities\DownloadLogsFromS3.py --loco 4015 --day 2017-03-08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"%USERPROFILE%\AppData\Local\Temp\OnboardLogs"\RTDC4015\*4015*20170308* | grep -SE "(Enforcement Action)|(\[TIMEOUT)|(CHR.+\|PRM\|1\|D.+(SWITCH|SIGNAL).+UNKNOWN)" - &gt;&gt; 2017-03-08-UncaughtWiMAX.txt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638</v>
      </c>
      <c r="B33" s="7">
        <v>4006</v>
      </c>
      <c r="C33" s="21" t="s">
        <v>242</v>
      </c>
      <c r="D33" s="21" t="s">
        <v>218</v>
      </c>
      <c r="E33" s="13">
        <v>42802.257986111108</v>
      </c>
      <c r="F33" s="13">
        <v>42802.261076388888</v>
      </c>
      <c r="G33" s="7">
        <v>1</v>
      </c>
      <c r="H33" s="21" t="s">
        <v>843</v>
      </c>
      <c r="I33" s="13">
        <v>42802.287326388891</v>
      </c>
      <c r="J33" s="7">
        <v>0</v>
      </c>
      <c r="K33" s="98" t="str">
        <f t="shared" si="0"/>
        <v>4005/4006</v>
      </c>
      <c r="L33" s="21" t="str">
        <f>VLOOKUP(A33,'Trips&amp;Operators'!$C$1:$G$99999,5,FALSE)</f>
        <v>BONDS REYNALDO</v>
      </c>
      <c r="M33" s="6">
        <f t="shared" si="1"/>
        <v>2.6250000002619345E-2</v>
      </c>
      <c r="N33" s="7">
        <f t="shared" si="20"/>
        <v>37.800000003771856</v>
      </c>
      <c r="O33" s="7"/>
      <c r="P33" s="7"/>
      <c r="Q33" s="22"/>
      <c r="R33" s="22"/>
      <c r="S33" s="31">
        <f t="shared" si="2"/>
        <v>1</v>
      </c>
      <c r="T33" s="46" t="str">
        <f t="shared" si="3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4"/>
        <v>https://d0f6bd738d7f1b3e5a7ca70fe4ff75f0.us-east-1.aws.found.io/app/kibana#/discover/Steve-Slow-Train-Analysis-(2080s-and-2083s)?_g=(refreshInterval:(display:Off,pause:!f,section:0,value:0),time:(from:'2017-03-08T05:11:30-0700',mode:absolute,to:'2017-03-08T07:53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3" s="187" t="str">
        <f t="shared" si="5"/>
        <v>N</v>
      </c>
      <c r="X33" s="187">
        <f t="shared" si="25"/>
        <v>1</v>
      </c>
      <c r="Y33" s="62">
        <f t="shared" si="7"/>
        <v>4.5999999999999999E-2</v>
      </c>
      <c r="Z33" s="62">
        <f t="shared" si="8"/>
        <v>23.327400000000001</v>
      </c>
      <c r="AA33" s="62">
        <f t="shared" si="9"/>
        <v>23.281400000000001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0"/>
        <v>0121-08</v>
      </c>
      <c r="AE33" s="85" t="str">
        <f t="shared" si="11"/>
        <v>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 &amp; aws s3 cp s3://rtdc.mdm.uploadarchive.raw/RTDC4006/ "%USERPROFILE%\AppData\Local\Temp\OnboardLogs"\RTDC4006\2017-03-09 --exclude "*" --recursive --include "*20170309*" &amp; "%USERPROFILE%\Documents\GitHub\mrs-test-scripts\Headless Mode &amp; Sideloading\WalkAndUnGZ.bat" "%USERPROFILE%\AppData\Local\Temp\OnboardLogs"\RTDC4006\2017-03-09</v>
      </c>
      <c r="AF33" s="82" t="str">
        <f t="shared" si="12"/>
        <v>"C:\Program Files (x86)\AstroGrep\AstroGrep.exe" /e /r /s /spath="%USERPROFILE%\AppData\Local\Temp\OnboardLogs" /stypes="app*4006*20170308*" /stext=" 13:.+((SYSTEM_STATE.+slice.+state.+changed )|(ment ac)|(multiple cpu faults)|(system.+state.+changed )|(\[timeout)|(PRM\|1\|D)|(kpr)|(kdp)|(\|lc)|(penalty))"</v>
      </c>
      <c r="AG33" s="1" t="str">
        <f t="shared" si="13"/>
        <v>EC</v>
      </c>
      <c r="AH33" s="86" t="str">
        <f t="shared" si="21"/>
        <v>"%USERPROFILE%\Documents\GitHub\eaglep3\Utilities\RefineRTDCRunTimes.py" --tripid 121-08 --locoid 4006 --swversion DE.1.0.9.0 --startMP 204:460 --initTime 2017-03-08T06:11:30 --startdatetime 2017-03-08T06:15:57 --delay 1 --endMP 204:233274 --enddatetime 2017-03-08T06:53:45 --enforcementcount 0 &gt;&gt;C:\Users\stu\Documents\GitHub\eaglep3-reporting\EC\2017-03-08-refined-times.txt</v>
      </c>
      <c r="AI33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{"issue":{"subject":"","project_id":79,"tracker_id":40,"status_id":1,"priority_id":2,"assigned_to_id":23,"start_date":"2017-03-08","description":"","custom_fields":[{"id":1,"name":"Subdivision","value":"EC"},{"id":4,"name":"Milepost","value":"23.3274"},{"id":17,"name":"Train ID","value":"121-08"},{"id":16,"name":"Locomotive ID","value":"4006"},{"id":130,"name":"Impact","value":""},{"id":150,"name":"Time of Event (Mountain Time)","value":"06:53:45"},{"id":151,"name":"Denver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3"/>
        <v>start /low /b %USERPROFILE%\Documents\GitHub\eaglep3\Utilities\DownloadLogsFromS3.py --loco 4006 --day 2017-03-08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"%USERPROFILE%\AppData\Local\Temp\OnboardLogs"\RTDC4006\*4006*20170308* | grep -SE "(Enforcement Action)|(\[TIMEOUT)|(CHR.+\|PRM\|1\|D.+(SWITCH|SIGNAL).+UNKNOWN)" - &gt;&gt; 2017-03-08-UncaughtWiMAX.txt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647</v>
      </c>
      <c r="B34" s="7">
        <v>4005</v>
      </c>
      <c r="C34" s="21" t="s">
        <v>242</v>
      </c>
      <c r="D34" s="21" t="s">
        <v>281</v>
      </c>
      <c r="E34" s="13">
        <v>42802.296261574076</v>
      </c>
      <c r="F34" s="13">
        <v>42802.299479166664</v>
      </c>
      <c r="G34" s="7">
        <v>1</v>
      </c>
      <c r="H34" s="21" t="s">
        <v>229</v>
      </c>
      <c r="I34" s="13">
        <v>42802.3278587963</v>
      </c>
      <c r="J34" s="7">
        <v>0</v>
      </c>
      <c r="K34" s="98" t="str">
        <f t="shared" si="0"/>
        <v>4005/4006</v>
      </c>
      <c r="L34" s="21" t="str">
        <f>VLOOKUP(A34,'Trips&amp;Operators'!$C$1:$G$99999,5,FALSE)</f>
        <v>BONDS REYNALDO</v>
      </c>
      <c r="M34" s="6">
        <f t="shared" si="1"/>
        <v>2.8379629635310266E-2</v>
      </c>
      <c r="N34" s="7">
        <f t="shared" si="20"/>
        <v>40.866666674846783</v>
      </c>
      <c r="O34" s="7"/>
      <c r="P34" s="7"/>
      <c r="Q34" s="22"/>
      <c r="R34" s="22"/>
      <c r="S34" s="31">
        <f t="shared" si="2"/>
        <v>1</v>
      </c>
      <c r="T34" s="46" t="str">
        <f t="shared" si="3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4"/>
        <v>https://d0f6bd738d7f1b3e5a7ca70fe4ff75f0.us-east-1.aws.found.io/app/kibana#/discover/Steve-Slow-Train-Analysis-(2080s-and-2083s)?_g=(refreshInterval:(display:Off,pause:!f,section:0,value:0),time:(from:'2017-03-08T06:06:37-0700',mode:absolute,to:'2017-03-08T08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4" s="187" t="str">
        <f t="shared" si="5"/>
        <v>N</v>
      </c>
      <c r="X34" s="187">
        <f t="shared" si="25"/>
        <v>1</v>
      </c>
      <c r="Y34" s="62">
        <f t="shared" si="7"/>
        <v>23.299099999999999</v>
      </c>
      <c r="Z34" s="62">
        <f t="shared" si="8"/>
        <v>1.41E-2</v>
      </c>
      <c r="AA34" s="62">
        <f t="shared" si="9"/>
        <v>23.285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0"/>
        <v>0122-08</v>
      </c>
      <c r="AE34" s="85" t="str">
        <f t="shared" si="11"/>
        <v>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 &amp; aws s3 cp s3://rtdc.mdm.uploadarchive.raw/RTDC4005/ "%USERPROFILE%\AppData\Local\Temp\OnboardLogs"\RTDC4005\2017-03-09 --exclude "*" --recursive --include "*20170309*" &amp; "%USERPROFILE%\Documents\GitHub\mrs-test-scripts\Headless Mode &amp; Sideloading\WalkAndUnGZ.bat" "%USERPROFILE%\AppData\Local\Temp\OnboardLogs"\RTDC4005\2017-03-09</v>
      </c>
      <c r="AF34" s="82" t="str">
        <f t="shared" si="12"/>
        <v>"C:\Program Files (x86)\AstroGrep\AstroGrep.exe" /e /r /s /spath="%USERPROFILE%\AppData\Local\Temp\OnboardLogs" /stypes="app*4005*20170308*" /stext=" 14:.+((SYSTEM_STATE.+slice.+state.+changed )|(ment ac)|(multiple cpu faults)|(system.+state.+changed )|(\[timeout)|(PRM\|1\|D)|(kpr)|(kdp)|(\|lc)|(penalty))"</v>
      </c>
      <c r="AG34" s="1" t="str">
        <f t="shared" si="13"/>
        <v>EC</v>
      </c>
      <c r="AH34" s="86" t="str">
        <f t="shared" si="21"/>
        <v>"%USERPROFILE%\Documents\GitHub\eaglep3\Utilities\RefineRTDCRunTimes.py" --tripid 122-08 --locoid 4005 --swversion DE.1.0.9.0 --startMP 204:232991 --initTime 2017-03-08T07:06:37 --startdatetime 2017-03-08T07:11:15 --delay 1 --endMP 204:141 --enddatetime 2017-03-08T07:52:07 --enforcementcount 0 &gt;&gt;C:\Users\stu\Documents\GitHub\eaglep3-reporting\EC\2017-03-08-refined-times.txt</v>
      </c>
      <c r="AI34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{"issue":{"subject":"","project_id":79,"tracker_id":40,"status_id":1,"priority_id":2,"assigned_to_id":23,"start_date":"2017-03-08","description":"","custom_fields":[{"id":1,"name":"Subdivision","value":"EC"},{"id":4,"name":"Milepost","value":"0.0141"},{"id":17,"name":"Train ID","value":"122-08"},{"id":16,"name":"Locomotive ID","value":"4005"},{"id":130,"name":"Impact","value":""},{"id":150,"name":"Time of Event (Mountain Time)","value":"07:52:07"},{"id":151,"name":"Denver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3"/>
        <v>start /low /b %USERPROFILE%\Documents\GitHub\eaglep3\Utilities\DownloadLogsFromS3.py --loco 4005 --day 2017-03-08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"%USERPROFILE%\AppData\Local\Temp\OnboardLogs"\RTDC4005\*4005*20170308* | grep -SE "(Enforcement Action)|(\[TIMEOUT)|(CHR.+\|PRM\|1\|D.+(SWITCH|SIGNAL).+UNKNOWN)" - &gt;&gt; 2017-03-08-UncaughtWiMAX.txt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640</v>
      </c>
      <c r="B35" s="7">
        <v>4029</v>
      </c>
      <c r="C35" s="21" t="s">
        <v>242</v>
      </c>
      <c r="D35" s="21" t="s">
        <v>217</v>
      </c>
      <c r="E35" s="13">
        <v>42802.266967592594</v>
      </c>
      <c r="F35" s="13">
        <v>42802.271064814813</v>
      </c>
      <c r="G35" s="7">
        <v>3</v>
      </c>
      <c r="H35" s="21" t="s">
        <v>844</v>
      </c>
      <c r="I35" s="13">
        <v>42802.295891203707</v>
      </c>
      <c r="J35" s="7">
        <v>0</v>
      </c>
      <c r="K35" s="98" t="str">
        <f t="shared" si="0"/>
        <v>4029/4030</v>
      </c>
      <c r="L35" s="21" t="str">
        <f>VLOOKUP(A35,'Trips&amp;Operators'!$C$1:$G$99999,5,FALSE)</f>
        <v>SANTIZO D. EDY</v>
      </c>
      <c r="M35" s="6">
        <f t="shared" si="1"/>
        <v>2.4826388893416151E-2</v>
      </c>
      <c r="N35" s="7">
        <f t="shared" si="20"/>
        <v>35.750000006519258</v>
      </c>
      <c r="O35" s="7"/>
      <c r="P35" s="7"/>
      <c r="Q35" s="22"/>
      <c r="R35" s="22"/>
      <c r="S35" s="31">
        <f t="shared" si="2"/>
        <v>1</v>
      </c>
      <c r="T35" s="46" t="str">
        <f t="shared" si="3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4"/>
        <v>https://d0f6bd738d7f1b3e5a7ca70fe4ff75f0.us-east-1.aws.found.io/app/kibana#/discover/Steve-Slow-Train-Analysis-(2080s-and-2083s)?_g=(refreshInterval:(display:Off,pause:!f,section:0,value:0),time:(from:'2017-03-08T05:24:26-0700',mode:absolute,to:'2017-03-08T08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5" s="187" t="str">
        <f t="shared" si="5"/>
        <v>N</v>
      </c>
      <c r="X35" s="187">
        <f t="shared" si="25"/>
        <v>1</v>
      </c>
      <c r="Y35" s="62">
        <f t="shared" si="7"/>
        <v>4.5699999999999998E-2</v>
      </c>
      <c r="Z35" s="62">
        <f t="shared" si="8"/>
        <v>23.332799999999999</v>
      </c>
      <c r="AA35" s="62">
        <f t="shared" si="9"/>
        <v>23.287099999999999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0"/>
        <v>0123-08</v>
      </c>
      <c r="AE35" s="85" t="str">
        <f t="shared" si="11"/>
        <v>aws s3 cp s3://rtdc.mdm.uploadarchive.raw/RTDC4029/ "%USERPROFILE%\AppData\Local\Temp\OnboardLogs"\RTDC4029\2017-03-08 --exclude "*" --recursive --include "*20170308*" &amp; "%USERPROFILE%\Documents\GitHub\mrs-test-scripts\Headless Mode &amp; Sideloading\WalkAndUnGZ.bat" "%USERPROFILE%\AppData\Local\Temp\OnboardLogs"\RTDC4029\2017-03-08 &amp; 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</v>
      </c>
      <c r="AF35" s="82" t="str">
        <f t="shared" si="12"/>
        <v>"C:\Program Files (x86)\AstroGrep\AstroGrep.exe" /e /r /s /spath="%USERPROFILE%\AppData\Local\Temp\OnboardLogs" /stypes="app*4029*20170308*" /stext=" 14:.+((SYSTEM_STATE.+slice.+state.+changed )|(ment ac)|(multiple cpu faults)|(system.+state.+changed )|(\[timeout)|(PRM\|1\|D)|(kpr)|(kdp)|(\|lc)|(penalty))"</v>
      </c>
      <c r="AG35" s="1" t="str">
        <f t="shared" si="13"/>
        <v>EC</v>
      </c>
      <c r="AH35" s="86" t="str">
        <f t="shared" si="21"/>
        <v>"%USERPROFILE%\Documents\GitHub\eaglep3\Utilities\RefineRTDCRunTimes.py" --tripid 123-08 --locoid 4029 --swversion DE.1.0.9.0 --startMP 204:457 --initTime 2017-03-08T06:24:26 --startdatetime 2017-03-08T06:30:20 --delay 3 --endMP 204:233328 --enddatetime 2017-03-08T07:06:05 --enforcementcount 0 &gt;&gt;C:\Users\stu\Documents\GitHub\eaglep3-reporting\EC\2017-03-08-refined-times.txt</v>
      </c>
      <c r="AI35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{"issue":{"subject":"","project_id":79,"tracker_id":40,"status_id":1,"priority_id":2,"assigned_to_id":23,"start_date":"2017-03-08","description":"","custom_fields":[{"id":1,"name":"Subdivision","value":"EC"},{"id":4,"name":"Milepost","value":"23.3328"},{"id":17,"name":"Train ID","value":"123-08"},{"id":16,"name":"Locomotive ID","value":"4029"},{"id":130,"name":"Impact","value":""},{"id":150,"name":"Time of Event (Mountain Time)","value":"07:06:05"},{"id":151,"name":"Denver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3"/>
        <v>start /low /b %USERPROFILE%\Documents\GitHub\eaglep3\Utilities\DownloadLogsFromS3.py --loco 4029 --day 2017-03-08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"%USERPROFILE%\AppData\Local\Temp\OnboardLogs"\RTDC4029\*4029*20170308* | grep -SE "(Enforcement Action)|(\[TIMEOUT)|(CHR.+\|PRM\|1\|D.+(SWITCH|SIGNAL).+UNKNOWN)" - &gt;&gt; 2017-03-08-UncaughtWiMAX.txt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572</v>
      </c>
      <c r="B36" s="7">
        <v>4030</v>
      </c>
      <c r="C36" s="21" t="s">
        <v>242</v>
      </c>
      <c r="D36" s="21" t="s">
        <v>433</v>
      </c>
      <c r="E36" s="13">
        <v>42802.29724537037</v>
      </c>
      <c r="F36" s="13">
        <v>42802.309953703705</v>
      </c>
      <c r="G36" s="7">
        <v>1</v>
      </c>
      <c r="H36" s="21" t="s">
        <v>434</v>
      </c>
      <c r="I36" s="13">
        <v>42802.339317129627</v>
      </c>
      <c r="J36" s="7">
        <v>0</v>
      </c>
      <c r="K36" s="98" t="str">
        <f t="shared" si="0"/>
        <v>4029/4030</v>
      </c>
      <c r="L36" s="21" t="str">
        <f>VLOOKUP(A36,'Trips&amp;Operators'!$C$1:$G$99999,5,FALSE)</f>
        <v>SANTIZO D. EDY</v>
      </c>
      <c r="M36" s="6">
        <f t="shared" si="1"/>
        <v>2.9363425921474118E-2</v>
      </c>
      <c r="N36" s="7">
        <f t="shared" si="20"/>
        <v>42.28333332692273</v>
      </c>
      <c r="O36" s="7"/>
      <c r="P36" s="7"/>
      <c r="Q36" s="22"/>
      <c r="R36" s="22"/>
      <c r="S36" s="31">
        <f t="shared" si="2"/>
        <v>1</v>
      </c>
      <c r="T36" s="46" t="str">
        <f t="shared" si="3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4"/>
        <v>https://d0f6bd738d7f1b3e5a7ca70fe4ff75f0.us-east-1.aws.found.io/app/kibana#/discover/Steve-Slow-Train-Analysis-(2080s-and-2083s)?_g=(refreshInterval:(display:Off,pause:!f,section:0,value:0),time:(from:'2017-03-08T06:08:02-0700',mode:absolute,to:'2017-03-08T09:08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6" s="187" t="str">
        <f t="shared" si="5"/>
        <v>N</v>
      </c>
      <c r="X36" s="187">
        <f t="shared" si="25"/>
        <v>1</v>
      </c>
      <c r="Y36" s="62">
        <f t="shared" si="7"/>
        <v>23.298200000000001</v>
      </c>
      <c r="Z36" s="62">
        <f t="shared" si="8"/>
        <v>1.43E-2</v>
      </c>
      <c r="AA36" s="62">
        <f t="shared" si="9"/>
        <v>23.283900000000003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0"/>
        <v>0124-08</v>
      </c>
      <c r="AE36" s="85" t="str">
        <f t="shared" si="11"/>
        <v>aws s3 cp s3://rtdc.mdm.uploadarchive.raw/RTDC4030/ "%USERPROFILE%\AppData\Local\Temp\OnboardLogs"\RTDC4030\2017-03-08 --exclude "*" --recursive --include "*20170308*" &amp; "%USERPROFILE%\Documents\GitHub\mrs-test-scripts\Headless Mode &amp; Sideloading\WalkAndUnGZ.bat" "%USERPROFILE%\AppData\Local\Temp\OnboardLogs"\RTDC4030\2017-03-08 &amp; 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</v>
      </c>
      <c r="AF36" s="82" t="str">
        <f t="shared" si="12"/>
        <v>"C:\Program Files (x86)\AstroGrep\AstroGrep.exe" /e /r /s /spath="%USERPROFILE%\AppData\Local\Temp\OnboardLogs" /stypes="app*4030*20170308*" /stext=" 15:.+((SYSTEM_STATE.+slice.+state.+changed )|(ment ac)|(multiple cpu faults)|(system.+state.+changed )|(\[timeout)|(PRM\|1\|D)|(kpr)|(kdp)|(\|lc)|(penalty))"</v>
      </c>
      <c r="AG36" s="1" t="str">
        <f t="shared" si="13"/>
        <v>EC</v>
      </c>
      <c r="AH36" s="86" t="str">
        <f t="shared" si="21"/>
        <v>"%USERPROFILE%\Documents\GitHub\eaglep3\Utilities\RefineRTDCRunTimes.py" --tripid 124-08 --locoid 4030 --swversion DE.1.0.9.0 --startMP 204:232982 --initTime 2017-03-08T07:08:02 --startdatetime 2017-03-08T07:26:20 --delay 1 --endMP 204:143 --enddatetime 2017-03-08T08:08:37 --enforcementcount 0 &gt;&gt;C:\Users\stu\Documents\GitHub\eaglep3-reporting\EC\2017-03-08-refined-times.txt</v>
      </c>
      <c r="AI36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{"issue":{"subject":"","project_id":79,"tracker_id":40,"status_id":1,"priority_id":2,"assigned_to_id":23,"start_date":"2017-03-08","description":"","custom_fields":[{"id":1,"name":"Subdivision","value":"EC"},{"id":4,"name":"Milepost","value":"0.0143"},{"id":17,"name":"Train ID","value":"124-08"},{"id":16,"name":"Locomotive ID","value":"4030"},{"id":130,"name":"Impact","value":""},{"id":150,"name":"Time of Event (Mountain Time)","value":"08:08:37"},{"id":151,"name":"Denver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3"/>
        <v>start /low /b %USERPROFILE%\Documents\GitHub\eaglep3\Utilities\DownloadLogsFromS3.py --loco 4030 --day 2017-03-08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"%USERPROFILE%\AppData\Local\Temp\OnboardLogs"\RTDC4030\*4030*20170308* | grep -SE "(Enforcement Action)|(\[TIMEOUT)|(CHR.+\|PRM\|1\|D.+(SWITCH|SIGNAL).+UNKNOWN)" - &gt;&gt; 2017-03-08-UncaughtWiMAX.txt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644</v>
      </c>
      <c r="B37" s="7">
        <v>4003</v>
      </c>
      <c r="C37" s="21" t="s">
        <v>242</v>
      </c>
      <c r="D37" s="21" t="s">
        <v>463</v>
      </c>
      <c r="E37" s="13">
        <v>42802.276504629626</v>
      </c>
      <c r="F37" s="13">
        <v>42802.281493055554</v>
      </c>
      <c r="G37" s="7">
        <v>2</v>
      </c>
      <c r="H37" s="21" t="s">
        <v>247</v>
      </c>
      <c r="I37" s="13">
        <v>42802.306608796294</v>
      </c>
      <c r="J37" s="7">
        <v>0</v>
      </c>
      <c r="K37" s="98" t="str">
        <f t="shared" si="0"/>
        <v>4003/4004</v>
      </c>
      <c r="L37" s="21" t="str">
        <f>VLOOKUP(A37,'Trips&amp;Operators'!$C$1:$G$99999,5,FALSE)</f>
        <v>ROCHA YAOTL</v>
      </c>
      <c r="M37" s="6">
        <f t="shared" si="1"/>
        <v>2.5115740740147885E-2</v>
      </c>
      <c r="N37" s="7">
        <f t="shared" si="20"/>
        <v>36.166666665812954</v>
      </c>
      <c r="O37" s="7"/>
      <c r="P37" s="7"/>
      <c r="Q37" s="22"/>
      <c r="R37" s="22"/>
      <c r="S37" s="31">
        <f t="shared" si="2"/>
        <v>1</v>
      </c>
      <c r="T37" s="46" t="str">
        <f t="shared" si="3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4"/>
        <v>https://d0f6bd738d7f1b3e5a7ca70fe4ff75f0.us-east-1.aws.found.io/app/kibana#/discover/Steve-Slow-Train-Analysis-(2080s-and-2083s)?_g=(refreshInterval:(display:Off,pause:!f,section:0,value:0),time:(from:'2017-03-08T05:38:10-0700',mode:absolute,to:'2017-03-08T08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7" s="187" t="str">
        <f t="shared" si="5"/>
        <v>N</v>
      </c>
      <c r="X37" s="187">
        <f t="shared" si="25"/>
        <v>1</v>
      </c>
      <c r="Y37" s="62">
        <f t="shared" si="7"/>
        <v>4.3700000000000003E-2</v>
      </c>
      <c r="Z37" s="62">
        <f t="shared" si="8"/>
        <v>23.331399999999999</v>
      </c>
      <c r="AA37" s="62">
        <f t="shared" si="9"/>
        <v>23.287699999999997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0"/>
        <v>0125-08</v>
      </c>
      <c r="AE37" s="85" t="str">
        <f t="shared" si="11"/>
        <v>aws s3 cp s3://rtdc.mdm.uploadarchive.raw/RTDC4003/ "%USERPROFILE%\AppData\Local\Temp\OnboardLogs"\RTDC4003\2017-03-08 --exclude "*" --recursive --include "*20170308*" &amp; "%USERPROFILE%\Documents\GitHub\mrs-test-scripts\Headless Mode &amp; Sideloading\WalkAndUnGZ.bat" "%USERPROFILE%\AppData\Local\Temp\OnboardLogs"\RTDC4003\2017-03-08 &amp; 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</v>
      </c>
      <c r="AF37" s="82" t="str">
        <f t="shared" si="12"/>
        <v>"C:\Program Files (x86)\AstroGrep\AstroGrep.exe" /e /r /s /spath="%USERPROFILE%\AppData\Local\Temp\OnboardLogs" /stypes="app*4003*20170308*" /stext=" 14:.+((SYSTEM_STATE.+slice.+state.+changed )|(ment ac)|(multiple cpu faults)|(system.+state.+changed )|(\[timeout)|(PRM\|1\|D)|(kpr)|(kdp)|(\|lc)|(penalty))"</v>
      </c>
      <c r="AG37" s="1" t="str">
        <f t="shared" si="13"/>
        <v>EC</v>
      </c>
      <c r="AH37" s="86" t="str">
        <f t="shared" si="21"/>
        <v>"%USERPROFILE%\Documents\GitHub\eaglep3\Utilities\RefineRTDCRunTimes.py" --tripid 125-08 --locoid 4003 --swversion DE.1.0.9.0 --startMP 204:437 --initTime 2017-03-08T06:38:10 --startdatetime 2017-03-08T06:45:21 --delay 2 --endMP 204:233314 --enddatetime 2017-03-08T07:21:31 --enforcementcount 0 &gt;&gt;C:\Users\stu\Documents\GitHub\eaglep3-reporting\EC\2017-03-08-refined-times.txt</v>
      </c>
      <c r="AI37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{"issue":{"subject":"","project_id":79,"tracker_id":40,"status_id":1,"priority_id":2,"assigned_to_id":23,"start_date":"2017-03-08","description":"","custom_fields":[{"id":1,"name":"Subdivision","value":"EC"},{"id":4,"name":"Milepost","value":"23.3314"},{"id":17,"name":"Train ID","value":"125-08"},{"id":16,"name":"Locomotive ID","value":"4003"},{"id":130,"name":"Impact","value":""},{"id":150,"name":"Time of Event (Mountain Time)","value":"07:21:31"},{"id":151,"name":"Denver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3"/>
        <v>start /low /b %USERPROFILE%\Documents\GitHub\eaglep3\Utilities\DownloadLogsFromS3.py --loco 4003 --day 2017-03-08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"%USERPROFILE%\AppData\Local\Temp\OnboardLogs"\RTDC4003\*4003*20170308* | grep -SE "(Enforcement Action)|(\[TIMEOUT)|(CHR.+\|PRM\|1\|D.+(SWITCH|SIGNAL).+UNKNOWN)" - &gt;&gt; 2017-03-08-UncaughtWiMAX.txt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652</v>
      </c>
      <c r="B38" s="7">
        <v>4004</v>
      </c>
      <c r="C38" s="21" t="s">
        <v>242</v>
      </c>
      <c r="D38" s="21" t="s">
        <v>845</v>
      </c>
      <c r="E38" s="13">
        <v>42802.319131944445</v>
      </c>
      <c r="F38" s="13">
        <v>42802.320497685185</v>
      </c>
      <c r="G38" s="7">
        <v>1</v>
      </c>
      <c r="H38" s="21" t="s">
        <v>208</v>
      </c>
      <c r="I38" s="13">
        <v>42802.349293981482</v>
      </c>
      <c r="J38" s="7">
        <v>0</v>
      </c>
      <c r="K38" s="98" t="str">
        <f t="shared" si="0"/>
        <v>4003/4004</v>
      </c>
      <c r="L38" s="21" t="str">
        <f>VLOOKUP(A38,'Trips&amp;Operators'!$C$1:$G$99999,5,FALSE)</f>
        <v>ROCHA YAOTL</v>
      </c>
      <c r="M38" s="6">
        <f t="shared" si="1"/>
        <v>2.8796296297514345E-2</v>
      </c>
      <c r="N38" s="7">
        <f t="shared" si="20"/>
        <v>41.466666668420658</v>
      </c>
      <c r="O38" s="7"/>
      <c r="P38" s="7"/>
      <c r="Q38" s="22"/>
      <c r="R38" s="22"/>
      <c r="S38" s="31">
        <f t="shared" si="2"/>
        <v>1</v>
      </c>
      <c r="T38" s="46" t="str">
        <f t="shared" si="3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4"/>
        <v>https://d0f6bd738d7f1b3e5a7ca70fe4ff75f0.us-east-1.aws.found.io/app/kibana#/discover/Steve-Slow-Train-Analysis-(2080s-and-2083s)?_g=(refreshInterval:(display:Off,pause:!f,section:0,value:0),time:(from:'2017-03-08T06:39:33-0700',mode:absolute,to:'2017-03-08T09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8" s="187" t="str">
        <f t="shared" si="5"/>
        <v>N</v>
      </c>
      <c r="X38" s="187">
        <f t="shared" si="25"/>
        <v>1</v>
      </c>
      <c r="Y38" s="62">
        <f t="shared" si="7"/>
        <v>23.301500000000001</v>
      </c>
      <c r="Z38" s="62">
        <f t="shared" si="8"/>
        <v>1.54E-2</v>
      </c>
      <c r="AA38" s="62">
        <f t="shared" si="9"/>
        <v>23.286100000000001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0"/>
        <v>0126-08</v>
      </c>
      <c r="AE38" s="85" t="str">
        <f t="shared" si="11"/>
        <v>aws s3 cp s3://rtdc.mdm.uploadarchive.raw/RTDC4004/ "%USERPROFILE%\AppData\Local\Temp\OnboardLogs"\RTDC4004\2017-03-08 --exclude "*" --recursive --include "*20170308*" &amp; "%USERPROFILE%\Documents\GitHub\mrs-test-scripts\Headless Mode &amp; Sideloading\WalkAndUnGZ.bat" "%USERPROFILE%\AppData\Local\Temp\OnboardLogs"\RTDC4004\2017-03-08 &amp; 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</v>
      </c>
      <c r="AF38" s="82" t="str">
        <f t="shared" si="12"/>
        <v>"C:\Program Files (x86)\AstroGrep\AstroGrep.exe" /e /r /s /spath="%USERPROFILE%\AppData\Local\Temp\OnboardLogs" /stypes="app*4004*20170308*" /stext=" 15:.+((SYSTEM_STATE.+slice.+state.+changed )|(ment ac)|(multiple cpu faults)|(system.+state.+changed )|(\[timeout)|(PRM\|1\|D)|(kpr)|(kdp)|(\|lc)|(penalty))"</v>
      </c>
      <c r="AG38" s="1" t="str">
        <f t="shared" si="13"/>
        <v>EC</v>
      </c>
      <c r="AH38" s="86" t="str">
        <f t="shared" si="21"/>
        <v>"%USERPROFILE%\Documents\GitHub\eaglep3\Utilities\RefineRTDCRunTimes.py" --tripid 126-08 --locoid 4004 --swversion DE.1.0.9.0 --startMP 204:233015 --initTime 2017-03-08T07:39:33 --startdatetime 2017-03-08T07:41:31 --delay 1 --endMP 204:154 --enddatetime 2017-03-08T08:22:59 --enforcementcount 0 &gt;&gt;C:\Users\stu\Documents\GitHub\eaglep3-reporting\EC\2017-03-08-refined-times.txt</v>
      </c>
      <c r="AI38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{"issue":{"subject":"","project_id":79,"tracker_id":40,"status_id":1,"priority_id":2,"assigned_to_id":23,"start_date":"2017-03-08","description":"","custom_fields":[{"id":1,"name":"Subdivision","value":"EC"},{"id":4,"name":"Milepost","value":"0.0154"},{"id":17,"name":"Train ID","value":"126-08"},{"id":16,"name":"Locomotive ID","value":"4004"},{"id":130,"name":"Impact","value":""},{"id":150,"name":"Time of Event (Mountain Time)","value":"08:22:59"},{"id":151,"name":"Denver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3"/>
        <v>start /low /b %USERPROFILE%\Documents\GitHub\eaglep3\Utilities\DownloadLogsFromS3.py --loco 4004 --day 2017-03-08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"%USERPROFILE%\AppData\Local\Temp\OnboardLogs"\RTDC4004\*4004*20170308* | grep -SE "(Enforcement Action)|(\[TIMEOUT)|(CHR.+\|PRM\|1\|D.+(SWITCH|SIGNAL).+UNKNOWN)" - &gt;&gt; 2017-03-08-UncaughtWiMAX.txt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571</v>
      </c>
      <c r="B39" s="7">
        <v>4046</v>
      </c>
      <c r="C39" s="21" t="s">
        <v>242</v>
      </c>
      <c r="D39" s="21" t="s">
        <v>500</v>
      </c>
      <c r="E39" s="13">
        <v>42802.288437499999</v>
      </c>
      <c r="F39" s="13">
        <v>42802.291851851849</v>
      </c>
      <c r="G39" s="7">
        <v>1</v>
      </c>
      <c r="H39" s="21" t="s">
        <v>494</v>
      </c>
      <c r="I39" s="13">
        <v>42802.318252314813</v>
      </c>
      <c r="J39" s="7">
        <v>0</v>
      </c>
      <c r="K39" s="98" t="str">
        <f t="shared" si="0"/>
        <v>4045/4046</v>
      </c>
      <c r="L39" s="21" t="str">
        <f>VLOOKUP(A39,'Trips&amp;Operators'!$C$1:$G$99999,5,FALSE)</f>
        <v>YOUNG ELIZABETH</v>
      </c>
      <c r="M39" s="6">
        <f t="shared" si="1"/>
        <v>2.6400462964375038E-2</v>
      </c>
      <c r="N39" s="7">
        <f t="shared" si="20"/>
        <v>38.016666668700054</v>
      </c>
      <c r="O39" s="7"/>
      <c r="P39" s="7"/>
      <c r="Q39" s="22"/>
      <c r="R39" s="22"/>
      <c r="S39" s="31">
        <f t="shared" si="2"/>
        <v>1</v>
      </c>
      <c r="T39" s="46" t="str">
        <f t="shared" si="3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4"/>
        <v>https://d0f6bd738d7f1b3e5a7ca70fe4ff75f0.us-east-1.aws.found.io/app/kibana#/discover/Steve-Slow-Train-Analysis-(2080s-and-2083s)?_g=(refreshInterval:(display:Off,pause:!f,section:0,value:0),time:(from:'2017-03-08T05:55:21-0700',mode:absolute,to:'2017-03-08T08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9" s="187" t="str">
        <f t="shared" si="5"/>
        <v>N</v>
      </c>
      <c r="X39" s="187">
        <f t="shared" si="25"/>
        <v>1</v>
      </c>
      <c r="Y39" s="62">
        <f t="shared" si="7"/>
        <v>4.82E-2</v>
      </c>
      <c r="Z39" s="62">
        <f t="shared" si="8"/>
        <v>23.328600000000002</v>
      </c>
      <c r="AA39" s="62">
        <f t="shared" si="9"/>
        <v>23.2804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0"/>
        <v>0127-08</v>
      </c>
      <c r="AE39" s="85" t="str">
        <f t="shared" si="11"/>
        <v>aws s3 cp s3://rtdc.mdm.uploadarchive.raw/RTDC4046/ "%USERPROFILE%\AppData\Local\Temp\OnboardLogs"\RTDC4046\2017-03-08 --exclude "*" --recursive --include "*20170308*" &amp; "%USERPROFILE%\Documents\GitHub\mrs-test-scripts\Headless Mode &amp; Sideloading\WalkAndUnGZ.bat" "%USERPROFILE%\AppData\Local\Temp\OnboardLogs"\RTDC4046\2017-03-08 &amp; aws s3 cp s3://rtdc.mdm.uploadarchive.raw/RTDC4046/ "%USERPROFILE%\AppData\Local\Temp\OnboardLogs"\RTDC4046\2017-03-09 --exclude "*" --recursive --include "*20170309*" &amp; "%USERPROFILE%\Documents\GitHub\mrs-test-scripts\Headless Mode &amp; Sideloading\WalkAndUnGZ.bat" "%USERPROFILE%\AppData\Local\Temp\OnboardLogs"\RTDC4046\2017-03-09</v>
      </c>
      <c r="AF39" s="82" t="str">
        <f t="shared" si="12"/>
        <v>"C:\Program Files (x86)\AstroGrep\AstroGrep.exe" /e /r /s /spath="%USERPROFILE%\AppData\Local\Temp\OnboardLogs" /stypes="app*4046*20170308*" /stext=" 14:.+((SYSTEM_STATE.+slice.+state.+changed )|(ment ac)|(multiple cpu faults)|(system.+state.+changed )|(\[timeout)|(PRM\|1\|D)|(kpr)|(kdp)|(\|lc)|(penalty))"</v>
      </c>
      <c r="AG39" s="1" t="str">
        <f t="shared" si="13"/>
        <v>EC</v>
      </c>
      <c r="AH39" s="86" t="str">
        <f t="shared" si="21"/>
        <v>"%USERPROFILE%\Documents\GitHub\eaglep3\Utilities\RefineRTDCRunTimes.py" --tripid 127-08 --locoid 4046 --swversion DE.1.0.9.0 --startMP 204:482 --initTime 2017-03-08T06:55:21 --startdatetime 2017-03-08T07:00:16 --delay 1 --endMP 204:233286 --enddatetime 2017-03-08T07:38:17 --enforcementcount 0 &gt;&gt;C:\Users\stu\Documents\GitHub\eaglep3-reporting\EC\2017-03-08-refined-times.txt</v>
      </c>
      <c r="AI39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{"issue":{"subject":"","project_id":79,"tracker_id":40,"status_id":1,"priority_id":2,"assigned_to_id":23,"start_date":"2017-03-08","description":"","custom_fields":[{"id":1,"name":"Subdivision","value":"EC"},{"id":4,"name":"Milepost","value":"23.3286"},{"id":17,"name":"Train ID","value":"127-08"},{"id":16,"name":"Locomotive ID","value":"4046"},{"id":130,"name":"Impact","value":""},{"id":150,"name":"Time of Event (Mountain Time)","value":"07:38:17"},{"id":151,"name":"Denver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3"/>
        <v>start /low /b %USERPROFILE%\Documents\GitHub\eaglep3\Utilities\DownloadLogsFromS3.py --loco 4046 --day 2017-03-08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"%USERPROFILE%\AppData\Local\Temp\OnboardLogs"\RTDC4046\*4046*20170308* | grep -SE "(Enforcement Action)|(\[TIMEOUT)|(CHR.+\|PRM\|1\|D.+(SWITCH|SIGNAL).+UNKNOWN)" - &gt;&gt; 2017-03-08-UncaughtWiMAX.txt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653</v>
      </c>
      <c r="B40" s="7">
        <v>4045</v>
      </c>
      <c r="C40" s="21" t="s">
        <v>242</v>
      </c>
      <c r="D40" s="21" t="s">
        <v>846</v>
      </c>
      <c r="E40" s="13">
        <v>42802.322048611109</v>
      </c>
      <c r="F40" s="13">
        <v>42802.331064814818</v>
      </c>
      <c r="G40" s="7">
        <v>2</v>
      </c>
      <c r="H40" s="21" t="s">
        <v>847</v>
      </c>
      <c r="I40" s="13">
        <v>42802.360208333332</v>
      </c>
      <c r="J40" s="7">
        <v>0</v>
      </c>
      <c r="K40" s="98" t="str">
        <f t="shared" si="0"/>
        <v>4045/4046</v>
      </c>
      <c r="L40" s="21" t="str">
        <f>VLOOKUP(A40,'Trips&amp;Operators'!$C$1:$G$99999,5,FALSE)</f>
        <v>YOUNG ELIZABETH</v>
      </c>
      <c r="M40" s="6">
        <f t="shared" si="1"/>
        <v>2.9143518513592426E-2</v>
      </c>
      <c r="N40" s="7">
        <f t="shared" si="20"/>
        <v>41.966666659573093</v>
      </c>
      <c r="O40" s="7"/>
      <c r="P40" s="7"/>
      <c r="Q40" s="22"/>
      <c r="R40" s="22"/>
      <c r="S40" s="31">
        <f t="shared" si="2"/>
        <v>1</v>
      </c>
      <c r="T40" s="46" t="str">
        <f t="shared" si="3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4"/>
        <v>https://d0f6bd738d7f1b3e5a7ca70fe4ff75f0.us-east-1.aws.found.io/app/kibana#/discover/Steve-Slow-Train-Analysis-(2080s-and-2083s)?_g=(refreshInterval:(display:Off,pause:!f,section:0,value:0),time:(from:'2017-03-08T06:43:45-0700',mode:absolute,to:'2017-03-08T09:38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0" s="187" t="str">
        <f t="shared" si="5"/>
        <v>N</v>
      </c>
      <c r="X40" s="187">
        <f t="shared" si="25"/>
        <v>1</v>
      </c>
      <c r="Y40" s="62">
        <f t="shared" si="7"/>
        <v>23.298400000000001</v>
      </c>
      <c r="Z40" s="62">
        <f t="shared" si="8"/>
        <v>1.78E-2</v>
      </c>
      <c r="AA40" s="62">
        <f t="shared" si="9"/>
        <v>23.2806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0"/>
        <v>0128-08</v>
      </c>
      <c r="AE40" s="85" t="str">
        <f t="shared" si="11"/>
        <v>aws s3 cp s3://rtdc.mdm.uploadarchive.raw/RTDC4045/ "%USERPROFILE%\AppData\Local\Temp\OnboardLogs"\RTDC4045\2017-03-08 --exclude "*" --recursive --include "*20170308*" &amp; "%USERPROFILE%\Documents\GitHub\mrs-test-scripts\Headless Mode &amp; Sideloading\WalkAndUnGZ.bat" "%USERPROFILE%\AppData\Local\Temp\OnboardLogs"\RTDC4045\2017-03-08 &amp; aws s3 cp s3://rtdc.mdm.uploadarchive.raw/RTDC4045/ "%USERPROFILE%\AppData\Local\Temp\OnboardLogs"\RTDC4045\2017-03-09 --exclude "*" --recursive --include "*20170309*" &amp; "%USERPROFILE%\Documents\GitHub\mrs-test-scripts\Headless Mode &amp; Sideloading\WalkAndUnGZ.bat" "%USERPROFILE%\AppData\Local\Temp\OnboardLogs"\RTDC4045\2017-03-09</v>
      </c>
      <c r="AF40" s="82" t="str">
        <f t="shared" si="12"/>
        <v>"C:\Program Files (x86)\AstroGrep\AstroGrep.exe" /e /r /s /spath="%USERPROFILE%\AppData\Local\Temp\OnboardLogs" /stypes="app*4045*20170308*" /stext=" 15:.+((SYSTEM_STATE.+slice.+state.+changed )|(ment ac)|(multiple cpu faults)|(system.+state.+changed )|(\[timeout)|(PRM\|1\|D)|(kpr)|(kdp)|(\|lc)|(penalty))"</v>
      </c>
      <c r="AG40" s="1" t="str">
        <f t="shared" si="13"/>
        <v>EC</v>
      </c>
      <c r="AH40" s="86" t="str">
        <f t="shared" si="21"/>
        <v>"%USERPROFILE%\Documents\GitHub\eaglep3\Utilities\RefineRTDCRunTimes.py" --tripid 128-08 --locoid 4045 --swversion DE.1.0.9.0 --startMP 204:232984 --initTime 2017-03-08T07:43:45 --startdatetime 2017-03-08T07:56:44 --delay 2 --endMP 204:178 --enddatetime 2017-03-08T08:38:42 --enforcementcount 0 &gt;&gt;C:\Users\stu\Documents\GitHub\eaglep3-reporting\EC\2017-03-08-refined-times.txt</v>
      </c>
      <c r="AI40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{"issue":{"subject":"","project_id":79,"tracker_id":40,"status_id":1,"priority_id":2,"assigned_to_id":23,"start_date":"2017-03-08","description":"","custom_fields":[{"id":1,"name":"Subdivision","value":"EC"},{"id":4,"name":"Milepost","value":"0.0178"},{"id":17,"name":"Train ID","value":"128-08"},{"id":16,"name":"Locomotive ID","value":"4045"},{"id":130,"name":"Impact","value":""},{"id":150,"name":"Time of Event (Mountain Time)","value":"08:38:42"},{"id":151,"name":"Denver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3"/>
        <v>start /low /b %USERPROFILE%\Documents\GitHub\eaglep3\Utilities\DownloadLogsFromS3.py --loco 4045 --day 2017-03-08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"%USERPROFILE%\AppData\Local\Temp\OnboardLogs"\RTDC4045\*4045*20170308* | grep -SE "(Enforcement Action)|(\[TIMEOUT)|(CHR.+\|PRM\|1\|D.+(SWITCH|SIGNAL).+UNKNOWN)" - &gt;&gt; 2017-03-08-UncaughtWiMAX.txt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569</v>
      </c>
      <c r="B41" s="7">
        <v>4042</v>
      </c>
      <c r="C41" s="21" t="s">
        <v>242</v>
      </c>
      <c r="D41" s="21" t="s">
        <v>284</v>
      </c>
      <c r="E41" s="13">
        <v>42802.299340277779</v>
      </c>
      <c r="F41" s="13">
        <v>42802.302291666667</v>
      </c>
      <c r="G41" s="7">
        <v>1</v>
      </c>
      <c r="H41" s="21" t="s">
        <v>261</v>
      </c>
      <c r="I41" s="13">
        <v>42802.328888888886</v>
      </c>
      <c r="J41" s="7">
        <v>0</v>
      </c>
      <c r="K41" s="98" t="str">
        <f t="shared" si="0"/>
        <v>4041/4042</v>
      </c>
      <c r="L41" s="21" t="str">
        <f>VLOOKUP(A41,'Trips&amp;Operators'!$C$1:$G$99999,5,FALSE)</f>
        <v>STARKS ANGELINA</v>
      </c>
      <c r="M41" s="6">
        <f t="shared" si="1"/>
        <v>2.6597222218697425E-2</v>
      </c>
      <c r="N41" s="7">
        <f t="shared" si="20"/>
        <v>38.299999994924292</v>
      </c>
      <c r="O41" s="7"/>
      <c r="P41" s="7"/>
      <c r="Q41" s="22"/>
      <c r="R41" s="22"/>
      <c r="S41" s="31">
        <f t="shared" si="2"/>
        <v>1</v>
      </c>
      <c r="T41" s="46" t="str">
        <f t="shared" si="3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4"/>
        <v>https://d0f6bd738d7f1b3e5a7ca70fe4ff75f0.us-east-1.aws.found.io/app/kibana#/discover/Steve-Slow-Train-Analysis-(2080s-and-2083s)?_g=(refreshInterval:(display:Off,pause:!f,section:0,value:0),time:(from:'2017-03-08T06:11:03-0700',mode:absolute,to:'2017-03-08T08:53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1" s="187" t="str">
        <f t="shared" si="5"/>
        <v>N</v>
      </c>
      <c r="X41" s="187">
        <f t="shared" si="25"/>
        <v>1</v>
      </c>
      <c r="Y41" s="62">
        <f t="shared" si="7"/>
        <v>4.7699999999999999E-2</v>
      </c>
      <c r="Z41" s="62">
        <f t="shared" si="8"/>
        <v>23.331199999999999</v>
      </c>
      <c r="AA41" s="62">
        <f t="shared" si="9"/>
        <v>23.2835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0"/>
        <v>0129-08</v>
      </c>
      <c r="AE41" s="85" t="str">
        <f t="shared" si="11"/>
        <v>aws s3 cp s3://rtdc.mdm.uploadarchive.raw/RTDC4042/ "%USERPROFILE%\AppData\Local\Temp\OnboardLogs"\RTDC4042\2017-03-08 --exclude "*" --recursive --include "*20170308*" &amp; "%USERPROFILE%\Documents\GitHub\mrs-test-scripts\Headless Mode &amp; Sideloading\WalkAndUnGZ.bat" "%USERPROFILE%\AppData\Local\Temp\OnboardLogs"\RTDC4042\2017-03-08 &amp; aws s3 cp s3://rtdc.mdm.uploadarchive.raw/RTDC4042/ "%USERPROFILE%\AppData\Local\Temp\OnboardLogs"\RTDC4042\2017-03-09 --exclude "*" --recursive --include "*20170309*" &amp; "%USERPROFILE%\Documents\GitHub\mrs-test-scripts\Headless Mode &amp; Sideloading\WalkAndUnGZ.bat" "%USERPROFILE%\AppData\Local\Temp\OnboardLogs"\RTDC4042\2017-03-09</v>
      </c>
      <c r="AF41" s="82" t="str">
        <f t="shared" si="12"/>
        <v>"C:\Program Files (x86)\AstroGrep\AstroGrep.exe" /e /r /s /spath="%USERPROFILE%\AppData\Local\Temp\OnboardLogs" /stypes="app*4042*20170308*" /stext=" 14:.+((SYSTEM_STATE.+slice.+state.+changed )|(ment ac)|(multiple cpu faults)|(system.+state.+changed )|(\[timeout)|(PRM\|1\|D)|(kpr)|(kdp)|(\|lc)|(penalty))"</v>
      </c>
      <c r="AG41" s="1" t="str">
        <f t="shared" si="13"/>
        <v>EC</v>
      </c>
      <c r="AH41" s="86" t="str">
        <f t="shared" si="21"/>
        <v>"%USERPROFILE%\Documents\GitHub\eaglep3\Utilities\RefineRTDCRunTimes.py" --tripid 129-08 --locoid 4042 --swversion DE.1.0.9.0 --startMP 204:477 --initTime 2017-03-08T07:11:03 --startdatetime 2017-03-08T07:15:18 --delay 1 --endMP 204:233312 --enddatetime 2017-03-08T07:53:36 --enforcementcount 0 &gt;&gt;C:\Users\stu\Documents\GitHub\eaglep3-reporting\EC\2017-03-08-refined-times.txt</v>
      </c>
      <c r="AI41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{"issue":{"subject":"","project_id":79,"tracker_id":40,"status_id":1,"priority_id":2,"assigned_to_id":23,"start_date":"2017-03-08","description":"","custom_fields":[{"id":1,"name":"Subdivision","value":"EC"},{"id":4,"name":"Milepost","value":"23.3312"},{"id":17,"name":"Train ID","value":"129-08"},{"id":16,"name":"Locomotive ID","value":"4042"},{"id":130,"name":"Impact","value":""},{"id":150,"name":"Time of Event (Mountain Time)","value":"07:53:36"},{"id":151,"name":"Denver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3"/>
        <v>start /low /b %USERPROFILE%\Documents\GitHub\eaglep3\Utilities\DownloadLogsFromS3.py --loco 4042 --day 2017-03-08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"%USERPROFILE%\AppData\Local\Temp\OnboardLogs"\RTDC4042\*4042*20170308* | grep -SE "(Enforcement Action)|(\[TIMEOUT)|(CHR.+\|PRM\|1\|D.+(SWITCH|SIGNAL).+UNKNOWN)" - &gt;&gt; 2017-03-08-UncaughtWiMAX.txt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654</v>
      </c>
      <c r="B42" s="7">
        <v>4041</v>
      </c>
      <c r="C42" s="21" t="s">
        <v>242</v>
      </c>
      <c r="D42" s="21" t="s">
        <v>281</v>
      </c>
      <c r="E42" s="13">
        <v>42802.338831018518</v>
      </c>
      <c r="F42" s="13">
        <v>42802.341550925928</v>
      </c>
      <c r="G42" s="7">
        <v>1</v>
      </c>
      <c r="H42" s="21" t="s">
        <v>235</v>
      </c>
      <c r="I42" s="13">
        <v>42802.37023148148</v>
      </c>
      <c r="J42" s="7">
        <v>0</v>
      </c>
      <c r="K42" s="98" t="str">
        <f t="shared" si="0"/>
        <v>4041/4042</v>
      </c>
      <c r="L42" s="21" t="str">
        <f>VLOOKUP(A42,'Trips&amp;Operators'!$C$1:$G$99999,5,FALSE)</f>
        <v>STARKS ANGELINA</v>
      </c>
      <c r="M42" s="6">
        <f t="shared" si="1"/>
        <v>2.8680555551545694E-2</v>
      </c>
      <c r="N42" s="7">
        <f t="shared" si="20"/>
        <v>41.2999999942258</v>
      </c>
      <c r="O42" s="7"/>
      <c r="P42" s="7"/>
      <c r="Q42" s="22"/>
      <c r="R42" s="22"/>
      <c r="S42" s="31">
        <f t="shared" si="2"/>
        <v>1</v>
      </c>
      <c r="T42" s="46" t="str">
        <f t="shared" si="3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4"/>
        <v>https://d0f6bd738d7f1b3e5a7ca70fe4ff75f0.us-east-1.aws.found.io/app/kibana#/discover/Steve-Slow-Train-Analysis-(2080s-and-2083s)?_g=(refreshInterval:(display:Off,pause:!f,section:0,value:0),time:(from:'2017-03-08T07:07:55-0700',mode:absolute,to:'2017-03-08T09:53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2" s="187" t="str">
        <f t="shared" si="5"/>
        <v>N</v>
      </c>
      <c r="X42" s="187">
        <f t="shared" si="25"/>
        <v>1</v>
      </c>
      <c r="Y42" s="62">
        <f t="shared" si="7"/>
        <v>23.299099999999999</v>
      </c>
      <c r="Z42" s="62">
        <f t="shared" si="8"/>
        <v>1.47E-2</v>
      </c>
      <c r="AA42" s="62">
        <f t="shared" si="9"/>
        <v>23.284399999999998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0"/>
        <v>0130-08</v>
      </c>
      <c r="AE42" s="85" t="str">
        <f t="shared" si="11"/>
        <v>aws s3 cp s3://rtdc.mdm.uploadarchive.raw/RTDC4041/ "%USERPROFILE%\AppData\Local\Temp\OnboardLogs"\RTDC4041\2017-03-08 --exclude "*" --recursive --include "*20170308*" &amp; "%USERPROFILE%\Documents\GitHub\mrs-test-scripts\Headless Mode &amp; Sideloading\WalkAndUnGZ.bat" "%USERPROFILE%\AppData\Local\Temp\OnboardLogs"\RTDC4041\2017-03-08 &amp; aws s3 cp s3://rtdc.mdm.uploadarchive.raw/RTDC4041/ "%USERPROFILE%\AppData\Local\Temp\OnboardLogs"\RTDC4041\2017-03-09 --exclude "*" --recursive --include "*20170309*" &amp; "%USERPROFILE%\Documents\GitHub\mrs-test-scripts\Headless Mode &amp; Sideloading\WalkAndUnGZ.bat" "%USERPROFILE%\AppData\Local\Temp\OnboardLogs"\RTDC4041\2017-03-09</v>
      </c>
      <c r="AF42" s="82" t="str">
        <f t="shared" si="12"/>
        <v>"C:\Program Files (x86)\AstroGrep\AstroGrep.exe" /e /r /s /spath="%USERPROFILE%\AppData\Local\Temp\OnboardLogs" /stypes="app*4041*20170308*" /stext=" 15:.+((SYSTEM_STATE.+slice.+state.+changed )|(ment ac)|(multiple cpu faults)|(system.+state.+changed )|(\[timeout)|(PRM\|1\|D)|(kpr)|(kdp)|(\|lc)|(penalty))"</v>
      </c>
      <c r="AG42" s="1" t="str">
        <f t="shared" si="13"/>
        <v>EC</v>
      </c>
      <c r="AH42" s="86" t="str">
        <f t="shared" si="21"/>
        <v>"%USERPROFILE%\Documents\GitHub\eaglep3\Utilities\RefineRTDCRunTimes.py" --tripid 130-08 --locoid 4041 --swversion DE.1.0.9.0 --startMP 204:232991 --initTime 2017-03-08T08:07:55 --startdatetime 2017-03-08T08:11:50 --delay 1 --endMP 204:147 --enddatetime 2017-03-08T08:53:08 --enforcementcount 0 &gt;&gt;C:\Users\stu\Documents\GitHub\eaglep3-reporting\EC\2017-03-08-refined-times.txt</v>
      </c>
      <c r="AI42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{"issue":{"subject":"","project_id":79,"tracker_id":40,"status_id":1,"priority_id":2,"assigned_to_id":23,"start_date":"2017-03-08","description":"","custom_fields":[{"id":1,"name":"Subdivision","value":"EC"},{"id":4,"name":"Milepost","value":"0.0147"},{"id":17,"name":"Train ID","value":"130-08"},{"id":16,"name":"Locomotive ID","value":"4041"},{"id":130,"name":"Impact","value":""},{"id":150,"name":"Time of Event (Mountain Time)","value":"08:53:08"},{"id":151,"name":"Denver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3"/>
        <v>start /low /b %USERPROFILE%\Documents\GitHub\eaglep3\Utilities\DownloadLogsFromS3.py --loco 4041 --day 2017-03-08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"%USERPROFILE%\AppData\Local\Temp\OnboardLogs"\RTDC4041\*4041*20170308* | grep -SE "(Enforcement Action)|(\[TIMEOUT)|(CHR.+\|PRM\|1\|D.+(SWITCH|SIGNAL).+UNKNOWN)" - &gt;&gt; 2017-03-08-UncaughtWiMAX.txt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570</v>
      </c>
      <c r="B43" s="7">
        <v>4009</v>
      </c>
      <c r="C43" s="21" t="s">
        <v>242</v>
      </c>
      <c r="D43" s="21" t="s">
        <v>223</v>
      </c>
      <c r="E43" s="13">
        <v>42802.308564814812</v>
      </c>
      <c r="F43" s="13">
        <v>42802.312835648147</v>
      </c>
      <c r="G43" s="7">
        <v>1</v>
      </c>
      <c r="H43" s="21" t="s">
        <v>492</v>
      </c>
      <c r="I43" s="13">
        <v>42802.338043981479</v>
      </c>
      <c r="J43" s="7">
        <v>0</v>
      </c>
      <c r="K43" s="98" t="str">
        <f t="shared" si="0"/>
        <v>4009/4010</v>
      </c>
      <c r="L43" s="21" t="str">
        <f>VLOOKUP(A43,'Trips&amp;Operators'!$C$1:$G$99999,5,FALSE)</f>
        <v>MAELZER KURT</v>
      </c>
      <c r="M43" s="6">
        <f t="shared" si="1"/>
        <v>2.5208333332557231E-2</v>
      </c>
      <c r="N43" s="7">
        <f t="shared" si="20"/>
        <v>36.299999998882413</v>
      </c>
      <c r="O43" s="7"/>
      <c r="P43" s="7"/>
      <c r="Q43" s="22"/>
      <c r="R43" s="22"/>
      <c r="S43" s="31">
        <f t="shared" si="2"/>
        <v>1</v>
      </c>
      <c r="T43" s="46" t="str">
        <f t="shared" si="3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4"/>
        <v>https://d0f6bd738d7f1b3e5a7ca70fe4ff75f0.us-east-1.aws.found.io/app/kibana#/discover/Steve-Slow-Train-Analysis-(2080s-and-2083s)?_g=(refreshInterval:(display:Off,pause:!f,section:0,value:0),time:(from:'2017-03-08T06:24:20-0700',mode:absolute,to:'2017-03-08T09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3" s="187" t="str">
        <f t="shared" si="5"/>
        <v>N</v>
      </c>
      <c r="X43" s="187">
        <f t="shared" si="25"/>
        <v>1</v>
      </c>
      <c r="Y43" s="62">
        <f t="shared" si="7"/>
        <v>4.53E-2</v>
      </c>
      <c r="Z43" s="62">
        <f t="shared" si="8"/>
        <v>23.3307</v>
      </c>
      <c r="AA43" s="62">
        <f t="shared" si="9"/>
        <v>23.285399999999999</v>
      </c>
      <c r="AB43" s="59" t="str">
        <f>VLOOKUP(A43,Enforcements!$C$7:$K$13,8,0)</f>
        <v>Bulletin (2)</v>
      </c>
      <c r="AC43" s="55" t="str">
        <f>VLOOKUP(A43,Enforcements!$C$7:$E$13,3,0)</f>
        <v>GRADE CROSSING</v>
      </c>
      <c r="AD43" s="56" t="str">
        <f t="shared" si="10"/>
        <v>0131-08</v>
      </c>
      <c r="AE43" s="85" t="str">
        <f t="shared" si="11"/>
        <v>aws s3 cp s3://rtdc.mdm.uploadarchive.raw/RTDC4009/ "%USERPROFILE%\AppData\Local\Temp\OnboardLogs"\RTDC4009\2017-03-08 --exclude "*" --recursive --include "*20170308*" &amp; "%USERPROFILE%\Documents\GitHub\mrs-test-scripts\Headless Mode &amp; Sideloading\WalkAndUnGZ.bat" "%USERPROFILE%\AppData\Local\Temp\OnboardLogs"\RTDC4009\2017-03-08 &amp; aws s3 cp s3://rtdc.mdm.uploadarchive.raw/RTDC4009/ "%USERPROFILE%\AppData\Local\Temp\OnboardLogs"\RTDC4009\2017-03-09 --exclude "*" --recursive --include "*20170309*" &amp; "%USERPROFILE%\Documents\GitHub\mrs-test-scripts\Headless Mode &amp; Sideloading\WalkAndUnGZ.bat" "%USERPROFILE%\AppData\Local\Temp\OnboardLogs"\RTDC4009\2017-03-09</v>
      </c>
      <c r="AF43" s="82" t="str">
        <f t="shared" si="12"/>
        <v>"C:\Program Files (x86)\AstroGrep\AstroGrep.exe" /e /r /s /spath="%USERPROFILE%\AppData\Local\Temp\OnboardLogs" /stypes="app*4009*20170308*" /stext=" 15:.+((SYSTEM_STATE.+slice.+state.+changed )|(ment ac)|(multiple cpu faults)|(system.+state.+changed )|(\[timeout)|(PRM\|1\|D)|(kpr)|(kdp)|(\|lc)|(penalty))"</v>
      </c>
      <c r="AG43" s="1" t="str">
        <f t="shared" si="13"/>
        <v>EC</v>
      </c>
      <c r="AH43" s="86" t="str">
        <f t="shared" si="21"/>
        <v>"%USERPROFILE%\Documents\GitHub\eaglep3\Utilities\RefineRTDCRunTimes.py" --tripid 131-08 --locoid 4009 --swversion DE.1.0.9.0 --startMP 204:453 --initTime 2017-03-08T07:24:20 --startdatetime 2017-03-08T07:30:29 --delay 1 --endMP 204:233307 --enddatetime 2017-03-08T08:06:47 --enforcementcount 0 &gt;&gt;C:\Users\stu\Documents\GitHub\eaglep3-reporting\EC\2017-03-08-refined-times.txt</v>
      </c>
      <c r="AI43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{"issue":{"subject":"","project_id":79,"tracker_id":40,"status_id":1,"priority_id":2,"assigned_to_id":23,"start_date":"2017-03-08","description":"","custom_fields":[{"id":1,"name":"Subdivision","value":"EC"},{"id":4,"name":"Milepost","value":"23.3307"},{"id":17,"name":"Train ID","value":"131-08"},{"id":16,"name":"Locomotive ID","value":"4009"},{"id":130,"name":"Impact","value":""},{"id":150,"name":"Time of Event (Mountain Time)","value":"08:06:47"},{"id":151,"name":"Denver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3"/>
        <v>start /low /b %USERPROFILE%\Documents\GitHub\eaglep3\Utilities\DownloadLogsFromS3.py --loco 4009 --day 2017-03-08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"%USERPROFILE%\AppData\Local\Temp\OnboardLogs"\RTDC4009\*4009*20170308* | grep -SE "(Enforcement Action)|(\[TIMEOUT)|(CHR.+\|PRM\|1\|D.+(SWITCH|SIGNAL).+UNKNOWN)" - &gt;&gt; 2017-03-08-UncaughtWiMAX.txt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656</v>
      </c>
      <c r="B44" s="7">
        <v>4010</v>
      </c>
      <c r="C44" s="21" t="s">
        <v>242</v>
      </c>
      <c r="D44" s="21" t="s">
        <v>433</v>
      </c>
      <c r="E44" s="13">
        <v>42802.345254629632</v>
      </c>
      <c r="F44" s="13">
        <v>42802.351666666669</v>
      </c>
      <c r="G44" s="7">
        <v>1</v>
      </c>
      <c r="H44" s="21" t="s">
        <v>184</v>
      </c>
      <c r="I44" s="13">
        <v>42802.379374999997</v>
      </c>
      <c r="J44" s="7">
        <v>0</v>
      </c>
      <c r="K44" s="98" t="str">
        <f t="shared" si="0"/>
        <v>4009/4010</v>
      </c>
      <c r="L44" s="21" t="str">
        <f>VLOOKUP(A44,'Trips&amp;Operators'!$C$1:$G$99999,5,FALSE)</f>
        <v>MAELZER KURT</v>
      </c>
      <c r="M44" s="6">
        <f t="shared" si="1"/>
        <v>2.770833332760958E-2</v>
      </c>
      <c r="N44" s="7">
        <f t="shared" si="20"/>
        <v>39.899999991757795</v>
      </c>
      <c r="O44" s="7"/>
      <c r="P44" s="7"/>
      <c r="Q44" s="22"/>
      <c r="R44" s="22"/>
      <c r="S44" s="31">
        <f t="shared" si="2"/>
        <v>1</v>
      </c>
      <c r="T44" s="46" t="str">
        <f t="shared" si="3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4"/>
        <v>https://d0f6bd738d7f1b3e5a7ca70fe4ff75f0.us-east-1.aws.found.io/app/kibana#/discover/Steve-Slow-Train-Analysis-(2080s-and-2083s)?_g=(refreshInterval:(display:Off,pause:!f,section:0,value:0),time:(from:'2017-03-08T07:17:10-0700',mode:absolute,to:'2017-03-08T10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4" s="187" t="str">
        <f t="shared" si="5"/>
        <v>N</v>
      </c>
      <c r="X44" s="187">
        <f t="shared" si="25"/>
        <v>1</v>
      </c>
      <c r="Y44" s="62">
        <f t="shared" si="7"/>
        <v>23.298200000000001</v>
      </c>
      <c r="Z44" s="62">
        <f t="shared" si="8"/>
        <v>1.49E-2</v>
      </c>
      <c r="AA44" s="62">
        <f t="shared" si="9"/>
        <v>23.283300000000001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0"/>
        <v>0132-08</v>
      </c>
      <c r="AE44" s="85" t="str">
        <f t="shared" si="11"/>
        <v>aws s3 cp s3://rtdc.mdm.uploadarchive.raw/RTDC4010/ "%USERPROFILE%\AppData\Local\Temp\OnboardLogs"\RTDC4010\2017-03-08 --exclude "*" --recursive --include "*20170308*" &amp; "%USERPROFILE%\Documents\GitHub\mrs-test-scripts\Headless Mode &amp; Sideloading\WalkAndUnGZ.bat" "%USERPROFILE%\AppData\Local\Temp\OnboardLogs"\RTDC4010\2017-03-08 &amp; aws s3 cp s3://rtdc.mdm.uploadarchive.raw/RTDC4010/ "%USERPROFILE%\AppData\Local\Temp\OnboardLogs"\RTDC4010\2017-03-09 --exclude "*" --recursive --include "*20170309*" &amp; "%USERPROFILE%\Documents\GitHub\mrs-test-scripts\Headless Mode &amp; Sideloading\WalkAndUnGZ.bat" "%USERPROFILE%\AppData\Local\Temp\OnboardLogs"\RTDC4010\2017-03-09</v>
      </c>
      <c r="AF44" s="82" t="str">
        <f t="shared" si="12"/>
        <v>"C:\Program Files (x86)\AstroGrep\AstroGrep.exe" /e /r /s /spath="%USERPROFILE%\AppData\Local\Temp\OnboardLogs" /stypes="app*4010*20170308*" /stext=" 16:.+((SYSTEM_STATE.+slice.+state.+changed )|(ment ac)|(multiple cpu faults)|(system.+state.+changed )|(\[timeout)|(PRM\|1\|D)|(kpr)|(kdp)|(\|lc)|(penalty))"</v>
      </c>
      <c r="AG44" s="1" t="str">
        <f t="shared" si="13"/>
        <v>EC</v>
      </c>
      <c r="AH44" s="86" t="str">
        <f t="shared" si="21"/>
        <v>"%USERPROFILE%\Documents\GitHub\eaglep3\Utilities\RefineRTDCRunTimes.py" --tripid 132-08 --locoid 4010 --swversion DE.1.0.9.0 --startMP 204:232982 --initTime 2017-03-08T08:17:10 --startdatetime 2017-03-08T08:26:24 --delay 1 --endMP 204:149 --enddatetime 2017-03-08T09:06:18 --enforcementcount 0 &gt;&gt;C:\Users\stu\Documents\GitHub\eaglep3-reporting\EC\2017-03-08-refined-times.txt</v>
      </c>
      <c r="AI44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{"issue":{"subject":"","project_id":79,"tracker_id":40,"status_id":1,"priority_id":2,"assigned_to_id":23,"start_date":"2017-03-08","description":"","custom_fields":[{"id":1,"name":"Subdivision","value":"EC"},{"id":4,"name":"Milepost","value":"0.0149"},{"id":17,"name":"Train ID","value":"132-08"},{"id":16,"name":"Locomotive ID","value":"4010"},{"id":130,"name":"Impact","value":""},{"id":150,"name":"Time of Event (Mountain Time)","value":"09:06:18"},{"id":151,"name":"Denver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3"/>
        <v>start /low /b %USERPROFILE%\Documents\GitHub\eaglep3\Utilities\DownloadLogsFromS3.py --loco 4010 --day 2017-03-08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"%USERPROFILE%\AppData\Local\Temp\OnboardLogs"\RTDC4010\*4010*20170308* | grep -SE "(Enforcement Action)|(\[TIMEOUT)|(CHR.+\|PRM\|1\|D.+(SWITCH|SIGNAL).+UNKNOWN)" - &gt;&gt; 2017-03-08-UncaughtWiMAX.txt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651</v>
      </c>
      <c r="B45" s="7">
        <v>4016</v>
      </c>
      <c r="C45" s="21" t="s">
        <v>242</v>
      </c>
      <c r="D45" s="21" t="s">
        <v>223</v>
      </c>
      <c r="E45" s="13">
        <v>42802.318749999999</v>
      </c>
      <c r="F45" s="13">
        <v>42802.323194444441</v>
      </c>
      <c r="G45" s="7">
        <v>1</v>
      </c>
      <c r="H45" s="21" t="s">
        <v>462</v>
      </c>
      <c r="I45" s="13">
        <v>42802.348483796297</v>
      </c>
      <c r="J45" s="7">
        <v>0</v>
      </c>
      <c r="K45" s="98" t="str">
        <f t="shared" si="0"/>
        <v>4015/4016</v>
      </c>
      <c r="L45" s="21" t="str">
        <f>VLOOKUP(A45,'Trips&amp;Operators'!$C$1:$G$99999,5,FALSE)</f>
        <v>GEBRETEKLE DAGNEW</v>
      </c>
      <c r="M45" s="6">
        <f t="shared" si="1"/>
        <v>2.5289351855462883E-2</v>
      </c>
      <c r="N45" s="7">
        <f t="shared" si="20"/>
        <v>36.416666671866551</v>
      </c>
      <c r="O45" s="7"/>
      <c r="P45" s="7"/>
      <c r="Q45" s="22"/>
      <c r="R45" s="22"/>
      <c r="S45" s="31">
        <f t="shared" ref="S45:S78" si="26">SUM(U45:U45)/IF(AG45="EC",12,1)</f>
        <v>1</v>
      </c>
      <c r="T45" s="46" t="str">
        <f t="shared" si="3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4"/>
        <v>https://d0f6bd738d7f1b3e5a7ca70fe4ff75f0.us-east-1.aws.found.io/app/kibana#/discover/Steve-Slow-Train-Analysis-(2080s-and-2083s)?_g=(refreshInterval:(display:Off,pause:!f,section:0,value:0),time:(from:'2017-03-08T06:39:00-0700',mode:absolute,to:'2017-03-08T09:21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5" s="187" t="str">
        <f t="shared" si="5"/>
        <v>N</v>
      </c>
      <c r="X45" s="187">
        <f t="shared" si="25"/>
        <v>1</v>
      </c>
      <c r="Y45" s="62">
        <f t="shared" si="7"/>
        <v>4.53E-2</v>
      </c>
      <c r="Z45" s="62">
        <f t="shared" si="8"/>
        <v>23.33</v>
      </c>
      <c r="AA45" s="62">
        <f t="shared" si="9"/>
        <v>23.284699999999997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0"/>
        <v>0133-08</v>
      </c>
      <c r="AE45" s="85" t="str">
        <f t="shared" si="11"/>
        <v>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 &amp; 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</v>
      </c>
      <c r="AF45" s="82" t="str">
        <f t="shared" si="12"/>
        <v>"C:\Program Files (x86)\AstroGrep\AstroGrep.exe" /e /r /s /spath="%USERPROFILE%\AppData\Local\Temp\OnboardLogs" /stypes="app*4016*20170308*" /stext=" 15:.+((SYSTEM_STATE.+slice.+state.+changed )|(ment ac)|(multiple cpu faults)|(system.+state.+changed )|(\[timeout)|(PRM\|1\|D)|(kpr)|(kdp)|(\|lc)|(penalty))"</v>
      </c>
      <c r="AG45" s="1" t="str">
        <f t="shared" si="13"/>
        <v>EC</v>
      </c>
      <c r="AH45" s="86" t="str">
        <f t="shared" si="21"/>
        <v>"%USERPROFILE%\Documents\GitHub\eaglep3\Utilities\RefineRTDCRunTimes.py" --tripid 133-08 --locoid 4016 --swversion DE.1.0.9.0 --startMP 204:453 --initTime 2017-03-08T07:39:00 --startdatetime 2017-03-08T07:45:24 --delay 1 --endMP 204:233300 --enddatetime 2017-03-08T08:21:49 --enforcementcount 0 &gt;&gt;C:\Users\stu\Documents\GitHub\eaglep3-reporting\EC\2017-03-08-refined-times.txt</v>
      </c>
      <c r="AI45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{"issue":{"subject":"","project_id":79,"tracker_id":40,"status_id":1,"priority_id":2,"assigned_to_id":23,"start_date":"2017-03-08","description":"","custom_fields":[{"id":1,"name":"Subdivision","value":"EC"},{"id":4,"name":"Milepost","value":"23.33"},{"id":17,"name":"Train ID","value":"133-08"},{"id":16,"name":"Locomotive ID","value":"4016"},{"id":130,"name":"Impact","value":""},{"id":150,"name":"Time of Event (Mountain Time)","value":"08:21:49"},{"id":151,"name":"Denver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3"/>
        <v>start /low /b %USERPROFILE%\Documents\GitHub\eaglep3\Utilities\DownloadLogsFromS3.py --loco 4016 --day 2017-03-08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"%USERPROFILE%\AppData\Local\Temp\OnboardLogs"\RTDC4016\*4016*20170308* | grep -SE "(Enforcement Action)|(\[TIMEOUT)|(CHR.+\|PRM\|1\|D.+(SWITCH|SIGNAL).+UNKNOWN)" - &gt;&gt; 2017-03-08-UncaughtWiMAX.txt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660</v>
      </c>
      <c r="B46" s="7">
        <v>4015</v>
      </c>
      <c r="C46" s="21" t="s">
        <v>242</v>
      </c>
      <c r="D46" s="21" t="s">
        <v>497</v>
      </c>
      <c r="E46" s="13">
        <v>42802.357106481482</v>
      </c>
      <c r="F46" s="13">
        <v>42802.362060185187</v>
      </c>
      <c r="G46" s="7">
        <v>1</v>
      </c>
      <c r="H46" s="21" t="s">
        <v>532</v>
      </c>
      <c r="I46" s="13">
        <v>42802.389120370368</v>
      </c>
      <c r="J46" s="7">
        <v>0</v>
      </c>
      <c r="K46" s="98" t="str">
        <f t="shared" si="0"/>
        <v>4015/4016</v>
      </c>
      <c r="L46" s="21" t="str">
        <f>VLOOKUP(A46,'Trips&amp;Operators'!$C$1:$G$99999,5,FALSE)</f>
        <v>GEBRETEKLE DAGNEW</v>
      </c>
      <c r="M46" s="6">
        <f t="shared" si="1"/>
        <v>2.7060185180744156E-2</v>
      </c>
      <c r="N46" s="7">
        <f t="shared" si="20"/>
        <v>38.966666660271585</v>
      </c>
      <c r="O46" s="7"/>
      <c r="P46" s="7"/>
      <c r="Q46" s="22"/>
      <c r="R46" s="22"/>
      <c r="S46" s="31">
        <f t="shared" si="26"/>
        <v>1</v>
      </c>
      <c r="T46" s="46" t="str">
        <f t="shared" si="3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4"/>
        <v>https://d0f6bd738d7f1b3e5a7ca70fe4ff75f0.us-east-1.aws.found.io/app/kibana#/discover/Steve-Slow-Train-Analysis-(2080s-and-2083s)?_g=(refreshInterval:(display:Off,pause:!f,section:0,value:0),time:(from:'2017-03-08T07:34:14-0700',mode:absolute,to:'2017-03-08T10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6" s="187" t="str">
        <f t="shared" si="5"/>
        <v>N</v>
      </c>
      <c r="X46" s="187">
        <f t="shared" si="25"/>
        <v>1</v>
      </c>
      <c r="Y46" s="62">
        <f t="shared" si="7"/>
        <v>23.298100000000002</v>
      </c>
      <c r="Z46" s="62">
        <f t="shared" si="8"/>
        <v>1.3599999999999999E-2</v>
      </c>
      <c r="AA46" s="62">
        <f t="shared" si="9"/>
        <v>23.284500000000001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0"/>
        <v>0134-08</v>
      </c>
      <c r="AE46" s="85" t="str">
        <f t="shared" si="11"/>
        <v>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 &amp; 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</v>
      </c>
      <c r="AF46" s="82" t="str">
        <f t="shared" si="12"/>
        <v>"C:\Program Files (x86)\AstroGrep\AstroGrep.exe" /e /r /s /spath="%USERPROFILE%\AppData\Local\Temp\OnboardLogs" /stypes="app*4015*20170308*" /stext=" 16:.+((SYSTEM_STATE.+slice.+state.+changed )|(ment ac)|(multiple cpu faults)|(system.+state.+changed )|(\[timeout)|(PRM\|1\|D)|(kpr)|(kdp)|(\|lc)|(penalty))"</v>
      </c>
      <c r="AG46" s="1" t="str">
        <f t="shared" si="13"/>
        <v>EC</v>
      </c>
      <c r="AH46" s="86" t="str">
        <f t="shared" si="21"/>
        <v>"%USERPROFILE%\Documents\GitHub\eaglep3\Utilities\RefineRTDCRunTimes.py" --tripid 134-08 --locoid 4015 --swversion DE.1.0.9.0 --startMP 204:232981 --initTime 2017-03-08T08:34:14 --startdatetime 2017-03-08T08:41:22 --delay 1 --endMP 204:136 --enddatetime 2017-03-08T09:20:20 --enforcementcount 0 &gt;&gt;C:\Users\stu\Documents\GitHub\eaglep3-reporting\EC\2017-03-08-refined-times.txt</v>
      </c>
      <c r="AI46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{"issue":{"subject":"","project_id":79,"tracker_id":40,"status_id":1,"priority_id":2,"assigned_to_id":23,"start_date":"2017-03-08","description":"","custom_fields":[{"id":1,"name":"Subdivision","value":"EC"},{"id":4,"name":"Milepost","value":"0.0136"},{"id":17,"name":"Train ID","value":"134-08"},{"id":16,"name":"Locomotive ID","value":"4015"},{"id":130,"name":"Impact","value":""},{"id":150,"name":"Time of Event (Mountain Time)","value":"09:20:20"},{"id":151,"name":"Denver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3"/>
        <v>start /low /b %USERPROFILE%\Documents\GitHub\eaglep3\Utilities\DownloadLogsFromS3.py --loco 4015 --day 2017-03-08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"%USERPROFILE%\AppData\Local\Temp\OnboardLogs"\RTDC4015\*4015*20170308* | grep -SE "(Enforcement Action)|(\[TIMEOUT)|(CHR.+\|PRM\|1\|D.+(SWITCH|SIGNAL).+UNKNOWN)" - &gt;&gt; 2017-03-08-UncaughtWiMAX.txt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574</v>
      </c>
      <c r="B47" s="7">
        <v>4006</v>
      </c>
      <c r="C47" s="21" t="s">
        <v>242</v>
      </c>
      <c r="D47" s="21" t="s">
        <v>216</v>
      </c>
      <c r="E47" s="13">
        <v>42802.329942129632</v>
      </c>
      <c r="F47" s="13">
        <v>42802.333518518521</v>
      </c>
      <c r="G47" s="7">
        <v>1</v>
      </c>
      <c r="H47" s="21" t="s">
        <v>848</v>
      </c>
      <c r="I47" s="13">
        <v>42802.360266203701</v>
      </c>
      <c r="J47" s="7">
        <v>0</v>
      </c>
      <c r="K47" s="98" t="str">
        <f t="shared" si="0"/>
        <v>4005/4006</v>
      </c>
      <c r="L47" s="21" t="str">
        <f>VLOOKUP(A47,'Trips&amp;Operators'!$C$1:$G$99999,5,FALSE)</f>
        <v>BONDS REYNALDO</v>
      </c>
      <c r="M47" s="6">
        <f t="shared" si="1"/>
        <v>2.6747685180453118E-2</v>
      </c>
      <c r="N47" s="7">
        <f t="shared" ref="N47:N77" si="27">24*60*SUM($M47:$M47)</f>
        <v>38.51666665985249</v>
      </c>
      <c r="O47" s="7"/>
      <c r="P47" s="7"/>
      <c r="Q47" s="22"/>
      <c r="R47" s="22"/>
      <c r="S47" s="31">
        <f t="shared" si="26"/>
        <v>1</v>
      </c>
      <c r="T47" s="46" t="str">
        <f t="shared" si="3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4"/>
        <v>https://d0f6bd738d7f1b3e5a7ca70fe4ff75f0.us-east-1.aws.found.io/app/kibana#/discover/Steve-Slow-Train-Analysis-(2080s-and-2083s)?_g=(refreshInterval:(display:Off,pause:!f,section:0,value:0),time:(from:'2017-03-08T06:55:07-0700',mode:absolute,to:'2017-03-08T09:38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7" s="187" t="str">
        <f t="shared" si="5"/>
        <v>N</v>
      </c>
      <c r="X47" s="187">
        <f t="shared" si="25"/>
        <v>1</v>
      </c>
      <c r="Y47" s="62">
        <f t="shared" si="7"/>
        <v>4.5100000000000001E-2</v>
      </c>
      <c r="Z47" s="62">
        <f t="shared" si="8"/>
        <v>23.3293</v>
      </c>
      <c r="AA47" s="62">
        <f t="shared" si="9"/>
        <v>23.284199999999998</v>
      </c>
      <c r="AB47" s="59" t="str">
        <f>VLOOKUP(A47,Enforcements!$C$7:$K$13,8,0)</f>
        <v>Bulletin (2)</v>
      </c>
      <c r="AC47" s="55" t="str">
        <f>VLOOKUP(A47,Enforcements!$C$7:$E$13,3,0)</f>
        <v>GRADE CROSSING</v>
      </c>
      <c r="AD47" s="56" t="str">
        <f t="shared" si="10"/>
        <v>0135-08</v>
      </c>
      <c r="AE47" s="85" t="str">
        <f t="shared" si="11"/>
        <v>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 &amp; aws s3 cp s3://rtdc.mdm.uploadarchive.raw/RTDC4006/ "%USERPROFILE%\AppData\Local\Temp\OnboardLogs"\RTDC4006\2017-03-09 --exclude "*" --recursive --include "*20170309*" &amp; "%USERPROFILE%\Documents\GitHub\mrs-test-scripts\Headless Mode &amp; Sideloading\WalkAndUnGZ.bat" "%USERPROFILE%\AppData\Local\Temp\OnboardLogs"\RTDC4006\2017-03-09</v>
      </c>
      <c r="AF47" s="82" t="str">
        <f t="shared" si="12"/>
        <v>"C:\Program Files (x86)\AstroGrep\AstroGrep.exe" /e /r /s /spath="%USERPROFILE%\AppData\Local\Temp\OnboardLogs" /stypes="app*4006*20170308*" /stext=" 15:.+((SYSTEM_STATE.+slice.+state.+changed )|(ment ac)|(multiple cpu faults)|(system.+state.+changed )|(\[timeout)|(PRM\|1\|D)|(kpr)|(kdp)|(\|lc)|(penalty))"</v>
      </c>
      <c r="AG47" s="1" t="str">
        <f t="shared" si="13"/>
        <v>EC</v>
      </c>
      <c r="AH47" s="86" t="str">
        <f t="shared" si="21"/>
        <v>"%USERPROFILE%\Documents\GitHub\eaglep3\Utilities\RefineRTDCRunTimes.py" --tripid 135-08 --locoid 4006 --swversion DE.1.0.9.0 --startMP 204:451 --initTime 2017-03-08T07:55:07 --startdatetime 2017-03-08T08:00:16 --delay 1 --endMP 204:233293 --enddatetime 2017-03-08T08:38:47 --enforcementcount 0 &gt;&gt;C:\Users\stu\Documents\GitHub\eaglep3-reporting\EC\2017-03-08-refined-times.txt</v>
      </c>
      <c r="AI47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{"issue":{"subject":"","project_id":79,"tracker_id":40,"status_id":1,"priority_id":2,"assigned_to_id":23,"start_date":"2017-03-08","description":"","custom_fields":[{"id":1,"name":"Subdivision","value":"EC"},{"id":4,"name":"Milepost","value":"23.3293"},{"id":17,"name":"Train ID","value":"135-08"},{"id":16,"name":"Locomotive ID","value":"4006"},{"id":130,"name":"Impact","value":""},{"id":150,"name":"Time of Event (Mountain Time)","value":"08:38:47"},{"id":151,"name":"Denver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3"/>
        <v>start /low /b %USERPROFILE%\Documents\GitHub\eaglep3\Utilities\DownloadLogsFromS3.py --loco 4006 --day 2017-03-08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"%USERPROFILE%\AppData\Local\Temp\OnboardLogs"\RTDC4006\*4006*20170308* | grep -SE "(Enforcement Action)|(\[TIMEOUT)|(CHR.+\|PRM\|1\|D.+(SWITCH|SIGNAL).+UNKNOWN)" - &gt;&gt; 2017-03-08-UncaughtWiMAX.txt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578</v>
      </c>
      <c r="B48" s="7">
        <v>4005</v>
      </c>
      <c r="C48" s="21" t="s">
        <v>242</v>
      </c>
      <c r="D48" s="21" t="s">
        <v>464</v>
      </c>
      <c r="E48" s="13">
        <v>42802.369849537034</v>
      </c>
      <c r="F48" s="13">
        <v>42802.372453703705</v>
      </c>
      <c r="G48" s="7">
        <v>1</v>
      </c>
      <c r="H48" s="21" t="s">
        <v>235</v>
      </c>
      <c r="I48" s="13">
        <v>42802.401550925926</v>
      </c>
      <c r="J48" s="7">
        <v>0</v>
      </c>
      <c r="K48" s="98" t="str">
        <f t="shared" si="0"/>
        <v>4005/4006</v>
      </c>
      <c r="L48" s="21" t="str">
        <f>VLOOKUP(A48,'Trips&amp;Operators'!$C$1:$G$99999,5,FALSE)</f>
        <v>BONDS REYNALDO</v>
      </c>
      <c r="M48" s="6">
        <f t="shared" si="1"/>
        <v>2.9097222221025731E-2</v>
      </c>
      <c r="N48" s="7">
        <f t="shared" si="27"/>
        <v>41.899999998277053</v>
      </c>
      <c r="O48" s="7"/>
      <c r="P48" s="7"/>
      <c r="Q48" s="22"/>
      <c r="R48" s="22"/>
      <c r="S48" s="31">
        <f t="shared" si="26"/>
        <v>1</v>
      </c>
      <c r="T48" s="46" t="str">
        <f t="shared" si="3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4"/>
        <v>https://d0f6bd738d7f1b3e5a7ca70fe4ff75f0.us-east-1.aws.found.io/app/kibana#/discover/Steve-Slow-Train-Analysis-(2080s-and-2083s)?_g=(refreshInterval:(display:Off,pause:!f,section:0,value:0),time:(from:'2017-03-08T07:52:35-0700',mode:absolute,to:'2017-03-08T10:38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8" s="187" t="str">
        <f t="shared" si="5"/>
        <v>N</v>
      </c>
      <c r="X48" s="187">
        <f t="shared" si="25"/>
        <v>1</v>
      </c>
      <c r="Y48" s="62">
        <f t="shared" si="7"/>
        <v>23.297999999999998</v>
      </c>
      <c r="Z48" s="62">
        <f t="shared" si="8"/>
        <v>1.47E-2</v>
      </c>
      <c r="AA48" s="62">
        <f t="shared" si="9"/>
        <v>23.283299999999997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0"/>
        <v>0136-08</v>
      </c>
      <c r="AE48" s="85" t="str">
        <f t="shared" si="11"/>
        <v>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 &amp; aws s3 cp s3://rtdc.mdm.uploadarchive.raw/RTDC4005/ "%USERPROFILE%\AppData\Local\Temp\OnboardLogs"\RTDC4005\2017-03-09 --exclude "*" --recursive --include "*20170309*" &amp; "%USERPROFILE%\Documents\GitHub\mrs-test-scripts\Headless Mode &amp; Sideloading\WalkAndUnGZ.bat" "%USERPROFILE%\AppData\Local\Temp\OnboardLogs"\RTDC4005\2017-03-09</v>
      </c>
      <c r="AF48" s="82" t="str">
        <f t="shared" si="12"/>
        <v>"C:\Program Files (x86)\AstroGrep\AstroGrep.exe" /e /r /s /spath="%USERPROFILE%\AppData\Local\Temp\OnboardLogs" /stypes="app*4005*20170308*" /stext=" 16:.+((SYSTEM_STATE.+slice.+state.+changed )|(ment ac)|(multiple cpu faults)|(system.+state.+changed )|(\[timeout)|(PRM\|1\|D)|(kpr)|(kdp)|(\|lc)|(penalty))"</v>
      </c>
      <c r="AG48" s="1" t="str">
        <f t="shared" si="13"/>
        <v>EC</v>
      </c>
      <c r="AH48" s="86" t="str">
        <f t="shared" si="21"/>
        <v>"%USERPROFILE%\Documents\GitHub\eaglep3\Utilities\RefineRTDCRunTimes.py" --tripid 136-08 --locoid 4005 --swversion DE.1.0.9.0 --startMP 204:232980 --initTime 2017-03-08T08:52:35 --startdatetime 2017-03-08T08:56:20 --delay 1 --endMP 204:147 --enddatetime 2017-03-08T09:38:14 --enforcementcount 0 &gt;&gt;C:\Users\stu\Documents\GitHub\eaglep3-reporting\EC\2017-03-08-refined-times.txt</v>
      </c>
      <c r="AI48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{"issue":{"subject":"","project_id":79,"tracker_id":40,"status_id":1,"priority_id":2,"assigned_to_id":23,"start_date":"2017-03-08","description":"","custom_fields":[{"id":1,"name":"Subdivision","value":"EC"},{"id":4,"name":"Milepost","value":"0.0147"},{"id":17,"name":"Train ID","value":"136-08"},{"id":16,"name":"Locomotive ID","value":"4005"},{"id":130,"name":"Impact","value":""},{"id":150,"name":"Time of Event (Mountain Time)","value":"09:38:14"},{"id":151,"name":"Denver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3"/>
        <v>start /low /b %USERPROFILE%\Documents\GitHub\eaglep3\Utilities\DownloadLogsFromS3.py --loco 4005 --day 2017-03-08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"%USERPROFILE%\AppData\Local\Temp\OnboardLogs"\RTDC4005\*4005*20170308* | grep -SE "(Enforcement Action)|(\[TIMEOUT)|(CHR.+\|PRM\|1\|D.+(SWITCH|SIGNAL).+UNKNOWN)" - &gt;&gt; 2017-03-08-UncaughtWiMAX.txt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655</v>
      </c>
      <c r="B49" s="7">
        <v>4029</v>
      </c>
      <c r="C49" s="21" t="s">
        <v>242</v>
      </c>
      <c r="D49" s="21" t="s">
        <v>833</v>
      </c>
      <c r="E49" s="13">
        <v>42802.34170138889</v>
      </c>
      <c r="F49" s="13">
        <v>42802.343969907408</v>
      </c>
      <c r="G49" s="7">
        <v>2</v>
      </c>
      <c r="H49" s="21" t="s">
        <v>493</v>
      </c>
      <c r="I49" s="13">
        <v>42802.369421296295</v>
      </c>
      <c r="J49" s="7">
        <v>0</v>
      </c>
      <c r="K49" s="98" t="str">
        <f t="shared" si="0"/>
        <v>4029/4030</v>
      </c>
      <c r="L49" s="21" t="str">
        <f>VLOOKUP(A49,'Trips&amp;Operators'!$C$1:$G$99999,5,FALSE)</f>
        <v>SANTIZO D. EDY</v>
      </c>
      <c r="M49" s="6">
        <f t="shared" si="1"/>
        <v>2.545138888672227E-2</v>
      </c>
      <c r="N49" s="7">
        <f t="shared" si="27"/>
        <v>36.649999996880069</v>
      </c>
      <c r="O49" s="7"/>
      <c r="P49" s="7"/>
      <c r="Q49" s="22"/>
      <c r="R49" s="22"/>
      <c r="S49" s="31">
        <f t="shared" si="26"/>
        <v>1</v>
      </c>
      <c r="T49" s="46" t="str">
        <f t="shared" si="3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4"/>
        <v>https://d0f6bd738d7f1b3e5a7ca70fe4ff75f0.us-east-1.aws.found.io/app/kibana#/discover/Steve-Slow-Train-Analysis-(2080s-and-2083s)?_g=(refreshInterval:(display:Off,pause:!f,section:0,value:0),time:(from:'2017-03-08T07:12:03-0700',mode:absolute,to:'2017-03-08T09:51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9" s="187" t="str">
        <f t="shared" si="5"/>
        <v>N</v>
      </c>
      <c r="X49" s="187">
        <f t="shared" si="25"/>
        <v>1</v>
      </c>
      <c r="Y49" s="62">
        <f t="shared" si="7"/>
        <v>4.6399999999999997E-2</v>
      </c>
      <c r="Z49" s="62">
        <f t="shared" si="8"/>
        <v>23.329799999999999</v>
      </c>
      <c r="AA49" s="62">
        <f t="shared" si="9"/>
        <v>23.2834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0"/>
        <v>0137-08</v>
      </c>
      <c r="AE49" s="85" t="str">
        <f t="shared" si="11"/>
        <v>aws s3 cp s3://rtdc.mdm.uploadarchive.raw/RTDC4029/ "%USERPROFILE%\AppData\Local\Temp\OnboardLogs"\RTDC4029\2017-03-08 --exclude "*" --recursive --include "*20170308*" &amp; "%USERPROFILE%\Documents\GitHub\mrs-test-scripts\Headless Mode &amp; Sideloading\WalkAndUnGZ.bat" "%USERPROFILE%\AppData\Local\Temp\OnboardLogs"\RTDC4029\2017-03-08 &amp; 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</v>
      </c>
      <c r="AF49" s="82" t="str">
        <f t="shared" si="12"/>
        <v>"C:\Program Files (x86)\AstroGrep\AstroGrep.exe" /e /r /s /spath="%USERPROFILE%\AppData\Local\Temp\OnboardLogs" /stypes="app*4029*20170308*" /stext=" 15:.+((SYSTEM_STATE.+slice.+state.+changed )|(ment ac)|(multiple cpu faults)|(system.+state.+changed )|(\[timeout)|(PRM\|1\|D)|(kpr)|(kdp)|(\|lc)|(penalty))"</v>
      </c>
      <c r="AG49" s="1" t="str">
        <f t="shared" si="13"/>
        <v>EC</v>
      </c>
      <c r="AH49" s="86" t="str">
        <f t="shared" si="21"/>
        <v>"%USERPROFILE%\Documents\GitHub\eaglep3\Utilities\RefineRTDCRunTimes.py" --tripid 137-08 --locoid 4029 --swversion DE.1.0.9.0 --startMP 204:464 --initTime 2017-03-08T08:12:03 --startdatetime 2017-03-08T08:15:19 --delay 2 --endMP 204:233298 --enddatetime 2017-03-08T08:51:58 --enforcementcount 0 &gt;&gt;C:\Users\stu\Documents\GitHub\eaglep3-reporting\EC\2017-03-08-refined-times.txt</v>
      </c>
      <c r="AI49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{"issue":{"subject":"","project_id":79,"tracker_id":40,"status_id":1,"priority_id":2,"assigned_to_id":23,"start_date":"2017-03-08","description":"","custom_fields":[{"id":1,"name":"Subdivision","value":"EC"},{"id":4,"name":"Milepost","value":"23.3298"},{"id":17,"name":"Train ID","value":"137-08"},{"id":16,"name":"Locomotive ID","value":"4029"},{"id":130,"name":"Impact","value":""},{"id":150,"name":"Time of Event (Mountain Time)","value":"08:51:58"},{"id":151,"name":"Denver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3"/>
        <v>start /low /b %USERPROFILE%\Documents\GitHub\eaglep3\Utilities\DownloadLogsFromS3.py --loco 4029 --day 2017-03-08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"%USERPROFILE%\AppData\Local\Temp\OnboardLogs"\RTDC4029\*4029*20170308* | grep -SE "(Enforcement Action)|(\[TIMEOUT)|(CHR.+\|PRM\|1\|D.+(SWITCH|SIGNAL).+UNKNOWN)" - &gt;&gt; 2017-03-08-UncaughtWiMAX.txt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662</v>
      </c>
      <c r="B50" s="7">
        <v>4030</v>
      </c>
      <c r="C50" s="21" t="s">
        <v>242</v>
      </c>
      <c r="D50" s="21" t="s">
        <v>840</v>
      </c>
      <c r="E50" s="13">
        <v>42802.371458333335</v>
      </c>
      <c r="F50" s="13">
        <v>42802.3828125</v>
      </c>
      <c r="G50" s="7">
        <v>1</v>
      </c>
      <c r="H50" s="21" t="s">
        <v>232</v>
      </c>
      <c r="I50" s="13">
        <v>42802.411041666666</v>
      </c>
      <c r="J50" s="7">
        <v>0</v>
      </c>
      <c r="K50" s="98" t="str">
        <f t="shared" si="0"/>
        <v>4029/4030</v>
      </c>
      <c r="L50" s="21" t="str">
        <f>VLOOKUP(A50,'Trips&amp;Operators'!$C$1:$G$99999,5,FALSE)</f>
        <v>SANTIZO D. EDY</v>
      </c>
      <c r="M50" s="6">
        <f t="shared" si="1"/>
        <v>2.8229166666278616E-2</v>
      </c>
      <c r="N50" s="7">
        <f t="shared" si="27"/>
        <v>40.649999999441206</v>
      </c>
      <c r="O50" s="7"/>
      <c r="P50" s="7"/>
      <c r="Q50" s="22"/>
      <c r="R50" s="22"/>
      <c r="S50" s="31">
        <f t="shared" si="26"/>
        <v>1</v>
      </c>
      <c r="T50" s="46" t="str">
        <f t="shared" si="3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4"/>
        <v>https://d0f6bd738d7f1b3e5a7ca70fe4ff75f0.us-east-1.aws.found.io/app/kibana#/discover/Steve-Slow-Train-Analysis-(2080s-and-2083s)?_g=(refreshInterval:(display:Off,pause:!f,section:0,value:0),time:(from:'2017-03-08T07:54:54-0700',mode:absolute,to:'2017-03-08T10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0" s="187" t="str">
        <f t="shared" si="5"/>
        <v>N</v>
      </c>
      <c r="X50" s="187">
        <f t="shared" si="25"/>
        <v>1</v>
      </c>
      <c r="Y50" s="62">
        <f t="shared" si="7"/>
        <v>23.299600000000002</v>
      </c>
      <c r="Z50" s="62">
        <f t="shared" si="8"/>
        <v>1.5599999999999999E-2</v>
      </c>
      <c r="AA50" s="62">
        <f t="shared" si="9"/>
        <v>23.284000000000002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0"/>
        <v>0138-08</v>
      </c>
      <c r="AE50" s="85" t="str">
        <f t="shared" si="11"/>
        <v>aws s3 cp s3://rtdc.mdm.uploadarchive.raw/RTDC4030/ "%USERPROFILE%\AppData\Local\Temp\OnboardLogs"\RTDC4030\2017-03-08 --exclude "*" --recursive --include "*20170308*" &amp; "%USERPROFILE%\Documents\GitHub\mrs-test-scripts\Headless Mode &amp; Sideloading\WalkAndUnGZ.bat" "%USERPROFILE%\AppData\Local\Temp\OnboardLogs"\RTDC4030\2017-03-08 &amp; 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</v>
      </c>
      <c r="AF50" s="82" t="str">
        <f t="shared" si="12"/>
        <v>"C:\Program Files (x86)\AstroGrep\AstroGrep.exe" /e /r /s /spath="%USERPROFILE%\AppData\Local\Temp\OnboardLogs" /stypes="app*4030*20170308*" /stext=" 16:.+((SYSTEM_STATE.+slice.+state.+changed )|(ment ac)|(multiple cpu faults)|(system.+state.+changed )|(\[timeout)|(PRM\|1\|D)|(kpr)|(kdp)|(\|lc)|(penalty))"</v>
      </c>
      <c r="AG50" s="1" t="str">
        <f t="shared" si="13"/>
        <v>EC</v>
      </c>
      <c r="AH50" s="86" t="str">
        <f t="shared" si="21"/>
        <v>"%USERPROFILE%\Documents\GitHub\eaglep3\Utilities\RefineRTDCRunTimes.py" --tripid 138-08 --locoid 4030 --swversion DE.1.0.9.0 --startMP 204:232996 --initTime 2017-03-08T08:54:54 --startdatetime 2017-03-08T09:11:15 --delay 1 --endMP 204:156 --enddatetime 2017-03-08T09:51:54 --enforcementcount 0 &gt;&gt;C:\Users\stu\Documents\GitHub\eaglep3-reporting\EC\2017-03-08-refined-times.txt</v>
      </c>
      <c r="AI50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{"issue":{"subject":"","project_id":79,"tracker_id":40,"status_id":1,"priority_id":2,"assigned_to_id":23,"start_date":"2017-03-08","description":"","custom_fields":[{"id":1,"name":"Subdivision","value":"EC"},{"id":4,"name":"Milepost","value":"0.0156"},{"id":17,"name":"Train ID","value":"138-08"},{"id":16,"name":"Locomotive ID","value":"4030"},{"id":130,"name":"Impact","value":""},{"id":150,"name":"Time of Event (Mountain Time)","value":"09:51:54"},{"id":151,"name":"Denver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3"/>
        <v>start /low /b %USERPROFILE%\Documents\GitHub\eaglep3\Utilities\DownloadLogsFromS3.py --loco 4030 --day 2017-03-08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"%USERPROFILE%\AppData\Local\Temp\OnboardLogs"\RTDC4030\*4030*20170308* | grep -SE "(Enforcement Action)|(\[TIMEOUT)|(CHR.+\|PRM\|1\|D.+(SWITCH|SIGNAL).+UNKNOWN)" - &gt;&gt; 2017-03-08-UncaughtWiMAX.txt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659</v>
      </c>
      <c r="B51" s="7">
        <v>4003</v>
      </c>
      <c r="C51" s="21" t="s">
        <v>242</v>
      </c>
      <c r="D51" s="21" t="s">
        <v>223</v>
      </c>
      <c r="E51" s="13">
        <v>42802.351724537039</v>
      </c>
      <c r="F51" s="13">
        <v>42802.354583333334</v>
      </c>
      <c r="G51" s="7">
        <v>1</v>
      </c>
      <c r="H51" s="21" t="s">
        <v>492</v>
      </c>
      <c r="I51" s="13">
        <v>42802.37909722222</v>
      </c>
      <c r="J51" s="7">
        <v>0</v>
      </c>
      <c r="K51" s="98" t="str">
        <f t="shared" si="0"/>
        <v>4003/4004</v>
      </c>
      <c r="L51" s="21" t="str">
        <f>VLOOKUP(A51,'Trips&amp;Operators'!$C$1:$G$99999,5,FALSE)</f>
        <v>ROCHA YAOTL</v>
      </c>
      <c r="M51" s="6">
        <f t="shared" si="1"/>
        <v>2.4513888885849155E-2</v>
      </c>
      <c r="N51" s="7">
        <f t="shared" si="27"/>
        <v>35.299999995622784</v>
      </c>
      <c r="O51" s="7"/>
      <c r="P51" s="7"/>
      <c r="Q51" s="22"/>
      <c r="R51" s="22"/>
      <c r="S51" s="31">
        <f t="shared" si="26"/>
        <v>1</v>
      </c>
      <c r="T51" s="46" t="str">
        <f t="shared" si="3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4"/>
        <v>https://d0f6bd738d7f1b3e5a7ca70fe4ff75f0.us-east-1.aws.found.io/app/kibana#/discover/Steve-Slow-Train-Analysis-(2080s-and-2083s)?_g=(refreshInterval:(display:Off,pause:!f,section:0,value:0),time:(from:'2017-03-08T07:26:29-0700',mode:absolute,to:'2017-03-08T10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1" s="187" t="str">
        <f t="shared" si="5"/>
        <v>N</v>
      </c>
      <c r="X51" s="187">
        <f t="shared" si="25"/>
        <v>1</v>
      </c>
      <c r="Y51" s="62">
        <f t="shared" si="7"/>
        <v>4.53E-2</v>
      </c>
      <c r="Z51" s="62">
        <f t="shared" si="8"/>
        <v>23.3307</v>
      </c>
      <c r="AA51" s="62">
        <f t="shared" si="9"/>
        <v>23.285399999999999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0"/>
        <v>0139-08</v>
      </c>
      <c r="AE51" s="85" t="str">
        <f t="shared" si="11"/>
        <v>aws s3 cp s3://rtdc.mdm.uploadarchive.raw/RTDC4003/ "%USERPROFILE%\AppData\Local\Temp\OnboardLogs"\RTDC4003\2017-03-08 --exclude "*" --recursive --include "*20170308*" &amp; "%USERPROFILE%\Documents\GitHub\mrs-test-scripts\Headless Mode &amp; Sideloading\WalkAndUnGZ.bat" "%USERPROFILE%\AppData\Local\Temp\OnboardLogs"\RTDC4003\2017-03-08 &amp; 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</v>
      </c>
      <c r="AF51" s="82" t="str">
        <f t="shared" si="12"/>
        <v>"C:\Program Files (x86)\AstroGrep\AstroGrep.exe" /e /r /s /spath="%USERPROFILE%\AppData\Local\Temp\OnboardLogs" /stypes="app*4003*20170308*" /stext=" 16:.+((SYSTEM_STATE.+slice.+state.+changed )|(ment ac)|(multiple cpu faults)|(system.+state.+changed )|(\[timeout)|(PRM\|1\|D)|(kpr)|(kdp)|(\|lc)|(penalty))"</v>
      </c>
      <c r="AG51" s="1" t="str">
        <f t="shared" si="13"/>
        <v>EC</v>
      </c>
      <c r="AH51" s="86" t="str">
        <f t="shared" si="21"/>
        <v>"%USERPROFILE%\Documents\GitHub\eaglep3\Utilities\RefineRTDCRunTimes.py" --tripid 139-08 --locoid 4003 --swversion DE.1.0.9.0 --startMP 204:453 --initTime 2017-03-08T08:26:29 --startdatetime 2017-03-08T08:30:36 --delay 1 --endMP 204:233307 --enddatetime 2017-03-08T09:05:54 --enforcementcount 0 &gt;&gt;C:\Users\stu\Documents\GitHub\eaglep3-reporting\EC\2017-03-08-refined-times.txt</v>
      </c>
      <c r="AI51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{"issue":{"subject":"","project_id":79,"tracker_id":40,"status_id":1,"priority_id":2,"assigned_to_id":23,"start_date":"2017-03-08","description":"","custom_fields":[{"id":1,"name":"Subdivision","value":"EC"},{"id":4,"name":"Milepost","value":"23.3307"},{"id":17,"name":"Train ID","value":"139-08"},{"id":16,"name":"Locomotive ID","value":"4003"},{"id":130,"name":"Impact","value":""},{"id":150,"name":"Time of Event (Mountain Time)","value":"09:05:54"},{"id":151,"name":"Denver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3"/>
        <v>start /low /b %USERPROFILE%\Documents\GitHub\eaglep3\Utilities\DownloadLogsFromS3.py --loco 4003 --day 2017-03-08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"%USERPROFILE%\AppData\Local\Temp\OnboardLogs"\RTDC4003\*4003*20170308* | grep -SE "(Enforcement Action)|(\[TIMEOUT)|(CHR.+\|PRM\|1\|D.+(SWITCH|SIGNAL).+UNKNOWN)" - &gt;&gt; 2017-03-08-UncaughtWiMAX.txt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579</v>
      </c>
      <c r="B52" s="7">
        <v>4004</v>
      </c>
      <c r="C52" s="21" t="s">
        <v>242</v>
      </c>
      <c r="D52" s="21" t="s">
        <v>464</v>
      </c>
      <c r="E52" s="13">
        <v>42802.391689814816</v>
      </c>
      <c r="F52" s="13">
        <v>42802.393449074072</v>
      </c>
      <c r="G52" s="7">
        <v>1</v>
      </c>
      <c r="H52" s="21" t="s">
        <v>184</v>
      </c>
      <c r="I52" s="13">
        <v>42802.421435185184</v>
      </c>
      <c r="J52" s="7">
        <v>0</v>
      </c>
      <c r="K52" s="98" t="str">
        <f t="shared" si="0"/>
        <v>4003/4004</v>
      </c>
      <c r="L52" s="21" t="str">
        <f>VLOOKUP(A52,'Trips&amp;Operators'!$C$1:$G$99999,5,FALSE)</f>
        <v>ROCHA YAOTL</v>
      </c>
      <c r="M52" s="6">
        <f t="shared" si="1"/>
        <v>2.7986111112113576E-2</v>
      </c>
      <c r="N52" s="7">
        <f t="shared" si="27"/>
        <v>40.30000000144355</v>
      </c>
      <c r="O52" s="7"/>
      <c r="P52" s="7"/>
      <c r="Q52" s="22"/>
      <c r="R52" s="22"/>
      <c r="S52" s="31">
        <f t="shared" si="26"/>
        <v>1</v>
      </c>
      <c r="T52" s="46" t="str">
        <f t="shared" si="3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4"/>
        <v>https://d0f6bd738d7f1b3e5a7ca70fe4ff75f0.us-east-1.aws.found.io/app/kibana#/discover/Steve-Slow-Train-Analysis-(2080s-and-2083s)?_g=(refreshInterval:(display:Off,pause:!f,section:0,value:0),time:(from:'2017-03-08T08:24:02-0700',mode:absolute,to:'2017-03-08T11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2" s="187" t="str">
        <f t="shared" si="5"/>
        <v>N</v>
      </c>
      <c r="X52" s="187">
        <f t="shared" si="25"/>
        <v>1</v>
      </c>
      <c r="Y52" s="62">
        <f t="shared" si="7"/>
        <v>23.297999999999998</v>
      </c>
      <c r="Z52" s="62">
        <f t="shared" si="8"/>
        <v>1.49E-2</v>
      </c>
      <c r="AA52" s="62">
        <f t="shared" si="9"/>
        <v>23.283099999999997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0"/>
        <v>0140-08</v>
      </c>
      <c r="AE52" s="85" t="str">
        <f t="shared" si="11"/>
        <v>aws s3 cp s3://rtdc.mdm.uploadarchive.raw/RTDC4004/ "%USERPROFILE%\AppData\Local\Temp\OnboardLogs"\RTDC4004\2017-03-08 --exclude "*" --recursive --include "*20170308*" &amp; "%USERPROFILE%\Documents\GitHub\mrs-test-scripts\Headless Mode &amp; Sideloading\WalkAndUnGZ.bat" "%USERPROFILE%\AppData\Local\Temp\OnboardLogs"\RTDC4004\2017-03-08 &amp; 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</v>
      </c>
      <c r="AF52" s="82" t="str">
        <f t="shared" si="12"/>
        <v>"C:\Program Files (x86)\AstroGrep\AstroGrep.exe" /e /r /s /spath="%USERPROFILE%\AppData\Local\Temp\OnboardLogs" /stypes="app*4004*20170308*" /stext=" 17:.+((SYSTEM_STATE.+slice.+state.+changed )|(ment ac)|(multiple cpu faults)|(system.+state.+changed )|(\[timeout)|(PRM\|1\|D)|(kpr)|(kdp)|(\|lc)|(penalty))"</v>
      </c>
      <c r="AG52" s="1" t="str">
        <f t="shared" si="13"/>
        <v>EC</v>
      </c>
      <c r="AH52" s="86" t="str">
        <f t="shared" si="21"/>
        <v>"%USERPROFILE%\Documents\GitHub\eaglep3\Utilities\RefineRTDCRunTimes.py" --tripid 140-08 --locoid 4004 --swversion DE.1.0.9.0 --startMP 204:232980 --initTime 2017-03-08T09:24:02 --startdatetime 2017-03-08T09:26:34 --delay 1 --endMP 204:149 --enddatetime 2017-03-08T10:06:52 --enforcementcount 0 &gt;&gt;C:\Users\stu\Documents\GitHub\eaglep3-reporting\EC\2017-03-08-refined-times.txt</v>
      </c>
      <c r="AI52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{"issue":{"subject":"","project_id":79,"tracker_id":40,"status_id":1,"priority_id":2,"assigned_to_id":23,"start_date":"2017-03-08","description":"","custom_fields":[{"id":1,"name":"Subdivision","value":"EC"},{"id":4,"name":"Milepost","value":"0.0149"},{"id":17,"name":"Train ID","value":"140-08"},{"id":16,"name":"Locomotive ID","value":"4004"},{"id":130,"name":"Impact","value":""},{"id":150,"name":"Time of Event (Mountain Time)","value":"10:06:52"},{"id":151,"name":"Denver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3"/>
        <v>start /low /b %USERPROFILE%\Documents\GitHub\eaglep3\Utilities\DownloadLogsFromS3.py --loco 4004 --day 2017-03-08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"%USERPROFILE%\AppData\Local\Temp\OnboardLogs"\RTDC4004\*4004*20170308* | grep -SE "(Enforcement Action)|(\[TIMEOUT)|(CHR.+\|PRM\|1\|D.+(SWITCH|SIGNAL).+UNKNOWN)" - &gt;&gt; 2017-03-08-UncaughtWiMAX.txt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577</v>
      </c>
      <c r="B53" s="7">
        <v>4046</v>
      </c>
      <c r="C53" s="21" t="s">
        <v>242</v>
      </c>
      <c r="D53" s="21" t="s">
        <v>263</v>
      </c>
      <c r="E53" s="13">
        <v>42802.362326388888</v>
      </c>
      <c r="F53" s="13">
        <v>42802.364861111113</v>
      </c>
      <c r="G53" s="7">
        <v>1</v>
      </c>
      <c r="H53" s="21" t="s">
        <v>849</v>
      </c>
      <c r="I53" s="13">
        <v>42802.391388888886</v>
      </c>
      <c r="J53" s="7">
        <v>0</v>
      </c>
      <c r="K53" s="98" t="str">
        <f t="shared" si="0"/>
        <v>4045/4046</v>
      </c>
      <c r="L53" s="21" t="str">
        <f>VLOOKUP(A53,'Trips&amp;Operators'!$C$1:$G$99999,5,FALSE)</f>
        <v>YOUNG ELIZABETH</v>
      </c>
      <c r="M53" s="6">
        <f t="shared" si="1"/>
        <v>2.6527777772571426E-2</v>
      </c>
      <c r="N53" s="7">
        <f t="shared" si="27"/>
        <v>38.199999992502853</v>
      </c>
      <c r="O53" s="7"/>
      <c r="P53" s="7"/>
      <c r="Q53" s="22"/>
      <c r="R53" s="22"/>
      <c r="S53" s="31">
        <f t="shared" si="26"/>
        <v>1</v>
      </c>
      <c r="T53" s="46" t="str">
        <f t="shared" si="3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4"/>
        <v>https://d0f6bd738d7f1b3e5a7ca70fe4ff75f0.us-east-1.aws.found.io/app/kibana#/discover/Steve-Slow-Train-Analysis-(2080s-and-2083s)?_g=(refreshInterval:(display:Off,pause:!f,section:0,value:0),time:(from:'2017-03-08T07:41:45-0700',mode:absolute,to:'2017-03-08T10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3" s="187" t="str">
        <f t="shared" si="5"/>
        <v>N</v>
      </c>
      <c r="X53" s="187">
        <f t="shared" si="25"/>
        <v>1</v>
      </c>
      <c r="Y53" s="62">
        <f t="shared" si="7"/>
        <v>4.6699999999999998E-2</v>
      </c>
      <c r="Z53" s="62">
        <f t="shared" si="8"/>
        <v>23.3202</v>
      </c>
      <c r="AA53" s="62">
        <f t="shared" si="9"/>
        <v>23.273499999999999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0"/>
        <v>0141-08</v>
      </c>
      <c r="AE53" s="85" t="str">
        <f t="shared" si="11"/>
        <v>aws s3 cp s3://rtdc.mdm.uploadarchive.raw/RTDC4046/ "%USERPROFILE%\AppData\Local\Temp\OnboardLogs"\RTDC4046\2017-03-08 --exclude "*" --recursive --include "*20170308*" &amp; "%USERPROFILE%\Documents\GitHub\mrs-test-scripts\Headless Mode &amp; Sideloading\WalkAndUnGZ.bat" "%USERPROFILE%\AppData\Local\Temp\OnboardLogs"\RTDC4046\2017-03-08 &amp; aws s3 cp s3://rtdc.mdm.uploadarchive.raw/RTDC4046/ "%USERPROFILE%\AppData\Local\Temp\OnboardLogs"\RTDC4046\2017-03-09 --exclude "*" --recursive --include "*20170309*" &amp; "%USERPROFILE%\Documents\GitHub\mrs-test-scripts\Headless Mode &amp; Sideloading\WalkAndUnGZ.bat" "%USERPROFILE%\AppData\Local\Temp\OnboardLogs"\RTDC4046\2017-03-09</v>
      </c>
      <c r="AF53" s="82" t="str">
        <f t="shared" si="12"/>
        <v>"C:\Program Files (x86)\AstroGrep\AstroGrep.exe" /e /r /s /spath="%USERPROFILE%\AppData\Local\Temp\OnboardLogs" /stypes="app*4046*20170308*" /stext=" 16:.+((SYSTEM_STATE.+slice.+state.+changed )|(ment ac)|(multiple cpu faults)|(system.+state.+changed )|(\[timeout)|(PRM\|1\|D)|(kpr)|(kdp)|(\|lc)|(penalty))"</v>
      </c>
      <c r="AG53" s="1" t="str">
        <f t="shared" si="13"/>
        <v>EC</v>
      </c>
      <c r="AH53" s="86" t="str">
        <f t="shared" si="21"/>
        <v>"%USERPROFILE%\Documents\GitHub\eaglep3\Utilities\RefineRTDCRunTimes.py" --tripid 141-08 --locoid 4046 --swversion DE.1.0.9.0 --startMP 204:467 --initTime 2017-03-08T08:41:45 --startdatetime 2017-03-08T08:45:24 --delay 1 --endMP 204:233202 --enddatetime 2017-03-08T09:23:36 --enforcementcount 0 &gt;&gt;C:\Users\stu\Documents\GitHub\eaglep3-reporting\EC\2017-03-08-refined-times.txt</v>
      </c>
      <c r="AI53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{"issue":{"subject":"","project_id":79,"tracker_id":40,"status_id":1,"priority_id":2,"assigned_to_id":23,"start_date":"2017-03-08","description":"","custom_fields":[{"id":1,"name":"Subdivision","value":"EC"},{"id":4,"name":"Milepost","value":"23.3202"},{"id":17,"name":"Train ID","value":"141-08"},{"id":16,"name":"Locomotive ID","value":"4046"},{"id":130,"name":"Impact","value":""},{"id":150,"name":"Time of Event (Mountain Time)","value":"09:23:36"},{"id":151,"name":"Denver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3"/>
        <v>start /low /b %USERPROFILE%\Documents\GitHub\eaglep3\Utilities\DownloadLogsFromS3.py --loco 4046 --day 2017-03-08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"%USERPROFILE%\AppData\Local\Temp\OnboardLogs"\RTDC4046\*4046*20170308* | grep -SE "(Enforcement Action)|(\[TIMEOUT)|(CHR.+\|PRM\|1\|D.+(SWITCH|SIGNAL).+UNKNOWN)" - &gt;&gt; 2017-03-08-UncaughtWiMAX.txt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667</v>
      </c>
      <c r="B54" s="7">
        <v>4045</v>
      </c>
      <c r="C54" s="21" t="s">
        <v>242</v>
      </c>
      <c r="D54" s="21" t="s">
        <v>850</v>
      </c>
      <c r="E54" s="13">
        <v>42802.393379629626</v>
      </c>
      <c r="F54" s="13">
        <v>42802.404108796298</v>
      </c>
      <c r="G54" s="7">
        <v>1</v>
      </c>
      <c r="H54" s="21" t="s">
        <v>851</v>
      </c>
      <c r="I54" s="13">
        <v>42802.434398148151</v>
      </c>
      <c r="J54" s="7">
        <v>0</v>
      </c>
      <c r="K54" s="98" t="str">
        <f t="shared" si="0"/>
        <v>4045/4046</v>
      </c>
      <c r="L54" s="21" t="str">
        <f>VLOOKUP(A54,'Trips&amp;Operators'!$C$1:$G$99999,5,FALSE)</f>
        <v>YOUNG ELIZABETH</v>
      </c>
      <c r="M54" s="6">
        <f t="shared" si="1"/>
        <v>3.0289351852843538E-2</v>
      </c>
      <c r="N54" s="7">
        <f t="shared" si="27"/>
        <v>43.616666668094695</v>
      </c>
      <c r="O54" s="7"/>
      <c r="P54" s="7"/>
      <c r="Q54" s="22"/>
      <c r="R54" s="22"/>
      <c r="S54" s="31">
        <f t="shared" si="26"/>
        <v>1</v>
      </c>
      <c r="T54" s="46" t="str">
        <f t="shared" si="3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4"/>
        <v>https://d0f6bd738d7f1b3e5a7ca70fe4ff75f0.us-east-1.aws.found.io/app/kibana#/discover/Steve-Slow-Train-Analysis-(2080s-and-2083s)?_g=(refreshInterval:(display:Off,pause:!f,section:0,value:0),time:(from:'2017-03-08T08:26:28-0700',mode:absolute,to:'2017-03-08T11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4" s="187" t="str">
        <f t="shared" si="5"/>
        <v>N</v>
      </c>
      <c r="X54" s="187">
        <f t="shared" si="25"/>
        <v>1</v>
      </c>
      <c r="Y54" s="62">
        <f t="shared" si="7"/>
        <v>23.2883</v>
      </c>
      <c r="Z54" s="62">
        <f t="shared" si="8"/>
        <v>0.11600000000000001</v>
      </c>
      <c r="AA54" s="62">
        <f t="shared" si="9"/>
        <v>23.1723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0"/>
        <v>0142-08</v>
      </c>
      <c r="AE54" s="85" t="str">
        <f t="shared" si="11"/>
        <v>aws s3 cp s3://rtdc.mdm.uploadarchive.raw/RTDC4045/ "%USERPROFILE%\AppData\Local\Temp\OnboardLogs"\RTDC4045\2017-03-08 --exclude "*" --recursive --include "*20170308*" &amp; "%USERPROFILE%\Documents\GitHub\mrs-test-scripts\Headless Mode &amp; Sideloading\WalkAndUnGZ.bat" "%USERPROFILE%\AppData\Local\Temp\OnboardLogs"\RTDC4045\2017-03-08 &amp; aws s3 cp s3://rtdc.mdm.uploadarchive.raw/RTDC4045/ "%USERPROFILE%\AppData\Local\Temp\OnboardLogs"\RTDC4045\2017-03-09 --exclude "*" --recursive --include "*20170309*" &amp; "%USERPROFILE%\Documents\GitHub\mrs-test-scripts\Headless Mode &amp; Sideloading\WalkAndUnGZ.bat" "%USERPROFILE%\AppData\Local\Temp\OnboardLogs"\RTDC4045\2017-03-09</v>
      </c>
      <c r="AF54" s="82" t="str">
        <f t="shared" si="12"/>
        <v>"C:\Program Files (x86)\AstroGrep\AstroGrep.exe" /e /r /s /spath="%USERPROFILE%\AppData\Local\Temp\OnboardLogs" /stypes="app*4045*20170308*" /stext=" 17:.+((SYSTEM_STATE.+slice.+state.+changed )|(ment ac)|(multiple cpu faults)|(system.+state.+changed )|(\[timeout)|(PRM\|1\|D)|(kpr)|(kdp)|(\|lc)|(penalty))"</v>
      </c>
      <c r="AG54" s="1" t="str">
        <f t="shared" si="13"/>
        <v>EC</v>
      </c>
      <c r="AH54" s="86" t="str">
        <f t="shared" si="21"/>
        <v>"%USERPROFILE%\Documents\GitHub\eaglep3\Utilities\RefineRTDCRunTimes.py" --tripid 142-08 --locoid 4045 --swversion DE.1.0.9.0 --startMP 204:232883 --initTime 2017-03-08T09:26:28 --startdatetime 2017-03-08T09:41:55 --delay 1 --endMP 204:1160 --enddatetime 2017-03-08T10:25:32 --enforcementcount 0 &gt;&gt;C:\Users\stu\Documents\GitHub\eaglep3-reporting\EC\2017-03-08-refined-times.txt</v>
      </c>
      <c r="AI54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{"issue":{"subject":"","project_id":79,"tracker_id":40,"status_id":1,"priority_id":2,"assigned_to_id":23,"start_date":"2017-03-08","description":"","custom_fields":[{"id":1,"name":"Subdivision","value":"EC"},{"id":4,"name":"Milepost","value":"0.116"},{"id":17,"name":"Train ID","value":"142-08"},{"id":16,"name":"Locomotive ID","value":"4045"},{"id":130,"name":"Impact","value":""},{"id":150,"name":"Time of Event (Mountain Time)","value":"10:25:32"},{"id":151,"name":"Denver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3"/>
        <v>start /low /b %USERPROFILE%\Documents\GitHub\eaglep3\Utilities\DownloadLogsFromS3.py --loco 4045 --day 2017-03-08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"%USERPROFILE%\AppData\Local\Temp\OnboardLogs"\RTDC4045\*4045*20170308* | grep -SE "(Enforcement Action)|(\[TIMEOUT)|(CHR.+\|PRM\|1\|D.+(SWITCH|SIGNAL).+UNKNOWN)" - &gt;&gt; 2017-03-08-UncaughtWiMAX.txt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663</v>
      </c>
      <c r="B55" s="7">
        <v>4042</v>
      </c>
      <c r="C55" s="21" t="s">
        <v>242</v>
      </c>
      <c r="D55" s="21" t="s">
        <v>263</v>
      </c>
      <c r="E55" s="13">
        <v>42802.372071759259</v>
      </c>
      <c r="F55" s="13">
        <v>42802.375173611108</v>
      </c>
      <c r="G55" s="7">
        <v>1</v>
      </c>
      <c r="H55" s="21" t="s">
        <v>852</v>
      </c>
      <c r="I55" s="13">
        <v>42802.400902777779</v>
      </c>
      <c r="J55" s="7">
        <v>0</v>
      </c>
      <c r="K55" s="98" t="str">
        <f t="shared" si="0"/>
        <v>4041/4042</v>
      </c>
      <c r="L55" s="21" t="str">
        <f>VLOOKUP(A55,'Trips&amp;Operators'!$C$1:$G$99999,5,FALSE)</f>
        <v>STARKS ANGELINA</v>
      </c>
      <c r="M55" s="6">
        <f t="shared" si="1"/>
        <v>2.5729166671226267E-2</v>
      </c>
      <c r="N55" s="7">
        <f t="shared" si="27"/>
        <v>37.050000006565824</v>
      </c>
      <c r="O55" s="7"/>
      <c r="P55" s="7"/>
      <c r="Q55" s="22"/>
      <c r="R55" s="22"/>
      <c r="S55" s="31">
        <f t="shared" si="26"/>
        <v>1</v>
      </c>
      <c r="T55" s="46" t="str">
        <f t="shared" si="3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4"/>
        <v>https://d0f6bd738d7f1b3e5a7ca70fe4ff75f0.us-east-1.aws.found.io/app/kibana#/discover/Steve-Slow-Train-Analysis-(2080s-and-2083s)?_g=(refreshInterval:(display:Off,pause:!f,section:0,value:0),time:(from:'2017-03-08T07:55:47-0700',mode:absolute,to:'2017-03-08T10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5" s="187" t="str">
        <f t="shared" si="5"/>
        <v>N</v>
      </c>
      <c r="X55" s="187">
        <f t="shared" si="25"/>
        <v>1</v>
      </c>
      <c r="Y55" s="62">
        <f t="shared" si="7"/>
        <v>4.6699999999999998E-2</v>
      </c>
      <c r="Z55" s="62">
        <f t="shared" si="8"/>
        <v>23.328800000000001</v>
      </c>
      <c r="AA55" s="62">
        <f t="shared" si="9"/>
        <v>23.2821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0"/>
        <v>0143-08</v>
      </c>
      <c r="AE55" s="85" t="str">
        <f t="shared" si="11"/>
        <v>aws s3 cp s3://rtdc.mdm.uploadarchive.raw/RTDC4042/ "%USERPROFILE%\AppData\Local\Temp\OnboardLogs"\RTDC4042\2017-03-08 --exclude "*" --recursive --include "*20170308*" &amp; "%USERPROFILE%\Documents\GitHub\mrs-test-scripts\Headless Mode &amp; Sideloading\WalkAndUnGZ.bat" "%USERPROFILE%\AppData\Local\Temp\OnboardLogs"\RTDC4042\2017-03-08 &amp; aws s3 cp s3://rtdc.mdm.uploadarchive.raw/RTDC4042/ "%USERPROFILE%\AppData\Local\Temp\OnboardLogs"\RTDC4042\2017-03-09 --exclude "*" --recursive --include "*20170309*" &amp; "%USERPROFILE%\Documents\GitHub\mrs-test-scripts\Headless Mode &amp; Sideloading\WalkAndUnGZ.bat" "%USERPROFILE%\AppData\Local\Temp\OnboardLogs"\RTDC4042\2017-03-09</v>
      </c>
      <c r="AF55" s="82" t="str">
        <f t="shared" si="12"/>
        <v>"C:\Program Files (x86)\AstroGrep\AstroGrep.exe" /e /r /s /spath="%USERPROFILE%\AppData\Local\Temp\OnboardLogs" /stypes="app*4042*20170308*" /stext=" 16:.+((SYSTEM_STATE.+slice.+state.+changed )|(ment ac)|(multiple cpu faults)|(system.+state.+changed )|(\[timeout)|(PRM\|1\|D)|(kpr)|(kdp)|(\|lc)|(penalty))"</v>
      </c>
      <c r="AG55" s="1" t="str">
        <f t="shared" si="13"/>
        <v>EC</v>
      </c>
      <c r="AH55" s="86" t="str">
        <f t="shared" si="21"/>
        <v>"%USERPROFILE%\Documents\GitHub\eaglep3\Utilities\RefineRTDCRunTimes.py" --tripid 143-08 --locoid 4042 --swversion DE.1.0.9.0 --startMP 204:467 --initTime 2017-03-08T08:55:47 --startdatetime 2017-03-08T09:00:15 --delay 1 --endMP 204:233288 --enddatetime 2017-03-08T09:37:18 --enforcementcount 0 &gt;&gt;C:\Users\stu\Documents\GitHub\eaglep3-reporting\EC\2017-03-08-refined-times.txt</v>
      </c>
      <c r="AI55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{"issue":{"subject":"","project_id":79,"tracker_id":40,"status_id":1,"priority_id":2,"assigned_to_id":23,"start_date":"2017-03-08","description":"","custom_fields":[{"id":1,"name":"Subdivision","value":"EC"},{"id":4,"name":"Milepost","value":"23.3288"},{"id":17,"name":"Train ID","value":"143-08"},{"id":16,"name":"Locomotive ID","value":"4042"},{"id":130,"name":"Impact","value":""},{"id":150,"name":"Time of Event (Mountain Time)","value":"09:37:18"},{"id":151,"name":"Denver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3"/>
        <v>start /low /b %USERPROFILE%\Documents\GitHub\eaglep3\Utilities\DownloadLogsFromS3.py --loco 4042 --day 2017-03-08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"%USERPROFILE%\AppData\Local\Temp\OnboardLogs"\RTDC4042\*4042*20170308* | grep -SE "(Enforcement Action)|(\[TIMEOUT)|(CHR.+\|PRM\|1\|D.+(SWITCH|SIGNAL).+UNKNOWN)" - &gt;&gt; 2017-03-08-UncaughtWiMAX.txt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670</v>
      </c>
      <c r="B56" s="7">
        <v>4041</v>
      </c>
      <c r="C56" s="21" t="s">
        <v>242</v>
      </c>
      <c r="D56" s="21" t="s">
        <v>262</v>
      </c>
      <c r="E56" s="13">
        <v>42802.410416666666</v>
      </c>
      <c r="F56" s="13">
        <v>42802.4140625</v>
      </c>
      <c r="G56" s="7">
        <v>1</v>
      </c>
      <c r="H56" s="21" t="s">
        <v>192</v>
      </c>
      <c r="I56" s="13">
        <v>42802.441990740743</v>
      </c>
      <c r="J56" s="7">
        <v>0</v>
      </c>
      <c r="K56" s="98" t="str">
        <f t="shared" si="0"/>
        <v>4041/4042</v>
      </c>
      <c r="L56" s="21" t="str">
        <f>VLOOKUP(A56,'Trips&amp;Operators'!$C$1:$G$99999,5,FALSE)</f>
        <v>STARKS ANGELINA</v>
      </c>
      <c r="M56" s="6">
        <f t="shared" si="1"/>
        <v>2.792824074276723E-2</v>
      </c>
      <c r="N56" s="7">
        <f t="shared" si="27"/>
        <v>40.216666669584811</v>
      </c>
      <c r="O56" s="7"/>
      <c r="P56" s="7"/>
      <c r="Q56" s="22"/>
      <c r="R56" s="22"/>
      <c r="S56" s="31">
        <f t="shared" si="26"/>
        <v>1</v>
      </c>
      <c r="T56" s="46" t="str">
        <f t="shared" si="3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4"/>
        <v>https://d0f6bd738d7f1b3e5a7ca70fe4ff75f0.us-east-1.aws.found.io/app/kibana#/discover/Steve-Slow-Train-Analysis-(2080s-and-2083s)?_g=(refreshInterval:(display:Off,pause:!f,section:0,value:0),time:(from:'2017-03-08T08:51:00-0700',mode:absolute,to:'2017-03-08T11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6" s="187" t="str">
        <f t="shared" si="5"/>
        <v>N</v>
      </c>
      <c r="X56" s="187">
        <f t="shared" si="25"/>
        <v>1</v>
      </c>
      <c r="Y56" s="62">
        <f t="shared" si="7"/>
        <v>23.297699999999999</v>
      </c>
      <c r="Z56" s="62">
        <f t="shared" si="8"/>
        <v>1.4999999999999999E-2</v>
      </c>
      <c r="AA56" s="62">
        <f t="shared" si="9"/>
        <v>23.282699999999998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0"/>
        <v>0144-08</v>
      </c>
      <c r="AE56" s="85" t="str">
        <f t="shared" si="11"/>
        <v>aws s3 cp s3://rtdc.mdm.uploadarchive.raw/RTDC4041/ "%USERPROFILE%\AppData\Local\Temp\OnboardLogs"\RTDC4041\2017-03-08 --exclude "*" --recursive --include "*20170308*" &amp; "%USERPROFILE%\Documents\GitHub\mrs-test-scripts\Headless Mode &amp; Sideloading\WalkAndUnGZ.bat" "%USERPROFILE%\AppData\Local\Temp\OnboardLogs"\RTDC4041\2017-03-08 &amp; aws s3 cp s3://rtdc.mdm.uploadarchive.raw/RTDC4041/ "%USERPROFILE%\AppData\Local\Temp\OnboardLogs"\RTDC4041\2017-03-09 --exclude "*" --recursive --include "*20170309*" &amp; "%USERPROFILE%\Documents\GitHub\mrs-test-scripts\Headless Mode &amp; Sideloading\WalkAndUnGZ.bat" "%USERPROFILE%\AppData\Local\Temp\OnboardLogs"\RTDC4041\2017-03-09</v>
      </c>
      <c r="AF56" s="82" t="str">
        <f t="shared" si="12"/>
        <v>"C:\Program Files (x86)\AstroGrep\AstroGrep.exe" /e /r /s /spath="%USERPROFILE%\AppData\Local\Temp\OnboardLogs" /stypes="app*4041*20170308*" /stext=" 17:.+((SYSTEM_STATE.+slice.+state.+changed )|(ment ac)|(multiple cpu faults)|(system.+state.+changed )|(\[timeout)|(PRM\|1\|D)|(kpr)|(kdp)|(\|lc)|(penalty))"</v>
      </c>
      <c r="AG56" s="1" t="str">
        <f t="shared" si="13"/>
        <v>EC</v>
      </c>
      <c r="AH56" s="86" t="str">
        <f t="shared" si="21"/>
        <v>"%USERPROFILE%\Documents\GitHub\eaglep3\Utilities\RefineRTDCRunTimes.py" --tripid 144-08 --locoid 4041 --swversion DE.1.0.9.0 --startMP 204:232977 --initTime 2017-03-08T09:51:00 --startdatetime 2017-03-08T09:56:15 --delay 1 --endMP 204:150 --enddatetime 2017-03-08T10:36:28 --enforcementcount 0 &gt;&gt;C:\Users\stu\Documents\GitHub\eaglep3-reporting\EC\2017-03-08-refined-times.txt</v>
      </c>
      <c r="AI56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{"issue":{"subject":"","project_id":79,"tracker_id":40,"status_id":1,"priority_id":2,"assigned_to_id":23,"start_date":"2017-03-08","description":"","custom_fields":[{"id":1,"name":"Subdivision","value":"EC"},{"id":4,"name":"Milepost","value":"0.015"},{"id":17,"name":"Train ID","value":"144-08"},{"id":16,"name":"Locomotive ID","value":"4041"},{"id":130,"name":"Impact","value":""},{"id":150,"name":"Time of Event (Mountain Time)","value":"10:36:28"},{"id":151,"name":"Denver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3"/>
        <v>start /low /b %USERPROFILE%\Documents\GitHub\eaglep3\Utilities\DownloadLogsFromS3.py --loco 4041 --day 2017-03-08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"%USERPROFILE%\AppData\Local\Temp\OnboardLogs"\RTDC4041\*4041*20170308* | grep -SE "(Enforcement Action)|(\[TIMEOUT)|(CHR.+\|PRM\|1\|D.+(SWITCH|SIGNAL).+UNKNOWN)" - &gt;&gt; 2017-03-08-UncaughtWiMAX.txt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664</v>
      </c>
      <c r="B57" s="7">
        <v>4009</v>
      </c>
      <c r="C57" s="21" t="s">
        <v>242</v>
      </c>
      <c r="D57" s="21" t="s">
        <v>853</v>
      </c>
      <c r="E57" s="13">
        <v>42802.382106481484</v>
      </c>
      <c r="F57" s="13">
        <v>42802.385729166665</v>
      </c>
      <c r="G57" s="7">
        <v>0</v>
      </c>
      <c r="H57" s="21" t="s">
        <v>261</v>
      </c>
      <c r="I57" s="13">
        <v>42802.411226851851</v>
      </c>
      <c r="J57" s="7">
        <v>0</v>
      </c>
      <c r="K57" s="98" t="str">
        <f t="shared" si="0"/>
        <v>4009/4010</v>
      </c>
      <c r="L57" s="21" t="str">
        <f>VLOOKUP(A57,'Trips&amp;Operators'!$C$1:$G$99999,5,FALSE)</f>
        <v>MAELZER KURT</v>
      </c>
      <c r="M57" s="6">
        <f t="shared" si="1"/>
        <v>2.5497685186564922E-2</v>
      </c>
      <c r="N57" s="7">
        <f t="shared" si="27"/>
        <v>36.716666668653488</v>
      </c>
      <c r="O57" s="7"/>
      <c r="P57" s="7"/>
      <c r="Q57" s="22"/>
      <c r="R57" s="22"/>
      <c r="S57" s="31">
        <f t="shared" si="26"/>
        <v>1</v>
      </c>
      <c r="T57" s="46" t="str">
        <f t="shared" si="3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4"/>
        <v>https://d0f6bd738d7f1b3e5a7ca70fe4ff75f0.us-east-1.aws.found.io/app/kibana#/discover/Steve-Slow-Train-Analysis-(2080s-and-2083s)?_g=(refreshInterval:(display:Off,pause:!f,section:0,value:0),time:(from:'2017-03-08T08:10:14-0700',mode:absolute,to:'2017-03-08T10:52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7" s="187" t="str">
        <f t="shared" si="5"/>
        <v>N</v>
      </c>
      <c r="X57" s="187">
        <f t="shared" si="25"/>
        <v>1</v>
      </c>
      <c r="Y57" s="62">
        <f t="shared" si="7"/>
        <v>4.3099999999999999E-2</v>
      </c>
      <c r="Z57" s="62">
        <f t="shared" si="8"/>
        <v>23.331199999999999</v>
      </c>
      <c r="AA57" s="62">
        <f t="shared" si="9"/>
        <v>23.2881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0"/>
        <v>0145-08</v>
      </c>
      <c r="AE57" s="85" t="str">
        <f t="shared" si="11"/>
        <v>aws s3 cp s3://rtdc.mdm.uploadarchive.raw/RTDC4009/ "%USERPROFILE%\AppData\Local\Temp\OnboardLogs"\RTDC4009\2017-03-08 --exclude "*" --recursive --include "*20170308*" &amp; "%USERPROFILE%\Documents\GitHub\mrs-test-scripts\Headless Mode &amp; Sideloading\WalkAndUnGZ.bat" "%USERPROFILE%\AppData\Local\Temp\OnboardLogs"\RTDC4009\2017-03-08 &amp; aws s3 cp s3://rtdc.mdm.uploadarchive.raw/RTDC4009/ "%USERPROFILE%\AppData\Local\Temp\OnboardLogs"\RTDC4009\2017-03-09 --exclude "*" --recursive --include "*20170309*" &amp; "%USERPROFILE%\Documents\GitHub\mrs-test-scripts\Headless Mode &amp; Sideloading\WalkAndUnGZ.bat" "%USERPROFILE%\AppData\Local\Temp\OnboardLogs"\RTDC4009\2017-03-09</v>
      </c>
      <c r="AF57" s="82" t="str">
        <f t="shared" si="12"/>
        <v>"C:\Program Files (x86)\AstroGrep\AstroGrep.exe" /e /r /s /spath="%USERPROFILE%\AppData\Local\Temp\OnboardLogs" /stypes="app*4009*20170308*" /stext=" 16:.+((SYSTEM_STATE.+slice.+state.+changed )|(ment ac)|(multiple cpu faults)|(system.+state.+changed )|(\[timeout)|(PRM\|1\|D)|(kpr)|(kdp)|(\|lc)|(penalty))"</v>
      </c>
      <c r="AG57" s="1" t="str">
        <f t="shared" si="13"/>
        <v>EC</v>
      </c>
      <c r="AH57" s="86" t="str">
        <f t="shared" si="21"/>
        <v>"%USERPROFILE%\Documents\GitHub\eaglep3\Utilities\RefineRTDCRunTimes.py" --tripid 145-08 --locoid 4009 --swversion DE.1.0.9.0 --startMP 204:431 --initTime 2017-03-08T09:10:14 --startdatetime 2017-03-08T09:15:27 --delay 0 --endMP 204:233312 --enddatetime 2017-03-08T09:52:10 --enforcementcount 0 &gt;&gt;C:\Users\stu\Documents\GitHub\eaglep3-reporting\EC\2017-03-08-refined-times.txt</v>
      </c>
      <c r="AI57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{"issue":{"subject":"","project_id":79,"tracker_id":40,"status_id":1,"priority_id":2,"assigned_to_id":23,"start_date":"2017-03-08","description":"","custom_fields":[{"id":1,"name":"Subdivision","value":"EC"},{"id":4,"name":"Milepost","value":"23.3312"},{"id":17,"name":"Train ID","value":"145-08"},{"id":16,"name":"Locomotive ID","value":"4009"},{"id":130,"name":"Impact","value":""},{"id":150,"name":"Time of Event (Mountain Time)","value":"09:52:10"},{"id":151,"name":"Denver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3"/>
        <v>start /low /b %USERPROFILE%\Documents\GitHub\eaglep3\Utilities\DownloadLogsFromS3.py --loco 4009 --day 2017-03-08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"%USERPROFILE%\AppData\Local\Temp\OnboardLogs"\RTDC4009\*4009*20170308* | grep -SE "(Enforcement Action)|(\[TIMEOUT)|(CHR.+\|PRM\|1\|D.+(SWITCH|SIGNAL).+UNKNOWN)" - &gt;&gt; 2017-03-08-UncaughtWiMAX.txt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672</v>
      </c>
      <c r="B58" s="7">
        <v>4010</v>
      </c>
      <c r="C58" s="21" t="s">
        <v>242</v>
      </c>
      <c r="D58" s="21" t="s">
        <v>265</v>
      </c>
      <c r="E58" s="13">
        <v>42802.415763888886</v>
      </c>
      <c r="F58" s="13">
        <v>42802.424571759257</v>
      </c>
      <c r="G58" s="7">
        <v>1</v>
      </c>
      <c r="H58" s="21" t="s">
        <v>272</v>
      </c>
      <c r="I58" s="13">
        <v>42802.451770833337</v>
      </c>
      <c r="J58" s="7">
        <v>0</v>
      </c>
      <c r="K58" s="98" t="str">
        <f t="shared" si="0"/>
        <v>4009/4010</v>
      </c>
      <c r="L58" s="21" t="str">
        <f>VLOOKUP(A58,'Trips&amp;Operators'!$C$1:$G$99999,5,FALSE)</f>
        <v>MAELZER KURT</v>
      </c>
      <c r="M58" s="6">
        <f t="shared" si="1"/>
        <v>2.7199074080272112E-2</v>
      </c>
      <c r="N58" s="7">
        <f t="shared" si="27"/>
        <v>39.166666675591841</v>
      </c>
      <c r="O58" s="7"/>
      <c r="P58" s="7"/>
      <c r="Q58" s="22"/>
      <c r="R58" s="22"/>
      <c r="S58" s="31">
        <f t="shared" si="26"/>
        <v>1</v>
      </c>
      <c r="T58" s="46" t="str">
        <f t="shared" si="3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4"/>
        <v>https://d0f6bd738d7f1b3e5a7ca70fe4ff75f0.us-east-1.aws.found.io/app/kibana#/discover/Steve-Slow-Train-Analysis-(2080s-and-2083s)?_g=(refreshInterval:(display:Off,pause:!f,section:0,value:0),time:(from:'2017-03-08T08:58:42-0700',mode:absolute,to:'2017-03-08T11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8" s="187" t="str">
        <f t="shared" si="5"/>
        <v>N</v>
      </c>
      <c r="X58" s="187">
        <f t="shared" si="25"/>
        <v>1</v>
      </c>
      <c r="Y58" s="62">
        <f t="shared" si="7"/>
        <v>23.3</v>
      </c>
      <c r="Z58" s="62">
        <f t="shared" si="8"/>
        <v>1.34E-2</v>
      </c>
      <c r="AA58" s="62">
        <f t="shared" si="9"/>
        <v>23.2866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0"/>
        <v>0146-08</v>
      </c>
      <c r="AE58" s="85" t="str">
        <f t="shared" si="11"/>
        <v>aws s3 cp s3://rtdc.mdm.uploadarchive.raw/RTDC4010/ "%USERPROFILE%\AppData\Local\Temp\OnboardLogs"\RTDC4010\2017-03-08 --exclude "*" --recursive --include "*20170308*" &amp; "%USERPROFILE%\Documents\GitHub\mrs-test-scripts\Headless Mode &amp; Sideloading\WalkAndUnGZ.bat" "%USERPROFILE%\AppData\Local\Temp\OnboardLogs"\RTDC4010\2017-03-08 &amp; aws s3 cp s3://rtdc.mdm.uploadarchive.raw/RTDC4010/ "%USERPROFILE%\AppData\Local\Temp\OnboardLogs"\RTDC4010\2017-03-09 --exclude "*" --recursive --include "*20170309*" &amp; "%USERPROFILE%\Documents\GitHub\mrs-test-scripts\Headless Mode &amp; Sideloading\WalkAndUnGZ.bat" "%USERPROFILE%\AppData\Local\Temp\OnboardLogs"\RTDC4010\2017-03-09</v>
      </c>
      <c r="AF58" s="82" t="str">
        <f t="shared" si="12"/>
        <v>"C:\Program Files (x86)\AstroGrep\AstroGrep.exe" /e /r /s /spath="%USERPROFILE%\AppData\Local\Temp\OnboardLogs" /stypes="app*4010*20170308*" /stext=" 17:.+((SYSTEM_STATE.+slice.+state.+changed )|(ment ac)|(multiple cpu faults)|(system.+state.+changed )|(\[timeout)|(PRM\|1\|D)|(kpr)|(kdp)|(\|lc)|(penalty))"</v>
      </c>
      <c r="AG58" s="1" t="str">
        <f t="shared" si="13"/>
        <v>EC</v>
      </c>
      <c r="AH58" s="86" t="str">
        <f t="shared" si="21"/>
        <v>"%USERPROFILE%\Documents\GitHub\eaglep3\Utilities\RefineRTDCRunTimes.py" --tripid 146-08 --locoid 4010 --swversion DE.1.0.9.0 --startMP 204:233000 --initTime 2017-03-08T09:58:42 --startdatetime 2017-03-08T10:11:23 --delay 1 --endMP 204:134 --enddatetime 2017-03-08T10:50:33 --enforcementcount 0 &gt;&gt;C:\Users\stu\Documents\GitHub\eaglep3-reporting\EC\2017-03-08-refined-times.txt</v>
      </c>
      <c r="AI58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{"issue":{"subject":"","project_id":79,"tracker_id":40,"status_id":1,"priority_id":2,"assigned_to_id":23,"start_date":"2017-03-08","description":"","custom_fields":[{"id":1,"name":"Subdivision","value":"EC"},{"id":4,"name":"Milepost","value":"0.0134"},{"id":17,"name":"Train ID","value":"146-08"},{"id":16,"name":"Locomotive ID","value":"4010"},{"id":130,"name":"Impact","value":""},{"id":150,"name":"Time of Event (Mountain Time)","value":"10:50:33"},{"id":151,"name":"Denver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3"/>
        <v>start /low /b %USERPROFILE%\Documents\GitHub\eaglep3\Utilities\DownloadLogsFromS3.py --loco 4010 --day 2017-03-08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"%USERPROFILE%\AppData\Local\Temp\OnboardLogs"\RTDC4010\*4010*20170308* | grep -SE "(Enforcement Action)|(\[TIMEOUT)|(CHR.+\|PRM\|1\|D.+(SWITCH|SIGNAL).+UNKNOWN)" - &gt;&gt; 2017-03-08-UncaughtWiMAX.txt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666</v>
      </c>
      <c r="B59" s="7">
        <v>4016</v>
      </c>
      <c r="C59" s="21" t="s">
        <v>242</v>
      </c>
      <c r="D59" s="21" t="s">
        <v>289</v>
      </c>
      <c r="E59" s="13">
        <v>42802.391111111108</v>
      </c>
      <c r="F59" s="13">
        <v>42802.39603009259</v>
      </c>
      <c r="G59" s="7">
        <v>1</v>
      </c>
      <c r="H59" s="21" t="s">
        <v>842</v>
      </c>
      <c r="I59" s="13">
        <v>42802.420775462961</v>
      </c>
      <c r="J59" s="7">
        <v>0</v>
      </c>
      <c r="K59" s="98" t="str">
        <f t="shared" si="0"/>
        <v>4015/4016</v>
      </c>
      <c r="L59" s="21" t="str">
        <f>VLOOKUP(A59,'Trips&amp;Operators'!$C$1:$G$99999,5,FALSE)</f>
        <v>GEBRETEKLE DAGNEW</v>
      </c>
      <c r="M59" s="6">
        <f t="shared" si="1"/>
        <v>2.47453703705105E-2</v>
      </c>
      <c r="N59" s="7">
        <f t="shared" si="27"/>
        <v>35.63333333353512</v>
      </c>
      <c r="O59" s="7"/>
      <c r="P59" s="7"/>
      <c r="Q59" s="22"/>
      <c r="R59" s="22"/>
      <c r="S59" s="31">
        <f t="shared" si="26"/>
        <v>1</v>
      </c>
      <c r="T59" s="46" t="str">
        <f t="shared" si="3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4"/>
        <v>https://d0f6bd738d7f1b3e5a7ca70fe4ff75f0.us-east-1.aws.found.io/app/kibana#/discover/Steve-Slow-Train-Analysis-(2080s-and-2083s)?_g=(refreshInterval:(display:Off,pause:!f,section:0,value:0),time:(from:'2017-03-08T08:23:12-0700',mode:absolute,to:'2017-03-08T11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9" s="187" t="str">
        <f t="shared" si="5"/>
        <v>N</v>
      </c>
      <c r="X59" s="187">
        <f t="shared" ref="X59:X90" si="28">VALUE(LEFT(AD59,4))-VALUE(LEFT(AD58,4))</f>
        <v>1</v>
      </c>
      <c r="Y59" s="62">
        <f t="shared" si="7"/>
        <v>4.7800000000000002E-2</v>
      </c>
      <c r="Z59" s="62">
        <f t="shared" si="8"/>
        <v>23.331099999999999</v>
      </c>
      <c r="AA59" s="62">
        <f t="shared" si="9"/>
        <v>23.283300000000001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0"/>
        <v>0147-08</v>
      </c>
      <c r="AE59" s="85" t="str">
        <f t="shared" si="11"/>
        <v>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 &amp; 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</v>
      </c>
      <c r="AF59" s="82" t="str">
        <f t="shared" si="12"/>
        <v>"C:\Program Files (x86)\AstroGrep\AstroGrep.exe" /e /r /s /spath="%USERPROFILE%\AppData\Local\Temp\OnboardLogs" /stypes="app*4016*20170308*" /stext=" 17:.+((SYSTEM_STATE.+slice.+state.+changed )|(ment ac)|(multiple cpu faults)|(system.+state.+changed )|(\[timeout)|(PRM\|1\|D)|(kpr)|(kdp)|(\|lc)|(penalty))"</v>
      </c>
      <c r="AG59" s="1" t="str">
        <f t="shared" si="13"/>
        <v>EC</v>
      </c>
      <c r="AH59" s="86" t="str">
        <f t="shared" si="21"/>
        <v>"%USERPROFILE%\Documents\GitHub\eaglep3\Utilities\RefineRTDCRunTimes.py" --tripid 147-08 --locoid 4016 --swversion DE.1.0.9.0 --startMP 204:478 --initTime 2017-03-08T09:23:12 --startdatetime 2017-03-08T09:30:17 --delay 1 --endMP 204:233311 --enddatetime 2017-03-08T10:05:55 --enforcementcount 0 &gt;&gt;C:\Users\stu\Documents\GitHub\eaglep3-reporting\EC\2017-03-08-refined-times.txt</v>
      </c>
      <c r="AI59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{"issue":{"subject":"","project_id":79,"tracker_id":40,"status_id":1,"priority_id":2,"assigned_to_id":23,"start_date":"2017-03-08","description":"","custom_fields":[{"id":1,"name":"Subdivision","value":"EC"},{"id":4,"name":"Milepost","value":"23.3311"},{"id":17,"name":"Train ID","value":"147-08"},{"id":16,"name":"Locomotive ID","value":"4016"},{"id":130,"name":"Impact","value":""},{"id":150,"name":"Time of Event (Mountain Time)","value":"10:05:55"},{"id":151,"name":"Denver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3"/>
        <v>start /low /b %USERPROFILE%\Documents\GitHub\eaglep3\Utilities\DownloadLogsFromS3.py --loco 4016 --day 2017-03-08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"%USERPROFILE%\AppData\Local\Temp\OnboardLogs"\RTDC4016\*4016*20170308* | grep -SE "(Enforcement Action)|(\[TIMEOUT)|(CHR.+\|PRM\|1\|D.+(SWITCH|SIGNAL).+UNKNOWN)" - &gt;&gt; 2017-03-08-UncaughtWiMAX.txt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675</v>
      </c>
      <c r="B60" s="7">
        <v>4015</v>
      </c>
      <c r="C60" s="21" t="s">
        <v>242</v>
      </c>
      <c r="D60" s="21" t="s">
        <v>290</v>
      </c>
      <c r="E60" s="13">
        <v>42802.429270833331</v>
      </c>
      <c r="F60" s="13">
        <v>42802.434918981482</v>
      </c>
      <c r="G60" s="7">
        <v>1</v>
      </c>
      <c r="H60" s="21" t="s">
        <v>194</v>
      </c>
      <c r="I60" s="13">
        <v>42802.461898148147</v>
      </c>
      <c r="J60" s="7">
        <v>0</v>
      </c>
      <c r="K60" s="98" t="str">
        <f t="shared" si="0"/>
        <v>4015/4016</v>
      </c>
      <c r="L60" s="21" t="str">
        <f>VLOOKUP(A60,'Trips&amp;Operators'!$C$1:$G$99999,5,FALSE)</f>
        <v>GEBRETEKLE DAGNEW</v>
      </c>
      <c r="M60" s="6">
        <f t="shared" si="1"/>
        <v>2.6979166665114462E-2</v>
      </c>
      <c r="N60" s="7">
        <f t="shared" si="27"/>
        <v>38.849999997764826</v>
      </c>
      <c r="O60" s="7"/>
      <c r="P60" s="7"/>
      <c r="Q60" s="22"/>
      <c r="R60" s="22"/>
      <c r="S60" s="31">
        <f t="shared" si="26"/>
        <v>1</v>
      </c>
      <c r="T60" s="46" t="str">
        <f t="shared" si="3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4"/>
        <v>https://d0f6bd738d7f1b3e5a7ca70fe4ff75f0.us-east-1.aws.found.io/app/kibana#/discover/Steve-Slow-Train-Analysis-(2080s-and-2083s)?_g=(refreshInterval:(display:Off,pause:!f,section:0,value:0),time:(from:'2017-03-08T09:18:09-0700',mode:absolute,to:'2017-03-08T12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0" s="187" t="str">
        <f t="shared" si="5"/>
        <v>N</v>
      </c>
      <c r="X60" s="187">
        <f t="shared" si="28"/>
        <v>1</v>
      </c>
      <c r="Y60" s="62">
        <f t="shared" si="7"/>
        <v>23.2988</v>
      </c>
      <c r="Z60" s="62">
        <f t="shared" si="8"/>
        <v>1.4500000000000001E-2</v>
      </c>
      <c r="AA60" s="62">
        <f t="shared" si="9"/>
        <v>23.284299999999998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0"/>
        <v>0148-08</v>
      </c>
      <c r="AE60" s="85" t="str">
        <f t="shared" si="11"/>
        <v>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 &amp; 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</v>
      </c>
      <c r="AF60" s="82" t="str">
        <f t="shared" si="12"/>
        <v>"C:\Program Files (x86)\AstroGrep\AstroGrep.exe" /e /r /s /spath="%USERPROFILE%\AppData\Local\Temp\OnboardLogs" /stypes="app*4015*20170308*" /stext=" 18:.+((SYSTEM_STATE.+slice.+state.+changed )|(ment ac)|(multiple cpu faults)|(system.+state.+changed )|(\[timeout)|(PRM\|1\|D)|(kpr)|(kdp)|(\|lc)|(penalty))"</v>
      </c>
      <c r="AG60" s="1" t="str">
        <f t="shared" si="13"/>
        <v>EC</v>
      </c>
      <c r="AH60" s="86" t="str">
        <f t="shared" si="21"/>
        <v>"%USERPROFILE%\Documents\GitHub\eaglep3\Utilities\RefineRTDCRunTimes.py" --tripid 148-08 --locoid 4015 --swversion DE.1.0.9.0 --startMP 204:232988 --initTime 2017-03-08T10:18:09 --startdatetime 2017-03-08T10:26:17 --delay 1 --endMP 204:145 --enddatetime 2017-03-08T11:05:08 --enforcementcount 0 &gt;&gt;C:\Users\stu\Documents\GitHub\eaglep3-reporting\EC\2017-03-08-refined-times.txt</v>
      </c>
      <c r="AI60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{"issue":{"subject":"","project_id":79,"tracker_id":40,"status_id":1,"priority_id":2,"assigned_to_id":23,"start_date":"2017-03-08","description":"","custom_fields":[{"id":1,"name":"Subdivision","value":"EC"},{"id":4,"name":"Milepost","value":"0.0145"},{"id":17,"name":"Train ID","value":"148-08"},{"id":16,"name":"Locomotive ID","value":"4015"},{"id":130,"name":"Impact","value":""},{"id":150,"name":"Time of Event (Mountain Time)","value":"11:05:08"},{"id":151,"name":"Denver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3"/>
        <v>start /low /b %USERPROFILE%\Documents\GitHub\eaglep3\Utilities\DownloadLogsFromS3.py --loco 4015 --day 2017-03-08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"%USERPROFILE%\AppData\Local\Temp\OnboardLogs"\RTDC4015\*4015*20170308* | grep -SE "(Enforcement Action)|(\[TIMEOUT)|(CHR.+\|PRM\|1\|D.+(SWITCH|SIGNAL).+UNKNOWN)" - &gt;&gt; 2017-03-08-UncaughtWiMAX.txt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669</v>
      </c>
      <c r="B61" s="7">
        <v>4006</v>
      </c>
      <c r="C61" s="21" t="s">
        <v>242</v>
      </c>
      <c r="D61" s="21" t="s">
        <v>264</v>
      </c>
      <c r="E61" s="13">
        <v>42802.403391203705</v>
      </c>
      <c r="F61" s="13">
        <v>42802.406597222223</v>
      </c>
      <c r="G61" s="7">
        <v>1</v>
      </c>
      <c r="H61" s="21" t="s">
        <v>250</v>
      </c>
      <c r="I61" s="13">
        <v>42802.432662037034</v>
      </c>
      <c r="J61" s="7">
        <v>0</v>
      </c>
      <c r="K61" s="98" t="str">
        <f t="shared" si="0"/>
        <v>4005/4006</v>
      </c>
      <c r="L61" s="21" t="str">
        <f>VLOOKUP(A61,'Trips&amp;Operators'!$C$1:$G$99999,5,FALSE)</f>
        <v>BONDS REYNALDO</v>
      </c>
      <c r="M61" s="6">
        <f t="shared" si="1"/>
        <v>2.6064814810524695E-2</v>
      </c>
      <c r="N61" s="7">
        <f t="shared" si="27"/>
        <v>37.53333332715556</v>
      </c>
      <c r="O61" s="7"/>
      <c r="P61" s="7"/>
      <c r="Q61" s="22"/>
      <c r="R61" s="22"/>
      <c r="S61" s="31">
        <f t="shared" si="26"/>
        <v>1</v>
      </c>
      <c r="T61" s="46" t="str">
        <f t="shared" si="3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4"/>
        <v>https://d0f6bd738d7f1b3e5a7ca70fe4ff75f0.us-east-1.aws.found.io/app/kibana#/discover/Steve-Slow-Train-Analysis-(2080s-and-2083s)?_g=(refreshInterval:(display:Off,pause:!f,section:0,value:0),time:(from:'2017-03-08T08:40:53-0700',mode:absolute,to:'2017-03-08T11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1" s="187" t="str">
        <f t="shared" si="5"/>
        <v>N</v>
      </c>
      <c r="X61" s="187">
        <f t="shared" si="28"/>
        <v>1</v>
      </c>
      <c r="Y61" s="62">
        <f t="shared" si="7"/>
        <v>4.7300000000000002E-2</v>
      </c>
      <c r="Z61" s="62">
        <f t="shared" si="8"/>
        <v>23.330400000000001</v>
      </c>
      <c r="AA61" s="62">
        <f t="shared" si="9"/>
        <v>23.283100000000001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0"/>
        <v>0149-08</v>
      </c>
      <c r="AE61" s="85" t="str">
        <f t="shared" si="11"/>
        <v>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 &amp; aws s3 cp s3://rtdc.mdm.uploadarchive.raw/RTDC4006/ "%USERPROFILE%\AppData\Local\Temp\OnboardLogs"\RTDC4006\2017-03-09 --exclude "*" --recursive --include "*20170309*" &amp; "%USERPROFILE%\Documents\GitHub\mrs-test-scripts\Headless Mode &amp; Sideloading\WalkAndUnGZ.bat" "%USERPROFILE%\AppData\Local\Temp\OnboardLogs"\RTDC4006\2017-03-09</v>
      </c>
      <c r="AF61" s="82" t="str">
        <f t="shared" si="12"/>
        <v>"C:\Program Files (x86)\AstroGrep\AstroGrep.exe" /e /r /s /spath="%USERPROFILE%\AppData\Local\Temp\OnboardLogs" /stypes="app*4006*20170308*" /stext=" 17:.+((SYSTEM_STATE.+slice.+state.+changed )|(ment ac)|(multiple cpu faults)|(system.+state.+changed )|(\[timeout)|(PRM\|1\|D)|(kpr)|(kdp)|(\|lc)|(penalty))"</v>
      </c>
      <c r="AG61" s="1" t="str">
        <f t="shared" si="13"/>
        <v>EC</v>
      </c>
      <c r="AH61" s="86" t="str">
        <f t="shared" si="21"/>
        <v>"%USERPROFILE%\Documents\GitHub\eaglep3\Utilities\RefineRTDCRunTimes.py" --tripid 149-08 --locoid 4006 --swversion DE.1.0.9.0 --startMP 204:473 --initTime 2017-03-08T09:40:53 --startdatetime 2017-03-08T09:45:30 --delay 1 --endMP 204:233304 --enddatetime 2017-03-08T10:23:02 --enforcementcount 0 &gt;&gt;C:\Users\stu\Documents\GitHub\eaglep3-reporting\EC\2017-03-08-refined-times.txt</v>
      </c>
      <c r="AI61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{"issue":{"subject":"","project_id":79,"tracker_id":40,"status_id":1,"priority_id":2,"assigned_to_id":23,"start_date":"2017-03-08","description":"","custom_fields":[{"id":1,"name":"Subdivision","value":"EC"},{"id":4,"name":"Milepost","value":"23.3304"},{"id":17,"name":"Train ID","value":"149-08"},{"id":16,"name":"Locomotive ID","value":"4006"},{"id":130,"name":"Impact","value":""},{"id":150,"name":"Time of Event (Mountain Time)","value":"10:23:02"},{"id":151,"name":"Denver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3"/>
        <v>start /low /b %USERPROFILE%\Documents\GitHub\eaglep3\Utilities\DownloadLogsFromS3.py --loco 4006 --day 2017-03-08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"%USERPROFILE%\AppData\Local\Temp\OnboardLogs"\RTDC4006\*4006*20170308* | grep -SE "(Enforcement Action)|(\[TIMEOUT)|(CHR.+\|PRM\|1\|D.+(SWITCH|SIGNAL).+UNKNOWN)" - &gt;&gt; 2017-03-08-UncaughtWiMAX.txt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679</v>
      </c>
      <c r="B62" s="7">
        <v>4005</v>
      </c>
      <c r="C62" s="21" t="s">
        <v>242</v>
      </c>
      <c r="D62" s="21" t="s">
        <v>273</v>
      </c>
      <c r="E62" s="13">
        <v>42802.441932870373</v>
      </c>
      <c r="F62" s="13">
        <v>42802.445497685185</v>
      </c>
      <c r="G62" s="7">
        <v>1</v>
      </c>
      <c r="H62" s="21" t="s">
        <v>194</v>
      </c>
      <c r="I62" s="13">
        <v>42802.473703703705</v>
      </c>
      <c r="J62" s="7">
        <v>0</v>
      </c>
      <c r="K62" s="98" t="str">
        <f t="shared" si="0"/>
        <v>4005/4006</v>
      </c>
      <c r="L62" s="21" t="str">
        <f>VLOOKUP(A62,'Trips&amp;Operators'!$C$1:$G$99999,5,FALSE)</f>
        <v>BONDS REYNALDO</v>
      </c>
      <c r="M62" s="6">
        <f t="shared" si="1"/>
        <v>2.8206018519995268E-2</v>
      </c>
      <c r="N62" s="7">
        <f t="shared" si="27"/>
        <v>40.616666668793187</v>
      </c>
      <c r="O62" s="7"/>
      <c r="P62" s="7"/>
      <c r="Q62" s="22"/>
      <c r="R62" s="22"/>
      <c r="S62" s="31">
        <f t="shared" si="26"/>
        <v>1</v>
      </c>
      <c r="T62" s="46" t="str">
        <f t="shared" si="3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4"/>
        <v>https://d0f6bd738d7f1b3e5a7ca70fe4ff75f0.us-east-1.aws.found.io/app/kibana#/discover/Steve-Slow-Train-Analysis-(2080s-and-2083s)?_g=(refreshInterval:(display:Off,pause:!f,section:0,value:0),time:(from:'2017-03-08T09:36:23-0700',mode:absolute,to:'2017-03-08T12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2" s="187" t="str">
        <f t="shared" si="5"/>
        <v>N</v>
      </c>
      <c r="X62" s="187">
        <f t="shared" si="28"/>
        <v>1</v>
      </c>
      <c r="Y62" s="62">
        <f t="shared" si="7"/>
        <v>23.3004</v>
      </c>
      <c r="Z62" s="62">
        <f t="shared" si="8"/>
        <v>1.4500000000000001E-2</v>
      </c>
      <c r="AA62" s="62">
        <f t="shared" si="9"/>
        <v>23.285899999999998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0"/>
        <v>0150-08</v>
      </c>
      <c r="AE62" s="85" t="str">
        <f t="shared" si="11"/>
        <v>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 &amp; aws s3 cp s3://rtdc.mdm.uploadarchive.raw/RTDC4005/ "%USERPROFILE%\AppData\Local\Temp\OnboardLogs"\RTDC4005\2017-03-09 --exclude "*" --recursive --include "*20170309*" &amp; "%USERPROFILE%\Documents\GitHub\mrs-test-scripts\Headless Mode &amp; Sideloading\WalkAndUnGZ.bat" "%USERPROFILE%\AppData\Local\Temp\OnboardLogs"\RTDC4005\2017-03-09</v>
      </c>
      <c r="AF62" s="82" t="str">
        <f t="shared" si="12"/>
        <v>"C:\Program Files (x86)\AstroGrep\AstroGrep.exe" /e /r /s /spath="%USERPROFILE%\AppData\Local\Temp\OnboardLogs" /stypes="app*4005*20170308*" /stext=" 18:.+((SYSTEM_STATE.+slice.+state.+changed )|(ment ac)|(multiple cpu faults)|(system.+state.+changed )|(\[timeout)|(PRM\|1\|D)|(kpr)|(kdp)|(\|lc)|(penalty))"</v>
      </c>
      <c r="AG62" s="1" t="str">
        <f t="shared" si="13"/>
        <v>EC</v>
      </c>
      <c r="AH62" s="86" t="str">
        <f t="shared" si="21"/>
        <v>"%USERPROFILE%\Documents\GitHub\eaglep3\Utilities\RefineRTDCRunTimes.py" --tripid 150-08 --locoid 4005 --swversion DE.1.0.9.0 --startMP 204:233004 --initTime 2017-03-08T10:36:23 --startdatetime 2017-03-08T10:41:31 --delay 1 --endMP 204:145 --enddatetime 2017-03-08T11:22:08 --enforcementcount 0 &gt;&gt;C:\Users\stu\Documents\GitHub\eaglep3-reporting\EC\2017-03-08-refined-times.txt</v>
      </c>
      <c r="AI62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{"issue":{"subject":"","project_id":79,"tracker_id":40,"status_id":1,"priority_id":2,"assigned_to_id":23,"start_date":"2017-03-08","description":"","custom_fields":[{"id":1,"name":"Subdivision","value":"EC"},{"id":4,"name":"Milepost","value":"0.0145"},{"id":17,"name":"Train ID","value":"150-08"},{"id":16,"name":"Locomotive ID","value":"4005"},{"id":130,"name":"Impact","value":""},{"id":150,"name":"Time of Event (Mountain Time)","value":"11:22:08"},{"id":151,"name":"Denver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3"/>
        <v>start /low /b %USERPROFILE%\Documents\GitHub\eaglep3\Utilities\DownloadLogsFromS3.py --loco 4005 --day 2017-03-08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"%USERPROFILE%\AppData\Local\Temp\OnboardLogs"\RTDC4005\*4005*20170308* | grep -SE "(Enforcement Action)|(\[TIMEOUT)|(CHR.+\|PRM\|1\|D.+(SWITCH|SIGNAL).+UNKNOWN)" - &gt;&gt; 2017-03-08-UncaughtWiMAX.txt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671</v>
      </c>
      <c r="B63" s="7">
        <v>4029</v>
      </c>
      <c r="C63" s="21" t="s">
        <v>242</v>
      </c>
      <c r="D63" s="21" t="s">
        <v>264</v>
      </c>
      <c r="E63" s="13">
        <v>42802.41306712963</v>
      </c>
      <c r="F63" s="13">
        <v>42802.416863425926</v>
      </c>
      <c r="G63" s="7">
        <v>1</v>
      </c>
      <c r="H63" s="21" t="s">
        <v>293</v>
      </c>
      <c r="I63" s="13">
        <v>42802.441736111112</v>
      </c>
      <c r="J63" s="7">
        <v>0</v>
      </c>
      <c r="K63" s="98" t="str">
        <f t="shared" si="0"/>
        <v>4029/4030</v>
      </c>
      <c r="L63" s="21" t="str">
        <f>VLOOKUP(A63,'Trips&amp;Operators'!$C$1:$G$99999,5,FALSE)</f>
        <v>SANTIZO D. EDY</v>
      </c>
      <c r="M63" s="6">
        <f t="shared" si="1"/>
        <v>2.4872685185982846E-2</v>
      </c>
      <c r="N63" s="7">
        <f t="shared" si="27"/>
        <v>35.816666667815298</v>
      </c>
      <c r="O63" s="7"/>
      <c r="P63" s="7"/>
      <c r="Q63" s="22"/>
      <c r="R63" s="22"/>
      <c r="S63" s="31">
        <f t="shared" si="26"/>
        <v>1</v>
      </c>
      <c r="T63" s="46" t="str">
        <f t="shared" si="3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4"/>
        <v>https://d0f6bd738d7f1b3e5a7ca70fe4ff75f0.us-east-1.aws.found.io/app/kibana#/discover/Steve-Slow-Train-Analysis-(2080s-and-2083s)?_g=(refreshInterval:(display:Off,pause:!f,section:0,value:0),time:(from:'2017-03-08T08:54:49-0700',mode:absolute,to:'2017-03-08T11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3" s="187" t="str">
        <f t="shared" si="5"/>
        <v>N</v>
      </c>
      <c r="X63" s="187">
        <f t="shared" si="28"/>
        <v>1</v>
      </c>
      <c r="Y63" s="62">
        <f t="shared" si="7"/>
        <v>4.7300000000000002E-2</v>
      </c>
      <c r="Z63" s="62">
        <f t="shared" si="8"/>
        <v>23.330300000000001</v>
      </c>
      <c r="AA63" s="62">
        <f t="shared" si="9"/>
        <v>23.283000000000001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0"/>
        <v>0151-08</v>
      </c>
      <c r="AE63" s="85" t="str">
        <f t="shared" si="11"/>
        <v>aws s3 cp s3://rtdc.mdm.uploadarchive.raw/RTDC4029/ "%USERPROFILE%\AppData\Local\Temp\OnboardLogs"\RTDC4029\2017-03-08 --exclude "*" --recursive --include "*20170308*" &amp; "%USERPROFILE%\Documents\GitHub\mrs-test-scripts\Headless Mode &amp; Sideloading\WalkAndUnGZ.bat" "%USERPROFILE%\AppData\Local\Temp\OnboardLogs"\RTDC4029\2017-03-08 &amp; 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</v>
      </c>
      <c r="AF63" s="82" t="str">
        <f t="shared" si="12"/>
        <v>"C:\Program Files (x86)\AstroGrep\AstroGrep.exe" /e /r /s /spath="%USERPROFILE%\AppData\Local\Temp\OnboardLogs" /stypes="app*4029*20170308*" /stext=" 17:.+((SYSTEM_STATE.+slice.+state.+changed )|(ment ac)|(multiple cpu faults)|(system.+state.+changed )|(\[timeout)|(PRM\|1\|D)|(kpr)|(kdp)|(\|lc)|(penalty))"</v>
      </c>
      <c r="AG63" s="1" t="str">
        <f t="shared" si="13"/>
        <v>EC</v>
      </c>
      <c r="AH63" s="86" t="str">
        <f t="shared" si="21"/>
        <v>"%USERPROFILE%\Documents\GitHub\eaglep3\Utilities\RefineRTDCRunTimes.py" --tripid 151-08 --locoid 4029 --swversion DE.1.0.9.0 --startMP 204:473 --initTime 2017-03-08T09:54:49 --startdatetime 2017-03-08T10:00:17 --delay 1 --endMP 204:233303 --enddatetime 2017-03-08T10:36:06 --enforcementcount 0 &gt;&gt;C:\Users\stu\Documents\GitHub\eaglep3-reporting\EC\2017-03-08-refined-times.txt</v>
      </c>
      <c r="AI63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{"issue":{"subject":"","project_id":79,"tracker_id":40,"status_id":1,"priority_id":2,"assigned_to_id":23,"start_date":"2017-03-08","description":"","custom_fields":[{"id":1,"name":"Subdivision","value":"EC"},{"id":4,"name":"Milepost","value":"23.3303"},{"id":17,"name":"Train ID","value":"151-08"},{"id":16,"name":"Locomotive ID","value":"4029"},{"id":130,"name":"Impact","value":""},{"id":150,"name":"Time of Event (Mountain Time)","value":"10:36:06"},{"id":151,"name":"Denver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3"/>
        <v>start /low /b %USERPROFILE%\Documents\GitHub\eaglep3\Utilities\DownloadLogsFromS3.py --loco 4029 --day 2017-03-08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"%USERPROFILE%\AppData\Local\Temp\OnboardLogs"\RTDC4029\*4029*20170308* | grep -SE "(Enforcement Action)|(\[TIMEOUT)|(CHR.+\|PRM\|1\|D.+(SWITCH|SIGNAL).+UNKNOWN)" - &gt;&gt; 2017-03-08-UncaughtWiMAX.txt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681</v>
      </c>
      <c r="B64" s="7">
        <v>4030</v>
      </c>
      <c r="C64" s="21" t="s">
        <v>242</v>
      </c>
      <c r="D64" s="21" t="s">
        <v>846</v>
      </c>
      <c r="E64" s="13">
        <v>42802.44327546296</v>
      </c>
      <c r="F64" s="13">
        <v>42802.455891203703</v>
      </c>
      <c r="G64" s="7">
        <v>1</v>
      </c>
      <c r="H64" s="21" t="s">
        <v>854</v>
      </c>
      <c r="I64" s="13">
        <v>42802.483090277776</v>
      </c>
      <c r="J64" s="7">
        <v>0</v>
      </c>
      <c r="K64" s="98" t="str">
        <f t="shared" si="0"/>
        <v>4029/4030</v>
      </c>
      <c r="L64" s="21" t="str">
        <f>VLOOKUP(A64,'Trips&amp;Operators'!$C$1:$G$99999,5,FALSE)</f>
        <v>SANTIZO D. EDY</v>
      </c>
      <c r="M64" s="6">
        <f t="shared" si="1"/>
        <v>2.7199074072996154E-2</v>
      </c>
      <c r="N64" s="7">
        <f t="shared" si="27"/>
        <v>39.166666665114462</v>
      </c>
      <c r="O64" s="7"/>
      <c r="P64" s="7"/>
      <c r="Q64" s="22"/>
      <c r="R64" s="22"/>
      <c r="S64" s="31">
        <f t="shared" si="26"/>
        <v>1</v>
      </c>
      <c r="T64" s="46" t="str">
        <f t="shared" si="3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4"/>
        <v>https://d0f6bd738d7f1b3e5a7ca70fe4ff75f0.us-east-1.aws.found.io/app/kibana#/discover/Steve-Slow-Train-Analysis-(2080s-and-2083s)?_g=(refreshInterval:(display:Off,pause:!f,section:0,value:0),time:(from:'2017-03-08T09:38:19-0700',mode:absolute,to:'2017-03-08T12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4" s="187" t="str">
        <f t="shared" si="5"/>
        <v>N</v>
      </c>
      <c r="X64" s="187">
        <f t="shared" si="28"/>
        <v>1</v>
      </c>
      <c r="Y64" s="62">
        <f t="shared" si="7"/>
        <v>23.298400000000001</v>
      </c>
      <c r="Z64" s="62">
        <f t="shared" si="8"/>
        <v>9.5999999999999992E-3</v>
      </c>
      <c r="AA64" s="62">
        <f t="shared" si="9"/>
        <v>23.288800000000002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0"/>
        <v>0152-08</v>
      </c>
      <c r="AE64" s="85" t="str">
        <f t="shared" si="11"/>
        <v>aws s3 cp s3://rtdc.mdm.uploadarchive.raw/RTDC4030/ "%USERPROFILE%\AppData\Local\Temp\OnboardLogs"\RTDC4030\2017-03-08 --exclude "*" --recursive --include "*20170308*" &amp; "%USERPROFILE%\Documents\GitHub\mrs-test-scripts\Headless Mode &amp; Sideloading\WalkAndUnGZ.bat" "%USERPROFILE%\AppData\Local\Temp\OnboardLogs"\RTDC4030\2017-03-08 &amp; 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</v>
      </c>
      <c r="AF64" s="82" t="str">
        <f t="shared" si="12"/>
        <v>"C:\Program Files (x86)\AstroGrep\AstroGrep.exe" /e /r /s /spath="%USERPROFILE%\AppData\Local\Temp\OnboardLogs" /stypes="app*4030*20170308*" /stext=" 18:.+((SYSTEM_STATE.+slice.+state.+changed )|(ment ac)|(multiple cpu faults)|(system.+state.+changed )|(\[timeout)|(PRM\|1\|D)|(kpr)|(kdp)|(\|lc)|(penalty))"</v>
      </c>
      <c r="AG64" s="1" t="str">
        <f t="shared" si="13"/>
        <v>EC</v>
      </c>
      <c r="AH64" s="86" t="str">
        <f t="shared" si="21"/>
        <v>"%USERPROFILE%\Documents\GitHub\eaglep3\Utilities\RefineRTDCRunTimes.py" --tripid 152-08 --locoid 4030 --swversion DE.1.0.9.0 --startMP 204:232984 --initTime 2017-03-08T10:38:19 --startdatetime 2017-03-08T10:56:29 --delay 1 --endMP 204:96 --enddatetime 2017-03-08T11:35:39 --enforcementcount 0 &gt;&gt;C:\Users\stu\Documents\GitHub\eaglep3-reporting\EC\2017-03-08-refined-times.txt</v>
      </c>
      <c r="AI64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{"issue":{"subject":"","project_id":79,"tracker_id":40,"status_id":1,"priority_id":2,"assigned_to_id":23,"start_date":"2017-03-08","description":"","custom_fields":[{"id":1,"name":"Subdivision","value":"EC"},{"id":4,"name":"Milepost","value":"0.0096"},{"id":17,"name":"Train ID","value":"152-08"},{"id":16,"name":"Locomotive ID","value":"4030"},{"id":130,"name":"Impact","value":""},{"id":150,"name":"Time of Event (Mountain Time)","value":"11:35:39"},{"id":151,"name":"Denver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3"/>
        <v>start /low /b %USERPROFILE%\Documents\GitHub\eaglep3\Utilities\DownloadLogsFromS3.py --loco 4030 --day 2017-03-08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"%USERPROFILE%\AppData\Local\Temp\OnboardLogs"\RTDC4030\*4030*20170308* | grep -SE "(Enforcement Action)|(\[TIMEOUT)|(CHR.+\|PRM\|1\|D.+(SWITCH|SIGNAL).+UNKNOWN)" - &gt;&gt; 2017-03-08-UncaughtWiMAX.txt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673</v>
      </c>
      <c r="B65" s="7">
        <v>4003</v>
      </c>
      <c r="C65" s="21" t="s">
        <v>242</v>
      </c>
      <c r="D65" s="21" t="s">
        <v>243</v>
      </c>
      <c r="E65" s="13">
        <v>42802.42564814815</v>
      </c>
      <c r="F65" s="13">
        <v>42802.427708333336</v>
      </c>
      <c r="G65" s="7">
        <v>2</v>
      </c>
      <c r="H65" s="21" t="s">
        <v>499</v>
      </c>
      <c r="I65" s="13">
        <v>42802.453101851854</v>
      </c>
      <c r="J65" s="7">
        <v>0</v>
      </c>
      <c r="K65" s="98" t="str">
        <f t="shared" si="0"/>
        <v>4003/4004</v>
      </c>
      <c r="L65" s="21" t="str">
        <f>VLOOKUP(A65,'Trips&amp;Operators'!$C$1:$G$99999,5,FALSE)</f>
        <v>ROCHA YAOTL</v>
      </c>
      <c r="M65" s="6">
        <f t="shared" si="1"/>
        <v>2.5393518517375924E-2</v>
      </c>
      <c r="N65" s="7">
        <f t="shared" si="27"/>
        <v>36.56666666502133</v>
      </c>
      <c r="O65" s="7"/>
      <c r="P65" s="7"/>
      <c r="Q65" s="22"/>
      <c r="R65" s="22"/>
      <c r="S65" s="31">
        <f t="shared" si="26"/>
        <v>1</v>
      </c>
      <c r="T65" s="46" t="str">
        <f t="shared" si="3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4"/>
        <v>https://d0f6bd738d7f1b3e5a7ca70fe4ff75f0.us-east-1.aws.found.io/app/kibana#/discover/Steve-Slow-Train-Analysis-(2080s-and-2083s)?_g=(refreshInterval:(display:Off,pause:!f,section:0,value:0),time:(from:'2017-03-08T09:12:56-0700',mode:absolute,to:'2017-03-08T11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5" s="187" t="str">
        <f t="shared" si="5"/>
        <v>N</v>
      </c>
      <c r="X65" s="187">
        <f t="shared" si="28"/>
        <v>1</v>
      </c>
      <c r="Y65" s="62">
        <f t="shared" si="7"/>
        <v>4.58E-2</v>
      </c>
      <c r="Z65" s="62">
        <f t="shared" si="8"/>
        <v>23.3308</v>
      </c>
      <c r="AA65" s="62">
        <f t="shared" si="9"/>
        <v>23.285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0"/>
        <v>0153-08</v>
      </c>
      <c r="AE65" s="85" t="str">
        <f t="shared" si="11"/>
        <v>aws s3 cp s3://rtdc.mdm.uploadarchive.raw/RTDC4003/ "%USERPROFILE%\AppData\Local\Temp\OnboardLogs"\RTDC4003\2017-03-08 --exclude "*" --recursive --include "*20170308*" &amp; "%USERPROFILE%\Documents\GitHub\mrs-test-scripts\Headless Mode &amp; Sideloading\WalkAndUnGZ.bat" "%USERPROFILE%\AppData\Local\Temp\OnboardLogs"\RTDC4003\2017-03-08 &amp; 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</v>
      </c>
      <c r="AF65" s="82" t="str">
        <f t="shared" si="12"/>
        <v>"C:\Program Files (x86)\AstroGrep\AstroGrep.exe" /e /r /s /spath="%USERPROFILE%\AppData\Local\Temp\OnboardLogs" /stypes="app*4003*20170308*" /stext=" 17:.+((SYSTEM_STATE.+slice.+state.+changed )|(ment ac)|(multiple cpu faults)|(system.+state.+changed )|(\[timeout)|(PRM\|1\|D)|(kpr)|(kdp)|(\|lc)|(penalty))"</v>
      </c>
      <c r="AG65" s="1" t="str">
        <f t="shared" si="13"/>
        <v>EC</v>
      </c>
      <c r="AH65" s="86" t="str">
        <f t="shared" si="21"/>
        <v>"%USERPROFILE%\Documents\GitHub\eaglep3\Utilities\RefineRTDCRunTimes.py" --tripid 153-08 --locoid 4003 --swversion DE.1.0.9.0 --startMP 204:458 --initTime 2017-03-08T10:12:56 --startdatetime 2017-03-08T10:15:54 --delay 2 --endMP 204:233308 --enddatetime 2017-03-08T10:52:28 --enforcementcount 0 &gt;&gt;C:\Users\stu\Documents\GitHub\eaglep3-reporting\EC\2017-03-08-refined-times.txt</v>
      </c>
      <c r="AI65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{"issue":{"subject":"","project_id":79,"tracker_id":40,"status_id":1,"priority_id":2,"assigned_to_id":23,"start_date":"2017-03-08","description":"","custom_fields":[{"id":1,"name":"Subdivision","value":"EC"},{"id":4,"name":"Milepost","value":"23.3308"},{"id":17,"name":"Train ID","value":"153-08"},{"id":16,"name":"Locomotive ID","value":"4003"},{"id":130,"name":"Impact","value":""},{"id":150,"name":"Time of Event (Mountain Time)","value":"10:52:28"},{"id":151,"name":"Denver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3"/>
        <v>start /low /b %USERPROFILE%\Documents\GitHub\eaglep3\Utilities\DownloadLogsFromS3.py --loco 4003 --day 2017-03-08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"%USERPROFILE%\AppData\Local\Temp\OnboardLogs"\RTDC4003\*4003*20170308* | grep -SE "(Enforcement Action)|(\[TIMEOUT)|(CHR.+\|PRM\|1\|D.+(SWITCH|SIGNAL).+UNKNOWN)" - &gt;&gt; 2017-03-08-UncaughtWiMAX.txt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688</v>
      </c>
      <c r="B66" s="7">
        <v>4004</v>
      </c>
      <c r="C66" s="21" t="s">
        <v>242</v>
      </c>
      <c r="D66" s="21" t="s">
        <v>244</v>
      </c>
      <c r="E66" s="13">
        <v>42802.465011574073</v>
      </c>
      <c r="F66" s="13">
        <v>42802.466365740744</v>
      </c>
      <c r="G66" s="7">
        <v>1</v>
      </c>
      <c r="H66" s="21" t="s">
        <v>235</v>
      </c>
      <c r="I66" s="13">
        <v>42802.494618055556</v>
      </c>
      <c r="J66" s="7">
        <v>0</v>
      </c>
      <c r="K66" s="98" t="str">
        <f t="shared" si="0"/>
        <v>4003/4004</v>
      </c>
      <c r="L66" s="21" t="str">
        <f>VLOOKUP(A66,'Trips&amp;Operators'!$C$1:$G$99999,5,FALSE)</f>
        <v>ROCHA YAOTL</v>
      </c>
      <c r="M66" s="6">
        <f t="shared" si="1"/>
        <v>2.8252314812561963E-2</v>
      </c>
      <c r="N66" s="7">
        <f t="shared" si="27"/>
        <v>40.683333330089226</v>
      </c>
      <c r="O66" s="7"/>
      <c r="P66" s="7"/>
      <c r="Q66" s="22"/>
      <c r="R66" s="22"/>
      <c r="S66" s="31">
        <f t="shared" si="26"/>
        <v>1</v>
      </c>
      <c r="T66" s="46" t="str">
        <f t="shared" si="3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4"/>
        <v>https://d0f6bd738d7f1b3e5a7ca70fe4ff75f0.us-east-1.aws.found.io/app/kibana#/discover/Steve-Slow-Train-Analysis-(2080s-and-2083s)?_g=(refreshInterval:(display:Off,pause:!f,section:0,value:0),time:(from:'2017-03-08T10:09:37-0700',mode:absolute,to:'2017-03-08T12:52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6" s="187" t="str">
        <f t="shared" si="5"/>
        <v>N</v>
      </c>
      <c r="X66" s="187">
        <f t="shared" si="28"/>
        <v>1</v>
      </c>
      <c r="Y66" s="62">
        <f t="shared" si="7"/>
        <v>23.299399999999999</v>
      </c>
      <c r="Z66" s="62">
        <f t="shared" si="8"/>
        <v>1.47E-2</v>
      </c>
      <c r="AA66" s="62">
        <f t="shared" si="9"/>
        <v>23.284699999999997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0"/>
        <v>0154-08</v>
      </c>
      <c r="AE66" s="85" t="str">
        <f t="shared" si="11"/>
        <v>aws s3 cp s3://rtdc.mdm.uploadarchive.raw/RTDC4004/ "%USERPROFILE%\AppData\Local\Temp\OnboardLogs"\RTDC4004\2017-03-08 --exclude "*" --recursive --include "*20170308*" &amp; "%USERPROFILE%\Documents\GitHub\mrs-test-scripts\Headless Mode &amp; Sideloading\WalkAndUnGZ.bat" "%USERPROFILE%\AppData\Local\Temp\OnboardLogs"\RTDC4004\2017-03-08 &amp; 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</v>
      </c>
      <c r="AF66" s="82" t="str">
        <f t="shared" si="12"/>
        <v>"C:\Program Files (x86)\AstroGrep\AstroGrep.exe" /e /r /s /spath="%USERPROFILE%\AppData\Local\Temp\OnboardLogs" /stypes="app*4004*20170308*" /stext=" 18:.+((SYSTEM_STATE.+slice.+state.+changed )|(ment ac)|(multiple cpu faults)|(system.+state.+changed )|(\[timeout)|(PRM\|1\|D)|(kpr)|(kdp)|(\|lc)|(penalty))"</v>
      </c>
      <c r="AG66" s="1" t="str">
        <f t="shared" si="13"/>
        <v>EC</v>
      </c>
      <c r="AH66" s="86" t="str">
        <f t="shared" si="21"/>
        <v>"%USERPROFILE%\Documents\GitHub\eaglep3\Utilities\RefineRTDCRunTimes.py" --tripid 154-08 --locoid 4004 --swversion DE.1.0.9.0 --startMP 204:232994 --initTime 2017-03-08T11:09:37 --startdatetime 2017-03-08T11:11:34 --delay 1 --endMP 204:147 --enddatetime 2017-03-08T11:52:15 --enforcementcount 0 &gt;&gt;C:\Users\stu\Documents\GitHub\eaglep3-reporting\EC\2017-03-08-refined-times.txt</v>
      </c>
      <c r="AI66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{"issue":{"subject":"","project_id":79,"tracker_id":40,"status_id":1,"priority_id":2,"assigned_to_id":23,"start_date":"2017-03-08","description":"","custom_fields":[{"id":1,"name":"Subdivision","value":"EC"},{"id":4,"name":"Milepost","value":"0.0147"},{"id":17,"name":"Train ID","value":"154-08"},{"id":16,"name":"Locomotive ID","value":"4004"},{"id":130,"name":"Impact","value":""},{"id":150,"name":"Time of Event (Mountain Time)","value":"11:52:15"},{"id":151,"name":"Denver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3"/>
        <v>start /low /b %USERPROFILE%\Documents\GitHub\eaglep3\Utilities\DownloadLogsFromS3.py --loco 4004 --day 2017-03-08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"%USERPROFILE%\AppData\Local\Temp\OnboardLogs"\RTDC4004\*4004*20170308* | grep -SE "(Enforcement Action)|(\[TIMEOUT)|(CHR.+\|PRM\|1\|D.+(SWITCH|SIGNAL).+UNKNOWN)" - &gt;&gt; 2017-03-08-UncaughtWiMAX.txt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676</v>
      </c>
      <c r="B67" s="7">
        <v>4031</v>
      </c>
      <c r="C67" s="21" t="s">
        <v>242</v>
      </c>
      <c r="D67" s="21" t="s">
        <v>263</v>
      </c>
      <c r="E67" s="13">
        <v>42802.430219907408</v>
      </c>
      <c r="F67" s="13">
        <v>42802.437708333331</v>
      </c>
      <c r="G67" s="7">
        <v>2</v>
      </c>
      <c r="H67" s="21" t="s">
        <v>251</v>
      </c>
      <c r="I67" s="13">
        <v>42802.462048611109</v>
      </c>
      <c r="J67" s="7">
        <v>0</v>
      </c>
      <c r="K67" s="98" t="str">
        <f t="shared" si="0"/>
        <v>4031/4032</v>
      </c>
      <c r="L67" s="21" t="str">
        <f>VLOOKUP(A67,'Trips&amp;Operators'!$C$1:$G$99999,5,FALSE)</f>
        <v>BEAM ROSS</v>
      </c>
      <c r="M67" s="6">
        <f t="shared" si="1"/>
        <v>2.4340277777810115E-2</v>
      </c>
      <c r="N67" s="7">
        <f t="shared" si="27"/>
        <v>35.050000000046566</v>
      </c>
      <c r="O67" s="7"/>
      <c r="P67" s="7"/>
      <c r="Q67" s="22"/>
      <c r="R67" s="22"/>
      <c r="S67" s="31">
        <f t="shared" si="26"/>
        <v>1</v>
      </c>
      <c r="T67" s="46" t="str">
        <f t="shared" si="3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4"/>
        <v>https://d0f6bd738d7f1b3e5a7ca70fe4ff75f0.us-east-1.aws.found.io/app/kibana#/discover/Steve-Slow-Train-Analysis-(2080s-and-2083s)?_g=(refreshInterval:(display:Off,pause:!f,section:0,value:0),time:(from:'2017-03-08T09:19:31-0700',mode:absolute,to:'2017-03-08T12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7" s="187" t="str">
        <f t="shared" si="5"/>
        <v>N</v>
      </c>
      <c r="X67" s="187">
        <f t="shared" si="28"/>
        <v>1</v>
      </c>
      <c r="Y67" s="62">
        <f t="shared" si="7"/>
        <v>4.6699999999999998E-2</v>
      </c>
      <c r="Z67" s="62">
        <f t="shared" si="8"/>
        <v>23.329899999999999</v>
      </c>
      <c r="AA67" s="62">
        <f t="shared" si="9"/>
        <v>23.283199999999997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0"/>
        <v>0155-08</v>
      </c>
      <c r="AE67" s="85" t="str">
        <f t="shared" si="11"/>
        <v>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 &amp; aws s3 cp s3://rtdc.mdm.uploadarchive.raw/RTDC4031/ "%USERPROFILE%\AppData\Local\Temp\OnboardLogs"\RTDC4031\2017-03-09 --exclude "*" --recursive --include "*20170309*" &amp; "%USERPROFILE%\Documents\GitHub\mrs-test-scripts\Headless Mode &amp; Sideloading\WalkAndUnGZ.bat" "%USERPROFILE%\AppData\Local\Temp\OnboardLogs"\RTDC4031\2017-03-09</v>
      </c>
      <c r="AF67" s="82" t="str">
        <f t="shared" si="12"/>
        <v>"C:\Program Files (x86)\AstroGrep\AstroGrep.exe" /e /r /s /spath="%USERPROFILE%\AppData\Local\Temp\OnboardLogs" /stypes="app*4031*20170308*" /stext=" 18:.+((SYSTEM_STATE.+slice.+state.+changed )|(ment ac)|(multiple cpu faults)|(system.+state.+changed )|(\[timeout)|(PRM\|1\|D)|(kpr)|(kdp)|(\|lc)|(penalty))"</v>
      </c>
      <c r="AG67" s="1" t="str">
        <f t="shared" si="13"/>
        <v>EC</v>
      </c>
      <c r="AH67" s="86" t="str">
        <f t="shared" si="21"/>
        <v>"%USERPROFILE%\Documents\GitHub\eaglep3\Utilities\RefineRTDCRunTimes.py" --tripid 155-08 --locoid 4031 --swversion DE.1.0.9.0 --startMP 204:467 --initTime 2017-03-08T10:19:31 --startdatetime 2017-03-08T10:30:18 --delay 2 --endMP 204:233299 --enddatetime 2017-03-08T11:05:21 --enforcementcount 0 &gt;&gt;C:\Users\stu\Documents\GitHub\eaglep3-reporting\EC\2017-03-08-refined-times.txt</v>
      </c>
      <c r="AI67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{"issue":{"subject":"","project_id":79,"tracker_id":40,"status_id":1,"priority_id":2,"assigned_to_id":23,"start_date":"2017-03-08","description":"","custom_fields":[{"id":1,"name":"Subdivision","value":"EC"},{"id":4,"name":"Milepost","value":"23.3299"},{"id":17,"name":"Train ID","value":"155-08"},{"id":16,"name":"Locomotive ID","value":"4031"},{"id":130,"name":"Impact","value":""},{"id":150,"name":"Time of Event (Mountain Time)","value":"11:05:21"},{"id":151,"name":"Denver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3"/>
        <v>start /low /b %USERPROFILE%\Documents\GitHub\eaglep3\Utilities\DownloadLogsFromS3.py --loco 4031 --day 2017-03-08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2017-03-08-UncaughtWiMAX.txt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689</v>
      </c>
      <c r="B68" s="7">
        <v>4032</v>
      </c>
      <c r="C68" s="21" t="s">
        <v>242</v>
      </c>
      <c r="D68" s="21" t="s">
        <v>464</v>
      </c>
      <c r="E68" s="13">
        <v>42802.471863425926</v>
      </c>
      <c r="F68" s="13">
        <v>42802.476597222223</v>
      </c>
      <c r="G68" s="7">
        <v>1</v>
      </c>
      <c r="H68" s="21" t="s">
        <v>434</v>
      </c>
      <c r="I68" s="13">
        <v>42802.504999999997</v>
      </c>
      <c r="J68" s="7">
        <v>0</v>
      </c>
      <c r="K68" s="98" t="str">
        <f t="shared" si="0"/>
        <v>4031/4032</v>
      </c>
      <c r="L68" s="21" t="str">
        <f>VLOOKUP(A68,'Trips&amp;Operators'!$C$1:$G$99999,5,FALSE)</f>
        <v>BEAM ROSS</v>
      </c>
      <c r="M68" s="6">
        <f t="shared" si="1"/>
        <v>2.8402777774317656E-2</v>
      </c>
      <c r="N68" s="7">
        <f t="shared" si="27"/>
        <v>40.899999995017424</v>
      </c>
      <c r="O68" s="7"/>
      <c r="P68" s="7"/>
      <c r="Q68" s="22"/>
      <c r="R68" s="22"/>
      <c r="S68" s="31">
        <f t="shared" si="26"/>
        <v>1</v>
      </c>
      <c r="T68" s="46" t="str">
        <f t="shared" si="3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4"/>
        <v>https://d0f6bd738d7f1b3e5a7ca70fe4ff75f0.us-east-1.aws.found.io/app/kibana#/discover/Steve-Slow-Train-Analysis-(2080s-and-2083s)?_g=(refreshInterval:(display:Off,pause:!f,section:0,value:0),time:(from:'2017-03-08T10:19:29-0700',mode:absolute,to:'2017-03-08T13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8" s="187" t="str">
        <f t="shared" si="5"/>
        <v>N</v>
      </c>
      <c r="X68" s="187">
        <f t="shared" si="28"/>
        <v>1</v>
      </c>
      <c r="Y68" s="62">
        <f t="shared" si="7"/>
        <v>23.297999999999998</v>
      </c>
      <c r="Z68" s="62">
        <f t="shared" si="8"/>
        <v>1.43E-2</v>
      </c>
      <c r="AA68" s="62">
        <f t="shared" si="9"/>
        <v>23.2837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0"/>
        <v>0156-08</v>
      </c>
      <c r="AE68" s="85" t="str">
        <f t="shared" si="11"/>
        <v>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 &amp; aws s3 cp s3://rtdc.mdm.uploadarchive.raw/RTDC4032/ "%USERPROFILE%\AppData\Local\Temp\OnboardLogs"\RTDC4032\2017-03-09 --exclude "*" --recursive --include "*20170309*" &amp; "%USERPROFILE%\Documents\GitHub\mrs-test-scripts\Headless Mode &amp; Sideloading\WalkAndUnGZ.bat" "%USERPROFILE%\AppData\Local\Temp\OnboardLogs"\RTDC4032\2017-03-09</v>
      </c>
      <c r="AF68" s="82" t="str">
        <f t="shared" si="12"/>
        <v>"C:\Program Files (x86)\AstroGrep\AstroGrep.exe" /e /r /s /spath="%USERPROFILE%\AppData\Local\Temp\OnboardLogs" /stypes="app*4032*20170308*" /stext=" 19:.+((SYSTEM_STATE.+slice.+state.+changed )|(ment ac)|(multiple cpu faults)|(system.+state.+changed )|(\[timeout)|(PRM\|1\|D)|(kpr)|(kdp)|(\|lc)|(penalty))"</v>
      </c>
      <c r="AG68" s="1" t="str">
        <f t="shared" si="13"/>
        <v>EC</v>
      </c>
      <c r="AH68" s="86" t="str">
        <f t="shared" si="21"/>
        <v>"%USERPROFILE%\Documents\GitHub\eaglep3\Utilities\RefineRTDCRunTimes.py" --tripid 156-08 --locoid 4032 --swversion DE.1.0.9.0 --startMP 204:232980 --initTime 2017-03-08T11:19:29 --startdatetime 2017-03-08T11:26:18 --delay 1 --endMP 204:143 --enddatetime 2017-03-08T12:07:12 --enforcementcount 0 &gt;&gt;C:\Users\stu\Documents\GitHub\eaglep3-reporting\EC\2017-03-08-refined-times.txt</v>
      </c>
      <c r="AI68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{"issue":{"subject":"","project_id":79,"tracker_id":40,"status_id":1,"priority_id":2,"assigned_to_id":23,"start_date":"2017-03-08","description":"","custom_fields":[{"id":1,"name":"Subdivision","value":"EC"},{"id":4,"name":"Milepost","value":"0.0143"},{"id":17,"name":"Train ID","value":"156-08"},{"id":16,"name":"Locomotive ID","value":"4032"},{"id":130,"name":"Impact","value":""},{"id":150,"name":"Time of Event (Mountain Time)","value":"12:07:12"},{"id":151,"name":"Denver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3"/>
        <v>start /low /b %USERPROFILE%\Documents\GitHub\eaglep3\Utilities\DownloadLogsFromS3.py --loco 4032 --day 2017-03-08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"%USERPROFILE%\AppData\Local\Temp\OnboardLogs"\RTDC4032\*4032*20170308* | grep -SE "(Enforcement Action)|(\[TIMEOUT)|(CHR.+\|PRM\|1\|D.+(SWITCH|SIGNAL).+UNKNOWN)" - &gt;&gt; 2017-03-08-UncaughtWiMAX.txt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682</v>
      </c>
      <c r="B69" s="7">
        <v>4042</v>
      </c>
      <c r="C69" s="21" t="s">
        <v>242</v>
      </c>
      <c r="D69" s="21" t="s">
        <v>234</v>
      </c>
      <c r="E69" s="13">
        <v>42802.444120370368</v>
      </c>
      <c r="F69" s="13">
        <v>42802.448067129626</v>
      </c>
      <c r="G69" s="7">
        <v>1</v>
      </c>
      <c r="H69" s="21" t="s">
        <v>294</v>
      </c>
      <c r="I69" s="13">
        <v>42802.474444444444</v>
      </c>
      <c r="J69" s="7">
        <v>0</v>
      </c>
      <c r="K69" s="98" t="str">
        <f t="shared" si="0"/>
        <v>4041/4042</v>
      </c>
      <c r="L69" s="21" t="str">
        <f>VLOOKUP(A69,'Trips&amp;Operators'!$C$1:$G$99999,5,FALSE)</f>
        <v>STARKS ANGELINA</v>
      </c>
      <c r="M69" s="6">
        <f t="shared" si="1"/>
        <v>2.6377314818091691E-2</v>
      </c>
      <c r="N69" s="7">
        <f t="shared" si="27"/>
        <v>37.983333338052034</v>
      </c>
      <c r="O69" s="7"/>
      <c r="P69" s="7"/>
      <c r="Q69" s="22"/>
      <c r="R69" s="22"/>
      <c r="S69" s="31">
        <f t="shared" si="26"/>
        <v>1</v>
      </c>
      <c r="T69" s="46" t="str">
        <f t="shared" si="3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4"/>
        <v>https://d0f6bd738d7f1b3e5a7ca70fe4ff75f0.us-east-1.aws.found.io/app/kibana#/discover/Steve-Slow-Train-Analysis-(2080s-and-2083s)?_g=(refreshInterval:(display:Off,pause:!f,section:0,value:0),time:(from:'2017-03-08T09:39:32-0700',mode:absolute,to:'2017-03-08T12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9" s="187" t="str">
        <f t="shared" si="5"/>
        <v>N</v>
      </c>
      <c r="X69" s="187">
        <f t="shared" si="28"/>
        <v>1</v>
      </c>
      <c r="Y69" s="62">
        <f t="shared" si="7"/>
        <v>4.4400000000000002E-2</v>
      </c>
      <c r="Z69" s="62">
        <f t="shared" si="8"/>
        <v>23.3291</v>
      </c>
      <c r="AA69" s="62">
        <f t="shared" si="9"/>
        <v>23.284700000000001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0"/>
        <v>0157-08</v>
      </c>
      <c r="AE69" s="85" t="str">
        <f t="shared" si="11"/>
        <v>aws s3 cp s3://rtdc.mdm.uploadarchive.raw/RTDC4042/ "%USERPROFILE%\AppData\Local\Temp\OnboardLogs"\RTDC4042\2017-03-08 --exclude "*" --recursive --include "*20170308*" &amp; "%USERPROFILE%\Documents\GitHub\mrs-test-scripts\Headless Mode &amp; Sideloading\WalkAndUnGZ.bat" "%USERPROFILE%\AppData\Local\Temp\OnboardLogs"\RTDC4042\2017-03-08 &amp; aws s3 cp s3://rtdc.mdm.uploadarchive.raw/RTDC4042/ "%USERPROFILE%\AppData\Local\Temp\OnboardLogs"\RTDC4042\2017-03-09 --exclude "*" --recursive --include "*20170309*" &amp; "%USERPROFILE%\Documents\GitHub\mrs-test-scripts\Headless Mode &amp; Sideloading\WalkAndUnGZ.bat" "%USERPROFILE%\AppData\Local\Temp\OnboardLogs"\RTDC4042\2017-03-09</v>
      </c>
      <c r="AF69" s="82" t="str">
        <f t="shared" si="12"/>
        <v>"C:\Program Files (x86)\AstroGrep\AstroGrep.exe" /e /r /s /spath="%USERPROFILE%\AppData\Local\Temp\OnboardLogs" /stypes="app*4042*20170308*" /stext=" 18:.+((SYSTEM_STATE.+slice.+state.+changed )|(ment ac)|(multiple cpu faults)|(system.+state.+changed )|(\[timeout)|(PRM\|1\|D)|(kpr)|(kdp)|(\|lc)|(penalty))"</v>
      </c>
      <c r="AG69" s="1" t="str">
        <f t="shared" si="13"/>
        <v>EC</v>
      </c>
      <c r="AH69" s="86" t="str">
        <f t="shared" si="21"/>
        <v>"%USERPROFILE%\Documents\GitHub\eaglep3\Utilities\RefineRTDCRunTimes.py" --tripid 157-08 --locoid 4042 --swversion DE.1.0.9.0 --startMP 204:444 --initTime 2017-03-08T10:39:32 --startdatetime 2017-03-08T10:45:13 --delay 1 --endMP 204:233291 --enddatetime 2017-03-08T11:23:12 --enforcementcount 0 &gt;&gt;C:\Users\stu\Documents\GitHub\eaglep3-reporting\EC\2017-03-08-refined-times.txt</v>
      </c>
      <c r="AI69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{"issue":{"subject":"","project_id":79,"tracker_id":40,"status_id":1,"priority_id":2,"assigned_to_id":23,"start_date":"2017-03-08","description":"","custom_fields":[{"id":1,"name":"Subdivision","value":"EC"},{"id":4,"name":"Milepost","value":"23.3291"},{"id":17,"name":"Train ID","value":"157-08"},{"id":16,"name":"Locomotive ID","value":"4042"},{"id":130,"name":"Impact","value":""},{"id":150,"name":"Time of Event (Mountain Time)","value":"11:23:12"},{"id":151,"name":"Denver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3"/>
        <v>start /low /b %USERPROFILE%\Documents\GitHub\eaglep3\Utilities\DownloadLogsFromS3.py --loco 4042 --day 2017-03-08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"%USERPROFILE%\AppData\Local\Temp\OnboardLogs"\RTDC4042\*4042*20170308* | grep -SE "(Enforcement Action)|(\[TIMEOUT)|(CHR.+\|PRM\|1\|D.+(SWITCH|SIGNAL).+UNKNOWN)" - &gt;&gt; 2017-03-08-UncaughtWiMAX.txt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690</v>
      </c>
      <c r="B70" s="7">
        <v>4041</v>
      </c>
      <c r="C70" s="21" t="s">
        <v>242</v>
      </c>
      <c r="D70" s="21" t="s">
        <v>501</v>
      </c>
      <c r="E70" s="13">
        <v>42802.475740740738</v>
      </c>
      <c r="F70" s="13">
        <v>42802.487245370372</v>
      </c>
      <c r="G70" s="7">
        <v>1</v>
      </c>
      <c r="H70" s="21" t="s">
        <v>434</v>
      </c>
      <c r="I70" s="13">
        <v>42802.516273148147</v>
      </c>
      <c r="J70" s="7">
        <v>0</v>
      </c>
      <c r="K70" s="98" t="str">
        <f t="shared" si="0"/>
        <v>4041/4042</v>
      </c>
      <c r="L70" s="21" t="str">
        <f>VLOOKUP(A70,'Trips&amp;Operators'!$C$1:$G$99999,5,FALSE)</f>
        <v>STARKS ANGELINA</v>
      </c>
      <c r="M70" s="6">
        <f t="shared" si="1"/>
        <v>2.9027777774899732E-2</v>
      </c>
      <c r="N70" s="7">
        <f t="shared" si="27"/>
        <v>41.799999995855615</v>
      </c>
      <c r="O70" s="7"/>
      <c r="P70" s="7"/>
      <c r="Q70" s="22"/>
      <c r="R70" s="22"/>
      <c r="S70" s="31">
        <f t="shared" si="26"/>
        <v>1</v>
      </c>
      <c r="T70" s="46" t="str">
        <f t="shared" si="3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4"/>
        <v>https://d0f6bd738d7f1b3e5a7ca70fe4ff75f0.us-east-1.aws.found.io/app/kibana#/discover/Steve-Slow-Train-Analysis-(2080s-and-2083s)?_g=(refreshInterval:(display:Off,pause:!f,section:0,value:0),time:(from:'2017-03-08T10:25:04-0700',mode:absolute,to:'2017-03-08T13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0" s="187" t="str">
        <f t="shared" si="5"/>
        <v>N</v>
      </c>
      <c r="X70" s="187">
        <f t="shared" si="28"/>
        <v>1</v>
      </c>
      <c r="Y70" s="62">
        <f t="shared" si="7"/>
        <v>23.2974</v>
      </c>
      <c r="Z70" s="62">
        <f t="shared" si="8"/>
        <v>1.43E-2</v>
      </c>
      <c r="AA70" s="62">
        <f t="shared" si="9"/>
        <v>23.283100000000001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0"/>
        <v>0158-08</v>
      </c>
      <c r="AE70" s="85" t="str">
        <f t="shared" si="11"/>
        <v>aws s3 cp s3://rtdc.mdm.uploadarchive.raw/RTDC4041/ "%USERPROFILE%\AppData\Local\Temp\OnboardLogs"\RTDC4041\2017-03-08 --exclude "*" --recursive --include "*20170308*" &amp; "%USERPROFILE%\Documents\GitHub\mrs-test-scripts\Headless Mode &amp; Sideloading\WalkAndUnGZ.bat" "%USERPROFILE%\AppData\Local\Temp\OnboardLogs"\RTDC4041\2017-03-08 &amp; aws s3 cp s3://rtdc.mdm.uploadarchive.raw/RTDC4041/ "%USERPROFILE%\AppData\Local\Temp\OnboardLogs"\RTDC4041\2017-03-09 --exclude "*" --recursive --include "*20170309*" &amp; "%USERPROFILE%\Documents\GitHub\mrs-test-scripts\Headless Mode &amp; Sideloading\WalkAndUnGZ.bat" "%USERPROFILE%\AppData\Local\Temp\OnboardLogs"\RTDC4041\2017-03-09</v>
      </c>
      <c r="AF70" s="82" t="str">
        <f t="shared" si="12"/>
        <v>"C:\Program Files (x86)\AstroGrep\AstroGrep.exe" /e /r /s /spath="%USERPROFILE%\AppData\Local\Temp\OnboardLogs" /stypes="app*4041*20170308*" /stext=" 19:.+((SYSTEM_STATE.+slice.+state.+changed )|(ment ac)|(multiple cpu faults)|(system.+state.+changed )|(\[timeout)|(PRM\|1\|D)|(kpr)|(kdp)|(\|lc)|(penalty))"</v>
      </c>
      <c r="AG70" s="1" t="str">
        <f t="shared" si="13"/>
        <v>EC</v>
      </c>
      <c r="AH70" s="86" t="str">
        <f t="shared" si="21"/>
        <v>"%USERPROFILE%\Documents\GitHub\eaglep3\Utilities\RefineRTDCRunTimes.py" --tripid 158-08 --locoid 4041 --swversion DE.1.0.9.0 --startMP 204:232974 --initTime 2017-03-08T11:25:04 --startdatetime 2017-03-08T11:41:38 --delay 1 --endMP 204:143 --enddatetime 2017-03-08T12:23:26 --enforcementcount 0 &gt;&gt;C:\Users\stu\Documents\GitHub\eaglep3-reporting\EC\2017-03-08-refined-times.txt</v>
      </c>
      <c r="AI70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{"issue":{"subject":"","project_id":79,"tracker_id":40,"status_id":1,"priority_id":2,"assigned_to_id":23,"start_date":"2017-03-08","description":"","custom_fields":[{"id":1,"name":"Subdivision","value":"EC"},{"id":4,"name":"Milepost","value":"0.0143"},{"id":17,"name":"Train ID","value":"158-08"},{"id":16,"name":"Locomotive ID","value":"4041"},{"id":130,"name":"Impact","value":""},{"id":150,"name":"Time of Event (Mountain Time)","value":"12:23:26"},{"id":151,"name":"Denver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3"/>
        <v>start /low /b %USERPROFILE%\Documents\GitHub\eaglep3\Utilities\DownloadLogsFromS3.py --loco 4041 --day 2017-03-08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"%USERPROFILE%\AppData\Local\Temp\OnboardLogs"\RTDC4041\*4041*20170308* | grep -SE "(Enforcement Action)|(\[TIMEOUT)|(CHR.+\|PRM\|1\|D.+(SWITCH|SIGNAL).+UNKNOWN)" - &gt;&gt; 2017-03-08-UncaughtWiMAX.txt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683</v>
      </c>
      <c r="B71" s="7">
        <v>4009</v>
      </c>
      <c r="C71" s="21" t="s">
        <v>242</v>
      </c>
      <c r="D71" s="21" t="s">
        <v>217</v>
      </c>
      <c r="E71" s="13">
        <v>42802.453680555554</v>
      </c>
      <c r="F71" s="13">
        <v>42802.458506944444</v>
      </c>
      <c r="G71" s="7">
        <v>1</v>
      </c>
      <c r="H71" s="21" t="s">
        <v>251</v>
      </c>
      <c r="I71" s="13">
        <v>42802.485023148147</v>
      </c>
      <c r="J71" s="7">
        <v>0</v>
      </c>
      <c r="K71" s="98" t="str">
        <f t="shared" si="0"/>
        <v>4009/4010</v>
      </c>
      <c r="L71" s="21" t="str">
        <f>VLOOKUP(A71,'Trips&amp;Operators'!$C$1:$G$99999,5,FALSE)</f>
        <v>CLARK KATHLEEN</v>
      </c>
      <c r="M71" s="6">
        <f t="shared" si="1"/>
        <v>2.6516203703067731E-2</v>
      </c>
      <c r="N71" s="7">
        <f t="shared" si="27"/>
        <v>38.183333332417533</v>
      </c>
      <c r="O71" s="7"/>
      <c r="P71" s="7"/>
      <c r="Q71" s="22"/>
      <c r="R71" s="22"/>
      <c r="S71" s="31">
        <f t="shared" si="26"/>
        <v>1</v>
      </c>
      <c r="T71" s="46" t="str">
        <f t="shared" si="3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4"/>
        <v>https://d0f6bd738d7f1b3e5a7ca70fe4ff75f0.us-east-1.aws.found.io/app/kibana#/discover/Steve-Slow-Train-Analysis-(2080s-and-2083s)?_g=(refreshInterval:(display:Off,pause:!f,section:0,value:0),time:(from:'2017-03-08T09:53:18-0700',mode:absolute,to:'2017-03-08T12:38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1" s="187" t="str">
        <f t="shared" si="5"/>
        <v>N</v>
      </c>
      <c r="X71" s="187">
        <f t="shared" si="28"/>
        <v>1</v>
      </c>
      <c r="Y71" s="62">
        <f t="shared" si="7"/>
        <v>4.5699999999999998E-2</v>
      </c>
      <c r="Z71" s="62">
        <f t="shared" si="8"/>
        <v>23.329899999999999</v>
      </c>
      <c r="AA71" s="62">
        <f t="shared" si="9"/>
        <v>23.284199999999998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0"/>
        <v>0159-08</v>
      </c>
      <c r="AE71" s="85" t="str">
        <f t="shared" si="11"/>
        <v>aws s3 cp s3://rtdc.mdm.uploadarchive.raw/RTDC4009/ "%USERPROFILE%\AppData\Local\Temp\OnboardLogs"\RTDC4009\2017-03-08 --exclude "*" --recursive --include "*20170308*" &amp; "%USERPROFILE%\Documents\GitHub\mrs-test-scripts\Headless Mode &amp; Sideloading\WalkAndUnGZ.bat" "%USERPROFILE%\AppData\Local\Temp\OnboardLogs"\RTDC4009\2017-03-08 &amp; aws s3 cp s3://rtdc.mdm.uploadarchive.raw/RTDC4009/ "%USERPROFILE%\AppData\Local\Temp\OnboardLogs"\RTDC4009\2017-03-09 --exclude "*" --recursive --include "*20170309*" &amp; "%USERPROFILE%\Documents\GitHub\mrs-test-scripts\Headless Mode &amp; Sideloading\WalkAndUnGZ.bat" "%USERPROFILE%\AppData\Local\Temp\OnboardLogs"\RTDC4009\2017-03-09</v>
      </c>
      <c r="AF71" s="82" t="str">
        <f t="shared" si="12"/>
        <v>"C:\Program Files (x86)\AstroGrep\AstroGrep.exe" /e /r /s /spath="%USERPROFILE%\AppData\Local\Temp\OnboardLogs" /stypes="app*4009*20170308*" /stext=" 18:.+((SYSTEM_STATE.+slice.+state.+changed )|(ment ac)|(multiple cpu faults)|(system.+state.+changed )|(\[timeout)|(PRM\|1\|D)|(kpr)|(kdp)|(\|lc)|(penalty))"</v>
      </c>
      <c r="AG71" s="1" t="str">
        <f t="shared" si="13"/>
        <v>EC</v>
      </c>
      <c r="AH71" s="86" t="str">
        <f t="shared" si="21"/>
        <v>"%USERPROFILE%\Documents\GitHub\eaglep3\Utilities\RefineRTDCRunTimes.py" --tripid 159-08 --locoid 4009 --swversion DE.1.0.9.0 --startMP 204:457 --initTime 2017-03-08T10:53:18 --startdatetime 2017-03-08T11:00:15 --delay 1 --endMP 204:233299 --enddatetime 2017-03-08T11:38:26 --enforcementcount 0 &gt;&gt;C:\Users\stu\Documents\GitHub\eaglep3-reporting\EC\2017-03-08-refined-times.txt</v>
      </c>
      <c r="AI71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{"issue":{"subject":"","project_id":79,"tracker_id":40,"status_id":1,"priority_id":2,"assigned_to_id":23,"start_date":"2017-03-08","description":"","custom_fields":[{"id":1,"name":"Subdivision","value":"EC"},{"id":4,"name":"Milepost","value":"23.3299"},{"id":17,"name":"Train ID","value":"159-08"},{"id":16,"name":"Locomotive ID","value":"4009"},{"id":130,"name":"Impact","value":""},{"id":150,"name":"Time of Event (Mountain Time)","value":"11:38:26"},{"id":151,"name":"Denver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3"/>
        <v>start /low /b %USERPROFILE%\Documents\GitHub\eaglep3\Utilities\DownloadLogsFromS3.py --loco 4009 --day 2017-03-08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"%USERPROFILE%\AppData\Local\Temp\OnboardLogs"\RTDC4009\*4009*20170308* | grep -SE "(Enforcement Action)|(\[TIMEOUT)|(CHR.+\|PRM\|1\|D.+(SWITCH|SIGNAL).+UNKNOWN)" - &gt;&gt; 2017-03-08-UncaughtWiMAX.txt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698</v>
      </c>
      <c r="B72" s="7">
        <v>4010</v>
      </c>
      <c r="C72" s="21" t="s">
        <v>242</v>
      </c>
      <c r="D72" s="21" t="s">
        <v>464</v>
      </c>
      <c r="E72" s="13">
        <v>42802.493171296293</v>
      </c>
      <c r="F72" s="13">
        <v>42802.497395833336</v>
      </c>
      <c r="G72" s="7">
        <v>1</v>
      </c>
      <c r="H72" s="21" t="s">
        <v>855</v>
      </c>
      <c r="I72" s="13">
        <v>42802.526076388887</v>
      </c>
      <c r="J72" s="7">
        <v>0</v>
      </c>
      <c r="K72" s="98" t="str">
        <f t="shared" si="0"/>
        <v>4009/4010</v>
      </c>
      <c r="L72" s="21" t="str">
        <f>VLOOKUP(A72,'Trips&amp;Operators'!$C$1:$G$99999,5,FALSE)</f>
        <v>CLARK KATHLEEN</v>
      </c>
      <c r="M72" s="6">
        <f t="shared" si="1"/>
        <v>2.8680555551545694E-2</v>
      </c>
      <c r="N72" s="7">
        <f t="shared" si="27"/>
        <v>41.2999999942258</v>
      </c>
      <c r="O72" s="7"/>
      <c r="P72" s="7"/>
      <c r="Q72" s="22"/>
      <c r="R72" s="22"/>
      <c r="S72" s="31">
        <f t="shared" si="26"/>
        <v>1</v>
      </c>
      <c r="T72" s="46" t="str">
        <f t="shared" si="3"/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4"/>
        <v>https://d0f6bd738d7f1b3e5a7ca70fe4ff75f0.us-east-1.aws.found.io/app/kibana#/discover/Steve-Slow-Train-Analysis-(2080s-and-2083s)?_g=(refreshInterval:(display:Off,pause:!f,section:0,value:0),time:(from:'2017-03-08T10:50:10-0700',mode:absolute,to:'2017-03-08T13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2" s="187" t="str">
        <f t="shared" si="5"/>
        <v>N</v>
      </c>
      <c r="X72" s="187">
        <f t="shared" si="28"/>
        <v>1</v>
      </c>
      <c r="Y72" s="62">
        <f t="shared" si="7"/>
        <v>23.297999999999998</v>
      </c>
      <c r="Z72" s="62">
        <f t="shared" si="8"/>
        <v>1.89E-2</v>
      </c>
      <c r="AA72" s="62">
        <f t="shared" si="9"/>
        <v>23.2791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0"/>
        <v>0160-08</v>
      </c>
      <c r="AE72" s="85" t="str">
        <f t="shared" si="11"/>
        <v>aws s3 cp s3://rtdc.mdm.uploadarchive.raw/RTDC4010/ "%USERPROFILE%\AppData\Local\Temp\OnboardLogs"\RTDC4010\2017-03-08 --exclude "*" --recursive --include "*20170308*" &amp; "%USERPROFILE%\Documents\GitHub\mrs-test-scripts\Headless Mode &amp; Sideloading\WalkAndUnGZ.bat" "%USERPROFILE%\AppData\Local\Temp\OnboardLogs"\RTDC4010\2017-03-08 &amp; aws s3 cp s3://rtdc.mdm.uploadarchive.raw/RTDC4010/ "%USERPROFILE%\AppData\Local\Temp\OnboardLogs"\RTDC4010\2017-03-09 --exclude "*" --recursive --include "*20170309*" &amp; "%USERPROFILE%\Documents\GitHub\mrs-test-scripts\Headless Mode &amp; Sideloading\WalkAndUnGZ.bat" "%USERPROFILE%\AppData\Local\Temp\OnboardLogs"\RTDC4010\2017-03-09</v>
      </c>
      <c r="AF72" s="82" t="str">
        <f t="shared" si="12"/>
        <v>"C:\Program Files (x86)\AstroGrep\AstroGrep.exe" /e /r /s /spath="%USERPROFILE%\AppData\Local\Temp\OnboardLogs" /stypes="app*4010*20170308*" /stext=" 19:.+((SYSTEM_STATE.+slice.+state.+changed )|(ment ac)|(multiple cpu faults)|(system.+state.+changed )|(\[timeout)|(PRM\|1\|D)|(kpr)|(kdp)|(\|lc)|(penalty))"</v>
      </c>
      <c r="AG72" s="1" t="str">
        <f t="shared" si="13"/>
        <v>EC</v>
      </c>
      <c r="AH72" s="86" t="str">
        <f t="shared" si="21"/>
        <v>"%USERPROFILE%\Documents\GitHub\eaglep3\Utilities\RefineRTDCRunTimes.py" --tripid 160-08 --locoid 4010 --swversion DE.1.0.9.0 --startMP 204:232980 --initTime 2017-03-08T11:50:10 --startdatetime 2017-03-08T11:56:15 --delay 1 --endMP 204:189 --enddatetime 2017-03-08T12:37:33 --enforcementcount 0 &gt;&gt;C:\Users\stu\Documents\GitHub\eaglep3-reporting\EC\2017-03-08-refined-times.txt</v>
      </c>
      <c r="AI72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{"issue":{"subject":"","project_id":79,"tracker_id":40,"status_id":1,"priority_id":2,"assigned_to_id":23,"start_date":"2017-03-08","description":"","custom_fields":[{"id":1,"name":"Subdivision","value":"EC"},{"id":4,"name":"Milepost","value":"0.0189"},{"id":17,"name":"Train ID","value":"160-08"},{"id":16,"name":"Locomotive ID","value":"4010"},{"id":130,"name":"Impact","value":""},{"id":150,"name":"Time of Event (Mountain Time)","value":"12:37:33"},{"id":151,"name":"Denver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3"/>
        <v>start /low /b %USERPROFILE%\Documents\GitHub\eaglep3\Utilities\DownloadLogsFromS3.py --loco 4010 --day 2017-03-08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"%USERPROFILE%\AppData\Local\Temp\OnboardLogs"\RTDC4010\*4010*20170308* | grep -SE "(Enforcement Action)|(\[TIMEOUT)|(CHR.+\|PRM\|1\|D.+(SWITCH|SIGNAL).+UNKNOWN)" - &gt;&gt; 2017-03-08-UncaughtWiMAX.txt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687</v>
      </c>
      <c r="B73" s="7">
        <v>4016</v>
      </c>
      <c r="C73" s="21" t="s">
        <v>242</v>
      </c>
      <c r="D73" s="21" t="s">
        <v>223</v>
      </c>
      <c r="E73" s="13">
        <v>42802.464166666665</v>
      </c>
      <c r="F73" s="13">
        <v>42802.469085648147</v>
      </c>
      <c r="G73" s="7">
        <v>1</v>
      </c>
      <c r="H73" s="21" t="s">
        <v>507</v>
      </c>
      <c r="I73" s="13">
        <v>42802.496527777781</v>
      </c>
      <c r="J73" s="7">
        <v>0</v>
      </c>
      <c r="K73" s="98" t="str">
        <f t="shared" si="0"/>
        <v>4015/4016</v>
      </c>
      <c r="L73" s="21" t="str">
        <f>VLOOKUP(A73,'Trips&amp;Operators'!$C$1:$G$99999,5,FALSE)</f>
        <v>DAVIS MICHAEL</v>
      </c>
      <c r="M73" s="6">
        <f t="shared" si="1"/>
        <v>2.7442129634437151E-2</v>
      </c>
      <c r="N73" s="7">
        <f t="shared" si="27"/>
        <v>39.516666673589498</v>
      </c>
      <c r="O73" s="7"/>
      <c r="P73" s="7"/>
      <c r="Q73" s="22"/>
      <c r="R73" s="22"/>
      <c r="S73" s="31">
        <f t="shared" si="26"/>
        <v>1</v>
      </c>
      <c r="T73" s="46" t="str">
        <f t="shared" si="3"/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4"/>
        <v>https://d0f6bd738d7f1b3e5a7ca70fe4ff75f0.us-east-1.aws.found.io/app/kibana#/discover/Steve-Slow-Train-Analysis-(2080s-and-2083s)?_g=(refreshInterval:(display:Off,pause:!f,section:0,value:0),time:(from:'2017-03-08T10:08:24-0700',mode:absolute,to:'2017-03-08T12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3" s="187" t="str">
        <f t="shared" si="5"/>
        <v>N</v>
      </c>
      <c r="X73" s="187">
        <f t="shared" si="28"/>
        <v>1</v>
      </c>
      <c r="Y73" s="62">
        <f t="shared" si="7"/>
        <v>4.53E-2</v>
      </c>
      <c r="Z73" s="62">
        <f t="shared" si="8"/>
        <v>23.333600000000001</v>
      </c>
      <c r="AA73" s="62">
        <f t="shared" si="9"/>
        <v>23.2883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0"/>
        <v>0161-08</v>
      </c>
      <c r="AE73" s="85" t="str">
        <f t="shared" si="11"/>
        <v>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 &amp; 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</v>
      </c>
      <c r="AF73" s="82" t="str">
        <f t="shared" si="12"/>
        <v>"C:\Program Files (x86)\AstroGrep\AstroGrep.exe" /e /r /s /spath="%USERPROFILE%\AppData\Local\Temp\OnboardLogs" /stypes="app*4016*20170308*" /stext=" 18:.+((SYSTEM_STATE.+slice.+state.+changed )|(ment ac)|(multiple cpu faults)|(system.+state.+changed )|(\[timeout)|(PRM\|1\|D)|(kpr)|(kdp)|(\|lc)|(penalty))"</v>
      </c>
      <c r="AG73" s="1" t="str">
        <f t="shared" si="13"/>
        <v>EC</v>
      </c>
      <c r="AH73" s="86" t="str">
        <f t="shared" si="21"/>
        <v>"%USERPROFILE%\Documents\GitHub\eaglep3\Utilities\RefineRTDCRunTimes.py" --tripid 161-08 --locoid 4016 --swversion DE.1.0.9.0 --startMP 204:453 --initTime 2017-03-08T11:08:24 --startdatetime 2017-03-08T11:15:29 --delay 1 --endMP 204:233336 --enddatetime 2017-03-08T11:55:00 --enforcementcount 0 &gt;&gt;C:\Users\stu\Documents\GitHub\eaglep3-reporting\EC\2017-03-08-refined-times.txt</v>
      </c>
      <c r="AI73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{"issue":{"subject":"","project_id":79,"tracker_id":40,"status_id":1,"priority_id":2,"assigned_to_id":23,"start_date":"2017-03-08","description":"","custom_fields":[{"id":1,"name":"Subdivision","value":"EC"},{"id":4,"name":"Milepost","value":"23.3336"},{"id":17,"name":"Train ID","value":"161-08"},{"id":16,"name":"Locomotive ID","value":"4016"},{"id":130,"name":"Impact","value":""},{"id":150,"name":"Time of Event (Mountain Time)","value":"11:55:00"},{"id":151,"name":"Denver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3"/>
        <v>start /low /b %USERPROFILE%\Documents\GitHub\eaglep3\Utilities\DownloadLogsFromS3.py --loco 4016 --day 2017-03-08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"%USERPROFILE%\AppData\Local\Temp\OnboardLogs"\RTDC4016\*4016*20170308* | grep -SE "(Enforcement Action)|(\[TIMEOUT)|(CHR.+\|PRM\|1\|D.+(SWITCH|SIGNAL).+UNKNOWN)" - &gt;&gt; 2017-03-08-UncaughtWiMAX.txt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701</v>
      </c>
      <c r="B74" s="7">
        <v>4015</v>
      </c>
      <c r="C74" s="21" t="s">
        <v>242</v>
      </c>
      <c r="D74" s="21" t="s">
        <v>281</v>
      </c>
      <c r="E74" s="13">
        <v>42802.506307870368</v>
      </c>
      <c r="F74" s="13">
        <v>42802.508148148147</v>
      </c>
      <c r="G74" s="7">
        <v>1</v>
      </c>
      <c r="H74" s="21" t="s">
        <v>434</v>
      </c>
      <c r="I74" s="13">
        <v>42802.536851851852</v>
      </c>
      <c r="J74" s="7">
        <v>0</v>
      </c>
      <c r="K74" s="98" t="str">
        <f t="shared" si="0"/>
        <v>4015/4016</v>
      </c>
      <c r="L74" s="21" t="str">
        <f>VLOOKUP(A74,'Trips&amp;Operators'!$C$1:$G$99999,5,FALSE)</f>
        <v>DAVIS MICHAEL</v>
      </c>
      <c r="M74" s="6">
        <f t="shared" si="1"/>
        <v>2.8703703705104999E-2</v>
      </c>
      <c r="N74" s="7">
        <f t="shared" si="27"/>
        <v>41.333333335351199</v>
      </c>
      <c r="O74" s="7"/>
      <c r="P74" s="7"/>
      <c r="Q74" s="22"/>
      <c r="R74" s="22"/>
      <c r="S74" s="31">
        <f t="shared" si="26"/>
        <v>1</v>
      </c>
      <c r="T74" s="46" t="str">
        <f t="shared" si="3"/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4"/>
        <v>https://d0f6bd738d7f1b3e5a7ca70fe4ff75f0.us-east-1.aws.found.io/app/kibana#/discover/Steve-Slow-Train-Analysis-(2080s-and-2083s)?_g=(refreshInterval:(display:Off,pause:!f,section:0,value:0),time:(from:'2017-03-08T11:09:05-0700',mode:absolute,to:'2017-03-08T13:53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4" s="187" t="str">
        <f t="shared" si="5"/>
        <v>N</v>
      </c>
      <c r="X74" s="187">
        <f t="shared" si="28"/>
        <v>1</v>
      </c>
      <c r="Y74" s="62">
        <f t="shared" si="7"/>
        <v>23.299099999999999</v>
      </c>
      <c r="Z74" s="62">
        <f t="shared" si="8"/>
        <v>1.43E-2</v>
      </c>
      <c r="AA74" s="62">
        <f t="shared" si="9"/>
        <v>23.284800000000001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0"/>
        <v>0162-08</v>
      </c>
      <c r="AE74" s="85" t="str">
        <f t="shared" si="11"/>
        <v>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 &amp; 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</v>
      </c>
      <c r="AF74" s="82" t="str">
        <f t="shared" si="12"/>
        <v>"C:\Program Files (x86)\AstroGrep\AstroGrep.exe" /e /r /s /spath="%USERPROFILE%\AppData\Local\Temp\OnboardLogs" /stypes="app*4015*20170308*" /stext=" 19:.+((SYSTEM_STATE.+slice.+state.+changed )|(ment ac)|(multiple cpu faults)|(system.+state.+changed )|(\[timeout)|(PRM\|1\|D)|(kpr)|(kdp)|(\|lc)|(penalty))"</v>
      </c>
      <c r="AG74" s="1" t="str">
        <f t="shared" si="13"/>
        <v>EC</v>
      </c>
      <c r="AH74" s="86" t="str">
        <f t="shared" si="21"/>
        <v>"%USERPROFILE%\Documents\GitHub\eaglep3\Utilities\RefineRTDCRunTimes.py" --tripid 162-08 --locoid 4015 --swversion DE.1.0.9.0 --startMP 204:232991 --initTime 2017-03-08T12:09:05 --startdatetime 2017-03-08T12:11:44 --delay 1 --endMP 204:143 --enddatetime 2017-03-08T12:53:04 --enforcementcount 0 &gt;&gt;C:\Users\stu\Documents\GitHub\eaglep3-reporting\EC\2017-03-08-refined-times.txt</v>
      </c>
      <c r="AI74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{"issue":{"subject":"","project_id":79,"tracker_id":40,"status_id":1,"priority_id":2,"assigned_to_id":23,"start_date":"2017-03-08","description":"","custom_fields":[{"id":1,"name":"Subdivision","value":"EC"},{"id":4,"name":"Milepost","value":"0.0143"},{"id":17,"name":"Train ID","value":"162-08"},{"id":16,"name":"Locomotive ID","value":"4015"},{"id":130,"name":"Impact","value":""},{"id":150,"name":"Time of Event (Mountain Time)","value":"12:53:04"},{"id":151,"name":"Denver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3"/>
        <v>start /low /b %USERPROFILE%\Documents\GitHub\eaglep3\Utilities\DownloadLogsFromS3.py --loco 4015 --day 2017-03-08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"%USERPROFILE%\AppData\Local\Temp\OnboardLogs"\RTDC4015\*4015*20170308* | grep -SE "(Enforcement Action)|(\[TIMEOUT)|(CHR.+\|PRM\|1\|D.+(SWITCH|SIGNAL).+UNKNOWN)" - &gt;&gt; 2017-03-08-UncaughtWiMAX.txt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691</v>
      </c>
      <c r="B75" s="7">
        <v>4006</v>
      </c>
      <c r="C75" s="21" t="s">
        <v>242</v>
      </c>
      <c r="D75" s="21" t="s">
        <v>856</v>
      </c>
      <c r="E75" s="13">
        <v>42802.475925925923</v>
      </c>
      <c r="F75" s="13">
        <v>42802.479351851849</v>
      </c>
      <c r="G75" s="7">
        <v>1</v>
      </c>
      <c r="H75" s="21" t="s">
        <v>280</v>
      </c>
      <c r="I75" s="13">
        <v>42802.505150462966</v>
      </c>
      <c r="J75" s="7">
        <v>0</v>
      </c>
      <c r="K75" s="98" t="str">
        <f t="shared" si="0"/>
        <v>4005/4006</v>
      </c>
      <c r="L75" s="21" t="str">
        <f>VLOOKUP(A75,'Trips&amp;Operators'!$C$1:$G$99999,5,FALSE)</f>
        <v>LEVERE CRAIG</v>
      </c>
      <c r="M75" s="6">
        <f t="shared" si="1"/>
        <v>2.5798611117352266E-2</v>
      </c>
      <c r="N75" s="7">
        <f t="shared" si="27"/>
        <v>37.150000008987263</v>
      </c>
      <c r="O75" s="7"/>
      <c r="P75" s="7"/>
      <c r="Q75" s="22"/>
      <c r="R75" s="22"/>
      <c r="S75" s="31">
        <f t="shared" si="26"/>
        <v>1</v>
      </c>
      <c r="T75" s="46" t="str">
        <f t="shared" si="3"/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4"/>
        <v>https://d0f6bd738d7f1b3e5a7ca70fe4ff75f0.us-east-1.aws.found.io/app/kibana#/discover/Steve-Slow-Train-Analysis-(2080s-and-2083s)?_g=(refreshInterval:(display:Off,pause:!f,section:0,value:0),time:(from:'2017-03-08T10:25:20-0700',mode:absolute,to:'2017-03-08T13:07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5" s="187" t="str">
        <f t="shared" si="5"/>
        <v>N</v>
      </c>
      <c r="X75" s="187">
        <f t="shared" si="28"/>
        <v>1</v>
      </c>
      <c r="Y75" s="62">
        <f t="shared" si="7"/>
        <v>4.2700000000000002E-2</v>
      </c>
      <c r="Z75" s="62">
        <f t="shared" si="8"/>
        <v>23.329499999999999</v>
      </c>
      <c r="AA75" s="62">
        <f t="shared" si="9"/>
        <v>23.286799999999999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0"/>
        <v>0163-08</v>
      </c>
      <c r="AE75" s="85" t="str">
        <f t="shared" si="11"/>
        <v>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 &amp; aws s3 cp s3://rtdc.mdm.uploadarchive.raw/RTDC4006/ "%USERPROFILE%\AppData\Local\Temp\OnboardLogs"\RTDC4006\2017-03-09 --exclude "*" --recursive --include "*20170309*" &amp; "%USERPROFILE%\Documents\GitHub\mrs-test-scripts\Headless Mode &amp; Sideloading\WalkAndUnGZ.bat" "%USERPROFILE%\AppData\Local\Temp\OnboardLogs"\RTDC4006\2017-03-09</v>
      </c>
      <c r="AF75" s="82" t="str">
        <f t="shared" si="12"/>
        <v>"C:\Program Files (x86)\AstroGrep\AstroGrep.exe" /e /r /s /spath="%USERPROFILE%\AppData\Local\Temp\OnboardLogs" /stypes="app*4006*20170308*" /stext=" 19:.+((SYSTEM_STATE.+slice.+state.+changed )|(ment ac)|(multiple cpu faults)|(system.+state.+changed )|(\[timeout)|(PRM\|1\|D)|(kpr)|(kdp)|(\|lc)|(penalty))"</v>
      </c>
      <c r="AG75" s="1" t="str">
        <f t="shared" si="13"/>
        <v>EC</v>
      </c>
      <c r="AH75" s="86" t="str">
        <f t="shared" si="21"/>
        <v>"%USERPROFILE%\Documents\GitHub\eaglep3\Utilities\RefineRTDCRunTimes.py" --tripid 163-08 --locoid 4006 --swversion DE.1.0.9.0 --startMP 204:427 --initTime 2017-03-08T11:25:20 --startdatetime 2017-03-08T11:30:16 --delay 1 --endMP 204:233295 --enddatetime 2017-03-08T12:07:25 --enforcementcount 0 &gt;&gt;C:\Users\stu\Documents\GitHub\eaglep3-reporting\EC\2017-03-08-refined-times.txt</v>
      </c>
      <c r="AI75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{"issue":{"subject":"","project_id":79,"tracker_id":40,"status_id":1,"priority_id":2,"assigned_to_id":23,"start_date":"2017-03-08","description":"","custom_fields":[{"id":1,"name":"Subdivision","value":"EC"},{"id":4,"name":"Milepost","value":"23.3295"},{"id":17,"name":"Train ID","value":"163-08"},{"id":16,"name":"Locomotive ID","value":"4006"},{"id":130,"name":"Impact","value":""},{"id":150,"name":"Time of Event (Mountain Time)","value":"12:07:25"},{"id":151,"name":"Denver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3"/>
        <v>start /low /b %USERPROFILE%\Documents\GitHub\eaglep3\Utilities\DownloadLogsFromS3.py --loco 4006 --day 2017-03-08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"%USERPROFILE%\AppData\Local\Temp\OnboardLogs"\RTDC4006\*4006*20170308* | grep -SE "(Enforcement Action)|(\[TIMEOUT)|(CHR.+\|PRM\|1\|D.+(SWITCH|SIGNAL).+UNKNOWN)" - &gt;&gt; 2017-03-08-UncaughtWiMAX.txt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703</v>
      </c>
      <c r="B76" s="7">
        <v>4005</v>
      </c>
      <c r="C76" s="21" t="s">
        <v>242</v>
      </c>
      <c r="D76" s="21" t="s">
        <v>846</v>
      </c>
      <c r="E76" s="13">
        <v>42802.512916666667</v>
      </c>
      <c r="F76" s="13">
        <v>42802.518287037034</v>
      </c>
      <c r="G76" s="7">
        <v>1</v>
      </c>
      <c r="H76" s="21" t="s">
        <v>857</v>
      </c>
      <c r="I76" s="13">
        <v>42802.547314814816</v>
      </c>
      <c r="J76" s="7">
        <v>0</v>
      </c>
      <c r="K76" s="98" t="str">
        <f t="shared" si="0"/>
        <v>4005/4006</v>
      </c>
      <c r="L76" s="21" t="str">
        <f>VLOOKUP(A76,'Trips&amp;Operators'!$C$1:$G$99999,5,FALSE)</f>
        <v>LEVERE CRAIG</v>
      </c>
      <c r="M76" s="6">
        <f t="shared" si="1"/>
        <v>2.902777778217569E-2</v>
      </c>
      <c r="N76" s="7">
        <f t="shared" si="27"/>
        <v>41.800000006332994</v>
      </c>
      <c r="O76" s="7"/>
      <c r="P76" s="7"/>
      <c r="Q76" s="22"/>
      <c r="R76" s="22"/>
      <c r="S76" s="31">
        <f t="shared" si="26"/>
        <v>1</v>
      </c>
      <c r="T76" s="46" t="str">
        <f t="shared" si="3"/>
        <v>Southbound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4"/>
        <v>https://d0f6bd738d7f1b3e5a7ca70fe4ff75f0.us-east-1.aws.found.io/app/kibana#/discover/Steve-Slow-Train-Analysis-(2080s-and-2083s)?_g=(refreshInterval:(display:Off,pause:!f,section:0,value:0),time:(from:'2017-03-08T11:18:36-0700',mode:absolute,to:'2017-03-08T14:08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6" s="187" t="str">
        <f t="shared" si="5"/>
        <v>N</v>
      </c>
      <c r="X76" s="187">
        <f t="shared" si="28"/>
        <v>1</v>
      </c>
      <c r="Y76" s="62">
        <f t="shared" si="7"/>
        <v>23.298400000000001</v>
      </c>
      <c r="Z76" s="62">
        <f t="shared" si="8"/>
        <v>0.1162</v>
      </c>
      <c r="AA76" s="62">
        <f t="shared" si="9"/>
        <v>23.182200000000002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0"/>
        <v>0164-08</v>
      </c>
      <c r="AE76" s="85" t="str">
        <f t="shared" si="11"/>
        <v>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 &amp; aws s3 cp s3://rtdc.mdm.uploadarchive.raw/RTDC4005/ "%USERPROFILE%\AppData\Local\Temp\OnboardLogs"\RTDC4005\2017-03-09 --exclude "*" --recursive --include "*20170309*" &amp; "%USERPROFILE%\Documents\GitHub\mrs-test-scripts\Headless Mode &amp; Sideloading\WalkAndUnGZ.bat" "%USERPROFILE%\AppData\Local\Temp\OnboardLogs"\RTDC4005\2017-03-09</v>
      </c>
      <c r="AF76" s="82" t="str">
        <f t="shared" si="12"/>
        <v>"C:\Program Files (x86)\AstroGrep\AstroGrep.exe" /e /r /s /spath="%USERPROFILE%\AppData\Local\Temp\OnboardLogs" /stypes="app*4005*20170308*" /stext=" 20:.+((SYSTEM_STATE.+slice.+state.+changed )|(ment ac)|(multiple cpu faults)|(system.+state.+changed )|(\[timeout)|(PRM\|1\|D)|(kpr)|(kdp)|(\|lc)|(penalty))"</v>
      </c>
      <c r="AG76" s="1" t="str">
        <f t="shared" si="13"/>
        <v>EC</v>
      </c>
      <c r="AH76" s="86" t="str">
        <f t="shared" si="21"/>
        <v>"%USERPROFILE%\Documents\GitHub\eaglep3\Utilities\RefineRTDCRunTimes.py" --tripid 164-08 --locoid 4005 --swversion DE.1.0.9.0 --startMP 204:232984 --initTime 2017-03-08T12:18:36 --startdatetime 2017-03-08T12:26:20 --delay 1 --endMP 204:1162 --enddatetime 2017-03-08T13:08:08 --enforcementcount 0 &gt;&gt;C:\Users\stu\Documents\GitHub\eaglep3-reporting\EC\2017-03-08-refined-times.txt</v>
      </c>
      <c r="AI76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{"issue":{"subject":"","project_id":79,"tracker_id":40,"status_id":1,"priority_id":2,"assigned_to_id":23,"start_date":"2017-03-08","description":"","custom_fields":[{"id":1,"name":"Subdivision","value":"EC"},{"id":4,"name":"Milepost","value":"0.1162"},{"id":17,"name":"Train ID","value":"164-08"},{"id":16,"name":"Locomotive ID","value":"4005"},{"id":130,"name":"Impact","value":""},{"id":150,"name":"Time of Event (Mountain Time)","value":"13:08:08"},{"id":151,"name":"Denver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3"/>
        <v>start /low /b %USERPROFILE%\Documents\GitHub\eaglep3\Utilities\DownloadLogsFromS3.py --loco 4005 --day 2017-03-08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"%USERPROFILE%\AppData\Local\Temp\OnboardLogs"\RTDC4005\*4005*20170308* | grep -SE "(Enforcement Action)|(\[TIMEOUT)|(CHR.+\|PRM\|1\|D.+(SWITCH|SIGNAL).+UNKNOWN)" - &gt;&gt; 2017-03-08-UncaughtWiMAX.txt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693</v>
      </c>
      <c r="B77" s="7">
        <v>4029</v>
      </c>
      <c r="C77" s="21" t="s">
        <v>242</v>
      </c>
      <c r="D77" s="21" t="s">
        <v>858</v>
      </c>
      <c r="E77" s="13">
        <v>42802.485173611109</v>
      </c>
      <c r="F77" s="13">
        <v>42802.490069444444</v>
      </c>
      <c r="G77" s="7">
        <v>2</v>
      </c>
      <c r="H77" s="21" t="s">
        <v>233</v>
      </c>
      <c r="I77" s="13">
        <v>42802.515682870369</v>
      </c>
      <c r="J77" s="7">
        <v>0</v>
      </c>
      <c r="K77" s="98" t="str">
        <f t="shared" ref="K77:K140" si="29">IF(ISEVEN(B77),(B77-1)&amp;"/"&amp;B77,B77&amp;"/"&amp;(B77+1))</f>
        <v>4029/4030</v>
      </c>
      <c r="L77" s="21" t="str">
        <f>VLOOKUP(A77,'Trips&amp;Operators'!$C$1:$G$99999,5,FALSE)</f>
        <v>HELVIE ADAM</v>
      </c>
      <c r="M77" s="6">
        <f t="shared" ref="M77:M140" si="30">I77-F77</f>
        <v>2.5613425925257616E-2</v>
      </c>
      <c r="N77" s="7">
        <f t="shared" si="27"/>
        <v>36.883333332370967</v>
      </c>
      <c r="O77" s="7"/>
      <c r="P77" s="7"/>
      <c r="Q77" s="22"/>
      <c r="R77" s="22"/>
      <c r="S77" s="31">
        <f t="shared" si="26"/>
        <v>1</v>
      </c>
      <c r="T77" s="46" t="str">
        <f t="shared" ref="T77:T140" si="31">IF(ISEVEN(LEFT(AD77,4)),"Southbound","NorthBound")</f>
        <v>NorthBound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-08T10:38:39-0700',mode:absolute,to:'2017-03-08T13:22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7" s="187" t="str">
        <f t="shared" ref="W77:W140" si="33">IF(AA77&lt;IF(AG77="EC",23,5.65),"Y","N")</f>
        <v>N</v>
      </c>
      <c r="X77" s="187">
        <f t="shared" si="28"/>
        <v>1</v>
      </c>
      <c r="Y77" s="62">
        <f t="shared" ref="Y77:Y140" si="34">RIGHT(D77,LEN(D77)-4)/10000</f>
        <v>4.0599999999999997E-2</v>
      </c>
      <c r="Z77" s="62">
        <f t="shared" ref="Z77:Z140" si="35">RIGHT(H77,LEN(H77)-4)/10000</f>
        <v>23.331</v>
      </c>
      <c r="AA77" s="62">
        <f t="shared" ref="AA77:AA140" si="36">ABS(Z77-Y77)</f>
        <v>23.290399999999998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7">IF(LEN(A77)=6,"0"&amp;A77,A77)</f>
        <v>0165-08</v>
      </c>
      <c r="AE77" s="85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s3://rtdc.mdm.uploadarchive.raw/RTDC4029/ "%USERPROFILE%\AppData\Local\Temp\OnboardLogs"\RTDC4029\2017-03-08 --exclude "*" --recursive --include "*20170308*" &amp; "%USERPROFILE%\Documents\GitHub\mrs-test-scripts\Headless Mode &amp; Sideloading\WalkAndUnGZ.bat" "%USERPROFILE%\AppData\Local\Temp\OnboardLogs"\RTDC4029\2017-03-08 &amp; 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</v>
      </c>
      <c r="AF77" s="82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/stypes="app*4029*20170308*" /stext=" 19:.+((SYSTEM_STATE.+slice.+state.+changed )|(ment ac)|(multiple cpu faults)|(system.+state.+changed )|(\[timeout)|(PRM\|1\|D)|(kpr)|(kdp)|(\|lc)|(penalty))"</v>
      </c>
      <c r="AG77" s="1" t="str">
        <f t="shared" ref="AG77:AG140" si="40">IFERROR(IF(VALUE(LEFT(AD77,2))&lt;=2,"EC",IF(OR(VALUE(LEFT(AD77,2))=8,VALUE(LEFT(AD77,2))=18),"NW","Other")),"Other")</f>
        <v>EC</v>
      </c>
      <c r="AH77" s="86" t="str">
        <f t="shared" si="21"/>
        <v>"%USERPROFILE%\Documents\GitHub\eaglep3\Utilities\RefineRTDCRunTimes.py" --tripid 165-08 --locoid 4029 --swversion DE.1.0.9.0 --startMP 204:406 --initTime 2017-03-08T11:38:39 --startdatetime 2017-03-08T11:45:42 --delay 2 --endMP 204:233310 --enddatetime 2017-03-08T12:22:35 --enforcementcount 0 &gt;&gt;C:\Users\stu\Documents\GitHub\eaglep3-reporting\EC\2017-03-08-refined-times.txt</v>
      </c>
      <c r="AI77" s="108" t="str">
        <f t="shared" si="22"/>
        <v>echo {"issue":{"subject":"","project_id":79,"tracker_id":40,"status_id":1,"priority_id":2,"assigned_to_id":23,"start_date":"2017-03-08","description":"","custom_fields":[{"id":1,"name":"Subdivision","value":"EC"},{"id":4,"name":"Milepost","value":"23.331"},{"id":17,"name":"Train ID","value":"165-08"},{"id":16,"name":"Locomotive ID","value":"4029"},{"id":130,"name":"Impact","value":""},{"id":150,"name":"Time of Event (Mountain Time)","value":"12:22:35"},{"id":151,"name":"Denver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3"/>
        <v>start /low /b %USERPROFILE%\Documents\GitHub\eaglep3\Utilities\DownloadLogsFromS3.py --loco 4029 --day 2017-03-08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"%USERPROFILE%\AppData\Local\Temp\OnboardLogs"\RTDC4029\*4029*20170308* | grep -SE "(Enforcement Action)|(\[TIMEOUT)|(CHR.+\|PRM\|1\|D.+(SWITCH|SIGNAL).+UNKNOWN)" - &gt;&gt; 2017-03-08-UncaughtWiMAX.txt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707</v>
      </c>
      <c r="B78" s="7">
        <v>4030</v>
      </c>
      <c r="C78" s="21" t="s">
        <v>242</v>
      </c>
      <c r="D78" s="21" t="s">
        <v>859</v>
      </c>
      <c r="E78" s="13">
        <v>42802.538472222222</v>
      </c>
      <c r="F78" s="13">
        <v>42802.539039351854</v>
      </c>
      <c r="G78" s="7">
        <v>0</v>
      </c>
      <c r="H78" s="21" t="s">
        <v>208</v>
      </c>
      <c r="I78" s="13">
        <v>42802.558391203704</v>
      </c>
      <c r="J78" s="7">
        <v>0</v>
      </c>
      <c r="K78" s="98" t="str">
        <f t="shared" si="29"/>
        <v>4029/4030</v>
      </c>
      <c r="L78" s="21" t="str">
        <f>VLOOKUP(A78,'Trips&amp;Operators'!$C$1:$G$99999,5,FALSE)</f>
        <v>HELVIE ADAM</v>
      </c>
      <c r="M78" s="6">
        <f t="shared" si="30"/>
        <v>1.9351851849933155E-2</v>
      </c>
      <c r="N78" s="7"/>
      <c r="O78" s="7"/>
      <c r="P78" s="7">
        <f>24*60*SUM($M78:$M79)</f>
        <v>31.85000000637956</v>
      </c>
      <c r="Q78" s="22"/>
      <c r="R78" s="22" t="s">
        <v>1030</v>
      </c>
      <c r="S78" s="31">
        <f t="shared" si="26"/>
        <v>1</v>
      </c>
      <c r="T78" s="46" t="str">
        <f t="shared" si="31"/>
        <v>Southbound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32"/>
        <v>https://d0f6bd738d7f1b3e5a7ca70fe4ff75f0.us-east-1.aws.found.io/app/kibana#/discover/Steve-Slow-Train-Analysis-(2080s-and-2083s)?_g=(refreshInterval:(display:Off,pause:!f,section:0,value:0),time:(from:'2017-03-08T11:55:24-0700',mode:absolute,to:'2017-03-08T14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8" s="187" t="str">
        <f t="shared" si="33"/>
        <v>Y</v>
      </c>
      <c r="X78" s="187">
        <f t="shared" si="28"/>
        <v>1</v>
      </c>
      <c r="Y78" s="62">
        <f t="shared" si="34"/>
        <v>12.786300000000001</v>
      </c>
      <c r="Z78" s="62">
        <f t="shared" si="35"/>
        <v>1.54E-2</v>
      </c>
      <c r="AA78" s="62">
        <f t="shared" si="36"/>
        <v>12.770900000000001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7"/>
        <v>0166-08</v>
      </c>
      <c r="AE78" s="85" t="str">
        <f t="shared" si="38"/>
        <v>aws s3 cp s3://rtdc.mdm.uploadarchive.raw/RTDC4030/ "%USERPROFILE%\AppData\Local\Temp\OnboardLogs"\RTDC4030\2017-03-08 --exclude "*" --recursive --include "*20170308*" &amp; "%USERPROFILE%\Documents\GitHub\mrs-test-scripts\Headless Mode &amp; Sideloading\WalkAndUnGZ.bat" "%USERPROFILE%\AppData\Local\Temp\OnboardLogs"\RTDC4030\2017-03-08 &amp; 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</v>
      </c>
      <c r="AF78" s="82" t="str">
        <f t="shared" si="39"/>
        <v>"C:\Program Files (x86)\AstroGrep\AstroGrep.exe" /e /r /s /spath="%USERPROFILE%\AppData\Local\Temp\OnboardLogs" /stypes="app*4030*20170308*" /stext=" 20:.+((SYSTEM_STATE.+slice.+state.+changed )|(ment ac)|(multiple cpu faults)|(system.+state.+changed )|(\[timeout)|(PRM\|1\|D)|(kpr)|(kdp)|(\|lc)|(penalty))"</v>
      </c>
      <c r="AG78" s="1" t="str">
        <f t="shared" si="40"/>
        <v>EC</v>
      </c>
      <c r="AH78" s="86" t="str">
        <f t="shared" ref="AH78:AH141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166-08 --locoid 4030 --swversion DE.1.0.9.0 --startMP 204:127863 --initTime 2017-03-08T12:55:24 --startdatetime 2017-03-08T12:56:13 --delay 0 --endMP 204:154 --enddatetime 2017-03-08T13:24:05 --enforcementcount 0 &gt;&gt;C:\Users\stu\Documents\GitHub\eaglep3-reporting\EC\2017-03-08-refined-times.txt</v>
      </c>
      <c r="AI78" s="108" t="str">
        <f t="shared" ref="AI78:AI141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{"issue":{"subject":"Selected wrong track (chose Main 1, train was on Main 2)","project_id":79,"tracker_id":40,"status_id":1,"priority_id":2,"assigned_to_id":23,"start_date":"2017-03-08","description":"","custom_fields":[{"id":1,"name":"Subdivision","value":"EC"},{"id":4,"name":"Milepost","value":"0.0154"},{"id":17,"name":"Train ID","value":"166-08"},{"id":16,"name":"Locomotive ID","value":"4030"},{"id":130,"name":"Impact","value":""},{"id":150,"name":"Time of Event (Mountain Time)","value":"13:24:05"},{"id":151,"name":"Denver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43">"start /low /b "&amp;dls3logs&amp;" --loco "&amp;B78&amp;" --day "&amp;TEXT(F78,"YYYY-MM-DD")</f>
        <v>start /low /b %USERPROFILE%\Documents\GitHub\eaglep3\Utilities\DownloadLogsFromS3.py --loco 4030 --day 2017-03-08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"%USERPROFILE%\AppData\Local\Temp\OnboardLogs"\RTDC4030\*4030*20170308* | grep -SE "(Enforcement Action)|(\[TIMEOUT)|(CHR.+\|PRM\|1\|D.+(SWITCH|SIGNAL).+UNKNOWN)" - &gt;&gt; 2017-03-08-UncaughtWiMAX.txt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707</v>
      </c>
      <c r="B79" s="7">
        <v>4030</v>
      </c>
      <c r="C79" s="21" t="s">
        <v>242</v>
      </c>
      <c r="D79" s="21" t="s">
        <v>495</v>
      </c>
      <c r="E79" s="13">
        <v>42802.525023148148</v>
      </c>
      <c r="F79" s="13">
        <v>42802.526597222219</v>
      </c>
      <c r="G79" s="7">
        <v>2</v>
      </c>
      <c r="H79" s="21" t="s">
        <v>860</v>
      </c>
      <c r="I79" s="13">
        <v>42802.529363425929</v>
      </c>
      <c r="J79" s="7">
        <v>0</v>
      </c>
      <c r="K79" s="98" t="str">
        <f t="shared" si="29"/>
        <v>4029/4030</v>
      </c>
      <c r="L79" s="21" t="str">
        <f>VLOOKUP(A79,'Trips&amp;Operators'!$C$1:$G$99999,5,FALSE)</f>
        <v>HELVIE ADAM</v>
      </c>
      <c r="M79" s="6">
        <f t="shared" si="30"/>
        <v>2.7662037100526504E-3</v>
      </c>
      <c r="N79" s="7"/>
      <c r="O79" s="7"/>
      <c r="P79" s="7"/>
      <c r="Q79" s="22"/>
      <c r="R79" s="22"/>
      <c r="S79" s="31"/>
      <c r="T79" s="46" t="str">
        <f t="shared" si="31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0</v>
      </c>
      <c r="V79" s="186" t="str">
        <f t="shared" si="32"/>
        <v>https://d0f6bd738d7f1b3e5a7ca70fe4ff75f0.us-east-1.aws.found.io/app/kibana#/discover/Steve-Slow-Train-Analysis-(2080s-and-2083s)?_g=(refreshInterval:(display:Off,pause:!f,section:0,value:0),time:(from:'2017-03-08T11:36:02-0700',mode:absolute,to:'2017-03-08T13:42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9" s="187" t="str">
        <f t="shared" si="33"/>
        <v>Y</v>
      </c>
      <c r="X79" s="187">
        <f t="shared" si="28"/>
        <v>0</v>
      </c>
      <c r="Y79" s="62">
        <f t="shared" si="34"/>
        <v>23.296500000000002</v>
      </c>
      <c r="Z79" s="62">
        <f t="shared" si="35"/>
        <v>23.187999999999999</v>
      </c>
      <c r="AA79" s="62">
        <f t="shared" si="36"/>
        <v>0.10850000000000293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7"/>
        <v>0166-08</v>
      </c>
      <c r="AE79" s="85" t="str">
        <f t="shared" si="38"/>
        <v>aws s3 cp s3://rtdc.mdm.uploadarchive.raw/RTDC4030/ "%USERPROFILE%\AppData\Local\Temp\OnboardLogs"\RTDC4030\2017-03-08 --exclude "*" --recursive --include "*20170308*" &amp; "%USERPROFILE%\Documents\GitHub\mrs-test-scripts\Headless Mode &amp; Sideloading\WalkAndUnGZ.bat" "%USERPROFILE%\AppData\Local\Temp\OnboardLogs"\RTDC4030\2017-03-08 &amp; 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</v>
      </c>
      <c r="AF79" s="82" t="str">
        <f t="shared" si="39"/>
        <v>"C:\Program Files (x86)\AstroGrep\AstroGrep.exe" /e /r /s /spath="%USERPROFILE%\AppData\Local\Temp\OnboardLogs" /stypes="app*4030*20170308*" /stext=" 19:.+((SYSTEM_STATE.+slice.+state.+changed )|(ment ac)|(multiple cpu faults)|(system.+state.+changed )|(\[timeout)|(PRM\|1\|D)|(kpr)|(kdp)|(\|lc)|(penalty))"</v>
      </c>
      <c r="AG79" s="1" t="str">
        <f t="shared" si="40"/>
        <v>EC</v>
      </c>
      <c r="AH79" s="86" t="str">
        <f t="shared" si="41"/>
        <v>"%USERPROFILE%\Documents\GitHub\eaglep3\Utilities\RefineRTDCRunTimes.py" --tripid 166-08 --locoid 4030 --swversion DE.1.0.9.0 --startMP 204:232965 --initTime 2017-03-08T12:36:02 --startdatetime 2017-03-08T12:38:18 --delay 2 --endMP 204:231880 --enddatetime 2017-03-08T12:42:17 --enforcementcount 0 &gt;&gt;C:\Users\stu\Documents\GitHub\eaglep3-reporting\EC\2017-03-08-refined-times.txt</v>
      </c>
      <c r="AI79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{"issue":{"subject":"","project_id":79,"tracker_id":40,"status_id":1,"priority_id":2,"assigned_to_id":23,"start_date":"2017-03-08","description":"","custom_fields":[{"id":1,"name":"Subdivision","value":"EC"},{"id":4,"name":"Milepost","value":"23.188"},{"id":17,"name":"Train ID","value":"166-08"},{"id":16,"name":"Locomotive ID","value":"4030"},{"id":130,"name":"Impact","value":""},{"id":150,"name":"Time of Event (Mountain Time)","value":"12:42:17"},{"id":151,"name":"Denver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3"/>
        <v>start /low /b %USERPROFILE%\Documents\GitHub\eaglep3\Utilities\DownloadLogsFromS3.py --loco 4030 --day 2017-03-08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"%USERPROFILE%\AppData\Local\Temp\OnboardLogs"\RTDC4030\*4030*20170308* | grep -SE "(Enforcement Action)|(\[TIMEOUT)|(CHR.+\|PRM\|1\|D.+(SWITCH|SIGNAL).+UNKNOWN)" - &gt;&gt; 2017-03-08-UncaughtWiMAX.txt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x14ac:dyDescent="0.25">
      <c r="A80" s="33" t="s">
        <v>699</v>
      </c>
      <c r="B80" s="7">
        <v>4003</v>
      </c>
      <c r="C80" s="21" t="s">
        <v>242</v>
      </c>
      <c r="D80" s="21" t="s">
        <v>833</v>
      </c>
      <c r="E80" s="13">
        <v>42802.49659722222</v>
      </c>
      <c r="F80" s="13">
        <v>42802.500428240739</v>
      </c>
      <c r="G80" s="7">
        <v>1</v>
      </c>
      <c r="H80" s="21" t="s">
        <v>861</v>
      </c>
      <c r="I80" s="13">
        <v>42802.525451388887</v>
      </c>
      <c r="J80" s="7">
        <v>0</v>
      </c>
      <c r="K80" s="98" t="str">
        <f t="shared" si="29"/>
        <v>4003/4004</v>
      </c>
      <c r="L80" s="21" t="str">
        <f>VLOOKUP(A80,'Trips&amp;Operators'!$C$1:$G$99999,5,FALSE)</f>
        <v>LOCKLEAR TRAVIS</v>
      </c>
      <c r="M80" s="6">
        <f t="shared" si="30"/>
        <v>2.5023148147738539E-2</v>
      </c>
      <c r="N80" s="7">
        <f t="shared" ref="N80:N108" si="44">24*60*SUM($M80:$M80)</f>
        <v>36.033333332743496</v>
      </c>
      <c r="O80" s="7"/>
      <c r="P80" s="7"/>
      <c r="Q80" s="22"/>
      <c r="R80" s="22"/>
      <c r="S80" s="31">
        <f t="shared" ref="S80:S111" si="45">SUM(U80:U80)/IF(AG80="EC",12,1)</f>
        <v>1</v>
      </c>
      <c r="T80" s="46" t="str">
        <f t="shared" si="31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32"/>
        <v>https://d0f6bd738d7f1b3e5a7ca70fe4ff75f0.us-east-1.aws.found.io/app/kibana#/discover/Steve-Slow-Train-Analysis-(2080s-and-2083s)?_g=(refreshInterval:(display:Off,pause:!f,section:0,value:0),time:(from:'2017-03-08T10:55:06-0700',mode:absolute,to:'2017-03-08T13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0" s="187" t="str">
        <f t="shared" si="33"/>
        <v>N</v>
      </c>
      <c r="X80" s="187">
        <f t="shared" si="28"/>
        <v>1</v>
      </c>
      <c r="Y80" s="62">
        <f t="shared" si="34"/>
        <v>4.6399999999999997E-2</v>
      </c>
      <c r="Z80" s="62">
        <f t="shared" si="35"/>
        <v>23.335100000000001</v>
      </c>
      <c r="AA80" s="62">
        <f t="shared" si="36"/>
        <v>23.288700000000002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7"/>
        <v>0167-08</v>
      </c>
      <c r="AE80" s="85" t="str">
        <f t="shared" si="38"/>
        <v>aws s3 cp s3://rtdc.mdm.uploadarchive.raw/RTDC4003/ "%USERPROFILE%\AppData\Local\Temp\OnboardLogs"\RTDC4003\2017-03-08 --exclude "*" --recursive --include "*20170308*" &amp; "%USERPROFILE%\Documents\GitHub\mrs-test-scripts\Headless Mode &amp; Sideloading\WalkAndUnGZ.bat" "%USERPROFILE%\AppData\Local\Temp\OnboardLogs"\RTDC4003\2017-03-08 &amp; 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</v>
      </c>
      <c r="AF80" s="82" t="str">
        <f t="shared" si="39"/>
        <v>"C:\Program Files (x86)\AstroGrep\AstroGrep.exe" /e /r /s /spath="%USERPROFILE%\AppData\Local\Temp\OnboardLogs" /stypes="app*4003*20170308*" /stext=" 19:.+((SYSTEM_STATE.+slice.+state.+changed )|(ment ac)|(multiple cpu faults)|(system.+state.+changed )|(\[timeout)|(PRM\|1\|D)|(kpr)|(kdp)|(\|lc)|(penalty))"</v>
      </c>
      <c r="AG80" s="1" t="str">
        <f t="shared" si="40"/>
        <v>EC</v>
      </c>
      <c r="AH80" s="86" t="str">
        <f t="shared" si="41"/>
        <v>"%USERPROFILE%\Documents\GitHub\eaglep3\Utilities\RefineRTDCRunTimes.py" --tripid 167-08 --locoid 4003 --swversion DE.1.0.9.0 --startMP 204:464 --initTime 2017-03-08T11:55:06 --startdatetime 2017-03-08T12:00:37 --delay 1 --endMP 204:233351 --enddatetime 2017-03-08T12:36:39 --enforcementcount 0 &gt;&gt;C:\Users\stu\Documents\GitHub\eaglep3-reporting\EC\2017-03-08-refined-times.txt</v>
      </c>
      <c r="AI80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{"issue":{"subject":"","project_id":79,"tracker_id":40,"status_id":1,"priority_id":2,"assigned_to_id":23,"start_date":"2017-03-08","description":"","custom_fields":[{"id":1,"name":"Subdivision","value":"EC"},{"id":4,"name":"Milepost","value":"23.3351"},{"id":17,"name":"Train ID","value":"167-08"},{"id":16,"name":"Locomotive ID","value":"4003"},{"id":130,"name":"Impact","value":""},{"id":150,"name":"Time of Event (Mountain Time)","value":"12:36:39"},{"id":151,"name":"Denver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3"/>
        <v>start /low /b %USERPROFILE%\Documents\GitHub\eaglep3\Utilities\DownloadLogsFromS3.py --loco 4003 --day 2017-03-08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"%USERPROFILE%\AppData\Local\Temp\OnboardLogs"\RTDC4003\*4003*20170308* | grep -SE "(Enforcement Action)|(\[TIMEOUT)|(CHR.+\|PRM\|1\|D.+(SWITCH|SIGNAL).+UNKNOWN)" - &gt;&gt; 2017-03-08-UncaughtWiMAX.txt</v>
      </c>
    </row>
    <row r="81" spans="1:91" s="20" customFormat="1" x14ac:dyDescent="0.25">
      <c r="A81" s="33" t="s">
        <v>583</v>
      </c>
      <c r="B81" s="7">
        <v>4004</v>
      </c>
      <c r="C81" s="21" t="s">
        <v>242</v>
      </c>
      <c r="D81" s="21" t="s">
        <v>503</v>
      </c>
      <c r="E81" s="13">
        <v>42802.537060185183</v>
      </c>
      <c r="F81" s="13">
        <v>42802.539050925923</v>
      </c>
      <c r="G81" s="7">
        <v>1</v>
      </c>
      <c r="H81" s="21" t="s">
        <v>275</v>
      </c>
      <c r="I81" s="13">
        <v>42802.568113425928</v>
      </c>
      <c r="J81" s="7">
        <v>0</v>
      </c>
      <c r="K81" s="98" t="str">
        <f t="shared" si="29"/>
        <v>4003/4004</v>
      </c>
      <c r="L81" s="21" t="str">
        <f>VLOOKUP(A81,'Trips&amp;Operators'!$C$1:$G$99999,5,FALSE)</f>
        <v>LOCKLEAR TRAVIS</v>
      </c>
      <c r="M81" s="6">
        <f t="shared" si="30"/>
        <v>2.9062500005238689E-2</v>
      </c>
      <c r="N81" s="7">
        <f t="shared" si="44"/>
        <v>41.850000007543713</v>
      </c>
      <c r="O81" s="7"/>
      <c r="P81" s="7"/>
      <c r="Q81" s="22"/>
      <c r="R81" s="22"/>
      <c r="S81" s="31">
        <f t="shared" si="45"/>
        <v>1</v>
      </c>
      <c r="T81" s="46" t="str">
        <f t="shared" si="31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32"/>
        <v>https://d0f6bd738d7f1b3e5a7ca70fe4ff75f0.us-east-1.aws.found.io/app/kibana#/discover/Steve-Slow-Train-Analysis-(2080s-and-2083s)?_g=(refreshInterval:(display:Off,pause:!f,section:0,value:0),time:(from:'2017-03-08T11:53:22-0700',mode:absolute,to:'2017-03-08T14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1" s="187" t="str">
        <f t="shared" si="33"/>
        <v>N</v>
      </c>
      <c r="X81" s="187">
        <f t="shared" si="28"/>
        <v>1</v>
      </c>
      <c r="Y81" s="62">
        <f t="shared" si="34"/>
        <v>23.3019</v>
      </c>
      <c r="Z81" s="62">
        <f t="shared" si="35"/>
        <v>1.61E-2</v>
      </c>
      <c r="AA81" s="62">
        <f t="shared" si="36"/>
        <v>23.285799999999998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7"/>
        <v>0168-08</v>
      </c>
      <c r="AE81" s="85" t="str">
        <f t="shared" si="38"/>
        <v>aws s3 cp s3://rtdc.mdm.uploadarchive.raw/RTDC4004/ "%USERPROFILE%\AppData\Local\Temp\OnboardLogs"\RTDC4004\2017-03-08 --exclude "*" --recursive --include "*20170308*" &amp; "%USERPROFILE%\Documents\GitHub\mrs-test-scripts\Headless Mode &amp; Sideloading\WalkAndUnGZ.bat" "%USERPROFILE%\AppData\Local\Temp\OnboardLogs"\RTDC4004\2017-03-08 &amp; 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</v>
      </c>
      <c r="AF81" s="82" t="str">
        <f t="shared" si="39"/>
        <v>"C:\Program Files (x86)\AstroGrep\AstroGrep.exe" /e /r /s /spath="%USERPROFILE%\AppData\Local\Temp\OnboardLogs" /stypes="app*4004*20170308*" /stext=" 20:.+((SYSTEM_STATE.+slice.+state.+changed )|(ment ac)|(multiple cpu faults)|(system.+state.+changed )|(\[timeout)|(PRM\|1\|D)|(kpr)|(kdp)|(\|lc)|(penalty))"</v>
      </c>
      <c r="AG81" s="1" t="str">
        <f t="shared" si="40"/>
        <v>EC</v>
      </c>
      <c r="AH81" s="86" t="str">
        <f t="shared" si="41"/>
        <v>"%USERPROFILE%\Documents\GitHub\eaglep3\Utilities\RefineRTDCRunTimes.py" --tripid 168-08 --locoid 4004 --swversion DE.1.0.9.0 --startMP 204:233019 --initTime 2017-03-08T12:53:22 --startdatetime 2017-03-08T12:56:14 --delay 1 --endMP 204:161 --enddatetime 2017-03-08T13:38:05 --enforcementcount 0 &gt;&gt;C:\Users\stu\Documents\GitHub\eaglep3-reporting\EC\2017-03-08-refined-times.txt</v>
      </c>
      <c r="AI81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{"issue":{"subject":"","project_id":79,"tracker_id":40,"status_id":1,"priority_id":2,"assigned_to_id":23,"start_date":"2017-03-08","description":"","custom_fields":[{"id":1,"name":"Subdivision","value":"EC"},{"id":4,"name":"Milepost","value":"0.0161"},{"id":17,"name":"Train ID","value":"168-08"},{"id":16,"name":"Locomotive ID","value":"4004"},{"id":130,"name":"Impact","value":""},{"id":150,"name":"Time of Event (Mountain Time)","value":"13:38:05"},{"id":151,"name":"Denver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3"/>
        <v>start /low /b %USERPROFILE%\Documents\GitHub\eaglep3\Utilities\DownloadLogsFromS3.py --loco 4004 --day 2017-03-08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"%USERPROFILE%\AppData\Local\Temp\OnboardLogs"\RTDC4004\*4004*20170308* | grep -SE "(Enforcement Action)|(\[TIMEOUT)|(CHR.+\|PRM\|1\|D.+(SWITCH|SIGNAL).+UNKNOWN)" - &gt;&gt; 2017-03-08-UncaughtWiMAX.txt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702</v>
      </c>
      <c r="B82" s="7">
        <v>4031</v>
      </c>
      <c r="C82" s="21" t="s">
        <v>242</v>
      </c>
      <c r="D82" s="21" t="s">
        <v>282</v>
      </c>
      <c r="E82" s="13">
        <v>42802.507581018515</v>
      </c>
      <c r="F82" s="13">
        <v>42802.510601851849</v>
      </c>
      <c r="G82" s="7">
        <v>2</v>
      </c>
      <c r="H82" s="21" t="s">
        <v>862</v>
      </c>
      <c r="I82" s="13">
        <v>42802.53565972222</v>
      </c>
      <c r="J82" s="7">
        <v>0</v>
      </c>
      <c r="K82" s="98" t="str">
        <f t="shared" si="29"/>
        <v>4031/4032</v>
      </c>
      <c r="L82" s="21" t="str">
        <f>VLOOKUP(A82,'Trips&amp;Operators'!$C$1:$G$99999,5,FALSE)</f>
        <v>LEVIN SCOTT</v>
      </c>
      <c r="M82" s="6">
        <f t="shared" si="30"/>
        <v>2.5057870370801538E-2</v>
      </c>
      <c r="N82" s="7">
        <f t="shared" si="44"/>
        <v>36.083333333954215</v>
      </c>
      <c r="O82" s="7"/>
      <c r="P82" s="7"/>
      <c r="Q82" s="22"/>
      <c r="R82" s="22"/>
      <c r="S82" s="31">
        <f t="shared" si="45"/>
        <v>1</v>
      </c>
      <c r="T82" s="46" t="str">
        <f t="shared" si="31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32"/>
        <v>https://d0f6bd738d7f1b3e5a7ca70fe4ff75f0.us-east-1.aws.found.io/app/kibana#/discover/Steve-Slow-Train-Analysis-(2080s-and-2083s)?_g=(refreshInterval:(display:Off,pause:!f,section:0,value:0),time:(from:'2017-03-08T11:10:55-0700',mode:absolute,to:'2017-03-08T13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2" s="187" t="str">
        <f t="shared" si="33"/>
        <v>N</v>
      </c>
      <c r="X82" s="187">
        <f t="shared" si="28"/>
        <v>1</v>
      </c>
      <c r="Y82" s="62">
        <f t="shared" si="34"/>
        <v>4.4900000000000002E-2</v>
      </c>
      <c r="Z82" s="62">
        <f t="shared" si="35"/>
        <v>23.337399999999999</v>
      </c>
      <c r="AA82" s="62">
        <f t="shared" si="36"/>
        <v>23.2925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7"/>
        <v>0169-08</v>
      </c>
      <c r="AE82" s="85" t="str">
        <f t="shared" si="38"/>
        <v>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 &amp; aws s3 cp s3://rtdc.mdm.uploadarchive.raw/RTDC4031/ "%USERPROFILE%\AppData\Local\Temp\OnboardLogs"\RTDC4031\2017-03-09 --exclude "*" --recursive --include "*20170309*" &amp; "%USERPROFILE%\Documents\GitHub\mrs-test-scripts\Headless Mode &amp; Sideloading\WalkAndUnGZ.bat" "%USERPROFILE%\AppData\Local\Temp\OnboardLogs"\RTDC4031\2017-03-09</v>
      </c>
      <c r="AF82" s="82" t="str">
        <f t="shared" si="39"/>
        <v>"C:\Program Files (x86)\AstroGrep\AstroGrep.exe" /e /r /s /spath="%USERPROFILE%\AppData\Local\Temp\OnboardLogs" /stypes="app*4031*20170308*" /stext=" 19:.+((SYSTEM_STATE.+slice.+state.+changed )|(ment ac)|(multiple cpu faults)|(system.+state.+changed )|(\[timeout)|(PRM\|1\|D)|(kpr)|(kdp)|(\|lc)|(penalty))"</v>
      </c>
      <c r="AG82" s="1" t="str">
        <f t="shared" si="40"/>
        <v>EC</v>
      </c>
      <c r="AH82" s="86" t="str">
        <f t="shared" si="41"/>
        <v>"%USERPROFILE%\Documents\GitHub\eaglep3\Utilities\RefineRTDCRunTimes.py" --tripid 169-08 --locoid 4031 --swversion DE.1.0.9.0 --startMP 204:449 --initTime 2017-03-08T12:10:55 --startdatetime 2017-03-08T12:15:16 --delay 2 --endMP 204:233374 --enddatetime 2017-03-08T12:51:21 --enforcementcount 0 &gt;&gt;C:\Users\stu\Documents\GitHub\eaglep3-reporting\EC\2017-03-08-refined-times.txt</v>
      </c>
      <c r="AI82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{"issue":{"subject":"","project_id":79,"tracker_id":40,"status_id":1,"priority_id":2,"assigned_to_id":23,"start_date":"2017-03-08","description":"","custom_fields":[{"id":1,"name":"Subdivision","value":"EC"},{"id":4,"name":"Milepost","value":"23.3374"},{"id":17,"name":"Train ID","value":"169-08"},{"id":16,"name":"Locomotive ID","value":"4031"},{"id":130,"name":"Impact","value":""},{"id":150,"name":"Time of Event (Mountain Time)","value":"12:51:21"},{"id":151,"name":"Denver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3"/>
        <v>start /low /b %USERPROFILE%\Documents\GitHub\eaglep3\Utilities\DownloadLogsFromS3.py --loco 4031 --day 2017-03-08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2017-03-08-UncaughtWiMAX.txt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712</v>
      </c>
      <c r="B83" s="7">
        <v>4032</v>
      </c>
      <c r="C83" s="21" t="s">
        <v>242</v>
      </c>
      <c r="D83" s="21" t="s">
        <v>863</v>
      </c>
      <c r="E83" s="13">
        <v>42802.543113425927</v>
      </c>
      <c r="F83" s="13">
        <v>42802.549629629626</v>
      </c>
      <c r="G83" s="7">
        <v>1</v>
      </c>
      <c r="H83" s="21" t="s">
        <v>864</v>
      </c>
      <c r="I83" s="13">
        <v>42802.577337962961</v>
      </c>
      <c r="J83" s="7">
        <v>0</v>
      </c>
      <c r="K83" s="98" t="str">
        <f t="shared" si="29"/>
        <v>4031/4032</v>
      </c>
      <c r="L83" s="21" t="str">
        <f>VLOOKUP(A83,'Trips&amp;Operators'!$C$1:$G$99999,5,FALSE)</f>
        <v>LEVIN SCOTT</v>
      </c>
      <c r="M83" s="6">
        <f t="shared" si="30"/>
        <v>2.7708333334885538E-2</v>
      </c>
      <c r="N83" s="7">
        <f t="shared" si="44"/>
        <v>39.900000002235174</v>
      </c>
      <c r="O83" s="7"/>
      <c r="P83" s="7"/>
      <c r="Q83" s="22"/>
      <c r="R83" s="22"/>
      <c r="S83" s="31">
        <f t="shared" si="45"/>
        <v>1</v>
      </c>
      <c r="T83" s="46" t="str">
        <f t="shared" si="31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32"/>
        <v>https://d0f6bd738d7f1b3e5a7ca70fe4ff75f0.us-east-1.aws.found.io/app/kibana#/discover/Steve-Slow-Train-Analysis-(2080s-and-2083s)?_g=(refreshInterval:(display:Off,pause:!f,section:0,value:0),time:(from:'2017-03-08T12:02:05-0700',mode:absolute,to:'2017-03-08T14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3" s="187" t="str">
        <f t="shared" si="33"/>
        <v>N</v>
      </c>
      <c r="X83" s="187">
        <f t="shared" si="28"/>
        <v>1</v>
      </c>
      <c r="Y83" s="62">
        <f t="shared" si="34"/>
        <v>23.3066</v>
      </c>
      <c r="Z83" s="62">
        <f t="shared" si="35"/>
        <v>1.1900000000000001E-2</v>
      </c>
      <c r="AA83" s="62">
        <f t="shared" si="36"/>
        <v>23.294699999999999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7"/>
        <v>0170-08</v>
      </c>
      <c r="AE83" s="85" t="str">
        <f t="shared" si="38"/>
        <v>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 &amp; aws s3 cp s3://rtdc.mdm.uploadarchive.raw/RTDC4032/ "%USERPROFILE%\AppData\Local\Temp\OnboardLogs"\RTDC4032\2017-03-09 --exclude "*" --recursive --include "*20170309*" &amp; "%USERPROFILE%\Documents\GitHub\mrs-test-scripts\Headless Mode &amp; Sideloading\WalkAndUnGZ.bat" "%USERPROFILE%\AppData\Local\Temp\OnboardLogs"\RTDC4032\2017-03-09</v>
      </c>
      <c r="AF83" s="82" t="str">
        <f t="shared" si="39"/>
        <v>"C:\Program Files (x86)\AstroGrep\AstroGrep.exe" /e /r /s /spath="%USERPROFILE%\AppData\Local\Temp\OnboardLogs" /stypes="app*4032*20170308*" /stext=" 20:.+((SYSTEM_STATE.+slice.+state.+changed )|(ment ac)|(multiple cpu faults)|(system.+state.+changed )|(\[timeout)|(PRM\|1\|D)|(kpr)|(kdp)|(\|lc)|(penalty))"</v>
      </c>
      <c r="AG83" s="1" t="str">
        <f t="shared" si="40"/>
        <v>EC</v>
      </c>
      <c r="AH83" s="86" t="str">
        <f t="shared" si="41"/>
        <v>"%USERPROFILE%\Documents\GitHub\eaglep3\Utilities\RefineRTDCRunTimes.py" --tripid 170-08 --locoid 4032 --swversion DE.1.0.9.0 --startMP 204:233066 --initTime 2017-03-08T13:02:05 --startdatetime 2017-03-08T13:11:28 --delay 1 --endMP 204:119 --enddatetime 2017-03-08T13:51:22 --enforcementcount 0 &gt;&gt;C:\Users\stu\Documents\GitHub\eaglep3-reporting\EC\2017-03-08-refined-times.txt</v>
      </c>
      <c r="AI83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{"issue":{"subject":"","project_id":79,"tracker_id":40,"status_id":1,"priority_id":2,"assigned_to_id":23,"start_date":"2017-03-08","description":"","custom_fields":[{"id":1,"name":"Subdivision","value":"EC"},{"id":4,"name":"Milepost","value":"0.0119"},{"id":17,"name":"Train ID","value":"170-08"},{"id":16,"name":"Locomotive ID","value":"4032"},{"id":130,"name":"Impact","value":""},{"id":150,"name":"Time of Event (Mountain Time)","value":"13:51:22"},{"id":151,"name":"Denver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3"/>
        <v>start /low /b %USERPROFILE%\Documents\GitHub\eaglep3\Utilities\DownloadLogsFromS3.py --loco 4032 --day 2017-03-08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"%USERPROFILE%\AppData\Local\Temp\OnboardLogs"\RTDC4032\*4032*20170308* | grep -SE "(Enforcement Action)|(\[TIMEOUT)|(CHR.+\|PRM\|1\|D.+(SWITCH|SIGNAL).+UNKNOWN)" - &gt;&gt; 2017-03-08-UncaughtWiMAX.txt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704</v>
      </c>
      <c r="B84" s="7">
        <v>4042</v>
      </c>
      <c r="C84" s="21" t="s">
        <v>242</v>
      </c>
      <c r="D84" s="21" t="s">
        <v>217</v>
      </c>
      <c r="E84" s="13">
        <v>42802.518425925926</v>
      </c>
      <c r="F84" s="13">
        <v>42802.520983796298</v>
      </c>
      <c r="G84" s="7">
        <v>1</v>
      </c>
      <c r="H84" s="21" t="s">
        <v>865</v>
      </c>
      <c r="I84" s="13">
        <v>42802.546851851854</v>
      </c>
      <c r="J84" s="7">
        <v>0</v>
      </c>
      <c r="K84" s="98" t="str">
        <f t="shared" si="29"/>
        <v>4041/4042</v>
      </c>
      <c r="L84" s="21" t="str">
        <f>VLOOKUP(A84,'Trips&amp;Operators'!$C$1:$G$99999,5,FALSE)</f>
        <v>BRANNON JEFFREY</v>
      </c>
      <c r="M84" s="6">
        <f t="shared" si="30"/>
        <v>2.5868055556202307E-2</v>
      </c>
      <c r="N84" s="7">
        <f t="shared" si="44"/>
        <v>37.250000000931323</v>
      </c>
      <c r="O84" s="7"/>
      <c r="P84" s="7"/>
      <c r="Q84" s="22"/>
      <c r="R84" s="22"/>
      <c r="S84" s="31">
        <f t="shared" si="45"/>
        <v>1</v>
      </c>
      <c r="T84" s="46" t="str">
        <f t="shared" si="31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32"/>
        <v>https://d0f6bd738d7f1b3e5a7ca70fe4ff75f0.us-east-1.aws.found.io/app/kibana#/discover/Steve-Slow-Train-Analysis-(2080s-and-2083s)?_g=(refreshInterval:(display:Off,pause:!f,section:0,value:0),time:(from:'2017-03-08T11:26:32-0700',mode:absolute,to:'2017-03-08T14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4" s="187" t="str">
        <f t="shared" si="33"/>
        <v>N</v>
      </c>
      <c r="X84" s="187">
        <f t="shared" si="28"/>
        <v>1</v>
      </c>
      <c r="Y84" s="62">
        <f t="shared" si="34"/>
        <v>4.5699999999999998E-2</v>
      </c>
      <c r="Z84" s="62">
        <f t="shared" si="35"/>
        <v>23.334499999999998</v>
      </c>
      <c r="AA84" s="62">
        <f t="shared" si="36"/>
        <v>23.288799999999998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7"/>
        <v>0171-08</v>
      </c>
      <c r="AE84" s="85" t="str">
        <f t="shared" si="38"/>
        <v>aws s3 cp s3://rtdc.mdm.uploadarchive.raw/RTDC4042/ "%USERPROFILE%\AppData\Local\Temp\OnboardLogs"\RTDC4042\2017-03-08 --exclude "*" --recursive --include "*20170308*" &amp; "%USERPROFILE%\Documents\GitHub\mrs-test-scripts\Headless Mode &amp; Sideloading\WalkAndUnGZ.bat" "%USERPROFILE%\AppData\Local\Temp\OnboardLogs"\RTDC4042\2017-03-08 &amp; aws s3 cp s3://rtdc.mdm.uploadarchive.raw/RTDC4042/ "%USERPROFILE%\AppData\Local\Temp\OnboardLogs"\RTDC4042\2017-03-09 --exclude "*" --recursive --include "*20170309*" &amp; "%USERPROFILE%\Documents\GitHub\mrs-test-scripts\Headless Mode &amp; Sideloading\WalkAndUnGZ.bat" "%USERPROFILE%\AppData\Local\Temp\OnboardLogs"\RTDC4042\2017-03-09</v>
      </c>
      <c r="AF84" s="82" t="str">
        <f t="shared" si="39"/>
        <v>"C:\Program Files (x86)\AstroGrep\AstroGrep.exe" /e /r /s /spath="%USERPROFILE%\AppData\Local\Temp\OnboardLogs" /stypes="app*4042*20170308*" /stext=" 20:.+((SYSTEM_STATE.+slice.+state.+changed )|(ment ac)|(multiple cpu faults)|(system.+state.+changed )|(\[timeout)|(PRM\|1\|D)|(kpr)|(kdp)|(\|lc)|(penalty))"</v>
      </c>
      <c r="AG84" s="1" t="str">
        <f t="shared" si="40"/>
        <v>EC</v>
      </c>
      <c r="AH84" s="86" t="str">
        <f t="shared" si="41"/>
        <v>"%USERPROFILE%\Documents\GitHub\eaglep3\Utilities\RefineRTDCRunTimes.py" --tripid 171-08 --locoid 4042 --swversion DE.1.0.9.0 --startMP 204:457 --initTime 2017-03-08T12:26:32 --startdatetime 2017-03-08T12:30:13 --delay 1 --endMP 204:233345 --enddatetime 2017-03-08T13:07:28 --enforcementcount 0 &gt;&gt;C:\Users\stu\Documents\GitHub\eaglep3-reporting\EC\2017-03-08-refined-times.txt</v>
      </c>
      <c r="AI84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{"issue":{"subject":"","project_id":79,"tracker_id":40,"status_id":1,"priority_id":2,"assigned_to_id":23,"start_date":"2017-03-08","description":"","custom_fields":[{"id":1,"name":"Subdivision","value":"EC"},{"id":4,"name":"Milepost","value":"23.3345"},{"id":17,"name":"Train ID","value":"171-08"},{"id":16,"name":"Locomotive ID","value":"4042"},{"id":130,"name":"Impact","value":""},{"id":150,"name":"Time of Event (Mountain Time)","value":"13:07:28"},{"id":151,"name":"Denver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3"/>
        <v>start /low /b %USERPROFILE%\Documents\GitHub\eaglep3\Utilities\DownloadLogsFromS3.py --loco 4042 --day 2017-03-08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"%USERPROFILE%\AppData\Local\Temp\OnboardLogs"\RTDC4042\*4042*20170308* | grep -SE "(Enforcement Action)|(\[TIMEOUT)|(CHR.+\|PRM\|1\|D.+(SWITCH|SIGNAL).+UNKNOWN)" - &gt;&gt; 2017-03-08-UncaughtWiMAX.txt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717</v>
      </c>
      <c r="B85" s="7">
        <v>4041</v>
      </c>
      <c r="C85" s="21" t="s">
        <v>242</v>
      </c>
      <c r="D85" s="21" t="s">
        <v>866</v>
      </c>
      <c r="E85" s="13">
        <v>42802.553310185183</v>
      </c>
      <c r="F85" s="13">
        <v>42802.559872685182</v>
      </c>
      <c r="G85" s="7">
        <v>1</v>
      </c>
      <c r="H85" s="21" t="s">
        <v>867</v>
      </c>
      <c r="I85" s="13">
        <v>42802.590092592596</v>
      </c>
      <c r="J85" s="7">
        <v>0</v>
      </c>
      <c r="K85" s="98" t="str">
        <f t="shared" si="29"/>
        <v>4041/4042</v>
      </c>
      <c r="L85" s="21" t="str">
        <f>VLOOKUP(A85,'Trips&amp;Operators'!$C$1:$G$99999,5,FALSE)</f>
        <v>BRANNON JEFFREY</v>
      </c>
      <c r="M85" s="6">
        <f t="shared" si="30"/>
        <v>3.0219907413993496E-2</v>
      </c>
      <c r="N85" s="7">
        <f t="shared" si="44"/>
        <v>43.516666676150635</v>
      </c>
      <c r="O85" s="7"/>
      <c r="P85" s="7"/>
      <c r="Q85" s="22"/>
      <c r="R85" s="22"/>
      <c r="S85" s="31">
        <f t="shared" si="45"/>
        <v>1</v>
      </c>
      <c r="T85" s="46" t="str">
        <f t="shared" si="31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32"/>
        <v>https://d0f6bd738d7f1b3e5a7ca70fe4ff75f0.us-east-1.aws.found.io/app/kibana#/discover/Steve-Slow-Train-Analysis-(2080s-and-2083s)?_g=(refreshInterval:(display:Off,pause:!f,section:0,value:0),time:(from:'2017-03-08T12:16:46-0700',mode:absolute,to:'2017-03-08T15:09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5" s="187" t="str">
        <f t="shared" si="33"/>
        <v>N</v>
      </c>
      <c r="X85" s="187">
        <f t="shared" si="28"/>
        <v>1</v>
      </c>
      <c r="Y85" s="62">
        <f t="shared" si="34"/>
        <v>23.300899999999999</v>
      </c>
      <c r="Z85" s="62">
        <f t="shared" si="35"/>
        <v>1.2500000000000001E-2</v>
      </c>
      <c r="AA85" s="62">
        <f t="shared" si="36"/>
        <v>23.288399999999999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7"/>
        <v>0172-08</v>
      </c>
      <c r="AE85" s="85" t="str">
        <f t="shared" si="38"/>
        <v>aws s3 cp s3://rtdc.mdm.uploadarchive.raw/RTDC4041/ "%USERPROFILE%\AppData\Local\Temp\OnboardLogs"\RTDC4041\2017-03-08 --exclude "*" --recursive --include "*20170308*" &amp; "%USERPROFILE%\Documents\GitHub\mrs-test-scripts\Headless Mode &amp; Sideloading\WalkAndUnGZ.bat" "%USERPROFILE%\AppData\Local\Temp\OnboardLogs"\RTDC4041\2017-03-08 &amp; aws s3 cp s3://rtdc.mdm.uploadarchive.raw/RTDC4041/ "%USERPROFILE%\AppData\Local\Temp\OnboardLogs"\RTDC4041\2017-03-09 --exclude "*" --recursive --include "*20170309*" &amp; "%USERPROFILE%\Documents\GitHub\mrs-test-scripts\Headless Mode &amp; Sideloading\WalkAndUnGZ.bat" "%USERPROFILE%\AppData\Local\Temp\OnboardLogs"\RTDC4041\2017-03-09</v>
      </c>
      <c r="AF85" s="82" t="str">
        <f t="shared" si="39"/>
        <v>"C:\Program Files (x86)\AstroGrep\AstroGrep.exe" /e /r /s /spath="%USERPROFILE%\AppData\Local\Temp\OnboardLogs" /stypes="app*4041*20170308*" /stext=" 21:.+((SYSTEM_STATE.+slice.+state.+changed )|(ment ac)|(multiple cpu faults)|(system.+state.+changed )|(\[timeout)|(PRM\|1\|D)|(kpr)|(kdp)|(\|lc)|(penalty))"</v>
      </c>
      <c r="AG85" s="1" t="str">
        <f t="shared" si="40"/>
        <v>EC</v>
      </c>
      <c r="AH85" s="86" t="str">
        <f t="shared" si="41"/>
        <v>"%USERPROFILE%\Documents\GitHub\eaglep3\Utilities\RefineRTDCRunTimes.py" --tripid 172-08 --locoid 4041 --swversion DE.1.0.9.0 --startMP 204:233009 --initTime 2017-03-08T13:16:46 --startdatetime 2017-03-08T13:26:13 --delay 1 --endMP 204:125 --enddatetime 2017-03-08T14:09:44 --enforcementcount 0 &gt;&gt;C:\Users\stu\Documents\GitHub\eaglep3-reporting\EC\2017-03-08-refined-times.txt</v>
      </c>
      <c r="AI85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{"issue":{"subject":"","project_id":79,"tracker_id":40,"status_id":1,"priority_id":2,"assigned_to_id":23,"start_date":"2017-03-08","description":"","custom_fields":[{"id":1,"name":"Subdivision","value":"EC"},{"id":4,"name":"Milepost","value":"0.0125"},{"id":17,"name":"Train ID","value":"172-08"},{"id":16,"name":"Locomotive ID","value":"4041"},{"id":130,"name":"Impact","value":""},{"id":150,"name":"Time of Event (Mountain Time)","value":"14:09:44"},{"id":151,"name":"Denver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3"/>
        <v>start /low /b %USERPROFILE%\Documents\GitHub\eaglep3\Utilities\DownloadLogsFromS3.py --loco 4041 --day 2017-03-08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"%USERPROFILE%\AppData\Local\Temp\OnboardLogs"\RTDC4041\*4041*20170308* | grep -SE "(Enforcement Action)|(\[TIMEOUT)|(CHR.+\|PRM\|1\|D.+(SWITCH|SIGNAL).+UNKNOWN)" - &gt;&gt; 2017-03-08-UncaughtWiMAX.txt</v>
      </c>
    </row>
    <row r="86" spans="1:91" s="20" customFormat="1" x14ac:dyDescent="0.25">
      <c r="A86" s="33" t="s">
        <v>582</v>
      </c>
      <c r="B86" s="7">
        <v>4009</v>
      </c>
      <c r="C86" s="21" t="s">
        <v>242</v>
      </c>
      <c r="D86" s="21" t="s">
        <v>284</v>
      </c>
      <c r="E86" s="13">
        <v>42802.527604166666</v>
      </c>
      <c r="F86" s="13">
        <v>42802.531458333331</v>
      </c>
      <c r="G86" s="7">
        <v>1</v>
      </c>
      <c r="H86" s="21" t="s">
        <v>509</v>
      </c>
      <c r="I86" s="13">
        <v>42802.557939814818</v>
      </c>
      <c r="J86" s="7">
        <v>0</v>
      </c>
      <c r="K86" s="98" t="str">
        <f t="shared" si="29"/>
        <v>4009/4010</v>
      </c>
      <c r="L86" s="21" t="str">
        <f>VLOOKUP(A86,'Trips&amp;Operators'!$C$1:$G$99999,5,FALSE)</f>
        <v>STRICKLAND EVAN</v>
      </c>
      <c r="M86" s="6">
        <f t="shared" si="30"/>
        <v>2.6481481487280689E-2</v>
      </c>
      <c r="N86" s="7">
        <f t="shared" si="44"/>
        <v>38.133333341684192</v>
      </c>
      <c r="O86" s="7"/>
      <c r="P86" s="7"/>
      <c r="Q86" s="22"/>
      <c r="R86" s="22"/>
      <c r="S86" s="31">
        <f t="shared" si="45"/>
        <v>1</v>
      </c>
      <c r="T86" s="46" t="str">
        <f t="shared" si="31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32"/>
        <v>https://d0f6bd738d7f1b3e5a7ca70fe4ff75f0.us-east-1.aws.found.io/app/kibana#/discover/Steve-Slow-Train-Analysis-(2080s-and-2083s)?_g=(refreshInterval:(display:Off,pause:!f,section:0,value:0),time:(from:'2017-03-08T11:39:45-0700',mode:absolute,to:'2017-03-08T14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6" s="187" t="str">
        <f t="shared" si="33"/>
        <v>N</v>
      </c>
      <c r="X86" s="187">
        <f t="shared" si="28"/>
        <v>1</v>
      </c>
      <c r="Y86" s="62">
        <f t="shared" si="34"/>
        <v>4.7699999999999999E-2</v>
      </c>
      <c r="Z86" s="62">
        <f t="shared" si="35"/>
        <v>23.334399999999999</v>
      </c>
      <c r="AA86" s="62">
        <f t="shared" si="36"/>
        <v>23.2867</v>
      </c>
      <c r="AB86" s="59" t="str">
        <f>VLOOKUP(A86,Enforcements!$C$7:$K$13,8,0)</f>
        <v>Bulletin (2)</v>
      </c>
      <c r="AC86" s="55" t="str">
        <f>VLOOKUP(A86,Enforcements!$C$7:$E$13,3,0)</f>
        <v>GRADE CROSSING</v>
      </c>
      <c r="AD86" s="56" t="str">
        <f t="shared" si="37"/>
        <v>0173-08</v>
      </c>
      <c r="AE86" s="85" t="str">
        <f t="shared" si="38"/>
        <v>aws s3 cp s3://rtdc.mdm.uploadarchive.raw/RTDC4009/ "%USERPROFILE%\AppData\Local\Temp\OnboardLogs"\RTDC4009\2017-03-08 --exclude "*" --recursive --include "*20170308*" &amp; "%USERPROFILE%\Documents\GitHub\mrs-test-scripts\Headless Mode &amp; Sideloading\WalkAndUnGZ.bat" "%USERPROFILE%\AppData\Local\Temp\OnboardLogs"\RTDC4009\2017-03-08 &amp; aws s3 cp s3://rtdc.mdm.uploadarchive.raw/RTDC4009/ "%USERPROFILE%\AppData\Local\Temp\OnboardLogs"\RTDC4009\2017-03-09 --exclude "*" --recursive --include "*20170309*" &amp; "%USERPROFILE%\Documents\GitHub\mrs-test-scripts\Headless Mode &amp; Sideloading\WalkAndUnGZ.bat" "%USERPROFILE%\AppData\Local\Temp\OnboardLogs"\RTDC4009\2017-03-09</v>
      </c>
      <c r="AF86" s="82" t="str">
        <f t="shared" si="39"/>
        <v>"C:\Program Files (x86)\AstroGrep\AstroGrep.exe" /e /r /s /spath="%USERPROFILE%\AppData\Local\Temp\OnboardLogs" /stypes="app*4009*20170308*" /stext=" 20:.+((SYSTEM_STATE.+slice.+state.+changed )|(ment ac)|(multiple cpu faults)|(system.+state.+changed )|(\[timeout)|(PRM\|1\|D)|(kpr)|(kdp)|(\|lc)|(penalty))"</v>
      </c>
      <c r="AG86" s="1" t="str">
        <f t="shared" si="40"/>
        <v>EC</v>
      </c>
      <c r="AH86" s="86" t="str">
        <f t="shared" si="41"/>
        <v>"%USERPROFILE%\Documents\GitHub\eaglep3\Utilities\RefineRTDCRunTimes.py" --tripid 173-08 --locoid 4009 --swversion DE.1.0.9.0 --startMP 204:477 --initTime 2017-03-08T12:39:45 --startdatetime 2017-03-08T12:45:18 --delay 1 --endMP 204:233344 --enddatetime 2017-03-08T13:23:26 --enforcementcount 0 &gt;&gt;C:\Users\stu\Documents\GitHub\eaglep3-reporting\EC\2017-03-08-refined-times.txt</v>
      </c>
      <c r="AI86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{"issue":{"subject":"","project_id":79,"tracker_id":40,"status_id":1,"priority_id":2,"assigned_to_id":23,"start_date":"2017-03-08","description":"","custom_fields":[{"id":1,"name":"Subdivision","value":"EC"},{"id":4,"name":"Milepost","value":"23.3344"},{"id":17,"name":"Train ID","value":"173-08"},{"id":16,"name":"Locomotive ID","value":"4009"},{"id":130,"name":"Impact","value":""},{"id":150,"name":"Time of Event (Mountain Time)","value":"13:23:26"},{"id":151,"name":"Denver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3"/>
        <v>start /low /b %USERPROFILE%\Documents\GitHub\eaglep3\Utilities\DownloadLogsFromS3.py --loco 4009 --day 2017-03-08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"%USERPROFILE%\AppData\Local\Temp\OnboardLogs"\RTDC4009\*4009*20170308* | grep -SE "(Enforcement Action)|(\[TIMEOUT)|(CHR.+\|PRM\|1\|D.+(SWITCH|SIGNAL).+UNKNOWN)" - &gt;&gt; 2017-03-08-UncaughtWiMAX.txt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718</v>
      </c>
      <c r="B87" s="7">
        <v>4010</v>
      </c>
      <c r="C87" s="21" t="s">
        <v>242</v>
      </c>
      <c r="D87" s="21" t="s">
        <v>461</v>
      </c>
      <c r="E87" s="13">
        <v>42802.559444444443</v>
      </c>
      <c r="F87" s="13">
        <v>42802.5703125</v>
      </c>
      <c r="G87" s="7">
        <v>1</v>
      </c>
      <c r="H87" s="21" t="s">
        <v>864</v>
      </c>
      <c r="I87" s="13">
        <v>42802.601064814815</v>
      </c>
      <c r="J87" s="7">
        <v>0</v>
      </c>
      <c r="K87" s="98" t="str">
        <f t="shared" si="29"/>
        <v>4009/4010</v>
      </c>
      <c r="L87" s="21" t="str">
        <f>VLOOKUP(A87,'Trips&amp;Operators'!$C$1:$G$99999,5,FALSE)</f>
        <v>STRICKLAND EVAN</v>
      </c>
      <c r="M87" s="6">
        <f t="shared" si="30"/>
        <v>3.0752314814890269E-2</v>
      </c>
      <c r="N87" s="7">
        <f t="shared" si="44"/>
        <v>44.283333333441988</v>
      </c>
      <c r="O87" s="7"/>
      <c r="P87" s="7"/>
      <c r="Q87" s="22"/>
      <c r="R87" s="22"/>
      <c r="S87" s="31">
        <f t="shared" si="45"/>
        <v>1</v>
      </c>
      <c r="T87" s="46" t="str">
        <f t="shared" si="31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32"/>
        <v>https://d0f6bd738d7f1b3e5a7ca70fe4ff75f0.us-east-1.aws.found.io/app/kibana#/discover/Steve-Slow-Train-Analysis-(2080s-and-2083s)?_g=(refreshInterval:(display:Off,pause:!f,section:0,value:0),time:(from:'2017-03-08T12:25:36-0700',mode:absolute,to:'2017-03-08T15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7" s="187" t="str">
        <f t="shared" si="33"/>
        <v>N</v>
      </c>
      <c r="X87" s="187">
        <f t="shared" si="28"/>
        <v>1</v>
      </c>
      <c r="Y87" s="62">
        <f t="shared" si="34"/>
        <v>23.301300000000001</v>
      </c>
      <c r="Z87" s="62">
        <f t="shared" si="35"/>
        <v>1.1900000000000001E-2</v>
      </c>
      <c r="AA87" s="62">
        <f t="shared" si="36"/>
        <v>23.289400000000001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7"/>
        <v>0174-08</v>
      </c>
      <c r="AE87" s="85" t="str">
        <f t="shared" si="38"/>
        <v>aws s3 cp s3://rtdc.mdm.uploadarchive.raw/RTDC4010/ "%USERPROFILE%\AppData\Local\Temp\OnboardLogs"\RTDC4010\2017-03-08 --exclude "*" --recursive --include "*20170308*" &amp; "%USERPROFILE%\Documents\GitHub\mrs-test-scripts\Headless Mode &amp; Sideloading\WalkAndUnGZ.bat" "%USERPROFILE%\AppData\Local\Temp\OnboardLogs"\RTDC4010\2017-03-08 &amp; aws s3 cp s3://rtdc.mdm.uploadarchive.raw/RTDC4010/ "%USERPROFILE%\AppData\Local\Temp\OnboardLogs"\RTDC4010\2017-03-09 --exclude "*" --recursive --include "*20170309*" &amp; "%USERPROFILE%\Documents\GitHub\mrs-test-scripts\Headless Mode &amp; Sideloading\WalkAndUnGZ.bat" "%USERPROFILE%\AppData\Local\Temp\OnboardLogs"\RTDC4010\2017-03-09</v>
      </c>
      <c r="AF87" s="82" t="str">
        <f t="shared" si="39"/>
        <v>"C:\Program Files (x86)\AstroGrep\AstroGrep.exe" /e /r /s /spath="%USERPROFILE%\AppData\Local\Temp\OnboardLogs" /stypes="app*4010*20170308*" /stext=" 21:.+((SYSTEM_STATE.+slice.+state.+changed )|(ment ac)|(multiple cpu faults)|(system.+state.+changed )|(\[timeout)|(PRM\|1\|D)|(kpr)|(kdp)|(\|lc)|(penalty))"</v>
      </c>
      <c r="AG87" s="1" t="str">
        <f t="shared" si="40"/>
        <v>EC</v>
      </c>
      <c r="AH87" s="86" t="str">
        <f t="shared" si="41"/>
        <v>"%USERPROFILE%\Documents\GitHub\eaglep3\Utilities\RefineRTDCRunTimes.py" --tripid 174-08 --locoid 4010 --swversion DE.1.0.9.0 --startMP 204:233013 --initTime 2017-03-08T13:25:36 --startdatetime 2017-03-08T13:41:15 --delay 1 --endMP 204:119 --enddatetime 2017-03-08T14:25:32 --enforcementcount 0 &gt;&gt;C:\Users\stu\Documents\GitHub\eaglep3-reporting\EC\2017-03-08-refined-times.txt</v>
      </c>
      <c r="AI87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{"issue":{"subject":"","project_id":79,"tracker_id":40,"status_id":1,"priority_id":2,"assigned_to_id":23,"start_date":"2017-03-08","description":"","custom_fields":[{"id":1,"name":"Subdivision","value":"EC"},{"id":4,"name":"Milepost","value":"0.0119"},{"id":17,"name":"Train ID","value":"174-08"},{"id":16,"name":"Locomotive ID","value":"4010"},{"id":130,"name":"Impact","value":""},{"id":150,"name":"Time of Event (Mountain Time)","value":"14:25:32"},{"id":151,"name":"Denver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3"/>
        <v>start /low /b %USERPROFILE%\Documents\GitHub\eaglep3\Utilities\DownloadLogsFromS3.py --loco 4010 --day 2017-03-08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"%USERPROFILE%\AppData\Local\Temp\OnboardLogs"\RTDC4010\*4010*20170308* | grep -SE "(Enforcement Action)|(\[TIMEOUT)|(CHR.+\|PRM\|1\|D.+(SWITCH|SIGNAL).+UNKNOWN)" - &gt;&gt; 2017-03-08-UncaughtWiMAX.txt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711</v>
      </c>
      <c r="B88" s="7">
        <v>4016</v>
      </c>
      <c r="C88" s="21" t="s">
        <v>242</v>
      </c>
      <c r="D88" s="21" t="s">
        <v>236</v>
      </c>
      <c r="E88" s="13">
        <v>42802.539270833331</v>
      </c>
      <c r="F88" s="13">
        <v>42802.541921296295</v>
      </c>
      <c r="G88" s="7">
        <v>1</v>
      </c>
      <c r="H88" s="21" t="s">
        <v>868</v>
      </c>
      <c r="I88" s="13">
        <v>42802.569537037038</v>
      </c>
      <c r="J88" s="7">
        <v>0</v>
      </c>
      <c r="K88" s="98" t="str">
        <f t="shared" si="29"/>
        <v>4015/4016</v>
      </c>
      <c r="L88" s="21" t="str">
        <f>VLOOKUP(A88,'Trips&amp;Operators'!$C$1:$G$99999,5,FALSE)</f>
        <v>DAVIS MICHAEL</v>
      </c>
      <c r="M88" s="6">
        <f t="shared" si="30"/>
        <v>2.7615740742476191E-2</v>
      </c>
      <c r="N88" s="7">
        <f t="shared" si="44"/>
        <v>39.766666669165716</v>
      </c>
      <c r="O88" s="7"/>
      <c r="P88" s="7"/>
      <c r="Q88" s="22"/>
      <c r="R88" s="22"/>
      <c r="S88" s="31">
        <f t="shared" si="45"/>
        <v>1</v>
      </c>
      <c r="T88" s="46" t="str">
        <f t="shared" si="31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32"/>
        <v>https://d0f6bd738d7f1b3e5a7ca70fe4ff75f0.us-east-1.aws.found.io/app/kibana#/discover/Steve-Slow-Train-Analysis-(2080s-and-2083s)?_g=(refreshInterval:(display:Off,pause:!f,section:0,value:0),time:(from:'2017-03-08T11:56:33-0700',mode:absolute,to:'2017-03-08T14:40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8" s="187" t="str">
        <f t="shared" si="33"/>
        <v>N</v>
      </c>
      <c r="X88" s="187">
        <f t="shared" si="28"/>
        <v>1</v>
      </c>
      <c r="Y88" s="62">
        <f t="shared" si="34"/>
        <v>4.4699999999999997E-2</v>
      </c>
      <c r="Z88" s="62">
        <f t="shared" si="35"/>
        <v>23.334700000000002</v>
      </c>
      <c r="AA88" s="62">
        <f t="shared" si="36"/>
        <v>23.290000000000003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7"/>
        <v>0175-08</v>
      </c>
      <c r="AE88" s="85" t="str">
        <f t="shared" si="38"/>
        <v>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 &amp; 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</v>
      </c>
      <c r="AF88" s="82" t="str">
        <f t="shared" si="39"/>
        <v>"C:\Program Files (x86)\AstroGrep\AstroGrep.exe" /e /r /s /spath="%USERPROFILE%\AppData\Local\Temp\OnboardLogs" /stypes="app*4016*20170308*" /stext=" 20:.+((SYSTEM_STATE.+slice.+state.+changed )|(ment ac)|(multiple cpu faults)|(system.+state.+changed )|(\[timeout)|(PRM\|1\|D)|(kpr)|(kdp)|(\|lc)|(penalty))"</v>
      </c>
      <c r="AG88" s="1" t="str">
        <f t="shared" si="40"/>
        <v>EC</v>
      </c>
      <c r="AH88" s="86" t="str">
        <f t="shared" si="41"/>
        <v>"%USERPROFILE%\Documents\GitHub\eaglep3\Utilities\RefineRTDCRunTimes.py" --tripid 175-08 --locoid 4016 --swversion DE.1.0.9.0 --startMP 204:447 --initTime 2017-03-08T12:56:33 --startdatetime 2017-03-08T13:00:22 --delay 1 --endMP 204:233347 --enddatetime 2017-03-08T13:40:08 --enforcementcount 0 &gt;&gt;C:\Users\stu\Documents\GitHub\eaglep3-reporting\EC\2017-03-08-refined-times.txt</v>
      </c>
      <c r="AI88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{"issue":{"subject":"","project_id":79,"tracker_id":40,"status_id":1,"priority_id":2,"assigned_to_id":23,"start_date":"2017-03-08","description":"","custom_fields":[{"id":1,"name":"Subdivision","value":"EC"},{"id":4,"name":"Milepost","value":"23.3347"},{"id":17,"name":"Train ID","value":"175-08"},{"id":16,"name":"Locomotive ID","value":"4016"},{"id":130,"name":"Impact","value":""},{"id":150,"name":"Time of Event (Mountain Time)","value":"13:40:08"},{"id":151,"name":"Denver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3"/>
        <v>start /low /b %USERPROFILE%\Documents\GitHub\eaglep3\Utilities\DownloadLogsFromS3.py --loco 4016 --day 2017-03-08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"%USERPROFILE%\AppData\Local\Temp\OnboardLogs"\RTDC4016\*4016*20170308* | grep -SE "(Enforcement Action)|(\[TIMEOUT)|(CHR.+\|PRM\|1\|D.+(SWITCH|SIGNAL).+UNKNOWN)" - &gt;&gt; 2017-03-08-UncaughtWiMAX.txt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584</v>
      </c>
      <c r="B89" s="7">
        <v>4015</v>
      </c>
      <c r="C89" s="21" t="s">
        <v>242</v>
      </c>
      <c r="D89" s="21" t="s">
        <v>244</v>
      </c>
      <c r="E89" s="13">
        <v>42802.578888888886</v>
      </c>
      <c r="F89" s="13">
        <v>42802.580972222226</v>
      </c>
      <c r="G89" s="7">
        <v>1</v>
      </c>
      <c r="H89" s="21" t="s">
        <v>506</v>
      </c>
      <c r="I89" s="13">
        <v>42802.610636574071</v>
      </c>
      <c r="J89" s="7">
        <v>0</v>
      </c>
      <c r="K89" s="98" t="str">
        <f t="shared" si="29"/>
        <v>4015/4016</v>
      </c>
      <c r="L89" s="21" t="str">
        <f>VLOOKUP(A89,'Trips&amp;Operators'!$C$1:$G$99999,5,FALSE)</f>
        <v>DAVIS MICHAEL</v>
      </c>
      <c r="M89" s="6">
        <f t="shared" si="30"/>
        <v>2.9664351844985504E-2</v>
      </c>
      <c r="N89" s="7">
        <f t="shared" si="44"/>
        <v>42.716666656779125</v>
      </c>
      <c r="O89" s="7"/>
      <c r="P89" s="7"/>
      <c r="Q89" s="22"/>
      <c r="R89" s="22"/>
      <c r="S89" s="31">
        <f t="shared" si="45"/>
        <v>1</v>
      </c>
      <c r="T89" s="46" t="str">
        <f t="shared" si="31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32"/>
        <v>https://d0f6bd738d7f1b3e5a7ca70fe4ff75f0.us-east-1.aws.found.io/app/kibana#/discover/Steve-Slow-Train-Analysis-(2080s-and-2083s)?_g=(refreshInterval:(display:Off,pause:!f,section:0,value:0),time:(from:'2017-03-08T12:53:36-0700',mode:absolute,to:'2017-03-08T15:39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9" s="187" t="str">
        <f t="shared" si="33"/>
        <v>N</v>
      </c>
      <c r="X89" s="187">
        <f t="shared" si="28"/>
        <v>1</v>
      </c>
      <c r="Y89" s="62">
        <f t="shared" si="34"/>
        <v>23.299399999999999</v>
      </c>
      <c r="Z89" s="62">
        <f t="shared" si="35"/>
        <v>1.6299999999999999E-2</v>
      </c>
      <c r="AA89" s="62">
        <f t="shared" si="36"/>
        <v>23.283099999999997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7"/>
        <v>0176-08</v>
      </c>
      <c r="AE89" s="85" t="str">
        <f t="shared" si="38"/>
        <v>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 &amp; 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</v>
      </c>
      <c r="AF89" s="82" t="str">
        <f t="shared" si="39"/>
        <v>"C:\Program Files (x86)\AstroGrep\AstroGrep.exe" /e /r /s /spath="%USERPROFILE%\AppData\Local\Temp\OnboardLogs" /stypes="app*4015*20170308*" /stext=" 21:.+((SYSTEM_STATE.+slice.+state.+changed )|(ment ac)|(multiple cpu faults)|(system.+state.+changed )|(\[timeout)|(PRM\|1\|D)|(kpr)|(kdp)|(\|lc)|(penalty))"</v>
      </c>
      <c r="AG89" s="1" t="str">
        <f t="shared" si="40"/>
        <v>EC</v>
      </c>
      <c r="AH89" s="86" t="str">
        <f t="shared" si="41"/>
        <v>"%USERPROFILE%\Documents\GitHub\eaglep3\Utilities\RefineRTDCRunTimes.py" --tripid 176-08 --locoid 4015 --swversion DE.1.0.9.0 --startMP 204:232994 --initTime 2017-03-08T13:53:36 --startdatetime 2017-03-08T13:56:36 --delay 1 --endMP 204:163 --enddatetime 2017-03-08T14:39:19 --enforcementcount 0 &gt;&gt;C:\Users\stu\Documents\GitHub\eaglep3-reporting\EC\2017-03-08-refined-times.txt</v>
      </c>
      <c r="AI89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{"issue":{"subject":"","project_id":79,"tracker_id":40,"status_id":1,"priority_id":2,"assigned_to_id":23,"start_date":"2017-03-08","description":"","custom_fields":[{"id":1,"name":"Subdivision","value":"EC"},{"id":4,"name":"Milepost","value":"0.0163"},{"id":17,"name":"Train ID","value":"176-08"},{"id":16,"name":"Locomotive ID","value":"4015"},{"id":130,"name":"Impact","value":""},{"id":150,"name":"Time of Event (Mountain Time)","value":"14:39:19"},{"id":151,"name":"Denver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3"/>
        <v>start /low /b %USERPROFILE%\Documents\GitHub\eaglep3\Utilities\DownloadLogsFromS3.py --loco 4015 --day 2017-03-08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"%USERPROFILE%\AppData\Local\Temp\OnboardLogs"\RTDC4015\*4015*20170308* | grep -SE "(Enforcement Action)|(\[TIMEOUT)|(CHR.+\|PRM\|1\|D.+(SWITCH|SIGNAL).+UNKNOWN)" - &gt;&gt; 2017-03-08-UncaughtWiMAX.txt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716</v>
      </c>
      <c r="B90" s="7">
        <v>4046</v>
      </c>
      <c r="C90" s="21" t="s">
        <v>242</v>
      </c>
      <c r="D90" s="21" t="s">
        <v>471</v>
      </c>
      <c r="E90" s="13">
        <v>42802.550520833334</v>
      </c>
      <c r="F90" s="13">
        <v>42802.55232638889</v>
      </c>
      <c r="G90" s="7">
        <v>1</v>
      </c>
      <c r="H90" s="21" t="s">
        <v>510</v>
      </c>
      <c r="I90" s="13">
        <v>42802.579907407409</v>
      </c>
      <c r="J90" s="7">
        <v>0</v>
      </c>
      <c r="K90" s="98" t="str">
        <f t="shared" si="29"/>
        <v>4045/4046</v>
      </c>
      <c r="L90" s="21" t="str">
        <f>VLOOKUP(A90,'Trips&amp;Operators'!$C$1:$G$99999,5,FALSE)</f>
        <v>LEVERE CRAIG</v>
      </c>
      <c r="M90" s="6">
        <f t="shared" si="30"/>
        <v>2.7581018519413192E-2</v>
      </c>
      <c r="N90" s="7">
        <f t="shared" si="44"/>
        <v>39.716666667954996</v>
      </c>
      <c r="O90" s="7"/>
      <c r="P90" s="7"/>
      <c r="Q90" s="22"/>
      <c r="R90" s="22"/>
      <c r="S90" s="31">
        <f t="shared" si="45"/>
        <v>1</v>
      </c>
      <c r="T90" s="46" t="str">
        <f t="shared" si="31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32"/>
        <v>https://d0f6bd738d7f1b3e5a7ca70fe4ff75f0.us-east-1.aws.found.io/app/kibana#/discover/Steve-Slow-Train-Analysis-(2080s-and-2083s)?_g=(refreshInterval:(display:Off,pause:!f,section:0,value:0),time:(from:'2017-03-08T12:12:45-0700',mode:absolute,to:'2017-03-08T14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0" s="187" t="str">
        <f t="shared" si="33"/>
        <v>N</v>
      </c>
      <c r="X90" s="187">
        <f t="shared" si="28"/>
        <v>1</v>
      </c>
      <c r="Y90" s="62">
        <f t="shared" si="34"/>
        <v>4.7100000000000003E-2</v>
      </c>
      <c r="Z90" s="62">
        <f t="shared" si="35"/>
        <v>23.326799999999999</v>
      </c>
      <c r="AA90" s="62">
        <f t="shared" si="36"/>
        <v>23.279699999999998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7"/>
        <v>0177-08</v>
      </c>
      <c r="AE90" s="85" t="str">
        <f t="shared" si="38"/>
        <v>aws s3 cp s3://rtdc.mdm.uploadarchive.raw/RTDC4046/ "%USERPROFILE%\AppData\Local\Temp\OnboardLogs"\RTDC4046\2017-03-08 --exclude "*" --recursive --include "*20170308*" &amp; "%USERPROFILE%\Documents\GitHub\mrs-test-scripts\Headless Mode &amp; Sideloading\WalkAndUnGZ.bat" "%USERPROFILE%\AppData\Local\Temp\OnboardLogs"\RTDC4046\2017-03-08 &amp; aws s3 cp s3://rtdc.mdm.uploadarchive.raw/RTDC4046/ "%USERPROFILE%\AppData\Local\Temp\OnboardLogs"\RTDC4046\2017-03-09 --exclude "*" --recursive --include "*20170309*" &amp; "%USERPROFILE%\Documents\GitHub\mrs-test-scripts\Headless Mode &amp; Sideloading\WalkAndUnGZ.bat" "%USERPROFILE%\AppData\Local\Temp\OnboardLogs"\RTDC4046\2017-03-09</v>
      </c>
      <c r="AF90" s="82" t="str">
        <f t="shared" si="39"/>
        <v>"C:\Program Files (x86)\AstroGrep\AstroGrep.exe" /e /r /s /spath="%USERPROFILE%\AppData\Local\Temp\OnboardLogs" /stypes="app*4046*20170308*" /stext=" 20:.+((SYSTEM_STATE.+slice.+state.+changed )|(ment ac)|(multiple cpu faults)|(system.+state.+changed )|(\[timeout)|(PRM\|1\|D)|(kpr)|(kdp)|(\|lc)|(penalty))"</v>
      </c>
      <c r="AG90" s="1" t="str">
        <f t="shared" si="40"/>
        <v>EC</v>
      </c>
      <c r="AH90" s="86" t="str">
        <f t="shared" si="41"/>
        <v>"%USERPROFILE%\Documents\GitHub\eaglep3\Utilities\RefineRTDCRunTimes.py" --tripid 177-08 --locoid 4046 --swversion DE.1.0.9.0 --startMP 204:471 --initTime 2017-03-08T13:12:45 --startdatetime 2017-03-08T13:15:21 --delay 1 --endMP 204:233268 --enddatetime 2017-03-08T13:55:04 --enforcementcount 0 &gt;&gt;C:\Users\stu\Documents\GitHub\eaglep3-reporting\EC\2017-03-08-refined-times.txt</v>
      </c>
      <c r="AI90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{"issue":{"subject":"","project_id":79,"tracker_id":40,"status_id":1,"priority_id":2,"assigned_to_id":23,"start_date":"2017-03-08","description":"","custom_fields":[{"id":1,"name":"Subdivision","value":"EC"},{"id":4,"name":"Milepost","value":"23.3268"},{"id":17,"name":"Train ID","value":"177-08"},{"id":16,"name":"Locomotive ID","value":"4046"},{"id":130,"name":"Impact","value":""},{"id":150,"name":"Time of Event (Mountain Time)","value":"13:55:04"},{"id":151,"name":"Denver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3"/>
        <v>start /low /b %USERPROFILE%\Documents\GitHub\eaglep3\Utilities\DownloadLogsFromS3.py --loco 4046 --day 2017-03-08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"%USERPROFILE%\AppData\Local\Temp\OnboardLogs"\RTDC4046\*4046*20170308* | grep -SE "(Enforcement Action)|(\[TIMEOUT)|(CHR.+\|PRM\|1\|D.+(SWITCH|SIGNAL).+UNKNOWN)" - &gt;&gt; 2017-03-08-UncaughtWiMAX.txt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723</v>
      </c>
      <c r="B91" s="7">
        <v>4045</v>
      </c>
      <c r="C91" s="21" t="s">
        <v>242</v>
      </c>
      <c r="D91" s="21" t="s">
        <v>501</v>
      </c>
      <c r="E91" s="13">
        <v>42802.585752314815</v>
      </c>
      <c r="F91" s="13">
        <v>42802.591192129628</v>
      </c>
      <c r="G91" s="7">
        <v>1</v>
      </c>
      <c r="H91" s="21" t="s">
        <v>275</v>
      </c>
      <c r="I91" s="13">
        <v>42802.61928240741</v>
      </c>
      <c r="J91" s="7">
        <v>0</v>
      </c>
      <c r="K91" s="98" t="str">
        <f t="shared" si="29"/>
        <v>4045/4046</v>
      </c>
      <c r="L91" s="21" t="str">
        <f>VLOOKUP(A91,'Trips&amp;Operators'!$C$1:$G$99999,5,FALSE)</f>
        <v>LEVERE CRAIG</v>
      </c>
      <c r="M91" s="6">
        <f t="shared" si="30"/>
        <v>2.8090277781302575E-2</v>
      </c>
      <c r="N91" s="7">
        <f t="shared" si="44"/>
        <v>40.450000005075708</v>
      </c>
      <c r="O91" s="7"/>
      <c r="P91" s="7"/>
      <c r="Q91" s="22"/>
      <c r="R91" s="22"/>
      <c r="S91" s="31">
        <f t="shared" si="45"/>
        <v>1</v>
      </c>
      <c r="T91" s="46" t="str">
        <f t="shared" si="31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32"/>
        <v>https://d0f6bd738d7f1b3e5a7ca70fe4ff75f0.us-east-1.aws.found.io/app/kibana#/discover/Steve-Slow-Train-Analysis-(2080s-and-2083s)?_g=(refreshInterval:(display:Off,pause:!f,section:0,value:0),time:(from:'2017-03-08T13:03:29-0700',mode:absolute,to:'2017-03-08T15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1" s="187" t="str">
        <f t="shared" si="33"/>
        <v>N</v>
      </c>
      <c r="X91" s="187">
        <f t="shared" ref="X91:X122" si="46">VALUE(LEFT(AD91,4))-VALUE(LEFT(AD90,4))</f>
        <v>1</v>
      </c>
      <c r="Y91" s="62">
        <f t="shared" si="34"/>
        <v>23.2974</v>
      </c>
      <c r="Z91" s="62">
        <f t="shared" si="35"/>
        <v>1.61E-2</v>
      </c>
      <c r="AA91" s="62">
        <f t="shared" si="36"/>
        <v>23.281299999999998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7"/>
        <v>0178-08</v>
      </c>
      <c r="AE91" s="85" t="str">
        <f t="shared" si="38"/>
        <v>aws s3 cp s3://rtdc.mdm.uploadarchive.raw/RTDC4045/ "%USERPROFILE%\AppData\Local\Temp\OnboardLogs"\RTDC4045\2017-03-08 --exclude "*" --recursive --include "*20170308*" &amp; "%USERPROFILE%\Documents\GitHub\mrs-test-scripts\Headless Mode &amp; Sideloading\WalkAndUnGZ.bat" "%USERPROFILE%\AppData\Local\Temp\OnboardLogs"\RTDC4045\2017-03-08 &amp; aws s3 cp s3://rtdc.mdm.uploadarchive.raw/RTDC4045/ "%USERPROFILE%\AppData\Local\Temp\OnboardLogs"\RTDC4045\2017-03-09 --exclude "*" --recursive --include "*20170309*" &amp; "%USERPROFILE%\Documents\GitHub\mrs-test-scripts\Headless Mode &amp; Sideloading\WalkAndUnGZ.bat" "%USERPROFILE%\AppData\Local\Temp\OnboardLogs"\RTDC4045\2017-03-09</v>
      </c>
      <c r="AF91" s="82" t="str">
        <f t="shared" si="39"/>
        <v>"C:\Program Files (x86)\AstroGrep\AstroGrep.exe" /e /r /s /spath="%USERPROFILE%\AppData\Local\Temp\OnboardLogs" /stypes="app*4045*20170308*" /stext=" 21:.+((SYSTEM_STATE.+slice.+state.+changed )|(ment ac)|(multiple cpu faults)|(system.+state.+changed )|(\[timeout)|(PRM\|1\|D)|(kpr)|(kdp)|(\|lc)|(penalty))"</v>
      </c>
      <c r="AG91" s="1" t="str">
        <f t="shared" si="40"/>
        <v>EC</v>
      </c>
      <c r="AH91" s="86" t="str">
        <f t="shared" si="41"/>
        <v>"%USERPROFILE%\Documents\GitHub\eaglep3\Utilities\RefineRTDCRunTimes.py" --tripid 178-08 --locoid 4045 --swversion DE.1.0.9.0 --startMP 204:232974 --initTime 2017-03-08T14:03:29 --startdatetime 2017-03-08T14:11:19 --delay 1 --endMP 204:161 --enddatetime 2017-03-08T14:51:46 --enforcementcount 0 &gt;&gt;C:\Users\stu\Documents\GitHub\eaglep3-reporting\EC\2017-03-08-refined-times.txt</v>
      </c>
      <c r="AI91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{"issue":{"subject":"","project_id":79,"tracker_id":40,"status_id":1,"priority_id":2,"assigned_to_id":23,"start_date":"2017-03-08","description":"","custom_fields":[{"id":1,"name":"Subdivision","value":"EC"},{"id":4,"name":"Milepost","value":"0.0161"},{"id":17,"name":"Train ID","value":"178-08"},{"id":16,"name":"Locomotive ID","value":"4045"},{"id":130,"name":"Impact","value":""},{"id":150,"name":"Time of Event (Mountain Time)","value":"14:51:46"},{"id":151,"name":"Denver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3"/>
        <v>start /low /b %USERPROFILE%\Documents\GitHub\eaglep3\Utilities\DownloadLogsFromS3.py --loco 4045 --day 2017-03-08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"%USERPROFILE%\AppData\Local\Temp\OnboardLogs"\RTDC4045\*4045*20170308* | grep -SE "(Enforcement Action)|(\[TIMEOUT)|(CHR.+\|PRM\|1\|D.+(SWITCH|SIGNAL).+UNKNOWN)" - &gt;&gt; 2017-03-08-UncaughtWiMAX.txt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719</v>
      </c>
      <c r="B92" s="7">
        <v>4029</v>
      </c>
      <c r="C92" s="21" t="s">
        <v>242</v>
      </c>
      <c r="D92" s="21" t="s">
        <v>833</v>
      </c>
      <c r="E92" s="13">
        <v>42802.560196759259</v>
      </c>
      <c r="F92" s="13">
        <v>42802.562743055554</v>
      </c>
      <c r="G92" s="7">
        <v>1</v>
      </c>
      <c r="H92" s="21" t="s">
        <v>852</v>
      </c>
      <c r="I92" s="13">
        <v>42802.588599537034</v>
      </c>
      <c r="J92" s="7">
        <v>0</v>
      </c>
      <c r="K92" s="98" t="str">
        <f t="shared" si="29"/>
        <v>4029/4030</v>
      </c>
      <c r="L92" s="21" t="str">
        <f>VLOOKUP(A92,'Trips&amp;Operators'!$C$1:$G$99999,5,FALSE)</f>
        <v>MOSES BRADLEY</v>
      </c>
      <c r="M92" s="6">
        <f t="shared" si="30"/>
        <v>2.5856481479422655E-2</v>
      </c>
      <c r="N92" s="7">
        <f t="shared" si="44"/>
        <v>37.233333330368623</v>
      </c>
      <c r="O92" s="7"/>
      <c r="P92" s="7"/>
      <c r="Q92" s="22"/>
      <c r="R92" s="22"/>
      <c r="S92" s="31">
        <f t="shared" si="45"/>
        <v>1</v>
      </c>
      <c r="T92" s="46" t="str">
        <f t="shared" si="31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32"/>
        <v>https://d0f6bd738d7f1b3e5a7ca70fe4ff75f0.us-east-1.aws.found.io/app/kibana#/discover/Steve-Slow-Train-Analysis-(2080s-and-2083s)?_g=(refreshInterval:(display:Off,pause:!f,section:0,value:0),time:(from:'2017-03-08T12:26:41-0700',mode:absolute,to:'2017-03-08T15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2" s="187" t="str">
        <f t="shared" si="33"/>
        <v>N</v>
      </c>
      <c r="X92" s="187">
        <f t="shared" si="46"/>
        <v>1</v>
      </c>
      <c r="Y92" s="62">
        <f t="shared" si="34"/>
        <v>4.6399999999999997E-2</v>
      </c>
      <c r="Z92" s="62">
        <f t="shared" si="35"/>
        <v>23.328800000000001</v>
      </c>
      <c r="AA92" s="62">
        <f t="shared" si="36"/>
        <v>23.282400000000003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7"/>
        <v>0179-08</v>
      </c>
      <c r="AE92" s="85" t="str">
        <f t="shared" si="38"/>
        <v>aws s3 cp s3://rtdc.mdm.uploadarchive.raw/RTDC4029/ "%USERPROFILE%\AppData\Local\Temp\OnboardLogs"\RTDC4029\2017-03-08 --exclude "*" --recursive --include "*20170308*" &amp; "%USERPROFILE%\Documents\GitHub\mrs-test-scripts\Headless Mode &amp; Sideloading\WalkAndUnGZ.bat" "%USERPROFILE%\AppData\Local\Temp\OnboardLogs"\RTDC4029\2017-03-08 &amp; 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</v>
      </c>
      <c r="AF92" s="82" t="str">
        <f t="shared" si="39"/>
        <v>"C:\Program Files (x86)\AstroGrep\AstroGrep.exe" /e /r /s /spath="%USERPROFILE%\AppData\Local\Temp\OnboardLogs" /stypes="app*4029*20170308*" /stext=" 21:.+((SYSTEM_STATE.+slice.+state.+changed )|(ment ac)|(multiple cpu faults)|(system.+state.+changed )|(\[timeout)|(PRM\|1\|D)|(kpr)|(kdp)|(\|lc)|(penalty))"</v>
      </c>
      <c r="AG92" s="1" t="str">
        <f t="shared" si="40"/>
        <v>EC</v>
      </c>
      <c r="AH92" s="86" t="str">
        <f t="shared" si="41"/>
        <v>"%USERPROFILE%\Documents\GitHub\eaglep3\Utilities\RefineRTDCRunTimes.py" --tripid 179-08 --locoid 4029 --swversion DE.1.0.9.0 --startMP 204:464 --initTime 2017-03-08T13:26:41 --startdatetime 2017-03-08T13:30:21 --delay 1 --endMP 204:233288 --enddatetime 2017-03-08T14:07:35 --enforcementcount 0 &gt;&gt;C:\Users\stu\Documents\GitHub\eaglep3-reporting\EC\2017-03-08-refined-times.txt</v>
      </c>
      <c r="AI92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{"issue":{"subject":"","project_id":79,"tracker_id":40,"status_id":1,"priority_id":2,"assigned_to_id":23,"start_date":"2017-03-08","description":"","custom_fields":[{"id":1,"name":"Subdivision","value":"EC"},{"id":4,"name":"Milepost","value":"23.3288"},{"id":17,"name":"Train ID","value":"179-08"},{"id":16,"name":"Locomotive ID","value":"4029"},{"id":130,"name":"Impact","value":""},{"id":150,"name":"Time of Event (Mountain Time)","value":"14:07:35"},{"id":151,"name":"Denver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3"/>
        <v>start /low /b %USERPROFILE%\Documents\GitHub\eaglep3\Utilities\DownloadLogsFromS3.py --loco 4029 --day 2017-03-08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"%USERPROFILE%\AppData\Local\Temp\OnboardLogs"\RTDC4029\*4029*20170308* | grep -SE "(Enforcement Action)|(\[TIMEOUT)|(CHR.+\|PRM\|1\|D.+(SWITCH|SIGNAL).+UNKNOWN)" - &gt;&gt; 2017-03-08-UncaughtWiMAX.txt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728</v>
      </c>
      <c r="B93" s="7">
        <v>4030</v>
      </c>
      <c r="C93" s="21" t="s">
        <v>242</v>
      </c>
      <c r="D93" s="21" t="s">
        <v>291</v>
      </c>
      <c r="E93" s="13">
        <v>42802.59648148148</v>
      </c>
      <c r="F93" s="13">
        <v>42802.601689814815</v>
      </c>
      <c r="G93" s="7">
        <v>3</v>
      </c>
      <c r="H93" s="21" t="s">
        <v>869</v>
      </c>
      <c r="I93" s="13">
        <v>42802.629259259258</v>
      </c>
      <c r="J93" s="7">
        <v>0</v>
      </c>
      <c r="K93" s="98" t="str">
        <f t="shared" si="29"/>
        <v>4029/4030</v>
      </c>
      <c r="L93" s="21" t="str">
        <f>VLOOKUP(A93,'Trips&amp;Operators'!$C$1:$G$99999,5,FALSE)</f>
        <v>MOSES BRADLEY</v>
      </c>
      <c r="M93" s="6">
        <f t="shared" si="30"/>
        <v>2.7569444442633539E-2</v>
      </c>
      <c r="N93" s="7">
        <f t="shared" si="44"/>
        <v>39.699999997392297</v>
      </c>
      <c r="O93" s="7"/>
      <c r="P93" s="7"/>
      <c r="Q93" s="22"/>
      <c r="R93" s="22"/>
      <c r="S93" s="31">
        <f t="shared" si="45"/>
        <v>1</v>
      </c>
      <c r="T93" s="46" t="str">
        <f t="shared" si="31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32"/>
        <v>https://d0f6bd738d7f1b3e5a7ca70fe4ff75f0.us-east-1.aws.found.io/app/kibana#/discover/Steve-Slow-Train-Analysis-(2080s-and-2083s)?_g=(refreshInterval:(display:Off,pause:!f,section:0,value:0),time:(from:'2017-03-08T13:18:56-0700',mode:absolute,to:'2017-03-08T16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3" s="187" t="str">
        <f t="shared" si="33"/>
        <v>N</v>
      </c>
      <c r="X93" s="187">
        <f t="shared" si="46"/>
        <v>1</v>
      </c>
      <c r="Y93" s="62">
        <f t="shared" si="34"/>
        <v>23.297799999999999</v>
      </c>
      <c r="Z93" s="62">
        <f t="shared" si="35"/>
        <v>1.8100000000000002E-2</v>
      </c>
      <c r="AA93" s="62">
        <f t="shared" si="36"/>
        <v>23.279699999999998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7"/>
        <v>0180-08</v>
      </c>
      <c r="AE93" s="85" t="str">
        <f t="shared" si="38"/>
        <v>aws s3 cp s3://rtdc.mdm.uploadarchive.raw/RTDC4030/ "%USERPROFILE%\AppData\Local\Temp\OnboardLogs"\RTDC4030\2017-03-08 --exclude "*" --recursive --include "*20170308*" &amp; "%USERPROFILE%\Documents\GitHub\mrs-test-scripts\Headless Mode &amp; Sideloading\WalkAndUnGZ.bat" "%USERPROFILE%\AppData\Local\Temp\OnboardLogs"\RTDC4030\2017-03-08 &amp; 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</v>
      </c>
      <c r="AF93" s="82" t="str">
        <f t="shared" si="39"/>
        <v>"C:\Program Files (x86)\AstroGrep\AstroGrep.exe" /e /r /s /spath="%USERPROFILE%\AppData\Local\Temp\OnboardLogs" /stypes="app*4030*20170308*" /stext=" 22:.+((SYSTEM_STATE.+slice.+state.+changed )|(ment ac)|(multiple cpu faults)|(system.+state.+changed )|(\[timeout)|(PRM\|1\|D)|(kpr)|(kdp)|(\|lc)|(penalty))"</v>
      </c>
      <c r="AG93" s="1" t="str">
        <f t="shared" si="40"/>
        <v>EC</v>
      </c>
      <c r="AH93" s="86" t="str">
        <f t="shared" si="41"/>
        <v>"%USERPROFILE%\Documents\GitHub\eaglep3\Utilities\RefineRTDCRunTimes.py" --tripid 180-08 --locoid 4030 --swversion DE.1.0.9.0 --startMP 204:232978 --initTime 2017-03-08T14:18:56 --startdatetime 2017-03-08T14:26:26 --delay 3 --endMP 204:181 --enddatetime 2017-03-08T15:06:08 --enforcementcount 0 &gt;&gt;C:\Users\stu\Documents\GitHub\eaglep3-reporting\EC\2017-03-08-refined-times.txt</v>
      </c>
      <c r="AI93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{"issue":{"subject":"","project_id":79,"tracker_id":40,"status_id":1,"priority_id":2,"assigned_to_id":23,"start_date":"2017-03-08","description":"","custom_fields":[{"id":1,"name":"Subdivision","value":"EC"},{"id":4,"name":"Milepost","value":"0.0181"},{"id":17,"name":"Train ID","value":"180-08"},{"id":16,"name":"Locomotive ID","value":"4030"},{"id":130,"name":"Impact","value":""},{"id":150,"name":"Time of Event (Mountain Time)","value":"15:06:08"},{"id":151,"name":"Denver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3"/>
        <v>start /low /b %USERPROFILE%\Documents\GitHub\eaglep3\Utilities\DownloadLogsFromS3.py --loco 4030 --day 2017-03-08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"%USERPROFILE%\AppData\Local\Temp\OnboardLogs"\RTDC4030\*4030*20170308* | grep -SE "(Enforcement Action)|(\[TIMEOUT)|(CHR.+\|PRM\|1\|D.+(SWITCH|SIGNAL).+UNKNOWN)" - &gt;&gt; 2017-03-08-UncaughtWiMAX.txt</v>
      </c>
    </row>
    <row r="94" spans="1:91" s="20" customFormat="1" x14ac:dyDescent="0.25">
      <c r="A94" s="33" t="s">
        <v>721</v>
      </c>
      <c r="B94" s="7">
        <v>4003</v>
      </c>
      <c r="C94" s="21" t="s">
        <v>242</v>
      </c>
      <c r="D94" s="21" t="s">
        <v>218</v>
      </c>
      <c r="E94" s="13">
        <v>42802.569872685184</v>
      </c>
      <c r="F94" s="13">
        <v>42802.573113425926</v>
      </c>
      <c r="G94" s="7">
        <v>1</v>
      </c>
      <c r="H94" s="21" t="s">
        <v>247</v>
      </c>
      <c r="I94" s="13">
        <v>42802.598402777781</v>
      </c>
      <c r="J94" s="7">
        <v>0</v>
      </c>
      <c r="K94" s="98" t="str">
        <f t="shared" si="29"/>
        <v>4003/4004</v>
      </c>
      <c r="L94" s="21" t="str">
        <f>VLOOKUP(A94,'Trips&amp;Operators'!$C$1:$G$99999,5,FALSE)</f>
        <v>LOCKLEAR TRAVIS</v>
      </c>
      <c r="M94" s="6">
        <f t="shared" si="30"/>
        <v>2.5289351855462883E-2</v>
      </c>
      <c r="N94" s="7">
        <f t="shared" si="44"/>
        <v>36.416666671866551</v>
      </c>
      <c r="O94" s="7"/>
      <c r="P94" s="7"/>
      <c r="Q94" s="22"/>
      <c r="R94" s="22"/>
      <c r="S94" s="31">
        <f t="shared" si="45"/>
        <v>1</v>
      </c>
      <c r="T94" s="46" t="str">
        <f t="shared" si="31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32"/>
        <v>https://d0f6bd738d7f1b3e5a7ca70fe4ff75f0.us-east-1.aws.found.io/app/kibana#/discover/Steve-Slow-Train-Analysis-(2080s-and-2083s)?_g=(refreshInterval:(display:Off,pause:!f,section:0,value:0),time:(from:'2017-03-08T12:40:37-0700',mode:absolute,to:'2017-03-08T15:21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4" s="187" t="str">
        <f t="shared" si="33"/>
        <v>N</v>
      </c>
      <c r="X94" s="187">
        <f t="shared" si="46"/>
        <v>1</v>
      </c>
      <c r="Y94" s="62">
        <f t="shared" si="34"/>
        <v>4.5999999999999999E-2</v>
      </c>
      <c r="Z94" s="62">
        <f t="shared" si="35"/>
        <v>23.331399999999999</v>
      </c>
      <c r="AA94" s="62">
        <f t="shared" si="36"/>
        <v>23.285399999999999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7"/>
        <v>0181-08</v>
      </c>
      <c r="AE94" s="85" t="str">
        <f t="shared" si="38"/>
        <v>aws s3 cp s3://rtdc.mdm.uploadarchive.raw/RTDC4003/ "%USERPROFILE%\AppData\Local\Temp\OnboardLogs"\RTDC4003\2017-03-08 --exclude "*" --recursive --include "*20170308*" &amp; "%USERPROFILE%\Documents\GitHub\mrs-test-scripts\Headless Mode &amp; Sideloading\WalkAndUnGZ.bat" "%USERPROFILE%\AppData\Local\Temp\OnboardLogs"\RTDC4003\2017-03-08 &amp; 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</v>
      </c>
      <c r="AF94" s="82" t="str">
        <f t="shared" si="39"/>
        <v>"C:\Program Files (x86)\AstroGrep\AstroGrep.exe" /e /r /s /spath="%USERPROFILE%\AppData\Local\Temp\OnboardLogs" /stypes="app*4003*20170308*" /stext=" 21:.+((SYSTEM_STATE.+slice.+state.+changed )|(ment ac)|(multiple cpu faults)|(system.+state.+changed )|(\[timeout)|(PRM\|1\|D)|(kpr)|(kdp)|(\|lc)|(penalty))"</v>
      </c>
      <c r="AG94" s="1" t="str">
        <f t="shared" si="40"/>
        <v>EC</v>
      </c>
      <c r="AH94" s="86" t="str">
        <f t="shared" si="41"/>
        <v>"%USERPROFILE%\Documents\GitHub\eaglep3\Utilities\RefineRTDCRunTimes.py" --tripid 181-08 --locoid 4003 --swversion DE.1.0.9.0 --startMP 204:460 --initTime 2017-03-08T13:40:37 --startdatetime 2017-03-08T13:45:17 --delay 1 --endMP 204:233314 --enddatetime 2017-03-08T14:21:42 --enforcementcount 0 &gt;&gt;C:\Users\stu\Documents\GitHub\eaglep3-reporting\EC\2017-03-08-refined-times.txt</v>
      </c>
      <c r="AI94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{"issue":{"subject":"","project_id":79,"tracker_id":40,"status_id":1,"priority_id":2,"assigned_to_id":23,"start_date":"2017-03-08","description":"","custom_fields":[{"id":1,"name":"Subdivision","value":"EC"},{"id":4,"name":"Milepost","value":"23.3314"},{"id":17,"name":"Train ID","value":"181-08"},{"id":16,"name":"Locomotive ID","value":"4003"},{"id":130,"name":"Impact","value":""},{"id":150,"name":"Time of Event (Mountain Time)","value":"14:21:42"},{"id":151,"name":"Denver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3"/>
        <v>start /low /b %USERPROFILE%\Documents\GitHub\eaglep3\Utilities\DownloadLogsFromS3.py --loco 4003 --day 2017-03-08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"%USERPROFILE%\AppData\Local\Temp\OnboardLogs"\RTDC4003\*4003*20170308* | grep -SE "(Enforcement Action)|(\[TIMEOUT)|(CHR.+\|PRM\|1\|D.+(SWITCH|SIGNAL).+UNKNOWN)" - &gt;&gt; 2017-03-08-UncaughtWiMAX.txt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731</v>
      </c>
      <c r="B95" s="7">
        <v>4004</v>
      </c>
      <c r="C95" s="21" t="s">
        <v>242</v>
      </c>
      <c r="D95" s="21" t="s">
        <v>837</v>
      </c>
      <c r="E95" s="13">
        <v>42802.609780092593</v>
      </c>
      <c r="F95" s="13">
        <v>42802.61204861111</v>
      </c>
      <c r="G95" s="7">
        <v>1</v>
      </c>
      <c r="H95" s="21" t="s">
        <v>870</v>
      </c>
      <c r="I95" s="13">
        <v>42802.639907407407</v>
      </c>
      <c r="J95" s="7">
        <v>0</v>
      </c>
      <c r="K95" s="98" t="str">
        <f t="shared" si="29"/>
        <v>4003/4004</v>
      </c>
      <c r="L95" s="21" t="str">
        <f>VLOOKUP(A95,'Trips&amp;Operators'!$C$1:$G$99999,5,FALSE)</f>
        <v>LOCKLEAR TRAVIS</v>
      </c>
      <c r="M95" s="6">
        <f t="shared" si="30"/>
        <v>2.7858796296641231E-2</v>
      </c>
      <c r="N95" s="7">
        <f t="shared" si="44"/>
        <v>40.116666667163372</v>
      </c>
      <c r="O95" s="7"/>
      <c r="P95" s="7"/>
      <c r="Q95" s="22"/>
      <c r="R95" s="22"/>
      <c r="S95" s="31">
        <f t="shared" si="45"/>
        <v>1</v>
      </c>
      <c r="T95" s="46" t="str">
        <f t="shared" si="31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32"/>
        <v>https://d0f6bd738d7f1b3e5a7ca70fe4ff75f0.us-east-1.aws.found.io/app/kibana#/discover/Steve-Slow-Train-Analysis-(2080s-and-2083s)?_g=(refreshInterval:(display:Off,pause:!f,section:0,value:0),time:(from:'2017-03-08T13:38:05-0700',mode:absolute,to:'2017-03-08T16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5" s="187" t="str">
        <f t="shared" si="33"/>
        <v>N</v>
      </c>
      <c r="X95" s="187">
        <f t="shared" si="46"/>
        <v>1</v>
      </c>
      <c r="Y95" s="62">
        <f t="shared" si="34"/>
        <v>23.3002</v>
      </c>
      <c r="Z95" s="62">
        <f t="shared" si="35"/>
        <v>1.6500000000000001E-2</v>
      </c>
      <c r="AA95" s="62">
        <f t="shared" si="36"/>
        <v>23.2837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7"/>
        <v>0182-08</v>
      </c>
      <c r="AE95" s="85" t="str">
        <f t="shared" si="38"/>
        <v>aws s3 cp s3://rtdc.mdm.uploadarchive.raw/RTDC4004/ "%USERPROFILE%\AppData\Local\Temp\OnboardLogs"\RTDC4004\2017-03-08 --exclude "*" --recursive --include "*20170308*" &amp; "%USERPROFILE%\Documents\GitHub\mrs-test-scripts\Headless Mode &amp; Sideloading\WalkAndUnGZ.bat" "%USERPROFILE%\AppData\Local\Temp\OnboardLogs"\RTDC4004\2017-03-08 &amp; 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</v>
      </c>
      <c r="AF95" s="82" t="str">
        <f t="shared" si="39"/>
        <v>"C:\Program Files (x86)\AstroGrep\AstroGrep.exe" /e /r /s /spath="%USERPROFILE%\AppData\Local\Temp\OnboardLogs" /stypes="app*4004*20170308*" /stext=" 22:.+((SYSTEM_STATE.+slice.+state.+changed )|(ment ac)|(multiple cpu faults)|(system.+state.+changed )|(\[timeout)|(PRM\|1\|D)|(kpr)|(kdp)|(\|lc)|(penalty))"</v>
      </c>
      <c r="AG95" s="1" t="str">
        <f t="shared" si="40"/>
        <v>EC</v>
      </c>
      <c r="AH95" s="86" t="str">
        <f t="shared" si="41"/>
        <v>"%USERPROFILE%\Documents\GitHub\eaglep3\Utilities\RefineRTDCRunTimes.py" --tripid 182-08 --locoid 4004 --swversion DE.1.0.9.0 --startMP 204:233002 --initTime 2017-03-08T14:38:05 --startdatetime 2017-03-08T14:41:21 --delay 1 --endMP 204:165 --enddatetime 2017-03-08T15:21:28 --enforcementcount 0 &gt;&gt;C:\Users\stu\Documents\GitHub\eaglep3-reporting\EC\2017-03-08-refined-times.txt</v>
      </c>
      <c r="AI95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{"issue":{"subject":"","project_id":79,"tracker_id":40,"status_id":1,"priority_id":2,"assigned_to_id":23,"start_date":"2017-03-08","description":"","custom_fields":[{"id":1,"name":"Subdivision","value":"EC"},{"id":4,"name":"Milepost","value":"0.0165"},{"id":17,"name":"Train ID","value":"182-08"},{"id":16,"name":"Locomotive ID","value":"4004"},{"id":130,"name":"Impact","value":""},{"id":150,"name":"Time of Event (Mountain Time)","value":"15:21:28"},{"id":151,"name":"Denver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3"/>
        <v>start /low /b %USERPROFILE%\Documents\GitHub\eaglep3\Utilities\DownloadLogsFromS3.py --loco 4004 --day 2017-03-08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"%USERPROFILE%\AppData\Local\Temp\OnboardLogs"\RTDC4004\*4004*20170308* | grep -SE "(Enforcement Action)|(\[TIMEOUT)|(CHR.+\|PRM\|1\|D.+(SWITCH|SIGNAL).+UNKNOWN)" - &gt;&gt; 2017-03-08-UncaughtWiMAX.txt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722</v>
      </c>
      <c r="B96" s="7">
        <v>4031</v>
      </c>
      <c r="C96" s="21" t="s">
        <v>242</v>
      </c>
      <c r="D96" s="21" t="s">
        <v>871</v>
      </c>
      <c r="E96" s="13">
        <v>42802.581400462965</v>
      </c>
      <c r="F96" s="13">
        <v>42802.583703703705</v>
      </c>
      <c r="G96" s="7">
        <v>1</v>
      </c>
      <c r="H96" s="21" t="s">
        <v>872</v>
      </c>
      <c r="I96" s="13">
        <v>42802.608703703707</v>
      </c>
      <c r="J96" s="7">
        <v>0</v>
      </c>
      <c r="K96" s="98" t="str">
        <f t="shared" si="29"/>
        <v>4031/4032</v>
      </c>
      <c r="L96" s="21" t="str">
        <f>VLOOKUP(A96,'Trips&amp;Operators'!$C$1:$G$99999,5,FALSE)</f>
        <v>LEVIN SCOTT</v>
      </c>
      <c r="M96" s="6">
        <f t="shared" si="30"/>
        <v>2.5000000001455192E-2</v>
      </c>
      <c r="N96" s="7">
        <f t="shared" si="44"/>
        <v>36.000000002095476</v>
      </c>
      <c r="O96" s="7"/>
      <c r="P96" s="7"/>
      <c r="Q96" s="22"/>
      <c r="R96" s="22"/>
      <c r="S96" s="31">
        <f t="shared" si="45"/>
        <v>1</v>
      </c>
      <c r="T96" s="46" t="str">
        <f t="shared" si="31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32"/>
        <v>https://d0f6bd738d7f1b3e5a7ca70fe4ff75f0.us-east-1.aws.found.io/app/kibana#/discover/Steve-Slow-Train-Analysis-(2080s-and-2083s)?_g=(refreshInterval:(display:Off,pause:!f,section:0,value:0),time:(from:'2017-03-08T12:57:13-0700',mode:absolute,to:'2017-03-08T15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6" s="187" t="str">
        <f t="shared" si="33"/>
        <v>N</v>
      </c>
      <c r="X96" s="187">
        <f t="shared" si="46"/>
        <v>1</v>
      </c>
      <c r="Y96" s="62">
        <f t="shared" si="34"/>
        <v>4.3799999999999999E-2</v>
      </c>
      <c r="Z96" s="62">
        <f t="shared" si="35"/>
        <v>23.3339</v>
      </c>
      <c r="AA96" s="62">
        <f t="shared" si="36"/>
        <v>23.290099999999999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7"/>
        <v>0183-08</v>
      </c>
      <c r="AE96" s="85" t="str">
        <f t="shared" si="38"/>
        <v>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 &amp; aws s3 cp s3://rtdc.mdm.uploadarchive.raw/RTDC4031/ "%USERPROFILE%\AppData\Local\Temp\OnboardLogs"\RTDC4031\2017-03-09 --exclude "*" --recursive --include "*20170309*" &amp; "%USERPROFILE%\Documents\GitHub\mrs-test-scripts\Headless Mode &amp; Sideloading\WalkAndUnGZ.bat" "%USERPROFILE%\AppData\Local\Temp\OnboardLogs"\RTDC4031\2017-03-09</v>
      </c>
      <c r="AF96" s="82" t="str">
        <f t="shared" si="39"/>
        <v>"C:\Program Files (x86)\AstroGrep\AstroGrep.exe" /e /r /s /spath="%USERPROFILE%\AppData\Local\Temp\OnboardLogs" /stypes="app*4031*20170308*" /stext=" 21:.+((SYSTEM_STATE.+slice.+state.+changed )|(ment ac)|(multiple cpu faults)|(system.+state.+changed )|(\[timeout)|(PRM\|1\|D)|(kpr)|(kdp)|(\|lc)|(penalty))"</v>
      </c>
      <c r="AG96" s="1" t="str">
        <f t="shared" si="40"/>
        <v>EC</v>
      </c>
      <c r="AH96" s="86" t="str">
        <f t="shared" si="41"/>
        <v>"%USERPROFILE%\Documents\GitHub\eaglep3\Utilities\RefineRTDCRunTimes.py" --tripid 183-08 --locoid 4031 --swversion DE.1.0.9.0 --startMP 204:438 --initTime 2017-03-08T13:57:13 --startdatetime 2017-03-08T14:00:32 --delay 1 --endMP 204:233339 --enddatetime 2017-03-08T14:36:32 --enforcementcount 0 &gt;&gt;C:\Users\stu\Documents\GitHub\eaglep3-reporting\EC\2017-03-08-refined-times.txt</v>
      </c>
      <c r="AI96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{"issue":{"subject":"","project_id":79,"tracker_id":40,"status_id":1,"priority_id":2,"assigned_to_id":23,"start_date":"2017-03-08","description":"","custom_fields":[{"id":1,"name":"Subdivision","value":"EC"},{"id":4,"name":"Milepost","value":"23.3339"},{"id":17,"name":"Train ID","value":"183-08"},{"id":16,"name":"Locomotive ID","value":"4031"},{"id":130,"name":"Impact","value":""},{"id":150,"name":"Time of Event (Mountain Time)","value":"14:36:32"},{"id":151,"name":"Denver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3"/>
        <v>start /low /b %USERPROFILE%\Documents\GitHub\eaglep3\Utilities\DownloadLogsFromS3.py --loco 4031 --day 2017-03-08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2017-03-08-UncaughtWiMAX.txt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733</v>
      </c>
      <c r="B97" s="7">
        <v>4032</v>
      </c>
      <c r="C97" s="21" t="s">
        <v>242</v>
      </c>
      <c r="D97" s="21" t="s">
        <v>873</v>
      </c>
      <c r="E97" s="13">
        <v>42802.618171296293</v>
      </c>
      <c r="F97" s="13">
        <v>42802.622384259259</v>
      </c>
      <c r="G97" s="7">
        <v>1</v>
      </c>
      <c r="H97" s="21" t="s">
        <v>272</v>
      </c>
      <c r="I97" s="13">
        <v>42802.650324074071</v>
      </c>
      <c r="J97" s="7">
        <v>0</v>
      </c>
      <c r="K97" s="98" t="str">
        <f t="shared" si="29"/>
        <v>4031/4032</v>
      </c>
      <c r="L97" s="21" t="str">
        <f>VLOOKUP(A97,'Trips&amp;Operators'!$C$1:$G$99999,5,FALSE)</f>
        <v>LEVIN SCOTT</v>
      </c>
      <c r="M97" s="6">
        <f t="shared" si="30"/>
        <v>2.7939814812270924E-2</v>
      </c>
      <c r="N97" s="7">
        <f t="shared" si="44"/>
        <v>40.233333329670131</v>
      </c>
      <c r="O97" s="7"/>
      <c r="P97" s="7"/>
      <c r="Q97" s="22"/>
      <c r="R97" s="22"/>
      <c r="S97" s="31">
        <f t="shared" si="45"/>
        <v>1</v>
      </c>
      <c r="T97" s="46" t="str">
        <f t="shared" si="31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32"/>
        <v>https://d0f6bd738d7f1b3e5a7ca70fe4ff75f0.us-east-1.aws.found.io/app/kibana#/discover/Steve-Slow-Train-Analysis-(2080s-and-2083s)?_g=(refreshInterval:(display:Off,pause:!f,section:0,value:0),time:(from:'2017-03-08T13:50:10-0700',mode:absolute,to:'2017-03-08T16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7" s="187" t="str">
        <f t="shared" si="33"/>
        <v>N</v>
      </c>
      <c r="X97" s="187">
        <f t="shared" si="46"/>
        <v>1</v>
      </c>
      <c r="Y97" s="62">
        <f t="shared" si="34"/>
        <v>23.305700000000002</v>
      </c>
      <c r="Z97" s="62">
        <f t="shared" si="35"/>
        <v>1.34E-2</v>
      </c>
      <c r="AA97" s="62">
        <f t="shared" si="36"/>
        <v>23.292300000000001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7"/>
        <v>0184-08</v>
      </c>
      <c r="AE97" s="85" t="str">
        <f t="shared" si="38"/>
        <v>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 &amp; aws s3 cp s3://rtdc.mdm.uploadarchive.raw/RTDC4032/ "%USERPROFILE%\AppData\Local\Temp\OnboardLogs"\RTDC4032\2017-03-09 --exclude "*" --recursive --include "*20170309*" &amp; "%USERPROFILE%\Documents\GitHub\mrs-test-scripts\Headless Mode &amp; Sideloading\WalkAndUnGZ.bat" "%USERPROFILE%\AppData\Local\Temp\OnboardLogs"\RTDC4032\2017-03-09</v>
      </c>
      <c r="AF97" s="82" t="str">
        <f t="shared" si="39"/>
        <v>"C:\Program Files (x86)\AstroGrep\AstroGrep.exe" /e /r /s /spath="%USERPROFILE%\AppData\Local\Temp\OnboardLogs" /stypes="app*4032*20170308*" /stext=" 22:.+((SYSTEM_STATE.+slice.+state.+changed )|(ment ac)|(multiple cpu faults)|(system.+state.+changed )|(\[timeout)|(PRM\|1\|D)|(kpr)|(kdp)|(\|lc)|(penalty))"</v>
      </c>
      <c r="AG97" s="1" t="str">
        <f t="shared" si="40"/>
        <v>EC</v>
      </c>
      <c r="AH97" s="86" t="str">
        <f t="shared" si="41"/>
        <v>"%USERPROFILE%\Documents\GitHub\eaglep3\Utilities\RefineRTDCRunTimes.py" --tripid 184-08 --locoid 4032 --swversion DE.1.0.9.0 --startMP 204:233057 --initTime 2017-03-08T14:50:10 --startdatetime 2017-03-08T14:56:14 --delay 1 --endMP 204:134 --enddatetime 2017-03-08T15:36:28 --enforcementcount 0 &gt;&gt;C:\Users\stu\Documents\GitHub\eaglep3-reporting\EC\2017-03-08-refined-times.txt</v>
      </c>
      <c r="AI97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{"issue":{"subject":"","project_id":79,"tracker_id":40,"status_id":1,"priority_id":2,"assigned_to_id":23,"start_date":"2017-03-08","description":"","custom_fields":[{"id":1,"name":"Subdivision","value":"EC"},{"id":4,"name":"Milepost","value":"0.0134"},{"id":17,"name":"Train ID","value":"184-08"},{"id":16,"name":"Locomotive ID","value":"4032"},{"id":130,"name":"Impact","value":""},{"id":150,"name":"Time of Event (Mountain Time)","value":"15:36:28"},{"id":151,"name":"Denver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3"/>
        <v>start /low /b %USERPROFILE%\Documents\GitHub\eaglep3\Utilities\DownloadLogsFromS3.py --loco 4032 --day 2017-03-08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"%USERPROFILE%\AppData\Local\Temp\OnboardLogs"\RTDC4032\*4032*20170308* | grep -SE "(Enforcement Action)|(\[TIMEOUT)|(CHR.+\|PRM\|1\|D.+(SWITCH|SIGNAL).+UNKNOWN)" - &gt;&gt; 2017-03-08-UncaughtWiMAX.txt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724</v>
      </c>
      <c r="B98" s="7">
        <v>4042</v>
      </c>
      <c r="C98" s="21" t="s">
        <v>242</v>
      </c>
      <c r="D98" s="21" t="s">
        <v>226</v>
      </c>
      <c r="E98" s="13">
        <v>42802.591469907406</v>
      </c>
      <c r="F98" s="13">
        <v>42802.593900462962</v>
      </c>
      <c r="G98" s="7">
        <v>0</v>
      </c>
      <c r="H98" s="21" t="s">
        <v>261</v>
      </c>
      <c r="I98" s="13">
        <v>42802.619131944448</v>
      </c>
      <c r="J98" s="7">
        <v>0</v>
      </c>
      <c r="K98" s="98" t="str">
        <f t="shared" si="29"/>
        <v>4041/4042</v>
      </c>
      <c r="L98" s="21" t="str">
        <f>VLOOKUP(A98,'Trips&amp;Operators'!$C$1:$G$99999,5,FALSE)</f>
        <v>BRANNON JEFFREY</v>
      </c>
      <c r="M98" s="6">
        <f t="shared" si="30"/>
        <v>2.5231481486116536E-2</v>
      </c>
      <c r="N98" s="7">
        <f t="shared" si="44"/>
        <v>36.333333340007812</v>
      </c>
      <c r="O98" s="7"/>
      <c r="P98" s="7"/>
      <c r="Q98" s="22"/>
      <c r="R98" s="22"/>
      <c r="S98" s="31">
        <f t="shared" si="45"/>
        <v>1</v>
      </c>
      <c r="T98" s="46" t="str">
        <f t="shared" si="31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32"/>
        <v>https://d0f6bd738d7f1b3e5a7ca70fe4ff75f0.us-east-1.aws.found.io/app/kibana#/discover/Steve-Slow-Train-Analysis-(2080s-and-2083s)?_g=(refreshInterval:(display:Off,pause:!f,section:0,value:0),time:(from:'2017-03-08T13:11:43-0700',mode:absolute,to:'2017-03-08T15:51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8" s="187" t="str">
        <f t="shared" si="33"/>
        <v>N</v>
      </c>
      <c r="X98" s="187">
        <f t="shared" si="46"/>
        <v>1</v>
      </c>
      <c r="Y98" s="62">
        <f t="shared" si="34"/>
        <v>4.4600000000000001E-2</v>
      </c>
      <c r="Z98" s="62">
        <f t="shared" si="35"/>
        <v>23.331199999999999</v>
      </c>
      <c r="AA98" s="62">
        <f t="shared" si="36"/>
        <v>23.2866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7"/>
        <v>0185-08</v>
      </c>
      <c r="AE98" s="85" t="str">
        <f t="shared" si="38"/>
        <v>aws s3 cp s3://rtdc.mdm.uploadarchive.raw/RTDC4042/ "%USERPROFILE%\AppData\Local\Temp\OnboardLogs"\RTDC4042\2017-03-08 --exclude "*" --recursive --include "*20170308*" &amp; "%USERPROFILE%\Documents\GitHub\mrs-test-scripts\Headless Mode &amp; Sideloading\WalkAndUnGZ.bat" "%USERPROFILE%\AppData\Local\Temp\OnboardLogs"\RTDC4042\2017-03-08 &amp; aws s3 cp s3://rtdc.mdm.uploadarchive.raw/RTDC4042/ "%USERPROFILE%\AppData\Local\Temp\OnboardLogs"\RTDC4042\2017-03-09 --exclude "*" --recursive --include "*20170309*" &amp; "%USERPROFILE%\Documents\GitHub\mrs-test-scripts\Headless Mode &amp; Sideloading\WalkAndUnGZ.bat" "%USERPROFILE%\AppData\Local\Temp\OnboardLogs"\RTDC4042\2017-03-09</v>
      </c>
      <c r="AF98" s="82" t="str">
        <f t="shared" si="39"/>
        <v>"C:\Program Files (x86)\AstroGrep\AstroGrep.exe" /e /r /s /spath="%USERPROFILE%\AppData\Local\Temp\OnboardLogs" /stypes="app*4042*20170308*" /stext=" 21:.+((SYSTEM_STATE.+slice.+state.+changed )|(ment ac)|(multiple cpu faults)|(system.+state.+changed )|(\[timeout)|(PRM\|1\|D)|(kpr)|(kdp)|(\|lc)|(penalty))"</v>
      </c>
      <c r="AG98" s="1" t="str">
        <f t="shared" si="40"/>
        <v>EC</v>
      </c>
      <c r="AH98" s="86" t="str">
        <f t="shared" si="41"/>
        <v>"%USERPROFILE%\Documents\GitHub\eaglep3\Utilities\RefineRTDCRunTimes.py" --tripid 185-08 --locoid 4042 --swversion DE.1.0.9.0 --startMP 204:446 --initTime 2017-03-08T14:11:43 --startdatetime 2017-03-08T14:15:13 --delay 0 --endMP 204:233312 --enddatetime 2017-03-08T14:51:33 --enforcementcount 0 &gt;&gt;C:\Users\stu\Documents\GitHub\eaglep3-reporting\EC\2017-03-08-refined-times.txt</v>
      </c>
      <c r="AI98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{"issue":{"subject":"","project_id":79,"tracker_id":40,"status_id":1,"priority_id":2,"assigned_to_id":23,"start_date":"2017-03-08","description":"","custom_fields":[{"id":1,"name":"Subdivision","value":"EC"},{"id":4,"name":"Milepost","value":"23.3312"},{"id":17,"name":"Train ID","value":"185-08"},{"id":16,"name":"Locomotive ID","value":"4042"},{"id":130,"name":"Impact","value":""},{"id":150,"name":"Time of Event (Mountain Time)","value":"14:51:33"},{"id":151,"name":"Denver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3"/>
        <v>start /low /b %USERPROFILE%\Documents\GitHub\eaglep3\Utilities\DownloadLogsFromS3.py --loco 4042 --day 2017-03-08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"%USERPROFILE%\AppData\Local\Temp\OnboardLogs"\RTDC4042\*4042*20170308* | grep -SE "(Enforcement Action)|(\[TIMEOUT)|(CHR.+\|PRM\|1\|D.+(SWITCH|SIGNAL).+UNKNOWN)" - &gt;&gt; 2017-03-08-UncaughtWiMAX.txt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734</v>
      </c>
      <c r="B99" s="7">
        <v>4041</v>
      </c>
      <c r="C99" s="21" t="s">
        <v>242</v>
      </c>
      <c r="D99" s="21" t="s">
        <v>295</v>
      </c>
      <c r="E99" s="13">
        <v>42802.620185185187</v>
      </c>
      <c r="F99" s="13">
        <v>42802.6328587963</v>
      </c>
      <c r="G99" s="7">
        <v>1</v>
      </c>
      <c r="H99" s="21" t="s">
        <v>194</v>
      </c>
      <c r="I99" s="13">
        <v>42802.662928240738</v>
      </c>
      <c r="J99" s="7">
        <v>0</v>
      </c>
      <c r="K99" s="98" t="str">
        <f t="shared" si="29"/>
        <v>4041/4042</v>
      </c>
      <c r="L99" s="21" t="str">
        <f>VLOOKUP(A99,'Trips&amp;Operators'!$C$1:$G$99999,5,FALSE)</f>
        <v>BRANNON JEFFREY</v>
      </c>
      <c r="M99" s="6">
        <f t="shared" si="30"/>
        <v>3.0069444437685888E-2</v>
      </c>
      <c r="N99" s="7">
        <f t="shared" si="44"/>
        <v>43.299999990267679</v>
      </c>
      <c r="O99" s="7"/>
      <c r="P99" s="7"/>
      <c r="Q99" s="22"/>
      <c r="R99" s="22"/>
      <c r="S99" s="31">
        <f t="shared" si="45"/>
        <v>1</v>
      </c>
      <c r="T99" s="46" t="str">
        <f t="shared" si="31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32"/>
        <v>https://d0f6bd738d7f1b3e5a7ca70fe4ff75f0.us-east-1.aws.found.io/app/kibana#/discover/Steve-Slow-Train-Analysis-(2080s-and-2083s)?_g=(refreshInterval:(display:Off,pause:!f,section:0,value:0),time:(from:'2017-03-08T13:53:04-0700',mode:absolute,to:'2017-03-08T16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9" s="187" t="str">
        <f t="shared" si="33"/>
        <v>N</v>
      </c>
      <c r="X99" s="187">
        <f t="shared" si="46"/>
        <v>1</v>
      </c>
      <c r="Y99" s="62">
        <f t="shared" si="34"/>
        <v>23.300599999999999</v>
      </c>
      <c r="Z99" s="62">
        <f t="shared" si="35"/>
        <v>1.4500000000000001E-2</v>
      </c>
      <c r="AA99" s="62">
        <f t="shared" si="36"/>
        <v>23.286099999999998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7"/>
        <v>0186-08</v>
      </c>
      <c r="AE99" s="85" t="str">
        <f t="shared" si="38"/>
        <v>aws s3 cp s3://rtdc.mdm.uploadarchive.raw/RTDC4041/ "%USERPROFILE%\AppData\Local\Temp\OnboardLogs"\RTDC4041\2017-03-08 --exclude "*" --recursive --include "*20170308*" &amp; "%USERPROFILE%\Documents\GitHub\mrs-test-scripts\Headless Mode &amp; Sideloading\WalkAndUnGZ.bat" "%USERPROFILE%\AppData\Local\Temp\OnboardLogs"\RTDC4041\2017-03-08 &amp; aws s3 cp s3://rtdc.mdm.uploadarchive.raw/RTDC4041/ "%USERPROFILE%\AppData\Local\Temp\OnboardLogs"\RTDC4041\2017-03-09 --exclude "*" --recursive --include "*20170309*" &amp; "%USERPROFILE%\Documents\GitHub\mrs-test-scripts\Headless Mode &amp; Sideloading\WalkAndUnGZ.bat" "%USERPROFILE%\AppData\Local\Temp\OnboardLogs"\RTDC4041\2017-03-09</v>
      </c>
      <c r="AF99" s="82" t="str">
        <f t="shared" si="39"/>
        <v>"C:\Program Files (x86)\AstroGrep\AstroGrep.exe" /e /r /s /spath="%USERPROFILE%\AppData\Local\Temp\OnboardLogs" /stypes="app*4041*20170308*" /stext=" 22:.+((SYSTEM_STATE.+slice.+state.+changed )|(ment ac)|(multiple cpu faults)|(system.+state.+changed )|(\[timeout)|(PRM\|1\|D)|(kpr)|(kdp)|(\|lc)|(penalty))"</v>
      </c>
      <c r="AG99" s="1" t="str">
        <f t="shared" si="40"/>
        <v>EC</v>
      </c>
      <c r="AH99" s="86" t="str">
        <f t="shared" si="41"/>
        <v>"%USERPROFILE%\Documents\GitHub\eaglep3\Utilities\RefineRTDCRunTimes.py" --tripid 186-08 --locoid 4041 --swversion DE.1.0.9.0 --startMP 204:233006 --initTime 2017-03-08T14:53:04 --startdatetime 2017-03-08T15:11:19 --delay 1 --endMP 204:145 --enddatetime 2017-03-08T15:54:37 --enforcementcount 0 &gt;&gt;C:\Users\stu\Documents\GitHub\eaglep3-reporting\EC\2017-03-08-refined-times.txt</v>
      </c>
      <c r="AI99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{"issue":{"subject":"","project_id":79,"tracker_id":40,"status_id":1,"priority_id":2,"assigned_to_id":23,"start_date":"2017-03-08","description":"","custom_fields":[{"id":1,"name":"Subdivision","value":"EC"},{"id":4,"name":"Milepost","value":"0.0145"},{"id":17,"name":"Train ID","value":"186-08"},{"id":16,"name":"Locomotive ID","value":"4041"},{"id":130,"name":"Impact","value":""},{"id":150,"name":"Time of Event (Mountain Time)","value":"15:54:37"},{"id":151,"name":"Denver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3"/>
        <v>start /low /b %USERPROFILE%\Documents\GitHub\eaglep3\Utilities\DownloadLogsFromS3.py --loco 4041 --day 2017-03-08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"%USERPROFILE%\AppData\Local\Temp\OnboardLogs"\RTDC4041\*4041*20170308* | grep -SE "(Enforcement Action)|(\[TIMEOUT)|(CHR.+\|PRM\|1\|D.+(SWITCH|SIGNAL).+UNKNOWN)" - &gt;&gt; 2017-03-08-UncaughtWiMAX.txt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729</v>
      </c>
      <c r="B100" s="7">
        <v>4009</v>
      </c>
      <c r="C100" s="21" t="s">
        <v>242</v>
      </c>
      <c r="D100" s="21" t="s">
        <v>230</v>
      </c>
      <c r="E100" s="13">
        <v>42802.602187500001</v>
      </c>
      <c r="F100" s="13">
        <v>42802.604328703703</v>
      </c>
      <c r="G100" s="7">
        <v>1</v>
      </c>
      <c r="H100" s="21" t="s">
        <v>248</v>
      </c>
      <c r="I100" s="13">
        <v>42802.631041666667</v>
      </c>
      <c r="J100" s="7">
        <v>0</v>
      </c>
      <c r="K100" s="98" t="str">
        <f t="shared" si="29"/>
        <v>4009/4010</v>
      </c>
      <c r="L100" s="21" t="str">
        <f>VLOOKUP(A100,'Trips&amp;Operators'!$C$1:$G$99999,5,FALSE)</f>
        <v>CLARK KATHLEEN</v>
      </c>
      <c r="M100" s="6">
        <f t="shared" si="30"/>
        <v>2.6712962964666076E-2</v>
      </c>
      <c r="N100" s="7">
        <f t="shared" si="44"/>
        <v>38.466666669119149</v>
      </c>
      <c r="O100" s="7"/>
      <c r="P100" s="7"/>
      <c r="Q100" s="22"/>
      <c r="R100" s="22"/>
      <c r="S100" s="31">
        <f t="shared" si="45"/>
        <v>1</v>
      </c>
      <c r="T100" s="46" t="str">
        <f t="shared" si="31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32"/>
        <v>https://d0f6bd738d7f1b3e5a7ca70fe4ff75f0.us-east-1.aws.found.io/app/kibana#/discover/Steve-Slow-Train-Analysis-(2080s-and-2083s)?_g=(refreshInterval:(display:Off,pause:!f,section:0,value:0),time:(from:'2017-03-08T13:27:09-0700',mode:absolute,to:'2017-03-08T16:08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0" s="187" t="str">
        <f t="shared" si="33"/>
        <v>N</v>
      </c>
      <c r="X100" s="187">
        <f t="shared" si="46"/>
        <v>1</v>
      </c>
      <c r="Y100" s="62">
        <f t="shared" si="34"/>
        <v>4.3999999999999997E-2</v>
      </c>
      <c r="Z100" s="62">
        <f t="shared" si="35"/>
        <v>23.329699999999999</v>
      </c>
      <c r="AA100" s="62">
        <f t="shared" si="36"/>
        <v>23.285699999999999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7"/>
        <v>0187-08</v>
      </c>
      <c r="AE100" s="85" t="str">
        <f t="shared" si="38"/>
        <v>aws s3 cp s3://rtdc.mdm.uploadarchive.raw/RTDC4009/ "%USERPROFILE%\AppData\Local\Temp\OnboardLogs"\RTDC4009\2017-03-08 --exclude "*" --recursive --include "*20170308*" &amp; "%USERPROFILE%\Documents\GitHub\mrs-test-scripts\Headless Mode &amp; Sideloading\WalkAndUnGZ.bat" "%USERPROFILE%\AppData\Local\Temp\OnboardLogs"\RTDC4009\2017-03-08 &amp; aws s3 cp s3://rtdc.mdm.uploadarchive.raw/RTDC4009/ "%USERPROFILE%\AppData\Local\Temp\OnboardLogs"\RTDC4009\2017-03-09 --exclude "*" --recursive --include "*20170309*" &amp; "%USERPROFILE%\Documents\GitHub\mrs-test-scripts\Headless Mode &amp; Sideloading\WalkAndUnGZ.bat" "%USERPROFILE%\AppData\Local\Temp\OnboardLogs"\RTDC4009\2017-03-09</v>
      </c>
      <c r="AF100" s="82" t="str">
        <f t="shared" si="39"/>
        <v>"C:\Program Files (x86)\AstroGrep\AstroGrep.exe" /e /r /s /spath="%USERPROFILE%\AppData\Local\Temp\OnboardLogs" /stypes="app*4009*20170308*" /stext=" 22:.+((SYSTEM_STATE.+slice.+state.+changed )|(ment ac)|(multiple cpu faults)|(system.+state.+changed )|(\[timeout)|(PRM\|1\|D)|(kpr)|(kdp)|(\|lc)|(penalty))"</v>
      </c>
      <c r="AG100" s="1" t="str">
        <f t="shared" si="40"/>
        <v>EC</v>
      </c>
      <c r="AH100" s="86" t="str">
        <f t="shared" si="41"/>
        <v>"%USERPROFILE%\Documents\GitHub\eaglep3\Utilities\RefineRTDCRunTimes.py" --tripid 187-08 --locoid 4009 --swversion DE.1.0.9.0 --startMP 204:440 --initTime 2017-03-08T14:27:09 --startdatetime 2017-03-08T14:30:14 --delay 1 --endMP 204:233297 --enddatetime 2017-03-08T15:08:42 --enforcementcount 0 &gt;&gt;C:\Users\stu\Documents\GitHub\eaglep3-reporting\EC\2017-03-08-refined-times.txt</v>
      </c>
      <c r="AI100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{"issue":{"subject":"","project_id":79,"tracker_id":40,"status_id":1,"priority_id":2,"assigned_to_id":23,"start_date":"2017-03-08","description":"","custom_fields":[{"id":1,"name":"Subdivision","value":"EC"},{"id":4,"name":"Milepost","value":"23.3297"},{"id":17,"name":"Train ID","value":"187-08"},{"id":16,"name":"Locomotive ID","value":"4009"},{"id":130,"name":"Impact","value":""},{"id":150,"name":"Time of Event (Mountain Time)","value":"15:08:42"},{"id":151,"name":"Denver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3"/>
        <v>start /low /b %USERPROFILE%\Documents\GitHub\eaglep3\Utilities\DownloadLogsFromS3.py --loco 4009 --day 2017-03-08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"%USERPROFILE%\AppData\Local\Temp\OnboardLogs"\RTDC4009\*4009*20170308* | grep -SE "(Enforcement Action)|(\[TIMEOUT)|(CHR.+\|PRM\|1\|D.+(SWITCH|SIGNAL).+UNKNOWN)" - &gt;&gt; 2017-03-08-UncaughtWiMAX.txt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738</v>
      </c>
      <c r="B101" s="7">
        <v>4010</v>
      </c>
      <c r="C101" s="21" t="s">
        <v>242</v>
      </c>
      <c r="D101" s="21" t="s">
        <v>266</v>
      </c>
      <c r="E101" s="13">
        <v>42802.638206018521</v>
      </c>
      <c r="F101" s="13">
        <v>42802.643229166664</v>
      </c>
      <c r="G101" s="7">
        <v>1</v>
      </c>
      <c r="H101" s="21" t="s">
        <v>874</v>
      </c>
      <c r="I101" s="13">
        <v>42802.67224537037</v>
      </c>
      <c r="J101" s="7">
        <v>0</v>
      </c>
      <c r="K101" s="98" t="str">
        <f t="shared" si="29"/>
        <v>4009/4010</v>
      </c>
      <c r="L101" s="21" t="str">
        <f>VLOOKUP(A101,'Trips&amp;Operators'!$C$1:$G$99999,5,FALSE)</f>
        <v>CLARK KATHLEEN</v>
      </c>
      <c r="M101" s="6">
        <f t="shared" si="30"/>
        <v>2.9016203705396038E-2</v>
      </c>
      <c r="N101" s="7">
        <f t="shared" si="44"/>
        <v>41.783333335770294</v>
      </c>
      <c r="O101" s="7"/>
      <c r="P101" s="7"/>
      <c r="Q101" s="22"/>
      <c r="R101" s="22"/>
      <c r="S101" s="31">
        <f t="shared" si="45"/>
        <v>1</v>
      </c>
      <c r="T101" s="46" t="str">
        <f t="shared" si="31"/>
        <v>Southbound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32"/>
        <v>https://d0f6bd738d7f1b3e5a7ca70fe4ff75f0.us-east-1.aws.found.io/app/kibana#/discover/Steve-Slow-Train-Analysis-(2080s-and-2083s)?_g=(refreshInterval:(display:Off,pause:!f,section:0,value:0),time:(from:'2017-03-08T14:19:01-0700',mode:absolute,to:'2017-03-08T17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1" s="187" t="str">
        <f t="shared" si="33"/>
        <v>N</v>
      </c>
      <c r="X101" s="187">
        <f t="shared" si="46"/>
        <v>1</v>
      </c>
      <c r="Y101" s="62">
        <f t="shared" si="34"/>
        <v>23.297499999999999</v>
      </c>
      <c r="Z101" s="62">
        <f t="shared" si="35"/>
        <v>2.58E-2</v>
      </c>
      <c r="AA101" s="62">
        <f t="shared" si="36"/>
        <v>23.271699999999999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7"/>
        <v>0188-08</v>
      </c>
      <c r="AE101" s="85" t="str">
        <f t="shared" si="38"/>
        <v>aws s3 cp s3://rtdc.mdm.uploadarchive.raw/RTDC4010/ "%USERPROFILE%\AppData\Local\Temp\OnboardLogs"\RTDC4010\2017-03-08 --exclude "*" --recursive --include "*20170308*" &amp; "%USERPROFILE%\Documents\GitHub\mrs-test-scripts\Headless Mode &amp; Sideloading\WalkAndUnGZ.bat" "%USERPROFILE%\AppData\Local\Temp\OnboardLogs"\RTDC4010\2017-03-08 &amp; aws s3 cp s3://rtdc.mdm.uploadarchive.raw/RTDC4010/ "%USERPROFILE%\AppData\Local\Temp\OnboardLogs"\RTDC4010\2017-03-09 --exclude "*" --recursive --include "*20170309*" &amp; "%USERPROFILE%\Documents\GitHub\mrs-test-scripts\Headless Mode &amp; Sideloading\WalkAndUnGZ.bat" "%USERPROFILE%\AppData\Local\Temp\OnboardLogs"\RTDC4010\2017-03-09</v>
      </c>
      <c r="AF101" s="82" t="str">
        <f t="shared" si="39"/>
        <v>"C:\Program Files (x86)\AstroGrep\AstroGrep.exe" /e /r /s /spath="%USERPROFILE%\AppData\Local\Temp\OnboardLogs" /stypes="app*4010*20170308*" /stext=" 23:.+((SYSTEM_STATE.+slice.+state.+changed )|(ment ac)|(multiple cpu faults)|(system.+state.+changed )|(\[timeout)|(PRM\|1\|D)|(kpr)|(kdp)|(\|lc)|(penalty))"</v>
      </c>
      <c r="AG101" s="1" t="str">
        <f t="shared" si="40"/>
        <v>EC</v>
      </c>
      <c r="AH101" s="86" t="str">
        <f t="shared" si="41"/>
        <v>"%USERPROFILE%\Documents\GitHub\eaglep3\Utilities\RefineRTDCRunTimes.py" --tripid 188-08 --locoid 4010 --swversion DE.1.0.9.0 --startMP 204:232975 --initTime 2017-03-08T15:19:01 --startdatetime 2017-03-08T15:26:15 --delay 1 --endMP 204:258 --enddatetime 2017-03-08T16:08:02 --enforcementcount 0 &gt;&gt;C:\Users\stu\Documents\GitHub\eaglep3-reporting\EC\2017-03-08-refined-times.txt</v>
      </c>
      <c r="AI101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{"issue":{"subject":"","project_id":79,"tracker_id":40,"status_id":1,"priority_id":2,"assigned_to_id":23,"start_date":"2017-03-08","description":"","custom_fields":[{"id":1,"name":"Subdivision","value":"EC"},{"id":4,"name":"Milepost","value":"0.0258"},{"id":17,"name":"Train ID","value":"188-08"},{"id":16,"name":"Locomotive ID","value":"4010"},{"id":130,"name":"Impact","value":""},{"id":150,"name":"Time of Event (Mountain Time)","value":"16:08:02"},{"id":151,"name":"Denver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3"/>
        <v>start /low /b %USERPROFILE%\Documents\GitHub\eaglep3\Utilities\DownloadLogsFromS3.py --loco 4010 --day 2017-03-08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"%USERPROFILE%\AppData\Local\Temp\OnboardLogs"\RTDC4010\*4010*20170308* | grep -SE "(Enforcement Action)|(\[TIMEOUT)|(CHR.+\|PRM\|1\|D.+(SWITCH|SIGNAL).+UNKNOWN)" - &gt;&gt; 2017-03-08-UncaughtWiMAX.txt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732</v>
      </c>
      <c r="B102" s="7">
        <v>4016</v>
      </c>
      <c r="C102" s="21" t="s">
        <v>242</v>
      </c>
      <c r="D102" s="21" t="s">
        <v>226</v>
      </c>
      <c r="E102" s="13">
        <v>42802.613287037035</v>
      </c>
      <c r="F102" s="13">
        <v>42802.61513888889</v>
      </c>
      <c r="G102" s="7">
        <v>1</v>
      </c>
      <c r="H102" s="21" t="s">
        <v>280</v>
      </c>
      <c r="I102" s="13">
        <v>42802.64266203704</v>
      </c>
      <c r="J102" s="7">
        <v>0</v>
      </c>
      <c r="K102" s="98" t="str">
        <f t="shared" si="29"/>
        <v>4015/4016</v>
      </c>
      <c r="L102" s="21" t="str">
        <f>VLOOKUP(A102,'Trips&amp;Operators'!$C$1:$G$99999,5,FALSE)</f>
        <v>DAVIS MICHAEL</v>
      </c>
      <c r="M102" s="6">
        <f t="shared" si="30"/>
        <v>2.7523148150066845E-2</v>
      </c>
      <c r="N102" s="7">
        <f t="shared" si="44"/>
        <v>39.633333336096257</v>
      </c>
      <c r="O102" s="7"/>
      <c r="P102" s="7"/>
      <c r="Q102" s="22"/>
      <c r="R102" s="22"/>
      <c r="S102" s="31">
        <f t="shared" si="45"/>
        <v>1</v>
      </c>
      <c r="T102" s="46" t="str">
        <f t="shared" si="31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32"/>
        <v>https://d0f6bd738d7f1b3e5a7ca70fe4ff75f0.us-east-1.aws.found.io/app/kibana#/discover/Steve-Slow-Train-Analysis-(2080s-and-2083s)?_g=(refreshInterval:(display:Off,pause:!f,section:0,value:0),time:(from:'2017-03-08T13:43:08-0700',mode:absolute,to:'2017-03-08T16:25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2" s="187" t="str">
        <f t="shared" si="33"/>
        <v>N</v>
      </c>
      <c r="X102" s="187">
        <f t="shared" si="46"/>
        <v>1</v>
      </c>
      <c r="Y102" s="62">
        <f t="shared" si="34"/>
        <v>4.4600000000000001E-2</v>
      </c>
      <c r="Z102" s="62">
        <f t="shared" si="35"/>
        <v>23.329499999999999</v>
      </c>
      <c r="AA102" s="62">
        <f t="shared" si="36"/>
        <v>23.2849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7"/>
        <v>0189-08</v>
      </c>
      <c r="AE102" s="85" t="str">
        <f t="shared" si="38"/>
        <v>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 &amp; 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</v>
      </c>
      <c r="AF102" s="82" t="str">
        <f t="shared" si="39"/>
        <v>"C:\Program Files (x86)\AstroGrep\AstroGrep.exe" /e /r /s /spath="%USERPROFILE%\AppData\Local\Temp\OnboardLogs" /stypes="app*4016*20170308*" /stext=" 22:.+((SYSTEM_STATE.+slice.+state.+changed )|(ment ac)|(multiple cpu faults)|(system.+state.+changed )|(\[timeout)|(PRM\|1\|D)|(kpr)|(kdp)|(\|lc)|(penalty))"</v>
      </c>
      <c r="AG102" s="1" t="str">
        <f t="shared" si="40"/>
        <v>EC</v>
      </c>
      <c r="AH102" s="86" t="str">
        <f t="shared" si="41"/>
        <v>"%USERPROFILE%\Documents\GitHub\eaglep3\Utilities\RefineRTDCRunTimes.py" --tripid 189-08 --locoid 4016 --swversion DE.1.0.9.0 --startMP 204:446 --initTime 2017-03-08T14:43:08 --startdatetime 2017-03-08T14:45:48 --delay 1 --endMP 204:233295 --enddatetime 2017-03-08T15:25:26 --enforcementcount 0 &gt;&gt;C:\Users\stu\Documents\GitHub\eaglep3-reporting\EC\2017-03-08-refined-times.txt</v>
      </c>
      <c r="AI102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{"issue":{"subject":"","project_id":79,"tracker_id":40,"status_id":1,"priority_id":2,"assigned_to_id":23,"start_date":"2017-03-08","description":"","custom_fields":[{"id":1,"name":"Subdivision","value":"EC"},{"id":4,"name":"Milepost","value":"23.3295"},{"id":17,"name":"Train ID","value":"189-08"},{"id":16,"name":"Locomotive ID","value":"4016"},{"id":130,"name":"Impact","value":""},{"id":150,"name":"Time of Event (Mountain Time)","value":"15:25:26"},{"id":151,"name":"Denver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3"/>
        <v>start /low /b %USERPROFILE%\Documents\GitHub\eaglep3\Utilities\DownloadLogsFromS3.py --loco 4016 --day 2017-03-08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"%USERPROFILE%\AppData\Local\Temp\OnboardLogs"\RTDC4016\*4016*20170308* | grep -SE "(Enforcement Action)|(\[TIMEOUT)|(CHR.+\|PRM\|1\|D.+(SWITCH|SIGNAL).+UNKNOWN)" - &gt;&gt; 2017-03-08-UncaughtWiMAX.txt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742</v>
      </c>
      <c r="B103" s="7">
        <v>4015</v>
      </c>
      <c r="C103" s="21" t="s">
        <v>242</v>
      </c>
      <c r="D103" s="21" t="s">
        <v>465</v>
      </c>
      <c r="E103" s="13">
        <v>42802.652372685188</v>
      </c>
      <c r="F103" s="13">
        <v>42802.654131944444</v>
      </c>
      <c r="G103" s="7">
        <v>1</v>
      </c>
      <c r="H103" s="21" t="s">
        <v>194</v>
      </c>
      <c r="I103" s="13">
        <v>42802.684363425928</v>
      </c>
      <c r="J103" s="7">
        <v>0</v>
      </c>
      <c r="K103" s="98" t="str">
        <f t="shared" si="29"/>
        <v>4015/4016</v>
      </c>
      <c r="L103" s="21" t="str">
        <f>VLOOKUP(A103,'Trips&amp;Operators'!$C$1:$G$99999,5,FALSE)</f>
        <v>DAVIS MICHAEL</v>
      </c>
      <c r="M103" s="6">
        <f t="shared" si="30"/>
        <v>3.0231481483497191E-2</v>
      </c>
      <c r="N103" s="7">
        <f t="shared" si="44"/>
        <v>43.533333336235955</v>
      </c>
      <c r="O103" s="7"/>
      <c r="P103" s="7"/>
      <c r="Q103" s="22"/>
      <c r="R103" s="22"/>
      <c r="S103" s="31">
        <f t="shared" si="45"/>
        <v>1</v>
      </c>
      <c r="T103" s="46" t="str">
        <f t="shared" si="31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32"/>
        <v>https://d0f6bd738d7f1b3e5a7ca70fe4ff75f0.us-east-1.aws.found.io/app/kibana#/discover/Steve-Slow-Train-Analysis-(2080s-and-2083s)?_g=(refreshInterval:(display:Off,pause:!f,section:0,value:0),time:(from:'2017-03-08T14:39:25-0700',mode:absolute,to:'2017-03-08T17:25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3" s="187" t="str">
        <f t="shared" si="33"/>
        <v>N</v>
      </c>
      <c r="X103" s="187">
        <f t="shared" si="46"/>
        <v>1</v>
      </c>
      <c r="Y103" s="62">
        <f t="shared" si="34"/>
        <v>23.2989</v>
      </c>
      <c r="Z103" s="62">
        <f t="shared" si="35"/>
        <v>1.4500000000000001E-2</v>
      </c>
      <c r="AA103" s="62">
        <f t="shared" si="36"/>
        <v>23.284399999999998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7"/>
        <v>0190-08</v>
      </c>
      <c r="AE103" s="85" t="str">
        <f t="shared" si="38"/>
        <v>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 &amp; 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</v>
      </c>
      <c r="AF103" s="82" t="str">
        <f t="shared" si="39"/>
        <v>"C:\Program Files (x86)\AstroGrep\AstroGrep.exe" /e /r /s /spath="%USERPROFILE%\AppData\Local\Temp\OnboardLogs" /stypes="app*4015*20170308*" /stext=" 23:.+((SYSTEM_STATE.+slice.+state.+changed )|(ment ac)|(multiple cpu faults)|(system.+state.+changed )|(\[timeout)|(PRM\|1\|D)|(kpr)|(kdp)|(\|lc)|(penalty))"</v>
      </c>
      <c r="AG103" s="1" t="str">
        <f t="shared" si="40"/>
        <v>EC</v>
      </c>
      <c r="AH103" s="86" t="str">
        <f t="shared" si="41"/>
        <v>"%USERPROFILE%\Documents\GitHub\eaglep3\Utilities\RefineRTDCRunTimes.py" --tripid 190-08 --locoid 4015 --swversion DE.1.0.9.0 --startMP 204:232989 --initTime 2017-03-08T15:39:25 --startdatetime 2017-03-08T15:41:57 --delay 1 --endMP 204:145 --enddatetime 2017-03-08T16:25:29 --enforcementcount 0 &gt;&gt;C:\Users\stu\Documents\GitHub\eaglep3-reporting\EC\2017-03-08-refined-times.txt</v>
      </c>
      <c r="AI103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{"issue":{"subject":"","project_id":79,"tracker_id":40,"status_id":1,"priority_id":2,"assigned_to_id":23,"start_date":"2017-03-08","description":"","custom_fields":[{"id":1,"name":"Subdivision","value":"EC"},{"id":4,"name":"Milepost","value":"0.0145"},{"id":17,"name":"Train ID","value":"190-08"},{"id":16,"name":"Locomotive ID","value":"4015"},{"id":130,"name":"Impact","value":""},{"id":150,"name":"Time of Event (Mountain Time)","value":"16:25:29"},{"id":151,"name":"Denver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3"/>
        <v>start /low /b %USERPROFILE%\Documents\GitHub\eaglep3\Utilities\DownloadLogsFromS3.py --loco 4015 --day 2017-03-08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"%USERPROFILE%\AppData\Local\Temp\OnboardLogs"\RTDC4015\*4015*20170308* | grep -SE "(Enforcement Action)|(\[TIMEOUT)|(CHR.+\|PRM\|1\|D.+(SWITCH|SIGNAL).+UNKNOWN)" - &gt;&gt; 2017-03-08-UncaughtWiMAX.txt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735</v>
      </c>
      <c r="B104" s="7">
        <v>4046</v>
      </c>
      <c r="C104" s="21" t="s">
        <v>242</v>
      </c>
      <c r="D104" s="21" t="s">
        <v>282</v>
      </c>
      <c r="E104" s="13">
        <v>42802.620787037034</v>
      </c>
      <c r="F104" s="13">
        <v>42802.625289351854</v>
      </c>
      <c r="G104" s="7">
        <v>1</v>
      </c>
      <c r="H104" s="21" t="s">
        <v>875</v>
      </c>
      <c r="I104" s="13">
        <v>42802.651747685188</v>
      </c>
      <c r="J104" s="7">
        <v>0</v>
      </c>
      <c r="K104" s="98" t="str">
        <f t="shared" si="29"/>
        <v>4045/4046</v>
      </c>
      <c r="L104" s="21" t="str">
        <f>VLOOKUP(A104,'Trips&amp;Operators'!$C$1:$G$99999,5,FALSE)</f>
        <v>LEVERE CRAIG</v>
      </c>
      <c r="M104" s="6">
        <f t="shared" si="30"/>
        <v>2.6458333333721384E-2</v>
      </c>
      <c r="N104" s="7">
        <f t="shared" si="44"/>
        <v>38.100000000558794</v>
      </c>
      <c r="O104" s="7"/>
      <c r="P104" s="7"/>
      <c r="Q104" s="22"/>
      <c r="R104" s="22"/>
      <c r="S104" s="31">
        <f t="shared" si="45"/>
        <v>1</v>
      </c>
      <c r="T104" s="46" t="str">
        <f t="shared" si="31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32"/>
        <v>https://d0f6bd738d7f1b3e5a7ca70fe4ff75f0.us-east-1.aws.found.io/app/kibana#/discover/Steve-Slow-Train-Analysis-(2080s-and-2083s)?_g=(refreshInterval:(display:Off,pause:!f,section:0,value:0),time:(from:'2017-03-08T13:53:56-0700',mode:absolute,to:'2017-03-08T16:38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4" s="187" t="str">
        <f t="shared" si="33"/>
        <v>N</v>
      </c>
      <c r="X104" s="187">
        <f t="shared" si="46"/>
        <v>1</v>
      </c>
      <c r="Y104" s="62">
        <f t="shared" si="34"/>
        <v>4.4900000000000002E-2</v>
      </c>
      <c r="Z104" s="62">
        <f t="shared" si="35"/>
        <v>23.331600000000002</v>
      </c>
      <c r="AA104" s="62">
        <f t="shared" si="36"/>
        <v>23.286700000000003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7"/>
        <v>0191-08</v>
      </c>
      <c r="AE104" s="85" t="str">
        <f t="shared" si="38"/>
        <v>aws s3 cp s3://rtdc.mdm.uploadarchive.raw/RTDC4046/ "%USERPROFILE%\AppData\Local\Temp\OnboardLogs"\RTDC4046\2017-03-08 --exclude "*" --recursive --include "*20170308*" &amp; "%USERPROFILE%\Documents\GitHub\mrs-test-scripts\Headless Mode &amp; Sideloading\WalkAndUnGZ.bat" "%USERPROFILE%\AppData\Local\Temp\OnboardLogs"\RTDC4046\2017-03-08 &amp; aws s3 cp s3://rtdc.mdm.uploadarchive.raw/RTDC4046/ "%USERPROFILE%\AppData\Local\Temp\OnboardLogs"\RTDC4046\2017-03-09 --exclude "*" --recursive --include "*20170309*" &amp; "%USERPROFILE%\Documents\GitHub\mrs-test-scripts\Headless Mode &amp; Sideloading\WalkAndUnGZ.bat" "%USERPROFILE%\AppData\Local\Temp\OnboardLogs"\RTDC4046\2017-03-09</v>
      </c>
      <c r="AF104" s="82" t="str">
        <f t="shared" si="39"/>
        <v>"C:\Program Files (x86)\AstroGrep\AstroGrep.exe" /e /r /s /spath="%USERPROFILE%\AppData\Local\Temp\OnboardLogs" /stypes="app*4046*20170308*" /stext=" 22:.+((SYSTEM_STATE.+slice.+state.+changed )|(ment ac)|(multiple cpu faults)|(system.+state.+changed )|(\[timeout)|(PRM\|1\|D)|(kpr)|(kdp)|(\|lc)|(penalty))"</v>
      </c>
      <c r="AG104" s="1" t="str">
        <f t="shared" si="40"/>
        <v>EC</v>
      </c>
      <c r="AH104" s="86" t="str">
        <f t="shared" si="41"/>
        <v>"%USERPROFILE%\Documents\GitHub\eaglep3\Utilities\RefineRTDCRunTimes.py" --tripid 191-08 --locoid 4046 --swversion DE.1.0.9.0 --startMP 204:449 --initTime 2017-03-08T14:53:56 --startdatetime 2017-03-08T15:00:25 --delay 1 --endMP 204:233316 --enddatetime 2017-03-08T15:38:31 --enforcementcount 0 &gt;&gt;C:\Users\stu\Documents\GitHub\eaglep3-reporting\EC\2017-03-08-refined-times.txt</v>
      </c>
      <c r="AI104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{"issue":{"subject":"","project_id":79,"tracker_id":40,"status_id":1,"priority_id":2,"assigned_to_id":23,"start_date":"2017-03-08","description":"","custom_fields":[{"id":1,"name":"Subdivision","value":"EC"},{"id":4,"name":"Milepost","value":"23.3316"},{"id":17,"name":"Train ID","value":"191-08"},{"id":16,"name":"Locomotive ID","value":"4046"},{"id":130,"name":"Impact","value":""},{"id":150,"name":"Time of Event (Mountain Time)","value":"15:38:31"},{"id":151,"name":"Denver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3"/>
        <v>start /low /b %USERPROFILE%\Documents\GitHub\eaglep3\Utilities\DownloadLogsFromS3.py --loco 4046 --day 2017-03-08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"%USERPROFILE%\AppData\Local\Temp\OnboardLogs"\RTDC4046\*4046*20170308* | grep -SE "(Enforcement Action)|(\[TIMEOUT)|(CHR.+\|PRM\|1\|D.+(SWITCH|SIGNAL).+UNKNOWN)" - &gt;&gt; 2017-03-08-UncaughtWiMAX.txt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745</v>
      </c>
      <c r="B105" s="7">
        <v>4045</v>
      </c>
      <c r="C105" s="21" t="s">
        <v>242</v>
      </c>
      <c r="D105" s="21" t="s">
        <v>846</v>
      </c>
      <c r="E105" s="13">
        <v>42802.659259259257</v>
      </c>
      <c r="F105" s="13">
        <v>42802.664247685185</v>
      </c>
      <c r="G105" s="7">
        <v>1</v>
      </c>
      <c r="H105" s="21" t="s">
        <v>876</v>
      </c>
      <c r="I105" s="13">
        <v>42802.691840277781</v>
      </c>
      <c r="J105" s="7">
        <v>0</v>
      </c>
      <c r="K105" s="98" t="str">
        <f t="shared" si="29"/>
        <v>4045/4046</v>
      </c>
      <c r="L105" s="21" t="str">
        <f>VLOOKUP(A105,'Trips&amp;Operators'!$C$1:$G$99999,5,FALSE)</f>
        <v>LEVERE CRAIG</v>
      </c>
      <c r="M105" s="6">
        <f t="shared" si="30"/>
        <v>2.7592592596192844E-2</v>
      </c>
      <c r="N105" s="7">
        <f t="shared" si="44"/>
        <v>39.733333338517696</v>
      </c>
      <c r="O105" s="7"/>
      <c r="P105" s="7"/>
      <c r="Q105" s="22"/>
      <c r="R105" s="22"/>
      <c r="S105" s="31">
        <f t="shared" si="45"/>
        <v>1</v>
      </c>
      <c r="T105" s="46" t="str">
        <f t="shared" si="31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32"/>
        <v>https://d0f6bd738d7f1b3e5a7ca70fe4ff75f0.us-east-1.aws.found.io/app/kibana#/discover/Steve-Slow-Train-Analysis-(2080s-and-2083s)?_g=(refreshInterval:(display:Off,pause:!f,section:0,value:0),time:(from:'2017-03-08T14:49:20-0700',mode:absolute,to:'2017-03-08T17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5" s="187" t="str">
        <f t="shared" si="33"/>
        <v>N</v>
      </c>
      <c r="X105" s="187">
        <f t="shared" si="46"/>
        <v>1</v>
      </c>
      <c r="Y105" s="62">
        <f t="shared" si="34"/>
        <v>23.298400000000001</v>
      </c>
      <c r="Z105" s="62">
        <f t="shared" si="35"/>
        <v>1.7000000000000001E-2</v>
      </c>
      <c r="AA105" s="62">
        <f t="shared" si="36"/>
        <v>23.281400000000001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7"/>
        <v>0192-08</v>
      </c>
      <c r="AE105" s="85" t="str">
        <f t="shared" si="38"/>
        <v>aws s3 cp s3://rtdc.mdm.uploadarchive.raw/RTDC4045/ "%USERPROFILE%\AppData\Local\Temp\OnboardLogs"\RTDC4045\2017-03-08 --exclude "*" --recursive --include "*20170308*" &amp; "%USERPROFILE%\Documents\GitHub\mrs-test-scripts\Headless Mode &amp; Sideloading\WalkAndUnGZ.bat" "%USERPROFILE%\AppData\Local\Temp\OnboardLogs"\RTDC4045\2017-03-08 &amp; aws s3 cp s3://rtdc.mdm.uploadarchive.raw/RTDC4045/ "%USERPROFILE%\AppData\Local\Temp\OnboardLogs"\RTDC4045\2017-03-09 --exclude "*" --recursive --include "*20170309*" &amp; "%USERPROFILE%\Documents\GitHub\mrs-test-scripts\Headless Mode &amp; Sideloading\WalkAndUnGZ.bat" "%USERPROFILE%\AppData\Local\Temp\OnboardLogs"\RTDC4045\2017-03-09</v>
      </c>
      <c r="AF105" s="82" t="str">
        <f t="shared" si="39"/>
        <v>"C:\Program Files (x86)\AstroGrep\AstroGrep.exe" /e /r /s /spath="%USERPROFILE%\AppData\Local\Temp\OnboardLogs" /stypes="app*4045*20170308*" /stext=" 23:.+((SYSTEM_STATE.+slice.+state.+changed )|(ment ac)|(multiple cpu faults)|(system.+state.+changed )|(\[timeout)|(PRM\|1\|D)|(kpr)|(kdp)|(\|lc)|(penalty))"</v>
      </c>
      <c r="AG105" s="1" t="str">
        <f t="shared" si="40"/>
        <v>EC</v>
      </c>
      <c r="AH105" s="86" t="str">
        <f t="shared" si="41"/>
        <v>"%USERPROFILE%\Documents\GitHub\eaglep3\Utilities\RefineRTDCRunTimes.py" --tripid 192-08 --locoid 4045 --swversion DE.1.0.9.0 --startMP 204:232984 --initTime 2017-03-08T15:49:20 --startdatetime 2017-03-08T15:56:31 --delay 1 --endMP 204:170 --enddatetime 2017-03-08T16:36:15 --enforcementcount 0 &gt;&gt;C:\Users\stu\Documents\GitHub\eaglep3-reporting\EC\2017-03-08-refined-times.txt</v>
      </c>
      <c r="AI105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{"issue":{"subject":"","project_id":79,"tracker_id":40,"status_id":1,"priority_id":2,"assigned_to_id":23,"start_date":"2017-03-08","description":"","custom_fields":[{"id":1,"name":"Subdivision","value":"EC"},{"id":4,"name":"Milepost","value":"0.017"},{"id":17,"name":"Train ID","value":"192-08"},{"id":16,"name":"Locomotive ID","value":"4045"},{"id":130,"name":"Impact","value":""},{"id":150,"name":"Time of Event (Mountain Time)","value":"16:36:15"},{"id":151,"name":"Denver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3"/>
        <v>start /low /b %USERPROFILE%\Documents\GitHub\eaglep3\Utilities\DownloadLogsFromS3.py --loco 4045 --day 2017-03-08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"%USERPROFILE%\AppData\Local\Temp\OnboardLogs"\RTDC4045\*4045*20170308* | grep -SE "(Enforcement Action)|(\[TIMEOUT)|(CHR.+\|PRM\|1\|D.+(SWITCH|SIGNAL).+UNKNOWN)" - &gt;&gt; 2017-03-08-UncaughtWiMAX.txt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736</v>
      </c>
      <c r="B106" s="7">
        <v>4029</v>
      </c>
      <c r="C106" s="21" t="s">
        <v>242</v>
      </c>
      <c r="D106" s="21" t="s">
        <v>877</v>
      </c>
      <c r="E106" s="13">
        <v>42802.631226851852</v>
      </c>
      <c r="F106" s="13">
        <v>42802.63559027778</v>
      </c>
      <c r="G106" s="7">
        <v>1</v>
      </c>
      <c r="H106" s="21" t="s">
        <v>233</v>
      </c>
      <c r="I106" s="13">
        <v>42802.66202546296</v>
      </c>
      <c r="J106" s="7">
        <v>0</v>
      </c>
      <c r="K106" s="98" t="str">
        <f t="shared" si="29"/>
        <v>4029/4030</v>
      </c>
      <c r="L106" s="21" t="str">
        <f>VLOOKUP(A106,'Trips&amp;Operators'!$C$1:$G$99999,5,FALSE)</f>
        <v>HELVIE ADAM</v>
      </c>
      <c r="M106" s="6">
        <f t="shared" si="30"/>
        <v>2.643518518016208E-2</v>
      </c>
      <c r="N106" s="7">
        <f t="shared" si="44"/>
        <v>38.066666659433395</v>
      </c>
      <c r="O106" s="7"/>
      <c r="P106" s="7"/>
      <c r="Q106" s="22"/>
      <c r="R106" s="22"/>
      <c r="S106" s="31">
        <f t="shared" si="45"/>
        <v>1</v>
      </c>
      <c r="T106" s="46" t="str">
        <f t="shared" si="31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32"/>
        <v>https://d0f6bd738d7f1b3e5a7ca70fe4ff75f0.us-east-1.aws.found.io/app/kibana#/discover/Steve-Slow-Train-Analysis-(2080s-and-2083s)?_g=(refreshInterval:(display:Off,pause:!f,section:0,value:0),time:(from:'2017-03-08T14:08:58-0700',mode:absolute,to:'2017-03-08T16:53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6" s="187" t="str">
        <f t="shared" si="33"/>
        <v>N</v>
      </c>
      <c r="X106" s="187">
        <f t="shared" si="46"/>
        <v>1</v>
      </c>
      <c r="Y106" s="62">
        <f t="shared" si="34"/>
        <v>4.8599999999999997E-2</v>
      </c>
      <c r="Z106" s="62">
        <f t="shared" si="35"/>
        <v>23.331</v>
      </c>
      <c r="AA106" s="62">
        <f t="shared" si="36"/>
        <v>23.282399999999999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7"/>
        <v>0193-08</v>
      </c>
      <c r="AE106" s="85" t="str">
        <f t="shared" si="38"/>
        <v>aws s3 cp s3://rtdc.mdm.uploadarchive.raw/RTDC4029/ "%USERPROFILE%\AppData\Local\Temp\OnboardLogs"\RTDC4029\2017-03-08 --exclude "*" --recursive --include "*20170308*" &amp; "%USERPROFILE%\Documents\GitHub\mrs-test-scripts\Headless Mode &amp; Sideloading\WalkAndUnGZ.bat" "%USERPROFILE%\AppData\Local\Temp\OnboardLogs"\RTDC4029\2017-03-08 &amp; 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</v>
      </c>
      <c r="AF106" s="82" t="str">
        <f t="shared" si="39"/>
        <v>"C:\Program Files (x86)\AstroGrep\AstroGrep.exe" /e /r /s /spath="%USERPROFILE%\AppData\Local\Temp\OnboardLogs" /stypes="app*4029*20170308*" /stext=" 22:.+((SYSTEM_STATE.+slice.+state.+changed )|(ment ac)|(multiple cpu faults)|(system.+state.+changed )|(\[timeout)|(PRM\|1\|D)|(kpr)|(kdp)|(\|lc)|(penalty))"</v>
      </c>
      <c r="AG106" s="1" t="str">
        <f t="shared" si="40"/>
        <v>EC</v>
      </c>
      <c r="AH106" s="86" t="str">
        <f t="shared" si="41"/>
        <v>"%USERPROFILE%\Documents\GitHub\eaglep3\Utilities\RefineRTDCRunTimes.py" --tripid 193-08 --locoid 4029 --swversion DE.1.0.9.0 --startMP 204:486 --initTime 2017-03-08T15:08:58 --startdatetime 2017-03-08T15:15:15 --delay 1 --endMP 204:233310 --enddatetime 2017-03-08T15:53:19 --enforcementcount 0 &gt;&gt;C:\Users\stu\Documents\GitHub\eaglep3-reporting\EC\2017-03-08-refined-times.txt</v>
      </c>
      <c r="AI106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{"issue":{"subject":"","project_id":79,"tracker_id":40,"status_id":1,"priority_id":2,"assigned_to_id":23,"start_date":"2017-03-08","description":"","custom_fields":[{"id":1,"name":"Subdivision","value":"EC"},{"id":4,"name":"Milepost","value":"23.331"},{"id":17,"name":"Train ID","value":"193-08"},{"id":16,"name":"Locomotive ID","value":"4029"},{"id":130,"name":"Impact","value":""},{"id":150,"name":"Time of Event (Mountain Time)","value":"15:53:19"},{"id":151,"name":"Denver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3"/>
        <v>start /low /b %USERPROFILE%\Documents\GitHub\eaglep3\Utilities\DownloadLogsFromS3.py --loco 4029 --day 2017-03-08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"%USERPROFILE%\AppData\Local\Temp\OnboardLogs"\RTDC4029\*4029*20170308* | grep -SE "(Enforcement Action)|(\[TIMEOUT)|(CHR.+\|PRM\|1\|D.+(SWITCH|SIGNAL).+UNKNOWN)" - &gt;&gt; 2017-03-08-UncaughtWiMAX.txt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747</v>
      </c>
      <c r="B107" s="7">
        <v>4030</v>
      </c>
      <c r="C107" s="21" t="s">
        <v>242</v>
      </c>
      <c r="D107" s="21" t="s">
        <v>244</v>
      </c>
      <c r="E107" s="13">
        <v>42802.670810185184</v>
      </c>
      <c r="F107" s="13">
        <v>42802.674571759257</v>
      </c>
      <c r="G107" s="7">
        <v>1</v>
      </c>
      <c r="H107" s="21" t="s">
        <v>208</v>
      </c>
      <c r="I107" s="13">
        <v>42802.702743055554</v>
      </c>
      <c r="J107" s="7">
        <v>0</v>
      </c>
      <c r="K107" s="98" t="str">
        <f t="shared" si="29"/>
        <v>4029/4030</v>
      </c>
      <c r="L107" s="21" t="str">
        <f>VLOOKUP(A107,'Trips&amp;Operators'!$C$1:$G$99999,5,FALSE)</f>
        <v>HELVIE ADAM</v>
      </c>
      <c r="M107" s="6">
        <f t="shared" si="30"/>
        <v>2.8171296296932269E-2</v>
      </c>
      <c r="N107" s="7">
        <f t="shared" si="44"/>
        <v>40.566666667582467</v>
      </c>
      <c r="O107" s="7"/>
      <c r="P107" s="7"/>
      <c r="Q107" s="22"/>
      <c r="R107" s="22"/>
      <c r="S107" s="31">
        <f t="shared" si="45"/>
        <v>1</v>
      </c>
      <c r="T107" s="46" t="str">
        <f t="shared" si="31"/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32"/>
        <v>https://d0f6bd738d7f1b3e5a7ca70fe4ff75f0.us-east-1.aws.found.io/app/kibana#/discover/Steve-Slow-Train-Analysis-(2080s-and-2083s)?_g=(refreshInterval:(display:Off,pause:!f,section:0,value:0),time:(from:'2017-03-08T15:05:58-0700',mode:absolute,to:'2017-03-08T17:51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7" s="187" t="str">
        <f t="shared" si="33"/>
        <v>N</v>
      </c>
      <c r="X107" s="187">
        <f t="shared" si="46"/>
        <v>1</v>
      </c>
      <c r="Y107" s="62">
        <f t="shared" si="34"/>
        <v>23.299399999999999</v>
      </c>
      <c r="Z107" s="62">
        <f t="shared" si="35"/>
        <v>1.54E-2</v>
      </c>
      <c r="AA107" s="62">
        <f t="shared" si="36"/>
        <v>23.283999999999999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7"/>
        <v>0194-08</v>
      </c>
      <c r="AE107" s="85" t="str">
        <f t="shared" si="38"/>
        <v>aws s3 cp s3://rtdc.mdm.uploadarchive.raw/RTDC4030/ "%USERPROFILE%\AppData\Local\Temp\OnboardLogs"\RTDC4030\2017-03-08 --exclude "*" --recursive --include "*20170308*" &amp; "%USERPROFILE%\Documents\GitHub\mrs-test-scripts\Headless Mode &amp; Sideloading\WalkAndUnGZ.bat" "%USERPROFILE%\AppData\Local\Temp\OnboardLogs"\RTDC4030\2017-03-08 &amp; 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</v>
      </c>
      <c r="AF107" s="82" t="str">
        <f t="shared" si="39"/>
        <v>"C:\Program Files (x86)\AstroGrep\AstroGrep.exe" /e /r /s /spath="%USERPROFILE%\AppData\Local\Temp\OnboardLogs" /stypes="app*4030*20170308*" /stext=" 23:.+((SYSTEM_STATE.+slice.+state.+changed )|(ment ac)|(multiple cpu faults)|(system.+state.+changed )|(\[timeout)|(PRM\|1\|D)|(kpr)|(kdp)|(\|lc)|(penalty))"</v>
      </c>
      <c r="AG107" s="1" t="str">
        <f t="shared" si="40"/>
        <v>EC</v>
      </c>
      <c r="AH107" s="86" t="str">
        <f t="shared" si="41"/>
        <v>"%USERPROFILE%\Documents\GitHub\eaglep3\Utilities\RefineRTDCRunTimes.py" --tripid 194-08 --locoid 4030 --swversion DE.1.0.9.0 --startMP 204:232994 --initTime 2017-03-08T16:05:58 --startdatetime 2017-03-08T16:11:23 --delay 1 --endMP 204:154 --enddatetime 2017-03-08T16:51:57 --enforcementcount 0 &gt;&gt;C:\Users\stu\Documents\GitHub\eaglep3-reporting\EC\2017-03-08-refined-times.txt</v>
      </c>
      <c r="AI107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{"issue":{"subject":"","project_id":79,"tracker_id":40,"status_id":1,"priority_id":2,"assigned_to_id":23,"start_date":"2017-03-08","description":"","custom_fields":[{"id":1,"name":"Subdivision","value":"EC"},{"id":4,"name":"Milepost","value":"0.0154"},{"id":17,"name":"Train ID","value":"194-08"},{"id":16,"name":"Locomotive ID","value":"4030"},{"id":130,"name":"Impact","value":""},{"id":150,"name":"Time of Event (Mountain Time)","value":"16:51:57"},{"id":151,"name":"Denver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3"/>
        <v>start /low /b %USERPROFILE%\Documents\GitHub\eaglep3\Utilities\DownloadLogsFromS3.py --loco 4030 --day 2017-03-08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"%USERPROFILE%\AppData\Local\Temp\OnboardLogs"\RTDC4030\*4030*20170308* | grep -SE "(Enforcement Action)|(\[TIMEOUT)|(CHR.+\|PRM\|1\|D.+(SWITCH|SIGNAL).+UNKNOWN)" - &gt;&gt; 2017-03-08-UncaughtWiMAX.txt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739</v>
      </c>
      <c r="B108" s="7">
        <v>4003</v>
      </c>
      <c r="C108" s="21" t="s">
        <v>242</v>
      </c>
      <c r="D108" s="21" t="s">
        <v>216</v>
      </c>
      <c r="E108" s="13">
        <v>42802.641516203701</v>
      </c>
      <c r="F108" s="13">
        <v>42802.645995370367</v>
      </c>
      <c r="G108" s="7">
        <v>1</v>
      </c>
      <c r="H108" s="21" t="s">
        <v>507</v>
      </c>
      <c r="I108" s="13">
        <v>42802.672106481485</v>
      </c>
      <c r="J108" s="7">
        <v>0</v>
      </c>
      <c r="K108" s="98" t="str">
        <f t="shared" si="29"/>
        <v>4003/4004</v>
      </c>
      <c r="L108" s="21" t="str">
        <f>VLOOKUP(A108,'Trips&amp;Operators'!$C$1:$G$99999,5,FALSE)</f>
        <v>LOCKLEAR TRAVIS</v>
      </c>
      <c r="M108" s="6">
        <f t="shared" si="30"/>
        <v>2.6111111117643304E-2</v>
      </c>
      <c r="N108" s="7">
        <f t="shared" si="44"/>
        <v>37.600000009406358</v>
      </c>
      <c r="O108" s="7"/>
      <c r="P108" s="7"/>
      <c r="Q108" s="22"/>
      <c r="R108" s="22"/>
      <c r="S108" s="31">
        <f t="shared" si="45"/>
        <v>1</v>
      </c>
      <c r="T108" s="46" t="str">
        <f t="shared" si="31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32"/>
        <v>https://d0f6bd738d7f1b3e5a7ca70fe4ff75f0.us-east-1.aws.found.io/app/kibana#/discover/Steve-Slow-Train-Analysis-(2080s-and-2083s)?_g=(refreshInterval:(display:Off,pause:!f,section:0,value:0),time:(from:'2017-03-08T14:23:47-0700',mode:absolute,to:'2017-03-08T17:07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8" s="187" t="str">
        <f t="shared" si="33"/>
        <v>N</v>
      </c>
      <c r="X108" s="187">
        <f t="shared" si="46"/>
        <v>1</v>
      </c>
      <c r="Y108" s="62">
        <f t="shared" si="34"/>
        <v>4.5100000000000001E-2</v>
      </c>
      <c r="Z108" s="62">
        <f t="shared" si="35"/>
        <v>23.333600000000001</v>
      </c>
      <c r="AA108" s="62">
        <f t="shared" si="36"/>
        <v>23.288499999999999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7"/>
        <v>0195-08</v>
      </c>
      <c r="AE108" s="85" t="str">
        <f t="shared" si="38"/>
        <v>aws s3 cp s3://rtdc.mdm.uploadarchive.raw/RTDC4003/ "%USERPROFILE%\AppData\Local\Temp\OnboardLogs"\RTDC4003\2017-03-08 --exclude "*" --recursive --include "*20170308*" &amp; "%USERPROFILE%\Documents\GitHub\mrs-test-scripts\Headless Mode &amp; Sideloading\WalkAndUnGZ.bat" "%USERPROFILE%\AppData\Local\Temp\OnboardLogs"\RTDC4003\2017-03-08 &amp; 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</v>
      </c>
      <c r="AF108" s="82" t="str">
        <f t="shared" si="39"/>
        <v>"C:\Program Files (x86)\AstroGrep\AstroGrep.exe" /e /r /s /spath="%USERPROFILE%\AppData\Local\Temp\OnboardLogs" /stypes="app*4003*20170308*" /stext=" 23:.+((SYSTEM_STATE.+slice.+state.+changed )|(ment ac)|(multiple cpu faults)|(system.+state.+changed )|(\[timeout)|(PRM\|1\|D)|(kpr)|(kdp)|(\|lc)|(penalty))"</v>
      </c>
      <c r="AG108" s="1" t="str">
        <f t="shared" si="40"/>
        <v>EC</v>
      </c>
      <c r="AH108" s="86" t="str">
        <f t="shared" si="41"/>
        <v>"%USERPROFILE%\Documents\GitHub\eaglep3\Utilities\RefineRTDCRunTimes.py" --tripid 195-08 --locoid 4003 --swversion DE.1.0.9.0 --startMP 204:451 --initTime 2017-03-08T15:23:47 --startdatetime 2017-03-08T15:30:14 --delay 1 --endMP 204:233336 --enddatetime 2017-03-08T16:07:50 --enforcementcount 0 &gt;&gt;C:\Users\stu\Documents\GitHub\eaglep3-reporting\EC\2017-03-08-refined-times.txt</v>
      </c>
      <c r="AI108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{"issue":{"subject":"","project_id":79,"tracker_id":40,"status_id":1,"priority_id":2,"assigned_to_id":23,"start_date":"2017-03-08","description":"","custom_fields":[{"id":1,"name":"Subdivision","value":"EC"},{"id":4,"name":"Milepost","value":"23.3336"},{"id":17,"name":"Train ID","value":"195-08"},{"id":16,"name":"Locomotive ID","value":"4003"},{"id":130,"name":"Impact","value":""},{"id":150,"name":"Time of Event (Mountain Time)","value":"16:07:50"},{"id":151,"name":"Denver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3"/>
        <v>start /low /b %USERPROFILE%\Documents\GitHub\eaglep3\Utilities\DownloadLogsFromS3.py --loco 4003 --day 2017-03-08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"%USERPROFILE%\AppData\Local\Temp\OnboardLogs"\RTDC4003\*4003*20170308* | grep -SE "(Enforcement Action)|(\[TIMEOUT)|(CHR.+\|PRM\|1\|D.+(SWITCH|SIGNAL).+UNKNOWN)" - &gt;&gt; 2017-03-08-UncaughtWiMAX.txt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3" t="s">
        <v>751</v>
      </c>
      <c r="B109" s="7">
        <v>4004</v>
      </c>
      <c r="C109" s="21" t="s">
        <v>242</v>
      </c>
      <c r="D109" s="21" t="s">
        <v>878</v>
      </c>
      <c r="E109" s="13">
        <v>42802.698472222219</v>
      </c>
      <c r="F109" s="13">
        <v>42802.70003472222</v>
      </c>
      <c r="G109" s="7">
        <v>1</v>
      </c>
      <c r="H109" s="21" t="s">
        <v>879</v>
      </c>
      <c r="I109" s="13">
        <v>42802.717847222222</v>
      </c>
      <c r="J109" s="7">
        <v>0</v>
      </c>
      <c r="K109" s="98" t="str">
        <f t="shared" si="29"/>
        <v>4003/4004</v>
      </c>
      <c r="L109" s="21" t="str">
        <f>VLOOKUP(A109,'Trips&amp;Operators'!$C$1:$G$99999,5,FALSE)</f>
        <v>LOCKLEAR TRAVIS</v>
      </c>
      <c r="M109" s="6">
        <f t="shared" si="30"/>
        <v>1.7812500002037268E-2</v>
      </c>
      <c r="N109" s="7"/>
      <c r="O109" s="7"/>
      <c r="P109" s="7">
        <f>24*60*SUM($M109:$M109)</f>
        <v>25.650000002933666</v>
      </c>
      <c r="Q109" s="22"/>
      <c r="R109" s="22" t="s">
        <v>472</v>
      </c>
      <c r="S109" s="31">
        <f t="shared" si="45"/>
        <v>1</v>
      </c>
      <c r="T109" s="46" t="str">
        <f t="shared" si="31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32"/>
        <v>https://d0f6bd738d7f1b3e5a7ca70fe4ff75f0.us-east-1.aws.found.io/app/kibana#/discover/Steve-Slow-Train-Analysis-(2080s-and-2083s)?_g=(refreshInterval:(display:Off,pause:!f,section:0,value:0),time:(from:'2017-03-08T15:45:48-0700',mode:absolute,to:'2017-03-08T18:13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9" s="187" t="str">
        <f t="shared" si="33"/>
        <v>Y</v>
      </c>
      <c r="X109" s="187">
        <f t="shared" si="46"/>
        <v>1</v>
      </c>
      <c r="Y109" s="62">
        <f t="shared" si="34"/>
        <v>12.786899999999999</v>
      </c>
      <c r="Z109" s="62">
        <f t="shared" si="35"/>
        <v>0.1168</v>
      </c>
      <c r="AA109" s="62">
        <f t="shared" si="36"/>
        <v>12.6701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7"/>
        <v>0196-08</v>
      </c>
      <c r="AE109" s="85" t="str">
        <f t="shared" si="38"/>
        <v>aws s3 cp s3://rtdc.mdm.uploadarchive.raw/RTDC4004/ "%USERPROFILE%\AppData\Local\Temp\OnboardLogs"\RTDC4004\2017-03-08 --exclude "*" --recursive --include "*20170308*" &amp; "%USERPROFILE%\Documents\GitHub\mrs-test-scripts\Headless Mode &amp; Sideloading\WalkAndUnGZ.bat" "%USERPROFILE%\AppData\Local\Temp\OnboardLogs"\RTDC4004\2017-03-08 &amp; 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</v>
      </c>
      <c r="AF109" s="82" t="str">
        <f t="shared" si="39"/>
        <v>"C:\Program Files (x86)\AstroGrep\AstroGrep.exe" /e /r /s /spath="%USERPROFILE%\AppData\Local\Temp\OnboardLogs" /stypes="app*4004*20170309*" /stext=" 00:.+((SYSTEM_STATE.+slice.+state.+changed )|(ment ac)|(multiple cpu faults)|(system.+state.+changed )|(\[timeout)|(PRM\|1\|D)|(kpr)|(kdp)|(\|lc)|(penalty))"</v>
      </c>
      <c r="AG109" s="1" t="str">
        <f t="shared" si="40"/>
        <v>EC</v>
      </c>
      <c r="AH109" s="86" t="str">
        <f t="shared" si="41"/>
        <v>"%USERPROFILE%\Documents\GitHub\eaglep3\Utilities\RefineRTDCRunTimes.py" --tripid 196-08 --locoid 4004 --swversion DE.1.0.9.0 --startMP 204:127869 --initTime 2017-03-08T16:45:48 --startdatetime 2017-03-08T16:48:03 --delay 1 --endMP 204:1168 --enddatetime 2017-03-08T17:13:42 --enforcementcount 0 &gt;&gt;C:\Users\stu\Documents\GitHub\eaglep3-reporting\EC\2017-03-08-refined-times.txt</v>
      </c>
      <c r="AI109" s="108" t="str">
        <f t="shared" si="42"/>
        <v>echo {"issue":{"subject":"Onboard in-route failure","project_id":79,"tracker_id":40,"status_id":1,"priority_id":2,"assigned_to_id":23,"start_date":"2017-03-08","description":"","custom_fields":[{"id":1,"name":"Subdivision","value":"EC"},{"id":4,"name":"Milepost","value":"0.1168"},{"id":17,"name":"Train ID","value":"196-08"},{"id":16,"name":"Locomotive ID","value":"4004"},{"id":130,"name":"Impact","value":""},{"id":150,"name":"Time of Event (Mountain Time)","value":"17:13:42"},{"id":151,"name":"Denver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3"/>
        <v>start /low /b %USERPROFILE%\Documents\GitHub\eaglep3\Utilities\DownloadLogsFromS3.py --loco 4004 --day 2017-03-08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"%USERPROFILE%\AppData\Local\Temp\OnboardLogs"\RTDC4004\*4004*20170309* | grep -SE "(Enforcement Action)|(\[TIMEOUT)|(CHR.+\|PRM\|1\|D.+(SWITCH|SIGNAL).+UNKNOWN)" - &gt;&gt; 2017-03-08-UncaughtWiMAX.txt</v>
      </c>
    </row>
    <row r="110" spans="1:91" s="20" customFormat="1" x14ac:dyDescent="0.25">
      <c r="A110" s="33" t="s">
        <v>743</v>
      </c>
      <c r="B110" s="7">
        <v>4031</v>
      </c>
      <c r="C110" s="21" t="s">
        <v>242</v>
      </c>
      <c r="D110" s="21" t="s">
        <v>223</v>
      </c>
      <c r="E110" s="13">
        <v>42802.652268518519</v>
      </c>
      <c r="F110" s="13">
        <v>42802.656423611108</v>
      </c>
      <c r="G110" s="7">
        <v>1</v>
      </c>
      <c r="H110" s="21" t="s">
        <v>880</v>
      </c>
      <c r="I110" s="13">
        <v>42802.681388888886</v>
      </c>
      <c r="J110" s="7">
        <v>0</v>
      </c>
      <c r="K110" s="98" t="str">
        <f t="shared" si="29"/>
        <v>4031/4032</v>
      </c>
      <c r="L110" s="21" t="str">
        <f>VLOOKUP(A110,'Trips&amp;Operators'!$C$1:$G$99999,5,FALSE)</f>
        <v>LEVIN SCOTT</v>
      </c>
      <c r="M110" s="6">
        <f t="shared" si="30"/>
        <v>2.4965277778392192E-2</v>
      </c>
      <c r="N110" s="7">
        <f t="shared" ref="N110:N136" si="47">24*60*SUM($M110:$M110)</f>
        <v>35.950000000884756</v>
      </c>
      <c r="O110" s="7"/>
      <c r="P110" s="7"/>
      <c r="Q110" s="22"/>
      <c r="R110" s="22"/>
      <c r="S110" s="31">
        <f t="shared" si="45"/>
        <v>1</v>
      </c>
      <c r="T110" s="46" t="str">
        <f t="shared" si="31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32"/>
        <v>https://d0f6bd738d7f1b3e5a7ca70fe4ff75f0.us-east-1.aws.found.io/app/kibana#/discover/Steve-Slow-Train-Analysis-(2080s-and-2083s)?_g=(refreshInterval:(display:Off,pause:!f,section:0,value:0),time:(from:'2017-03-08T14:39:16-0700',mode:absolute,to:'2017-03-08T17:21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0" s="187" t="str">
        <f t="shared" si="33"/>
        <v>N</v>
      </c>
      <c r="X110" s="187">
        <f t="shared" si="46"/>
        <v>1</v>
      </c>
      <c r="Y110" s="62">
        <f t="shared" si="34"/>
        <v>4.53E-2</v>
      </c>
      <c r="Z110" s="62">
        <f t="shared" si="35"/>
        <v>23.3385</v>
      </c>
      <c r="AA110" s="62">
        <f t="shared" si="36"/>
        <v>23.293199999999999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7"/>
        <v>0197-08</v>
      </c>
      <c r="AE110" s="85" t="str">
        <f t="shared" si="38"/>
        <v>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 &amp; aws s3 cp s3://rtdc.mdm.uploadarchive.raw/RTDC4031/ "%USERPROFILE%\AppData\Local\Temp\OnboardLogs"\RTDC4031\2017-03-09 --exclude "*" --recursive --include "*20170309*" &amp; "%USERPROFILE%\Documents\GitHub\mrs-test-scripts\Headless Mode &amp; Sideloading\WalkAndUnGZ.bat" "%USERPROFILE%\AppData\Local\Temp\OnboardLogs"\RTDC4031\2017-03-09</v>
      </c>
      <c r="AF110" s="82" t="str">
        <f t="shared" si="39"/>
        <v>"C:\Program Files (x86)\AstroGrep\AstroGrep.exe" /e /r /s /spath="%USERPROFILE%\AppData\Local\Temp\OnboardLogs" /stypes="app*4031*20170308*" /stext=" 23:.+((SYSTEM_STATE.+slice.+state.+changed )|(ment ac)|(multiple cpu faults)|(system.+state.+changed )|(\[timeout)|(PRM\|1\|D)|(kpr)|(kdp)|(\|lc)|(penalty))"</v>
      </c>
      <c r="AG110" s="1" t="str">
        <f t="shared" si="40"/>
        <v>EC</v>
      </c>
      <c r="AH110" s="86" t="str">
        <f t="shared" si="41"/>
        <v>"%USERPROFILE%\Documents\GitHub\eaglep3\Utilities\RefineRTDCRunTimes.py" --tripid 197-08 --locoid 4031 --swversion DE.1.0.9.0 --startMP 204:453 --initTime 2017-03-08T15:39:16 --startdatetime 2017-03-08T15:45:15 --delay 1 --endMP 204:233385 --enddatetime 2017-03-08T16:21:12 --enforcementcount 0 &gt;&gt;C:\Users\stu\Documents\GitHub\eaglep3-reporting\EC\2017-03-08-refined-times.txt</v>
      </c>
      <c r="AI110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{"issue":{"subject":"","project_id":79,"tracker_id":40,"status_id":1,"priority_id":2,"assigned_to_id":23,"start_date":"2017-03-08","description":"","custom_fields":[{"id":1,"name":"Subdivision","value":"EC"},{"id":4,"name":"Milepost","value":"23.3385"},{"id":17,"name":"Train ID","value":"197-08"},{"id":16,"name":"Locomotive ID","value":"4031"},{"id":130,"name":"Impact","value":""},{"id":150,"name":"Time of Event (Mountain Time)","value":"16:21:12"},{"id":151,"name":"Denver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3"/>
        <v>start /low /b %USERPROFILE%\Documents\GitHub\eaglep3\Utilities\DownloadLogsFromS3.py --loco 4031 --day 2017-03-08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2017-03-08-UncaughtWiMAX.txt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752</v>
      </c>
      <c r="B111" s="7">
        <v>4032</v>
      </c>
      <c r="C111" s="21" t="s">
        <v>242</v>
      </c>
      <c r="D111" s="21" t="s">
        <v>863</v>
      </c>
      <c r="E111" s="13">
        <v>42802.692013888889</v>
      </c>
      <c r="F111" s="13">
        <v>42802.695300925923</v>
      </c>
      <c r="G111" s="7">
        <v>1</v>
      </c>
      <c r="H111" s="21" t="s">
        <v>272</v>
      </c>
      <c r="I111" s="13">
        <v>42802.723796296297</v>
      </c>
      <c r="J111" s="7">
        <v>0</v>
      </c>
      <c r="K111" s="98" t="str">
        <f t="shared" si="29"/>
        <v>4031/4032</v>
      </c>
      <c r="L111" s="21" t="str">
        <f>VLOOKUP(A111,'Trips&amp;Operators'!$C$1:$G$99999,5,FALSE)</f>
        <v>LEVIN SCOTT</v>
      </c>
      <c r="M111" s="6">
        <f t="shared" si="30"/>
        <v>2.849537037400296E-2</v>
      </c>
      <c r="N111" s="7">
        <f t="shared" si="47"/>
        <v>41.033333338564262</v>
      </c>
      <c r="O111" s="7"/>
      <c r="P111" s="7"/>
      <c r="Q111" s="22"/>
      <c r="R111" s="22"/>
      <c r="S111" s="31">
        <f t="shared" si="45"/>
        <v>1</v>
      </c>
      <c r="T111" s="46" t="str">
        <f t="shared" si="31"/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32"/>
        <v>https://d0f6bd738d7f1b3e5a7ca70fe4ff75f0.us-east-1.aws.found.io/app/kibana#/discover/Steve-Slow-Train-Analysis-(2080s-and-2083s)?_g=(refreshInterval:(display:Off,pause:!f,section:0,value:0),time:(from:'2017-03-08T15:36:30-0700',mode:absolute,to:'2017-03-08T18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1" s="187" t="str">
        <f t="shared" si="33"/>
        <v>N</v>
      </c>
      <c r="X111" s="187">
        <f t="shared" si="46"/>
        <v>1</v>
      </c>
      <c r="Y111" s="62">
        <f t="shared" si="34"/>
        <v>23.3066</v>
      </c>
      <c r="Z111" s="62">
        <f t="shared" si="35"/>
        <v>1.34E-2</v>
      </c>
      <c r="AA111" s="62">
        <f t="shared" si="36"/>
        <v>23.293199999999999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7"/>
        <v>0198-08</v>
      </c>
      <c r="AE111" s="85" t="str">
        <f t="shared" si="38"/>
        <v>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 &amp; aws s3 cp s3://rtdc.mdm.uploadarchive.raw/RTDC4032/ "%USERPROFILE%\AppData\Local\Temp\OnboardLogs"\RTDC4032\2017-03-09 --exclude "*" --recursive --include "*20170309*" &amp; "%USERPROFILE%\Documents\GitHub\mrs-test-scripts\Headless Mode &amp; Sideloading\WalkAndUnGZ.bat" "%USERPROFILE%\AppData\Local\Temp\OnboardLogs"\RTDC4032\2017-03-09</v>
      </c>
      <c r="AF111" s="82" t="str">
        <f t="shared" si="39"/>
        <v>"C:\Program Files (x86)\AstroGrep\AstroGrep.exe" /e /r /s /spath="%USERPROFILE%\AppData\Local\Temp\OnboardLogs" /stypes="app*4032*20170309*" /stext=" 00:.+((SYSTEM_STATE.+slice.+state.+changed )|(ment ac)|(multiple cpu faults)|(system.+state.+changed )|(\[timeout)|(PRM\|1\|D)|(kpr)|(kdp)|(\|lc)|(penalty))"</v>
      </c>
      <c r="AG111" s="1" t="str">
        <f t="shared" si="40"/>
        <v>EC</v>
      </c>
      <c r="AH111" s="86" t="str">
        <f t="shared" si="41"/>
        <v>"%USERPROFILE%\Documents\GitHub\eaglep3\Utilities\RefineRTDCRunTimes.py" --tripid 198-08 --locoid 4032 --swversion DE.1.0.9.0 --startMP 204:233066 --initTime 2017-03-08T16:36:30 --startdatetime 2017-03-08T16:41:14 --delay 1 --endMP 204:134 --enddatetime 2017-03-08T17:22:16 --enforcementcount 0 &gt;&gt;C:\Users\stu\Documents\GitHub\eaglep3-reporting\EC\2017-03-08-refined-times.txt</v>
      </c>
      <c r="AI111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{"issue":{"subject":"","project_id":79,"tracker_id":40,"status_id":1,"priority_id":2,"assigned_to_id":23,"start_date":"2017-03-08","description":"","custom_fields":[{"id":1,"name":"Subdivision","value":"EC"},{"id":4,"name":"Milepost","value":"0.0134"},{"id":17,"name":"Train ID","value":"198-08"},{"id":16,"name":"Locomotive ID","value":"4032"},{"id":130,"name":"Impact","value":""},{"id":150,"name":"Time of Event (Mountain Time)","value":"17:22:16"},{"id":151,"name":"Denver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3"/>
        <v>start /low /b %USERPROFILE%\Documents\GitHub\eaglep3\Utilities\DownloadLogsFromS3.py --loco 4032 --day 2017-03-08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"%USERPROFILE%\AppData\Local\Temp\OnboardLogs"\RTDC4032\*4032*20170309* | grep -SE "(Enforcement Action)|(\[TIMEOUT)|(CHR.+\|PRM\|1\|D.+(SWITCH|SIGNAL).+UNKNOWN)" - &gt;&gt; 2017-03-08-UncaughtWiMAX.txt</v>
      </c>
    </row>
    <row r="112" spans="1:91" s="20" customFormat="1" x14ac:dyDescent="0.25">
      <c r="A112" s="33" t="s">
        <v>746</v>
      </c>
      <c r="B112" s="7">
        <v>4042</v>
      </c>
      <c r="C112" s="21" t="s">
        <v>242</v>
      </c>
      <c r="D112" s="21" t="s">
        <v>237</v>
      </c>
      <c r="E112" s="13">
        <v>42802.664293981485</v>
      </c>
      <c r="F112" s="13">
        <v>42802.666817129626</v>
      </c>
      <c r="G112" s="7">
        <v>1</v>
      </c>
      <c r="H112" s="21" t="s">
        <v>248</v>
      </c>
      <c r="I112" s="13">
        <v>42802.693344907406</v>
      </c>
      <c r="J112" s="7">
        <v>0</v>
      </c>
      <c r="K112" s="98" t="str">
        <f t="shared" si="29"/>
        <v>4041/4042</v>
      </c>
      <c r="L112" s="21" t="str">
        <f>VLOOKUP(A112,'Trips&amp;Operators'!$C$1:$G$99999,5,FALSE)</f>
        <v>BRANNON JEFFREY</v>
      </c>
      <c r="M112" s="6">
        <f t="shared" si="30"/>
        <v>2.6527777779847383E-2</v>
      </c>
      <c r="N112" s="7">
        <f t="shared" si="47"/>
        <v>38.200000002980232</v>
      </c>
      <c r="O112" s="7"/>
      <c r="P112" s="7"/>
      <c r="Q112" s="22"/>
      <c r="R112" s="22"/>
      <c r="S112" s="31">
        <f t="shared" ref="S112:S143" si="48">SUM(U112:U112)/IF(AG112="EC",12,1)</f>
        <v>1</v>
      </c>
      <c r="T112" s="46" t="str">
        <f t="shared" si="31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32"/>
        <v>https://d0f6bd738d7f1b3e5a7ca70fe4ff75f0.us-east-1.aws.found.io/app/kibana#/discover/Steve-Slow-Train-Analysis-(2080s-and-2083s)?_g=(refreshInterval:(display:Off,pause:!f,section:0,value:0),time:(from:'2017-03-08T14:56:35-0700',mode:absolute,to:'2017-03-08T17:38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2" s="187" t="str">
        <f t="shared" si="33"/>
        <v>N</v>
      </c>
      <c r="X112" s="187">
        <f t="shared" si="46"/>
        <v>1</v>
      </c>
      <c r="Y112" s="62">
        <f t="shared" si="34"/>
        <v>4.6600000000000003E-2</v>
      </c>
      <c r="Z112" s="62">
        <f t="shared" si="35"/>
        <v>23.329699999999999</v>
      </c>
      <c r="AA112" s="62">
        <f t="shared" si="36"/>
        <v>23.283099999999997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7"/>
        <v>0199-08</v>
      </c>
      <c r="AE112" s="85" t="str">
        <f t="shared" si="38"/>
        <v>aws s3 cp s3://rtdc.mdm.uploadarchive.raw/RTDC4042/ "%USERPROFILE%\AppData\Local\Temp\OnboardLogs"\RTDC4042\2017-03-08 --exclude "*" --recursive --include "*20170308*" &amp; "%USERPROFILE%\Documents\GitHub\mrs-test-scripts\Headless Mode &amp; Sideloading\WalkAndUnGZ.bat" "%USERPROFILE%\AppData\Local\Temp\OnboardLogs"\RTDC4042\2017-03-08 &amp; aws s3 cp s3://rtdc.mdm.uploadarchive.raw/RTDC4042/ "%USERPROFILE%\AppData\Local\Temp\OnboardLogs"\RTDC4042\2017-03-09 --exclude "*" --recursive --include "*20170309*" &amp; "%USERPROFILE%\Documents\GitHub\mrs-test-scripts\Headless Mode &amp; Sideloading\WalkAndUnGZ.bat" "%USERPROFILE%\AppData\Local\Temp\OnboardLogs"\RTDC4042\2017-03-09</v>
      </c>
      <c r="AF112" s="82" t="str">
        <f t="shared" si="39"/>
        <v>"C:\Program Files (x86)\AstroGrep\AstroGrep.exe" /e /r /s /spath="%USERPROFILE%\AppData\Local\Temp\OnboardLogs" /stypes="app*4042*20170308*" /stext=" 23:.+((SYSTEM_STATE.+slice.+state.+changed )|(ment ac)|(multiple cpu faults)|(system.+state.+changed )|(\[timeout)|(PRM\|1\|D)|(kpr)|(kdp)|(\|lc)|(penalty))"</v>
      </c>
      <c r="AG112" s="1" t="str">
        <f t="shared" si="40"/>
        <v>EC</v>
      </c>
      <c r="AH112" s="86" t="str">
        <f t="shared" si="41"/>
        <v>"%USERPROFILE%\Documents\GitHub\eaglep3\Utilities\RefineRTDCRunTimes.py" --tripid 199-08 --locoid 4042 --swversion DE.1.0.9.0 --startMP 204:466 --initTime 2017-03-08T15:56:35 --startdatetime 2017-03-08T16:00:13 --delay 1 --endMP 204:233297 --enddatetime 2017-03-08T16:38:25 --enforcementcount 0 &gt;&gt;C:\Users\stu\Documents\GitHub\eaglep3-reporting\EC\2017-03-08-refined-times.txt</v>
      </c>
      <c r="AI112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{"issue":{"subject":"","project_id":79,"tracker_id":40,"status_id":1,"priority_id":2,"assigned_to_id":23,"start_date":"2017-03-08","description":"","custom_fields":[{"id":1,"name":"Subdivision","value":"EC"},{"id":4,"name":"Milepost","value":"23.3297"},{"id":17,"name":"Train ID","value":"199-08"},{"id":16,"name":"Locomotive ID","value":"4042"},{"id":130,"name":"Impact","value":""},{"id":150,"name":"Time of Event (Mountain Time)","value":"16:38:25"},{"id":151,"name":"Denver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3"/>
        <v>start /low /b %USERPROFILE%\Documents\GitHub\eaglep3\Utilities\DownloadLogsFromS3.py --loco 4042 --day 2017-03-08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"%USERPROFILE%\AppData\Local\Temp\OnboardLogs"\RTDC4042\*4042*20170308* | grep -SE "(Enforcement Action)|(\[TIMEOUT)|(CHR.+\|PRM\|1\|D.+(SWITCH|SIGNAL).+UNKNOWN)" - &gt;&gt; 2017-03-08-UncaughtWiMAX.txt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755</v>
      </c>
      <c r="B113" s="7">
        <v>4041</v>
      </c>
      <c r="C113" s="21" t="s">
        <v>242</v>
      </c>
      <c r="D113" s="21" t="s">
        <v>291</v>
      </c>
      <c r="E113" s="13">
        <v>42802.70171296296</v>
      </c>
      <c r="F113" s="13">
        <v>42802.705717592595</v>
      </c>
      <c r="G113" s="7">
        <v>1</v>
      </c>
      <c r="H113" s="21" t="s">
        <v>192</v>
      </c>
      <c r="I113" s="13">
        <v>42802.737511574072</v>
      </c>
      <c r="J113" s="7">
        <v>0</v>
      </c>
      <c r="K113" s="98" t="str">
        <f t="shared" si="29"/>
        <v>4041/4042</v>
      </c>
      <c r="L113" s="21" t="str">
        <f>VLOOKUP(A113,'Trips&amp;Operators'!$C$1:$G$99999,5,FALSE)</f>
        <v>BRANNON JEFFREY</v>
      </c>
      <c r="M113" s="6">
        <f t="shared" si="30"/>
        <v>3.1793981477676425E-2</v>
      </c>
      <c r="N113" s="7">
        <f t="shared" si="47"/>
        <v>45.783333327854052</v>
      </c>
      <c r="O113" s="7"/>
      <c r="P113" s="7"/>
      <c r="Q113" s="22"/>
      <c r="R113" s="22"/>
      <c r="S113" s="31">
        <f t="shared" si="48"/>
        <v>1</v>
      </c>
      <c r="T113" s="46" t="str">
        <f t="shared" si="31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32"/>
        <v>https://d0f6bd738d7f1b3e5a7ca70fe4ff75f0.us-east-1.aws.found.io/app/kibana#/discover/Steve-Slow-Train-Analysis-(2080s-and-2083s)?_g=(refreshInterval:(display:Off,pause:!f,section:0,value:0),time:(from:'2017-03-08T15:50:28-0700',mode:absolute,to:'2017-03-08T18:42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3" s="187" t="str">
        <f t="shared" si="33"/>
        <v>N</v>
      </c>
      <c r="X113" s="187">
        <f t="shared" si="46"/>
        <v>1</v>
      </c>
      <c r="Y113" s="62">
        <f t="shared" si="34"/>
        <v>23.297799999999999</v>
      </c>
      <c r="Z113" s="62">
        <f t="shared" si="35"/>
        <v>1.4999999999999999E-2</v>
      </c>
      <c r="AA113" s="62">
        <f t="shared" si="36"/>
        <v>23.282799999999998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7"/>
        <v>0200-08</v>
      </c>
      <c r="AE113" s="85" t="str">
        <f t="shared" si="38"/>
        <v>aws s3 cp s3://rtdc.mdm.uploadarchive.raw/RTDC4041/ "%USERPROFILE%\AppData\Local\Temp\OnboardLogs"\RTDC4041\2017-03-08 --exclude "*" --recursive --include "*20170308*" &amp; "%USERPROFILE%\Documents\GitHub\mrs-test-scripts\Headless Mode &amp; Sideloading\WalkAndUnGZ.bat" "%USERPROFILE%\AppData\Local\Temp\OnboardLogs"\RTDC4041\2017-03-08 &amp; aws s3 cp s3://rtdc.mdm.uploadarchive.raw/RTDC4041/ "%USERPROFILE%\AppData\Local\Temp\OnboardLogs"\RTDC4041\2017-03-09 --exclude "*" --recursive --include "*20170309*" &amp; "%USERPROFILE%\Documents\GitHub\mrs-test-scripts\Headless Mode &amp; Sideloading\WalkAndUnGZ.bat" "%USERPROFILE%\AppData\Local\Temp\OnboardLogs"\RTDC4041\2017-03-09</v>
      </c>
      <c r="AF113" s="82" t="str">
        <f t="shared" si="39"/>
        <v>"C:\Program Files (x86)\AstroGrep\AstroGrep.exe" /e /r /s /spath="%USERPROFILE%\AppData\Local\Temp\OnboardLogs" /stypes="app*4041*20170309*" /stext=" 00:.+((SYSTEM_STATE.+slice.+state.+changed )|(ment ac)|(multiple cpu faults)|(system.+state.+changed )|(\[timeout)|(PRM\|1\|D)|(kpr)|(kdp)|(\|lc)|(penalty))"</v>
      </c>
      <c r="AG113" s="1" t="str">
        <f t="shared" si="40"/>
        <v>EC</v>
      </c>
      <c r="AH113" s="86" t="str">
        <f t="shared" si="41"/>
        <v>"%USERPROFILE%\Documents\GitHub\eaglep3\Utilities\RefineRTDCRunTimes.py" --tripid 200-08 --locoid 4041 --swversion DE.1.0.9.0 --startMP 204:232978 --initTime 2017-03-08T16:50:28 --startdatetime 2017-03-08T16:56:14 --delay 1 --endMP 204:150 --enddatetime 2017-03-08T17:42:01 --enforcementcount 0 &gt;&gt;C:\Users\stu\Documents\GitHub\eaglep3-reporting\EC\2017-03-08-refined-times.txt</v>
      </c>
      <c r="AI113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{"issue":{"subject":"","project_id":79,"tracker_id":40,"status_id":1,"priority_id":2,"assigned_to_id":23,"start_date":"2017-03-08","description":"","custom_fields":[{"id":1,"name":"Subdivision","value":"EC"},{"id":4,"name":"Milepost","value":"0.015"},{"id":17,"name":"Train ID","value":"200-08"},{"id":16,"name":"Locomotive ID","value":"4041"},{"id":130,"name":"Impact","value":""},{"id":150,"name":"Time of Event (Mountain Time)","value":"17:42:01"},{"id":151,"name":"Denver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3"/>
        <v>start /low /b %USERPROFILE%\Documents\GitHub\eaglep3\Utilities\DownloadLogsFromS3.py --loco 4041 --day 2017-03-08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"%USERPROFILE%\AppData\Local\Temp\OnboardLogs"\RTDC4041\*4041*20170309* | grep -SE "(Enforcement Action)|(\[TIMEOUT)|(CHR.+\|PRM\|1\|D.+(SWITCH|SIGNAL).+UNKNOWN)" - &gt;&gt; 2017-03-08-UncaughtWiMAX.txt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749</v>
      </c>
      <c r="B114" s="7">
        <v>4009</v>
      </c>
      <c r="C114" s="21" t="s">
        <v>242</v>
      </c>
      <c r="D114" s="21" t="s">
        <v>881</v>
      </c>
      <c r="E114" s="13">
        <v>42802.673564814817</v>
      </c>
      <c r="F114" s="13">
        <v>42802.677245370367</v>
      </c>
      <c r="G114" s="7">
        <v>1</v>
      </c>
      <c r="H114" s="21" t="s">
        <v>469</v>
      </c>
      <c r="I114" s="13">
        <v>42802.704652777778</v>
      </c>
      <c r="J114" s="7">
        <v>0</v>
      </c>
      <c r="K114" s="98" t="str">
        <f t="shared" si="29"/>
        <v>4009/4010</v>
      </c>
      <c r="L114" s="21" t="str">
        <f>VLOOKUP(A114,'Trips&amp;Operators'!$C$1:$G$99999,5,FALSE)</f>
        <v>CLARK KATHLEEN</v>
      </c>
      <c r="M114" s="6">
        <f t="shared" si="30"/>
        <v>2.7407407411374152E-2</v>
      </c>
      <c r="N114" s="7">
        <f t="shared" si="47"/>
        <v>39.466666672378778</v>
      </c>
      <c r="O114" s="7"/>
      <c r="P114" s="7"/>
      <c r="Q114" s="22"/>
      <c r="R114" s="22"/>
      <c r="S114" s="31">
        <f t="shared" si="48"/>
        <v>1</v>
      </c>
      <c r="T114" s="46" t="str">
        <f t="shared" si="31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32"/>
        <v>https://d0f6bd738d7f1b3e5a7ca70fe4ff75f0.us-east-1.aws.found.io/app/kibana#/discover/Steve-Slow-Train-Analysis-(2080s-and-2083s)?_g=(refreshInterval:(display:Off,pause:!f,section:0,value:0),time:(from:'2017-03-08T15:09:56-0700',mode:absolute,to:'2017-03-08T17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4" s="187" t="str">
        <f t="shared" si="33"/>
        <v>N</v>
      </c>
      <c r="X114" s="187">
        <f t="shared" si="46"/>
        <v>1</v>
      </c>
      <c r="Y114" s="62">
        <f t="shared" si="34"/>
        <v>5.4800000000000001E-2</v>
      </c>
      <c r="Z114" s="62">
        <f t="shared" si="35"/>
        <v>23.328299999999999</v>
      </c>
      <c r="AA114" s="62">
        <f t="shared" si="36"/>
        <v>23.273499999999999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7"/>
        <v>0201-08</v>
      </c>
      <c r="AE114" s="85" t="str">
        <f t="shared" si="38"/>
        <v>aws s3 cp s3://rtdc.mdm.uploadarchive.raw/RTDC4009/ "%USERPROFILE%\AppData\Local\Temp\OnboardLogs"\RTDC4009\2017-03-08 --exclude "*" --recursive --include "*20170308*" &amp; "%USERPROFILE%\Documents\GitHub\mrs-test-scripts\Headless Mode &amp; Sideloading\WalkAndUnGZ.bat" "%USERPROFILE%\AppData\Local\Temp\OnboardLogs"\RTDC4009\2017-03-08 &amp; aws s3 cp s3://rtdc.mdm.uploadarchive.raw/RTDC4009/ "%USERPROFILE%\AppData\Local\Temp\OnboardLogs"\RTDC4009\2017-03-09 --exclude "*" --recursive --include "*20170309*" &amp; "%USERPROFILE%\Documents\GitHub\mrs-test-scripts\Headless Mode &amp; Sideloading\WalkAndUnGZ.bat" "%USERPROFILE%\AppData\Local\Temp\OnboardLogs"\RTDC4009\2017-03-09</v>
      </c>
      <c r="AF114" s="82" t="str">
        <f t="shared" si="39"/>
        <v>"C:\Program Files (x86)\AstroGrep\AstroGrep.exe" /e /r /s /spath="%USERPROFILE%\AppData\Local\Temp\OnboardLogs" /stypes="app*4009*20170308*" /stext=" 23:.+((SYSTEM_STATE.+slice.+state.+changed )|(ment ac)|(multiple cpu faults)|(system.+state.+changed )|(\[timeout)|(PRM\|1\|D)|(kpr)|(kdp)|(\|lc)|(penalty))"</v>
      </c>
      <c r="AG114" s="1" t="str">
        <f t="shared" si="40"/>
        <v>EC</v>
      </c>
      <c r="AH114" s="86" t="str">
        <f t="shared" si="41"/>
        <v>"%USERPROFILE%\Documents\GitHub\eaglep3\Utilities\RefineRTDCRunTimes.py" --tripid 201-08 --locoid 4009 --swversion DE.1.0.9.0 --startMP 204:548 --initTime 2017-03-08T16:09:56 --startdatetime 2017-03-08T16:15:14 --delay 1 --endMP 204:233283 --enddatetime 2017-03-08T16:54:42 --enforcementcount 0 &gt;&gt;C:\Users\stu\Documents\GitHub\eaglep3-reporting\EC\2017-03-08-refined-times.txt</v>
      </c>
      <c r="AI114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{"issue":{"subject":"","project_id":79,"tracker_id":40,"status_id":1,"priority_id":2,"assigned_to_id":23,"start_date":"2017-03-08","description":"","custom_fields":[{"id":1,"name":"Subdivision","value":"EC"},{"id":4,"name":"Milepost","value":"23.3283"},{"id":17,"name":"Train ID","value":"201-08"},{"id":16,"name":"Locomotive ID","value":"4009"},{"id":130,"name":"Impact","value":""},{"id":150,"name":"Time of Event (Mountain Time)","value":"16:54:42"},{"id":151,"name":"Denver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3"/>
        <v>start /low /b %USERPROFILE%\Documents\GitHub\eaglep3\Utilities\DownloadLogsFromS3.py --loco 4009 --day 2017-03-08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"%USERPROFILE%\AppData\Local\Temp\OnboardLogs"\RTDC4009\*4009*20170308* | grep -SE "(Enforcement Action)|(\[TIMEOUT)|(CHR.+\|PRM\|1\|D.+(SWITCH|SIGNAL).+UNKNOWN)" - &gt;&gt; 2017-03-08-UncaughtWiMAX.txt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756</v>
      </c>
      <c r="B115" s="7">
        <v>4010</v>
      </c>
      <c r="C115" s="21" t="s">
        <v>242</v>
      </c>
      <c r="D115" s="21" t="s">
        <v>470</v>
      </c>
      <c r="E115" s="13">
        <v>42802.711388888885</v>
      </c>
      <c r="F115" s="13">
        <v>42802.717407407406</v>
      </c>
      <c r="G115" s="7">
        <v>1</v>
      </c>
      <c r="H115" s="21" t="s">
        <v>882</v>
      </c>
      <c r="I115" s="13">
        <v>42802.747893518521</v>
      </c>
      <c r="J115" s="7">
        <v>0</v>
      </c>
      <c r="K115" s="98" t="str">
        <f t="shared" si="29"/>
        <v>4009/4010</v>
      </c>
      <c r="L115" s="21" t="str">
        <f>VLOOKUP(A115,'Trips&amp;Operators'!$C$1:$G$99999,5,FALSE)</f>
        <v>CLARK KATHLEEN</v>
      </c>
      <c r="M115" s="6">
        <f t="shared" si="30"/>
        <v>3.0486111114441883E-2</v>
      </c>
      <c r="N115" s="7">
        <f t="shared" si="47"/>
        <v>43.900000004796311</v>
      </c>
      <c r="O115" s="7"/>
      <c r="P115" s="7"/>
      <c r="Q115" s="22"/>
      <c r="R115" s="22"/>
      <c r="S115" s="31">
        <f t="shared" si="48"/>
        <v>1</v>
      </c>
      <c r="T115" s="46" t="str">
        <f t="shared" si="31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32"/>
        <v>https://d0f6bd738d7f1b3e5a7ca70fe4ff75f0.us-east-1.aws.found.io/app/kibana#/discover/Steve-Slow-Train-Analysis-(2080s-and-2083s)?_g=(refreshInterval:(display:Off,pause:!f,section:0,value:0),time:(from:'2017-03-08T16:04:24-0700',mode:absolute,to:'2017-03-08T18:56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5" s="187" t="str">
        <f t="shared" si="33"/>
        <v>N</v>
      </c>
      <c r="X115" s="187">
        <f t="shared" si="46"/>
        <v>1</v>
      </c>
      <c r="Y115" s="62">
        <f t="shared" si="34"/>
        <v>23.297599999999999</v>
      </c>
      <c r="Z115" s="62">
        <f t="shared" si="35"/>
        <v>1.9199999999999998E-2</v>
      </c>
      <c r="AA115" s="62">
        <f t="shared" si="36"/>
        <v>23.278399999999998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7"/>
        <v>0202-08</v>
      </c>
      <c r="AE115" s="85" t="str">
        <f t="shared" si="38"/>
        <v>aws s3 cp s3://rtdc.mdm.uploadarchive.raw/RTDC4010/ "%USERPROFILE%\AppData\Local\Temp\OnboardLogs"\RTDC4010\2017-03-08 --exclude "*" --recursive --include "*20170308*" &amp; "%USERPROFILE%\Documents\GitHub\mrs-test-scripts\Headless Mode &amp; Sideloading\WalkAndUnGZ.bat" "%USERPROFILE%\AppData\Local\Temp\OnboardLogs"\RTDC4010\2017-03-08 &amp; aws s3 cp s3://rtdc.mdm.uploadarchive.raw/RTDC4010/ "%USERPROFILE%\AppData\Local\Temp\OnboardLogs"\RTDC4010\2017-03-09 --exclude "*" --recursive --include "*20170309*" &amp; "%USERPROFILE%\Documents\GitHub\mrs-test-scripts\Headless Mode &amp; Sideloading\WalkAndUnGZ.bat" "%USERPROFILE%\AppData\Local\Temp\OnboardLogs"\RTDC4010\2017-03-09</v>
      </c>
      <c r="AF115" s="82" t="str">
        <f t="shared" si="39"/>
        <v>"C:\Program Files (x86)\AstroGrep\AstroGrep.exe" /e /r /s /spath="%USERPROFILE%\AppData\Local\Temp\OnboardLogs" /stypes="app*4010*20170309*" /stext=" 00:.+((SYSTEM_STATE.+slice.+state.+changed )|(ment ac)|(multiple cpu faults)|(system.+state.+changed )|(\[timeout)|(PRM\|1\|D)|(kpr)|(kdp)|(\|lc)|(penalty))"</v>
      </c>
      <c r="AG115" s="1" t="str">
        <f t="shared" si="40"/>
        <v>EC</v>
      </c>
      <c r="AH115" s="86" t="str">
        <f t="shared" si="41"/>
        <v>"%USERPROFILE%\Documents\GitHub\eaglep3\Utilities\RefineRTDCRunTimes.py" --tripid 202-08 --locoid 4010 --swversion DE.1.0.9.0 --startMP 204:232976 --initTime 2017-03-08T17:04:24 --startdatetime 2017-03-08T17:13:04 --delay 1 --endMP 204:192 --enddatetime 2017-03-08T17:56:58 --enforcementcount 0 &gt;&gt;C:\Users\stu\Documents\GitHub\eaglep3-reporting\EC\2017-03-08-refined-times.txt</v>
      </c>
      <c r="AI115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{"issue":{"subject":"","project_id":79,"tracker_id":40,"status_id":1,"priority_id":2,"assigned_to_id":23,"start_date":"2017-03-08","description":"","custom_fields":[{"id":1,"name":"Subdivision","value":"EC"},{"id":4,"name":"Milepost","value":"0.0192"},{"id":17,"name":"Train ID","value":"202-08"},{"id":16,"name":"Locomotive ID","value":"4010"},{"id":130,"name":"Impact","value":""},{"id":150,"name":"Time of Event (Mountain Time)","value":"17:56:58"},{"id":151,"name":"Denver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3"/>
        <v>start /low /b %USERPROFILE%\Documents\GitHub\eaglep3\Utilities\DownloadLogsFromS3.py --loco 4010 --day 2017-03-08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"%USERPROFILE%\AppData\Local\Temp\OnboardLogs"\RTDC4010\*4010*20170309* | grep -SE "(Enforcement Action)|(\[TIMEOUT)|(CHR.+\|PRM\|1\|D.+(SWITCH|SIGNAL).+UNKNOWN)" - &gt;&gt; 2017-03-08-UncaughtWiMAX.txt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586</v>
      </c>
      <c r="B116" s="7">
        <v>4016</v>
      </c>
      <c r="C116" s="21" t="s">
        <v>242</v>
      </c>
      <c r="D116" s="21" t="s">
        <v>216</v>
      </c>
      <c r="E116" s="13">
        <v>42802.686828703707</v>
      </c>
      <c r="F116" s="13">
        <v>42802.688055555554</v>
      </c>
      <c r="G116" s="7">
        <v>1</v>
      </c>
      <c r="H116" s="21" t="s">
        <v>494</v>
      </c>
      <c r="I116" s="13">
        <v>42802.717268518521</v>
      </c>
      <c r="J116" s="7">
        <v>0</v>
      </c>
      <c r="K116" s="98" t="str">
        <f t="shared" si="29"/>
        <v>4015/4016</v>
      </c>
      <c r="L116" s="21" t="str">
        <f>VLOOKUP(A116,'Trips&amp;Operators'!$C$1:$G$99999,5,FALSE)</f>
        <v>DAVIS MICHAEL</v>
      </c>
      <c r="M116" s="6">
        <f t="shared" si="30"/>
        <v>2.9212962966994382E-2</v>
      </c>
      <c r="N116" s="7">
        <f t="shared" si="47"/>
        <v>42.066666672471911</v>
      </c>
      <c r="O116" s="7"/>
      <c r="P116" s="7"/>
      <c r="Q116" s="22"/>
      <c r="R116" s="22"/>
      <c r="S116" s="31">
        <f t="shared" si="48"/>
        <v>1</v>
      </c>
      <c r="T116" s="46" t="str">
        <f t="shared" si="31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32"/>
        <v>https://d0f6bd738d7f1b3e5a7ca70fe4ff75f0.us-east-1.aws.found.io/app/kibana#/discover/Steve-Slow-Train-Analysis-(2080s-and-2083s)?_g=(refreshInterval:(display:Off,pause:!f,section:0,value:0),time:(from:'2017-03-08T15:29:02-0700',mode:absolute,to:'2017-03-08T18:12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6" s="187" t="str">
        <f t="shared" si="33"/>
        <v>N</v>
      </c>
      <c r="X116" s="187">
        <f t="shared" si="46"/>
        <v>1</v>
      </c>
      <c r="Y116" s="62">
        <f t="shared" si="34"/>
        <v>4.5100000000000001E-2</v>
      </c>
      <c r="Z116" s="62">
        <f t="shared" si="35"/>
        <v>23.328600000000002</v>
      </c>
      <c r="AA116" s="62">
        <f t="shared" si="36"/>
        <v>23.2835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7"/>
        <v>0203-08</v>
      </c>
      <c r="AE116" s="85" t="str">
        <f t="shared" si="38"/>
        <v>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 &amp; 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</v>
      </c>
      <c r="AF116" s="82" t="str">
        <f t="shared" si="39"/>
        <v>"C:\Program Files (x86)\AstroGrep\AstroGrep.exe" /e /r /s /spath="%USERPROFILE%\AppData\Local\Temp\OnboardLogs" /stypes="app*4016*20170309*" /stext=" 00:.+((SYSTEM_STATE.+slice.+state.+changed )|(ment ac)|(multiple cpu faults)|(system.+state.+changed )|(\[timeout)|(PRM\|1\|D)|(kpr)|(kdp)|(\|lc)|(penalty))"</v>
      </c>
      <c r="AG116" s="1" t="str">
        <f t="shared" si="40"/>
        <v>EC</v>
      </c>
      <c r="AH116" s="86" t="str">
        <f t="shared" si="41"/>
        <v>"%USERPROFILE%\Documents\GitHub\eaglep3\Utilities\RefineRTDCRunTimes.py" --tripid 203-08 --locoid 4016 --swversion DE.1.0.9.0 --startMP 204:451 --initTime 2017-03-08T16:29:02 --startdatetime 2017-03-08T16:30:48 --delay 1 --endMP 204:233286 --enddatetime 2017-03-08T17:12:52 --enforcementcount 0 &gt;&gt;C:\Users\stu\Documents\GitHub\eaglep3-reporting\EC\2017-03-08-refined-times.txt</v>
      </c>
      <c r="AI116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{"issue":{"subject":"","project_id":79,"tracker_id":40,"status_id":1,"priority_id":2,"assigned_to_id":23,"start_date":"2017-03-08","description":"","custom_fields":[{"id":1,"name":"Subdivision","value":"EC"},{"id":4,"name":"Milepost","value":"23.3286"},{"id":17,"name":"Train ID","value":"203-08"},{"id":16,"name":"Locomotive ID","value":"4016"},{"id":130,"name":"Impact","value":""},{"id":150,"name":"Time of Event (Mountain Time)","value":"17:12:52"},{"id":151,"name":"Denver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3"/>
        <v>start /low /b %USERPROFILE%\Documents\GitHub\eaglep3\Utilities\DownloadLogsFromS3.py --loco 4016 --day 2017-03-08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"%USERPROFILE%\AppData\Local\Temp\OnboardLogs"\RTDC4016\*4016*20170308* | grep -SE "(Enforcement Action)|(\[TIMEOUT)|(CHR.+\|PRM\|1\|D.+(SWITCH|SIGNAL).+UNKNOWN)" - &gt;&gt; 2017-03-08-UncaughtWiMAX.txt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763</v>
      </c>
      <c r="B117" s="7">
        <v>4015</v>
      </c>
      <c r="C117" s="21" t="s">
        <v>242</v>
      </c>
      <c r="D117" s="21" t="s">
        <v>883</v>
      </c>
      <c r="E117" s="13">
        <v>42802.726180555554</v>
      </c>
      <c r="F117" s="13">
        <v>42802.727488425924</v>
      </c>
      <c r="G117" s="7">
        <v>2</v>
      </c>
      <c r="H117" s="21" t="s">
        <v>192</v>
      </c>
      <c r="I117" s="13">
        <v>42802.759293981479</v>
      </c>
      <c r="J117" s="7">
        <v>0</v>
      </c>
      <c r="K117" s="98" t="str">
        <f t="shared" si="29"/>
        <v>4015/4016</v>
      </c>
      <c r="L117" s="21" t="str">
        <f>VLOOKUP(A117,'Trips&amp;Operators'!$C$1:$G$99999,5,FALSE)</f>
        <v>DAVIS MICHAEL</v>
      </c>
      <c r="M117" s="6">
        <f t="shared" si="30"/>
        <v>3.1805555554456078E-2</v>
      </c>
      <c r="N117" s="7">
        <f t="shared" si="47"/>
        <v>45.799999998416752</v>
      </c>
      <c r="O117" s="7"/>
      <c r="P117" s="7"/>
      <c r="Q117" s="22"/>
      <c r="R117" s="22"/>
      <c r="S117" s="31">
        <f t="shared" si="48"/>
        <v>1</v>
      </c>
      <c r="T117" s="46" t="str">
        <f t="shared" si="31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32"/>
        <v>https://d0f6bd738d7f1b3e5a7ca70fe4ff75f0.us-east-1.aws.found.io/app/kibana#/discover/Steve-Slow-Train-Analysis-(2080s-and-2083s)?_g=(refreshInterval:(display:Off,pause:!f,section:0,value:0),time:(from:'2017-03-08T16:25:42-0700',mode:absolute,to:'2017-03-08T19:13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7" s="187" t="str">
        <f t="shared" si="33"/>
        <v>N</v>
      </c>
      <c r="X117" s="187">
        <f t="shared" si="46"/>
        <v>1</v>
      </c>
      <c r="Y117" s="62">
        <f t="shared" si="34"/>
        <v>23.225100000000001</v>
      </c>
      <c r="Z117" s="62">
        <f t="shared" si="35"/>
        <v>1.4999999999999999E-2</v>
      </c>
      <c r="AA117" s="62">
        <f t="shared" si="36"/>
        <v>23.210100000000001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7"/>
        <v>0204-08</v>
      </c>
      <c r="AE117" s="85" t="str">
        <f t="shared" si="38"/>
        <v>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 &amp; 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</v>
      </c>
      <c r="AF117" s="82" t="str">
        <f t="shared" si="39"/>
        <v>"C:\Program Files (x86)\AstroGrep\AstroGrep.exe" /e /r /s /spath="%USERPROFILE%\AppData\Local\Temp\OnboardLogs" /stypes="app*4015*20170309*" /stext=" 01:.+((SYSTEM_STATE.+slice.+state.+changed )|(ment ac)|(multiple cpu faults)|(system.+state.+changed )|(\[timeout)|(PRM\|1\|D)|(kpr)|(kdp)|(\|lc)|(penalty))"</v>
      </c>
      <c r="AG117" s="1" t="str">
        <f t="shared" si="40"/>
        <v>EC</v>
      </c>
      <c r="AH117" s="86" t="str">
        <f t="shared" si="41"/>
        <v>"%USERPROFILE%\Documents\GitHub\eaglep3\Utilities\RefineRTDCRunTimes.py" --tripid 204-08 --locoid 4015 --swversion DE.1.0.9.0 --startMP 204:232251 --initTime 2017-03-08T17:25:42 --startdatetime 2017-03-08T17:27:35 --delay 2 --endMP 204:150 --enddatetime 2017-03-08T18:13:23 --enforcementcount 0 &gt;&gt;C:\Users\stu\Documents\GitHub\eaglep3-reporting\EC\2017-03-08-refined-times.txt</v>
      </c>
      <c r="AI117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{"issue":{"subject":"","project_id":79,"tracker_id":40,"status_id":1,"priority_id":2,"assigned_to_id":23,"start_date":"2017-03-08","description":"","custom_fields":[{"id":1,"name":"Subdivision","value":"EC"},{"id":4,"name":"Milepost","value":"0.015"},{"id":17,"name":"Train ID","value":"204-08"},{"id":16,"name":"Locomotive ID","value":"4015"},{"id":130,"name":"Impact","value":""},{"id":150,"name":"Time of Event (Mountain Time)","value":"18:13:23"},{"id":151,"name":"Denver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3"/>
        <v>start /low /b %USERPROFILE%\Documents\GitHub\eaglep3\Utilities\DownloadLogsFromS3.py --loco 4015 --day 2017-03-08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"%USERPROFILE%\AppData\Local\Temp\OnboardLogs"\RTDC4015\*4015*20170309* | grep -SE "(Enforcement Action)|(\[TIMEOUT)|(CHR.+\|PRM\|1\|D.+(SWITCH|SIGNAL).+UNKNOWN)" - &gt;&gt; 2017-03-08-UncaughtWiMAX.txt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585</v>
      </c>
      <c r="B118" s="7">
        <v>4046</v>
      </c>
      <c r="C118" s="21" t="s">
        <v>242</v>
      </c>
      <c r="D118" s="21" t="s">
        <v>884</v>
      </c>
      <c r="E118" s="13">
        <v>42802.693495370368</v>
      </c>
      <c r="F118" s="13">
        <v>42802.698113425926</v>
      </c>
      <c r="G118" s="7">
        <v>1</v>
      </c>
      <c r="H118" s="21" t="s">
        <v>499</v>
      </c>
      <c r="I118" s="13">
        <v>42802.726759259262</v>
      </c>
      <c r="J118" s="7">
        <v>0</v>
      </c>
      <c r="K118" s="98" t="str">
        <f t="shared" si="29"/>
        <v>4045/4046</v>
      </c>
      <c r="L118" s="21" t="str">
        <f>VLOOKUP(A118,'Trips&amp;Operators'!$C$1:$G$99999,5,FALSE)</f>
        <v>LEVERE CRAIG</v>
      </c>
      <c r="M118" s="6">
        <f t="shared" si="30"/>
        <v>2.8645833335758653E-2</v>
      </c>
      <c r="N118" s="7">
        <f t="shared" si="47"/>
        <v>41.25000000349246</v>
      </c>
      <c r="O118" s="7"/>
      <c r="P118" s="7"/>
      <c r="Q118" s="22"/>
      <c r="R118" s="22"/>
      <c r="S118" s="31">
        <f t="shared" si="48"/>
        <v>1</v>
      </c>
      <c r="T118" s="46" t="str">
        <f t="shared" si="31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32"/>
        <v>https://d0f6bd738d7f1b3e5a7ca70fe4ff75f0.us-east-1.aws.found.io/app/kibana#/discover/Steve-Slow-Train-Analysis-(2080s-and-2083s)?_g=(refreshInterval:(display:Off,pause:!f,section:0,value:0),time:(from:'2017-03-08T15:38:38-0700',mode:absolute,to:'2017-03-08T18:26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8" s="187" t="str">
        <f t="shared" si="33"/>
        <v>N</v>
      </c>
      <c r="X118" s="187">
        <f t="shared" si="46"/>
        <v>1</v>
      </c>
      <c r="Y118" s="62">
        <f t="shared" si="34"/>
        <v>4.8899999999999999E-2</v>
      </c>
      <c r="Z118" s="62">
        <f t="shared" si="35"/>
        <v>23.3308</v>
      </c>
      <c r="AA118" s="62">
        <f t="shared" si="36"/>
        <v>23.2819</v>
      </c>
      <c r="AB118" s="59" t="str">
        <f>VLOOKUP(A118,Enforcements!$C$7:$K$13,8,0)</f>
        <v>Bulletin (2)</v>
      </c>
      <c r="AC118" s="55" t="str">
        <f>VLOOKUP(A118,Enforcements!$C$7:$E$13,3,0)</f>
        <v>GRADE CROSSING</v>
      </c>
      <c r="AD118" s="56" t="str">
        <f t="shared" si="37"/>
        <v>0205-08</v>
      </c>
      <c r="AE118" s="85" t="str">
        <f t="shared" si="38"/>
        <v>aws s3 cp s3://rtdc.mdm.uploadarchive.raw/RTDC4046/ "%USERPROFILE%\AppData\Local\Temp\OnboardLogs"\RTDC4046\2017-03-08 --exclude "*" --recursive --include "*20170308*" &amp; "%USERPROFILE%\Documents\GitHub\mrs-test-scripts\Headless Mode &amp; Sideloading\WalkAndUnGZ.bat" "%USERPROFILE%\AppData\Local\Temp\OnboardLogs"\RTDC4046\2017-03-08 &amp; aws s3 cp s3://rtdc.mdm.uploadarchive.raw/RTDC4046/ "%USERPROFILE%\AppData\Local\Temp\OnboardLogs"\RTDC4046\2017-03-09 --exclude "*" --recursive --include "*20170309*" &amp; "%USERPROFILE%\Documents\GitHub\mrs-test-scripts\Headless Mode &amp; Sideloading\WalkAndUnGZ.bat" "%USERPROFILE%\AppData\Local\Temp\OnboardLogs"\RTDC4046\2017-03-09</v>
      </c>
      <c r="AF118" s="82" t="str">
        <f t="shared" si="39"/>
        <v>"C:\Program Files (x86)\AstroGrep\AstroGrep.exe" /e /r /s /spath="%USERPROFILE%\AppData\Local\Temp\OnboardLogs" /stypes="app*4046*20170309*" /stext=" 00:.+((SYSTEM_STATE.+slice.+state.+changed )|(ment ac)|(multiple cpu faults)|(system.+state.+changed )|(\[timeout)|(PRM\|1\|D)|(kpr)|(kdp)|(\|lc)|(penalty))"</v>
      </c>
      <c r="AG118" s="1" t="str">
        <f t="shared" si="40"/>
        <v>EC</v>
      </c>
      <c r="AH118" s="86" t="str">
        <f t="shared" si="41"/>
        <v>"%USERPROFILE%\Documents\GitHub\eaglep3\Utilities\RefineRTDCRunTimes.py" --tripid 205-08 --locoid 4046 --swversion DE.1.0.9.0 --startMP 204:489 --initTime 2017-03-08T16:38:38 --startdatetime 2017-03-08T16:45:17 --delay 1 --endMP 204:233308 --enddatetime 2017-03-08T17:26:32 --enforcementcount 0 &gt;&gt;C:\Users\stu\Documents\GitHub\eaglep3-reporting\EC\2017-03-08-refined-times.txt</v>
      </c>
      <c r="AI118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{"issue":{"subject":"","project_id":79,"tracker_id":40,"status_id":1,"priority_id":2,"assigned_to_id":23,"start_date":"2017-03-08","description":"","custom_fields":[{"id":1,"name":"Subdivision","value":"EC"},{"id":4,"name":"Milepost","value":"23.3308"},{"id":17,"name":"Train ID","value":"205-08"},{"id":16,"name":"Locomotive ID","value":"4046"},{"id":130,"name":"Impact","value":""},{"id":150,"name":"Time of Event (Mountain Time)","value":"17:26:32"},{"id":151,"name":"Denver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3"/>
        <v>start /low /b %USERPROFILE%\Documents\GitHub\eaglep3\Utilities\DownloadLogsFromS3.py --loco 4046 --day 2017-03-08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"%USERPROFILE%\AppData\Local\Temp\OnboardLogs"\RTDC4046\*4046*20170309* | grep -SE "(Enforcement Action)|(\[TIMEOUT)|(CHR.+\|PRM\|1\|D.+(SWITCH|SIGNAL).+UNKNOWN)" - &gt;&gt; 2017-03-08-UncaughtWiMAX.txt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765</v>
      </c>
      <c r="B119" s="7">
        <v>4045</v>
      </c>
      <c r="C119" s="21" t="s">
        <v>242</v>
      </c>
      <c r="D119" s="21" t="s">
        <v>281</v>
      </c>
      <c r="E119" s="13">
        <v>42802.730543981481</v>
      </c>
      <c r="F119" s="13">
        <v>42802.73709490741</v>
      </c>
      <c r="G119" s="7">
        <v>1</v>
      </c>
      <c r="H119" s="21" t="s">
        <v>228</v>
      </c>
      <c r="I119" s="13">
        <v>42802.767326388886</v>
      </c>
      <c r="J119" s="7">
        <v>0</v>
      </c>
      <c r="K119" s="98" t="str">
        <f t="shared" si="29"/>
        <v>4045/4046</v>
      </c>
      <c r="L119" s="21" t="str">
        <f>VLOOKUP(A119,'Trips&amp;Operators'!$C$1:$G$99999,5,FALSE)</f>
        <v>LEVERE CRAIG</v>
      </c>
      <c r="M119" s="6">
        <f t="shared" si="30"/>
        <v>3.0231481476221234E-2</v>
      </c>
      <c r="N119" s="7">
        <f t="shared" si="47"/>
        <v>43.533333325758576</v>
      </c>
      <c r="O119" s="7"/>
      <c r="P119" s="7"/>
      <c r="Q119" s="22"/>
      <c r="R119" s="22"/>
      <c r="S119" s="31">
        <f t="shared" si="48"/>
        <v>1</v>
      </c>
      <c r="T119" s="46" t="str">
        <f t="shared" si="31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32"/>
        <v>https://d0f6bd738d7f1b3e5a7ca70fe4ff75f0.us-east-1.aws.found.io/app/kibana#/discover/Steve-Slow-Train-Analysis-(2080s-and-2083s)?_g=(refreshInterval:(display:Off,pause:!f,section:0,value:0),time:(from:'2017-03-08T16:31:59-0700',mode:absolute,to:'2017-03-08T19:24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9" s="187" t="str">
        <f t="shared" si="33"/>
        <v>N</v>
      </c>
      <c r="X119" s="187">
        <f t="shared" si="46"/>
        <v>1</v>
      </c>
      <c r="Y119" s="62">
        <f t="shared" si="34"/>
        <v>23.299099999999999</v>
      </c>
      <c r="Z119" s="62">
        <f t="shared" si="35"/>
        <v>1.3899999999999999E-2</v>
      </c>
      <c r="AA119" s="62">
        <f t="shared" si="36"/>
        <v>23.2852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7"/>
        <v>0206-08</v>
      </c>
      <c r="AE119" s="85" t="str">
        <f t="shared" si="38"/>
        <v>aws s3 cp s3://rtdc.mdm.uploadarchive.raw/RTDC4045/ "%USERPROFILE%\AppData\Local\Temp\OnboardLogs"\RTDC4045\2017-03-08 --exclude "*" --recursive --include "*20170308*" &amp; "%USERPROFILE%\Documents\GitHub\mrs-test-scripts\Headless Mode &amp; Sideloading\WalkAndUnGZ.bat" "%USERPROFILE%\AppData\Local\Temp\OnboardLogs"\RTDC4045\2017-03-08 &amp; aws s3 cp s3://rtdc.mdm.uploadarchive.raw/RTDC4045/ "%USERPROFILE%\AppData\Local\Temp\OnboardLogs"\RTDC4045\2017-03-09 --exclude "*" --recursive --include "*20170309*" &amp; "%USERPROFILE%\Documents\GitHub\mrs-test-scripts\Headless Mode &amp; Sideloading\WalkAndUnGZ.bat" "%USERPROFILE%\AppData\Local\Temp\OnboardLogs"\RTDC4045\2017-03-09</v>
      </c>
      <c r="AF119" s="82" t="str">
        <f t="shared" si="39"/>
        <v>"C:\Program Files (x86)\AstroGrep\AstroGrep.exe" /e /r /s /spath="%USERPROFILE%\AppData\Local\Temp\OnboardLogs" /stypes="app*4045*20170309*" /stext=" 01:.+((SYSTEM_STATE.+slice.+state.+changed )|(ment ac)|(multiple cpu faults)|(system.+state.+changed )|(\[timeout)|(PRM\|1\|D)|(kpr)|(kdp)|(\|lc)|(penalty))"</v>
      </c>
      <c r="AG119" s="1" t="str">
        <f t="shared" si="40"/>
        <v>EC</v>
      </c>
      <c r="AH119" s="86" t="str">
        <f t="shared" si="41"/>
        <v>"%USERPROFILE%\Documents\GitHub\eaglep3\Utilities\RefineRTDCRunTimes.py" --tripid 206-08 --locoid 4045 --swversion DE.1.0.9.0 --startMP 204:232991 --initTime 2017-03-08T17:31:59 --startdatetime 2017-03-08T17:41:25 --delay 1 --endMP 204:139 --enddatetime 2017-03-08T18:24:57 --enforcementcount 0 &gt;&gt;C:\Users\stu\Documents\GitHub\eaglep3-reporting\EC\2017-03-08-refined-times.txt</v>
      </c>
      <c r="AI119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{"issue":{"subject":"","project_id":79,"tracker_id":40,"status_id":1,"priority_id":2,"assigned_to_id":23,"start_date":"2017-03-08","description":"","custom_fields":[{"id":1,"name":"Subdivision","value":"EC"},{"id":4,"name":"Milepost","value":"0.0139"},{"id":17,"name":"Train ID","value":"206-08"},{"id":16,"name":"Locomotive ID","value":"4045"},{"id":130,"name":"Impact","value":""},{"id":150,"name":"Time of Event (Mountain Time)","value":"18:24:57"},{"id":151,"name":"Denver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3"/>
        <v>start /low /b %USERPROFILE%\Documents\GitHub\eaglep3\Utilities\DownloadLogsFromS3.py --loco 4045 --day 2017-03-08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"%USERPROFILE%\AppData\Local\Temp\OnboardLogs"\RTDC4045\*4045*20170309* | grep -SE "(Enforcement Action)|(\[TIMEOUT)|(CHR.+\|PRM\|1\|D.+(SWITCH|SIGNAL).+UNKNOWN)" - &gt;&gt; 2017-03-08-UncaughtWiMAX.txt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587</v>
      </c>
      <c r="B120" s="7">
        <v>4029</v>
      </c>
      <c r="C120" s="21" t="s">
        <v>242</v>
      </c>
      <c r="D120" s="21" t="s">
        <v>237</v>
      </c>
      <c r="E120" s="13">
        <v>42802.704837962963</v>
      </c>
      <c r="F120" s="13">
        <v>42802.710393518515</v>
      </c>
      <c r="G120" s="7">
        <v>1</v>
      </c>
      <c r="H120" s="21" t="s">
        <v>280</v>
      </c>
      <c r="I120" s="13">
        <v>42802.736550925925</v>
      </c>
      <c r="J120" s="7">
        <v>0</v>
      </c>
      <c r="K120" s="98" t="str">
        <f t="shared" si="29"/>
        <v>4029/4030</v>
      </c>
      <c r="L120" s="21" t="str">
        <f>VLOOKUP(A120,'Trips&amp;Operators'!$C$1:$G$99999,5,FALSE)</f>
        <v>HELVIE ADAM</v>
      </c>
      <c r="M120" s="6">
        <f t="shared" si="30"/>
        <v>2.6157407410209998E-2</v>
      </c>
      <c r="N120" s="7">
        <f t="shared" si="47"/>
        <v>37.666666670702398</v>
      </c>
      <c r="O120" s="7"/>
      <c r="P120" s="7"/>
      <c r="Q120" s="22"/>
      <c r="R120" s="22"/>
      <c r="S120" s="31">
        <f t="shared" si="48"/>
        <v>1</v>
      </c>
      <c r="T120" s="46" t="str">
        <f t="shared" si="31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32"/>
        <v>https://d0f6bd738d7f1b3e5a7ca70fe4ff75f0.us-east-1.aws.found.io/app/kibana#/discover/Steve-Slow-Train-Analysis-(2080s-and-2083s)?_g=(refreshInterval:(display:Off,pause:!f,section:0,value:0),time:(from:'2017-03-08T15:54:58-0700',mode:absolute,to:'2017-03-08T18:40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0" s="187" t="str">
        <f t="shared" si="33"/>
        <v>N</v>
      </c>
      <c r="X120" s="187">
        <f t="shared" si="46"/>
        <v>1</v>
      </c>
      <c r="Y120" s="62">
        <f t="shared" si="34"/>
        <v>4.6600000000000003E-2</v>
      </c>
      <c r="Z120" s="62">
        <f t="shared" si="35"/>
        <v>23.329499999999999</v>
      </c>
      <c r="AA120" s="62">
        <f t="shared" si="36"/>
        <v>23.282899999999998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7"/>
        <v>0207-08</v>
      </c>
      <c r="AE120" s="85" t="str">
        <f t="shared" si="38"/>
        <v>aws s3 cp s3://rtdc.mdm.uploadarchive.raw/RTDC4029/ "%USERPROFILE%\AppData\Local\Temp\OnboardLogs"\RTDC4029\2017-03-08 --exclude "*" --recursive --include "*20170308*" &amp; "%USERPROFILE%\Documents\GitHub\mrs-test-scripts\Headless Mode &amp; Sideloading\WalkAndUnGZ.bat" "%USERPROFILE%\AppData\Local\Temp\OnboardLogs"\RTDC4029\2017-03-08 &amp; 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</v>
      </c>
      <c r="AF120" s="82" t="str">
        <f t="shared" si="39"/>
        <v>"C:\Program Files (x86)\AstroGrep\AstroGrep.exe" /e /r /s /spath="%USERPROFILE%\AppData\Local\Temp\OnboardLogs" /stypes="app*4029*20170309*" /stext=" 00:.+((SYSTEM_STATE.+slice.+state.+changed )|(ment ac)|(multiple cpu faults)|(system.+state.+changed )|(\[timeout)|(PRM\|1\|D)|(kpr)|(kdp)|(\|lc)|(penalty))"</v>
      </c>
      <c r="AG120" s="1" t="str">
        <f t="shared" si="40"/>
        <v>EC</v>
      </c>
      <c r="AH120" s="86" t="str">
        <f t="shared" si="41"/>
        <v>"%USERPROFILE%\Documents\GitHub\eaglep3\Utilities\RefineRTDCRunTimes.py" --tripid 207-08 --locoid 4029 --swversion DE.1.0.9.0 --startMP 204:466 --initTime 2017-03-08T16:54:58 --startdatetime 2017-03-08T17:02:58 --delay 1 --endMP 204:233295 --enddatetime 2017-03-08T17:40:38 --enforcementcount 0 &gt;&gt;C:\Users\stu\Documents\GitHub\eaglep3-reporting\EC\2017-03-08-refined-times.txt</v>
      </c>
      <c r="AI120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{"issue":{"subject":"","project_id":79,"tracker_id":40,"status_id":1,"priority_id":2,"assigned_to_id":23,"start_date":"2017-03-08","description":"","custom_fields":[{"id":1,"name":"Subdivision","value":"EC"},{"id":4,"name":"Milepost","value":"23.3295"},{"id":17,"name":"Train ID","value":"207-08"},{"id":16,"name":"Locomotive ID","value":"4029"},{"id":130,"name":"Impact","value":""},{"id":150,"name":"Time of Event (Mountain Time)","value":"17:40:38"},{"id":151,"name":"Denver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3"/>
        <v>start /low /b %USERPROFILE%\Documents\GitHub\eaglep3\Utilities\DownloadLogsFromS3.py --loco 4029 --day 2017-03-08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"%USERPROFILE%\AppData\Local\Temp\OnboardLogs"\RTDC4029\*4029*20170309* | grep -SE "(Enforcement Action)|(\[TIMEOUT)|(CHR.+\|PRM\|1\|D.+(SWITCH|SIGNAL).+UNKNOWN)" - &gt;&gt; 2017-03-08-UncaughtWiMAX.txt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768</v>
      </c>
      <c r="B121" s="7">
        <v>4030</v>
      </c>
      <c r="C121" s="21" t="s">
        <v>242</v>
      </c>
      <c r="D121" s="21" t="s">
        <v>283</v>
      </c>
      <c r="E121" s="13">
        <v>42802.742615740739</v>
      </c>
      <c r="F121" s="13">
        <v>42802.747627314813</v>
      </c>
      <c r="G121" s="7">
        <v>1</v>
      </c>
      <c r="H121" s="21" t="s">
        <v>203</v>
      </c>
      <c r="I121" s="13">
        <v>42802.777905092589</v>
      </c>
      <c r="J121" s="7">
        <v>0</v>
      </c>
      <c r="K121" s="98" t="str">
        <f t="shared" si="29"/>
        <v>4029/4030</v>
      </c>
      <c r="L121" s="21" t="str">
        <f>VLOOKUP(A121,'Trips&amp;Operators'!$C$1:$G$99999,5,FALSE)</f>
        <v>HELVIE ADAM</v>
      </c>
      <c r="M121" s="6">
        <f t="shared" si="30"/>
        <v>3.0277777776063886E-2</v>
      </c>
      <c r="N121" s="7">
        <f t="shared" si="47"/>
        <v>43.599999997531995</v>
      </c>
      <c r="O121" s="7"/>
      <c r="P121" s="7"/>
      <c r="Q121" s="22"/>
      <c r="R121" s="22"/>
      <c r="S121" s="31">
        <f t="shared" si="48"/>
        <v>1</v>
      </c>
      <c r="T121" s="46" t="str">
        <f t="shared" si="31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32"/>
        <v>https://d0f6bd738d7f1b3e5a7ca70fe4ff75f0.us-east-1.aws.found.io/app/kibana#/discover/Steve-Slow-Train-Analysis-(2080s-and-2083s)?_g=(refreshInterval:(display:Off,pause:!f,section:0,value:0),time:(from:'2017-03-08T16:49:22-0700',mode:absolute,to:'2017-03-08T19:40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1" s="187" t="str">
        <f t="shared" si="33"/>
        <v>N</v>
      </c>
      <c r="X121" s="187">
        <f t="shared" si="46"/>
        <v>1</v>
      </c>
      <c r="Y121" s="62">
        <f t="shared" si="34"/>
        <v>23.2971</v>
      </c>
      <c r="Z121" s="62">
        <f t="shared" si="35"/>
        <v>1.5800000000000002E-2</v>
      </c>
      <c r="AA121" s="62">
        <f t="shared" si="36"/>
        <v>23.281300000000002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7"/>
        <v>0208-08</v>
      </c>
      <c r="AE121" s="85" t="str">
        <f t="shared" si="38"/>
        <v>aws s3 cp s3://rtdc.mdm.uploadarchive.raw/RTDC4030/ "%USERPROFILE%\AppData\Local\Temp\OnboardLogs"\RTDC4030\2017-03-08 --exclude "*" --recursive --include "*20170308*" &amp; "%USERPROFILE%\Documents\GitHub\mrs-test-scripts\Headless Mode &amp; Sideloading\WalkAndUnGZ.bat" "%USERPROFILE%\AppData\Local\Temp\OnboardLogs"\RTDC4030\2017-03-08 &amp; 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</v>
      </c>
      <c r="AF121" s="82" t="str">
        <f t="shared" si="39"/>
        <v>"C:\Program Files (x86)\AstroGrep\AstroGrep.exe" /e /r /s /spath="%USERPROFILE%\AppData\Local\Temp\OnboardLogs" /stypes="app*4030*20170309*" /stext=" 01:.+((SYSTEM_STATE.+slice.+state.+changed )|(ment ac)|(multiple cpu faults)|(system.+state.+changed )|(\[timeout)|(PRM\|1\|D)|(kpr)|(kdp)|(\|lc)|(penalty))"</v>
      </c>
      <c r="AG121" s="1" t="str">
        <f t="shared" si="40"/>
        <v>EC</v>
      </c>
      <c r="AH121" s="86" t="str">
        <f t="shared" si="41"/>
        <v>"%USERPROFILE%\Documents\GitHub\eaglep3\Utilities\RefineRTDCRunTimes.py" --tripid 208-08 --locoid 4030 --swversion DE.1.0.9.0 --startMP 204:232971 --initTime 2017-03-08T17:49:22 --startdatetime 2017-03-08T17:56:35 --delay 1 --endMP 204:158 --enddatetime 2017-03-08T18:40:11 --enforcementcount 0 &gt;&gt;C:\Users\stu\Documents\GitHub\eaglep3-reporting\EC\2017-03-08-refined-times.txt</v>
      </c>
      <c r="AI121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{"issue":{"subject":"","project_id":79,"tracker_id":40,"status_id":1,"priority_id":2,"assigned_to_id":23,"start_date":"2017-03-08","description":"","custom_fields":[{"id":1,"name":"Subdivision","value":"EC"},{"id":4,"name":"Milepost","value":"0.0158"},{"id":17,"name":"Train ID","value":"208-08"},{"id":16,"name":"Locomotive ID","value":"4030"},{"id":130,"name":"Impact","value":""},{"id":150,"name":"Time of Event (Mountain Time)","value":"18:40:11"},{"id":151,"name":"Denver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3"/>
        <v>start /low /b %USERPROFILE%\Documents\GitHub\eaglep3\Utilities\DownloadLogsFromS3.py --loco 4030 --day 2017-03-08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"%USERPROFILE%\AppData\Local\Temp\OnboardLogs"\RTDC4030\*4030*20170309* | grep -SE "(Enforcement Action)|(\[TIMEOUT)|(CHR.+\|PRM\|1\|D.+(SWITCH|SIGNAL).+UNKNOWN)" - &gt;&gt; 2017-03-08-UncaughtWiMAX.txt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757</v>
      </c>
      <c r="B122" s="7">
        <v>4051</v>
      </c>
      <c r="C122" s="21" t="s">
        <v>242</v>
      </c>
      <c r="D122" s="21" t="s">
        <v>230</v>
      </c>
      <c r="E122" s="13">
        <v>42802.714178240742</v>
      </c>
      <c r="F122" s="13">
        <v>42802.719143518516</v>
      </c>
      <c r="G122" s="7">
        <v>1</v>
      </c>
      <c r="H122" s="21" t="s">
        <v>248</v>
      </c>
      <c r="I122" s="13">
        <v>42802.746006944442</v>
      </c>
      <c r="J122" s="7">
        <v>0</v>
      </c>
      <c r="K122" s="98" t="str">
        <f t="shared" si="29"/>
        <v>4051/4052</v>
      </c>
      <c r="L122" s="21" t="str">
        <f>VLOOKUP(A122,'Trips&amp;Operators'!$C$1:$G$99999,5,FALSE)</f>
        <v>SWANSON BRYCE</v>
      </c>
      <c r="M122" s="6">
        <f t="shared" si="30"/>
        <v>2.6863425926421769E-2</v>
      </c>
      <c r="N122" s="7">
        <f t="shared" si="47"/>
        <v>38.683333334047347</v>
      </c>
      <c r="O122" s="7"/>
      <c r="P122" s="7"/>
      <c r="Q122" s="22"/>
      <c r="R122" s="22"/>
      <c r="S122" s="31">
        <f t="shared" si="48"/>
        <v>1</v>
      </c>
      <c r="T122" s="46" t="str">
        <f t="shared" si="31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32"/>
        <v>https://d0f6bd738d7f1b3e5a7ca70fe4ff75f0.us-east-1.aws.found.io/app/kibana#/discover/Steve-Slow-Train-Analysis-(2080s-and-2083s)?_g=(refreshInterval:(display:Off,pause:!f,section:0,value:0),time:(from:'2017-03-08T16:08:25-0700',mode:absolute,to:'2017-03-08T18:54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2" s="187" t="str">
        <f t="shared" si="33"/>
        <v>N</v>
      </c>
      <c r="X122" s="187">
        <f t="shared" si="46"/>
        <v>1</v>
      </c>
      <c r="Y122" s="62">
        <f t="shared" si="34"/>
        <v>4.3999999999999997E-2</v>
      </c>
      <c r="Z122" s="62">
        <f t="shared" si="35"/>
        <v>23.329699999999999</v>
      </c>
      <c r="AA122" s="62">
        <f t="shared" si="36"/>
        <v>23.285699999999999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7"/>
        <v>0209-08</v>
      </c>
      <c r="AE122" s="85" t="str">
        <f t="shared" si="38"/>
        <v>aws s3 cp s3://rtdc.mdm.uploadarchive.raw/RTDC4051/ "%USERPROFILE%\AppData\Local\Temp\OnboardLogs"\RTDC4051\2017-03-08 --exclude "*" --recursive --include "*20170308*" &amp; "%USERPROFILE%\Documents\GitHub\mrs-test-scripts\Headless Mode &amp; Sideloading\WalkAndUnGZ.bat" "%USERPROFILE%\AppData\Local\Temp\OnboardLogs"\RTDC4051\2017-03-08 &amp; aws s3 cp s3://rtdc.mdm.uploadarchive.raw/RTDC4051/ "%USERPROFILE%\AppData\Local\Temp\OnboardLogs"\RTDC4051\2017-03-09 --exclude "*" --recursive --include "*20170309*" &amp; "%USERPROFILE%\Documents\GitHub\mrs-test-scripts\Headless Mode &amp; Sideloading\WalkAndUnGZ.bat" "%USERPROFILE%\AppData\Local\Temp\OnboardLogs"\RTDC4051\2017-03-09</v>
      </c>
      <c r="AF122" s="82" t="str">
        <f t="shared" si="39"/>
        <v>"C:\Program Files (x86)\AstroGrep\AstroGrep.exe" /e /r /s /spath="%USERPROFILE%\AppData\Local\Temp\OnboardLogs" /stypes="app*4051*20170309*" /stext=" 00:.+((SYSTEM_STATE.+slice.+state.+changed )|(ment ac)|(multiple cpu faults)|(system.+state.+changed )|(\[timeout)|(PRM\|1\|D)|(kpr)|(kdp)|(\|lc)|(penalty))"</v>
      </c>
      <c r="AG122" s="1" t="str">
        <f t="shared" si="40"/>
        <v>EC</v>
      </c>
      <c r="AH122" s="86" t="str">
        <f t="shared" si="41"/>
        <v>"%USERPROFILE%\Documents\GitHub\eaglep3\Utilities\RefineRTDCRunTimes.py" --tripid 209-08 --locoid 4051 --swversion DE.1.0.9.0 --startMP 204:440 --initTime 2017-03-08T17:08:25 --startdatetime 2017-03-08T17:15:34 --delay 1 --endMP 204:233297 --enddatetime 2017-03-08T17:54:15 --enforcementcount 0 &gt;&gt;C:\Users\stu\Documents\GitHub\eaglep3-reporting\EC\2017-03-08-refined-times.txt</v>
      </c>
      <c r="AI122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{"issue":{"subject":"","project_id":79,"tracker_id":40,"status_id":1,"priority_id":2,"assigned_to_id":23,"start_date":"2017-03-08","description":"","custom_fields":[{"id":1,"name":"Subdivision","value":"EC"},{"id":4,"name":"Milepost","value":"23.3297"},{"id":17,"name":"Train ID","value":"209-08"},{"id":16,"name":"Locomotive ID","value":"4051"},{"id":130,"name":"Impact","value":""},{"id":150,"name":"Time of Event (Mountain Time)","value":"17:54:15"},{"id":151,"name":"Denver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3"/>
        <v>start /low /b %USERPROFILE%\Documents\GitHub\eaglep3\Utilities\DownloadLogsFromS3.py --loco 4051 --day 2017-03-08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"%USERPROFILE%\AppData\Local\Temp\OnboardLogs"\RTDC4051\*4051*20170309* | grep -SE "(Enforcement Action)|(\[TIMEOUT)|(CHR.+\|PRM\|1\|D.+(SWITCH|SIGNAL).+UNKNOWN)" - &gt;&gt; 2017-03-08-UncaughtWiMAX.txt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774</v>
      </c>
      <c r="B123" s="7">
        <v>4052</v>
      </c>
      <c r="C123" s="21" t="s">
        <v>242</v>
      </c>
      <c r="D123" s="21" t="s">
        <v>470</v>
      </c>
      <c r="E123" s="13">
        <v>42802.75371527778</v>
      </c>
      <c r="F123" s="13">
        <v>42802.757800925923</v>
      </c>
      <c r="G123" s="7">
        <v>1</v>
      </c>
      <c r="H123" s="21" t="s">
        <v>202</v>
      </c>
      <c r="I123" s="13">
        <v>42802.790821759256</v>
      </c>
      <c r="J123" s="7">
        <v>0</v>
      </c>
      <c r="K123" s="98" t="str">
        <f t="shared" si="29"/>
        <v>4051/4052</v>
      </c>
      <c r="L123" s="21" t="str">
        <f>VLOOKUP(A123,'Trips&amp;Operators'!$C$1:$G$99999,5,FALSE)</f>
        <v>SWANSON BRYCE</v>
      </c>
      <c r="M123" s="6">
        <f t="shared" si="30"/>
        <v>3.3020833332557231E-2</v>
      </c>
      <c r="N123" s="7">
        <f t="shared" si="47"/>
        <v>47.549999998882413</v>
      </c>
      <c r="O123" s="7"/>
      <c r="P123" s="7"/>
      <c r="Q123" s="22"/>
      <c r="R123" s="22"/>
      <c r="S123" s="31">
        <f t="shared" si="48"/>
        <v>1</v>
      </c>
      <c r="T123" s="46" t="str">
        <f t="shared" si="31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32"/>
        <v>https://d0f6bd738d7f1b3e5a7ca70fe4ff75f0.us-east-1.aws.found.io/app/kibana#/discover/Steve-Slow-Train-Analysis-(2080s-and-2083s)?_g=(refreshInterval:(display:Off,pause:!f,section:0,value:0),time:(from:'2017-03-08T17:05:21-0700',mode:absolute,to:'2017-03-08T19:58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3" s="187" t="str">
        <f t="shared" si="33"/>
        <v>N</v>
      </c>
      <c r="X123" s="187">
        <f t="shared" ref="X123:X154" si="49">VALUE(LEFT(AD123,4))-VALUE(LEFT(AD122,4))</f>
        <v>1</v>
      </c>
      <c r="Y123" s="62">
        <f t="shared" si="34"/>
        <v>23.297599999999999</v>
      </c>
      <c r="Z123" s="62">
        <f t="shared" si="35"/>
        <v>1.52E-2</v>
      </c>
      <c r="AA123" s="62">
        <f t="shared" si="36"/>
        <v>23.282399999999999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7"/>
        <v>0210-08</v>
      </c>
      <c r="AE123" s="85" t="str">
        <f t="shared" si="38"/>
        <v>aws s3 cp s3://rtdc.mdm.uploadarchive.raw/RTDC4052/ "%USERPROFILE%\AppData\Local\Temp\OnboardLogs"\RTDC4052\2017-03-08 --exclude "*" --recursive --include "*20170308*" &amp; "%USERPROFILE%\Documents\GitHub\mrs-test-scripts\Headless Mode &amp; Sideloading\WalkAndUnGZ.bat" "%USERPROFILE%\AppData\Local\Temp\OnboardLogs"\RTDC4052\2017-03-08 &amp; aws s3 cp s3://rtdc.mdm.uploadarchive.raw/RTDC4052/ "%USERPROFILE%\AppData\Local\Temp\OnboardLogs"\RTDC4052\2017-03-09 --exclude "*" --recursive --include "*20170309*" &amp; "%USERPROFILE%\Documents\GitHub\mrs-test-scripts\Headless Mode &amp; Sideloading\WalkAndUnGZ.bat" "%USERPROFILE%\AppData\Local\Temp\OnboardLogs"\RTDC4052\2017-03-09</v>
      </c>
      <c r="AF123" s="82" t="str">
        <f t="shared" si="39"/>
        <v>"C:\Program Files (x86)\AstroGrep\AstroGrep.exe" /e /r /s /spath="%USERPROFILE%\AppData\Local\Temp\OnboardLogs" /stypes="app*4052*20170309*" /stext=" 01:.+((SYSTEM_STATE.+slice.+state.+changed )|(ment ac)|(multiple cpu faults)|(system.+state.+changed )|(\[timeout)|(PRM\|1\|D)|(kpr)|(kdp)|(\|lc)|(penalty))"</v>
      </c>
      <c r="AG123" s="1" t="str">
        <f t="shared" si="40"/>
        <v>EC</v>
      </c>
      <c r="AH123" s="86" t="str">
        <f t="shared" si="41"/>
        <v>"%USERPROFILE%\Documents\GitHub\eaglep3\Utilities\RefineRTDCRunTimes.py" --tripid 210-08 --locoid 4052 --swversion DE.1.0.9.0 --startMP 204:232976 --initTime 2017-03-08T18:05:21 --startdatetime 2017-03-08T18:11:14 --delay 1 --endMP 204:152 --enddatetime 2017-03-08T18:58:47 --enforcementcount 0 &gt;&gt;C:\Users\stu\Documents\GitHub\eaglep3-reporting\EC\2017-03-08-refined-times.txt</v>
      </c>
      <c r="AI123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{"issue":{"subject":"","project_id":79,"tracker_id":40,"status_id":1,"priority_id":2,"assigned_to_id":23,"start_date":"2017-03-08","description":"","custom_fields":[{"id":1,"name":"Subdivision","value":"EC"},{"id":4,"name":"Milepost","value":"0.0152"},{"id":17,"name":"Train ID","value":"210-08"},{"id":16,"name":"Locomotive ID","value":"4052"},{"id":130,"name":"Impact","value":""},{"id":150,"name":"Time of Event (Mountain Time)","value":"18:58:47"},{"id":151,"name":"Denver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3"/>
        <v>start /low /b %USERPROFILE%\Documents\GitHub\eaglep3\Utilities\DownloadLogsFromS3.py --loco 4052 --day 2017-03-08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"%USERPROFILE%\AppData\Local\Temp\OnboardLogs"\RTDC4052\*4052*20170309* | grep -SE "(Enforcement Action)|(\[TIMEOUT)|(CHR.+\|PRM\|1\|D.+(SWITCH|SIGNAL).+UNKNOWN)" - &gt;&gt; 2017-03-08-UncaughtWiMAX.txt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762</v>
      </c>
      <c r="B124" s="7">
        <v>4031</v>
      </c>
      <c r="C124" s="21" t="s">
        <v>242</v>
      </c>
      <c r="D124" s="21" t="s">
        <v>234</v>
      </c>
      <c r="E124" s="13">
        <v>42802.725370370368</v>
      </c>
      <c r="F124" s="13">
        <v>42802.729328703703</v>
      </c>
      <c r="G124" s="7">
        <v>1</v>
      </c>
      <c r="H124" s="21" t="s">
        <v>498</v>
      </c>
      <c r="I124" s="13">
        <v>42802.75540509259</v>
      </c>
      <c r="J124" s="7">
        <v>0</v>
      </c>
      <c r="K124" s="98" t="str">
        <f t="shared" si="29"/>
        <v>4031/4032</v>
      </c>
      <c r="L124" s="21" t="str">
        <f>VLOOKUP(A124,'Trips&amp;Operators'!$C$1:$G$99999,5,FALSE)</f>
        <v>LOCKLEAR TRAVIS</v>
      </c>
      <c r="M124" s="6">
        <f t="shared" si="30"/>
        <v>2.6076388887304347E-2</v>
      </c>
      <c r="N124" s="7">
        <f t="shared" si="47"/>
        <v>37.54999999771826</v>
      </c>
      <c r="O124" s="7"/>
      <c r="P124" s="7"/>
      <c r="Q124" s="22"/>
      <c r="R124" s="22"/>
      <c r="S124" s="31">
        <f t="shared" si="48"/>
        <v>1</v>
      </c>
      <c r="T124" s="46" t="str">
        <f t="shared" si="31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32"/>
        <v>https://d0f6bd738d7f1b3e5a7ca70fe4ff75f0.us-east-1.aws.found.io/app/kibana#/discover/Steve-Slow-Train-Analysis-(2080s-and-2083s)?_g=(refreshInterval:(display:Off,pause:!f,section:0,value:0),time:(from:'2017-03-08T16:24:32-0700',mode:absolute,to:'2017-03-08T19:07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4" s="187" t="str">
        <f t="shared" si="33"/>
        <v>N</v>
      </c>
      <c r="X124" s="187">
        <f t="shared" si="49"/>
        <v>1</v>
      </c>
      <c r="Y124" s="62">
        <f t="shared" si="34"/>
        <v>4.4400000000000002E-2</v>
      </c>
      <c r="Z124" s="62">
        <f t="shared" si="35"/>
        <v>23.332599999999999</v>
      </c>
      <c r="AA124" s="62">
        <f t="shared" si="36"/>
        <v>23.2882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7"/>
        <v>0211-08</v>
      </c>
      <c r="AE124" s="85" t="str">
        <f t="shared" si="38"/>
        <v>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 &amp; aws s3 cp s3://rtdc.mdm.uploadarchive.raw/RTDC4031/ "%USERPROFILE%\AppData\Local\Temp\OnboardLogs"\RTDC4031\2017-03-09 --exclude "*" --recursive --include "*20170309*" &amp; "%USERPROFILE%\Documents\GitHub\mrs-test-scripts\Headless Mode &amp; Sideloading\WalkAndUnGZ.bat" "%USERPROFILE%\AppData\Local\Temp\OnboardLogs"\RTDC4031\2017-03-09</v>
      </c>
      <c r="AF124" s="82" t="str">
        <f t="shared" si="39"/>
        <v>"C:\Program Files (x86)\AstroGrep\AstroGrep.exe" /e /r /s /spath="%USERPROFILE%\AppData\Local\Temp\OnboardLogs" /stypes="app*4031*20170309*" /stext=" 01:.+((SYSTEM_STATE.+slice.+state.+changed )|(ment ac)|(multiple cpu faults)|(system.+state.+changed )|(\[timeout)|(PRM\|1\|D)|(kpr)|(kdp)|(\|lc)|(penalty))"</v>
      </c>
      <c r="AG124" s="1" t="str">
        <f t="shared" si="40"/>
        <v>EC</v>
      </c>
      <c r="AH124" s="86" t="str">
        <f t="shared" si="41"/>
        <v>"%USERPROFILE%\Documents\GitHub\eaglep3\Utilities\RefineRTDCRunTimes.py" --tripid 211-08 --locoid 4031 --swversion DE.1.0.9.0 --startMP 204:444 --initTime 2017-03-08T17:24:32 --startdatetime 2017-03-08T17:30:14 --delay 1 --endMP 204:233326 --enddatetime 2017-03-08T18:07:47 --enforcementcount 0 &gt;&gt;C:\Users\stu\Documents\GitHub\eaglep3-reporting\EC\2017-03-08-refined-times.txt</v>
      </c>
      <c r="AI124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{"issue":{"subject":"","project_id":79,"tracker_id":40,"status_id":1,"priority_id":2,"assigned_to_id":23,"start_date":"2017-03-08","description":"","custom_fields":[{"id":1,"name":"Subdivision","value":"EC"},{"id":4,"name":"Milepost","value":"23.3326"},{"id":17,"name":"Train ID","value":"211-08"},{"id":16,"name":"Locomotive ID","value":"4031"},{"id":130,"name":"Impact","value":""},{"id":150,"name":"Time of Event (Mountain Time)","value":"18:07:47"},{"id":151,"name":"Denver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3"/>
        <v>start /low /b %USERPROFILE%\Documents\GitHub\eaglep3\Utilities\DownloadLogsFromS3.py --loco 4031 --day 2017-03-08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"%USERPROFILE%\AppData\Local\Temp\OnboardLogs"\RTDC4031\*4031*20170309* | grep -SE "(Enforcement Action)|(\[TIMEOUT)|(CHR.+\|PRM\|1\|D.+(SWITCH|SIGNAL).+UNKNOWN)" - &gt;&gt; 2017-03-08-UncaughtWiMAX.txt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778</v>
      </c>
      <c r="B125" s="7">
        <v>4032</v>
      </c>
      <c r="C125" s="21" t="s">
        <v>242</v>
      </c>
      <c r="D125" s="21" t="s">
        <v>461</v>
      </c>
      <c r="E125" s="13">
        <v>42802.765729166669</v>
      </c>
      <c r="F125" s="13">
        <v>42802.768252314818</v>
      </c>
      <c r="G125" s="7">
        <v>1</v>
      </c>
      <c r="H125" s="21" t="s">
        <v>506</v>
      </c>
      <c r="I125" s="13">
        <v>42802.799247685187</v>
      </c>
      <c r="J125" s="7">
        <v>0</v>
      </c>
      <c r="K125" s="98" t="str">
        <f t="shared" si="29"/>
        <v>4031/4032</v>
      </c>
      <c r="L125" s="21" t="str">
        <f>VLOOKUP(A125,'Trips&amp;Operators'!$C$1:$G$99999,5,FALSE)</f>
        <v>LOCKLEAR TRAVIS</v>
      </c>
      <c r="M125" s="6">
        <f t="shared" si="30"/>
        <v>3.0995370369055308E-2</v>
      </c>
      <c r="N125" s="7">
        <f t="shared" si="47"/>
        <v>44.633333331439644</v>
      </c>
      <c r="O125" s="7"/>
      <c r="P125" s="7"/>
      <c r="Q125" s="22"/>
      <c r="R125" s="22"/>
      <c r="S125" s="31">
        <f t="shared" si="48"/>
        <v>1</v>
      </c>
      <c r="T125" s="46" t="str">
        <f t="shared" si="31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32"/>
        <v>https://d0f6bd738d7f1b3e5a7ca70fe4ff75f0.us-east-1.aws.found.io/app/kibana#/discover/Steve-Slow-Train-Analysis-(2080s-and-2083s)?_g=(refreshInterval:(display:Off,pause:!f,section:0,value:0),time:(from:'2017-03-08T17:22:39-0700',mode:absolute,to:'2017-03-08T20:10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5" s="187" t="str">
        <f t="shared" si="33"/>
        <v>N</v>
      </c>
      <c r="X125" s="187">
        <f t="shared" si="49"/>
        <v>1</v>
      </c>
      <c r="Y125" s="62">
        <f t="shared" si="34"/>
        <v>23.301300000000001</v>
      </c>
      <c r="Z125" s="62">
        <f t="shared" si="35"/>
        <v>1.6299999999999999E-2</v>
      </c>
      <c r="AA125" s="62">
        <f t="shared" si="36"/>
        <v>23.285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7"/>
        <v>0212-08</v>
      </c>
      <c r="AE125" s="85" t="str">
        <f t="shared" si="38"/>
        <v>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 &amp; aws s3 cp s3://rtdc.mdm.uploadarchive.raw/RTDC4032/ "%USERPROFILE%\AppData\Local\Temp\OnboardLogs"\RTDC4032\2017-03-09 --exclude "*" --recursive --include "*20170309*" &amp; "%USERPROFILE%\Documents\GitHub\mrs-test-scripts\Headless Mode &amp; Sideloading\WalkAndUnGZ.bat" "%USERPROFILE%\AppData\Local\Temp\OnboardLogs"\RTDC4032\2017-03-09</v>
      </c>
      <c r="AF125" s="82" t="str">
        <f t="shared" si="39"/>
        <v>"C:\Program Files (x86)\AstroGrep\AstroGrep.exe" /e /r /s /spath="%USERPROFILE%\AppData\Local\Temp\OnboardLogs" /stypes="app*4032*20170309*" /stext=" 02:.+((SYSTEM_STATE.+slice.+state.+changed )|(ment ac)|(multiple cpu faults)|(system.+state.+changed )|(\[timeout)|(PRM\|1\|D)|(kpr)|(kdp)|(\|lc)|(penalty))"</v>
      </c>
      <c r="AG125" s="1" t="str">
        <f t="shared" si="40"/>
        <v>EC</v>
      </c>
      <c r="AH125" s="86" t="str">
        <f t="shared" si="41"/>
        <v>"%USERPROFILE%\Documents\GitHub\eaglep3\Utilities\RefineRTDCRunTimes.py" --tripid 212-08 --locoid 4032 --swversion DE.1.0.9.0 --startMP 204:233013 --initTime 2017-03-08T18:22:39 --startdatetime 2017-03-08T18:26:17 --delay 1 --endMP 204:163 --enddatetime 2017-03-08T19:10:55 --enforcementcount 0 &gt;&gt;C:\Users\stu\Documents\GitHub\eaglep3-reporting\EC\2017-03-08-refined-times.txt</v>
      </c>
      <c r="AI125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{"issue":{"subject":"","project_id":79,"tracker_id":40,"status_id":1,"priority_id":2,"assigned_to_id":23,"start_date":"2017-03-08","description":"","custom_fields":[{"id":1,"name":"Subdivision","value":"EC"},{"id":4,"name":"Milepost","value":"0.0163"},{"id":17,"name":"Train ID","value":"212-08"},{"id":16,"name":"Locomotive ID","value":"4032"},{"id":130,"name":"Impact","value":""},{"id":150,"name":"Time of Event (Mountain Time)","value":"19:10:55"},{"id":151,"name":"Denver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3"/>
        <v>start /low /b %USERPROFILE%\Documents\GitHub\eaglep3\Utilities\DownloadLogsFromS3.py --loco 4032 --day 2017-03-08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"%USERPROFILE%\AppData\Local\Temp\OnboardLogs"\RTDC4032\*4032*20170309* | grep -SE "(Enforcement Action)|(\[TIMEOUT)|(CHR.+\|PRM\|1\|D.+(SWITCH|SIGNAL).+UNKNOWN)" - &gt;&gt; 2017-03-08-UncaughtWiMAX.txt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588</v>
      </c>
      <c r="B126" s="7">
        <v>4042</v>
      </c>
      <c r="C126" s="21" t="s">
        <v>242</v>
      </c>
      <c r="D126" s="21" t="s">
        <v>227</v>
      </c>
      <c r="E126" s="13">
        <v>42802.741296296299</v>
      </c>
      <c r="F126" s="13">
        <v>42802.742847222224</v>
      </c>
      <c r="G126" s="7">
        <v>2</v>
      </c>
      <c r="H126" s="21" t="s">
        <v>885</v>
      </c>
      <c r="I126" s="13">
        <v>42802.769074074073</v>
      </c>
      <c r="J126" s="7">
        <v>0</v>
      </c>
      <c r="K126" s="98" t="str">
        <f t="shared" si="29"/>
        <v>4041/4042</v>
      </c>
      <c r="L126" s="21" t="str">
        <f>VLOOKUP(A126,'Trips&amp;Operators'!$C$1:$G$99999,5,FALSE)</f>
        <v>STORY SAMANTHA</v>
      </c>
      <c r="M126" s="6">
        <f t="shared" si="30"/>
        <v>2.622685184906004E-2</v>
      </c>
      <c r="N126" s="7">
        <f t="shared" si="47"/>
        <v>37.766666662646458</v>
      </c>
      <c r="O126" s="7"/>
      <c r="P126" s="7"/>
      <c r="Q126" s="22"/>
      <c r="R126" s="22"/>
      <c r="S126" s="31">
        <f t="shared" si="48"/>
        <v>1</v>
      </c>
      <c r="T126" s="46" t="str">
        <f t="shared" si="31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32"/>
        <v>https://d0f6bd738d7f1b3e5a7ca70fe4ff75f0.us-east-1.aws.found.io/app/kibana#/discover/Steve-Slow-Train-Analysis-(2080s-and-2083s)?_g=(refreshInterval:(display:Off,pause:!f,section:0,value:0),time:(from:'2017-03-08T16:47:28-0700',mode:absolute,to:'2017-03-08T19:27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6" s="187" t="str">
        <f t="shared" si="33"/>
        <v>N</v>
      </c>
      <c r="X126" s="187">
        <f t="shared" si="49"/>
        <v>1</v>
      </c>
      <c r="Y126" s="62">
        <f t="shared" si="34"/>
        <v>4.5499999999999999E-2</v>
      </c>
      <c r="Z126" s="62">
        <f t="shared" si="35"/>
        <v>23.328099999999999</v>
      </c>
      <c r="AA126" s="62">
        <f t="shared" si="36"/>
        <v>23.282599999999999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7"/>
        <v>0213-08</v>
      </c>
      <c r="AE126" s="85" t="str">
        <f t="shared" si="38"/>
        <v>aws s3 cp s3://rtdc.mdm.uploadarchive.raw/RTDC4042/ "%USERPROFILE%\AppData\Local\Temp\OnboardLogs"\RTDC4042\2017-03-08 --exclude "*" --recursive --include "*20170308*" &amp; "%USERPROFILE%\Documents\GitHub\mrs-test-scripts\Headless Mode &amp; Sideloading\WalkAndUnGZ.bat" "%USERPROFILE%\AppData\Local\Temp\OnboardLogs"\RTDC4042\2017-03-08 &amp; aws s3 cp s3://rtdc.mdm.uploadarchive.raw/RTDC4042/ "%USERPROFILE%\AppData\Local\Temp\OnboardLogs"\RTDC4042\2017-03-09 --exclude "*" --recursive --include "*20170309*" &amp; "%USERPROFILE%\Documents\GitHub\mrs-test-scripts\Headless Mode &amp; Sideloading\WalkAndUnGZ.bat" "%USERPROFILE%\AppData\Local\Temp\OnboardLogs"\RTDC4042\2017-03-09</v>
      </c>
      <c r="AF126" s="82" t="str">
        <f t="shared" si="39"/>
        <v>"C:\Program Files (x86)\AstroGrep\AstroGrep.exe" /e /r /s /spath="%USERPROFILE%\AppData\Local\Temp\OnboardLogs" /stypes="app*4042*20170309*" /stext=" 01:.+((SYSTEM_STATE.+slice.+state.+changed )|(ment ac)|(multiple cpu faults)|(system.+state.+changed )|(\[timeout)|(PRM\|1\|D)|(kpr)|(kdp)|(\|lc)|(penalty))"</v>
      </c>
      <c r="AG126" s="1" t="str">
        <f t="shared" si="40"/>
        <v>EC</v>
      </c>
      <c r="AH126" s="86" t="str">
        <f t="shared" si="41"/>
        <v>"%USERPROFILE%\Documents\GitHub\eaglep3\Utilities\RefineRTDCRunTimes.py" --tripid 213-08 --locoid 4042 --swversion DE.1.0.9.0 --startMP 204:455 --initTime 2017-03-08T17:47:28 --startdatetime 2017-03-08T17:49:42 --delay 2 --endMP 204:233281 --enddatetime 2017-03-08T18:27:28 --enforcementcount 0 &gt;&gt;C:\Users\stu\Documents\GitHub\eaglep3-reporting\EC\2017-03-08-refined-times.txt</v>
      </c>
      <c r="AI126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{"issue":{"subject":"","project_id":79,"tracker_id":40,"status_id":1,"priority_id":2,"assigned_to_id":23,"start_date":"2017-03-08","description":"","custom_fields":[{"id":1,"name":"Subdivision","value":"EC"},{"id":4,"name":"Milepost","value":"23.3281"},{"id":17,"name":"Train ID","value":"213-08"},{"id":16,"name":"Locomotive ID","value":"4042"},{"id":130,"name":"Impact","value":""},{"id":150,"name":"Time of Event (Mountain Time)","value":"18:27:28"},{"id":151,"name":"Denver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3"/>
        <v>start /low /b %USERPROFILE%\Documents\GitHub\eaglep3\Utilities\DownloadLogsFromS3.py --loco 4042 --day 2017-03-08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"%USERPROFILE%\AppData\Local\Temp\OnboardLogs"\RTDC4042\*4042*20170309* | grep -SE "(Enforcement Action)|(\[TIMEOUT)|(CHR.+\|PRM\|1\|D.+(SWITCH|SIGNAL).+UNKNOWN)" - &gt;&gt; 2017-03-08-UncaughtWiMAX.txt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780</v>
      </c>
      <c r="B127" s="7">
        <v>4041</v>
      </c>
      <c r="C127" s="21" t="s">
        <v>242</v>
      </c>
      <c r="D127" s="21" t="s">
        <v>886</v>
      </c>
      <c r="E127" s="13">
        <v>42802.774953703702</v>
      </c>
      <c r="F127" s="13">
        <v>42802.780081018522</v>
      </c>
      <c r="G127" s="7">
        <v>3</v>
      </c>
      <c r="H127" s="21" t="s">
        <v>272</v>
      </c>
      <c r="I127" s="13">
        <v>42802.812037037038</v>
      </c>
      <c r="J127" s="7">
        <v>0</v>
      </c>
      <c r="K127" s="98" t="str">
        <f t="shared" si="29"/>
        <v>4041/4042</v>
      </c>
      <c r="L127" s="21" t="str">
        <f>VLOOKUP(A127,'Trips&amp;Operators'!$C$1:$G$99999,5,FALSE)</f>
        <v>STORY SAMANTHA</v>
      </c>
      <c r="M127" s="6">
        <f t="shared" si="30"/>
        <v>3.195601851621177E-2</v>
      </c>
      <c r="N127" s="7">
        <f t="shared" si="47"/>
        <v>46.016666663344949</v>
      </c>
      <c r="O127" s="7"/>
      <c r="P127" s="7"/>
      <c r="Q127" s="22"/>
      <c r="R127" s="22"/>
      <c r="S127" s="31">
        <f t="shared" si="48"/>
        <v>1</v>
      </c>
      <c r="T127" s="46" t="str">
        <f t="shared" si="31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32"/>
        <v>https://d0f6bd738d7f1b3e5a7ca70fe4ff75f0.us-east-1.aws.found.io/app/kibana#/discover/Steve-Slow-Train-Analysis-(2080s-and-2083s)?_g=(refreshInterval:(display:Off,pause:!f,section:0,value:0),time:(from:'2017-03-08T17:35:56-0700',mode:absolute,to:'2017-03-08T20:29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7" s="187" t="str">
        <f t="shared" si="33"/>
        <v>N</v>
      </c>
      <c r="X127" s="187">
        <f t="shared" si="49"/>
        <v>1</v>
      </c>
      <c r="Y127" s="62">
        <f t="shared" si="34"/>
        <v>23.296399999999998</v>
      </c>
      <c r="Z127" s="62">
        <f t="shared" si="35"/>
        <v>1.34E-2</v>
      </c>
      <c r="AA127" s="62">
        <f t="shared" si="36"/>
        <v>23.282999999999998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7"/>
        <v>0214-08</v>
      </c>
      <c r="AE127" s="85" t="str">
        <f t="shared" si="38"/>
        <v>aws s3 cp s3://rtdc.mdm.uploadarchive.raw/RTDC4041/ "%USERPROFILE%\AppData\Local\Temp\OnboardLogs"\RTDC4041\2017-03-08 --exclude "*" --recursive --include "*20170308*" &amp; "%USERPROFILE%\Documents\GitHub\mrs-test-scripts\Headless Mode &amp; Sideloading\WalkAndUnGZ.bat" "%USERPROFILE%\AppData\Local\Temp\OnboardLogs"\RTDC4041\2017-03-08 &amp; aws s3 cp s3://rtdc.mdm.uploadarchive.raw/RTDC4041/ "%USERPROFILE%\AppData\Local\Temp\OnboardLogs"\RTDC4041\2017-03-09 --exclude "*" --recursive --include "*20170309*" &amp; "%USERPROFILE%\Documents\GitHub\mrs-test-scripts\Headless Mode &amp; Sideloading\WalkAndUnGZ.bat" "%USERPROFILE%\AppData\Local\Temp\OnboardLogs"\RTDC4041\2017-03-09</v>
      </c>
      <c r="AF127" s="82" t="str">
        <f t="shared" si="39"/>
        <v>"C:\Program Files (x86)\AstroGrep\AstroGrep.exe" /e /r /s /spath="%USERPROFILE%\AppData\Local\Temp\OnboardLogs" /stypes="app*4041*20170309*" /stext=" 02:.+((SYSTEM_STATE.+slice.+state.+changed )|(ment ac)|(multiple cpu faults)|(system.+state.+changed )|(\[timeout)|(PRM\|1\|D)|(kpr)|(kdp)|(\|lc)|(penalty))"</v>
      </c>
      <c r="AG127" s="1" t="str">
        <f t="shared" si="40"/>
        <v>EC</v>
      </c>
      <c r="AH127" s="86" t="str">
        <f t="shared" si="41"/>
        <v>"%USERPROFILE%\Documents\GitHub\eaglep3\Utilities\RefineRTDCRunTimes.py" --tripid 214-08 --locoid 4041 --swversion DE.1.0.9.0 --startMP 204:232964 --initTime 2017-03-08T18:35:56 --startdatetime 2017-03-08T18:43:19 --delay 3 --endMP 204:134 --enddatetime 2017-03-08T19:29:20 --enforcementcount 0 &gt;&gt;C:\Users\stu\Documents\GitHub\eaglep3-reporting\EC\2017-03-08-refined-times.txt</v>
      </c>
      <c r="AI127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{"issue":{"subject":"","project_id":79,"tracker_id":40,"status_id":1,"priority_id":2,"assigned_to_id":23,"start_date":"2017-03-08","description":"","custom_fields":[{"id":1,"name":"Subdivision","value":"EC"},{"id":4,"name":"Milepost","value":"0.0134"},{"id":17,"name":"Train ID","value":"214-08"},{"id":16,"name":"Locomotive ID","value":"4041"},{"id":130,"name":"Impact","value":""},{"id":150,"name":"Time of Event (Mountain Time)","value":"19:29:20"},{"id":151,"name":"Denver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3"/>
        <v>start /low /b %USERPROFILE%\Documents\GitHub\eaglep3\Utilities\DownloadLogsFromS3.py --loco 4041 --day 2017-03-08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"%USERPROFILE%\AppData\Local\Temp\OnboardLogs"\RTDC4041\*4041*20170309* | grep -SE "(Enforcement Action)|(\[TIMEOUT)|(CHR.+\|PRM\|1\|D.+(SWITCH|SIGNAL).+UNKNOWN)" - &gt;&gt; 2017-03-08-UncaughtWiMAX.txt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773</v>
      </c>
      <c r="B128" s="7">
        <v>4009</v>
      </c>
      <c r="C128" s="21" t="s">
        <v>242</v>
      </c>
      <c r="D128" s="21" t="s">
        <v>887</v>
      </c>
      <c r="E128" s="13">
        <v>42802.749131944445</v>
      </c>
      <c r="F128" s="13">
        <v>42802.750555555554</v>
      </c>
      <c r="G128" s="7">
        <v>1</v>
      </c>
      <c r="H128" s="21" t="s">
        <v>888</v>
      </c>
      <c r="I128" s="13">
        <v>42802.778067129628</v>
      </c>
      <c r="J128" s="7">
        <v>0</v>
      </c>
      <c r="K128" s="98" t="str">
        <f t="shared" si="29"/>
        <v>4009/4010</v>
      </c>
      <c r="L128" s="21" t="str">
        <f>VLOOKUP(A128,'Trips&amp;Operators'!$C$1:$G$99999,5,FALSE)</f>
        <v>BRANNON JEFFREY</v>
      </c>
      <c r="M128" s="6">
        <f t="shared" si="30"/>
        <v>2.7511574073287193E-2</v>
      </c>
      <c r="N128" s="7">
        <f t="shared" si="47"/>
        <v>39.616666665533558</v>
      </c>
      <c r="O128" s="7"/>
      <c r="P128" s="7"/>
      <c r="Q128" s="22"/>
      <c r="R128" s="22"/>
      <c r="S128" s="31">
        <f t="shared" si="48"/>
        <v>1</v>
      </c>
      <c r="T128" s="46" t="str">
        <f t="shared" si="31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32"/>
        <v>https://d0f6bd738d7f1b3e5a7ca70fe4ff75f0.us-east-1.aws.found.io/app/kibana#/discover/Steve-Slow-Train-Analysis-(2080s-and-2083s)?_g=(refreshInterval:(display:Off,pause:!f,section:0,value:0),time:(from:'2017-03-08T16:58:45-0700',mode:absolute,to:'2017-03-08T19:40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8" s="187" t="str">
        <f t="shared" si="33"/>
        <v>N</v>
      </c>
      <c r="X128" s="187">
        <f t="shared" si="49"/>
        <v>1</v>
      </c>
      <c r="Y128" s="62">
        <f t="shared" si="34"/>
        <v>5.0200000000000002E-2</v>
      </c>
      <c r="Z128" s="62">
        <f t="shared" si="35"/>
        <v>23.328399999999998</v>
      </c>
      <c r="AA128" s="62">
        <f t="shared" si="36"/>
        <v>23.278199999999998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7"/>
        <v>0215-08</v>
      </c>
      <c r="AE128" s="85" t="str">
        <f t="shared" si="38"/>
        <v>aws s3 cp s3://rtdc.mdm.uploadarchive.raw/RTDC4009/ "%USERPROFILE%\AppData\Local\Temp\OnboardLogs"\RTDC4009\2017-03-08 --exclude "*" --recursive --include "*20170308*" &amp; "%USERPROFILE%\Documents\GitHub\mrs-test-scripts\Headless Mode &amp; Sideloading\WalkAndUnGZ.bat" "%USERPROFILE%\AppData\Local\Temp\OnboardLogs"\RTDC4009\2017-03-08 &amp; aws s3 cp s3://rtdc.mdm.uploadarchive.raw/RTDC4009/ "%USERPROFILE%\AppData\Local\Temp\OnboardLogs"\RTDC4009\2017-03-09 --exclude "*" --recursive --include "*20170309*" &amp; "%USERPROFILE%\Documents\GitHub\mrs-test-scripts\Headless Mode &amp; Sideloading\WalkAndUnGZ.bat" "%USERPROFILE%\AppData\Local\Temp\OnboardLogs"\RTDC4009\2017-03-09</v>
      </c>
      <c r="AF128" s="82" t="str">
        <f t="shared" si="39"/>
        <v>"C:\Program Files (x86)\AstroGrep\AstroGrep.exe" /e /r /s /spath="%USERPROFILE%\AppData\Local\Temp\OnboardLogs" /stypes="app*4009*20170309*" /stext=" 01:.+((SYSTEM_STATE.+slice.+state.+changed )|(ment ac)|(multiple cpu faults)|(system.+state.+changed )|(\[timeout)|(PRM\|1\|D)|(kpr)|(kdp)|(\|lc)|(penalty))"</v>
      </c>
      <c r="AG128" s="1" t="str">
        <f t="shared" si="40"/>
        <v>EC</v>
      </c>
      <c r="AH128" s="86" t="str">
        <f t="shared" si="41"/>
        <v>"%USERPROFILE%\Documents\GitHub\eaglep3\Utilities\RefineRTDCRunTimes.py" --tripid 215-08 --locoid 4009 --swversion DE.1.0.9.0 --startMP 204:502 --initTime 2017-03-08T17:58:45 --startdatetime 2017-03-08T18:00:48 --delay 1 --endMP 204:233284 --enddatetime 2017-03-08T18:40:25 --enforcementcount 0 &gt;&gt;C:\Users\stu\Documents\GitHub\eaglep3-reporting\EC\2017-03-08-refined-times.txt</v>
      </c>
      <c r="AI128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{"issue":{"subject":"","project_id":79,"tracker_id":40,"status_id":1,"priority_id":2,"assigned_to_id":23,"start_date":"2017-03-08","description":"","custom_fields":[{"id":1,"name":"Subdivision","value":"EC"},{"id":4,"name":"Milepost","value":"23.3284"},{"id":17,"name":"Train ID","value":"215-08"},{"id":16,"name":"Locomotive ID","value":"4009"},{"id":130,"name":"Impact","value":""},{"id":150,"name":"Time of Event (Mountain Time)","value":"18:40:25"},{"id":151,"name":"Denver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3"/>
        <v>start /low /b %USERPROFILE%\Documents\GitHub\eaglep3\Utilities\DownloadLogsFromS3.py --loco 4009 --day 2017-03-08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"%USERPROFILE%\AppData\Local\Temp\OnboardLogs"\RTDC4009\*4009*20170309* | grep -SE "(Enforcement Action)|(\[TIMEOUT)|(CHR.+\|PRM\|1\|D.+(SWITCH|SIGNAL).+UNKNOWN)" - &gt;&gt; 2017-03-08-UncaughtWiMAX.txt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590</v>
      </c>
      <c r="B129" s="7">
        <v>4010</v>
      </c>
      <c r="C129" s="21" t="s">
        <v>242</v>
      </c>
      <c r="D129" s="21" t="s">
        <v>262</v>
      </c>
      <c r="E129" s="13">
        <v>42802.779004629629</v>
      </c>
      <c r="F129" s="13">
        <v>42802.789050925923</v>
      </c>
      <c r="G129" s="7">
        <v>1</v>
      </c>
      <c r="H129" s="21" t="s">
        <v>889</v>
      </c>
      <c r="I129" s="13">
        <v>42802.817743055559</v>
      </c>
      <c r="J129" s="7">
        <v>0</v>
      </c>
      <c r="K129" s="98" t="str">
        <f t="shared" si="29"/>
        <v>4009/4010</v>
      </c>
      <c r="L129" s="21" t="str">
        <f>VLOOKUP(A129,'Trips&amp;Operators'!$C$1:$G$99999,5,FALSE)</f>
        <v>BRANNON JEFFREY</v>
      </c>
      <c r="M129" s="6">
        <f t="shared" si="30"/>
        <v>2.8692129635601304E-2</v>
      </c>
      <c r="N129" s="7">
        <f t="shared" si="47"/>
        <v>41.316666675265878</v>
      </c>
      <c r="O129" s="7"/>
      <c r="P129" s="7"/>
      <c r="Q129" s="22"/>
      <c r="R129" s="22"/>
      <c r="S129" s="31">
        <f t="shared" si="48"/>
        <v>1</v>
      </c>
      <c r="T129" s="46" t="str">
        <f t="shared" si="31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32"/>
        <v>https://d0f6bd738d7f1b3e5a7ca70fe4ff75f0.us-east-1.aws.found.io/app/kibana#/discover/Steve-Slow-Train-Analysis-(2080s-and-2083s)?_g=(refreshInterval:(display:Off,pause:!f,section:0,value:0),time:(from:'2017-03-08T17:41:46-0700',mode:absolute,to:'2017-03-08T20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9" s="187" t="str">
        <f t="shared" si="33"/>
        <v>N</v>
      </c>
      <c r="X129" s="187">
        <f t="shared" si="49"/>
        <v>1</v>
      </c>
      <c r="Y129" s="62">
        <f t="shared" si="34"/>
        <v>23.297699999999999</v>
      </c>
      <c r="Z129" s="62">
        <f t="shared" si="35"/>
        <v>9.7699999999999995E-2</v>
      </c>
      <c r="AA129" s="62">
        <f t="shared" si="36"/>
        <v>23.2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7"/>
        <v>0216-08</v>
      </c>
      <c r="AE129" s="85" t="str">
        <f t="shared" si="38"/>
        <v>aws s3 cp s3://rtdc.mdm.uploadarchive.raw/RTDC4010/ "%USERPROFILE%\AppData\Local\Temp\OnboardLogs"\RTDC4010\2017-03-08 --exclude "*" --recursive --include "*20170308*" &amp; "%USERPROFILE%\Documents\GitHub\mrs-test-scripts\Headless Mode &amp; Sideloading\WalkAndUnGZ.bat" "%USERPROFILE%\AppData\Local\Temp\OnboardLogs"\RTDC4010\2017-03-08 &amp; aws s3 cp s3://rtdc.mdm.uploadarchive.raw/RTDC4010/ "%USERPROFILE%\AppData\Local\Temp\OnboardLogs"\RTDC4010\2017-03-09 --exclude "*" --recursive --include "*20170309*" &amp; "%USERPROFILE%\Documents\GitHub\mrs-test-scripts\Headless Mode &amp; Sideloading\WalkAndUnGZ.bat" "%USERPROFILE%\AppData\Local\Temp\OnboardLogs"\RTDC4010\2017-03-09</v>
      </c>
      <c r="AF129" s="82" t="str">
        <f t="shared" si="39"/>
        <v>"C:\Program Files (x86)\AstroGrep\AstroGrep.exe" /e /r /s /spath="%USERPROFILE%\AppData\Local\Temp\OnboardLogs" /stypes="app*4010*20170309*" /stext=" 02:.+((SYSTEM_STATE.+slice.+state.+changed )|(ment ac)|(multiple cpu faults)|(system.+state.+changed )|(\[timeout)|(PRM\|1\|D)|(kpr)|(kdp)|(\|lc)|(penalty))"</v>
      </c>
      <c r="AG129" s="1" t="str">
        <f t="shared" si="40"/>
        <v>EC</v>
      </c>
      <c r="AH129" s="86" t="str">
        <f t="shared" si="41"/>
        <v>"%USERPROFILE%\Documents\GitHub\eaglep3\Utilities\RefineRTDCRunTimes.py" --tripid 216-08 --locoid 4010 --swversion DE.1.0.9.0 --startMP 204:232977 --initTime 2017-03-08T18:41:46 --startdatetime 2017-03-08T18:56:14 --delay 1 --endMP 204:977 --enddatetime 2017-03-08T19:37:33 --enforcementcount 0 &gt;&gt;C:\Users\stu\Documents\GitHub\eaglep3-reporting\EC\2017-03-08-refined-times.txt</v>
      </c>
      <c r="AI129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{"issue":{"subject":"","project_id":79,"tracker_id":40,"status_id":1,"priority_id":2,"assigned_to_id":23,"start_date":"2017-03-08","description":"","custom_fields":[{"id":1,"name":"Subdivision","value":"EC"},{"id":4,"name":"Milepost","value":"0.0977"},{"id":17,"name":"Train ID","value":"216-08"},{"id":16,"name":"Locomotive ID","value":"4010"},{"id":130,"name":"Impact","value":""},{"id":150,"name":"Time of Event (Mountain Time)","value":"19:37:33"},{"id":151,"name":"Denver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3"/>
        <v>start /low /b %USERPROFILE%\Documents\GitHub\eaglep3\Utilities\DownloadLogsFromS3.py --loco 4010 --day 2017-03-08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"%USERPROFILE%\AppData\Local\Temp\OnboardLogs"\RTDC4010\*4010*20170309* | grep -SE "(Enforcement Action)|(\[TIMEOUT)|(CHR.+\|PRM\|1\|D.+(SWITCH|SIGNAL).+UNKNOWN)" - &gt;&gt; 2017-03-08-UncaughtWiMAX.txt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776</v>
      </c>
      <c r="B130" s="7">
        <v>4016</v>
      </c>
      <c r="C130" s="21" t="s">
        <v>242</v>
      </c>
      <c r="D130" s="21" t="s">
        <v>218</v>
      </c>
      <c r="E130" s="13">
        <v>42802.760844907411</v>
      </c>
      <c r="F130" s="13">
        <v>42802.762314814812</v>
      </c>
      <c r="G130" s="7">
        <v>1</v>
      </c>
      <c r="H130" s="21" t="s">
        <v>493</v>
      </c>
      <c r="I130" s="13">
        <v>42802.791493055556</v>
      </c>
      <c r="J130" s="7">
        <v>0</v>
      </c>
      <c r="K130" s="98" t="str">
        <f t="shared" si="29"/>
        <v>4015/4016</v>
      </c>
      <c r="L130" s="21" t="str">
        <f>VLOOKUP(A130,'Trips&amp;Operators'!$C$1:$G$99999,5,FALSE)</f>
        <v>NELSON ARIANE</v>
      </c>
      <c r="M130" s="6">
        <f t="shared" si="30"/>
        <v>2.9178240743931383E-2</v>
      </c>
      <c r="N130" s="7">
        <f t="shared" si="47"/>
        <v>42.016666671261191</v>
      </c>
      <c r="O130" s="7"/>
      <c r="P130" s="7"/>
      <c r="Q130" s="22"/>
      <c r="R130" s="22"/>
      <c r="S130" s="31">
        <f t="shared" si="48"/>
        <v>1</v>
      </c>
      <c r="T130" s="46" t="str">
        <f t="shared" si="31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32"/>
        <v>https://d0f6bd738d7f1b3e5a7ca70fe4ff75f0.us-east-1.aws.found.io/app/kibana#/discover/Steve-Slow-Train-Analysis-(2080s-and-2083s)?_g=(refreshInterval:(display:Off,pause:!f,section:0,value:0),time:(from:'2017-03-08T17:15:37-0700',mode:absolute,to:'2017-03-08T19:59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0" s="187" t="str">
        <f t="shared" si="33"/>
        <v>N</v>
      </c>
      <c r="X130" s="187">
        <f t="shared" si="49"/>
        <v>1</v>
      </c>
      <c r="Y130" s="62">
        <f t="shared" si="34"/>
        <v>4.5999999999999999E-2</v>
      </c>
      <c r="Z130" s="62">
        <f t="shared" si="35"/>
        <v>23.329799999999999</v>
      </c>
      <c r="AA130" s="62">
        <f t="shared" si="36"/>
        <v>23.283799999999999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7"/>
        <v>0217-08</v>
      </c>
      <c r="AE130" s="85" t="str">
        <f t="shared" si="38"/>
        <v>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 &amp; 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</v>
      </c>
      <c r="AF130" s="82" t="str">
        <f t="shared" si="39"/>
        <v>"C:\Program Files (x86)\AstroGrep\AstroGrep.exe" /e /r /s /spath="%USERPROFILE%\AppData\Local\Temp\OnboardLogs" /stypes="app*4016*20170309*" /stext=" 01:.+((SYSTEM_STATE.+slice.+state.+changed )|(ment ac)|(multiple cpu faults)|(system.+state.+changed )|(\[timeout)|(PRM\|1\|D)|(kpr)|(kdp)|(\|lc)|(penalty))"</v>
      </c>
      <c r="AG130" s="1" t="str">
        <f t="shared" si="40"/>
        <v>EC</v>
      </c>
      <c r="AH130" s="86" t="str">
        <f t="shared" si="41"/>
        <v>"%USERPROFILE%\Documents\GitHub\eaglep3\Utilities\RefineRTDCRunTimes.py" --tripid 217-08 --locoid 4016 --swversion DE.1.0.9.0 --startMP 204:460 --initTime 2017-03-08T18:15:37 --startdatetime 2017-03-08T18:17:44 --delay 1 --endMP 204:233298 --enddatetime 2017-03-08T18:59:45 --enforcementcount 0 &gt;&gt;C:\Users\stu\Documents\GitHub\eaglep3-reporting\EC\2017-03-08-refined-times.txt</v>
      </c>
      <c r="AI130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{"issue":{"subject":"","project_id":79,"tracker_id":40,"status_id":1,"priority_id":2,"assigned_to_id":23,"start_date":"2017-03-08","description":"","custom_fields":[{"id":1,"name":"Subdivision","value":"EC"},{"id":4,"name":"Milepost","value":"23.3298"},{"id":17,"name":"Train ID","value":"217-08"},{"id":16,"name":"Locomotive ID","value":"4016"},{"id":130,"name":"Impact","value":""},{"id":150,"name":"Time of Event (Mountain Time)","value":"18:59:45"},{"id":151,"name":"Denver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3"/>
        <v>start /low /b %USERPROFILE%\Documents\GitHub\eaglep3\Utilities\DownloadLogsFromS3.py --loco 4016 --day 2017-03-08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"%USERPROFILE%\AppData\Local\Temp\OnboardLogs"\RTDC4016\*4016*20170309* | grep -SE "(Enforcement Action)|(\[TIMEOUT)|(CHR.+\|PRM\|1\|D.+(SWITCH|SIGNAL).+UNKNOWN)" - &gt;&gt; 2017-03-08-UncaughtWiMAX.txt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788</v>
      </c>
      <c r="B131" s="7">
        <v>4015</v>
      </c>
      <c r="C131" s="21" t="s">
        <v>242</v>
      </c>
      <c r="D131" s="21" t="s">
        <v>460</v>
      </c>
      <c r="E131" s="13">
        <v>42802.79755787037</v>
      </c>
      <c r="F131" s="13">
        <v>42802.799525462964</v>
      </c>
      <c r="G131" s="7">
        <v>2</v>
      </c>
      <c r="H131" s="21" t="s">
        <v>890</v>
      </c>
      <c r="I131" s="13">
        <v>42802.834039351852</v>
      </c>
      <c r="J131" s="7">
        <v>0</v>
      </c>
      <c r="K131" s="98" t="str">
        <f t="shared" si="29"/>
        <v>4015/4016</v>
      </c>
      <c r="L131" s="21" t="str">
        <f>VLOOKUP(A131,'Trips&amp;Operators'!$C$1:$G$99999,5,FALSE)</f>
        <v>NELSON ARIANE</v>
      </c>
      <c r="M131" s="6">
        <f t="shared" si="30"/>
        <v>3.4513888887886424E-2</v>
      </c>
      <c r="N131" s="7">
        <f t="shared" si="47"/>
        <v>49.69999999855645</v>
      </c>
      <c r="O131" s="7"/>
      <c r="P131" s="7"/>
      <c r="Q131" s="22"/>
      <c r="R131" s="22"/>
      <c r="S131" s="31">
        <f t="shared" si="48"/>
        <v>1</v>
      </c>
      <c r="T131" s="46" t="str">
        <f t="shared" si="31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32"/>
        <v>https://d0f6bd738d7f1b3e5a7ca70fe4ff75f0.us-east-1.aws.found.io/app/kibana#/discover/Steve-Slow-Train-Analysis-(2080s-and-2083s)?_g=(refreshInterval:(display:Off,pause:!f,section:0,value:0),time:(from:'2017-03-08T18:08:29-0700',mode:absolute,to:'2017-03-08T21:01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1" s="187" t="str">
        <f t="shared" si="33"/>
        <v>N</v>
      </c>
      <c r="X131" s="187">
        <f t="shared" si="49"/>
        <v>1</v>
      </c>
      <c r="Y131" s="62">
        <f t="shared" si="34"/>
        <v>23.299299999999999</v>
      </c>
      <c r="Z131" s="62">
        <f t="shared" si="35"/>
        <v>0.1201</v>
      </c>
      <c r="AA131" s="62">
        <f t="shared" si="36"/>
        <v>23.179199999999998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7"/>
        <v>0218-08</v>
      </c>
      <c r="AE131" s="85" t="str">
        <f t="shared" si="38"/>
        <v>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 &amp; 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</v>
      </c>
      <c r="AF131" s="82" t="str">
        <f t="shared" si="39"/>
        <v>"C:\Program Files (x86)\AstroGrep\AstroGrep.exe" /e /r /s /spath="%USERPROFILE%\AppData\Local\Temp\OnboardLogs" /stypes="app*4015*20170309*" /stext=" 03:.+((SYSTEM_STATE.+slice.+state.+changed )|(ment ac)|(multiple cpu faults)|(system.+state.+changed )|(\[timeout)|(PRM\|1\|D)|(kpr)|(kdp)|(\|lc)|(penalty))"</v>
      </c>
      <c r="AG131" s="1" t="str">
        <f t="shared" si="40"/>
        <v>EC</v>
      </c>
      <c r="AH131" s="86" t="str">
        <f t="shared" si="41"/>
        <v>"%USERPROFILE%\Documents\GitHub\eaglep3\Utilities\RefineRTDCRunTimes.py" --tripid 218-08 --locoid 4015 --swversion DE.1.0.9.0 --startMP 204:232993 --initTime 2017-03-08T19:08:29 --startdatetime 2017-03-08T19:11:19 --delay 2 --endMP 204:1201 --enddatetime 2017-03-08T20:01:01 --enforcementcount 0 &gt;&gt;C:\Users\stu\Documents\GitHub\eaglep3-reporting\EC\2017-03-08-refined-times.txt</v>
      </c>
      <c r="AI131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{"issue":{"subject":"","project_id":79,"tracker_id":40,"status_id":1,"priority_id":2,"assigned_to_id":23,"start_date":"2017-03-08","description":"","custom_fields":[{"id":1,"name":"Subdivision","value":"EC"},{"id":4,"name":"Milepost","value":"0.1201"},{"id":17,"name":"Train ID","value":"218-08"},{"id":16,"name":"Locomotive ID","value":"4015"},{"id":130,"name":"Impact","value":""},{"id":150,"name":"Time of Event (Mountain Time)","value":"20:01:01"},{"id":151,"name":"Denver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3"/>
        <v>start /low /b %USERPROFILE%\Documents\GitHub\eaglep3\Utilities\DownloadLogsFromS3.py --loco 4015 --day 2017-03-08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"%USERPROFILE%\AppData\Local\Temp\OnboardLogs"\RTDC4015\*4015*20170309* | grep -SE "(Enforcement Action)|(\[TIMEOUT)|(CHR.+\|PRM\|1\|D.+(SWITCH|SIGNAL).+UNKNOWN)" - &gt;&gt; 2017-03-08-UncaughtWiMAX.txt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779</v>
      </c>
      <c r="B132" s="7">
        <v>4046</v>
      </c>
      <c r="C132" s="21" t="s">
        <v>242</v>
      </c>
      <c r="D132" s="21" t="s">
        <v>263</v>
      </c>
      <c r="E132" s="13">
        <v>42802.769930555558</v>
      </c>
      <c r="F132" s="13">
        <v>42802.77175925926</v>
      </c>
      <c r="G132" s="7">
        <v>1</v>
      </c>
      <c r="H132" s="21" t="s">
        <v>848</v>
      </c>
      <c r="I132" s="13">
        <v>42802.797743055555</v>
      </c>
      <c r="J132" s="7">
        <v>0</v>
      </c>
      <c r="K132" s="98" t="str">
        <f t="shared" si="29"/>
        <v>4045/4046</v>
      </c>
      <c r="L132" s="21" t="str">
        <f>VLOOKUP(A132,'Trips&amp;Operators'!$C$1:$G$99999,5,FALSE)</f>
        <v>NEWELL JAMES</v>
      </c>
      <c r="M132" s="6">
        <f t="shared" si="30"/>
        <v>2.5983796294895001E-2</v>
      </c>
      <c r="N132" s="7">
        <f t="shared" si="47"/>
        <v>37.416666664648801</v>
      </c>
      <c r="O132" s="7"/>
      <c r="P132" s="7"/>
      <c r="Q132" s="22"/>
      <c r="R132" s="22"/>
      <c r="S132" s="31">
        <f t="shared" si="48"/>
        <v>1</v>
      </c>
      <c r="T132" s="46" t="str">
        <f t="shared" si="31"/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32"/>
        <v>https://d0f6bd738d7f1b3e5a7ca70fe4ff75f0.us-east-1.aws.found.io/app/kibana#/discover/Steve-Slow-Train-Analysis-(2080s-and-2083s)?_g=(refreshInterval:(display:Off,pause:!f,section:0,value:0),time:(from:'2017-03-08T17:28:42-0700',mode:absolute,to:'2017-03-08T20:08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2" s="187" t="str">
        <f t="shared" si="33"/>
        <v>N</v>
      </c>
      <c r="X132" s="187">
        <f t="shared" si="49"/>
        <v>1</v>
      </c>
      <c r="Y132" s="62">
        <f t="shared" si="34"/>
        <v>4.6699999999999998E-2</v>
      </c>
      <c r="Z132" s="62">
        <f t="shared" si="35"/>
        <v>23.3293</v>
      </c>
      <c r="AA132" s="62">
        <f t="shared" si="36"/>
        <v>23.282599999999999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7"/>
        <v>0219-08</v>
      </c>
      <c r="AE132" s="85" t="str">
        <f t="shared" si="38"/>
        <v>aws s3 cp s3://rtdc.mdm.uploadarchive.raw/RTDC4046/ "%USERPROFILE%\AppData\Local\Temp\OnboardLogs"\RTDC4046\2017-03-08 --exclude "*" --recursive --include "*20170308*" &amp; "%USERPROFILE%\Documents\GitHub\mrs-test-scripts\Headless Mode &amp; Sideloading\WalkAndUnGZ.bat" "%USERPROFILE%\AppData\Local\Temp\OnboardLogs"\RTDC4046\2017-03-08 &amp; aws s3 cp s3://rtdc.mdm.uploadarchive.raw/RTDC4046/ "%USERPROFILE%\AppData\Local\Temp\OnboardLogs"\RTDC4046\2017-03-09 --exclude "*" --recursive --include "*20170309*" &amp; "%USERPROFILE%\Documents\GitHub\mrs-test-scripts\Headless Mode &amp; Sideloading\WalkAndUnGZ.bat" "%USERPROFILE%\AppData\Local\Temp\OnboardLogs"\RTDC4046\2017-03-09</v>
      </c>
      <c r="AF132" s="82" t="str">
        <f t="shared" si="39"/>
        <v>"C:\Program Files (x86)\AstroGrep\AstroGrep.exe" /e /r /s /spath="%USERPROFILE%\AppData\Local\Temp\OnboardLogs" /stypes="app*4046*20170309*" /stext=" 02:.+((SYSTEM_STATE.+slice.+state.+changed )|(ment ac)|(multiple cpu faults)|(system.+state.+changed )|(\[timeout)|(PRM\|1\|D)|(kpr)|(kdp)|(\|lc)|(penalty))"</v>
      </c>
      <c r="AG132" s="1" t="str">
        <f t="shared" si="40"/>
        <v>EC</v>
      </c>
      <c r="AH132" s="86" t="str">
        <f t="shared" si="41"/>
        <v>"%USERPROFILE%\Documents\GitHub\eaglep3\Utilities\RefineRTDCRunTimes.py" --tripid 219-08 --locoid 4046 --swversion DE.1.0.9.0 --startMP 204:467 --initTime 2017-03-08T18:28:42 --startdatetime 2017-03-08T18:31:20 --delay 1 --endMP 204:233293 --enddatetime 2017-03-08T19:08:45 --enforcementcount 0 &gt;&gt;C:\Users\stu\Documents\GitHub\eaglep3-reporting\EC\2017-03-08-refined-times.txt</v>
      </c>
      <c r="AI132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{"issue":{"subject":"","project_id":79,"tracker_id":40,"status_id":1,"priority_id":2,"assigned_to_id":23,"start_date":"2017-03-08","description":"","custom_fields":[{"id":1,"name":"Subdivision","value":"EC"},{"id":4,"name":"Milepost","value":"23.3293"},{"id":17,"name":"Train ID","value":"219-08"},{"id":16,"name":"Locomotive ID","value":"4046"},{"id":130,"name":"Impact","value":""},{"id":150,"name":"Time of Event (Mountain Time)","value":"19:08:45"},{"id":151,"name":"Denver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3"/>
        <v>start /low /b %USERPROFILE%\Documents\GitHub\eaglep3\Utilities\DownloadLogsFromS3.py --loco 4046 --day 2017-03-08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"%USERPROFILE%\AppData\Local\Temp\OnboardLogs"\RTDC4046\*4046*20170309* | grep -SE "(Enforcement Action)|(\[TIMEOUT)|(CHR.+\|PRM\|1\|D.+(SWITCH|SIGNAL).+UNKNOWN)" - &gt;&gt; 2017-03-08-UncaughtWiMAX.txt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791</v>
      </c>
      <c r="B133" s="7">
        <v>4045</v>
      </c>
      <c r="C133" s="21" t="s">
        <v>242</v>
      </c>
      <c r="D133" s="21" t="s">
        <v>291</v>
      </c>
      <c r="E133" s="13">
        <v>42802.805763888886</v>
      </c>
      <c r="F133" s="13">
        <v>42802.809872685182</v>
      </c>
      <c r="G133" s="7">
        <v>1</v>
      </c>
      <c r="H133" s="21" t="s">
        <v>506</v>
      </c>
      <c r="I133" s="13">
        <v>42802.837013888886</v>
      </c>
      <c r="J133" s="7">
        <v>0</v>
      </c>
      <c r="K133" s="98" t="str">
        <f t="shared" si="29"/>
        <v>4045/4046</v>
      </c>
      <c r="L133" s="21" t="str">
        <f>VLOOKUP(A133,'Trips&amp;Operators'!$C$1:$G$99999,5,FALSE)</f>
        <v>NEWELL JAMES</v>
      </c>
      <c r="M133" s="6">
        <f t="shared" si="30"/>
        <v>2.7141203703649808E-2</v>
      </c>
      <c r="N133" s="7">
        <f t="shared" si="47"/>
        <v>39.083333333255723</v>
      </c>
      <c r="O133" s="7"/>
      <c r="P133" s="7"/>
      <c r="Q133" s="22"/>
      <c r="R133" s="22"/>
      <c r="S133" s="31">
        <f t="shared" si="48"/>
        <v>1</v>
      </c>
      <c r="T133" s="46" t="str">
        <f t="shared" si="31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32"/>
        <v>https://d0f6bd738d7f1b3e5a7ca70fe4ff75f0.us-east-1.aws.found.io/app/kibana#/discover/Steve-Slow-Train-Analysis-(2080s-and-2083s)?_g=(refreshInterval:(display:Off,pause:!f,section:0,value:0),time:(from:'2017-03-08T18:20:18-0700',mode:absolute,to:'2017-03-08T21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3" s="187" t="str">
        <f t="shared" si="33"/>
        <v>N</v>
      </c>
      <c r="X133" s="187">
        <f t="shared" si="49"/>
        <v>1</v>
      </c>
      <c r="Y133" s="62">
        <f t="shared" si="34"/>
        <v>23.297799999999999</v>
      </c>
      <c r="Z133" s="62">
        <f t="shared" si="35"/>
        <v>1.6299999999999999E-2</v>
      </c>
      <c r="AA133" s="62">
        <f t="shared" si="36"/>
        <v>23.281499999999998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7"/>
        <v>0220-08</v>
      </c>
      <c r="AE133" s="85" t="str">
        <f t="shared" si="38"/>
        <v>aws s3 cp s3://rtdc.mdm.uploadarchive.raw/RTDC4045/ "%USERPROFILE%\AppData\Local\Temp\OnboardLogs"\RTDC4045\2017-03-08 --exclude "*" --recursive --include "*20170308*" &amp; "%USERPROFILE%\Documents\GitHub\mrs-test-scripts\Headless Mode &amp; Sideloading\WalkAndUnGZ.bat" "%USERPROFILE%\AppData\Local\Temp\OnboardLogs"\RTDC4045\2017-03-08 &amp; aws s3 cp s3://rtdc.mdm.uploadarchive.raw/RTDC4045/ "%USERPROFILE%\AppData\Local\Temp\OnboardLogs"\RTDC4045\2017-03-09 --exclude "*" --recursive --include "*20170309*" &amp; "%USERPROFILE%\Documents\GitHub\mrs-test-scripts\Headless Mode &amp; Sideloading\WalkAndUnGZ.bat" "%USERPROFILE%\AppData\Local\Temp\OnboardLogs"\RTDC4045\2017-03-09</v>
      </c>
      <c r="AF133" s="82" t="str">
        <f t="shared" si="39"/>
        <v>"C:\Program Files (x86)\AstroGrep\AstroGrep.exe" /e /r /s /spath="%USERPROFILE%\AppData\Local\Temp\OnboardLogs" /stypes="app*4045*20170309*" /stext=" 03:.+((SYSTEM_STATE.+slice.+state.+changed )|(ment ac)|(multiple cpu faults)|(system.+state.+changed )|(\[timeout)|(PRM\|1\|D)|(kpr)|(kdp)|(\|lc)|(penalty))"</v>
      </c>
      <c r="AG133" s="1" t="str">
        <f t="shared" si="40"/>
        <v>EC</v>
      </c>
      <c r="AH133" s="86" t="str">
        <f t="shared" si="41"/>
        <v>"%USERPROFILE%\Documents\GitHub\eaglep3\Utilities\RefineRTDCRunTimes.py" --tripid 220-08 --locoid 4045 --swversion DE.1.0.9.0 --startMP 204:232978 --initTime 2017-03-08T19:20:18 --startdatetime 2017-03-08T19:26:13 --delay 1 --endMP 204:163 --enddatetime 2017-03-08T20:05:18 --enforcementcount 0 &gt;&gt;C:\Users\stu\Documents\GitHub\eaglep3-reporting\EC\2017-03-08-refined-times.txt</v>
      </c>
      <c r="AI133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{"issue":{"subject":"","project_id":79,"tracker_id":40,"status_id":1,"priority_id":2,"assigned_to_id":23,"start_date":"2017-03-08","description":"","custom_fields":[{"id":1,"name":"Subdivision","value":"EC"},{"id":4,"name":"Milepost","value":"0.0163"},{"id":17,"name":"Train ID","value":"220-08"},{"id":16,"name":"Locomotive ID","value":"4045"},{"id":130,"name":"Impact","value":""},{"id":150,"name":"Time of Event (Mountain Time)","value":"20:05:18"},{"id":151,"name":"Denver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3"/>
        <v>start /low /b %USERPROFILE%\Documents\GitHub\eaglep3\Utilities\DownloadLogsFromS3.py --loco 4045 --day 2017-03-08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"%USERPROFILE%\AppData\Local\Temp\OnboardLogs"\RTDC4045\*4045*20170309* | grep -SE "(Enforcement Action)|(\[TIMEOUT)|(CHR.+\|PRM\|1\|D.+(SWITCH|SIGNAL).+UNKNOWN)" - &gt;&gt; 2017-03-08-UncaughtWiMAX.txt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784</v>
      </c>
      <c r="B134" s="7">
        <v>4051</v>
      </c>
      <c r="C134" s="21" t="s">
        <v>242</v>
      </c>
      <c r="D134" s="21" t="s">
        <v>217</v>
      </c>
      <c r="E134" s="13">
        <v>42802.793055555558</v>
      </c>
      <c r="F134" s="13">
        <v>42802.795335648145</v>
      </c>
      <c r="G134" s="7">
        <v>2</v>
      </c>
      <c r="H134" s="21" t="s">
        <v>891</v>
      </c>
      <c r="I134" s="13">
        <v>42802.823842592596</v>
      </c>
      <c r="J134" s="7">
        <v>0</v>
      </c>
      <c r="K134" s="98" t="str">
        <f t="shared" si="29"/>
        <v>4051/4052</v>
      </c>
      <c r="L134" s="21" t="str">
        <f>VLOOKUP(A134,'Trips&amp;Operators'!$C$1:$G$99999,5,FALSE)</f>
        <v>JACKSON WILLIAM</v>
      </c>
      <c r="M134" s="6">
        <f t="shared" si="30"/>
        <v>2.8506944450782612E-2</v>
      </c>
      <c r="N134" s="7">
        <f t="shared" si="47"/>
        <v>41.050000009126961</v>
      </c>
      <c r="O134" s="7"/>
      <c r="P134" s="7"/>
      <c r="Q134" s="22"/>
      <c r="R134" s="22"/>
      <c r="S134" s="31">
        <f t="shared" si="48"/>
        <v>1</v>
      </c>
      <c r="T134" s="46" t="str">
        <f t="shared" si="31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32"/>
        <v>https://d0f6bd738d7f1b3e5a7ca70fe4ff75f0.us-east-1.aws.found.io/app/kibana#/discover/Steve-Slow-Train-Analysis-(2080s-and-2083s)?_g=(refreshInterval:(display:Off,pause:!f,section:0,value:0),time:(from:'2017-03-08T18:02:00-0700',mode:absolute,to:'2017-03-08T20:46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4" s="187" t="str">
        <f t="shared" si="33"/>
        <v>N</v>
      </c>
      <c r="X134" s="187">
        <f t="shared" si="49"/>
        <v>1</v>
      </c>
      <c r="Y134" s="62">
        <f t="shared" si="34"/>
        <v>4.5699999999999998E-2</v>
      </c>
      <c r="Z134" s="62">
        <f t="shared" si="35"/>
        <v>23.332699999999999</v>
      </c>
      <c r="AA134" s="62">
        <f t="shared" si="36"/>
        <v>23.286999999999999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7"/>
        <v>0221-08</v>
      </c>
      <c r="AE134" s="85" t="str">
        <f t="shared" si="38"/>
        <v>aws s3 cp s3://rtdc.mdm.uploadarchive.raw/RTDC4051/ "%USERPROFILE%\AppData\Local\Temp\OnboardLogs"\RTDC4051\2017-03-08 --exclude "*" --recursive --include "*20170308*" &amp; "%USERPROFILE%\Documents\GitHub\mrs-test-scripts\Headless Mode &amp; Sideloading\WalkAndUnGZ.bat" "%USERPROFILE%\AppData\Local\Temp\OnboardLogs"\RTDC4051\2017-03-08 &amp; aws s3 cp s3://rtdc.mdm.uploadarchive.raw/RTDC4051/ "%USERPROFILE%\AppData\Local\Temp\OnboardLogs"\RTDC4051\2017-03-09 --exclude "*" --recursive --include "*20170309*" &amp; "%USERPROFILE%\Documents\GitHub\mrs-test-scripts\Headless Mode &amp; Sideloading\WalkAndUnGZ.bat" "%USERPROFILE%\AppData\Local\Temp\OnboardLogs"\RTDC4051\2017-03-09</v>
      </c>
      <c r="AF134" s="82" t="str">
        <f t="shared" si="39"/>
        <v>"C:\Program Files (x86)\AstroGrep\AstroGrep.exe" /e /r /s /spath="%USERPROFILE%\AppData\Local\Temp\OnboardLogs" /stypes="app*4051*20170309*" /stext=" 02:.+((SYSTEM_STATE.+slice.+state.+changed )|(ment ac)|(multiple cpu faults)|(system.+state.+changed )|(\[timeout)|(PRM\|1\|D)|(kpr)|(kdp)|(\|lc)|(penalty))"</v>
      </c>
      <c r="AG134" s="1" t="str">
        <f t="shared" si="40"/>
        <v>EC</v>
      </c>
      <c r="AH134" s="86" t="str">
        <f t="shared" si="41"/>
        <v>"%USERPROFILE%\Documents\GitHub\eaglep3\Utilities\RefineRTDCRunTimes.py" --tripid 221-08 --locoid 4051 --swversion DE.1.0.9.0 --startMP 204:457 --initTime 2017-03-08T19:02:00 --startdatetime 2017-03-08T19:05:17 --delay 2 --endMP 204:233327 --enddatetime 2017-03-08T19:46:20 --enforcementcount 0 &gt;&gt;C:\Users\stu\Documents\GitHub\eaglep3-reporting\EC\2017-03-08-refined-times.txt</v>
      </c>
      <c r="AI134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{"issue":{"subject":"","project_id":79,"tracker_id":40,"status_id":1,"priority_id":2,"assigned_to_id":23,"start_date":"2017-03-08","description":"","custom_fields":[{"id":1,"name":"Subdivision","value":"EC"},{"id":4,"name":"Milepost","value":"23.3327"},{"id":17,"name":"Train ID","value":"221-08"},{"id":16,"name":"Locomotive ID","value":"4051"},{"id":130,"name":"Impact","value":""},{"id":150,"name":"Time of Event (Mountain Time)","value":"19:46:20"},{"id":151,"name":"Denver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3"/>
        <v>start /low /b %USERPROFILE%\Documents\GitHub\eaglep3\Utilities\DownloadLogsFromS3.py --loco 4051 --day 2017-03-08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"%USERPROFILE%\AppData\Local\Temp\OnboardLogs"\RTDC4051\*4051*20170309* | grep -SE "(Enforcement Action)|(\[TIMEOUT)|(CHR.+\|PRM\|1\|D.+(SWITCH|SIGNAL).+UNKNOWN)" - &gt;&gt; 2017-03-08-UncaughtWiMAX.txt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795</v>
      </c>
      <c r="B135" s="7">
        <v>4052</v>
      </c>
      <c r="C135" s="21" t="s">
        <v>242</v>
      </c>
      <c r="D135" s="21" t="s">
        <v>837</v>
      </c>
      <c r="E135" s="13">
        <v>42802.828032407408</v>
      </c>
      <c r="F135" s="13">
        <v>42802.830879629626</v>
      </c>
      <c r="G135" s="7">
        <v>2</v>
      </c>
      <c r="H135" s="21" t="s">
        <v>892</v>
      </c>
      <c r="I135" s="13">
        <v>42802.860937500001</v>
      </c>
      <c r="J135" s="7">
        <v>0</v>
      </c>
      <c r="K135" s="98" t="str">
        <f t="shared" si="29"/>
        <v>4051/4052</v>
      </c>
      <c r="L135" s="21" t="str">
        <f>VLOOKUP(A135,'Trips&amp;Operators'!$C$1:$G$99999,5,FALSE)</f>
        <v>JACKSON WILLIAM</v>
      </c>
      <c r="M135" s="6">
        <f t="shared" si="30"/>
        <v>3.0057870375458151E-2</v>
      </c>
      <c r="N135" s="7">
        <f t="shared" si="47"/>
        <v>43.283333340659738</v>
      </c>
      <c r="O135" s="7"/>
      <c r="P135" s="7"/>
      <c r="Q135" s="22"/>
      <c r="R135" s="22"/>
      <c r="S135" s="31">
        <f t="shared" si="48"/>
        <v>1</v>
      </c>
      <c r="T135" s="46" t="str">
        <f t="shared" si="31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32"/>
        <v>https://d0f6bd738d7f1b3e5a7ca70fe4ff75f0.us-east-1.aws.found.io/app/kibana#/discover/Steve-Slow-Train-Analysis-(2080s-and-2083s)?_g=(refreshInterval:(display:Off,pause:!f,section:0,value:0),time:(from:'2017-03-08T18:52:22-0700',mode:absolute,to:'2017-03-08T21:39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5" s="187" t="str">
        <f t="shared" si="33"/>
        <v>N</v>
      </c>
      <c r="X135" s="187">
        <f t="shared" si="49"/>
        <v>1</v>
      </c>
      <c r="Y135" s="62">
        <f t="shared" si="34"/>
        <v>23.3002</v>
      </c>
      <c r="Z135" s="62">
        <f t="shared" si="35"/>
        <v>1.6899999999999998E-2</v>
      </c>
      <c r="AA135" s="62">
        <f t="shared" si="36"/>
        <v>23.283300000000001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7"/>
        <v>0222-08</v>
      </c>
      <c r="AE135" s="85" t="str">
        <f t="shared" si="38"/>
        <v>aws s3 cp s3://rtdc.mdm.uploadarchive.raw/RTDC4052/ "%USERPROFILE%\AppData\Local\Temp\OnboardLogs"\RTDC4052\2017-03-08 --exclude "*" --recursive --include "*20170308*" &amp; "%USERPROFILE%\Documents\GitHub\mrs-test-scripts\Headless Mode &amp; Sideloading\WalkAndUnGZ.bat" "%USERPROFILE%\AppData\Local\Temp\OnboardLogs"\RTDC4052\2017-03-08 &amp; aws s3 cp s3://rtdc.mdm.uploadarchive.raw/RTDC4052/ "%USERPROFILE%\AppData\Local\Temp\OnboardLogs"\RTDC4052\2017-03-09 --exclude "*" --recursive --include "*20170309*" &amp; "%USERPROFILE%\Documents\GitHub\mrs-test-scripts\Headless Mode &amp; Sideloading\WalkAndUnGZ.bat" "%USERPROFILE%\AppData\Local\Temp\OnboardLogs"\RTDC4052\2017-03-09</v>
      </c>
      <c r="AF135" s="82" t="str">
        <f t="shared" si="39"/>
        <v>"C:\Program Files (x86)\AstroGrep\AstroGrep.exe" /e /r /s /spath="%USERPROFILE%\AppData\Local\Temp\OnboardLogs" /stypes="app*4052*20170309*" /stext=" 03:.+((SYSTEM_STATE.+slice.+state.+changed )|(ment ac)|(multiple cpu faults)|(system.+state.+changed )|(\[timeout)|(PRM\|1\|D)|(kpr)|(kdp)|(\|lc)|(penalty))"</v>
      </c>
      <c r="AG135" s="1" t="str">
        <f t="shared" si="40"/>
        <v>EC</v>
      </c>
      <c r="AH135" s="86" t="str">
        <f t="shared" si="41"/>
        <v>"%USERPROFILE%\Documents\GitHub\eaglep3\Utilities\RefineRTDCRunTimes.py" --tripid 222-08 --locoid 4052 --swversion DE.1.0.9.0 --startMP 204:233002 --initTime 2017-03-08T19:52:22 --startdatetime 2017-03-08T19:56:28 --delay 2 --endMP 204:169 --enddatetime 2017-03-08T20:39:45 --enforcementcount 0 &gt;&gt;C:\Users\stu\Documents\GitHub\eaglep3-reporting\EC\2017-03-08-refined-times.txt</v>
      </c>
      <c r="AI135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{"issue":{"subject":"","project_id":79,"tracker_id":40,"status_id":1,"priority_id":2,"assigned_to_id":23,"start_date":"2017-03-08","description":"","custom_fields":[{"id":1,"name":"Subdivision","value":"EC"},{"id":4,"name":"Milepost","value":"0.0169"},{"id":17,"name":"Train ID","value":"222-08"},{"id":16,"name":"Locomotive ID","value":"4052"},{"id":130,"name":"Impact","value":""},{"id":150,"name":"Time of Event (Mountain Time)","value":"20:39:45"},{"id":151,"name":"Denver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3"/>
        <v>start /low /b %USERPROFILE%\Documents\GitHub\eaglep3\Utilities\DownloadLogsFromS3.py --loco 4052 --day 2017-03-08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"%USERPROFILE%\AppData\Local\Temp\OnboardLogs"\RTDC4052\*4052*20170309* | grep -SE "(Enforcement Action)|(\[TIMEOUT)|(CHR.+\|PRM\|1\|D.+(SWITCH|SIGNAL).+UNKNOWN)" - &gt;&gt; 2017-03-08-UncaughtWiMAX.txt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792</v>
      </c>
      <c r="B136" s="7">
        <v>4042</v>
      </c>
      <c r="C136" s="21" t="s">
        <v>242</v>
      </c>
      <c r="D136" s="21" t="s">
        <v>230</v>
      </c>
      <c r="E136" s="13">
        <v>42802.813576388886</v>
      </c>
      <c r="F136" s="13">
        <v>42802.817881944444</v>
      </c>
      <c r="G136" s="7">
        <v>1</v>
      </c>
      <c r="H136" s="21" t="s">
        <v>250</v>
      </c>
      <c r="I136" s="13">
        <v>42802.845833333333</v>
      </c>
      <c r="J136" s="7">
        <v>0</v>
      </c>
      <c r="K136" s="98" t="str">
        <f t="shared" si="29"/>
        <v>4041/4042</v>
      </c>
      <c r="L136" s="21" t="str">
        <f>VLOOKUP(A136,'Trips&amp;Operators'!$C$1:$G$99999,5,FALSE)</f>
        <v>WHITED DUSTIN</v>
      </c>
      <c r="M136" s="6">
        <f t="shared" si="30"/>
        <v>2.7951388889050577E-2</v>
      </c>
      <c r="N136" s="7">
        <f t="shared" si="47"/>
        <v>40.250000000232831</v>
      </c>
      <c r="O136" s="7"/>
      <c r="P136" s="7"/>
      <c r="Q136" s="22"/>
      <c r="R136" s="22"/>
      <c r="S136" s="31">
        <f t="shared" si="48"/>
        <v>1</v>
      </c>
      <c r="T136" s="46" t="str">
        <f t="shared" si="31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32"/>
        <v>https://d0f6bd738d7f1b3e5a7ca70fe4ff75f0.us-east-1.aws.found.io/app/kibana#/discover/Steve-Slow-Train-Analysis-(2080s-and-2083s)?_g=(refreshInterval:(display:Off,pause:!f,section:0,value:0),time:(from:'2017-03-08T18:31:33-0700',mode:absolute,to:'2017-03-08T21:18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6" s="187" t="str">
        <f t="shared" si="33"/>
        <v>N</v>
      </c>
      <c r="X136" s="187">
        <f t="shared" si="49"/>
        <v>1</v>
      </c>
      <c r="Y136" s="62">
        <f t="shared" si="34"/>
        <v>4.3999999999999997E-2</v>
      </c>
      <c r="Z136" s="62">
        <f t="shared" si="35"/>
        <v>23.330400000000001</v>
      </c>
      <c r="AA136" s="62">
        <f t="shared" si="36"/>
        <v>23.2864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7"/>
        <v>0223-08</v>
      </c>
      <c r="AE136" s="85" t="str">
        <f t="shared" si="38"/>
        <v>aws s3 cp s3://rtdc.mdm.uploadarchive.raw/RTDC4042/ "%USERPROFILE%\AppData\Local\Temp\OnboardLogs"\RTDC4042\2017-03-08 --exclude "*" --recursive --include "*20170308*" &amp; "%USERPROFILE%\Documents\GitHub\mrs-test-scripts\Headless Mode &amp; Sideloading\WalkAndUnGZ.bat" "%USERPROFILE%\AppData\Local\Temp\OnboardLogs"\RTDC4042\2017-03-08 &amp; aws s3 cp s3://rtdc.mdm.uploadarchive.raw/RTDC4042/ "%USERPROFILE%\AppData\Local\Temp\OnboardLogs"\RTDC4042\2017-03-09 --exclude "*" --recursive --include "*20170309*" &amp; "%USERPROFILE%\Documents\GitHub\mrs-test-scripts\Headless Mode &amp; Sideloading\WalkAndUnGZ.bat" "%USERPROFILE%\AppData\Local\Temp\OnboardLogs"\RTDC4042\2017-03-09</v>
      </c>
      <c r="AF136" s="82" t="str">
        <f t="shared" si="39"/>
        <v>"C:\Program Files (x86)\AstroGrep\AstroGrep.exe" /e /r /s /spath="%USERPROFILE%\AppData\Local\Temp\OnboardLogs" /stypes="app*4042*20170309*" /stext=" 03:.+((SYSTEM_STATE.+slice.+state.+changed )|(ment ac)|(multiple cpu faults)|(system.+state.+changed )|(\[timeout)|(PRM\|1\|D)|(kpr)|(kdp)|(\|lc)|(penalty))"</v>
      </c>
      <c r="AG136" s="1" t="str">
        <f t="shared" si="40"/>
        <v>EC</v>
      </c>
      <c r="AH136" s="86" t="str">
        <f t="shared" si="41"/>
        <v>"%USERPROFILE%\Documents\GitHub\eaglep3\Utilities\RefineRTDCRunTimes.py" --tripid 223-08 --locoid 4042 --swversion DE.1.0.9.0 --startMP 204:440 --initTime 2017-03-08T19:31:33 --startdatetime 2017-03-08T19:37:45 --delay 1 --endMP 204:233304 --enddatetime 2017-03-08T20:18:00 --enforcementcount 0 &gt;&gt;C:\Users\stu\Documents\GitHub\eaglep3-reporting\EC\2017-03-08-refined-times.txt</v>
      </c>
      <c r="AI136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{"issue":{"subject":"","project_id":79,"tracker_id":40,"status_id":1,"priority_id":2,"assigned_to_id":23,"start_date":"2017-03-08","description":"","custom_fields":[{"id":1,"name":"Subdivision","value":"EC"},{"id":4,"name":"Milepost","value":"23.3304"},{"id":17,"name":"Train ID","value":"223-08"},{"id":16,"name":"Locomotive ID","value":"4042"},{"id":130,"name":"Impact","value":""},{"id":150,"name":"Time of Event (Mountain Time)","value":"20:18:00"},{"id":151,"name":"Denver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3"/>
        <v>start /low /b %USERPROFILE%\Documents\GitHub\eaglep3\Utilities\DownloadLogsFromS3.py --loco 4042 --day 2017-03-08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"%USERPROFILE%\AppData\Local\Temp\OnboardLogs"\RTDC4042\*4042*20170309* | grep -SE "(Enforcement Action)|(\[TIMEOUT)|(CHR.+\|PRM\|1\|D.+(SWITCH|SIGNAL).+UNKNOWN)" - &gt;&gt; 2017-03-08-UncaughtWiMAX.txt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799</v>
      </c>
      <c r="B137" s="7">
        <v>4041</v>
      </c>
      <c r="C137" s="21" t="s">
        <v>242</v>
      </c>
      <c r="D137" s="21" t="s">
        <v>501</v>
      </c>
      <c r="E137" s="13">
        <v>42802.849120370367</v>
      </c>
      <c r="F137" s="13">
        <v>42802.850659722222</v>
      </c>
      <c r="G137" s="7">
        <v>2</v>
      </c>
      <c r="H137" s="21" t="s">
        <v>262</v>
      </c>
      <c r="I137" s="13">
        <v>42802.851863425924</v>
      </c>
      <c r="J137" s="7">
        <v>0</v>
      </c>
      <c r="K137" s="98" t="str">
        <f t="shared" si="29"/>
        <v>4041/4042</v>
      </c>
      <c r="L137" s="21" t="str">
        <f>VLOOKUP(A137,'Trips&amp;Operators'!$C$1:$G$99999,5,FALSE)</f>
        <v>WHITED DUSTIN</v>
      </c>
      <c r="M137" s="6">
        <f t="shared" si="30"/>
        <v>1.2037037013215013E-3</v>
      </c>
      <c r="N137" s="7"/>
      <c r="O137" s="7"/>
      <c r="P137" s="7">
        <f>24*60*SUM($M137:$M137)</f>
        <v>1.7333333299029619</v>
      </c>
      <c r="Q137" s="22"/>
      <c r="R137" s="22" t="s">
        <v>472</v>
      </c>
      <c r="S137" s="31">
        <f t="shared" si="48"/>
        <v>0</v>
      </c>
      <c r="T137" s="46" t="str">
        <f t="shared" si="31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0</v>
      </c>
      <c r="V137" s="186" t="str">
        <f t="shared" si="32"/>
        <v>https://d0f6bd738d7f1b3e5a7ca70fe4ff75f0.us-east-1.aws.found.io/app/kibana#/discover/Steve-Slow-Train-Analysis-(2080s-and-2083s)?_g=(refreshInterval:(display:Off,pause:!f,section:0,value:0),time:(from:'2017-03-08T19:22:44-0700',mode:absolute,to:'2017-03-08T21:26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7" s="187" t="str">
        <f t="shared" si="33"/>
        <v>Y</v>
      </c>
      <c r="X137" s="187">
        <f t="shared" si="49"/>
        <v>1</v>
      </c>
      <c r="Y137" s="62">
        <f t="shared" si="34"/>
        <v>23.2974</v>
      </c>
      <c r="Z137" s="62">
        <f t="shared" si="35"/>
        <v>23.297699999999999</v>
      </c>
      <c r="AA137" s="62">
        <f t="shared" si="36"/>
        <v>2.9999999999930083E-4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7"/>
        <v>0224-08</v>
      </c>
      <c r="AE137" s="85" t="str">
        <f t="shared" si="38"/>
        <v>aws s3 cp s3://rtdc.mdm.uploadarchive.raw/RTDC4041/ "%USERPROFILE%\AppData\Local\Temp\OnboardLogs"\RTDC4041\2017-03-08 --exclude "*" --recursive --include "*20170308*" &amp; "%USERPROFILE%\Documents\GitHub\mrs-test-scripts\Headless Mode &amp; Sideloading\WalkAndUnGZ.bat" "%USERPROFILE%\AppData\Local\Temp\OnboardLogs"\RTDC4041\2017-03-08 &amp; aws s3 cp s3://rtdc.mdm.uploadarchive.raw/RTDC4041/ "%USERPROFILE%\AppData\Local\Temp\OnboardLogs"\RTDC4041\2017-03-09 --exclude "*" --recursive --include "*20170309*" &amp; "%USERPROFILE%\Documents\GitHub\mrs-test-scripts\Headless Mode &amp; Sideloading\WalkAndUnGZ.bat" "%USERPROFILE%\AppData\Local\Temp\OnboardLogs"\RTDC4041\2017-03-09</v>
      </c>
      <c r="AF137" s="82" t="str">
        <f t="shared" si="39"/>
        <v>"C:\Program Files (x86)\AstroGrep\AstroGrep.exe" /e /r /s /spath="%USERPROFILE%\AppData\Local\Temp\OnboardLogs" /stypes="app*4041*20170309*" /stext=" 03:.+((SYSTEM_STATE.+slice.+state.+changed )|(ment ac)|(multiple cpu faults)|(system.+state.+changed )|(\[timeout)|(PRM\|1\|D)|(kpr)|(kdp)|(\|lc)|(penalty))"</v>
      </c>
      <c r="AG137" s="1" t="str">
        <f t="shared" si="40"/>
        <v>EC</v>
      </c>
      <c r="AH137" s="86" t="str">
        <f t="shared" si="41"/>
        <v>"%USERPROFILE%\Documents\GitHub\eaglep3\Utilities\RefineRTDCRunTimes.py" --tripid 224-08 --locoid 4041 --swversion DE.1.0.9.0 --startMP 204:232974 --initTime 2017-03-08T20:22:44 --startdatetime 2017-03-08T20:24:57 --delay 2 --endMP 204:232977 --enddatetime 2017-03-08T20:26:41 --enforcementcount 0 &gt;&gt;C:\Users\stu\Documents\GitHub\eaglep3-reporting\EC\2017-03-08-refined-times.txt</v>
      </c>
      <c r="AI137" s="108" t="str">
        <f t="shared" si="42"/>
        <v>echo {"issue":{"subject":"Onboard in-route failure","project_id":79,"tracker_id":40,"status_id":1,"priority_id":2,"assigned_to_id":23,"start_date":"2017-03-08","description":"","custom_fields":[{"id":1,"name":"Subdivision","value":"EC"},{"id":4,"name":"Milepost","value":"23.2977"},{"id":17,"name":"Train ID","value":"224-08"},{"id":16,"name":"Locomotive ID","value":"4041"},{"id":130,"name":"Impact","value":""},{"id":150,"name":"Time of Event (Mountain Time)","value":"20:26:41"},{"id":151,"name":"Denver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3"/>
        <v>start /low /b %USERPROFILE%\Documents\GitHub\eaglep3\Utilities\DownloadLogsFromS3.py --loco 4041 --day 2017-03-08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"%USERPROFILE%\AppData\Local\Temp\OnboardLogs"\RTDC4041\*4041*20170309* | grep -SE "(Enforcement Action)|(\[TIMEOUT)|(CHR.+\|PRM\|1\|D.+(SWITCH|SIGNAL).+UNKNOWN)" - &gt;&gt; 2017-03-08-UncaughtWiMAX.txt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796</v>
      </c>
      <c r="B138" s="7">
        <v>4014</v>
      </c>
      <c r="C138" s="21" t="s">
        <v>242</v>
      </c>
      <c r="D138" s="21" t="s">
        <v>496</v>
      </c>
      <c r="E138" s="13">
        <v>42802.836828703701</v>
      </c>
      <c r="F138" s="13">
        <v>42802.838449074072</v>
      </c>
      <c r="G138" s="7">
        <v>1</v>
      </c>
      <c r="H138" s="21" t="s">
        <v>848</v>
      </c>
      <c r="I138" s="13">
        <v>42802.86613425926</v>
      </c>
      <c r="J138" s="7">
        <v>0</v>
      </c>
      <c r="K138" s="98" t="str">
        <f t="shared" si="29"/>
        <v>4013/4014</v>
      </c>
      <c r="L138" s="21" t="str">
        <f>VLOOKUP(A138,'Trips&amp;Operators'!$C$1:$G$99999,5,FALSE)</f>
        <v>NELSON ARIANE</v>
      </c>
      <c r="M138" s="6">
        <f t="shared" si="30"/>
        <v>2.768518518860219E-2</v>
      </c>
      <c r="N138" s="7">
        <f t="shared" ref="N138:N150" si="50">24*60*SUM($M138:$M138)</f>
        <v>39.866666671587154</v>
      </c>
      <c r="O138" s="7"/>
      <c r="P138" s="7"/>
      <c r="Q138" s="22"/>
      <c r="R138" s="22"/>
      <c r="S138" s="31">
        <f t="shared" si="48"/>
        <v>1</v>
      </c>
      <c r="T138" s="46" t="str">
        <f t="shared" si="31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32"/>
        <v>https://d0f6bd738d7f1b3e5a7ca70fe4ff75f0.us-east-1.aws.found.io/app/kibana#/discover/Steve-Slow-Train-Analysis-(2080s-and-2083s)?_g=(refreshInterval:(display:Off,pause:!f,section:0,value:0),time:(from:'2017-03-08T19:05:02-0700',mode:absolute,to:'2017-03-08T21:47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8" s="187" t="str">
        <f t="shared" si="33"/>
        <v>N</v>
      </c>
      <c r="X138" s="187">
        <f t="shared" si="49"/>
        <v>1</v>
      </c>
      <c r="Y138" s="62">
        <f t="shared" si="34"/>
        <v>4.7500000000000001E-2</v>
      </c>
      <c r="Z138" s="62">
        <f t="shared" si="35"/>
        <v>23.3293</v>
      </c>
      <c r="AA138" s="62">
        <f t="shared" si="36"/>
        <v>23.2818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7"/>
        <v>0225-08</v>
      </c>
      <c r="AE138" s="85" t="str">
        <f t="shared" si="38"/>
        <v>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 &amp; 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</v>
      </c>
      <c r="AF138" s="82" t="str">
        <f t="shared" si="39"/>
        <v>"C:\Program Files (x86)\AstroGrep\AstroGrep.exe" /e /r /s /spath="%USERPROFILE%\AppData\Local\Temp\OnboardLogs" /stypes="app*4014*20170309*" /stext=" 03:.+((SYSTEM_STATE.+slice.+state.+changed )|(ment ac)|(multiple cpu faults)|(system.+state.+changed )|(\[timeout)|(PRM\|1\|D)|(kpr)|(kdp)|(\|lc)|(penalty))"</v>
      </c>
      <c r="AG138" s="1" t="str">
        <f t="shared" si="40"/>
        <v>EC</v>
      </c>
      <c r="AH138" s="86" t="str">
        <f t="shared" si="41"/>
        <v>"%USERPROFILE%\Documents\GitHub\eaglep3\Utilities\RefineRTDCRunTimes.py" --tripid 225-08 --locoid 4014 --swversion DE.1.0.9.0 --startMP 204:475 --initTime 2017-03-08T20:05:02 --startdatetime 2017-03-08T20:07:22 --delay 1 --endMP 204:233293 --enddatetime 2017-03-08T20:47:14 --enforcementcount 0 &gt;&gt;C:\Users\stu\Documents\GitHub\eaglep3-reporting\EC\2017-03-08-refined-times.txt</v>
      </c>
      <c r="AI138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{"issue":{"subject":"","project_id":79,"tracker_id":40,"status_id":1,"priority_id":2,"assigned_to_id":23,"start_date":"2017-03-08","description":"","custom_fields":[{"id":1,"name":"Subdivision","value":"EC"},{"id":4,"name":"Milepost","value":"23.3293"},{"id":17,"name":"Train ID","value":"225-08"},{"id":16,"name":"Locomotive ID","value":"4014"},{"id":130,"name":"Impact","value":""},{"id":150,"name":"Time of Event (Mountain Time)","value":"20:47:14"},{"id":151,"name":"Denver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3"/>
        <v>start /low /b %USERPROFILE%\Documents\GitHub\eaglep3\Utilities\DownloadLogsFromS3.py --loco 4014 --day 2017-03-08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"%USERPROFILE%\AppData\Local\Temp\OnboardLogs"\RTDC4014\*4014*20170309* | grep -SE "(Enforcement Action)|(\[TIMEOUT)|(CHR.+\|PRM\|1\|D.+(SWITCH|SIGNAL).+UNKNOWN)" - &gt;&gt; 2017-03-08-UncaughtWiMAX.txt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804</v>
      </c>
      <c r="B139" s="7">
        <v>4013</v>
      </c>
      <c r="C139" s="21" t="s">
        <v>242</v>
      </c>
      <c r="D139" s="21" t="s">
        <v>497</v>
      </c>
      <c r="E139" s="13">
        <v>42802.871678240743</v>
      </c>
      <c r="F139" s="13">
        <v>42802.873032407406</v>
      </c>
      <c r="G139" s="7">
        <v>1</v>
      </c>
      <c r="H139" s="21" t="s">
        <v>867</v>
      </c>
      <c r="I139" s="13">
        <v>42802.904560185183</v>
      </c>
      <c r="J139" s="7">
        <v>0</v>
      </c>
      <c r="K139" s="98" t="str">
        <f t="shared" si="29"/>
        <v>4013/4014</v>
      </c>
      <c r="L139" s="21" t="str">
        <f>VLOOKUP(A139,'Trips&amp;Operators'!$C$1:$G$99999,5,FALSE)</f>
        <v>NELSON ARIANE</v>
      </c>
      <c r="M139" s="6">
        <f t="shared" si="30"/>
        <v>3.1527777777228039E-2</v>
      </c>
      <c r="N139" s="7">
        <f t="shared" si="50"/>
        <v>45.399999999208376</v>
      </c>
      <c r="O139" s="7"/>
      <c r="P139" s="7"/>
      <c r="Q139" s="22"/>
      <c r="R139" s="22" t="s">
        <v>1033</v>
      </c>
      <c r="S139" s="31">
        <f t="shared" si="48"/>
        <v>1</v>
      </c>
      <c r="T139" s="46" t="str">
        <f t="shared" si="31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32"/>
        <v>https://d0f6bd738d7f1b3e5a7ca70fe4ff75f0.us-east-1.aws.found.io/app/kibana#/discover/Steve-Slow-Train-Analysis-(2080s-and-2083s)?_g=(refreshInterval:(display:Off,pause:!f,section:0,value:0),time:(from:'2017-03-08T19:55:13-0700',mode:absolute,to:'2017-03-08T22:42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9" s="187" t="str">
        <f t="shared" si="33"/>
        <v>N</v>
      </c>
      <c r="X139" s="187">
        <f t="shared" si="49"/>
        <v>1</v>
      </c>
      <c r="Y139" s="62">
        <f t="shared" si="34"/>
        <v>23.298100000000002</v>
      </c>
      <c r="Z139" s="62">
        <f t="shared" si="35"/>
        <v>1.2500000000000001E-2</v>
      </c>
      <c r="AA139" s="62">
        <f t="shared" si="36"/>
        <v>23.285600000000002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7"/>
        <v>0226-08</v>
      </c>
      <c r="AE139" s="85" t="str">
        <f t="shared" si="38"/>
        <v>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 &amp; 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</v>
      </c>
      <c r="AF139" s="82" t="str">
        <f t="shared" si="39"/>
        <v>"C:\Program Files (x86)\AstroGrep\AstroGrep.exe" /e /r /s /spath="%USERPROFILE%\AppData\Local\Temp\OnboardLogs" /stypes="app*4013*20170309*" /stext=" 04:.+((SYSTEM_STATE.+slice.+state.+changed )|(ment ac)|(multiple cpu faults)|(system.+state.+changed )|(\[timeout)|(PRM\|1\|D)|(kpr)|(kdp)|(\|lc)|(penalty))"</v>
      </c>
      <c r="AG139" s="1" t="str">
        <f t="shared" si="40"/>
        <v>EC</v>
      </c>
      <c r="AH139" s="86" t="str">
        <f t="shared" si="41"/>
        <v>"%USERPROFILE%\Documents\GitHub\eaglep3\Utilities\RefineRTDCRunTimes.py" --tripid 226-08 --locoid 4013 --swversion DE.1.0.9.0 --startMP 204:232981 --initTime 2017-03-08T20:55:13 --startdatetime 2017-03-08T20:57:10 --delay 1 --endMP 204:125 --enddatetime 2017-03-08T21:42:34 --enforcementcount 0 &gt;&gt;C:\Users\stu\Documents\GitHub\eaglep3-reporting\EC\2017-03-08-refined-times.txt</v>
      </c>
      <c r="AI139" s="108" t="str">
        <f t="shared" si="42"/>
        <v>echo {"issue":{"subject":"Unhealthy @ Chambers due to train stop","project_id":79,"tracker_id":40,"status_id":1,"priority_id":2,"assigned_to_id":23,"start_date":"2017-03-08","description":"","custom_fields":[{"id":1,"name":"Subdivision","value":"EC"},{"id":4,"name":"Milepost","value":"0.0125"},{"id":17,"name":"Train ID","value":"226-08"},{"id":16,"name":"Locomotive ID","value":"4013"},{"id":130,"name":"Impact","value":""},{"id":150,"name":"Time of Event (Mountain Time)","value":"21:42:34"},{"id":151,"name":"Denver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3"/>
        <v>start /low /b %USERPROFILE%\Documents\GitHub\eaglep3\Utilities\DownloadLogsFromS3.py --loco 4013 --day 2017-03-08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"%USERPROFILE%\AppData\Local\Temp\OnboardLogs"\RTDC4013\*4013*20170309* | grep -SE "(Enforcement Action)|(\[TIMEOUT)|(CHR.+\|PRM\|1\|D.+(SWITCH|SIGNAL).+UNKNOWN)" - &gt;&gt; 2017-03-08-UncaughtWiMAX.txt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800</v>
      </c>
      <c r="B140" s="7">
        <v>4046</v>
      </c>
      <c r="C140" s="21" t="s">
        <v>242</v>
      </c>
      <c r="D140" s="21" t="s">
        <v>216</v>
      </c>
      <c r="E140" s="13">
        <v>42802.8515625</v>
      </c>
      <c r="F140" s="13">
        <v>42802.85434027778</v>
      </c>
      <c r="G140" s="7">
        <v>2</v>
      </c>
      <c r="H140" s="21" t="s">
        <v>247</v>
      </c>
      <c r="I140" s="13">
        <v>42802.878854166665</v>
      </c>
      <c r="J140" s="7">
        <v>0</v>
      </c>
      <c r="K140" s="98" t="str">
        <f t="shared" si="29"/>
        <v>4045/4046</v>
      </c>
      <c r="L140" s="21" t="str">
        <f>VLOOKUP(A140,'Trips&amp;Operators'!$C$1:$G$99999,5,FALSE)</f>
        <v>NEWELL JAMES</v>
      </c>
      <c r="M140" s="6">
        <f t="shared" si="30"/>
        <v>2.4513888885849155E-2</v>
      </c>
      <c r="N140" s="7">
        <f t="shared" si="50"/>
        <v>35.299999995622784</v>
      </c>
      <c r="O140" s="7"/>
      <c r="P140" s="7"/>
      <c r="Q140" s="22"/>
      <c r="R140" s="22"/>
      <c r="S140" s="31">
        <f t="shared" si="48"/>
        <v>1</v>
      </c>
      <c r="T140" s="46" t="str">
        <f t="shared" si="31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32"/>
        <v>https://d0f6bd738d7f1b3e5a7ca70fe4ff75f0.us-east-1.aws.found.io/app/kibana#/discover/Steve-Slow-Train-Analysis-(2080s-and-2083s)?_g=(refreshInterval:(display:Off,pause:!f,section:0,value:0),time:(from:'2017-03-08T19:26:15-0700',mode:absolute,to:'2017-03-08T22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0" s="187" t="str">
        <f t="shared" si="33"/>
        <v>N</v>
      </c>
      <c r="X140" s="187">
        <f t="shared" si="49"/>
        <v>1</v>
      </c>
      <c r="Y140" s="62">
        <f t="shared" si="34"/>
        <v>4.5100000000000001E-2</v>
      </c>
      <c r="Z140" s="62">
        <f t="shared" si="35"/>
        <v>23.331399999999999</v>
      </c>
      <c r="AA140" s="62">
        <f t="shared" si="36"/>
        <v>23.286299999999997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7"/>
        <v>0227-08</v>
      </c>
      <c r="AE140" s="85" t="str">
        <f t="shared" si="38"/>
        <v>aws s3 cp s3://rtdc.mdm.uploadarchive.raw/RTDC4046/ "%USERPROFILE%\AppData\Local\Temp\OnboardLogs"\RTDC4046\2017-03-08 --exclude "*" --recursive --include "*20170308*" &amp; "%USERPROFILE%\Documents\GitHub\mrs-test-scripts\Headless Mode &amp; Sideloading\WalkAndUnGZ.bat" "%USERPROFILE%\AppData\Local\Temp\OnboardLogs"\RTDC4046\2017-03-08 &amp; aws s3 cp s3://rtdc.mdm.uploadarchive.raw/RTDC4046/ "%USERPROFILE%\AppData\Local\Temp\OnboardLogs"\RTDC4046\2017-03-09 --exclude "*" --recursive --include "*20170309*" &amp; "%USERPROFILE%\Documents\GitHub\mrs-test-scripts\Headless Mode &amp; Sideloading\WalkAndUnGZ.bat" "%USERPROFILE%\AppData\Local\Temp\OnboardLogs"\RTDC4046\2017-03-09</v>
      </c>
      <c r="AF140" s="82" t="str">
        <f t="shared" si="39"/>
        <v>"C:\Program Files (x86)\AstroGrep\AstroGrep.exe" /e /r /s /spath="%USERPROFILE%\AppData\Local\Temp\OnboardLogs" /stypes="app*4046*20170309*" /stext=" 04:.+((SYSTEM_STATE.+slice.+state.+changed )|(ment ac)|(multiple cpu faults)|(system.+state.+changed )|(\[timeout)|(PRM\|1\|D)|(kpr)|(kdp)|(\|lc)|(penalty))"</v>
      </c>
      <c r="AG140" s="1" t="str">
        <f t="shared" si="40"/>
        <v>EC</v>
      </c>
      <c r="AH140" s="86" t="str">
        <f t="shared" si="41"/>
        <v>"%USERPROFILE%\Documents\GitHub\eaglep3\Utilities\RefineRTDCRunTimes.py" --tripid 227-08 --locoid 4046 --swversion DE.1.0.9.0 --startMP 204:451 --initTime 2017-03-08T20:26:15 --startdatetime 2017-03-08T20:30:15 --delay 2 --endMP 204:233314 --enddatetime 2017-03-08T21:05:33 --enforcementcount 0 &gt;&gt;C:\Users\stu\Documents\GitHub\eaglep3-reporting\EC\2017-03-08-refined-times.txt</v>
      </c>
      <c r="AI140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{"issue":{"subject":"","project_id":79,"tracker_id":40,"status_id":1,"priority_id":2,"assigned_to_id":23,"start_date":"2017-03-08","description":"","custom_fields":[{"id":1,"name":"Subdivision","value":"EC"},{"id":4,"name":"Milepost","value":"23.3314"},{"id":17,"name":"Train ID","value":"227-08"},{"id":16,"name":"Locomotive ID","value":"4046"},{"id":130,"name":"Impact","value":""},{"id":150,"name":"Time of Event (Mountain Time)","value":"21:05:33"},{"id":151,"name":"Denver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3"/>
        <v>start /low /b %USERPROFILE%\Documents\GitHub\eaglep3\Utilities\DownloadLogsFromS3.py --loco 4046 --day 2017-03-08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"%USERPROFILE%\AppData\Local\Temp\OnboardLogs"\RTDC4046\*4046*20170309* | grep -SE "(Enforcement Action)|(\[TIMEOUT)|(CHR.+\|PRM\|1\|D.+(SWITCH|SIGNAL).+UNKNOWN)" - &gt;&gt; 2017-03-08-UncaughtWiMAX.txt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805</v>
      </c>
      <c r="B141" s="7">
        <v>4045</v>
      </c>
      <c r="C141" s="21" t="s">
        <v>242</v>
      </c>
      <c r="D141" s="21" t="s">
        <v>840</v>
      </c>
      <c r="E141" s="13">
        <v>42802.884548611109</v>
      </c>
      <c r="F141" s="13">
        <v>42802.893217592595</v>
      </c>
      <c r="G141" s="7">
        <v>1</v>
      </c>
      <c r="H141" s="21" t="s">
        <v>192</v>
      </c>
      <c r="I141" s="13">
        <v>42802.921886574077</v>
      </c>
      <c r="J141" s="7">
        <v>0</v>
      </c>
      <c r="K141" s="98" t="str">
        <f t="shared" ref="K141:K204" si="51">IF(ISEVEN(B141),(B141-1)&amp;"/"&amp;B141,B141&amp;"/"&amp;(B141+1))</f>
        <v>4045/4046</v>
      </c>
      <c r="L141" s="21" t="str">
        <f>VLOOKUP(A141,'Trips&amp;Operators'!$C$1:$G$99999,5,FALSE)</f>
        <v>NEWELL JAMES</v>
      </c>
      <c r="M141" s="6">
        <f t="shared" ref="M141:M204" si="52">I141-F141</f>
        <v>2.8668981482042E-2</v>
      </c>
      <c r="N141" s="7">
        <f t="shared" si="50"/>
        <v>41.28333333414048</v>
      </c>
      <c r="O141" s="7"/>
      <c r="P141" s="7"/>
      <c r="Q141" s="22"/>
      <c r="R141" s="22"/>
      <c r="S141" s="31">
        <f t="shared" si="48"/>
        <v>1</v>
      </c>
      <c r="T141" s="46" t="str">
        <f t="shared" ref="T141:T204" si="53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-08T20:13:45-0700',mode:absolute,to:'2017-03-08T23:07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1" s="187" t="str">
        <f t="shared" ref="W141:W204" si="55">IF(AA141&lt;IF(AG141="EC",23,5.65),"Y","N")</f>
        <v>N</v>
      </c>
      <c r="X141" s="187">
        <f t="shared" si="49"/>
        <v>1</v>
      </c>
      <c r="Y141" s="62">
        <f t="shared" ref="Y141:Y204" si="56">RIGHT(D141,LEN(D141)-4)/10000</f>
        <v>23.299600000000002</v>
      </c>
      <c r="Z141" s="62">
        <f t="shared" ref="Z141:Z204" si="57">RIGHT(H141,LEN(H141)-4)/10000</f>
        <v>1.4999999999999999E-2</v>
      </c>
      <c r="AA141" s="62">
        <f t="shared" ref="AA141:AA204" si="58">ABS(Z141-Y141)</f>
        <v>23.284600000000001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9">IF(LEN(A141)=6,"0"&amp;A141,A141)</f>
        <v>0228-08</v>
      </c>
      <c r="AE141" s="85" t="str">
        <f t="shared" ref="AE141:AE204" si="6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s3://rtdc.mdm.uploadarchive.raw/RTDC4045/ "%USERPROFILE%\AppData\Local\Temp\OnboardLogs"\RTDC4045\2017-03-08 --exclude "*" --recursive --include "*20170308*" &amp; "%USERPROFILE%\Documents\GitHub\mrs-test-scripts\Headless Mode &amp; Sideloading\WalkAndUnGZ.bat" "%USERPROFILE%\AppData\Local\Temp\OnboardLogs"\RTDC4045\2017-03-08 &amp; aws s3 cp s3://rtdc.mdm.uploadarchive.raw/RTDC4045/ "%USERPROFILE%\AppData\Local\Temp\OnboardLogs"\RTDC4045\2017-03-09 --exclude "*" --recursive --include "*20170309*" &amp; "%USERPROFILE%\Documents\GitHub\mrs-test-scripts\Headless Mode &amp; Sideloading\WalkAndUnGZ.bat" "%USERPROFILE%\AppData\Local\Temp\OnboardLogs"\RTDC4045\2017-03-09</v>
      </c>
      <c r="AF141" s="82" t="str">
        <f t="shared" ref="AF141:AF204" si="61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/stypes="app*4045*20170309*" /stext=" 05:.+((SYSTEM_STATE.+slice.+state.+changed )|(ment ac)|(multiple cpu faults)|(system.+state.+changed )|(\[timeout)|(PRM\|1\|D)|(kpr)|(kdp)|(\|lc)|(penalty))"</v>
      </c>
      <c r="AG141" s="1" t="str">
        <f t="shared" ref="AG141:AG204" si="62">IFERROR(IF(VALUE(LEFT(AD141,2))&lt;=2,"EC",IF(OR(VALUE(LEFT(AD141,2))=8,VALUE(LEFT(AD141,2))=18),"NW","Other")),"Other")</f>
        <v>EC</v>
      </c>
      <c r="AH141" s="86" t="str">
        <f t="shared" si="41"/>
        <v>"%USERPROFILE%\Documents\GitHub\eaglep3\Utilities\RefineRTDCRunTimes.py" --tripid 228-08 --locoid 4045 --swversion DE.1.0.9.0 --startMP 204:232996 --initTime 2017-03-08T21:13:45 --startdatetime 2017-03-08T21:26:14 --delay 1 --endMP 204:150 --enddatetime 2017-03-08T22:07:31 --enforcementcount 0 &gt;&gt;C:\Users\stu\Documents\GitHub\eaglep3-reporting\EC\2017-03-08-refined-times.txt</v>
      </c>
      <c r="AI141" s="108" t="str">
        <f t="shared" si="42"/>
        <v>echo {"issue":{"subject":"","project_id":79,"tracker_id":40,"status_id":1,"priority_id":2,"assigned_to_id":23,"start_date":"2017-03-08","description":"","custom_fields":[{"id":1,"name":"Subdivision","value":"EC"},{"id":4,"name":"Milepost","value":"0.015"},{"id":17,"name":"Train ID","value":"228-08"},{"id":16,"name":"Locomotive ID","value":"4045"},{"id":130,"name":"Impact","value":""},{"id":150,"name":"Time of Event (Mountain Time)","value":"22:07:31"},{"id":151,"name":"Denver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43"/>
        <v>start /low /b %USERPROFILE%\Documents\GitHub\eaglep3\Utilities\DownloadLogsFromS3.py --loco 4045 --day 2017-03-08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"%USERPROFILE%\AppData\Local\Temp\OnboardLogs"\RTDC4045\*4045*20170309* | grep -SE "(Enforcement Action)|(\[TIMEOUT)|(CHR.+\|PRM\|1\|D.+(SWITCH|SIGNAL).+UNKNOWN)" - &gt;&gt; 2017-03-08-UncaughtWiMAX.txt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803</v>
      </c>
      <c r="B142" s="7">
        <v>4051</v>
      </c>
      <c r="C142" s="21" t="s">
        <v>242</v>
      </c>
      <c r="D142" s="21" t="s">
        <v>292</v>
      </c>
      <c r="E142" s="13">
        <v>42802.865034722221</v>
      </c>
      <c r="F142" s="13">
        <v>42802.875277777777</v>
      </c>
      <c r="G142" s="7">
        <v>2</v>
      </c>
      <c r="H142" s="21" t="s">
        <v>893</v>
      </c>
      <c r="I142" s="13">
        <v>42802.902141203704</v>
      </c>
      <c r="J142" s="7">
        <v>0</v>
      </c>
      <c r="K142" s="98" t="str">
        <f t="shared" si="51"/>
        <v>4051/4052</v>
      </c>
      <c r="L142" s="21" t="str">
        <f>VLOOKUP(A142,'Trips&amp;Operators'!$C$1:$G$99999,5,FALSE)</f>
        <v>SWANSON BRYCE</v>
      </c>
      <c r="M142" s="6">
        <f t="shared" si="52"/>
        <v>2.6863425926421769E-2</v>
      </c>
      <c r="N142" s="7">
        <f t="shared" si="50"/>
        <v>38.683333334047347</v>
      </c>
      <c r="O142" s="7"/>
      <c r="P142" s="7"/>
      <c r="Q142" s="22"/>
      <c r="R142" s="22"/>
      <c r="S142" s="31">
        <f t="shared" si="48"/>
        <v>1</v>
      </c>
      <c r="T142" s="46" t="str">
        <f t="shared" si="53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4"/>
        <v>https://d0f6bd738d7f1b3e5a7ca70fe4ff75f0.us-east-1.aws.found.io/app/kibana#/discover/Steve-Slow-Train-Analysis-(2080s-and-2083s)?_g=(refreshInterval:(display:Off,pause:!f,section:0,value:0),time:(from:'2017-03-08T19:45:39-0700',mode:absolute,to:'2017-03-08T22:39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2" s="187" t="str">
        <f t="shared" si="55"/>
        <v>N</v>
      </c>
      <c r="X142" s="187">
        <f t="shared" si="49"/>
        <v>1</v>
      </c>
      <c r="Y142" s="62">
        <f t="shared" si="56"/>
        <v>4.6899999999999997E-2</v>
      </c>
      <c r="Z142" s="62">
        <f t="shared" si="57"/>
        <v>23.327000000000002</v>
      </c>
      <c r="AA142" s="62">
        <f t="shared" si="58"/>
        <v>23.280100000000001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9"/>
        <v>0229-08</v>
      </c>
      <c r="AE142" s="85" t="str">
        <f t="shared" si="60"/>
        <v>aws s3 cp s3://rtdc.mdm.uploadarchive.raw/RTDC4051/ "%USERPROFILE%\AppData\Local\Temp\OnboardLogs"\RTDC4051\2017-03-08 --exclude "*" --recursive --include "*20170308*" &amp; "%USERPROFILE%\Documents\GitHub\mrs-test-scripts\Headless Mode &amp; Sideloading\WalkAndUnGZ.bat" "%USERPROFILE%\AppData\Local\Temp\OnboardLogs"\RTDC4051\2017-03-08 &amp; aws s3 cp s3://rtdc.mdm.uploadarchive.raw/RTDC4051/ "%USERPROFILE%\AppData\Local\Temp\OnboardLogs"\RTDC4051\2017-03-09 --exclude "*" --recursive --include "*20170309*" &amp; "%USERPROFILE%\Documents\GitHub\mrs-test-scripts\Headless Mode &amp; Sideloading\WalkAndUnGZ.bat" "%USERPROFILE%\AppData\Local\Temp\OnboardLogs"\RTDC4051\2017-03-09</v>
      </c>
      <c r="AF142" s="82" t="str">
        <f t="shared" si="61"/>
        <v>"C:\Program Files (x86)\AstroGrep\AstroGrep.exe" /e /r /s /spath="%USERPROFILE%\AppData\Local\Temp\OnboardLogs" /stypes="app*4051*20170309*" /stext=" 04:.+((SYSTEM_STATE.+slice.+state.+changed )|(ment ac)|(multiple cpu faults)|(system.+state.+changed )|(\[timeout)|(PRM\|1\|D)|(kpr)|(kdp)|(\|lc)|(penalty))"</v>
      </c>
      <c r="AG142" s="1" t="str">
        <f t="shared" si="62"/>
        <v>EC</v>
      </c>
      <c r="AH142" s="86" t="str">
        <f t="shared" ref="AH142:AH204" si="63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229-08 --locoid 4051 --swversion DE.1.0.9.0 --startMP 204:469 --initTime 2017-03-08T20:45:39 --startdatetime 2017-03-08T21:00:24 --delay 2 --endMP 204:233270 --enddatetime 2017-03-08T21:39:05 --enforcementcount 0 &gt;&gt;C:\Users\stu\Documents\GitHub\eaglep3-reporting\EC\2017-03-08-refined-times.txt</v>
      </c>
      <c r="AI142" s="108" t="str">
        <f t="shared" ref="AI142:AI204" si="64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{"issue":{"subject":"","project_id":79,"tracker_id":40,"status_id":1,"priority_id":2,"assigned_to_id":23,"start_date":"2017-03-08","description":"","custom_fields":[{"id":1,"name":"Subdivision","value":"EC"},{"id":4,"name":"Milepost","value":"23.327"},{"id":17,"name":"Train ID","value":"229-08"},{"id":16,"name":"Locomotive ID","value":"4051"},{"id":130,"name":"Impact","value":""},{"id":150,"name":"Time of Event (Mountain Time)","value":"21:39:05"},{"id":151,"name":"Denver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4" si="65">"start /low /b "&amp;dls3logs&amp;" --loco "&amp;B142&amp;" --day "&amp;TEXT(F142,"YYYY-MM-DD")</f>
        <v>start /low /b %USERPROFILE%\Documents\GitHub\eaglep3\Utilities\DownloadLogsFromS3.py --loco 4051 --day 2017-03-08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"%USERPROFILE%\AppData\Local\Temp\OnboardLogs"\RTDC4051\*4051*20170309* | grep -SE "(Enforcement Action)|(\[TIMEOUT)|(CHR.+\|PRM\|1\|D.+(SWITCH|SIGNAL).+UNKNOWN)" - &gt;&gt; 2017-03-08-UncaughtWiMAX.txt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808</v>
      </c>
      <c r="B143" s="7">
        <v>4052</v>
      </c>
      <c r="C143" s="21" t="s">
        <v>242</v>
      </c>
      <c r="D143" s="21" t="s">
        <v>894</v>
      </c>
      <c r="E143" s="13">
        <v>42802.904317129629</v>
      </c>
      <c r="F143" s="13">
        <v>42802.914386574077</v>
      </c>
      <c r="G143" s="7">
        <v>1</v>
      </c>
      <c r="H143" s="21" t="s">
        <v>434</v>
      </c>
      <c r="I143" s="13">
        <v>42802.944282407407</v>
      </c>
      <c r="J143" s="7">
        <v>0</v>
      </c>
      <c r="K143" s="98" t="str">
        <f t="shared" si="51"/>
        <v>4051/4052</v>
      </c>
      <c r="L143" s="21" t="str">
        <f>VLOOKUP(A143,'Trips&amp;Operators'!$C$1:$G$99999,5,FALSE)</f>
        <v>SWANSON BRYCE</v>
      </c>
      <c r="M143" s="6">
        <f t="shared" si="52"/>
        <v>2.9895833329646848E-2</v>
      </c>
      <c r="N143" s="7">
        <f t="shared" si="50"/>
        <v>43.049999994691461</v>
      </c>
      <c r="O143" s="7"/>
      <c r="P143" s="7"/>
      <c r="Q143" s="22"/>
      <c r="R143" s="22"/>
      <c r="S143" s="31">
        <f t="shared" si="48"/>
        <v>1</v>
      </c>
      <c r="T143" s="46" t="str">
        <f t="shared" si="53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4"/>
        <v>https://d0f6bd738d7f1b3e5a7ca70fe4ff75f0.us-east-1.aws.found.io/app/kibana#/discover/Steve-Slow-Train-Analysis-(2080s-and-2083s)?_g=(refreshInterval:(display:Off,pause:!f,section:0,value:0),time:(from:'2017-03-08T20:42:13-0700',mode:absolute,to:'2017-03-08T23:39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3" s="187" t="str">
        <f t="shared" si="55"/>
        <v>N</v>
      </c>
      <c r="X143" s="187">
        <f t="shared" si="49"/>
        <v>1</v>
      </c>
      <c r="Y143" s="62">
        <f t="shared" si="56"/>
        <v>23.296199999999999</v>
      </c>
      <c r="Z143" s="62">
        <f t="shared" si="57"/>
        <v>1.43E-2</v>
      </c>
      <c r="AA143" s="62">
        <f t="shared" si="58"/>
        <v>23.2819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9"/>
        <v>0230-08</v>
      </c>
      <c r="AE143" s="85" t="str">
        <f t="shared" si="60"/>
        <v>aws s3 cp s3://rtdc.mdm.uploadarchive.raw/RTDC4052/ "%USERPROFILE%\AppData\Local\Temp\OnboardLogs"\RTDC4052\2017-03-08 --exclude "*" --recursive --include "*20170308*" &amp; "%USERPROFILE%\Documents\GitHub\mrs-test-scripts\Headless Mode &amp; Sideloading\WalkAndUnGZ.bat" "%USERPROFILE%\AppData\Local\Temp\OnboardLogs"\RTDC4052\2017-03-08 &amp; aws s3 cp s3://rtdc.mdm.uploadarchive.raw/RTDC4052/ "%USERPROFILE%\AppData\Local\Temp\OnboardLogs"\RTDC4052\2017-03-09 --exclude "*" --recursive --include "*20170309*" &amp; "%USERPROFILE%\Documents\GitHub\mrs-test-scripts\Headless Mode &amp; Sideloading\WalkAndUnGZ.bat" "%USERPROFILE%\AppData\Local\Temp\OnboardLogs"\RTDC4052\2017-03-09</v>
      </c>
      <c r="AF143" s="82" t="str">
        <f t="shared" si="61"/>
        <v>"C:\Program Files (x86)\AstroGrep\AstroGrep.exe" /e /r /s /spath="%USERPROFILE%\AppData\Local\Temp\OnboardLogs" /stypes="app*4052*20170309*" /stext=" 05:.+((SYSTEM_STATE.+slice.+state.+changed )|(ment ac)|(multiple cpu faults)|(system.+state.+changed )|(\[timeout)|(PRM\|1\|D)|(kpr)|(kdp)|(\|lc)|(penalty))"</v>
      </c>
      <c r="AG143" s="1" t="str">
        <f t="shared" si="62"/>
        <v>EC</v>
      </c>
      <c r="AH143" s="86" t="str">
        <f t="shared" si="63"/>
        <v>"%USERPROFILE%\Documents\GitHub\eaglep3\Utilities\RefineRTDCRunTimes.py" --tripid 230-08 --locoid 4052 --swversion DE.1.0.9.0 --startMP 204:232962 --initTime 2017-03-08T21:42:13 --startdatetime 2017-03-08T21:56:43 --delay 1 --endMP 204:143 --enddatetime 2017-03-08T22:39:46 --enforcementcount 0 &gt;&gt;C:\Users\stu\Documents\GitHub\eaglep3-reporting\EC\2017-03-08-refined-times.txt</v>
      </c>
      <c r="AI143" s="108" t="str">
        <f t="shared" si="64"/>
        <v>echo {"issue":{"subject":"","project_id":79,"tracker_id":40,"status_id":1,"priority_id":2,"assigned_to_id":23,"start_date":"2017-03-08","description":"","custom_fields":[{"id":1,"name":"Subdivision","value":"EC"},{"id":4,"name":"Milepost","value":"0.0143"},{"id":17,"name":"Train ID","value":"230-08"},{"id":16,"name":"Locomotive ID","value":"4052"},{"id":130,"name":"Impact","value":""},{"id":150,"name":"Time of Event (Mountain Time)","value":"22:39:46"},{"id":151,"name":"Denver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5"/>
        <v>start /low /b %USERPROFILE%\Documents\GitHub\eaglep3\Utilities\DownloadLogsFromS3.py --loco 4052 --day 2017-03-08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"%USERPROFILE%\AppData\Local\Temp\OnboardLogs"\RTDC4052\*4052*20170309* | grep -SE "(Enforcement Action)|(\[TIMEOUT)|(CHR.+\|PRM\|1\|D.+(SWITCH|SIGNAL).+UNKNOWN)" - &gt;&gt; 2017-03-08-UncaughtWiMAX.txt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 s="33" t="s">
        <v>592</v>
      </c>
      <c r="B144" s="7">
        <v>4009</v>
      </c>
      <c r="C144" s="21" t="s">
        <v>242</v>
      </c>
      <c r="D144" s="21" t="s">
        <v>237</v>
      </c>
      <c r="E144" s="13">
        <v>42802.894618055558</v>
      </c>
      <c r="F144" s="13">
        <v>42802.896481481483</v>
      </c>
      <c r="G144" s="7">
        <v>1</v>
      </c>
      <c r="H144" s="21" t="s">
        <v>895</v>
      </c>
      <c r="I144" s="13">
        <v>42802.921956018516</v>
      </c>
      <c r="J144" s="7">
        <v>0</v>
      </c>
      <c r="K144" s="98" t="str">
        <f t="shared" si="51"/>
        <v>4009/4010</v>
      </c>
      <c r="L144" s="21" t="str">
        <f>VLOOKUP(A144,'Trips&amp;Operators'!$C$1:$G$99999,5,FALSE)</f>
        <v>STORY SAMANTHA</v>
      </c>
      <c r="M144" s="6">
        <f t="shared" si="52"/>
        <v>2.5474537033005618E-2</v>
      </c>
      <c r="N144" s="7">
        <f t="shared" si="50"/>
        <v>36.683333327528089</v>
      </c>
      <c r="O144" s="7"/>
      <c r="P144" s="7"/>
      <c r="Q144" s="22"/>
      <c r="R144" s="22"/>
      <c r="S144" s="31">
        <f t="shared" ref="S144:S175" si="66">SUM(U144:U144)/IF(AG144="EC",12,1)</f>
        <v>1</v>
      </c>
      <c r="T144" s="46" t="str">
        <f t="shared" si="53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54"/>
        <v>https://d0f6bd738d7f1b3e5a7ca70fe4ff75f0.us-east-1.aws.found.io/app/kibana#/discover/Steve-Slow-Train-Analysis-(2080s-and-2083s)?_g=(refreshInterval:(display:Off,pause:!f,section:0,value:0),time:(from:'2017-03-08T20:28:15-0700',mode:absolute,to:'2017-03-08T23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4" s="187" t="str">
        <f t="shared" si="55"/>
        <v>N</v>
      </c>
      <c r="X144" s="187">
        <f t="shared" si="49"/>
        <v>1</v>
      </c>
      <c r="Y144" s="62">
        <f t="shared" si="56"/>
        <v>4.6600000000000003E-2</v>
      </c>
      <c r="Z144" s="62">
        <f t="shared" si="57"/>
        <v>23.345099999999999</v>
      </c>
      <c r="AA144" s="62">
        <f t="shared" si="58"/>
        <v>23.298499999999997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9"/>
        <v>0231-08</v>
      </c>
      <c r="AE144" s="85" t="str">
        <f t="shared" si="60"/>
        <v>aws s3 cp s3://rtdc.mdm.uploadarchive.raw/RTDC4009/ "%USERPROFILE%\AppData\Local\Temp\OnboardLogs"\RTDC4009\2017-03-08 --exclude "*" --recursive --include "*20170308*" &amp; "%USERPROFILE%\Documents\GitHub\mrs-test-scripts\Headless Mode &amp; Sideloading\WalkAndUnGZ.bat" "%USERPROFILE%\AppData\Local\Temp\OnboardLogs"\RTDC4009\2017-03-08 &amp; aws s3 cp s3://rtdc.mdm.uploadarchive.raw/RTDC4009/ "%USERPROFILE%\AppData\Local\Temp\OnboardLogs"\RTDC4009\2017-03-09 --exclude "*" --recursive --include "*20170309*" &amp; "%USERPROFILE%\Documents\GitHub\mrs-test-scripts\Headless Mode &amp; Sideloading\WalkAndUnGZ.bat" "%USERPROFILE%\AppData\Local\Temp\OnboardLogs"\RTDC4009\2017-03-09</v>
      </c>
      <c r="AF144" s="82" t="str">
        <f t="shared" si="61"/>
        <v>"C:\Program Files (x86)\AstroGrep\AstroGrep.exe" /e /r /s /spath="%USERPROFILE%\AppData\Local\Temp\OnboardLogs" /stypes="app*4009*20170309*" /stext=" 05:.+((SYSTEM_STATE.+slice.+state.+changed )|(ment ac)|(multiple cpu faults)|(system.+state.+changed )|(\[timeout)|(PRM\|1\|D)|(kpr)|(kdp)|(\|lc)|(penalty))"</v>
      </c>
      <c r="AG144" s="1" t="str">
        <f t="shared" si="62"/>
        <v>EC</v>
      </c>
      <c r="AH144" s="86" t="str">
        <f t="shared" si="63"/>
        <v>"%USERPROFILE%\Documents\GitHub\eaglep3\Utilities\RefineRTDCRunTimes.py" --tripid 231-08 --locoid 4009 --swversion DE.1.0.9.0 --startMP 204:466 --initTime 2017-03-08T21:28:15 --startdatetime 2017-03-08T21:30:56 --delay 1 --endMP 204:233451 --enddatetime 2017-03-08T22:07:37 --enforcementcount 0 &gt;&gt;C:\Users\stu\Documents\GitHub\eaglep3-reporting\EC\2017-03-08-refined-times.txt</v>
      </c>
      <c r="AI144" s="108" t="str">
        <f t="shared" si="64"/>
        <v>echo {"issue":{"subject":"","project_id":79,"tracker_id":40,"status_id":1,"priority_id":2,"assigned_to_id":23,"start_date":"2017-03-08","description":"","custom_fields":[{"id":1,"name":"Subdivision","value":"EC"},{"id":4,"name":"Milepost","value":"23.3451"},{"id":17,"name":"Train ID","value":"231-08"},{"id":16,"name":"Locomotive ID","value":"4009"},{"id":130,"name":"Impact","value":""},{"id":150,"name":"Time of Event (Mountain Time)","value":"22:07:37"},{"id":151,"name":"Denver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5"/>
        <v>start /low /b %USERPROFILE%\Documents\GitHub\eaglep3\Utilities\DownloadLogsFromS3.py --loco 4009 --day 2017-03-08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"%USERPROFILE%\AppData\Local\Temp\OnboardLogs"\RTDC4009\*4009*20170309* | grep -SE "(Enforcement Action)|(\[TIMEOUT)|(CHR.+\|PRM\|1\|D.+(SWITCH|SIGNAL).+UNKNOWN)" - &gt;&gt; 2017-03-08-UncaughtWiMAX.txt</v>
      </c>
    </row>
    <row r="145" spans="1:91" s="20" customFormat="1" x14ac:dyDescent="0.25">
      <c r="A145" s="33" t="s">
        <v>811</v>
      </c>
      <c r="B145" s="7">
        <v>4010</v>
      </c>
      <c r="C145" s="21" t="s">
        <v>242</v>
      </c>
      <c r="D145" s="21" t="s">
        <v>896</v>
      </c>
      <c r="E145" s="13">
        <v>42802.928854166668</v>
      </c>
      <c r="F145" s="13">
        <v>42802.979502314818</v>
      </c>
      <c r="G145" s="7">
        <v>3</v>
      </c>
      <c r="H145" s="21" t="s">
        <v>192</v>
      </c>
      <c r="I145" s="13">
        <v>42803.004942129628</v>
      </c>
      <c r="J145" s="7">
        <v>0</v>
      </c>
      <c r="K145" s="98" t="str">
        <f t="shared" si="51"/>
        <v>4009/4010</v>
      </c>
      <c r="L145" s="21" t="str">
        <f>VLOOKUP(A145,'Trips&amp;Operators'!$C$1:$G$99999,5,FALSE)</f>
        <v>STORY SAMANTHA</v>
      </c>
      <c r="M145" s="6">
        <f t="shared" si="52"/>
        <v>2.5439814809942618E-2</v>
      </c>
      <c r="N145" s="7">
        <f t="shared" si="50"/>
        <v>36.63333332631737</v>
      </c>
      <c r="O145" s="7"/>
      <c r="P145" s="7"/>
      <c r="Q145" s="22"/>
      <c r="R145" s="22"/>
      <c r="S145" s="31">
        <f t="shared" si="66"/>
        <v>1</v>
      </c>
      <c r="T145" s="46" t="str">
        <f t="shared" si="53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54"/>
        <v>https://d0f6bd738d7f1b3e5a7ca70fe4ff75f0.us-east-1.aws.found.io/app/kibana#/discover/Steve-Slow-Train-Analysis-(2080s-and-2083s)?_g=(refreshInterval:(display:Off,pause:!f,section:0,value:0),time:(from:'2017-03-08T21:17:33-0700',mode:absolute,to:'2017-03-09T01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5" s="187" t="str">
        <f t="shared" si="55"/>
        <v>N</v>
      </c>
      <c r="X145" s="187">
        <f t="shared" si="49"/>
        <v>1</v>
      </c>
      <c r="Y145" s="62">
        <f t="shared" si="56"/>
        <v>23.307600000000001</v>
      </c>
      <c r="Z145" s="62">
        <f t="shared" si="57"/>
        <v>1.4999999999999999E-2</v>
      </c>
      <c r="AA145" s="62">
        <f t="shared" si="58"/>
        <v>23.2926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9"/>
        <v>0232-08</v>
      </c>
      <c r="AE145" s="85" t="str">
        <f t="shared" si="60"/>
        <v>aws s3 cp s3://rtdc.mdm.uploadarchive.raw/RTDC4010/ "%USERPROFILE%\AppData\Local\Temp\OnboardLogs"\RTDC4010\2017-03-08 --exclude "*" --recursive --include "*20170308*" &amp; "%USERPROFILE%\Documents\GitHub\mrs-test-scripts\Headless Mode &amp; Sideloading\WalkAndUnGZ.bat" "%USERPROFILE%\AppData\Local\Temp\OnboardLogs"\RTDC4010\2017-03-08 &amp; aws s3 cp s3://rtdc.mdm.uploadarchive.raw/RTDC4010/ "%USERPROFILE%\AppData\Local\Temp\OnboardLogs"\RTDC4010\2017-03-09 --exclude "*" --recursive --include "*20170309*" &amp; "%USERPROFILE%\Documents\GitHub\mrs-test-scripts\Headless Mode &amp; Sideloading\WalkAndUnGZ.bat" "%USERPROFILE%\AppData\Local\Temp\OnboardLogs"\RTDC4010\2017-03-09</v>
      </c>
      <c r="AF145" s="82" t="str">
        <f t="shared" si="61"/>
        <v>"C:\Program Files (x86)\AstroGrep\AstroGrep.exe" /e /r /s /spath="%USERPROFILE%\AppData\Local\Temp\OnboardLogs" /stypes="app*4010*20170309*" /stext=" 07:.+((SYSTEM_STATE.+slice.+state.+changed )|(ment ac)|(multiple cpu faults)|(system.+state.+changed )|(\[timeout)|(PRM\|1\|D)|(kpr)|(kdp)|(\|lc)|(penalty))"</v>
      </c>
      <c r="AG145" s="1" t="str">
        <f t="shared" si="62"/>
        <v>EC</v>
      </c>
      <c r="AH145" s="86" t="str">
        <f t="shared" si="63"/>
        <v>"%USERPROFILE%\Documents\GitHub\eaglep3\Utilities\RefineRTDCRunTimes.py" --tripid 232-08 --locoid 4010 --swversion DE.1.0.9.0 --startMP 204:233076 --initTime 2017-03-08T22:17:33 --startdatetime 2017-03-08T23:30:29 --delay 3 --endMP 204:150 --enddatetime 2017-03-09T00:07:07 --enforcementcount 0 &gt;&gt;C:\Users\stu\Documents\GitHub\eaglep3-reporting\EC\2017-03-08-refined-times.txt</v>
      </c>
      <c r="AI145" s="108" t="str">
        <f t="shared" si="64"/>
        <v>echo {"issue":{"subject":"","project_id":79,"tracker_id":40,"status_id":1,"priority_id":2,"assigned_to_id":23,"start_date":"2017-03-09","description":"","custom_fields":[{"id":1,"name":"Subdivision","value":"EC"},{"id":4,"name":"Milepost","value":"0.015"},{"id":17,"name":"Train ID","value":"232-08"},{"id":16,"name":"Locomotive ID","value":"4010"},{"id":130,"name":"Impact","value":""},{"id":150,"name":"Time of Event (Mountain Time)","value":"00:07:07"},{"id":151,"name":"Denver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5"/>
        <v>start /low /b %USERPROFILE%\Documents\GitHub\eaglep3\Utilities\DownloadLogsFromS3.py --loco 4010 --day 2017-03-08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"%USERPROFILE%\AppData\Local\Temp\OnboardLogs"\RTDC4010\*4010*20170309* | grep -SE "(Enforcement Action)|(\[TIMEOUT)|(CHR.+\|PRM\|1\|D.+(SWITCH|SIGNAL).+UNKNOWN)" - &gt;&gt; 2017-03-08-UncaughtWiMAX.txt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809</v>
      </c>
      <c r="B146" s="7">
        <v>4014</v>
      </c>
      <c r="C146" s="21" t="s">
        <v>242</v>
      </c>
      <c r="D146" s="21" t="s">
        <v>274</v>
      </c>
      <c r="E146" s="13">
        <v>42802.913634259261</v>
      </c>
      <c r="F146" s="13">
        <v>42802.916886574072</v>
      </c>
      <c r="G146" s="7">
        <v>3</v>
      </c>
      <c r="H146" s="21" t="s">
        <v>502</v>
      </c>
      <c r="I146" s="13">
        <v>42802.944722222222</v>
      </c>
      <c r="J146" s="7">
        <v>0</v>
      </c>
      <c r="K146" s="98" t="str">
        <f t="shared" si="51"/>
        <v>4013/4014</v>
      </c>
      <c r="L146" s="21" t="str">
        <f>VLOOKUP(A146,'Trips&amp;Operators'!$C$1:$G$99999,5,FALSE)</f>
        <v>NELSON ARIANE</v>
      </c>
      <c r="M146" s="6">
        <f t="shared" si="52"/>
        <v>2.7835648150357883E-2</v>
      </c>
      <c r="N146" s="7">
        <f t="shared" si="50"/>
        <v>40.083333336515352</v>
      </c>
      <c r="O146" s="7"/>
      <c r="P146" s="7"/>
      <c r="Q146" s="22"/>
      <c r="R146" s="22"/>
      <c r="S146" s="31">
        <f t="shared" si="66"/>
        <v>1</v>
      </c>
      <c r="T146" s="46" t="str">
        <f t="shared" si="53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54"/>
        <v>https://d0f6bd738d7f1b3e5a7ca70fe4ff75f0.us-east-1.aws.found.io/app/kibana#/discover/Steve-Slow-Train-Analysis-(2080s-and-2083s)?_g=(refreshInterval:(display:Off,pause:!f,section:0,value:0),time:(from:'2017-03-08T20:55:38-0700',mode:absolute,to:'2017-03-08T23:40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6" s="187" t="str">
        <f t="shared" si="55"/>
        <v>N</v>
      </c>
      <c r="X146" s="187">
        <f t="shared" si="49"/>
        <v>1</v>
      </c>
      <c r="Y146" s="62">
        <f t="shared" si="56"/>
        <v>4.4200000000000003E-2</v>
      </c>
      <c r="Z146" s="62">
        <f t="shared" si="57"/>
        <v>23.330100000000002</v>
      </c>
      <c r="AA146" s="62">
        <f t="shared" si="58"/>
        <v>23.285900000000002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9"/>
        <v>0233-08</v>
      </c>
      <c r="AE146" s="85" t="str">
        <f t="shared" si="60"/>
        <v>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 &amp; 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</v>
      </c>
      <c r="AF146" s="82" t="str">
        <f t="shared" si="61"/>
        <v>"C:\Program Files (x86)\AstroGrep\AstroGrep.exe" /e /r /s /spath="%USERPROFILE%\AppData\Local\Temp\OnboardLogs" /stypes="app*4014*20170309*" /stext=" 05:.+((SYSTEM_STATE.+slice.+state.+changed )|(ment ac)|(multiple cpu faults)|(system.+state.+changed )|(\[timeout)|(PRM\|1\|D)|(kpr)|(kdp)|(\|lc)|(penalty))"</v>
      </c>
      <c r="AG146" s="1" t="str">
        <f t="shared" si="62"/>
        <v>EC</v>
      </c>
      <c r="AH146" s="86" t="str">
        <f t="shared" si="63"/>
        <v>"%USERPROFILE%\Documents\GitHub\eaglep3\Utilities\RefineRTDCRunTimes.py" --tripid 233-08 --locoid 4014 --swversion DE.1.0.9.0 --startMP 204:442 --initTime 2017-03-08T21:55:38 --startdatetime 2017-03-08T22:00:19 --delay 3 --endMP 204:233301 --enddatetime 2017-03-08T22:40:24 --enforcementcount 0 &gt;&gt;C:\Users\stu\Documents\GitHub\eaglep3-reporting\EC\2017-03-08-refined-times.txt</v>
      </c>
      <c r="AI146" s="108" t="str">
        <f t="shared" si="64"/>
        <v>echo {"issue":{"subject":"","project_id":79,"tracker_id":40,"status_id":1,"priority_id":2,"assigned_to_id":23,"start_date":"2017-03-08","description":"","custom_fields":[{"id":1,"name":"Subdivision","value":"EC"},{"id":4,"name":"Milepost","value":"23.3301"},{"id":17,"name":"Train ID","value":"233-08"},{"id":16,"name":"Locomotive ID","value":"4014"},{"id":130,"name":"Impact","value":""},{"id":150,"name":"Time of Event (Mountain Time)","value":"22:40:24"},{"id":151,"name":"Denver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5"/>
        <v>start /low /b %USERPROFILE%\Documents\GitHub\eaglep3\Utilities\DownloadLogsFromS3.py --loco 4014 --day 2017-03-08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"%USERPROFILE%\AppData\Local\Temp\OnboardLogs"\RTDC4014\*4014*20170309* | grep -SE "(Enforcement Action)|(\[TIMEOUT)|(CHR.+\|PRM\|1\|D.+(SWITCH|SIGNAL).+UNKNOWN)" - &gt;&gt; 2017-03-08-UncaughtWiMAX.txt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593</v>
      </c>
      <c r="B147" s="7">
        <v>4013</v>
      </c>
      <c r="C147" s="21" t="s">
        <v>242</v>
      </c>
      <c r="D147" s="21" t="s">
        <v>291</v>
      </c>
      <c r="E147" s="13">
        <v>42802.954479166663</v>
      </c>
      <c r="F147" s="13">
        <v>42802.955752314818</v>
      </c>
      <c r="G147" s="7">
        <v>1</v>
      </c>
      <c r="H147" s="21" t="s">
        <v>897</v>
      </c>
      <c r="I147" s="13">
        <v>42802.985821759263</v>
      </c>
      <c r="J147" s="7">
        <v>0</v>
      </c>
      <c r="K147" s="98" t="str">
        <f t="shared" si="51"/>
        <v>4013/4014</v>
      </c>
      <c r="L147" s="21" t="str">
        <f>VLOOKUP(A147,'Trips&amp;Operators'!$C$1:$G$99999,5,FALSE)</f>
        <v>NELSON ARIANE</v>
      </c>
      <c r="M147" s="6">
        <f t="shared" si="52"/>
        <v>3.0069444444961846E-2</v>
      </c>
      <c r="N147" s="7">
        <f t="shared" si="50"/>
        <v>43.300000000745058</v>
      </c>
      <c r="O147" s="7"/>
      <c r="P147" s="7"/>
      <c r="Q147" s="22"/>
      <c r="R147" s="22"/>
      <c r="S147" s="31">
        <f t="shared" si="66"/>
        <v>1</v>
      </c>
      <c r="T147" s="46" t="str">
        <f t="shared" si="53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4"/>
        <v>https://d0f6bd738d7f1b3e5a7ca70fe4ff75f0.us-east-1.aws.found.io/app/kibana#/discover/Steve-Slow-Train-Analysis-(2080s-and-2083s)?_g=(refreshInterval:(display:Off,pause:!f,section:0,value:0),time:(from:'2017-03-08T21:54:27-0700',mode:absolute,to:'2017-03-09T00:39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7" s="187" t="str">
        <f t="shared" si="55"/>
        <v>N</v>
      </c>
      <c r="X147" s="187">
        <f t="shared" si="49"/>
        <v>1</v>
      </c>
      <c r="Y147" s="62">
        <f t="shared" si="56"/>
        <v>23.297799999999999</v>
      </c>
      <c r="Z147" s="62">
        <f t="shared" si="57"/>
        <v>9.1600000000000001E-2</v>
      </c>
      <c r="AA147" s="62">
        <f t="shared" si="58"/>
        <v>23.206199999999999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9"/>
        <v>0234-08</v>
      </c>
      <c r="AE147" s="85" t="str">
        <f t="shared" si="60"/>
        <v>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 &amp; 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</v>
      </c>
      <c r="AF147" s="82" t="str">
        <f t="shared" si="61"/>
        <v>"C:\Program Files (x86)\AstroGrep\AstroGrep.exe" /e /r /s /spath="%USERPROFILE%\AppData\Local\Temp\OnboardLogs" /stypes="app*4013*20170309*" /stext=" 06:.+((SYSTEM_STATE.+slice.+state.+changed )|(ment ac)|(multiple cpu faults)|(system.+state.+changed )|(\[timeout)|(PRM\|1\|D)|(kpr)|(kdp)|(\|lc)|(penalty))"</v>
      </c>
      <c r="AG147" s="1" t="str">
        <f t="shared" si="62"/>
        <v>EC</v>
      </c>
      <c r="AH147" s="86" t="str">
        <f t="shared" si="63"/>
        <v>"%USERPROFILE%\Documents\GitHub\eaglep3\Utilities\RefineRTDCRunTimes.py" --tripid 234-08 --locoid 4013 --swversion DE.1.0.9.0 --startMP 204:232978 --initTime 2017-03-08T22:54:27 --startdatetime 2017-03-08T22:56:17 --delay 1 --endMP 204:916 --enddatetime 2017-03-08T23:39:35 --enforcementcount 0 &gt;&gt;C:\Users\stu\Documents\GitHub\eaglep3-reporting\EC\2017-03-08-refined-times.txt</v>
      </c>
      <c r="AI147" s="108" t="str">
        <f t="shared" si="64"/>
        <v>echo {"issue":{"subject":"","project_id":79,"tracker_id":40,"status_id":1,"priority_id":2,"assigned_to_id":23,"start_date":"2017-03-08","description":"","custom_fields":[{"id":1,"name":"Subdivision","value":"EC"},{"id":4,"name":"Milepost","value":"0.0916"},{"id":17,"name":"Train ID","value":"234-08"},{"id":16,"name":"Locomotive ID","value":"4013"},{"id":130,"name":"Impact","value":""},{"id":150,"name":"Time of Event (Mountain Time)","value":"23:39:35"},{"id":151,"name":"Denver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5"/>
        <v>start /low /b %USERPROFILE%\Documents\GitHub\eaglep3\Utilities\DownloadLogsFromS3.py --loco 4013 --day 2017-03-08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"%USERPROFILE%\AppData\Local\Temp\OnboardLogs"\RTDC4013\*4013*20170309* | grep -SE "(Enforcement Action)|(\[TIMEOUT)|(CHR.+\|PRM\|1\|D.+(SWITCH|SIGNAL).+UNKNOWN)" - &gt;&gt; 2017-03-08-UncaughtWiMAX.txt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812</v>
      </c>
      <c r="B148" s="7">
        <v>4046</v>
      </c>
      <c r="C148" s="21" t="s">
        <v>242</v>
      </c>
      <c r="D148" s="21" t="s">
        <v>284</v>
      </c>
      <c r="E148" s="13">
        <v>42802.934618055559</v>
      </c>
      <c r="F148" s="13">
        <v>42802.937685185185</v>
      </c>
      <c r="G148" s="7">
        <v>1</v>
      </c>
      <c r="H148" s="21" t="s">
        <v>898</v>
      </c>
      <c r="I148" s="13">
        <v>42802.96266203704</v>
      </c>
      <c r="J148" s="7">
        <v>0</v>
      </c>
      <c r="K148" s="98" t="str">
        <f t="shared" si="51"/>
        <v>4045/4046</v>
      </c>
      <c r="L148" s="21" t="str">
        <f>VLOOKUP(A148,'Trips&amp;Operators'!$C$1:$G$99999,5,FALSE)</f>
        <v>LALONDE GREGORY</v>
      </c>
      <c r="M148" s="6">
        <f t="shared" si="52"/>
        <v>2.4976851855171844E-2</v>
      </c>
      <c r="N148" s="7">
        <f t="shared" si="50"/>
        <v>35.966666671447456</v>
      </c>
      <c r="O148" s="7"/>
      <c r="P148" s="7"/>
      <c r="Q148" s="22"/>
      <c r="R148" s="22"/>
      <c r="S148" s="31">
        <f t="shared" si="66"/>
        <v>1</v>
      </c>
      <c r="T148" s="46" t="str">
        <f t="shared" si="53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4"/>
        <v>https://d0f6bd738d7f1b3e5a7ca70fe4ff75f0.us-east-1.aws.found.io/app/kibana#/discover/Steve-Slow-Train-Analysis-(2080s-and-2083s)?_g=(refreshInterval:(display:Off,pause:!f,section:0,value:0),time:(from:'2017-03-08T21:25:51-0700',mode:absolute,to:'2017-03-09T00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8" s="187" t="str">
        <f t="shared" si="55"/>
        <v>N</v>
      </c>
      <c r="X148" s="187">
        <f t="shared" si="49"/>
        <v>1</v>
      </c>
      <c r="Y148" s="62">
        <f t="shared" si="56"/>
        <v>4.7699999999999999E-2</v>
      </c>
      <c r="Z148" s="62">
        <f t="shared" si="57"/>
        <v>23.336300000000001</v>
      </c>
      <c r="AA148" s="62">
        <f t="shared" si="58"/>
        <v>23.288600000000002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9"/>
        <v>0235-08</v>
      </c>
      <c r="AE148" s="85" t="str">
        <f t="shared" si="60"/>
        <v>aws s3 cp s3://rtdc.mdm.uploadarchive.raw/RTDC4046/ "%USERPROFILE%\AppData\Local\Temp\OnboardLogs"\RTDC4046\2017-03-08 --exclude "*" --recursive --include "*20170308*" &amp; "%USERPROFILE%\Documents\GitHub\mrs-test-scripts\Headless Mode &amp; Sideloading\WalkAndUnGZ.bat" "%USERPROFILE%\AppData\Local\Temp\OnboardLogs"\RTDC4046\2017-03-08 &amp; aws s3 cp s3://rtdc.mdm.uploadarchive.raw/RTDC4046/ "%USERPROFILE%\AppData\Local\Temp\OnboardLogs"\RTDC4046\2017-03-09 --exclude "*" --recursive --include "*20170309*" &amp; "%USERPROFILE%\Documents\GitHub\mrs-test-scripts\Headless Mode &amp; Sideloading\WalkAndUnGZ.bat" "%USERPROFILE%\AppData\Local\Temp\OnboardLogs"\RTDC4046\2017-03-09</v>
      </c>
      <c r="AF148" s="82" t="str">
        <f t="shared" si="61"/>
        <v>"C:\Program Files (x86)\AstroGrep\AstroGrep.exe" /e /r /s /spath="%USERPROFILE%\AppData\Local\Temp\OnboardLogs" /stypes="app*4046*20170309*" /stext=" 06:.+((SYSTEM_STATE.+slice.+state.+changed )|(ment ac)|(multiple cpu faults)|(system.+state.+changed )|(\[timeout)|(PRM\|1\|D)|(kpr)|(kdp)|(\|lc)|(penalty))"</v>
      </c>
      <c r="AG148" s="1" t="str">
        <f t="shared" si="62"/>
        <v>EC</v>
      </c>
      <c r="AH148" s="86" t="str">
        <f t="shared" si="63"/>
        <v>"%USERPROFILE%\Documents\GitHub\eaglep3\Utilities\RefineRTDCRunTimes.py" --tripid 235-08 --locoid 4046 --swversion DE.1.0.9.0 --startMP 204:477 --initTime 2017-03-08T22:25:51 --startdatetime 2017-03-08T22:30:16 --delay 1 --endMP 204:233363 --enddatetime 2017-03-08T23:06:14 --enforcementcount 0 &gt;&gt;C:\Users\stu\Documents\GitHub\eaglep3-reporting\EC\2017-03-08-refined-times.txt</v>
      </c>
      <c r="AI148" s="108" t="str">
        <f t="shared" si="64"/>
        <v>echo {"issue":{"subject":"","project_id":79,"tracker_id":40,"status_id":1,"priority_id":2,"assigned_to_id":23,"start_date":"2017-03-08","description":"","custom_fields":[{"id":1,"name":"Subdivision","value":"EC"},{"id":4,"name":"Milepost","value":"23.3363"},{"id":17,"name":"Train ID","value":"235-08"},{"id":16,"name":"Locomotive ID","value":"4046"},{"id":130,"name":"Impact","value":""},{"id":150,"name":"Time of Event (Mountain Time)","value":"23:06:14"},{"id":151,"name":"Denver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5"/>
        <v>start /low /b %USERPROFILE%\Documents\GitHub\eaglep3\Utilities\DownloadLogsFromS3.py --loco 4046 --day 2017-03-08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"%USERPROFILE%\AppData\Local\Temp\OnboardLogs"\RTDC4046\*4046*20170309* | grep -SE "(Enforcement Action)|(\[TIMEOUT)|(CHR.+\|PRM\|1\|D.+(SWITCH|SIGNAL).+UNKNOWN)" - &gt;&gt; 2017-03-08-UncaughtWiMAX.txt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815</v>
      </c>
      <c r="B149" s="7">
        <v>4045</v>
      </c>
      <c r="C149" s="21" t="s">
        <v>242</v>
      </c>
      <c r="D149" s="21" t="s">
        <v>508</v>
      </c>
      <c r="E149" s="13">
        <v>42802.971342592595</v>
      </c>
      <c r="F149" s="13">
        <v>42802.976550925923</v>
      </c>
      <c r="G149" s="7">
        <v>1</v>
      </c>
      <c r="H149" s="21" t="s">
        <v>192</v>
      </c>
      <c r="I149" s="13">
        <v>42803.005474537036</v>
      </c>
      <c r="J149" s="7">
        <v>0</v>
      </c>
      <c r="K149" s="98" t="str">
        <f t="shared" si="51"/>
        <v>4045/4046</v>
      </c>
      <c r="L149" s="21" t="str">
        <f>VLOOKUP(A149,'Trips&amp;Operators'!$C$1:$G$99999,5,FALSE)</f>
        <v>LALONDE GREGORY</v>
      </c>
      <c r="M149" s="6">
        <f t="shared" si="52"/>
        <v>2.8923611112986691E-2</v>
      </c>
      <c r="N149" s="7">
        <f t="shared" si="50"/>
        <v>41.650000002700835</v>
      </c>
      <c r="O149" s="7"/>
      <c r="P149" s="7"/>
      <c r="Q149" s="22"/>
      <c r="R149" s="22"/>
      <c r="S149" s="31">
        <f t="shared" si="66"/>
        <v>1</v>
      </c>
      <c r="T149" s="46" t="str">
        <f t="shared" si="53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4"/>
        <v>https://d0f6bd738d7f1b3e5a7ca70fe4ff75f0.us-east-1.aws.found.io/app/kibana#/discover/Steve-Slow-Train-Analysis-(2080s-and-2083s)?_g=(refreshInterval:(display:Off,pause:!f,section:0,value:0),time:(from:'2017-03-08T22:18:44-0700',mode:absolute,to:'2017-03-09T01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9" s="187" t="str">
        <f t="shared" si="55"/>
        <v>N</v>
      </c>
      <c r="X149" s="187">
        <f t="shared" si="49"/>
        <v>1</v>
      </c>
      <c r="Y149" s="62">
        <f t="shared" si="56"/>
        <v>23.303000000000001</v>
      </c>
      <c r="Z149" s="62">
        <f t="shared" si="57"/>
        <v>1.4999999999999999E-2</v>
      </c>
      <c r="AA149" s="62">
        <f t="shared" si="58"/>
        <v>23.288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9"/>
        <v>0236-08</v>
      </c>
      <c r="AE149" s="85" t="str">
        <f t="shared" si="60"/>
        <v>aws s3 cp s3://rtdc.mdm.uploadarchive.raw/RTDC4045/ "%USERPROFILE%\AppData\Local\Temp\OnboardLogs"\RTDC4045\2017-03-08 --exclude "*" --recursive --include "*20170308*" &amp; "%USERPROFILE%\Documents\GitHub\mrs-test-scripts\Headless Mode &amp; Sideloading\WalkAndUnGZ.bat" "%USERPROFILE%\AppData\Local\Temp\OnboardLogs"\RTDC4045\2017-03-08 &amp; aws s3 cp s3://rtdc.mdm.uploadarchive.raw/RTDC4045/ "%USERPROFILE%\AppData\Local\Temp\OnboardLogs"\RTDC4045\2017-03-09 --exclude "*" --recursive --include "*20170309*" &amp; "%USERPROFILE%\Documents\GitHub\mrs-test-scripts\Headless Mode &amp; Sideloading\WalkAndUnGZ.bat" "%USERPROFILE%\AppData\Local\Temp\OnboardLogs"\RTDC4045\2017-03-09</v>
      </c>
      <c r="AF149" s="82" t="str">
        <f t="shared" si="61"/>
        <v>"C:\Program Files (x86)\AstroGrep\AstroGrep.exe" /e /r /s /spath="%USERPROFILE%\AppData\Local\Temp\OnboardLogs" /stypes="app*4045*20170309*" /stext=" 07:.+((SYSTEM_STATE.+slice.+state.+changed )|(ment ac)|(multiple cpu faults)|(system.+state.+changed )|(\[timeout)|(PRM\|1\|D)|(kpr)|(kdp)|(\|lc)|(penalty))"</v>
      </c>
      <c r="AG149" s="1" t="str">
        <f t="shared" si="62"/>
        <v>EC</v>
      </c>
      <c r="AH149" s="86" t="str">
        <f t="shared" si="63"/>
        <v>"%USERPROFILE%\Documents\GitHub\eaglep3\Utilities\RefineRTDCRunTimes.py" --tripid 236-08 --locoid 4045 --swversion DE.1.0.9.0 --startMP 204:233030 --initTime 2017-03-08T23:18:44 --startdatetime 2017-03-08T23:26:14 --delay 1 --endMP 204:150 --enddatetime 2017-03-09T00:07:53 --enforcementcount 0 &gt;&gt;C:\Users\stu\Documents\GitHub\eaglep3-reporting\EC\2017-03-08-refined-times.txt</v>
      </c>
      <c r="AI149" s="108" t="str">
        <f t="shared" si="64"/>
        <v>echo {"issue":{"subject":"","project_id":79,"tracker_id":40,"status_id":1,"priority_id":2,"assigned_to_id":23,"start_date":"2017-03-09","description":"","custom_fields":[{"id":1,"name":"Subdivision","value":"EC"},{"id":4,"name":"Milepost","value":"0.015"},{"id":17,"name":"Train ID","value":"236-08"},{"id":16,"name":"Locomotive ID","value":"4045"},{"id":130,"name":"Impact","value":""},{"id":150,"name":"Time of Event (Mountain Time)","value":"00:07:53"},{"id":151,"name":"Denver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5"/>
        <v>start /low /b %USERPROFILE%\Documents\GitHub\eaglep3\Utilities\DownloadLogsFromS3.py --loco 4045 --day 2017-03-08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"%USERPROFILE%\AppData\Local\Temp\OnboardLogs"\RTDC4045\*4045*20170309* | grep -SE "(Enforcement Action)|(\[TIMEOUT)|(CHR.+\|PRM\|1\|D.+(SWITCH|SIGNAL).+UNKNOWN)" - &gt;&gt; 2017-03-08-UncaughtWiMAX.txt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814</v>
      </c>
      <c r="B150" s="7">
        <v>4051</v>
      </c>
      <c r="C150" s="21" t="s">
        <v>242</v>
      </c>
      <c r="D150" s="21" t="s">
        <v>496</v>
      </c>
      <c r="E150" s="13">
        <v>42802.946006944447</v>
      </c>
      <c r="F150" s="13">
        <v>42802.958622685182</v>
      </c>
      <c r="G150" s="7">
        <v>1</v>
      </c>
      <c r="H150" s="21" t="s">
        <v>899</v>
      </c>
      <c r="I150" s="13">
        <v>42802.985034722224</v>
      </c>
      <c r="J150" s="7">
        <v>0</v>
      </c>
      <c r="K150" s="98" t="str">
        <f t="shared" si="51"/>
        <v>4051/4052</v>
      </c>
      <c r="L150" s="21" t="str">
        <f>VLOOKUP(A150,'Trips&amp;Operators'!$C$1:$G$99999,5,FALSE)</f>
        <v>SWANSON BRYCE</v>
      </c>
      <c r="M150" s="6">
        <f t="shared" si="52"/>
        <v>2.641203704115469E-2</v>
      </c>
      <c r="N150" s="7">
        <f t="shared" si="50"/>
        <v>38.033333339262754</v>
      </c>
      <c r="O150" s="7"/>
      <c r="P150" s="7"/>
      <c r="Q150" s="22"/>
      <c r="R150" s="22"/>
      <c r="S150" s="31">
        <f t="shared" si="66"/>
        <v>1</v>
      </c>
      <c r="T150" s="46" t="str">
        <f t="shared" si="53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4"/>
        <v>https://d0f6bd738d7f1b3e5a7ca70fe4ff75f0.us-east-1.aws.found.io/app/kibana#/discover/Steve-Slow-Train-Analysis-(2080s-and-2083s)?_g=(refreshInterval:(display:Off,pause:!f,section:0,value:0),time:(from:'2017-03-08T21:42:15-0700',mode:absolute,to:'2017-03-09T00:38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0" s="187" t="str">
        <f t="shared" si="55"/>
        <v>N</v>
      </c>
      <c r="X150" s="187">
        <f t="shared" si="49"/>
        <v>1</v>
      </c>
      <c r="Y150" s="62">
        <f t="shared" si="56"/>
        <v>4.7500000000000001E-2</v>
      </c>
      <c r="Z150" s="62">
        <f t="shared" si="57"/>
        <v>23.324000000000002</v>
      </c>
      <c r="AA150" s="62">
        <f t="shared" si="58"/>
        <v>23.276500000000002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9"/>
        <v>0237-08</v>
      </c>
      <c r="AE150" s="85" t="str">
        <f t="shared" si="60"/>
        <v>aws s3 cp s3://rtdc.mdm.uploadarchive.raw/RTDC4051/ "%USERPROFILE%\AppData\Local\Temp\OnboardLogs"\RTDC4051\2017-03-08 --exclude "*" --recursive --include "*20170308*" &amp; "%USERPROFILE%\Documents\GitHub\mrs-test-scripts\Headless Mode &amp; Sideloading\WalkAndUnGZ.bat" "%USERPROFILE%\AppData\Local\Temp\OnboardLogs"\RTDC4051\2017-03-08 &amp; aws s3 cp s3://rtdc.mdm.uploadarchive.raw/RTDC4051/ "%USERPROFILE%\AppData\Local\Temp\OnboardLogs"\RTDC4051\2017-03-09 --exclude "*" --recursive --include "*20170309*" &amp; "%USERPROFILE%\Documents\GitHub\mrs-test-scripts\Headless Mode &amp; Sideloading\WalkAndUnGZ.bat" "%USERPROFILE%\AppData\Local\Temp\OnboardLogs"\RTDC4051\2017-03-09</v>
      </c>
      <c r="AF150" s="82" t="str">
        <f t="shared" si="61"/>
        <v>"C:\Program Files (x86)\AstroGrep\AstroGrep.exe" /e /r /s /spath="%USERPROFILE%\AppData\Local\Temp\OnboardLogs" /stypes="app*4051*20170309*" /stext=" 06:.+((SYSTEM_STATE.+slice.+state.+changed )|(ment ac)|(multiple cpu faults)|(system.+state.+changed )|(\[timeout)|(PRM\|1\|D)|(kpr)|(kdp)|(\|lc)|(penalty))"</v>
      </c>
      <c r="AG150" s="1" t="str">
        <f t="shared" si="62"/>
        <v>EC</v>
      </c>
      <c r="AH150" s="86" t="str">
        <f t="shared" si="63"/>
        <v>"%USERPROFILE%\Documents\GitHub\eaglep3\Utilities\RefineRTDCRunTimes.py" --tripid 237-08 --locoid 4051 --swversion DE.1.0.9.0 --startMP 204:475 --initTime 2017-03-08T22:42:15 --startdatetime 2017-03-08T23:00:25 --delay 1 --endMP 204:233240 --enddatetime 2017-03-08T23:38:27 --enforcementcount 0 &gt;&gt;C:\Users\stu\Documents\GitHub\eaglep3-reporting\EC\2017-03-08-refined-times.txt</v>
      </c>
      <c r="AI150" s="108" t="str">
        <f t="shared" si="64"/>
        <v>echo {"issue":{"subject":"","project_id":79,"tracker_id":40,"status_id":1,"priority_id":2,"assigned_to_id":23,"start_date":"2017-03-08","description":"","custom_fields":[{"id":1,"name":"Subdivision","value":"EC"},{"id":4,"name":"Milepost","value":"23.324"},{"id":17,"name":"Train ID","value":"237-08"},{"id":16,"name":"Locomotive ID","value":"4051"},{"id":130,"name":"Impact","value":""},{"id":150,"name":"Time of Event (Mountain Time)","value":"23:38:27"},{"id":151,"name":"Denver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5"/>
        <v>start /low /b %USERPROFILE%\Documents\GitHub\eaglep3\Utilities\DownloadLogsFromS3.py --loco 4051 --day 2017-03-08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"%USERPROFILE%\AppData\Local\Temp\OnboardLogs"\RTDC4051\*4051*20170309* | grep -SE "(Enforcement Action)|(\[TIMEOUT)|(CHR.+\|PRM\|1\|D.+(SWITCH|SIGNAL).+UNKNOWN)" - &gt;&gt; 2017-03-08-UncaughtWiMAX.txt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3" t="s">
        <v>817</v>
      </c>
      <c r="B151" s="7">
        <v>4052</v>
      </c>
      <c r="C151" s="21" t="s">
        <v>242</v>
      </c>
      <c r="D151" s="21" t="s">
        <v>900</v>
      </c>
      <c r="E151" s="13">
        <v>42802.987685185188</v>
      </c>
      <c r="F151" s="13">
        <v>42802.997465277775</v>
      </c>
      <c r="G151" s="7">
        <v>1</v>
      </c>
      <c r="H151" s="21" t="s">
        <v>901</v>
      </c>
      <c r="I151" s="13">
        <v>42803.019895833335</v>
      </c>
      <c r="J151" s="7">
        <v>0</v>
      </c>
      <c r="K151" s="98" t="str">
        <f t="shared" si="51"/>
        <v>4051/4052</v>
      </c>
      <c r="L151" s="21" t="str">
        <f>VLOOKUP(A151,'Trips&amp;Operators'!$C$1:$G$99999,5,FALSE)</f>
        <v>SWANSON BRYCE</v>
      </c>
      <c r="M151" s="6">
        <f t="shared" si="52"/>
        <v>2.2430555560276844E-2</v>
      </c>
      <c r="N151" s="7"/>
      <c r="O151" s="7"/>
      <c r="P151" s="7">
        <f>24*60*SUM($M151:$M151)</f>
        <v>32.300000006798655</v>
      </c>
      <c r="Q151" s="22"/>
      <c r="R151" s="22" t="s">
        <v>472</v>
      </c>
      <c r="S151" s="31">
        <f t="shared" si="66"/>
        <v>0.83333333333333337</v>
      </c>
      <c r="T151" s="46" t="str">
        <f t="shared" si="53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10</v>
      </c>
      <c r="V151" s="186" t="str">
        <f t="shared" si="54"/>
        <v>https://d0f6bd738d7f1b3e5a7ca70fe4ff75f0.us-east-1.aws.found.io/app/kibana#/discover/Steve-Slow-Train-Analysis-(2080s-and-2083s)?_g=(refreshInterval:(display:Off,pause:!f,section:0,value:0),time:(from:'2017-03-08T22:42:16-0700',mode:absolute,to:'2017-03-09T01:28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1" s="187" t="str">
        <f t="shared" si="55"/>
        <v>Y</v>
      </c>
      <c r="X151" s="187">
        <f t="shared" si="49"/>
        <v>1</v>
      </c>
      <c r="Y151" s="62">
        <f t="shared" si="56"/>
        <v>23.291499999999999</v>
      </c>
      <c r="Z151" s="62">
        <f t="shared" si="57"/>
        <v>3.1831999999999998</v>
      </c>
      <c r="AA151" s="62">
        <f t="shared" si="58"/>
        <v>20.1083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9"/>
        <v>0238-08</v>
      </c>
      <c r="AE151" s="85" t="str">
        <f t="shared" si="60"/>
        <v>aws s3 cp s3://rtdc.mdm.uploadarchive.raw/RTDC4052/ "%USERPROFILE%\AppData\Local\Temp\OnboardLogs"\RTDC4052\2017-03-08 --exclude "*" --recursive --include "*20170308*" &amp; "%USERPROFILE%\Documents\GitHub\mrs-test-scripts\Headless Mode &amp; Sideloading\WalkAndUnGZ.bat" "%USERPROFILE%\AppData\Local\Temp\OnboardLogs"\RTDC4052\2017-03-08 &amp; aws s3 cp s3://rtdc.mdm.uploadarchive.raw/RTDC4052/ "%USERPROFILE%\AppData\Local\Temp\OnboardLogs"\RTDC4052\2017-03-09 --exclude "*" --recursive --include "*20170309*" &amp; "%USERPROFILE%\Documents\GitHub\mrs-test-scripts\Headless Mode &amp; Sideloading\WalkAndUnGZ.bat" "%USERPROFILE%\AppData\Local\Temp\OnboardLogs"\RTDC4052\2017-03-09</v>
      </c>
      <c r="AF151" s="82" t="str">
        <f t="shared" si="61"/>
        <v>"C:\Program Files (x86)\AstroGrep\AstroGrep.exe" /e /r /s /spath="%USERPROFILE%\AppData\Local\Temp\OnboardLogs" /stypes="app*4052*20170309*" /stext=" 07:.+((SYSTEM_STATE.+slice.+state.+changed )|(ment ac)|(multiple cpu faults)|(system.+state.+changed )|(\[timeout)|(PRM\|1\|D)|(kpr)|(kdp)|(\|lc)|(penalty))"</v>
      </c>
      <c r="AG151" s="1" t="str">
        <f t="shared" si="62"/>
        <v>EC</v>
      </c>
      <c r="AH151" s="86" t="str">
        <f t="shared" si="63"/>
        <v>"%USERPROFILE%\Documents\GitHub\eaglep3\Utilities\RefineRTDCRunTimes.py" --tripid 238-08 --locoid 4052 --swversion DE.1.0.9.0 --startMP 204:232915 --initTime 2017-03-08T23:42:16 --startdatetime 2017-03-08T23:56:21 --delay 1 --endMP 204:31832 --enddatetime 2017-03-09T00:28:39 --enforcementcount 0 &gt;&gt;C:\Users\stu\Documents\GitHub\eaglep3-reporting\EC\2017-03-08-refined-times.txt</v>
      </c>
      <c r="AI151" s="108" t="str">
        <f t="shared" si="64"/>
        <v>echo {"issue":{"subject":"Onboard in-route failure","project_id":79,"tracker_id":40,"status_id":1,"priority_id":2,"assigned_to_id":23,"start_date":"2017-03-09","description":"","custom_fields":[{"id":1,"name":"Subdivision","value":"EC"},{"id":4,"name":"Milepost","value":"3.1832"},{"id":17,"name":"Train ID","value":"238-08"},{"id":16,"name":"Locomotive ID","value":"4052"},{"id":130,"name":"Impact","value":""},{"id":150,"name":"Time of Event (Mountain Time)","value":"00:28:39"},{"id":151,"name":"Denver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5"/>
        <v>start /low /b %USERPROFILE%\Documents\GitHub\eaglep3\Utilities\DownloadLogsFromS3.py --loco 4052 --day 2017-03-08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"%USERPROFILE%\AppData\Local\Temp\OnboardLogs"\RTDC4052\*4052*20170309* | grep -SE "(Enforcement Action)|(\[TIMEOUT)|(CHR.+\|PRM\|1\|D.+(SWITCH|SIGNAL).+UNKNOWN)" - &gt;&gt; 2017-03-08-UncaughtWiMAX.txt</v>
      </c>
    </row>
    <row r="152" spans="1:91" s="20" customFormat="1" x14ac:dyDescent="0.25">
      <c r="A152" s="33" t="s">
        <v>816</v>
      </c>
      <c r="B152" s="7">
        <v>4009</v>
      </c>
      <c r="C152" s="21" t="s">
        <v>242</v>
      </c>
      <c r="D152" s="21" t="s">
        <v>237</v>
      </c>
      <c r="E152" s="13">
        <v>42802.971550925926</v>
      </c>
      <c r="F152" s="13">
        <v>42802.979502314818</v>
      </c>
      <c r="G152" s="7">
        <v>2</v>
      </c>
      <c r="H152" s="21" t="s">
        <v>888</v>
      </c>
      <c r="I152" s="13">
        <v>42803.004942129628</v>
      </c>
      <c r="J152" s="7">
        <v>0</v>
      </c>
      <c r="K152" s="98" t="str">
        <f t="shared" si="51"/>
        <v>4009/4010</v>
      </c>
      <c r="L152" s="21" t="str">
        <f>VLOOKUP(A152,'Trips&amp;Operators'!$C$1:$G$99999,5,FALSE)</f>
        <v>STORY SAMANTHA</v>
      </c>
      <c r="M152" s="6">
        <f t="shared" si="52"/>
        <v>2.5439814809942618E-2</v>
      </c>
      <c r="N152" s="7">
        <f t="shared" ref="N152:N174" si="67">24*60*SUM($M152:$M152)</f>
        <v>36.63333332631737</v>
      </c>
      <c r="O152" s="7"/>
      <c r="P152" s="7"/>
      <c r="Q152" s="22"/>
      <c r="R152" s="22"/>
      <c r="S152" s="31">
        <f t="shared" si="66"/>
        <v>1</v>
      </c>
      <c r="T152" s="46" t="str">
        <f t="shared" si="53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4"/>
        <v>https://d0f6bd738d7f1b3e5a7ca70fe4ff75f0.us-east-1.aws.found.io/app/kibana#/discover/Steve-Slow-Train-Analysis-(2080s-and-2083s)?_g=(refreshInterval:(display:Off,pause:!f,section:0,value:0),time:(from:'2017-03-08T22:19:02-0700',mode:absolute,to:'2017-03-09T01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2" s="187" t="str">
        <f t="shared" si="55"/>
        <v>N</v>
      </c>
      <c r="X152" s="187">
        <f t="shared" si="49"/>
        <v>1</v>
      </c>
      <c r="Y152" s="62">
        <f t="shared" si="56"/>
        <v>4.6600000000000003E-2</v>
      </c>
      <c r="Z152" s="62">
        <f t="shared" si="57"/>
        <v>23.328399999999998</v>
      </c>
      <c r="AA152" s="62">
        <f t="shared" si="58"/>
        <v>23.281799999999997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9"/>
        <v>0239-08</v>
      </c>
      <c r="AE152" s="85" t="str">
        <f t="shared" si="60"/>
        <v>aws s3 cp s3://rtdc.mdm.uploadarchive.raw/RTDC4009/ "%USERPROFILE%\AppData\Local\Temp\OnboardLogs"\RTDC4009\2017-03-08 --exclude "*" --recursive --include "*20170308*" &amp; "%USERPROFILE%\Documents\GitHub\mrs-test-scripts\Headless Mode &amp; Sideloading\WalkAndUnGZ.bat" "%USERPROFILE%\AppData\Local\Temp\OnboardLogs"\RTDC4009\2017-03-08 &amp; aws s3 cp s3://rtdc.mdm.uploadarchive.raw/RTDC4009/ "%USERPROFILE%\AppData\Local\Temp\OnboardLogs"\RTDC4009\2017-03-09 --exclude "*" --recursive --include "*20170309*" &amp; "%USERPROFILE%\Documents\GitHub\mrs-test-scripts\Headless Mode &amp; Sideloading\WalkAndUnGZ.bat" "%USERPROFILE%\AppData\Local\Temp\OnboardLogs"\RTDC4009\2017-03-09</v>
      </c>
      <c r="AF152" s="82" t="str">
        <f t="shared" si="61"/>
        <v>"C:\Program Files (x86)\AstroGrep\AstroGrep.exe" /e /r /s /spath="%USERPROFILE%\AppData\Local\Temp\OnboardLogs" /stypes="app*4009*20170309*" /stext=" 07:.+((SYSTEM_STATE.+slice.+state.+changed )|(ment ac)|(multiple cpu faults)|(system.+state.+changed )|(\[timeout)|(PRM\|1\|D)|(kpr)|(kdp)|(\|lc)|(penalty))"</v>
      </c>
      <c r="AG152" s="1" t="str">
        <f t="shared" si="62"/>
        <v>EC</v>
      </c>
      <c r="AH152" s="86" t="str">
        <f t="shared" si="63"/>
        <v>"%USERPROFILE%\Documents\GitHub\eaglep3\Utilities\RefineRTDCRunTimes.py" --tripid 239-08 --locoid 4009 --swversion DE.1.0.9.0 --startMP 204:466 --initTime 2017-03-08T23:19:02 --startdatetime 2017-03-08T23:30:29 --delay 2 --endMP 204:233284 --enddatetime 2017-03-09T00:07:07 --enforcementcount 0 &gt;&gt;C:\Users\stu\Documents\GitHub\eaglep3-reporting\EC\2017-03-08-refined-times.txt</v>
      </c>
      <c r="AI152" s="108" t="str">
        <f t="shared" si="64"/>
        <v>echo {"issue":{"subject":"","project_id":79,"tracker_id":40,"status_id":1,"priority_id":2,"assigned_to_id":23,"start_date":"2017-03-09","description":"","custom_fields":[{"id":1,"name":"Subdivision","value":"EC"},{"id":4,"name":"Milepost","value":"23.3284"},{"id":17,"name":"Train ID","value":"239-08"},{"id":16,"name":"Locomotive ID","value":"4009"},{"id":130,"name":"Impact","value":""},{"id":150,"name":"Time of Event (Mountain Time)","value":"00:07:07"},{"id":151,"name":"Denver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5"/>
        <v>start /low /b %USERPROFILE%\Documents\GitHub\eaglep3\Utilities\DownloadLogsFromS3.py --loco 4009 --day 2017-03-08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"%USERPROFILE%\AppData\Local\Temp\OnboardLogs"\RTDC4009\*4009*20170309* | grep -SE "(Enforcement Action)|(\[TIMEOUT)|(CHR.+\|PRM\|1\|D.+(SWITCH|SIGNAL).+UNKNOWN)" - &gt;&gt; 2017-03-08-UncaughtWiMAX.txt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594</v>
      </c>
      <c r="B153" s="7">
        <v>4010</v>
      </c>
      <c r="C153" s="21" t="s">
        <v>242</v>
      </c>
      <c r="D153" s="21" t="s">
        <v>902</v>
      </c>
      <c r="E153" s="13">
        <v>42803.010763888888</v>
      </c>
      <c r="F153" s="13">
        <v>42803.018287037034</v>
      </c>
      <c r="G153" s="7">
        <v>1</v>
      </c>
      <c r="H153" s="21" t="s">
        <v>903</v>
      </c>
      <c r="I153" s="13">
        <v>42803.049629629626</v>
      </c>
      <c r="J153" s="7">
        <v>0</v>
      </c>
      <c r="K153" s="98" t="str">
        <f t="shared" si="51"/>
        <v>4009/4010</v>
      </c>
      <c r="L153" s="21" t="str">
        <f>VLOOKUP(A153,'Trips&amp;Operators'!$C$1:$G$99999,5,FALSE)</f>
        <v>STORY SAMANTHA</v>
      </c>
      <c r="M153" s="6">
        <f t="shared" si="52"/>
        <v>3.1342592592409346E-2</v>
      </c>
      <c r="N153" s="7">
        <f t="shared" si="67"/>
        <v>45.133333333069459</v>
      </c>
      <c r="O153" s="7"/>
      <c r="P153" s="7"/>
      <c r="Q153" s="22"/>
      <c r="R153" s="22"/>
      <c r="S153" s="31">
        <f t="shared" si="66"/>
        <v>1</v>
      </c>
      <c r="T153" s="46" t="str">
        <f t="shared" si="53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54"/>
        <v>https://d0f6bd738d7f1b3e5a7ca70fe4ff75f0.us-east-1.aws.found.io/app/kibana#/discover/Steve-Slow-Train-Analysis-(2080s-and-2083s)?_g=(refreshInterval:(display:Off,pause:!f,section:0,value:0),time:(from:'2017-03-08T23:15:30-0700',mode:absolute,to:'2017-03-09T02:11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3" s="187" t="str">
        <f t="shared" si="55"/>
        <v>N</v>
      </c>
      <c r="X153" s="187">
        <f t="shared" si="49"/>
        <v>1</v>
      </c>
      <c r="Y153" s="62">
        <f t="shared" si="56"/>
        <v>23.296900000000001</v>
      </c>
      <c r="Z153" s="62">
        <f t="shared" si="57"/>
        <v>0.19040000000000001</v>
      </c>
      <c r="AA153" s="62">
        <f t="shared" si="58"/>
        <v>23.1065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9"/>
        <v>0240-08</v>
      </c>
      <c r="AE153" s="85" t="str">
        <f t="shared" si="60"/>
        <v>aws s3 cp s3://rtdc.mdm.uploadarchive.raw/RTDC4010/ "%USERPROFILE%\AppData\Local\Temp\OnboardLogs"\RTDC4010\2017-03-09 --exclude "*" --recursive --include "*20170309*" &amp; "%USERPROFILE%\Documents\GitHub\mrs-test-scripts\Headless Mode &amp; Sideloading\WalkAndUnGZ.bat" "%USERPROFILE%\AppData\Local\Temp\OnboardLogs"\RTDC4010\2017-03-09 &amp; aws s3 cp s3://rtdc.mdm.uploadarchive.raw/RTDC4010/ "%USERPROFILE%\AppData\Local\Temp\OnboardLogs"\RTDC4010\2017-03-10 --exclude "*" --recursive --include "*20170310*" &amp; "%USERPROFILE%\Documents\GitHub\mrs-test-scripts\Headless Mode &amp; Sideloading\WalkAndUnGZ.bat" "%USERPROFILE%\AppData\Local\Temp\OnboardLogs"\RTDC4010\2017-03-10</v>
      </c>
      <c r="AF153" s="82" t="str">
        <f t="shared" si="61"/>
        <v>"C:\Program Files (x86)\AstroGrep\AstroGrep.exe" /e /r /s /spath="%USERPROFILE%\AppData\Local\Temp\OnboardLogs" /stypes="app*4010*20170309*" /stext=" 08:.+((SYSTEM_STATE.+slice.+state.+changed )|(ment ac)|(multiple cpu faults)|(system.+state.+changed )|(\[timeout)|(PRM\|1\|D)|(kpr)|(kdp)|(\|lc)|(penalty))"</v>
      </c>
      <c r="AG153" s="1" t="str">
        <f t="shared" si="62"/>
        <v>EC</v>
      </c>
      <c r="AH153" s="86" t="str">
        <f t="shared" si="63"/>
        <v>"%USERPROFILE%\Documents\GitHub\eaglep3\Utilities\RefineRTDCRunTimes.py" --tripid 240-08 --locoid 4010 --swversion DE.1.0.9.0 --startMP 204:232969 --initTime 2017-03-09T00:15:30 --startdatetime 2017-03-09T00:26:20 --delay 1 --endMP 204:1904 --enddatetime 2017-03-09T01:11:28 --enforcementcount 0 &gt;&gt;C:\Users\stu\Documents\GitHub\eaglep3-reporting\EC\2017-03-08-refined-times.txt</v>
      </c>
      <c r="AI153" s="108" t="str">
        <f t="shared" si="64"/>
        <v>echo {"issue":{"subject":"","project_id":79,"tracker_id":40,"status_id":1,"priority_id":2,"assigned_to_id":23,"start_date":"2017-03-09","description":"","custom_fields":[{"id":1,"name":"Subdivision","value":"EC"},{"id":4,"name":"Milepost","value":"0.1904"},{"id":17,"name":"Train ID","value":"240-08"},{"id":16,"name":"Locomotive ID","value":"4010"},{"id":130,"name":"Impact","value":""},{"id":150,"name":"Time of Event (Mountain Time)","value":"01:11:28"},{"id":151,"name":"Denver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5"/>
        <v>start /low /b %USERPROFILE%\Documents\GitHub\eaglep3\Utilities\DownloadLogsFromS3.py --loco 4010 --day 2017-03-09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"%USERPROFILE%\AppData\Local\Temp\OnboardLogs"\RTDC4010\*4010*20170309* | grep -SE "(Enforcement Action)|(\[TIMEOUT)|(CHR.+\|PRM\|1\|D.+(SWITCH|SIGNAL).+UNKNOWN)" - &gt;&gt; 2017-03-08-UncaughtWiMAX.txt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818</v>
      </c>
      <c r="B154" s="7">
        <v>4042</v>
      </c>
      <c r="C154" s="21" t="s">
        <v>242</v>
      </c>
      <c r="D154" s="21" t="s">
        <v>223</v>
      </c>
      <c r="E154" s="13">
        <v>42802.994062500002</v>
      </c>
      <c r="F154" s="13">
        <v>42803.000381944446</v>
      </c>
      <c r="G154" s="7">
        <v>3</v>
      </c>
      <c r="H154" s="21" t="s">
        <v>233</v>
      </c>
      <c r="I154" s="13">
        <v>42803.029027777775</v>
      </c>
      <c r="J154" s="7">
        <v>0</v>
      </c>
      <c r="K154" s="98" t="str">
        <f t="shared" si="51"/>
        <v>4041/4042</v>
      </c>
      <c r="L154" s="21" t="str">
        <f>VLOOKUP(A154,'Trips&amp;Operators'!$C$1:$G$99999,5,FALSE)</f>
        <v>NELSON ARIANE</v>
      </c>
      <c r="M154" s="6">
        <f t="shared" si="52"/>
        <v>2.8645833328482695E-2</v>
      </c>
      <c r="N154" s="7">
        <f t="shared" si="67"/>
        <v>41.249999993015081</v>
      </c>
      <c r="O154" s="7"/>
      <c r="P154" s="7"/>
      <c r="Q154" s="22"/>
      <c r="R154" s="22"/>
      <c r="S154" s="31">
        <f t="shared" si="66"/>
        <v>1</v>
      </c>
      <c r="T154" s="46" t="str">
        <f t="shared" si="53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54"/>
        <v>https://d0f6bd738d7f1b3e5a7ca70fe4ff75f0.us-east-1.aws.found.io/app/kibana#/discover/Steve-Slow-Train-Analysis-(2080s-and-2083s)?_g=(refreshInterval:(display:Off,pause:!f,section:0,value:0),time:(from:'2017-03-08T22:51:27-0700',mode:absolute,to:'2017-03-09T01:41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4" s="187" t="str">
        <f t="shared" si="55"/>
        <v>N</v>
      </c>
      <c r="X154" s="187">
        <f t="shared" si="49"/>
        <v>1</v>
      </c>
      <c r="Y154" s="62">
        <f t="shared" si="56"/>
        <v>4.53E-2</v>
      </c>
      <c r="Z154" s="62">
        <f t="shared" si="57"/>
        <v>23.331</v>
      </c>
      <c r="AA154" s="62">
        <f t="shared" si="58"/>
        <v>23.285699999999999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9"/>
        <v>0241-08</v>
      </c>
      <c r="AE154" s="85" t="str">
        <f t="shared" si="60"/>
        <v>aws s3 cp s3://rtdc.mdm.uploadarchive.raw/RTDC4042/ "%USERPROFILE%\AppData\Local\Temp\OnboardLogs"\RTDC4042\2017-03-09 --exclude "*" --recursive --include "*20170309*" &amp; "%USERPROFILE%\Documents\GitHub\mrs-test-scripts\Headless Mode &amp; Sideloading\WalkAndUnGZ.bat" "%USERPROFILE%\AppData\Local\Temp\OnboardLogs"\RTDC4042\2017-03-09 &amp; aws s3 cp s3://rtdc.mdm.uploadarchive.raw/RTDC4042/ "%USERPROFILE%\AppData\Local\Temp\OnboardLogs"\RTDC4042\2017-03-10 --exclude "*" --recursive --include "*20170310*" &amp; "%USERPROFILE%\Documents\GitHub\mrs-test-scripts\Headless Mode &amp; Sideloading\WalkAndUnGZ.bat" "%USERPROFILE%\AppData\Local\Temp\OnboardLogs"\RTDC4042\2017-03-10</v>
      </c>
      <c r="AF154" s="82" t="str">
        <f t="shared" si="61"/>
        <v>"C:\Program Files (x86)\AstroGrep\AstroGrep.exe" /e /r /s /spath="%USERPROFILE%\AppData\Local\Temp\OnboardLogs" /stypes="app*4042*20170309*" /stext=" 07:.+((SYSTEM_STATE.+slice.+state.+changed )|(ment ac)|(multiple cpu faults)|(system.+state.+changed )|(\[timeout)|(PRM\|1\|D)|(kpr)|(kdp)|(\|lc)|(penalty))"</v>
      </c>
      <c r="AG154" s="1" t="str">
        <f t="shared" si="62"/>
        <v>EC</v>
      </c>
      <c r="AH154" s="86" t="str">
        <f t="shared" si="63"/>
        <v>"%USERPROFILE%\Documents\GitHub\eaglep3\Utilities\RefineRTDCRunTimes.py" --tripid 241-08 --locoid 4042 --swversion DE.1.0.9.0 --startMP 204:453 --initTime 2017-03-08T23:51:27 --startdatetime 2017-03-09T00:00:33 --delay 3 --endMP 204:233310 --enddatetime 2017-03-09T00:41:48 --enforcementcount 0 &gt;&gt;C:\Users\stu\Documents\GitHub\eaglep3-reporting\EC\2017-03-08-refined-times.txt</v>
      </c>
      <c r="AI154" s="108" t="str">
        <f t="shared" si="64"/>
        <v>echo {"issue":{"subject":"","project_id":79,"tracker_id":40,"status_id":1,"priority_id":2,"assigned_to_id":23,"start_date":"2017-03-09","description":"","custom_fields":[{"id":1,"name":"Subdivision","value":"EC"},{"id":4,"name":"Milepost","value":"23.331"},{"id":17,"name":"Train ID","value":"241-08"},{"id":16,"name":"Locomotive ID","value":"4042"},{"id":130,"name":"Impact","value":""},{"id":150,"name":"Time of Event (Mountain Time)","value":"00:41:48"},{"id":151,"name":"Denver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5"/>
        <v>start /low /b %USERPROFILE%\Documents\GitHub\eaglep3\Utilities\DownloadLogsFromS3.py --loco 4042 --day 2017-03-09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"%USERPROFILE%\AppData\Local\Temp\OnboardLogs"\RTDC4042\*4042*20170309* | grep -SE "(Enforcement Action)|(\[TIMEOUT)|(CHR.+\|PRM\|1\|D.+(SWITCH|SIGNAL).+UNKNOWN)" - &gt;&gt; 2017-03-08-UncaughtWiMAX.txt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821</v>
      </c>
      <c r="B155" s="7">
        <v>4041</v>
      </c>
      <c r="C155" s="21" t="s">
        <v>242</v>
      </c>
      <c r="D155" s="21" t="s">
        <v>262</v>
      </c>
      <c r="E155" s="13">
        <v>42803.035925925928</v>
      </c>
      <c r="F155" s="13">
        <v>42803.039224537039</v>
      </c>
      <c r="G155" s="7">
        <v>2</v>
      </c>
      <c r="H155" s="21" t="s">
        <v>904</v>
      </c>
      <c r="I155" s="13">
        <v>42803.070069444446</v>
      </c>
      <c r="J155" s="7">
        <v>0</v>
      </c>
      <c r="K155" s="98" t="str">
        <f t="shared" si="51"/>
        <v>4041/4042</v>
      </c>
      <c r="L155" s="21" t="str">
        <f>VLOOKUP(A155,'Trips&amp;Operators'!$C$1:$G$99999,5,FALSE)</f>
        <v>NELSON ARIANE</v>
      </c>
      <c r="M155" s="6">
        <f t="shared" si="52"/>
        <v>3.0844907407299615E-2</v>
      </c>
      <c r="N155" s="7">
        <f t="shared" si="67"/>
        <v>44.416666666511446</v>
      </c>
      <c r="O155" s="7"/>
      <c r="P155" s="7"/>
      <c r="Q155" s="22"/>
      <c r="R155" s="22"/>
      <c r="S155" s="31">
        <f t="shared" si="66"/>
        <v>1</v>
      </c>
      <c r="T155" s="46" t="str">
        <f t="shared" si="53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4"/>
        <v>https://d0f6bd738d7f1b3e5a7ca70fe4ff75f0.us-east-1.aws.found.io/app/kibana#/discover/Steve-Slow-Train-Analysis-(2080s-and-2083s)?_g=(refreshInterval:(display:Off,pause:!f,section:0,value:0),time:(from:'2017-03-08T23:51:44-0700',mode:absolute,to:'2017-03-09T02:40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5" s="187" t="str">
        <f t="shared" si="55"/>
        <v>N</v>
      </c>
      <c r="X155" s="187">
        <f t="shared" ref="X155:X168" si="68">VALUE(LEFT(AD155,4))-VALUE(LEFT(AD154,4))</f>
        <v>1</v>
      </c>
      <c r="Y155" s="62">
        <f t="shared" si="56"/>
        <v>23.297699999999999</v>
      </c>
      <c r="Z155" s="62">
        <f t="shared" si="57"/>
        <v>6.8900000000000003E-2</v>
      </c>
      <c r="AA155" s="62">
        <f t="shared" si="58"/>
        <v>23.2288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9"/>
        <v>0242-08</v>
      </c>
      <c r="AE155" s="85" t="str">
        <f t="shared" si="60"/>
        <v>aws s3 cp s3://rtdc.mdm.uploadarchive.raw/RTDC4041/ "%USERPROFILE%\AppData\Local\Temp\OnboardLogs"\RTDC4041\2017-03-09 --exclude "*" --recursive --include "*20170309*" &amp; "%USERPROFILE%\Documents\GitHub\mrs-test-scripts\Headless Mode &amp; Sideloading\WalkAndUnGZ.bat" "%USERPROFILE%\AppData\Local\Temp\OnboardLogs"\RTDC4041\2017-03-09 &amp; aws s3 cp s3://rtdc.mdm.uploadarchive.raw/RTDC4041/ "%USERPROFILE%\AppData\Local\Temp\OnboardLogs"\RTDC4041\2017-03-10 --exclude "*" --recursive --include "*20170310*" &amp; "%USERPROFILE%\Documents\GitHub\mrs-test-scripts\Headless Mode &amp; Sideloading\WalkAndUnGZ.bat" "%USERPROFILE%\AppData\Local\Temp\OnboardLogs"\RTDC4041\2017-03-10</v>
      </c>
      <c r="AF155" s="82" t="str">
        <f t="shared" si="61"/>
        <v>"C:\Program Files (x86)\AstroGrep\AstroGrep.exe" /e /r /s /spath="%USERPROFILE%\AppData\Local\Temp\OnboardLogs" /stypes="app*4041*20170309*" /stext=" 08:.+((SYSTEM_STATE.+slice.+state.+changed )|(ment ac)|(multiple cpu faults)|(system.+state.+changed )|(\[timeout)|(PRM\|1\|D)|(kpr)|(kdp)|(\|lc)|(penalty))"</v>
      </c>
      <c r="AG155" s="1" t="str">
        <f t="shared" si="62"/>
        <v>EC</v>
      </c>
      <c r="AH155" s="86" t="str">
        <f t="shared" si="63"/>
        <v>"%USERPROFILE%\Documents\GitHub\eaglep3\Utilities\RefineRTDCRunTimes.py" --tripid 242-08 --locoid 4041 --swversion DE.1.0.9.0 --startMP 204:232977 --initTime 2017-03-09T00:51:44 --startdatetime 2017-03-09T00:56:29 --delay 2 --endMP 204:689 --enddatetime 2017-03-09T01:40:54 --enforcementcount 0 &gt;&gt;C:\Users\stu\Documents\GitHub\eaglep3-reporting\EC\2017-03-08-refined-times.txt</v>
      </c>
      <c r="AI155" s="108" t="str">
        <f t="shared" si="64"/>
        <v>echo {"issue":{"subject":"","project_id":79,"tracker_id":40,"status_id":1,"priority_id":2,"assigned_to_id":23,"start_date":"2017-03-09","description":"","custom_fields":[{"id":1,"name":"Subdivision","value":"EC"},{"id":4,"name":"Milepost","value":"0.0689"},{"id":17,"name":"Train ID","value":"242-08"},{"id":16,"name":"Locomotive ID","value":"4041"},{"id":130,"name":"Impact","value":""},{"id":150,"name":"Time of Event (Mountain Time)","value":"01:40:54"},{"id":151,"name":"Denver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5"/>
        <v>start /low /b %USERPROFILE%\Documents\GitHub\eaglep3\Utilities\DownloadLogsFromS3.py --loco 4041 --day 2017-03-09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"%USERPROFILE%\AppData\Local\Temp\OnboardLogs"\RTDC4041\*4041*20170309* | grep -SE "(Enforcement Action)|(\[TIMEOUT)|(CHR.+\|PRM\|1\|D.+(SWITCH|SIGNAL).+UNKNOWN)" - &gt;&gt; 2017-03-08-UncaughtWiMAX.txt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819</v>
      </c>
      <c r="B156" s="7">
        <v>4046</v>
      </c>
      <c r="C156" s="21" t="s">
        <v>242</v>
      </c>
      <c r="D156" s="21" t="s">
        <v>833</v>
      </c>
      <c r="E156" s="13">
        <v>42803.017974537041</v>
      </c>
      <c r="F156" s="13">
        <v>42803.020983796298</v>
      </c>
      <c r="G156" s="7">
        <v>1</v>
      </c>
      <c r="H156" s="21" t="s">
        <v>293</v>
      </c>
      <c r="I156" s="13">
        <v>42803.045231481483</v>
      </c>
      <c r="J156" s="7">
        <v>0</v>
      </c>
      <c r="K156" s="98" t="str">
        <f t="shared" si="51"/>
        <v>4045/4046</v>
      </c>
      <c r="L156" s="21" t="str">
        <f>VLOOKUP(A156,'Trips&amp;Operators'!$C$1:$G$99999,5,FALSE)</f>
        <v>NEWELL JAMES</v>
      </c>
      <c r="M156" s="6">
        <f t="shared" si="52"/>
        <v>2.4247685185400769E-2</v>
      </c>
      <c r="N156" s="7">
        <f t="shared" si="67"/>
        <v>34.916666666977108</v>
      </c>
      <c r="O156" s="7"/>
      <c r="P156" s="7"/>
      <c r="Q156" s="22"/>
      <c r="R156" s="22"/>
      <c r="S156" s="31">
        <f t="shared" si="66"/>
        <v>1</v>
      </c>
      <c r="T156" s="46" t="str">
        <f t="shared" si="53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4"/>
        <v>https://d0f6bd738d7f1b3e5a7ca70fe4ff75f0.us-east-1.aws.found.io/app/kibana#/discover/Steve-Slow-Train-Analysis-(2080s-and-2083s)?_g=(refreshInterval:(display:Off,pause:!f,section:0,value:0),time:(from:'2017-03-08T23:25:53-0700',mode:absolute,to:'2017-03-09T02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6" s="187" t="str">
        <f t="shared" si="55"/>
        <v>N</v>
      </c>
      <c r="X156" s="187">
        <f t="shared" si="68"/>
        <v>1</v>
      </c>
      <c r="Y156" s="62">
        <f t="shared" si="56"/>
        <v>4.6399999999999997E-2</v>
      </c>
      <c r="Z156" s="62">
        <f t="shared" si="57"/>
        <v>23.330300000000001</v>
      </c>
      <c r="AA156" s="62">
        <f t="shared" si="58"/>
        <v>23.283900000000003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9"/>
        <v>0243-08</v>
      </c>
      <c r="AE156" s="85" t="str">
        <f t="shared" si="60"/>
        <v>aws s3 cp s3://rtdc.mdm.uploadarchive.raw/RTDC4046/ "%USERPROFILE%\AppData\Local\Temp\OnboardLogs"\RTDC4046\2017-03-09 --exclude "*" --recursive --include "*20170309*" &amp; "%USERPROFILE%\Documents\GitHub\mrs-test-scripts\Headless Mode &amp; Sideloading\WalkAndUnGZ.bat" "%USERPROFILE%\AppData\Local\Temp\OnboardLogs"\RTDC4046\2017-03-09 &amp; aws s3 cp s3://rtdc.mdm.uploadarchive.raw/RTDC4046/ "%USERPROFILE%\AppData\Local\Temp\OnboardLogs"\RTDC4046\2017-03-10 --exclude "*" --recursive --include "*20170310*" &amp; "%USERPROFILE%\Documents\GitHub\mrs-test-scripts\Headless Mode &amp; Sideloading\WalkAndUnGZ.bat" "%USERPROFILE%\AppData\Local\Temp\OnboardLogs"\RTDC4046\2017-03-10</v>
      </c>
      <c r="AF156" s="82" t="str">
        <f t="shared" si="61"/>
        <v>"C:\Program Files (x86)\AstroGrep\AstroGrep.exe" /e /r /s /spath="%USERPROFILE%\AppData\Local\Temp\OnboardLogs" /stypes="app*4046*20170309*" /stext=" 08:.+((SYSTEM_STATE.+slice.+state.+changed )|(ment ac)|(multiple cpu faults)|(system.+state.+changed )|(\[timeout)|(PRM\|1\|D)|(kpr)|(kdp)|(\|lc)|(penalty))"</v>
      </c>
      <c r="AG156" s="1" t="str">
        <f t="shared" si="62"/>
        <v>EC</v>
      </c>
      <c r="AH156" s="86" t="str">
        <f t="shared" si="63"/>
        <v>"%USERPROFILE%\Documents\GitHub\eaglep3\Utilities\RefineRTDCRunTimes.py" --tripid 243-08 --locoid 4046 --swversion DE.1.0.9.0 --startMP 204:464 --initTime 2017-03-09T00:25:53 --startdatetime 2017-03-09T00:30:13 --delay 1 --endMP 204:233303 --enddatetime 2017-03-09T01:05:08 --enforcementcount 0 &gt;&gt;C:\Users\stu\Documents\GitHub\eaglep3-reporting\EC\2017-03-08-refined-times.txt</v>
      </c>
      <c r="AI156" s="108" t="str">
        <f t="shared" si="64"/>
        <v>echo {"issue":{"subject":"","project_id":79,"tracker_id":40,"status_id":1,"priority_id":2,"assigned_to_id":23,"start_date":"2017-03-09","description":"","custom_fields":[{"id":1,"name":"Subdivision","value":"EC"},{"id":4,"name":"Milepost","value":"23.3303"},{"id":17,"name":"Train ID","value":"243-08"},{"id":16,"name":"Locomotive ID","value":"4046"},{"id":130,"name":"Impact","value":""},{"id":150,"name":"Time of Event (Mountain Time)","value":"01:05:08"},{"id":151,"name":"Denver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5"/>
        <v>start /low /b %USERPROFILE%\Documents\GitHub\eaglep3\Utilities\DownloadLogsFromS3.py --loco 4046 --day 2017-03-09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"%USERPROFILE%\AppData\Local\Temp\OnboardLogs"\RTDC4046\*4046*20170309* | grep -SE "(Enforcement Action)|(\[TIMEOUT)|(CHR.+\|PRM\|1\|D.+(SWITCH|SIGNAL).+UNKNOWN)" - &gt;&gt; 2017-03-08-UncaughtWiMAX.txt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822</v>
      </c>
      <c r="B157" s="7">
        <v>4045</v>
      </c>
      <c r="C157" s="21" t="s">
        <v>242</v>
      </c>
      <c r="D157" s="21" t="s">
        <v>266</v>
      </c>
      <c r="E157" s="13">
        <v>42803.057002314818</v>
      </c>
      <c r="F157" s="13">
        <v>42803.059872685182</v>
      </c>
      <c r="G157" s="7">
        <v>1</v>
      </c>
      <c r="H157" s="21" t="s">
        <v>208</v>
      </c>
      <c r="I157" s="13">
        <v>42803.086655092593</v>
      </c>
      <c r="J157" s="7">
        <v>0</v>
      </c>
      <c r="K157" s="98" t="str">
        <f t="shared" si="51"/>
        <v>4045/4046</v>
      </c>
      <c r="L157" s="21" t="str">
        <f>VLOOKUP(A157,'Trips&amp;Operators'!$C$1:$G$99999,5,FALSE)</f>
        <v>NEWELL JAMES</v>
      </c>
      <c r="M157" s="6">
        <f t="shared" si="52"/>
        <v>2.6782407410792075E-2</v>
      </c>
      <c r="N157" s="7">
        <f t="shared" si="67"/>
        <v>38.566666671540588</v>
      </c>
      <c r="O157" s="7"/>
      <c r="P157" s="7"/>
      <c r="Q157" s="22"/>
      <c r="R157" s="22"/>
      <c r="S157" s="31">
        <f t="shared" si="66"/>
        <v>1</v>
      </c>
      <c r="T157" s="46" t="str">
        <f t="shared" si="53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54"/>
        <v>https://d0f6bd738d7f1b3e5a7ca70fe4ff75f0.us-east-1.aws.found.io/app/kibana#/discover/Steve-Slow-Train-Analysis-(2080s-and-2083s)?_g=(refreshInterval:(display:Off,pause:!f,section:0,value:0),time:(from:'2017-03-09T00:22:05-0700',mode:absolute,to:'2017-03-09T03:04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7" s="187" t="str">
        <f t="shared" si="55"/>
        <v>N</v>
      </c>
      <c r="X157" s="187">
        <f t="shared" si="68"/>
        <v>1</v>
      </c>
      <c r="Y157" s="62">
        <f t="shared" si="56"/>
        <v>23.297499999999999</v>
      </c>
      <c r="Z157" s="62">
        <f t="shared" si="57"/>
        <v>1.54E-2</v>
      </c>
      <c r="AA157" s="62">
        <f t="shared" si="58"/>
        <v>23.2821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9"/>
        <v>0244-08</v>
      </c>
      <c r="AE157" s="85" t="str">
        <f t="shared" si="60"/>
        <v>aws s3 cp s3://rtdc.mdm.uploadarchive.raw/RTDC4045/ "%USERPROFILE%\AppData\Local\Temp\OnboardLogs"\RTDC4045\2017-03-09 --exclude "*" --recursive --include "*20170309*" &amp; "%USERPROFILE%\Documents\GitHub\mrs-test-scripts\Headless Mode &amp; Sideloading\WalkAndUnGZ.bat" "%USERPROFILE%\AppData\Local\Temp\OnboardLogs"\RTDC4045\2017-03-09 &amp; aws s3 cp s3://rtdc.mdm.uploadarchive.raw/RTDC4045/ "%USERPROFILE%\AppData\Local\Temp\OnboardLogs"\RTDC4045\2017-03-10 --exclude "*" --recursive --include "*20170310*" &amp; "%USERPROFILE%\Documents\GitHub\mrs-test-scripts\Headless Mode &amp; Sideloading\WalkAndUnGZ.bat" "%USERPROFILE%\AppData\Local\Temp\OnboardLogs"\RTDC4045\2017-03-10</v>
      </c>
      <c r="AF157" s="82" t="str">
        <f t="shared" si="61"/>
        <v>"C:\Program Files (x86)\AstroGrep\AstroGrep.exe" /e /r /s /spath="%USERPROFILE%\AppData\Local\Temp\OnboardLogs" /stypes="app*4045*20170309*" /stext=" 09:.+((SYSTEM_STATE.+slice.+state.+changed )|(ment ac)|(multiple cpu faults)|(system.+state.+changed )|(\[timeout)|(PRM\|1\|D)|(kpr)|(kdp)|(\|lc)|(penalty))"</v>
      </c>
      <c r="AG157" s="1" t="str">
        <f t="shared" si="62"/>
        <v>EC</v>
      </c>
      <c r="AH157" s="86" t="str">
        <f t="shared" si="63"/>
        <v>"%USERPROFILE%\Documents\GitHub\eaglep3\Utilities\RefineRTDCRunTimes.py" --tripid 244-08 --locoid 4045 --swversion DE.1.0.9.0 --startMP 204:232975 --initTime 2017-03-09T01:22:05 --startdatetime 2017-03-09T01:26:13 --delay 1 --endMP 204:154 --enddatetime 2017-03-09T02:04:47 --enforcementcount 0 &gt;&gt;C:\Users\stu\Documents\GitHub\eaglep3-reporting\EC\2017-03-08-refined-times.txt</v>
      </c>
      <c r="AI157" s="108" t="str">
        <f t="shared" si="64"/>
        <v>echo {"issue":{"subject":"","project_id":79,"tracker_id":40,"status_id":1,"priority_id":2,"assigned_to_id":23,"start_date":"2017-03-09","description":"","custom_fields":[{"id":1,"name":"Subdivision","value":"EC"},{"id":4,"name":"Milepost","value":"0.0154"},{"id":17,"name":"Train ID","value":"244-08"},{"id":16,"name":"Locomotive ID","value":"4045"},{"id":130,"name":"Impact","value":""},{"id":150,"name":"Time of Event (Mountain Time)","value":"02:04:47"},{"id":151,"name":"Denver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5"/>
        <v>start /low /b %USERPROFILE%\Documents\GitHub\eaglep3\Utilities\DownloadLogsFromS3.py --loco 4045 --day 2017-03-09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"%USERPROFILE%\AppData\Local\Temp\OnboardLogs"\RTDC4045\*4045*20170309* | grep -SE "(Enforcement Action)|(\[TIMEOUT)|(CHR.+\|PRM\|1\|D.+(SWITCH|SIGNAL).+UNKNOWN)" - &gt;&gt; 2017-03-08-UncaughtWiMAX.txt</v>
      </c>
    </row>
    <row r="158" spans="1:91" x14ac:dyDescent="0.25">
      <c r="A158" s="33" t="s">
        <v>624</v>
      </c>
      <c r="B158" s="7">
        <v>4039</v>
      </c>
      <c r="C158" s="21" t="s">
        <v>242</v>
      </c>
      <c r="D158" s="21" t="s">
        <v>953</v>
      </c>
      <c r="E158" s="13">
        <v>42802.210474537038</v>
      </c>
      <c r="F158" s="13">
        <v>42802.21398148148</v>
      </c>
      <c r="G158" s="7">
        <v>1</v>
      </c>
      <c r="H158" s="21" t="s">
        <v>458</v>
      </c>
      <c r="I158" s="13">
        <v>42802.225462962961</v>
      </c>
      <c r="J158" s="7">
        <v>0</v>
      </c>
      <c r="K158" s="98" t="str">
        <f t="shared" si="51"/>
        <v>4039/4040</v>
      </c>
      <c r="L158" s="21" t="str">
        <f>VLOOKUP(A158,'Trips&amp;Operators'!$C$1:$G$99999,5,FALSE)</f>
        <v>YORK EDGAR</v>
      </c>
      <c r="M158" s="6">
        <f t="shared" si="52"/>
        <v>1.1481481480586808E-2</v>
      </c>
      <c r="N158" s="7">
        <f t="shared" si="67"/>
        <v>16.533333332045004</v>
      </c>
      <c r="O158" s="7"/>
      <c r="P158" s="7"/>
      <c r="Q158" s="22"/>
      <c r="R158" s="22"/>
      <c r="S158" s="31">
        <f t="shared" si="66"/>
        <v>1</v>
      </c>
      <c r="T158" s="46" t="str">
        <f t="shared" si="53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 t="shared" si="54"/>
        <v>https://d0f6bd738d7f1b3e5a7ca70fe4ff75f0.us-east-1.aws.found.io/app/kibana#/discover/Steve-Slow-Train-Analysis-(2080s-and-2083s)?_g=(refreshInterval:(display:Off,pause:!f,section:0,value:0),time:(from:'2017-03-08T04:03:05-0700',mode:absolute,to:'2017-03-08T06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8" s="187" t="str">
        <f t="shared" si="55"/>
        <v>N</v>
      </c>
      <c r="X158" s="187">
        <f t="shared" si="68"/>
        <v>556</v>
      </c>
      <c r="Y158" s="62">
        <f t="shared" si="56"/>
        <v>5.8619000000000003</v>
      </c>
      <c r="Z158" s="62">
        <f t="shared" si="57"/>
        <v>7.4099999999999999E-2</v>
      </c>
      <c r="AA158" s="62">
        <f t="shared" si="58"/>
        <v>5.7878000000000007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9"/>
        <v>0800-08</v>
      </c>
      <c r="AE158" s="85" t="str">
        <f t="shared" si="60"/>
        <v>aws s3 cp s3://rtdc.mdm.uploadarchive.raw/RTDC4039/ "%USERPROFILE%\AppData\Local\Temp\OnboardLogs"\RTDC4039\2017-03-08 --exclude "*" --recursive --include "*20170308*" &amp; "%USERPROFILE%\Documents\GitHub\mrs-test-scripts\Headless Mode &amp; Sideloading\WalkAndUnGZ.bat" "%USERPROFILE%\AppData\Local\Temp\OnboardLogs"\RTDC4039\2017-03-08 &amp; 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</v>
      </c>
      <c r="AF158" s="82" t="str">
        <f t="shared" si="61"/>
        <v>"C:\Program Files (x86)\AstroGrep\AstroGrep.exe" /e /r /s /spath="%USERPROFILE%\AppData\Local\Temp\OnboardLogs" /stypes="app*4039*20170308*" /stext=" 12:.+((SYSTEM_STATE.+slice.+state.+changed )|(ment ac)|(multiple cpu faults)|(system.+state.+changed )|(\[timeout)|(PRM\|1\|D)|(kpr)|(kdp)|(\|lc)|(penalty))"</v>
      </c>
      <c r="AG158" s="1" t="str">
        <f t="shared" si="62"/>
        <v>NW</v>
      </c>
      <c r="AH158" s="86" t="str">
        <f t="shared" si="63"/>
        <v>"%USERPROFILE%\Documents\GitHub\eaglep3\Utilities\RefineRTDCRunTimes.py" --tripid 800-08 --locoid 4039 --swversion DE.1.0.9.0 --startMP 300:58619 --initTime 2017-03-08T05:03:05 --startdatetime 2017-03-08T05:08:08 --delay 1 --endMP 204:741 --enddatetime 2017-03-08T05:24:40 --enforcementcount 0 &gt;&gt;C:\Users\stu\Documents\GitHub\eaglep3-reporting\EC\2017-03-08-refined-times.txt</v>
      </c>
      <c r="AI158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{"issue":{"subject":"","project_id":79,"tracker_id":40,"status_id":1,"priority_id":2,"assigned_to_id":23,"start_date":"2017-03-08","description":"","custom_fields":[{"id":1,"name":"Subdivision","value":"NW"},{"id":4,"name":"Milepost","value":"0.0741"},{"id":17,"name":"Train ID","value":"800-08"},{"id":16,"name":"Locomotive ID","value":"4039"},{"id":130,"name":"Impact","value":""},{"id":150,"name":"Time of Event (Mountain Time)","value":"05:24:40"},{"id":151,"name":"Denver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5"/>
        <v>start /low /b %USERPROFILE%\Documents\GitHub\eaglep3\Utilities\DownloadLogsFromS3.py --loco 4039 --day 2017-03-08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"%USERPROFILE%\AppData\Local\Temp\OnboardLogs"\RTDC4039\*4039*20170308* | grep -SE "(Enforcement Action)|(\[TIMEOUT)|(CHR.+\|PRM\|1\|D.+(SWITCH|SIGNAL).+UNKNOWN)" - &gt;&gt; 2017-03-08-UncaughtWiMAX.txt</v>
      </c>
    </row>
    <row r="159" spans="1:91" x14ac:dyDescent="0.25">
      <c r="A159" s="33" t="s">
        <v>628</v>
      </c>
      <c r="B159" s="7">
        <v>4040</v>
      </c>
      <c r="C159" s="21" t="s">
        <v>242</v>
      </c>
      <c r="D159" s="21" t="s">
        <v>954</v>
      </c>
      <c r="E159" s="13">
        <v>42802.226817129631</v>
      </c>
      <c r="F159" s="13">
        <v>42802.243993055556</v>
      </c>
      <c r="G159" s="7">
        <v>1</v>
      </c>
      <c r="H159" s="21" t="s">
        <v>528</v>
      </c>
      <c r="I159" s="13">
        <v>42802.252997685187</v>
      </c>
      <c r="J159" s="7">
        <v>0</v>
      </c>
      <c r="K159" s="98" t="str">
        <f t="shared" si="51"/>
        <v>4039/4040</v>
      </c>
      <c r="L159" s="21" t="str">
        <f>VLOOKUP(A159,'Trips&amp;Operators'!$C$1:$G$99999,5,FALSE)</f>
        <v>YORK EDGAR</v>
      </c>
      <c r="M159" s="6">
        <f t="shared" si="52"/>
        <v>9.0046296318178065E-3</v>
      </c>
      <c r="N159" s="7">
        <f t="shared" si="67"/>
        <v>12.966666669817641</v>
      </c>
      <c r="O159" s="7"/>
      <c r="P159" s="7"/>
      <c r="Q159" s="22"/>
      <c r="R159" s="22"/>
      <c r="S159" s="31">
        <f t="shared" si="66"/>
        <v>1</v>
      </c>
      <c r="T159" s="46" t="str">
        <f t="shared" si="53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54"/>
        <v>https://d0f6bd738d7f1b3e5a7ca70fe4ff75f0.us-east-1.aws.found.io/app/kibana#/discover/Steve-Slow-Train-Analysis-(2080s-and-2083s)?_g=(refreshInterval:(display:Off,pause:!f,section:0,value:0),time:(from:'2017-03-08T04:26:37-0700',mode:absolute,to:'2017-03-08T07:04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9" s="187" t="str">
        <f t="shared" si="55"/>
        <v>N</v>
      </c>
      <c r="X159" s="187">
        <f t="shared" si="68"/>
        <v>1</v>
      </c>
      <c r="Y159" s="62">
        <f t="shared" si="56"/>
        <v>0.10349999999999999</v>
      </c>
      <c r="Z159" s="62">
        <f t="shared" si="57"/>
        <v>5.8949999999999996</v>
      </c>
      <c r="AA159" s="62">
        <f t="shared" si="58"/>
        <v>5.7914999999999992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9"/>
        <v>0801-08</v>
      </c>
      <c r="AE159" s="85" t="str">
        <f t="shared" si="60"/>
        <v>aws s3 cp s3://rtdc.mdm.uploadarchive.raw/RTDC4040/ "%USERPROFILE%\AppData\Local\Temp\OnboardLogs"\RTDC4040\2017-03-08 --exclude "*" --recursive --include "*20170308*" &amp; "%USERPROFILE%\Documents\GitHub\mrs-test-scripts\Headless Mode &amp; Sideloading\WalkAndUnGZ.bat" "%USERPROFILE%\AppData\Local\Temp\OnboardLogs"\RTDC4040\2017-03-08 &amp; 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</v>
      </c>
      <c r="AF159" s="82" t="str">
        <f t="shared" si="61"/>
        <v>"C:\Program Files (x86)\AstroGrep\AstroGrep.exe" /e /r /s /spath="%USERPROFILE%\AppData\Local\Temp\OnboardLogs" /stypes="app*4040*20170308*" /stext=" 13:.+((SYSTEM_STATE.+slice.+state.+changed )|(ment ac)|(multiple cpu faults)|(system.+state.+changed )|(\[timeout)|(PRM\|1\|D)|(kpr)|(kdp)|(\|lc)|(penalty))"</v>
      </c>
      <c r="AG159" s="1" t="str">
        <f t="shared" si="62"/>
        <v>NW</v>
      </c>
      <c r="AH159" s="86" t="str">
        <f t="shared" si="63"/>
        <v>"%USERPROFILE%\Documents\GitHub\eaglep3\Utilities\RefineRTDCRunTimes.py" --tripid 801-08 --locoid 4040 --swversion DE.1.0.9.0 --startMP 204:1035 --initTime 2017-03-08T05:26:37 --startdatetime 2017-03-08T05:51:21 --delay 1 --endMP 300:58950 --enddatetime 2017-03-08T06:04:19 --enforcementcount 0 &gt;&gt;C:\Users\stu\Documents\GitHub\eaglep3-reporting\EC\2017-03-08-refined-times.txt</v>
      </c>
      <c r="AI159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{"issue":{"subject":"","project_id":79,"tracker_id":40,"status_id":1,"priority_id":2,"assigned_to_id":23,"start_date":"2017-03-08","description":"","custom_fields":[{"id":1,"name":"Subdivision","value":"NW"},{"id":4,"name":"Milepost","value":"5.895"},{"id":17,"name":"Train ID","value":"801-08"},{"id":16,"name":"Locomotive ID","value":"4040"},{"id":130,"name":"Impact","value":""},{"id":150,"name":"Time of Event (Mountain Time)","value":"06:04:19"},{"id":151,"name":"Denver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5"/>
        <v>start /low /b %USERPROFILE%\Documents\GitHub\eaglep3\Utilities\DownloadLogsFromS3.py --loco 4040 --day 2017-03-08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"%USERPROFILE%\AppData\Local\Temp\OnboardLogs"\RTDC4040\*4040*20170308* | grep -SE "(Enforcement Action)|(\[TIMEOUT)|(CHR.+\|PRM\|1\|D.+(SWITCH|SIGNAL).+UNKNOWN)" - &gt;&gt; 2017-03-08-UncaughtWiMAX.txt</v>
      </c>
    </row>
    <row r="160" spans="1:91" x14ac:dyDescent="0.25">
      <c r="A160" s="33" t="s">
        <v>637</v>
      </c>
      <c r="B160" s="7">
        <v>4039</v>
      </c>
      <c r="C160" s="21" t="s">
        <v>242</v>
      </c>
      <c r="D160" s="21" t="s">
        <v>955</v>
      </c>
      <c r="E160" s="13">
        <v>42802.25472222222</v>
      </c>
      <c r="F160" s="13">
        <v>42802.256597222222</v>
      </c>
      <c r="G160" s="7">
        <v>1</v>
      </c>
      <c r="H160" s="21" t="s">
        <v>956</v>
      </c>
      <c r="I160" s="13">
        <v>42802.266898148147</v>
      </c>
      <c r="J160" s="7">
        <v>0</v>
      </c>
      <c r="K160" s="98" t="str">
        <f t="shared" si="51"/>
        <v>4039/4040</v>
      </c>
      <c r="L160" s="21" t="str">
        <f>VLOOKUP(A160,'Trips&amp;Operators'!$C$1:$G$99999,5,FALSE)</f>
        <v>YORK EDGAR</v>
      </c>
      <c r="M160" s="6">
        <f t="shared" si="52"/>
        <v>1.0300925925548654E-2</v>
      </c>
      <c r="N160" s="7">
        <f t="shared" si="67"/>
        <v>14.833333332790062</v>
      </c>
      <c r="O160" s="7"/>
      <c r="P160" s="7"/>
      <c r="Q160" s="22"/>
      <c r="R160" s="22"/>
      <c r="S160" s="31">
        <f t="shared" si="66"/>
        <v>1</v>
      </c>
      <c r="T160" s="46" t="str">
        <f t="shared" si="53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54"/>
        <v>https://d0f6bd738d7f1b3e5a7ca70fe4ff75f0.us-east-1.aws.found.io/app/kibana#/discover/Steve-Slow-Train-Analysis-(2080s-and-2083s)?_g=(refreshInterval:(display:Off,pause:!f,section:0,value:0),time:(from:'2017-03-08T05:06:48-0700',mode:absolute,to:'2017-03-08T07:24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0" s="187" t="str">
        <f t="shared" si="55"/>
        <v>N</v>
      </c>
      <c r="X160" s="187">
        <f t="shared" si="68"/>
        <v>1</v>
      </c>
      <c r="Y160" s="62">
        <f t="shared" si="56"/>
        <v>5.8620999999999999</v>
      </c>
      <c r="Z160" s="62">
        <f t="shared" si="57"/>
        <v>7.4700000000000003E-2</v>
      </c>
      <c r="AA160" s="62">
        <f t="shared" si="58"/>
        <v>5.7873999999999999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9"/>
        <v>0802-08</v>
      </c>
      <c r="AE160" s="85" t="str">
        <f t="shared" si="60"/>
        <v>aws s3 cp s3://rtdc.mdm.uploadarchive.raw/RTDC4039/ "%USERPROFILE%\AppData\Local\Temp\OnboardLogs"\RTDC4039\2017-03-08 --exclude "*" --recursive --include "*20170308*" &amp; "%USERPROFILE%\Documents\GitHub\mrs-test-scripts\Headless Mode &amp; Sideloading\WalkAndUnGZ.bat" "%USERPROFILE%\AppData\Local\Temp\OnboardLogs"\RTDC4039\2017-03-08 &amp; 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</v>
      </c>
      <c r="AF160" s="82" t="str">
        <f t="shared" si="61"/>
        <v>"C:\Program Files (x86)\AstroGrep\AstroGrep.exe" /e /r /s /spath="%USERPROFILE%\AppData\Local\Temp\OnboardLogs" /stypes="app*4039*20170308*" /stext=" 13:.+((SYSTEM_STATE.+slice.+state.+changed )|(ment ac)|(multiple cpu faults)|(system.+state.+changed )|(\[timeout)|(PRM\|1\|D)|(kpr)|(kdp)|(\|lc)|(penalty))"</v>
      </c>
      <c r="AG160" s="1" t="str">
        <f t="shared" si="62"/>
        <v>NW</v>
      </c>
      <c r="AH160" s="86" t="str">
        <f t="shared" si="63"/>
        <v>"%USERPROFILE%\Documents\GitHub\eaglep3\Utilities\RefineRTDCRunTimes.py" --tripid 802-08 --locoid 4039 --swversion DE.1.0.9.0 --startMP 300:58621 --initTime 2017-03-08T06:06:48 --startdatetime 2017-03-08T06:09:30 --delay 1 --endMP 204:747 --enddatetime 2017-03-08T06:24:20 --enforcementcount 0 &gt;&gt;C:\Users\stu\Documents\GitHub\eaglep3-reporting\EC\2017-03-08-refined-times.txt</v>
      </c>
      <c r="AI160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{"issue":{"subject":"","project_id":79,"tracker_id":40,"status_id":1,"priority_id":2,"assigned_to_id":23,"start_date":"2017-03-08","description":"","custom_fields":[{"id":1,"name":"Subdivision","value":"NW"},{"id":4,"name":"Milepost","value":"0.0747"},{"id":17,"name":"Train ID","value":"802-08"},{"id":16,"name":"Locomotive ID","value":"4039"},{"id":130,"name":"Impact","value":""},{"id":150,"name":"Time of Event (Mountain Time)","value":"06:24:20"},{"id":151,"name":"Denver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5"/>
        <v>start /low /b %USERPROFILE%\Documents\GitHub\eaglep3\Utilities\DownloadLogsFromS3.py --loco 4039 --day 2017-03-08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"%USERPROFILE%\AppData\Local\Temp\OnboardLogs"\RTDC4039\*4039*20170308* | grep -SE "(Enforcement Action)|(\[TIMEOUT)|(CHR.+\|PRM\|1\|D.+(SWITCH|SIGNAL).+UNKNOWN)" - &gt;&gt; 2017-03-08-UncaughtWiMAX.txt</v>
      </c>
    </row>
    <row r="161" spans="1:91" x14ac:dyDescent="0.25">
      <c r="A161" s="33" t="s">
        <v>639</v>
      </c>
      <c r="B161" s="7">
        <v>4053</v>
      </c>
      <c r="C161" s="21" t="s">
        <v>242</v>
      </c>
      <c r="D161" s="21" t="s">
        <v>957</v>
      </c>
      <c r="E161" s="13">
        <v>42802.260868055557</v>
      </c>
      <c r="F161" s="13">
        <v>42802.264791666668</v>
      </c>
      <c r="G161" s="7">
        <v>1</v>
      </c>
      <c r="H161" s="21" t="s">
        <v>522</v>
      </c>
      <c r="I161" s="13">
        <v>42802.273865740739</v>
      </c>
      <c r="J161" s="7">
        <v>0</v>
      </c>
      <c r="K161" s="98" t="str">
        <f t="shared" si="51"/>
        <v>4053/4054</v>
      </c>
      <c r="L161" s="21" t="str">
        <f>VLOOKUP(A161,'Trips&amp;Operators'!$C$1:$G$99999,5,FALSE)</f>
        <v>LOZA FIDEL</v>
      </c>
      <c r="M161" s="6">
        <f t="shared" si="52"/>
        <v>9.074074070667848E-3</v>
      </c>
      <c r="N161" s="7">
        <f t="shared" si="67"/>
        <v>13.066666661761701</v>
      </c>
      <c r="O161" s="7"/>
      <c r="P161" s="7"/>
      <c r="Q161" s="22"/>
      <c r="R161" s="22"/>
      <c r="S161" s="31">
        <f t="shared" si="66"/>
        <v>1</v>
      </c>
      <c r="T161" s="46" t="str">
        <f t="shared" si="53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54"/>
        <v>https://d0f6bd738d7f1b3e5a7ca70fe4ff75f0.us-east-1.aws.found.io/app/kibana#/discover/Steve-Slow-Train-Analysis-(2080s-and-2083s)?_g=(refreshInterval:(display:Off,pause:!f,section:0,value:0),time:(from:'2017-03-08T05:15:39-0700',mode:absolute,to:'2017-03-08T07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1" s="187" t="str">
        <f t="shared" si="55"/>
        <v>N</v>
      </c>
      <c r="X161" s="187">
        <f t="shared" si="68"/>
        <v>1</v>
      </c>
      <c r="Y161" s="62">
        <f t="shared" si="56"/>
        <v>9.7799999999999998E-2</v>
      </c>
      <c r="Z161" s="62">
        <f t="shared" si="57"/>
        <v>5.8935000000000004</v>
      </c>
      <c r="AA161" s="62">
        <f t="shared" si="58"/>
        <v>5.7957000000000001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9"/>
        <v>0803-08</v>
      </c>
      <c r="AE161" s="85" t="str">
        <f t="shared" si="60"/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161" s="82" t="str">
        <f t="shared" si="61"/>
        <v>"C:\Program Files (x86)\AstroGrep\AstroGrep.exe" /e /r /s /spath="%USERPROFILE%\AppData\Local\Temp\OnboardLogs" /stypes="app*4053*20170308*" /stext=" 13:.+((SYSTEM_STATE.+slice.+state.+changed )|(ment ac)|(multiple cpu faults)|(system.+state.+changed )|(\[timeout)|(PRM\|1\|D)|(kpr)|(kdp)|(\|lc)|(penalty))"</v>
      </c>
      <c r="AG161" s="1" t="str">
        <f t="shared" si="62"/>
        <v>NW</v>
      </c>
      <c r="AH161" s="86" t="str">
        <f t="shared" si="63"/>
        <v>"%USERPROFILE%\Documents\GitHub\eaglep3\Utilities\RefineRTDCRunTimes.py" --tripid 803-08 --locoid 4053 --swversion DE.1.0.9.0 --startMP 204:978 --initTime 2017-03-08T06:15:39 --startdatetime 2017-03-08T06:21:18 --delay 1 --endMP 300:58935 --enddatetime 2017-03-08T06:34:22 --enforcementcount 0 &gt;&gt;C:\Users\stu\Documents\GitHub\eaglep3-reporting\EC\2017-03-08-refined-times.txt</v>
      </c>
      <c r="AI161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{"issue":{"subject":"","project_id":79,"tracker_id":40,"status_id":1,"priority_id":2,"assigned_to_id":23,"start_date":"2017-03-08","description":"","custom_fields":[{"id":1,"name":"Subdivision","value":"NW"},{"id":4,"name":"Milepost","value":"5.8935"},{"id":17,"name":"Train ID","value":"803-08"},{"id":16,"name":"Locomotive ID","value":"4053"},{"id":130,"name":"Impact","value":""},{"id":150,"name":"Time of Event (Mountain Time)","value":"06:34:22"},{"id":151,"name":"Denver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5"/>
        <v>start /low /b %USERPROFILE%\Documents\GitHub\eaglep3\Utilities\DownloadLogsFromS3.py --loco 4053 --day 2017-03-08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"%USERPROFILE%\AppData\Local\Temp\OnboardLogs"\RTDC4053\*4053*20170308* | grep -SE "(Enforcement Action)|(\[TIMEOUT)|(CHR.+\|PRM\|1\|D.+(SWITCH|SIGNAL).+UNKNOWN)" - &gt;&gt; 2017-03-08-UncaughtWiMAX.txt</v>
      </c>
    </row>
    <row r="162" spans="1:91" x14ac:dyDescent="0.25">
      <c r="A162" s="33" t="s">
        <v>643</v>
      </c>
      <c r="B162" s="7">
        <v>4054</v>
      </c>
      <c r="C162" s="21" t="s">
        <v>242</v>
      </c>
      <c r="D162" s="21" t="s">
        <v>958</v>
      </c>
      <c r="E162" s="13">
        <v>42802.275231481479</v>
      </c>
      <c r="F162" s="13">
        <v>42802.276817129627</v>
      </c>
      <c r="G162" s="7">
        <v>1</v>
      </c>
      <c r="H162" s="21" t="s">
        <v>959</v>
      </c>
      <c r="I162" s="13">
        <v>42802.288043981483</v>
      </c>
      <c r="J162" s="7">
        <v>0</v>
      </c>
      <c r="K162" s="98" t="str">
        <f t="shared" si="51"/>
        <v>4053/4054</v>
      </c>
      <c r="L162" s="21" t="str">
        <f>VLOOKUP(A162,'Trips&amp;Operators'!$C$1:$G$99999,5,FALSE)</f>
        <v>LOZA FIDEL</v>
      </c>
      <c r="M162" s="6">
        <f t="shared" si="52"/>
        <v>1.1226851856918074E-2</v>
      </c>
      <c r="N162" s="7">
        <f t="shared" si="67"/>
        <v>16.166666673962027</v>
      </c>
      <c r="O162" s="7"/>
      <c r="P162" s="7"/>
      <c r="Q162" s="22"/>
      <c r="R162" s="22"/>
      <c r="S162" s="31">
        <f t="shared" si="66"/>
        <v>1</v>
      </c>
      <c r="T162" s="46" t="str">
        <f t="shared" si="53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54"/>
        <v>https://d0f6bd738d7f1b3e5a7ca70fe4ff75f0.us-east-1.aws.found.io/app/kibana#/discover/Steve-Slow-Train-Analysis-(2080s-and-2083s)?_g=(refreshInterval:(display:Off,pause:!f,section:0,value:0),time:(from:'2017-03-08T05:36:20-0700',mode:absolute,to:'2017-03-08T07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2" s="187" t="str">
        <f t="shared" si="55"/>
        <v>N</v>
      </c>
      <c r="X162" s="187">
        <f t="shared" si="68"/>
        <v>1</v>
      </c>
      <c r="Y162" s="62">
        <f t="shared" si="56"/>
        <v>5.8615000000000004</v>
      </c>
      <c r="Z162" s="62">
        <f t="shared" si="57"/>
        <v>6.8000000000000005E-2</v>
      </c>
      <c r="AA162" s="62">
        <f t="shared" si="58"/>
        <v>5.7935000000000008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9"/>
        <v>0804-08</v>
      </c>
      <c r="AE162" s="85" t="str">
        <f t="shared" si="60"/>
        <v>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 &amp; aws s3 cp s3://rtdc.mdm.uploadarchive.raw/RTDC4054/ "%USERPROFILE%\AppData\Local\Temp\OnboardLogs"\RTDC4054\2017-03-09 --exclude "*" --recursive --include "*20170309*" &amp; "%USERPROFILE%\Documents\GitHub\mrs-test-scripts\Headless Mode &amp; Sideloading\WalkAndUnGZ.bat" "%USERPROFILE%\AppData\Local\Temp\OnboardLogs"\RTDC4054\2017-03-09</v>
      </c>
      <c r="AF162" s="82" t="str">
        <f t="shared" si="61"/>
        <v>"C:\Program Files (x86)\AstroGrep\AstroGrep.exe" /e /r /s /spath="%USERPROFILE%\AppData\Local\Temp\OnboardLogs" /stypes="app*4054*20170308*" /stext=" 13:.+((SYSTEM_STATE.+slice.+state.+changed )|(ment ac)|(multiple cpu faults)|(system.+state.+changed )|(\[timeout)|(PRM\|1\|D)|(kpr)|(kdp)|(\|lc)|(penalty))"</v>
      </c>
      <c r="AG162" s="1" t="str">
        <f t="shared" si="62"/>
        <v>NW</v>
      </c>
      <c r="AH162" s="86" t="str">
        <f t="shared" si="63"/>
        <v>"%USERPROFILE%\Documents\GitHub\eaglep3\Utilities\RefineRTDCRunTimes.py" --tripid 804-08 --locoid 4054 --swversion DE.1.0.9.0 --startMP 300:58615 --initTime 2017-03-08T06:36:20 --startdatetime 2017-03-08T06:38:37 --delay 1 --endMP 204:680 --enddatetime 2017-03-08T06:54:47 --enforcementcount 0 &gt;&gt;C:\Users\stu\Documents\GitHub\eaglep3-reporting\EC\2017-03-08-refined-times.txt</v>
      </c>
      <c r="AI162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{"issue":{"subject":"","project_id":79,"tracker_id":40,"status_id":1,"priority_id":2,"assigned_to_id":23,"start_date":"2017-03-08","description":"","custom_fields":[{"id":1,"name":"Subdivision","value":"NW"},{"id":4,"name":"Milepost","value":"0.068"},{"id":17,"name":"Train ID","value":"804-08"},{"id":16,"name":"Locomotive ID","value":"4054"},{"id":130,"name":"Impact","value":""},{"id":150,"name":"Time of Event (Mountain Time)","value":"06:54:47"},{"id":151,"name":"Denver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5"/>
        <v>start /low /b %USERPROFILE%\Documents\GitHub\eaglep3\Utilities\DownloadLogsFromS3.py --loco 4054 --day 2017-03-08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"%USERPROFILE%\AppData\Local\Temp\OnboardLogs"\RTDC4054\*4054*20170308* | grep -SE "(Enforcement Action)|(\[TIMEOUT)|(CHR.+\|PRM\|1\|D.+(SWITCH|SIGNAL).+UNKNOWN)" - &gt;&gt; 2017-03-08-UncaughtWiMAX.txt</v>
      </c>
    </row>
    <row r="163" spans="1:91" x14ac:dyDescent="0.25">
      <c r="A163" s="33" t="s">
        <v>641</v>
      </c>
      <c r="B163" s="7">
        <v>4040</v>
      </c>
      <c r="C163" s="21" t="s">
        <v>242</v>
      </c>
      <c r="D163" s="21" t="s">
        <v>960</v>
      </c>
      <c r="E163" s="13">
        <v>42802.268217592595</v>
      </c>
      <c r="F163" s="13">
        <v>42802.285601851851</v>
      </c>
      <c r="G163" s="7">
        <v>1</v>
      </c>
      <c r="H163" s="21" t="s">
        <v>961</v>
      </c>
      <c r="I163" s="13">
        <v>42802.293969907405</v>
      </c>
      <c r="J163" s="7">
        <v>0</v>
      </c>
      <c r="K163" s="98" t="str">
        <f t="shared" si="51"/>
        <v>4039/4040</v>
      </c>
      <c r="L163" s="21" t="str">
        <f>VLOOKUP(A163,'Trips&amp;Operators'!$C$1:$G$99999,5,FALSE)</f>
        <v>YORK EDGAR</v>
      </c>
      <c r="M163" s="6">
        <f t="shared" si="52"/>
        <v>8.3680555544560775E-3</v>
      </c>
      <c r="N163" s="7">
        <f t="shared" si="67"/>
        <v>12.049999998416752</v>
      </c>
      <c r="O163" s="7"/>
      <c r="P163" s="7"/>
      <c r="Q163" s="22"/>
      <c r="R163" s="22"/>
      <c r="S163" s="31">
        <f t="shared" si="66"/>
        <v>1</v>
      </c>
      <c r="T163" s="46" t="str">
        <f t="shared" si="53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4"/>
        <v>https://d0f6bd738d7f1b3e5a7ca70fe4ff75f0.us-east-1.aws.found.io/app/kibana#/discover/Steve-Slow-Train-Analysis-(2080s-and-2083s)?_g=(refreshInterval:(display:Off,pause:!f,section:0,value:0),time:(from:'2017-03-08T05:26:14-0700',mode:absolute,to:'2017-03-08T08:03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3" s="187" t="str">
        <f t="shared" si="55"/>
        <v>N</v>
      </c>
      <c r="X163" s="187">
        <f t="shared" si="68"/>
        <v>1</v>
      </c>
      <c r="Y163" s="62">
        <f t="shared" si="56"/>
        <v>0.1027</v>
      </c>
      <c r="Z163" s="62">
        <f t="shared" si="57"/>
        <v>5.8952</v>
      </c>
      <c r="AA163" s="62">
        <f t="shared" si="58"/>
        <v>5.7925000000000004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9"/>
        <v>0805-08</v>
      </c>
      <c r="AE163" s="85" t="str">
        <f t="shared" si="60"/>
        <v>aws s3 cp s3://rtdc.mdm.uploadarchive.raw/RTDC4040/ "%USERPROFILE%\AppData\Local\Temp\OnboardLogs"\RTDC4040\2017-03-08 --exclude "*" --recursive --include "*20170308*" &amp; "%USERPROFILE%\Documents\GitHub\mrs-test-scripts\Headless Mode &amp; Sideloading\WalkAndUnGZ.bat" "%USERPROFILE%\AppData\Local\Temp\OnboardLogs"\RTDC4040\2017-03-08 &amp; 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</v>
      </c>
      <c r="AF163" s="82" t="str">
        <f t="shared" si="61"/>
        <v>"C:\Program Files (x86)\AstroGrep\AstroGrep.exe" /e /r /s /spath="%USERPROFILE%\AppData\Local\Temp\OnboardLogs" /stypes="app*4040*20170308*" /stext=" 14:.+((SYSTEM_STATE.+slice.+state.+changed )|(ment ac)|(multiple cpu faults)|(system.+state.+changed )|(\[timeout)|(PRM\|1\|D)|(kpr)|(kdp)|(\|lc)|(penalty))"</v>
      </c>
      <c r="AG163" s="1" t="str">
        <f t="shared" si="62"/>
        <v>NW</v>
      </c>
      <c r="AH163" s="86" t="str">
        <f t="shared" si="63"/>
        <v>"%USERPROFILE%\Documents\GitHub\eaglep3\Utilities\RefineRTDCRunTimes.py" --tripid 805-08 --locoid 4040 --swversion DE.1.0.9.0 --startMP 204:1027 --initTime 2017-03-08T06:26:14 --startdatetime 2017-03-08T06:51:16 --delay 1 --endMP 300:58952 --enddatetime 2017-03-08T07:03:19 --enforcementcount 0 &gt;&gt;C:\Users\stu\Documents\GitHub\eaglep3-reporting\EC\2017-03-08-refined-times.txt</v>
      </c>
      <c r="AI163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{"issue":{"subject":"","project_id":79,"tracker_id":40,"status_id":1,"priority_id":2,"assigned_to_id":23,"start_date":"2017-03-08","description":"","custom_fields":[{"id":1,"name":"Subdivision","value":"NW"},{"id":4,"name":"Milepost","value":"5.8952"},{"id":17,"name":"Train ID","value":"805-08"},{"id":16,"name":"Locomotive ID","value":"4040"},{"id":130,"name":"Impact","value":""},{"id":150,"name":"Time of Event (Mountain Time)","value":"07:03:19"},{"id":151,"name":"Denver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5"/>
        <v>start /low /b %USERPROFILE%\Documents\GitHub\eaglep3\Utilities\DownloadLogsFromS3.py --loco 4040 --day 2017-03-08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"%USERPROFILE%\AppData\Local\Temp\OnboardLogs"\RTDC4040\*4040*20170308* | grep -SE "(Enforcement Action)|(\[TIMEOUT)|(CHR.+\|PRM\|1\|D.+(SWITCH|SIGNAL).+UNKNOWN)" - &gt;&gt; 2017-03-08-UncaughtWiMAX.txt</v>
      </c>
    </row>
    <row r="164" spans="1:91" x14ac:dyDescent="0.25">
      <c r="A164" s="33" t="s">
        <v>646</v>
      </c>
      <c r="B164" s="7">
        <v>4039</v>
      </c>
      <c r="C164" s="21" t="s">
        <v>242</v>
      </c>
      <c r="D164" s="21" t="s">
        <v>438</v>
      </c>
      <c r="E164" s="13">
        <v>42802.295057870368</v>
      </c>
      <c r="F164" s="13">
        <v>42802.297048611108</v>
      </c>
      <c r="G164" s="7">
        <v>1</v>
      </c>
      <c r="H164" s="21" t="s">
        <v>962</v>
      </c>
      <c r="I164" s="13">
        <v>42802.308657407404</v>
      </c>
      <c r="J164" s="7">
        <v>0</v>
      </c>
      <c r="K164" s="98" t="str">
        <f t="shared" si="51"/>
        <v>4039/4040</v>
      </c>
      <c r="L164" s="21" t="str">
        <f>VLOOKUP(A164,'Trips&amp;Operators'!$C$1:$G$99999,5,FALSE)</f>
        <v>YORK EDGAR</v>
      </c>
      <c r="M164" s="6">
        <f t="shared" si="52"/>
        <v>1.1608796296059154E-2</v>
      </c>
      <c r="N164" s="7">
        <f t="shared" si="67"/>
        <v>16.716666666325182</v>
      </c>
      <c r="O164" s="7"/>
      <c r="P164" s="7"/>
      <c r="Q164" s="22"/>
      <c r="R164" s="22"/>
      <c r="S164" s="31">
        <f t="shared" si="66"/>
        <v>1</v>
      </c>
      <c r="T164" s="46" t="str">
        <f t="shared" si="53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4"/>
        <v>https://d0f6bd738d7f1b3e5a7ca70fe4ff75f0.us-east-1.aws.found.io/app/kibana#/discover/Steve-Slow-Train-Analysis-(2080s-and-2083s)?_g=(refreshInterval:(display:Off,pause:!f,section:0,value:0),time:(from:'2017-03-08T06:04:53-0700',mode:absolute,to:'2017-03-08T08:24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4" s="187" t="str">
        <f t="shared" si="55"/>
        <v>N</v>
      </c>
      <c r="X164" s="187">
        <f t="shared" si="68"/>
        <v>1</v>
      </c>
      <c r="Y164" s="62">
        <f t="shared" si="56"/>
        <v>5.8624000000000001</v>
      </c>
      <c r="Z164" s="62">
        <f t="shared" si="57"/>
        <v>7.6100000000000001E-2</v>
      </c>
      <c r="AA164" s="62">
        <f t="shared" si="58"/>
        <v>5.7862999999999998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9"/>
        <v>0806-08</v>
      </c>
      <c r="AE164" s="85" t="str">
        <f t="shared" si="60"/>
        <v>aws s3 cp s3://rtdc.mdm.uploadarchive.raw/RTDC4039/ "%USERPROFILE%\AppData\Local\Temp\OnboardLogs"\RTDC4039\2017-03-08 --exclude "*" --recursive --include "*20170308*" &amp; "%USERPROFILE%\Documents\GitHub\mrs-test-scripts\Headless Mode &amp; Sideloading\WalkAndUnGZ.bat" "%USERPROFILE%\AppData\Local\Temp\OnboardLogs"\RTDC4039\2017-03-08 &amp; 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</v>
      </c>
      <c r="AF164" s="82" t="str">
        <f t="shared" si="61"/>
        <v>"C:\Program Files (x86)\AstroGrep\AstroGrep.exe" /e /r /s /spath="%USERPROFILE%\AppData\Local\Temp\OnboardLogs" /stypes="app*4039*20170308*" /stext=" 14:.+((SYSTEM_STATE.+slice.+state.+changed )|(ment ac)|(multiple cpu faults)|(system.+state.+changed )|(\[timeout)|(PRM\|1\|D)|(kpr)|(kdp)|(\|lc)|(penalty))"</v>
      </c>
      <c r="AG164" s="1" t="str">
        <f t="shared" si="62"/>
        <v>NW</v>
      </c>
      <c r="AH164" s="86" t="str">
        <f t="shared" si="63"/>
        <v>"%USERPROFILE%\Documents\GitHub\eaglep3\Utilities\RefineRTDCRunTimes.py" --tripid 806-08 --locoid 4039 --swversion DE.1.0.9.0 --startMP 300:58624 --initTime 2017-03-08T07:04:53 --startdatetime 2017-03-08T07:07:45 --delay 1 --endMP 204:761 --enddatetime 2017-03-08T07:24:28 --enforcementcount 0 &gt;&gt;C:\Users\stu\Documents\GitHub\eaglep3-reporting\EC\2017-03-08-refined-times.txt</v>
      </c>
      <c r="AI164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{"issue":{"subject":"","project_id":79,"tracker_id":40,"status_id":1,"priority_id":2,"assigned_to_id":23,"start_date":"2017-03-08","description":"","custom_fields":[{"id":1,"name":"Subdivision","value":"NW"},{"id":4,"name":"Milepost","value":"0.0761"},{"id":17,"name":"Train ID","value":"806-08"},{"id":16,"name":"Locomotive ID","value":"4039"},{"id":130,"name":"Impact","value":""},{"id":150,"name":"Time of Event (Mountain Time)","value":"07:24:28"},{"id":151,"name":"Denver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5"/>
        <v>start /low /b %USERPROFILE%\Documents\GitHub\eaglep3\Utilities\DownloadLogsFromS3.py --loco 4039 --day 2017-03-08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"%USERPROFILE%\AppData\Local\Temp\OnboardLogs"\RTDC4039\*4039*20170308* | grep -SE "(Enforcement Action)|(\[TIMEOUT)|(CHR.+\|PRM\|1\|D.+(SWITCH|SIGNAL).+UNKNOWN)" - &gt;&gt; 2017-03-08-UncaughtWiMAX.txt</v>
      </c>
    </row>
    <row r="165" spans="1:91" s="20" customFormat="1" x14ac:dyDescent="0.25">
      <c r="A165" s="33" t="s">
        <v>648</v>
      </c>
      <c r="B165" s="7">
        <v>4053</v>
      </c>
      <c r="C165" s="21" t="s">
        <v>242</v>
      </c>
      <c r="D165" s="21" t="s">
        <v>963</v>
      </c>
      <c r="E165" s="13">
        <v>42802.304594907408</v>
      </c>
      <c r="F165" s="13">
        <v>42802.306550925925</v>
      </c>
      <c r="G165" s="7">
        <v>1</v>
      </c>
      <c r="H165" s="21" t="s">
        <v>964</v>
      </c>
      <c r="I165" s="13">
        <v>42802.316250000003</v>
      </c>
      <c r="J165" s="7">
        <v>0</v>
      </c>
      <c r="K165" s="98" t="str">
        <f t="shared" si="51"/>
        <v>4053/4054</v>
      </c>
      <c r="L165" s="21" t="str">
        <f>VLOOKUP(A165,'Trips&amp;Operators'!$C$1:$G$99999,5,FALSE)</f>
        <v>LOZA FIDEL</v>
      </c>
      <c r="M165" s="6">
        <f t="shared" si="52"/>
        <v>9.6990740785258822E-3</v>
      </c>
      <c r="N165" s="7">
        <f t="shared" si="67"/>
        <v>13.96666667307727</v>
      </c>
      <c r="O165" s="7"/>
      <c r="P165" s="7"/>
      <c r="Q165" s="22"/>
      <c r="R165" s="22"/>
      <c r="S165" s="31">
        <f t="shared" si="66"/>
        <v>1</v>
      </c>
      <c r="T165" s="46" t="str">
        <f t="shared" si="53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4"/>
        <v>https://d0f6bd738d7f1b3e5a7ca70fe4ff75f0.us-east-1.aws.found.io/app/kibana#/discover/Steve-Slow-Train-Analysis-(2080s-and-2083s)?_g=(refreshInterval:(display:Off,pause:!f,section:0,value:0),time:(from:'2017-03-08T06:18:37-0700',mode:absolute,to:'2017-03-08T08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5" s="187" t="str">
        <f t="shared" si="55"/>
        <v>N</v>
      </c>
      <c r="X165" s="187">
        <f t="shared" si="68"/>
        <v>1</v>
      </c>
      <c r="Y165" s="62">
        <f t="shared" si="56"/>
        <v>9.74E-2</v>
      </c>
      <c r="Z165" s="62">
        <f t="shared" si="57"/>
        <v>5.8958000000000004</v>
      </c>
      <c r="AA165" s="62">
        <f t="shared" si="58"/>
        <v>5.7984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9"/>
        <v>0807-08</v>
      </c>
      <c r="AE165" s="85" t="str">
        <f t="shared" si="60"/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165" s="82" t="str">
        <f t="shared" si="61"/>
        <v>"C:\Program Files (x86)\AstroGrep\AstroGrep.exe" /e /r /s /spath="%USERPROFILE%\AppData\Local\Temp\OnboardLogs" /stypes="app*4053*20170308*" /stext=" 14:.+((SYSTEM_STATE.+slice.+state.+changed )|(ment ac)|(multiple cpu faults)|(system.+state.+changed )|(\[timeout)|(PRM\|1\|D)|(kpr)|(kdp)|(\|lc)|(penalty))"</v>
      </c>
      <c r="AG165" s="1" t="str">
        <f t="shared" si="62"/>
        <v>NW</v>
      </c>
      <c r="AH165" s="86" t="str">
        <f t="shared" si="63"/>
        <v>"%USERPROFILE%\Documents\GitHub\eaglep3\Utilities\RefineRTDCRunTimes.py" --tripid 807-08 --locoid 4053 --swversion DE.1.0.9.0 --startMP 204:974 --initTime 2017-03-08T07:18:37 --startdatetime 2017-03-08T07:21:26 --delay 1 --endMP 300:58958 --enddatetime 2017-03-08T07:35:24 --enforcementcount 0 &gt;&gt;C:\Users\stu\Documents\GitHub\eaglep3-reporting\EC\2017-03-08-refined-times.txt</v>
      </c>
      <c r="AI165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{"issue":{"subject":"","project_id":79,"tracker_id":40,"status_id":1,"priority_id":2,"assigned_to_id":23,"start_date":"2017-03-08","description":"","custom_fields":[{"id":1,"name":"Subdivision","value":"NW"},{"id":4,"name":"Milepost","value":"5.8958"},{"id":17,"name":"Train ID","value":"807-08"},{"id":16,"name":"Locomotive ID","value":"4053"},{"id":130,"name":"Impact","value":""},{"id":150,"name":"Time of Event (Mountain Time)","value":"07:35:24"},{"id":151,"name":"Denver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5"/>
        <v>start /low /b %USERPROFILE%\Documents\GitHub\eaglep3\Utilities\DownloadLogsFromS3.py --loco 4053 --day 2017-03-08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"%USERPROFILE%\AppData\Local\Temp\OnboardLogs"\RTDC4053\*4053*20170308* | grep -SE "(Enforcement Action)|(\[TIMEOUT)|(CHR.+\|PRM\|1\|D.+(SWITCH|SIGNAL).+UNKNOWN)" - &gt;&gt; 2017-03-08-UncaughtWiMAX.txt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650</v>
      </c>
      <c r="B166" s="7">
        <v>4054</v>
      </c>
      <c r="C166" s="21" t="s">
        <v>242</v>
      </c>
      <c r="D166" s="21" t="s">
        <v>965</v>
      </c>
      <c r="E166" s="13">
        <v>42802.317650462966</v>
      </c>
      <c r="F166" s="13">
        <v>42802.319247685184</v>
      </c>
      <c r="G166" s="7">
        <v>1</v>
      </c>
      <c r="H166" s="21" t="s">
        <v>966</v>
      </c>
      <c r="I166" s="13">
        <v>42802.330196759256</v>
      </c>
      <c r="J166" s="7">
        <v>0</v>
      </c>
      <c r="K166" s="98" t="str">
        <f t="shared" si="51"/>
        <v>4053/4054</v>
      </c>
      <c r="L166" s="21" t="str">
        <f>VLOOKUP(A166,'Trips&amp;Operators'!$C$1:$G$99999,5,FALSE)</f>
        <v>LOZA FIDEL</v>
      </c>
      <c r="M166" s="6">
        <f t="shared" si="52"/>
        <v>1.0949074072414078E-2</v>
      </c>
      <c r="N166" s="7">
        <f t="shared" si="67"/>
        <v>15.766666664276272</v>
      </c>
      <c r="O166" s="7"/>
      <c r="P166" s="7"/>
      <c r="Q166" s="22"/>
      <c r="R166" s="22"/>
      <c r="S166" s="31">
        <f t="shared" si="66"/>
        <v>1</v>
      </c>
      <c r="T166" s="46" t="str">
        <f t="shared" si="53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4"/>
        <v>https://d0f6bd738d7f1b3e5a7ca70fe4ff75f0.us-east-1.aws.found.io/app/kibana#/discover/Steve-Slow-Train-Analysis-(2080s-and-2083s)?_g=(refreshInterval:(display:Off,pause:!f,section:0,value:0),time:(from:'2017-03-08T06:37:25-0700',mode:absolute,to:'2017-03-08T08:55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6" s="187" t="str">
        <f t="shared" si="55"/>
        <v>N</v>
      </c>
      <c r="X166" s="187">
        <f t="shared" si="68"/>
        <v>1</v>
      </c>
      <c r="Y166" s="62">
        <f t="shared" si="56"/>
        <v>5.8639999999999999</v>
      </c>
      <c r="Z166" s="62">
        <f t="shared" si="57"/>
        <v>6.9900000000000004E-2</v>
      </c>
      <c r="AA166" s="62">
        <f t="shared" si="58"/>
        <v>5.7941000000000003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9"/>
        <v>0808-08</v>
      </c>
      <c r="AE166" s="85" t="str">
        <f t="shared" si="60"/>
        <v>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 &amp; aws s3 cp s3://rtdc.mdm.uploadarchive.raw/RTDC4054/ "%USERPROFILE%\AppData\Local\Temp\OnboardLogs"\RTDC4054\2017-03-09 --exclude "*" --recursive --include "*20170309*" &amp; "%USERPROFILE%\Documents\GitHub\mrs-test-scripts\Headless Mode &amp; Sideloading\WalkAndUnGZ.bat" "%USERPROFILE%\AppData\Local\Temp\OnboardLogs"\RTDC4054\2017-03-09</v>
      </c>
      <c r="AF166" s="82" t="str">
        <f t="shared" si="61"/>
        <v>"C:\Program Files (x86)\AstroGrep\AstroGrep.exe" /e /r /s /spath="%USERPROFILE%\AppData\Local\Temp\OnboardLogs" /stypes="app*4054*20170308*" /stext=" 14:.+((SYSTEM_STATE.+slice.+state.+changed )|(ment ac)|(multiple cpu faults)|(system.+state.+changed )|(\[timeout)|(PRM\|1\|D)|(kpr)|(kdp)|(\|lc)|(penalty))"</v>
      </c>
      <c r="AG166" s="1" t="str">
        <f t="shared" si="62"/>
        <v>NW</v>
      </c>
      <c r="AH166" s="86" t="str">
        <f t="shared" si="63"/>
        <v>"%USERPROFILE%\Documents\GitHub\eaglep3\Utilities\RefineRTDCRunTimes.py" --tripid 808-08 --locoid 4054 --swversion DE.1.0.9.0 --startMP 300:58640 --initTime 2017-03-08T07:37:25 --startdatetime 2017-03-08T07:39:43 --delay 1 --endMP 204:699 --enddatetime 2017-03-08T07:55:29 --enforcementcount 0 &gt;&gt;C:\Users\stu\Documents\GitHub\eaglep3-reporting\EC\2017-03-08-refined-times.txt</v>
      </c>
      <c r="AI166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{"issue":{"subject":"","project_id":79,"tracker_id":40,"status_id":1,"priority_id":2,"assigned_to_id":23,"start_date":"2017-03-08","description":"","custom_fields":[{"id":1,"name":"Subdivision","value":"NW"},{"id":4,"name":"Milepost","value":"0.0699"},{"id":17,"name":"Train ID","value":"808-08"},{"id":16,"name":"Locomotive ID","value":"4054"},{"id":130,"name":"Impact","value":""},{"id":150,"name":"Time of Event (Mountain Time)","value":"07:55:29"},{"id":151,"name":"Denver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5"/>
        <v>start /low /b %USERPROFILE%\Documents\GitHub\eaglep3\Utilities\DownloadLogsFromS3.py --loco 4054 --day 2017-03-08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"%USERPROFILE%\AppData\Local\Temp\OnboardLogs"\RTDC4054\*4054*20170308* | grep -SE "(Enforcement Action)|(\[TIMEOUT)|(CHR.+\|PRM\|1\|D.+(SWITCH|SIGNAL).+UNKNOWN)" - &gt;&gt; 2017-03-08-UncaughtWiMAX.txt</v>
      </c>
    </row>
    <row r="167" spans="1:91" x14ac:dyDescent="0.25">
      <c r="A167" s="33" t="s">
        <v>649</v>
      </c>
      <c r="B167" s="7">
        <v>4040</v>
      </c>
      <c r="C167" s="21" t="s">
        <v>242</v>
      </c>
      <c r="D167" s="21" t="s">
        <v>967</v>
      </c>
      <c r="E167" s="13">
        <v>42802.31013888889</v>
      </c>
      <c r="F167" s="13">
        <v>42802.327615740738</v>
      </c>
      <c r="G167" s="7">
        <v>0</v>
      </c>
      <c r="H167" s="21" t="s">
        <v>520</v>
      </c>
      <c r="I167" s="13">
        <v>42802.336192129631</v>
      </c>
      <c r="J167" s="7">
        <v>0</v>
      </c>
      <c r="K167" s="98" t="str">
        <f t="shared" si="51"/>
        <v>4039/4040</v>
      </c>
      <c r="L167" s="21" t="str">
        <f>VLOOKUP(A167,'Trips&amp;Operators'!$C$1:$G$99999,5,FALSE)</f>
        <v>YORK EDGAR</v>
      </c>
      <c r="M167" s="6">
        <f t="shared" si="52"/>
        <v>8.5763888928340748E-3</v>
      </c>
      <c r="N167" s="7">
        <f t="shared" si="67"/>
        <v>12.350000005681068</v>
      </c>
      <c r="O167" s="7"/>
      <c r="P167" s="7"/>
      <c r="Q167" s="22"/>
      <c r="R167" s="22"/>
      <c r="S167" s="31">
        <f t="shared" si="66"/>
        <v>1</v>
      </c>
      <c r="T167" s="46" t="str">
        <f t="shared" si="53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4"/>
        <v>https://d0f6bd738d7f1b3e5a7ca70fe4ff75f0.us-east-1.aws.found.io/app/kibana#/discover/Steve-Slow-Train-Analysis-(2080s-and-2083s)?_g=(refreshInterval:(display:Off,pause:!f,section:0,value:0),time:(from:'2017-03-08T06:26:36-0700',mode:absolute,to:'2017-03-08T09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7" s="187" t="str">
        <f t="shared" si="55"/>
        <v>N</v>
      </c>
      <c r="X167" s="187">
        <f t="shared" si="68"/>
        <v>1</v>
      </c>
      <c r="Y167" s="62">
        <f t="shared" si="56"/>
        <v>0.10249999999999999</v>
      </c>
      <c r="Z167" s="62">
        <f t="shared" si="57"/>
        <v>5.8920000000000003</v>
      </c>
      <c r="AA167" s="62">
        <f t="shared" si="58"/>
        <v>5.7895000000000003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9"/>
        <v>0809-08</v>
      </c>
      <c r="AE167" s="85" t="str">
        <f t="shared" si="60"/>
        <v>aws s3 cp s3://rtdc.mdm.uploadarchive.raw/RTDC4040/ "%USERPROFILE%\AppData\Local\Temp\OnboardLogs"\RTDC4040\2017-03-08 --exclude "*" --recursive --include "*20170308*" &amp; "%USERPROFILE%\Documents\GitHub\mrs-test-scripts\Headless Mode &amp; Sideloading\WalkAndUnGZ.bat" "%USERPROFILE%\AppData\Local\Temp\OnboardLogs"\RTDC4040\2017-03-08 &amp; 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</v>
      </c>
      <c r="AF167" s="82" t="str">
        <f t="shared" si="61"/>
        <v>"C:\Program Files (x86)\AstroGrep\AstroGrep.exe" /e /r /s /spath="%USERPROFILE%\AppData\Local\Temp\OnboardLogs" /stypes="app*4040*20170308*" /stext=" 15:.+((SYSTEM_STATE.+slice.+state.+changed )|(ment ac)|(multiple cpu faults)|(system.+state.+changed )|(\[timeout)|(PRM\|1\|D)|(kpr)|(kdp)|(\|lc)|(penalty))"</v>
      </c>
      <c r="AG167" s="1" t="str">
        <f t="shared" si="62"/>
        <v>NW</v>
      </c>
      <c r="AH167" s="86" t="str">
        <f t="shared" si="63"/>
        <v>"%USERPROFILE%\Documents\GitHub\eaglep3\Utilities\RefineRTDCRunTimes.py" --tripid 809-08 --locoid 4040 --swversion DE.1.0.9.0 --startMP 204:1025 --initTime 2017-03-08T07:26:36 --startdatetime 2017-03-08T07:51:46 --delay 0 --endMP 300:58920 --enddatetime 2017-03-08T08:04:07 --enforcementcount 0 &gt;&gt;C:\Users\stu\Documents\GitHub\eaglep3-reporting\EC\2017-03-08-refined-times.txt</v>
      </c>
      <c r="AI167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{"issue":{"subject":"","project_id":79,"tracker_id":40,"status_id":1,"priority_id":2,"assigned_to_id":23,"start_date":"2017-03-08","description":"","custom_fields":[{"id":1,"name":"Subdivision","value":"NW"},{"id":4,"name":"Milepost","value":"5.892"},{"id":17,"name":"Train ID","value":"809-08"},{"id":16,"name":"Locomotive ID","value":"4040"},{"id":130,"name":"Impact","value":""},{"id":150,"name":"Time of Event (Mountain Time)","value":"08:04:07"},{"id":151,"name":"Denver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5"/>
        <v>start /low /b %USERPROFILE%\Documents\GitHub\eaglep3\Utilities\DownloadLogsFromS3.py --loco 4040 --day 2017-03-08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"%USERPROFILE%\AppData\Local\Temp\OnboardLogs"\RTDC4040\*4040*20170308* | grep -SE "(Enforcement Action)|(\[TIMEOUT)|(CHR.+\|PRM\|1\|D.+(SWITCH|SIGNAL).+UNKNOWN)" - &gt;&gt; 2017-03-08-UncaughtWiMAX.txt</v>
      </c>
    </row>
    <row r="168" spans="1:91" x14ac:dyDescent="0.25">
      <c r="A168" s="33" t="s">
        <v>576</v>
      </c>
      <c r="B168" s="7">
        <v>4039</v>
      </c>
      <c r="C168" s="21" t="s">
        <v>242</v>
      </c>
      <c r="D168" s="21" t="s">
        <v>525</v>
      </c>
      <c r="E168" s="13">
        <v>42802.337847222225</v>
      </c>
      <c r="F168" s="13">
        <v>42802.341469907406</v>
      </c>
      <c r="G168" s="7">
        <v>1</v>
      </c>
      <c r="H168" s="21" t="s">
        <v>972</v>
      </c>
      <c r="I168" s="13">
        <v>42802.350590277776</v>
      </c>
      <c r="J168" s="7">
        <v>0</v>
      </c>
      <c r="K168" s="98" t="str">
        <f t="shared" si="51"/>
        <v>4039/4040</v>
      </c>
      <c r="L168" s="21" t="str">
        <f>VLOOKUP(A168,'Trips&amp;Operators'!$C$1:$G$99999,5,FALSE)</f>
        <v>YORK EDGAR</v>
      </c>
      <c r="M168" s="6">
        <f t="shared" si="52"/>
        <v>9.1203703705104999E-3</v>
      </c>
      <c r="N168" s="7">
        <f t="shared" si="67"/>
        <v>13.13333333353512</v>
      </c>
      <c r="O168" s="7"/>
      <c r="P168" s="7"/>
      <c r="Q168" s="22"/>
      <c r="R168" s="22"/>
      <c r="S168" s="31">
        <f t="shared" si="66"/>
        <v>1</v>
      </c>
      <c r="T168" s="46" t="str">
        <f t="shared" si="53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4"/>
        <v>https://d0f6bd738d7f1b3e5a7ca70fe4ff75f0.us-east-1.aws.found.io/app/kibana#/discover/Steve-Slow-Train-Analysis-(2080s-and-2083s)?_g=(refreshInterval:(display:Off,pause:!f,section:0,value:0),time:(from:'2017-03-08T07:06:30-0700',mode:absolute,to:'2017-03-08T09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8" s="187" t="str">
        <f t="shared" si="55"/>
        <v>N</v>
      </c>
      <c r="X168" s="187">
        <f t="shared" si="68"/>
        <v>1</v>
      </c>
      <c r="Y168" s="62">
        <f t="shared" si="56"/>
        <v>5.8608000000000002</v>
      </c>
      <c r="Z168" s="62">
        <f t="shared" si="57"/>
        <v>8.2400000000000001E-2</v>
      </c>
      <c r="AA168" s="62">
        <f t="shared" si="58"/>
        <v>5.7784000000000004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9"/>
        <v>0810-08</v>
      </c>
      <c r="AE168" s="85" t="str">
        <f t="shared" si="60"/>
        <v>aws s3 cp s3://rtdc.mdm.uploadarchive.raw/RTDC4039/ "%USERPROFILE%\AppData\Local\Temp\OnboardLogs"\RTDC4039\2017-03-08 --exclude "*" --recursive --include "*20170308*" &amp; "%USERPROFILE%\Documents\GitHub\mrs-test-scripts\Headless Mode &amp; Sideloading\WalkAndUnGZ.bat" "%USERPROFILE%\AppData\Local\Temp\OnboardLogs"\RTDC4039\2017-03-08 &amp; 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</v>
      </c>
      <c r="AF168" s="82" t="str">
        <f t="shared" si="61"/>
        <v>"C:\Program Files (x86)\AstroGrep\AstroGrep.exe" /e /r /s /spath="%USERPROFILE%\AppData\Local\Temp\OnboardLogs" /stypes="app*4039*20170308*" /stext=" 15:.+((SYSTEM_STATE.+slice.+state.+changed )|(ment ac)|(multiple cpu faults)|(system.+state.+changed )|(\[timeout)|(PRM\|1\|D)|(kpr)|(kdp)|(\|lc)|(penalty))"</v>
      </c>
      <c r="AG168" s="1" t="str">
        <f t="shared" si="62"/>
        <v>NW</v>
      </c>
      <c r="AH168" s="86" t="str">
        <f t="shared" si="63"/>
        <v>"%USERPROFILE%\Documents\GitHub\eaglep3\Utilities\RefineRTDCRunTimes.py" --tripid 810-08 --locoid 4039 --swversion DE.1.0.9.0 --startMP 300:58608 --initTime 2017-03-08T08:06:30 --startdatetime 2017-03-08T08:11:43 --delay 1 --endMP 204:824 --enddatetime 2017-03-08T08:24:51 --enforcementcount 0 &gt;&gt;C:\Users\stu\Documents\GitHub\eaglep3-reporting\EC\2017-03-08-refined-times.txt</v>
      </c>
      <c r="AI168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{"issue":{"subject":"","project_id":79,"tracker_id":40,"status_id":1,"priority_id":2,"assigned_to_id":23,"start_date":"2017-03-08","description":"","custom_fields":[{"id":1,"name":"Subdivision","value":"NW"},{"id":4,"name":"Milepost","value":"0.0824"},{"id":17,"name":"Train ID","value":"810-08"},{"id":16,"name":"Locomotive ID","value":"4039"},{"id":130,"name":"Impact","value":""},{"id":150,"name":"Time of Event (Mountain Time)","value":"08:24:51"},{"id":151,"name":"Denver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5"/>
        <v>start /low /b %USERPROFILE%\Documents\GitHub\eaglep3\Utilities\DownloadLogsFromS3.py --loco 4039 --day 2017-03-08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"%USERPROFILE%\AppData\Local\Temp\OnboardLogs"\RTDC4039\*4039*20170308* | grep -SE "(Enforcement Action)|(\[TIMEOUT)|(CHR.+\|PRM\|1\|D.+(SWITCH|SIGNAL).+UNKNOWN)" - &gt;&gt; 2017-03-08-UncaughtWiMAX.txt</v>
      </c>
    </row>
    <row r="169" spans="1:91" x14ac:dyDescent="0.25">
      <c r="A169" s="33" t="s">
        <v>657</v>
      </c>
      <c r="B169" s="7">
        <v>4053</v>
      </c>
      <c r="C169" s="21" t="s">
        <v>242</v>
      </c>
      <c r="D169" s="21" t="s">
        <v>957</v>
      </c>
      <c r="E169" s="13">
        <v>42802.347129629627</v>
      </c>
      <c r="F169" s="13">
        <v>42802.348460648151</v>
      </c>
      <c r="G169" s="7">
        <v>0</v>
      </c>
      <c r="H169" s="21" t="s">
        <v>467</v>
      </c>
      <c r="I169" s="13">
        <v>42802.357395833336</v>
      </c>
      <c r="J169" s="7">
        <v>0</v>
      </c>
      <c r="K169" s="98" t="str">
        <f t="shared" si="51"/>
        <v>4053/4054</v>
      </c>
      <c r="L169" s="21" t="str">
        <f>VLOOKUP(A169,'Trips&amp;Operators'!$C$1:$G$99999,5,FALSE)</f>
        <v>LOZA FIDEL</v>
      </c>
      <c r="M169" s="6">
        <f t="shared" si="52"/>
        <v>8.9351851856918074E-3</v>
      </c>
      <c r="N169" s="7">
        <f t="shared" si="67"/>
        <v>12.866666667396203</v>
      </c>
      <c r="O169" s="7"/>
      <c r="P169" s="7"/>
      <c r="Q169" s="22"/>
      <c r="R169" s="22"/>
      <c r="S169" s="31">
        <f t="shared" si="66"/>
        <v>1</v>
      </c>
      <c r="T169" s="46" t="str">
        <f t="shared" si="53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4"/>
        <v>https://d0f6bd738d7f1b3e5a7ca70fe4ff75f0.us-east-1.aws.found.io/app/kibana#/discover/Steve-Slow-Train-Analysis-(2080s-and-2083s)?_g=(refreshInterval:(display:Off,pause:!f,section:0,value:0),time:(from:'2017-03-08T07:19:52-0700',mode:absolute,to:'2017-03-08T09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9" s="187" t="str">
        <f t="shared" si="55"/>
        <v>N</v>
      </c>
      <c r="X169" s="187">
        <f t="shared" ref="X169:X172" si="69">VALUE(LEFT(AD169,4))-VALUE(LEFT(AD168,4))</f>
        <v>1</v>
      </c>
      <c r="Y169" s="62">
        <f t="shared" si="56"/>
        <v>9.7799999999999998E-2</v>
      </c>
      <c r="Z169" s="62">
        <f t="shared" si="57"/>
        <v>5.8954000000000004</v>
      </c>
      <c r="AA169" s="62">
        <f t="shared" si="58"/>
        <v>5.7976000000000001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9"/>
        <v>0811-08</v>
      </c>
      <c r="AE169" s="85" t="str">
        <f t="shared" si="60"/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169" s="82" t="str">
        <f t="shared" si="61"/>
        <v>"C:\Program Files (x86)\AstroGrep\AstroGrep.exe" /e /r /s /spath="%USERPROFILE%\AppData\Local\Temp\OnboardLogs" /stypes="app*4053*20170308*" /stext=" 15:.+((SYSTEM_STATE.+slice.+state.+changed )|(ment ac)|(multiple cpu faults)|(system.+state.+changed )|(\[timeout)|(PRM\|1\|D)|(kpr)|(kdp)|(\|lc)|(penalty))"</v>
      </c>
      <c r="AG169" s="1" t="str">
        <f t="shared" si="62"/>
        <v>NW</v>
      </c>
      <c r="AH169" s="86" t="str">
        <f t="shared" si="63"/>
        <v>"%USERPROFILE%\Documents\GitHub\eaglep3\Utilities\RefineRTDCRunTimes.py" --tripid 811-08 --locoid 4053 --swversion DE.1.0.9.0 --startMP 204:978 --initTime 2017-03-08T08:19:52 --startdatetime 2017-03-08T08:21:47 --delay 0 --endMP 300:58954 --enddatetime 2017-03-08T08:34:39 --enforcementcount 0 &gt;&gt;C:\Users\stu\Documents\GitHub\eaglep3-reporting\EC\2017-03-08-refined-times.txt</v>
      </c>
      <c r="AI169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{"issue":{"subject":"","project_id":79,"tracker_id":40,"status_id":1,"priority_id":2,"assigned_to_id":23,"start_date":"2017-03-08","description":"","custom_fields":[{"id":1,"name":"Subdivision","value":"NW"},{"id":4,"name":"Milepost","value":"5.8954"},{"id":17,"name":"Train ID","value":"811-08"},{"id":16,"name":"Locomotive ID","value":"4053"},{"id":130,"name":"Impact","value":""},{"id":150,"name":"Time of Event (Mountain Time)","value":"08:34:39"},{"id":151,"name":"Denver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5"/>
        <v>start /low /b %USERPROFILE%\Documents\GitHub\eaglep3\Utilities\DownloadLogsFromS3.py --loco 4053 --day 2017-03-08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"%USERPROFILE%\AppData\Local\Temp\OnboardLogs"\RTDC4053\*4053*20170308* | grep -SE "(Enforcement Action)|(\[TIMEOUT)|(CHR.+\|PRM\|1\|D.+(SWITCH|SIGNAL).+UNKNOWN)" - &gt;&gt; 2017-03-08-UncaughtWiMAX.txt</v>
      </c>
    </row>
    <row r="170" spans="1:91" s="20" customFormat="1" x14ac:dyDescent="0.25">
      <c r="A170" s="33" t="s">
        <v>661</v>
      </c>
      <c r="B170" s="7">
        <v>4054</v>
      </c>
      <c r="C170" s="21" t="s">
        <v>242</v>
      </c>
      <c r="D170" s="21" t="s">
        <v>974</v>
      </c>
      <c r="E170" s="13">
        <v>42802.358634259261</v>
      </c>
      <c r="F170" s="13">
        <v>42802.36037037037</v>
      </c>
      <c r="G170" s="7">
        <v>1</v>
      </c>
      <c r="H170" s="21" t="s">
        <v>959</v>
      </c>
      <c r="I170" s="13">
        <v>42802.371192129627</v>
      </c>
      <c r="J170" s="7">
        <v>0</v>
      </c>
      <c r="K170" s="98" t="str">
        <f t="shared" si="51"/>
        <v>4053/4054</v>
      </c>
      <c r="L170" s="21" t="str">
        <f>VLOOKUP(A170,'Trips&amp;Operators'!$C$1:$G$99999,5,FALSE)</f>
        <v>LOZA FIDEL</v>
      </c>
      <c r="M170" s="6">
        <f t="shared" si="52"/>
        <v>1.0821759256941732E-2</v>
      </c>
      <c r="N170" s="7">
        <f t="shared" si="67"/>
        <v>15.583333329996094</v>
      </c>
      <c r="O170" s="7"/>
      <c r="P170" s="7"/>
      <c r="Q170" s="22"/>
      <c r="R170" s="22"/>
      <c r="S170" s="31">
        <f t="shared" si="66"/>
        <v>1</v>
      </c>
      <c r="T170" s="46" t="str">
        <f t="shared" si="53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4"/>
        <v>https://d0f6bd738d7f1b3e5a7ca70fe4ff75f0.us-east-1.aws.found.io/app/kibana#/discover/Steve-Slow-Train-Analysis-(2080s-and-2083s)?_g=(refreshInterval:(display:Off,pause:!f,section:0,value:0),time:(from:'2017-03-08T07:36:26-0700',mode:absolute,to:'2017-03-08T09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0" s="187" t="str">
        <f t="shared" si="55"/>
        <v>N</v>
      </c>
      <c r="X170" s="187">
        <f t="shared" si="69"/>
        <v>1</v>
      </c>
      <c r="Y170" s="62">
        <f t="shared" si="56"/>
        <v>5.8643000000000001</v>
      </c>
      <c r="Z170" s="62">
        <f t="shared" si="57"/>
        <v>6.8000000000000005E-2</v>
      </c>
      <c r="AA170" s="62">
        <f t="shared" si="58"/>
        <v>5.7963000000000005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9"/>
        <v>0812-08</v>
      </c>
      <c r="AE170" s="85" t="str">
        <f t="shared" si="60"/>
        <v>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 &amp; aws s3 cp s3://rtdc.mdm.uploadarchive.raw/RTDC4054/ "%USERPROFILE%\AppData\Local\Temp\OnboardLogs"\RTDC4054\2017-03-09 --exclude "*" --recursive --include "*20170309*" &amp; "%USERPROFILE%\Documents\GitHub\mrs-test-scripts\Headless Mode &amp; Sideloading\WalkAndUnGZ.bat" "%USERPROFILE%\AppData\Local\Temp\OnboardLogs"\RTDC4054\2017-03-09</v>
      </c>
      <c r="AF170" s="82" t="str">
        <f t="shared" si="61"/>
        <v>"C:\Program Files (x86)\AstroGrep\AstroGrep.exe" /e /r /s /spath="%USERPROFILE%\AppData\Local\Temp\OnboardLogs" /stypes="app*4054*20170308*" /stext=" 15:.+((SYSTEM_STATE.+slice.+state.+changed )|(ment ac)|(multiple cpu faults)|(system.+state.+changed )|(\[timeout)|(PRM\|1\|D)|(kpr)|(kdp)|(\|lc)|(penalty))"</v>
      </c>
      <c r="AG170" s="1" t="str">
        <f t="shared" si="62"/>
        <v>NW</v>
      </c>
      <c r="AH170" s="86" t="str">
        <f t="shared" si="63"/>
        <v>"%USERPROFILE%\Documents\GitHub\eaglep3\Utilities\RefineRTDCRunTimes.py" --tripid 812-08 --locoid 4054 --swversion DE.1.0.9.0 --startMP 300:58643 --initTime 2017-03-08T08:36:26 --startdatetime 2017-03-08T08:38:56 --delay 1 --endMP 204:680 --enddatetime 2017-03-08T08:54:31 --enforcementcount 0 &gt;&gt;C:\Users\stu\Documents\GitHub\eaglep3-reporting\EC\2017-03-08-refined-times.txt</v>
      </c>
      <c r="AI170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{"issue":{"subject":"","project_id":79,"tracker_id":40,"status_id":1,"priority_id":2,"assigned_to_id":23,"start_date":"2017-03-08","description":"","custom_fields":[{"id":1,"name":"Subdivision","value":"NW"},{"id":4,"name":"Milepost","value":"0.068"},{"id":17,"name":"Train ID","value":"812-08"},{"id":16,"name":"Locomotive ID","value":"4054"},{"id":130,"name":"Impact","value":""},{"id":150,"name":"Time of Event (Mountain Time)","value":"08:54:31"},{"id":151,"name":"Denver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5"/>
        <v>start /low /b %USERPROFILE%\Documents\GitHub\eaglep3\Utilities\DownloadLogsFromS3.py --loco 4054 --day 2017-03-08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"%USERPROFILE%\AppData\Local\Temp\OnboardLogs"\RTDC4054\*4054*20170308* | grep -SE "(Enforcement Action)|(\[TIMEOUT)|(CHR.+\|PRM\|1\|D.+(SWITCH|SIGNAL).+UNKNOWN)" - &gt;&gt; 2017-03-08-UncaughtWiMAX.txt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3" t="s">
        <v>665</v>
      </c>
      <c r="B171" s="7">
        <v>4053</v>
      </c>
      <c r="C171" s="21" t="s">
        <v>242</v>
      </c>
      <c r="D171" s="21" t="s">
        <v>973</v>
      </c>
      <c r="E171" s="13">
        <v>42802.387592592589</v>
      </c>
      <c r="F171" s="13">
        <v>42802.389872685184</v>
      </c>
      <c r="G171" s="7">
        <v>1</v>
      </c>
      <c r="H171" s="21" t="s">
        <v>964</v>
      </c>
      <c r="I171" s="13">
        <v>42802.39880787037</v>
      </c>
      <c r="J171" s="7">
        <v>0</v>
      </c>
      <c r="K171" s="98" t="str">
        <f t="shared" si="51"/>
        <v>4053/4054</v>
      </c>
      <c r="L171" s="21" t="str">
        <f>VLOOKUP(A171,'Trips&amp;Operators'!$C$1:$G$99999,5,FALSE)</f>
        <v>LOZA FIDEL</v>
      </c>
      <c r="M171" s="6">
        <f t="shared" si="52"/>
        <v>8.9351851856918074E-3</v>
      </c>
      <c r="N171" s="7">
        <f t="shared" si="67"/>
        <v>12.866666667396203</v>
      </c>
      <c r="O171" s="7"/>
      <c r="P171" s="7"/>
      <c r="Q171" s="22"/>
      <c r="R171" s="22"/>
      <c r="S171" s="31">
        <f t="shared" si="66"/>
        <v>1</v>
      </c>
      <c r="T171" s="46" t="str">
        <f t="shared" si="53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4"/>
        <v>https://d0f6bd738d7f1b3e5a7ca70fe4ff75f0.us-east-1.aws.found.io/app/kibana#/discover/Steve-Slow-Train-Analysis-(2080s-and-2083s)?_g=(refreshInterval:(display:Off,pause:!f,section:0,value:0),time:(from:'2017-03-08T08:18:08-0700',mode:absolute,to:'2017-03-08T10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1" s="187" t="str">
        <f t="shared" si="55"/>
        <v>N</v>
      </c>
      <c r="X171" s="187">
        <f t="shared" si="69"/>
        <v>1</v>
      </c>
      <c r="Y171" s="62">
        <f t="shared" si="56"/>
        <v>9.8100000000000007E-2</v>
      </c>
      <c r="Z171" s="62">
        <f t="shared" si="57"/>
        <v>5.8958000000000004</v>
      </c>
      <c r="AA171" s="62">
        <f t="shared" si="58"/>
        <v>5.7977000000000007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9"/>
        <v>0813-08</v>
      </c>
      <c r="AE171" s="85" t="str">
        <f t="shared" si="60"/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171" s="82" t="str">
        <f t="shared" si="61"/>
        <v>"C:\Program Files (x86)\AstroGrep\AstroGrep.exe" /e /r /s /spath="%USERPROFILE%\AppData\Local\Temp\OnboardLogs" /stypes="app*4053*20170308*" /stext=" 16:.+((SYSTEM_STATE.+slice.+state.+changed )|(ment ac)|(multiple cpu faults)|(system.+state.+changed )|(\[timeout)|(PRM\|1\|D)|(kpr)|(kdp)|(\|lc)|(penalty))"</v>
      </c>
      <c r="AG171" s="1" t="str">
        <f t="shared" si="62"/>
        <v>NW</v>
      </c>
      <c r="AH171" s="86" t="str">
        <f t="shared" si="63"/>
        <v>"%USERPROFILE%\Documents\GitHub\eaglep3\Utilities\RefineRTDCRunTimes.py" --tripid 813-08 --locoid 4053 --swversion DE.1.0.9.0 --startMP 204:981 --initTime 2017-03-08T09:18:08 --startdatetime 2017-03-08T09:21:25 --delay 1 --endMP 300:58958 --enddatetime 2017-03-08T09:34:17 --enforcementcount 0 &gt;&gt;C:\Users\stu\Documents\GitHub\eaglep3-reporting\EC\2017-03-08-refined-times.txt</v>
      </c>
      <c r="AI171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{"issue":{"subject":"","project_id":79,"tracker_id":40,"status_id":1,"priority_id":2,"assigned_to_id":23,"start_date":"2017-03-08","description":"","custom_fields":[{"id":1,"name":"Subdivision","value":"NW"},{"id":4,"name":"Milepost","value":"5.8958"},{"id":17,"name":"Train ID","value":"813-08"},{"id":16,"name":"Locomotive ID","value":"4053"},{"id":130,"name":"Impact","value":""},{"id":150,"name":"Time of Event (Mountain Time)","value":"09:34:17"},{"id":151,"name":"Denver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5"/>
        <v>start /low /b %USERPROFILE%\Documents\GitHub\eaglep3\Utilities\DownloadLogsFromS3.py --loco 4053 --day 2017-03-08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"%USERPROFILE%\AppData\Local\Temp\OnboardLogs"\RTDC4053\*4053*20170308* | grep -SE "(Enforcement Action)|(\[TIMEOUT)|(CHR.+\|PRM\|1\|D.+(SWITCH|SIGNAL).+UNKNOWN)" - &gt;&gt; 2017-03-08-UncaughtWiMAX.txt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3" t="s">
        <v>668</v>
      </c>
      <c r="B172" s="7">
        <v>4054</v>
      </c>
      <c r="C172" s="21" t="s">
        <v>242</v>
      </c>
      <c r="D172" s="21" t="s">
        <v>965</v>
      </c>
      <c r="E172" s="13">
        <v>42802.400092592594</v>
      </c>
      <c r="F172" s="13">
        <v>42802.401898148149</v>
      </c>
      <c r="G172" s="7">
        <v>1</v>
      </c>
      <c r="H172" s="21" t="s">
        <v>904</v>
      </c>
      <c r="I172" s="13">
        <v>42802.412881944445</v>
      </c>
      <c r="J172" s="7">
        <v>0</v>
      </c>
      <c r="K172" s="98" t="str">
        <f t="shared" si="51"/>
        <v>4053/4054</v>
      </c>
      <c r="L172" s="21" t="str">
        <f>VLOOKUP(A172,'Trips&amp;Operators'!$C$1:$G$99999,5,FALSE)</f>
        <v>LOZA FIDEL</v>
      </c>
      <c r="M172" s="6">
        <f t="shared" si="52"/>
        <v>1.0983796295477077E-2</v>
      </c>
      <c r="N172" s="7">
        <f t="shared" si="67"/>
        <v>15.816666665486991</v>
      </c>
      <c r="O172" s="7"/>
      <c r="P172" s="7"/>
      <c r="Q172" s="22"/>
      <c r="R172" s="22"/>
      <c r="S172" s="31">
        <f t="shared" si="66"/>
        <v>1</v>
      </c>
      <c r="T172" s="46" t="str">
        <f t="shared" si="53"/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4"/>
        <v>https://d0f6bd738d7f1b3e5a7ca70fe4ff75f0.us-east-1.aws.found.io/app/kibana#/discover/Steve-Slow-Train-Analysis-(2080s-and-2083s)?_g=(refreshInterval:(display:Off,pause:!f,section:0,value:0),time:(from:'2017-03-08T08:36:08-0700',mode:absolute,to:'2017-03-08T10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2" s="187" t="str">
        <f t="shared" si="55"/>
        <v>N</v>
      </c>
      <c r="X172" s="187">
        <f t="shared" si="69"/>
        <v>1</v>
      </c>
      <c r="Y172" s="62">
        <f t="shared" si="56"/>
        <v>5.8639999999999999</v>
      </c>
      <c r="Z172" s="62">
        <f t="shared" si="57"/>
        <v>6.8900000000000003E-2</v>
      </c>
      <c r="AA172" s="62">
        <f t="shared" si="58"/>
        <v>5.7950999999999997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9"/>
        <v>0814-08</v>
      </c>
      <c r="AE172" s="85" t="str">
        <f t="shared" si="60"/>
        <v>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 &amp; aws s3 cp s3://rtdc.mdm.uploadarchive.raw/RTDC4054/ "%USERPROFILE%\AppData\Local\Temp\OnboardLogs"\RTDC4054\2017-03-09 --exclude "*" --recursive --include "*20170309*" &amp; "%USERPROFILE%\Documents\GitHub\mrs-test-scripts\Headless Mode &amp; Sideloading\WalkAndUnGZ.bat" "%USERPROFILE%\AppData\Local\Temp\OnboardLogs"\RTDC4054\2017-03-09</v>
      </c>
      <c r="AF172" s="82" t="str">
        <f t="shared" si="61"/>
        <v>"C:\Program Files (x86)\AstroGrep\AstroGrep.exe" /e /r /s /spath="%USERPROFILE%\AppData\Local\Temp\OnboardLogs" /stypes="app*4054*20170308*" /stext=" 16:.+((SYSTEM_STATE.+slice.+state.+changed )|(ment ac)|(multiple cpu faults)|(system.+state.+changed )|(\[timeout)|(PRM\|1\|D)|(kpr)|(kdp)|(\|lc)|(penalty))"</v>
      </c>
      <c r="AG172" s="1" t="str">
        <f t="shared" si="62"/>
        <v>NW</v>
      </c>
      <c r="AH172" s="86" t="str">
        <f t="shared" si="63"/>
        <v>"%USERPROFILE%\Documents\GitHub\eaglep3\Utilities\RefineRTDCRunTimes.py" --tripid 814-08 --locoid 4054 --swversion DE.1.0.9.0 --startMP 300:58640 --initTime 2017-03-08T09:36:08 --startdatetime 2017-03-08T09:38:44 --delay 1 --endMP 204:689 --enddatetime 2017-03-08T09:54:33 --enforcementcount 0 &gt;&gt;C:\Users\stu\Documents\GitHub\eaglep3-reporting\EC\2017-03-08-refined-times.txt</v>
      </c>
      <c r="AI172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{"issue":{"subject":"","project_id":79,"tracker_id":40,"status_id":1,"priority_id":2,"assigned_to_id":23,"start_date":"2017-03-08","description":"","custom_fields":[{"id":1,"name":"Subdivision","value":"NW"},{"id":4,"name":"Milepost","value":"0.0689"},{"id":17,"name":"Train ID","value":"814-08"},{"id":16,"name":"Locomotive ID","value":"4054"},{"id":130,"name":"Impact","value":""},{"id":150,"name":"Time of Event (Mountain Time)","value":"09:54:33"},{"id":151,"name":"Denver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5"/>
        <v>start /low /b %USERPROFILE%\Documents\GitHub\eaglep3\Utilities\DownloadLogsFromS3.py --loco 4054 --day 2017-03-08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"%USERPROFILE%\AppData\Local\Temp\OnboardLogs"\RTDC4054\*4054*20170308* | grep -SE "(Enforcement Action)|(\[TIMEOUT)|(CHR.+\|PRM\|1\|D.+(SWITCH|SIGNAL).+UNKNOWN)" - &gt;&gt; 2017-03-08-UncaughtWiMAX.txt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674</v>
      </c>
      <c r="B173" s="7">
        <v>4053</v>
      </c>
      <c r="C173" s="21" t="s">
        <v>242</v>
      </c>
      <c r="D173" s="21" t="s">
        <v>534</v>
      </c>
      <c r="E173" s="13">
        <v>42802.428472222222</v>
      </c>
      <c r="F173" s="13">
        <v>42802.431585648148</v>
      </c>
      <c r="G173" s="7">
        <v>1</v>
      </c>
      <c r="H173" s="21" t="s">
        <v>964</v>
      </c>
      <c r="I173" s="13">
        <v>42802.440648148149</v>
      </c>
      <c r="J173" s="7">
        <v>0</v>
      </c>
      <c r="K173" s="98" t="str">
        <f t="shared" si="51"/>
        <v>4053/4054</v>
      </c>
      <c r="L173" s="21" t="str">
        <f>VLOOKUP(A173,'Trips&amp;Operators'!$C$1:$G$99999,5,FALSE)</f>
        <v>LOZA FIDEL</v>
      </c>
      <c r="M173" s="6">
        <f t="shared" si="52"/>
        <v>9.0625000011641532E-3</v>
      </c>
      <c r="N173" s="7">
        <f t="shared" si="67"/>
        <v>13.050000001676381</v>
      </c>
      <c r="O173" s="7"/>
      <c r="P173" s="7"/>
      <c r="Q173" s="22"/>
      <c r="R173" s="22"/>
      <c r="S173" s="31">
        <f t="shared" si="66"/>
        <v>1</v>
      </c>
      <c r="T173" s="46" t="str">
        <f t="shared" si="53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4"/>
        <v>https://d0f6bd738d7f1b3e5a7ca70fe4ff75f0.us-east-1.aws.found.io/app/kibana#/discover/Steve-Slow-Train-Analysis-(2080s-and-2083s)?_g=(refreshInterval:(display:Off,pause:!f,section:0,value:0),time:(from:'2017-03-08T09:17:00-0700',mode:absolute,to:'2017-03-08T11:34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3" s="187" t="str">
        <f t="shared" si="55"/>
        <v>N</v>
      </c>
      <c r="X173" s="187">
        <f t="shared" ref="X173:X204" si="70">VALUE(LEFT(AD173,4))-VALUE(LEFT(AD172,4))</f>
        <v>1</v>
      </c>
      <c r="Y173" s="62">
        <f t="shared" si="56"/>
        <v>9.6699999999999994E-2</v>
      </c>
      <c r="Z173" s="62">
        <f t="shared" si="57"/>
        <v>5.8958000000000004</v>
      </c>
      <c r="AA173" s="62">
        <f t="shared" si="58"/>
        <v>5.7991000000000001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9"/>
        <v>0815-08</v>
      </c>
      <c r="AE173" s="85" t="str">
        <f t="shared" si="60"/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173" s="82" t="str">
        <f t="shared" si="61"/>
        <v>"C:\Program Files (x86)\AstroGrep\AstroGrep.exe" /e /r /s /spath="%USERPROFILE%\AppData\Local\Temp\OnboardLogs" /stypes="app*4053*20170308*" /stext=" 17:.+((SYSTEM_STATE.+slice.+state.+changed )|(ment ac)|(multiple cpu faults)|(system.+state.+changed )|(\[timeout)|(PRM\|1\|D)|(kpr)|(kdp)|(\|lc)|(penalty))"</v>
      </c>
      <c r="AG173" s="1" t="str">
        <f t="shared" si="62"/>
        <v>NW</v>
      </c>
      <c r="AH173" s="86" t="str">
        <f t="shared" si="63"/>
        <v>"%USERPROFILE%\Documents\GitHub\eaglep3\Utilities\RefineRTDCRunTimes.py" --tripid 815-08 --locoid 4053 --swversion DE.1.0.9.0 --startMP 204:967 --initTime 2017-03-08T10:17:00 --startdatetime 2017-03-08T10:21:29 --delay 1 --endMP 300:58958 --enddatetime 2017-03-08T10:34:32 --enforcementcount 0 &gt;&gt;C:\Users\stu\Documents\GitHub\eaglep3-reporting\EC\2017-03-08-refined-times.txt</v>
      </c>
      <c r="AI173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{"issue":{"subject":"","project_id":79,"tracker_id":40,"status_id":1,"priority_id":2,"assigned_to_id":23,"start_date":"2017-03-08","description":"","custom_fields":[{"id":1,"name":"Subdivision","value":"NW"},{"id":4,"name":"Milepost","value":"5.8958"},{"id":17,"name":"Train ID","value":"815-08"},{"id":16,"name":"Locomotive ID","value":"4053"},{"id":130,"name":"Impact","value":""},{"id":150,"name":"Time of Event (Mountain Time)","value":"10:34:32"},{"id":151,"name":"Denver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5"/>
        <v>start /low /b %USERPROFILE%\Documents\GitHub\eaglep3\Utilities\DownloadLogsFromS3.py --loco 4053 --day 2017-03-08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"%USERPROFILE%\AppData\Local\Temp\OnboardLogs"\RTDC4053\*4053*20170308* | grep -SE "(Enforcement Action)|(\[TIMEOUT)|(CHR.+\|PRM\|1\|D.+(SWITCH|SIGNAL).+UNKNOWN)" - &gt;&gt; 2017-03-08-UncaughtWiMAX.txt</v>
      </c>
    </row>
    <row r="174" spans="1:91" s="20" customFormat="1" x14ac:dyDescent="0.25">
      <c r="A174" s="33" t="s">
        <v>680</v>
      </c>
      <c r="B174" s="7">
        <v>4054</v>
      </c>
      <c r="C174" s="21" t="s">
        <v>242</v>
      </c>
      <c r="D174" s="21" t="s">
        <v>974</v>
      </c>
      <c r="E174" s="13">
        <v>42802.442141203705</v>
      </c>
      <c r="F174" s="13">
        <v>42802.443738425929</v>
      </c>
      <c r="G174" s="7">
        <v>1</v>
      </c>
      <c r="H174" s="21" t="s">
        <v>533</v>
      </c>
      <c r="I174" s="13">
        <v>42802.454525462963</v>
      </c>
      <c r="J174" s="7">
        <v>0</v>
      </c>
      <c r="K174" s="98" t="str">
        <f t="shared" si="51"/>
        <v>4053/4054</v>
      </c>
      <c r="L174" s="21" t="str">
        <f>VLOOKUP(A174,'Trips&amp;Operators'!$C$1:$G$99999,5,FALSE)</f>
        <v>LOZA FIDEL</v>
      </c>
      <c r="M174" s="6">
        <f t="shared" si="52"/>
        <v>1.0787037033878732E-2</v>
      </c>
      <c r="N174" s="7">
        <f t="shared" si="67"/>
        <v>15.533333328785375</v>
      </c>
      <c r="O174" s="7"/>
      <c r="P174" s="7"/>
      <c r="Q174" s="22"/>
      <c r="R174" s="22"/>
      <c r="S174" s="31">
        <f t="shared" si="66"/>
        <v>1</v>
      </c>
      <c r="T174" s="46" t="str">
        <f t="shared" si="53"/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4"/>
        <v>https://d0f6bd738d7f1b3e5a7ca70fe4ff75f0.us-east-1.aws.found.io/app/kibana#/discover/Steve-Slow-Train-Analysis-(2080s-and-2083s)?_g=(refreshInterval:(display:Off,pause:!f,section:0,value:0),time:(from:'2017-03-08T09:36:41-0700',mode:absolute,to:'2017-03-08T11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4" s="187" t="str">
        <f t="shared" si="55"/>
        <v>N</v>
      </c>
      <c r="X174" s="187">
        <f t="shared" si="70"/>
        <v>1</v>
      </c>
      <c r="Y174" s="62">
        <f t="shared" si="56"/>
        <v>5.8643000000000001</v>
      </c>
      <c r="Z174" s="62">
        <f t="shared" si="57"/>
        <v>6.7799999999999999E-2</v>
      </c>
      <c r="AA174" s="62">
        <f t="shared" si="58"/>
        <v>5.7965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9"/>
        <v>0816-08</v>
      </c>
      <c r="AE174" s="85" t="str">
        <f t="shared" si="60"/>
        <v>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 &amp; aws s3 cp s3://rtdc.mdm.uploadarchive.raw/RTDC4054/ "%USERPROFILE%\AppData\Local\Temp\OnboardLogs"\RTDC4054\2017-03-09 --exclude "*" --recursive --include "*20170309*" &amp; "%USERPROFILE%\Documents\GitHub\mrs-test-scripts\Headless Mode &amp; Sideloading\WalkAndUnGZ.bat" "%USERPROFILE%\AppData\Local\Temp\OnboardLogs"\RTDC4054\2017-03-09</v>
      </c>
      <c r="AF174" s="82" t="str">
        <f t="shared" si="61"/>
        <v>"C:\Program Files (x86)\AstroGrep\AstroGrep.exe" /e /r /s /spath="%USERPROFILE%\AppData\Local\Temp\OnboardLogs" /stypes="app*4054*20170308*" /stext=" 17:.+((SYSTEM_STATE.+slice.+state.+changed )|(ment ac)|(multiple cpu faults)|(system.+state.+changed )|(\[timeout)|(PRM\|1\|D)|(kpr)|(kdp)|(\|lc)|(penalty))"</v>
      </c>
      <c r="AG174" s="1" t="str">
        <f t="shared" si="62"/>
        <v>NW</v>
      </c>
      <c r="AH174" s="86" t="str">
        <f t="shared" si="63"/>
        <v>"%USERPROFILE%\Documents\GitHub\eaglep3\Utilities\RefineRTDCRunTimes.py" --tripid 816-08 --locoid 4054 --swversion DE.1.0.9.0 --startMP 300:58643 --initTime 2017-03-08T10:36:41 --startdatetime 2017-03-08T10:38:59 --delay 1 --endMP 204:678 --enddatetime 2017-03-08T10:54:31 --enforcementcount 0 &gt;&gt;C:\Users\stu\Documents\GitHub\eaglep3-reporting\EC\2017-03-08-refined-times.txt</v>
      </c>
      <c r="AI174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{"issue":{"subject":"","project_id":79,"tracker_id":40,"status_id":1,"priority_id":2,"assigned_to_id":23,"start_date":"2017-03-08","description":"","custom_fields":[{"id":1,"name":"Subdivision","value":"NW"},{"id":4,"name":"Milepost","value":"0.0678"},{"id":17,"name":"Train ID","value":"816-08"},{"id":16,"name":"Locomotive ID","value":"4054"},{"id":130,"name":"Impact","value":""},{"id":150,"name":"Time of Event (Mountain Time)","value":"10:54:31"},{"id":151,"name":"Denver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5"/>
        <v>start /low /b %USERPROFILE%\Documents\GitHub\eaglep3\Utilities\DownloadLogsFromS3.py --loco 4054 --day 2017-03-08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"%USERPROFILE%\AppData\Local\Temp\OnboardLogs"\RTDC4054\*4054*20170308* | grep -SE "(Enforcement Action)|(\[TIMEOUT)|(CHR.+\|PRM\|1\|D.+(SWITCH|SIGNAL).+UNKNOWN)" - &gt;&gt; 2017-03-08-UncaughtWiMAX.txt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684</v>
      </c>
      <c r="B175" s="7">
        <v>4053</v>
      </c>
      <c r="C175" s="21" t="s">
        <v>242</v>
      </c>
      <c r="D175" s="21" t="s">
        <v>521</v>
      </c>
      <c r="E175" s="13">
        <v>42802.47042824074</v>
      </c>
      <c r="F175" s="13">
        <v>42802.471539351849</v>
      </c>
      <c r="G175" s="7">
        <v>1</v>
      </c>
      <c r="H175" s="21" t="s">
        <v>975</v>
      </c>
      <c r="I175" s="13">
        <v>42802.473240740743</v>
      </c>
      <c r="J175" s="7">
        <v>0</v>
      </c>
      <c r="K175" s="98" t="str">
        <f t="shared" si="51"/>
        <v>4053/4054</v>
      </c>
      <c r="L175" s="21" t="str">
        <f>VLOOKUP(A175,'Trips&amp;Operators'!$C$1:$G$99999,5,FALSE)</f>
        <v>LOZA FIDEL</v>
      </c>
      <c r="M175" s="6">
        <f t="shared" si="52"/>
        <v>1.7013888937071897E-3</v>
      </c>
      <c r="N175" s="7"/>
      <c r="O175" s="7"/>
      <c r="P175" s="7">
        <f>24*60*SUM($M175:$M175)</f>
        <v>2.4500000069383532</v>
      </c>
      <c r="Q175" s="22"/>
      <c r="R175" s="22" t="s">
        <v>472</v>
      </c>
      <c r="S175" s="31">
        <f t="shared" si="66"/>
        <v>0</v>
      </c>
      <c r="T175" s="46" t="str">
        <f t="shared" si="53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0</v>
      </c>
      <c r="V175" s="186" t="str">
        <f t="shared" si="54"/>
        <v>https://d0f6bd738d7f1b3e5a7ca70fe4ff75f0.us-east-1.aws.found.io/app/kibana#/discover/Steve-Slow-Train-Analysis-(2080s-and-2083s)?_g=(refreshInterval:(display:Off,pause:!f,section:0,value:0),time:(from:'2017-03-08T10:17:25-0700',mode:absolute,to:'2017-03-08T12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5" s="187" t="str">
        <f t="shared" si="55"/>
        <v>Y</v>
      </c>
      <c r="X175" s="187">
        <f t="shared" si="70"/>
        <v>1</v>
      </c>
      <c r="Y175" s="62">
        <f t="shared" si="56"/>
        <v>9.64E-2</v>
      </c>
      <c r="Z175" s="62">
        <f t="shared" si="57"/>
        <v>0.11459999999999999</v>
      </c>
      <c r="AA175" s="62">
        <f t="shared" si="58"/>
        <v>1.8199999999999994E-2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9"/>
        <v>0817-08</v>
      </c>
      <c r="AE175" s="85" t="str">
        <f t="shared" si="60"/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175" s="82" t="str">
        <f t="shared" si="61"/>
        <v>"C:\Program Files (x86)\AstroGrep\AstroGrep.exe" /e /r /s /spath="%USERPROFILE%\AppData\Local\Temp\OnboardLogs" /stypes="app*4053*20170308*" /stext=" 18:.+((SYSTEM_STATE.+slice.+state.+changed )|(ment ac)|(multiple cpu faults)|(system.+state.+changed )|(\[timeout)|(PRM\|1\|D)|(kpr)|(kdp)|(\|lc)|(penalty))"</v>
      </c>
      <c r="AG175" s="1" t="str">
        <f t="shared" si="62"/>
        <v>NW</v>
      </c>
      <c r="AH175" s="86" t="str">
        <f t="shared" si="63"/>
        <v>"%USERPROFILE%\Documents\GitHub\eaglep3\Utilities\RefineRTDCRunTimes.py" --tripid 817-08 --locoid 4053 --swversion DE.1.0.9.0 --startMP 204:964 --initTime 2017-03-08T11:17:25 --startdatetime 2017-03-08T11:19:01 --delay 1 --endMP 204:1146 --enddatetime 2017-03-08T11:21:28 --enforcementcount 0 &gt;&gt;C:\Users\stu\Documents\GitHub\eaglep3-reporting\EC\2017-03-08-refined-times.txt</v>
      </c>
      <c r="AI175" s="108" t="str">
        <f t="shared" si="64"/>
        <v>echo {"issue":{"subject":"Onboard in-route failure","project_id":79,"tracker_id":40,"status_id":1,"priority_id":2,"assigned_to_id":23,"start_date":"2017-03-08","description":"","custom_fields":[{"id":1,"name":"Subdivision","value":"NW"},{"id":4,"name":"Milepost","value":"0.1146"},{"id":17,"name":"Train ID","value":"817-08"},{"id":16,"name":"Locomotive ID","value":"4053"},{"id":130,"name":"Impact","value":""},{"id":150,"name":"Time of Event (Mountain Time)","value":"11:21:28"},{"id":151,"name":"Denver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5"/>
        <v>start /low /b %USERPROFILE%\Documents\GitHub\eaglep3\Utilities\DownloadLogsFromS3.py --loco 4053 --day 2017-03-08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"%USERPROFILE%\AppData\Local\Temp\OnboardLogs"\RTDC4053\*4053*20170308* | grep -SE "(Enforcement Action)|(\[TIMEOUT)|(CHR.+\|PRM\|1\|D.+(SWITCH|SIGNAL).+UNKNOWN)" - &gt;&gt; 2017-03-08-UncaughtWiMAX.txt</v>
      </c>
    </row>
    <row r="176" spans="1:91" s="20" customFormat="1" x14ac:dyDescent="0.25">
      <c r="A176" s="33" t="s">
        <v>684</v>
      </c>
      <c r="B176" s="7">
        <v>4053</v>
      </c>
      <c r="C176" s="21" t="s">
        <v>242</v>
      </c>
      <c r="D176" s="21" t="s">
        <v>534</v>
      </c>
      <c r="E176" s="13">
        <v>42802.456805555557</v>
      </c>
      <c r="F176" s="13">
        <v>42802.457638888889</v>
      </c>
      <c r="G176" s="7">
        <v>1</v>
      </c>
      <c r="H176" s="21" t="s">
        <v>963</v>
      </c>
      <c r="I176" s="13">
        <v>42802.458194444444</v>
      </c>
      <c r="J176" s="7">
        <v>0</v>
      </c>
      <c r="K176" s="98" t="str">
        <f t="shared" si="51"/>
        <v>4053/4054</v>
      </c>
      <c r="L176" s="21" t="str">
        <f>VLOOKUP(A176,'Trips&amp;Operators'!$C$1:$G$99999,5,FALSE)</f>
        <v>LOZA FIDEL</v>
      </c>
      <c r="M176" s="6">
        <f t="shared" si="52"/>
        <v>5.5555555445607752E-4</v>
      </c>
      <c r="N176" s="7"/>
      <c r="O176" s="7"/>
      <c r="P176" s="7"/>
      <c r="Q176" s="22"/>
      <c r="R176" s="22"/>
      <c r="S176" s="31"/>
      <c r="T176" s="46" t="str">
        <f t="shared" si="53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186" t="str">
        <f t="shared" si="54"/>
        <v>https://d0f6bd738d7f1b3e5a7ca70fe4ff75f0.us-east-1.aws.found.io/app/kibana#/discover/Steve-Slow-Train-Analysis-(2080s-and-2083s)?_g=(refreshInterval:(display:Off,pause:!f,section:0,value:0),time:(from:'2017-03-08T09:57:48-0700',mode:absolute,to:'2017-03-08T11:59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6" s="187" t="str">
        <f t="shared" si="55"/>
        <v>Y</v>
      </c>
      <c r="X176" s="187">
        <f t="shared" si="70"/>
        <v>0</v>
      </c>
      <c r="Y176" s="62">
        <f t="shared" si="56"/>
        <v>9.6699999999999994E-2</v>
      </c>
      <c r="Z176" s="62">
        <f t="shared" si="57"/>
        <v>9.74E-2</v>
      </c>
      <c r="AA176" s="62">
        <f t="shared" si="58"/>
        <v>7.0000000000000617E-4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9"/>
        <v>0817-08</v>
      </c>
      <c r="AE176" s="85" t="str">
        <f t="shared" si="60"/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176" s="82" t="str">
        <f t="shared" si="61"/>
        <v>"C:\Program Files (x86)\AstroGrep\AstroGrep.exe" /e /r /s /spath="%USERPROFILE%\AppData\Local\Temp\OnboardLogs" /stypes="app*4053*20170308*" /stext=" 17:.+((SYSTEM_STATE.+slice.+state.+changed )|(ment ac)|(multiple cpu faults)|(system.+state.+changed )|(\[timeout)|(PRM\|1\|D)|(kpr)|(kdp)|(\|lc)|(penalty))"</v>
      </c>
      <c r="AG176" s="1" t="str">
        <f t="shared" si="62"/>
        <v>NW</v>
      </c>
      <c r="AH176" s="86" t="str">
        <f t="shared" si="63"/>
        <v>"%USERPROFILE%\Documents\GitHub\eaglep3\Utilities\RefineRTDCRunTimes.py" --tripid 817-08 --locoid 4053 --swversion DE.1.0.9.0 --startMP 204:967 --initTime 2017-03-08T10:57:48 --startdatetime 2017-03-08T10:59:00 --delay 1 --endMP 204:974 --enddatetime 2017-03-08T10:59:48 --enforcementcount 0 &gt;&gt;C:\Users\stu\Documents\GitHub\eaglep3-reporting\EC\2017-03-08-refined-times.txt</v>
      </c>
      <c r="AI176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{"issue":{"subject":"","project_id":79,"tracker_id":40,"status_id":1,"priority_id":2,"assigned_to_id":23,"start_date":"2017-03-08","description":"","custom_fields":[{"id":1,"name":"Subdivision","value":"NW"},{"id":4,"name":"Milepost","value":"0.0974"},{"id":17,"name":"Train ID","value":"817-08"},{"id":16,"name":"Locomotive ID","value":"4053"},{"id":130,"name":"Impact","value":""},{"id":150,"name":"Time of Event (Mountain Time)","value":"10:59:48"},{"id":151,"name":"Denver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5"/>
        <v>start /low /b %USERPROFILE%\Documents\GitHub\eaglep3\Utilities\DownloadLogsFromS3.py --loco 4053 --day 2017-03-08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"%USERPROFILE%\AppData\Local\Temp\OnboardLogs"\RTDC4053\*4053*20170308* | grep -SE "(Enforcement Action)|(\[TIMEOUT)|(CHR.+\|PRM\|1\|D.+(SWITCH|SIGNAL).+UNKNOWN)" - &gt;&gt; 2017-03-08-UncaughtWiMAX.txt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684</v>
      </c>
      <c r="B177" s="7">
        <v>4053</v>
      </c>
      <c r="C177" s="21" t="s">
        <v>242</v>
      </c>
      <c r="D177" s="21" t="s">
        <v>963</v>
      </c>
      <c r="E177" s="13">
        <v>42802.458611111113</v>
      </c>
      <c r="F177" s="13">
        <v>42802.45952546296</v>
      </c>
      <c r="G177" s="7">
        <v>1</v>
      </c>
      <c r="H177" s="21" t="s">
        <v>963</v>
      </c>
      <c r="I177" s="13">
        <v>42802.45952546296</v>
      </c>
      <c r="J177" s="7">
        <v>0</v>
      </c>
      <c r="K177" s="98" t="str">
        <f t="shared" si="51"/>
        <v>4053/4054</v>
      </c>
      <c r="L177" s="21" t="str">
        <f>VLOOKUP(A177,'Trips&amp;Operators'!$C$1:$G$99999,5,FALSE)</f>
        <v>LOZA FIDEL</v>
      </c>
      <c r="M177" s="6">
        <f t="shared" si="52"/>
        <v>0</v>
      </c>
      <c r="N177" s="7"/>
      <c r="O177" s="7"/>
      <c r="P177" s="7"/>
      <c r="Q177" s="22"/>
      <c r="R177" s="22"/>
      <c r="S177" s="31"/>
      <c r="T177" s="46" t="str">
        <f t="shared" si="53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0</v>
      </c>
      <c r="V177" s="186" t="str">
        <f t="shared" si="54"/>
        <v>https://d0f6bd738d7f1b3e5a7ca70fe4ff75f0.us-east-1.aws.found.io/app/kibana#/discover/Steve-Slow-Train-Analysis-(2080s-and-2083s)?_g=(refreshInterval:(display:Off,pause:!f,section:0,value:0),time:(from:'2017-03-08T10:00:24-0700',mode:absolute,to:'2017-03-08T12:01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7" s="187" t="str">
        <f t="shared" si="55"/>
        <v>Y</v>
      </c>
      <c r="X177" s="187">
        <f t="shared" si="70"/>
        <v>0</v>
      </c>
      <c r="Y177" s="62">
        <f t="shared" si="56"/>
        <v>9.74E-2</v>
      </c>
      <c r="Z177" s="62">
        <f t="shared" si="57"/>
        <v>9.74E-2</v>
      </c>
      <c r="AA177" s="62">
        <f t="shared" si="58"/>
        <v>0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9"/>
        <v>0817-08</v>
      </c>
      <c r="AE177" s="85" t="str">
        <f t="shared" si="60"/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177" s="82" t="str">
        <f t="shared" si="61"/>
        <v>"C:\Program Files (x86)\AstroGrep\AstroGrep.exe" /e /r /s /spath="%USERPROFILE%\AppData\Local\Temp\OnboardLogs" /stypes="app*4053*20170308*" /stext=" 18:.+((SYSTEM_STATE.+slice.+state.+changed )|(ment ac)|(multiple cpu faults)|(system.+state.+changed )|(\[timeout)|(PRM\|1\|D)|(kpr)|(kdp)|(\|lc)|(penalty))"</v>
      </c>
      <c r="AG177" s="1" t="str">
        <f t="shared" si="62"/>
        <v>NW</v>
      </c>
      <c r="AH177" s="86" t="str">
        <f t="shared" si="63"/>
        <v>"%USERPROFILE%\Documents\GitHub\eaglep3\Utilities\RefineRTDCRunTimes.py" --tripid 817-08 --locoid 4053 --swversion DE.1.0.9.0 --startMP 204:974 --initTime 2017-03-08T11:00:24 --startdatetime 2017-03-08T11:01:43 --delay 1 --endMP 204:974 --enddatetime 2017-03-08T11:01:43 --enforcementcount 0 &gt;&gt;C:\Users\stu\Documents\GitHub\eaglep3-reporting\EC\2017-03-08-refined-times.txt</v>
      </c>
      <c r="AI177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{"issue":{"subject":"","project_id":79,"tracker_id":40,"status_id":1,"priority_id":2,"assigned_to_id":23,"start_date":"2017-03-08","description":"","custom_fields":[{"id":1,"name":"Subdivision","value":"NW"},{"id":4,"name":"Milepost","value":"0.0974"},{"id":17,"name":"Train ID","value":"817-08"},{"id":16,"name":"Locomotive ID","value":"4053"},{"id":130,"name":"Impact","value":""},{"id":150,"name":"Time of Event (Mountain Time)","value":"11:01:43"},{"id":151,"name":"Denver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5"/>
        <v>start /low /b %USERPROFILE%\Documents\GitHub\eaglep3\Utilities\DownloadLogsFromS3.py --loco 4053 --day 2017-03-08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"%USERPROFILE%\AppData\Local\Temp\OnboardLogs"\RTDC4053\*4053*20170308* | grep -SE "(Enforcement Action)|(\[TIMEOUT)|(CHR.+\|PRM\|1\|D.+(SWITCH|SIGNAL).+UNKNOWN)" - &gt;&gt; 2017-03-08-UncaughtWiMAX.txt</v>
      </c>
    </row>
    <row r="178" spans="1:91" s="20" customFormat="1" x14ac:dyDescent="0.25">
      <c r="A178" s="33" t="s">
        <v>692</v>
      </c>
      <c r="B178" s="7">
        <v>4054</v>
      </c>
      <c r="C178" s="21" t="s">
        <v>242</v>
      </c>
      <c r="D178" s="21" t="s">
        <v>517</v>
      </c>
      <c r="E178" s="13">
        <v>42802.4844212963</v>
      </c>
      <c r="F178" s="13">
        <v>42802.486273148148</v>
      </c>
      <c r="G178" s="7">
        <v>1</v>
      </c>
      <c r="H178" s="21" t="s">
        <v>976</v>
      </c>
      <c r="I178" s="13">
        <v>42802.496192129627</v>
      </c>
      <c r="J178" s="7">
        <v>0</v>
      </c>
      <c r="K178" s="98" t="str">
        <f t="shared" si="51"/>
        <v>4053/4054</v>
      </c>
      <c r="L178" s="21" t="str">
        <f>VLOOKUP(A178,'Trips&amp;Operators'!$C$1:$G$99999,5,FALSE)</f>
        <v>LOZA FIDEL</v>
      </c>
      <c r="M178" s="6">
        <f t="shared" si="52"/>
        <v>9.9189814791316167E-3</v>
      </c>
      <c r="N178" s="7">
        <f t="shared" ref="N178:N209" si="71">24*60*SUM($M178:$M178)</f>
        <v>14.283333329949528</v>
      </c>
      <c r="O178" s="7"/>
      <c r="P178" s="7"/>
      <c r="Q178" s="22"/>
      <c r="R178" s="22"/>
      <c r="S178" s="31">
        <f t="shared" ref="S178:S209" si="72">SUM(U178:U178)/IF(AG178="EC",12,1)</f>
        <v>1</v>
      </c>
      <c r="T178" s="46" t="str">
        <f t="shared" si="53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4"/>
        <v>https://d0f6bd738d7f1b3e5a7ca70fe4ff75f0.us-east-1.aws.found.io/app/kibana#/discover/Steve-Slow-Train-Analysis-(2080s-and-2083s)?_g=(refreshInterval:(display:Off,pause:!f,section:0,value:0),time:(from:'2017-03-08T10:37:34-0700',mode:absolute,to:'2017-03-08T12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8" s="187" t="str">
        <f t="shared" si="55"/>
        <v>N</v>
      </c>
      <c r="X178" s="187">
        <f t="shared" si="70"/>
        <v>1</v>
      </c>
      <c r="Y178" s="62">
        <f t="shared" si="56"/>
        <v>5.8651</v>
      </c>
      <c r="Z178" s="62">
        <f t="shared" si="57"/>
        <v>6.8500000000000005E-2</v>
      </c>
      <c r="AA178" s="62">
        <f t="shared" si="58"/>
        <v>5.7965999999999998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9"/>
        <v>0818-08</v>
      </c>
      <c r="AE178" s="85" t="str">
        <f t="shared" si="60"/>
        <v>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 &amp; aws s3 cp s3://rtdc.mdm.uploadarchive.raw/RTDC4054/ "%USERPROFILE%\AppData\Local\Temp\OnboardLogs"\RTDC4054\2017-03-09 --exclude "*" --recursive --include "*20170309*" &amp; "%USERPROFILE%\Documents\GitHub\mrs-test-scripts\Headless Mode &amp; Sideloading\WalkAndUnGZ.bat" "%USERPROFILE%\AppData\Local\Temp\OnboardLogs"\RTDC4054\2017-03-09</v>
      </c>
      <c r="AF178" s="82" t="str">
        <f t="shared" si="61"/>
        <v>"C:\Program Files (x86)\AstroGrep\AstroGrep.exe" /e /r /s /spath="%USERPROFILE%\AppData\Local\Temp\OnboardLogs" /stypes="app*4054*20170308*" /stext=" 18:.+((SYSTEM_STATE.+slice.+state.+changed )|(ment ac)|(multiple cpu faults)|(system.+state.+changed )|(\[timeout)|(PRM\|1\|D)|(kpr)|(kdp)|(\|lc)|(penalty))"</v>
      </c>
      <c r="AG178" s="1" t="str">
        <f t="shared" si="62"/>
        <v>NW</v>
      </c>
      <c r="AH178" s="86" t="str">
        <f t="shared" si="63"/>
        <v>"%USERPROFILE%\Documents\GitHub\eaglep3\Utilities\RefineRTDCRunTimes.py" --tripid 818-08 --locoid 4054 --swversion DE.1.0.9.0 --startMP 300:58651 --initTime 2017-03-08T11:37:34 --startdatetime 2017-03-08T11:40:14 --delay 1 --endMP 204:685 --enddatetime 2017-03-08T11:54:31 --enforcementcount 0 &gt;&gt;C:\Users\stu\Documents\GitHub\eaglep3-reporting\EC\2017-03-08-refined-times.txt</v>
      </c>
      <c r="AI178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{"issue":{"subject":"","project_id":79,"tracker_id":40,"status_id":1,"priority_id":2,"assigned_to_id":23,"start_date":"2017-03-08","description":"","custom_fields":[{"id":1,"name":"Subdivision","value":"NW"},{"id":4,"name":"Milepost","value":"0.0685"},{"id":17,"name":"Train ID","value":"818-08"},{"id":16,"name":"Locomotive ID","value":"4054"},{"id":130,"name":"Impact","value":""},{"id":150,"name":"Time of Event (Mountain Time)","value":"11:54:31"},{"id":151,"name":"Denver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5"/>
        <v>start /low /b %USERPROFILE%\Documents\GitHub\eaglep3\Utilities\DownloadLogsFromS3.py --loco 4054 --day 2017-03-08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"%USERPROFILE%\AppData\Local\Temp\OnboardLogs"\RTDC4054\*4054*20170308* | grep -SE "(Enforcement Action)|(\[TIMEOUT)|(CHR.+\|PRM\|1\|D.+(SWITCH|SIGNAL).+UNKNOWN)" - &gt;&gt; 2017-03-08-UncaughtWiMAX.txt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700</v>
      </c>
      <c r="B179" s="7">
        <v>4053</v>
      </c>
      <c r="C179" s="21" t="s">
        <v>242</v>
      </c>
      <c r="D179" s="21" t="s">
        <v>957</v>
      </c>
      <c r="E179" s="13">
        <v>42802.501226851855</v>
      </c>
      <c r="F179" s="13">
        <v>42802.514861111114</v>
      </c>
      <c r="G179" s="7">
        <v>1</v>
      </c>
      <c r="H179" s="21" t="s">
        <v>977</v>
      </c>
      <c r="I179" s="13">
        <v>42802.524259259262</v>
      </c>
      <c r="J179" s="7">
        <v>0</v>
      </c>
      <c r="K179" s="98" t="str">
        <f t="shared" si="51"/>
        <v>4053/4054</v>
      </c>
      <c r="L179" s="21" t="str">
        <f>VLOOKUP(A179,'Trips&amp;Operators'!$C$1:$G$99999,5,FALSE)</f>
        <v>LOZA FIDEL</v>
      </c>
      <c r="M179" s="6">
        <f t="shared" si="52"/>
        <v>9.3981481477385387E-3</v>
      </c>
      <c r="N179" s="7">
        <f t="shared" si="71"/>
        <v>13.533333332743496</v>
      </c>
      <c r="O179" s="7"/>
      <c r="P179" s="7"/>
      <c r="Q179" s="22"/>
      <c r="R179" s="22"/>
      <c r="S179" s="31">
        <f t="shared" si="72"/>
        <v>1</v>
      </c>
      <c r="T179" s="46" t="str">
        <f t="shared" si="53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4"/>
        <v>https://d0f6bd738d7f1b3e5a7ca70fe4ff75f0.us-east-1.aws.found.io/app/kibana#/discover/Steve-Slow-Train-Analysis-(2080s-and-2083s)?_g=(refreshInterval:(display:Off,pause:!f,section:0,value:0),time:(from:'2017-03-08T11:01:46-0700',mode:absolute,to:'2017-03-08T13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9" s="187" t="str">
        <f t="shared" si="55"/>
        <v>N</v>
      </c>
      <c r="X179" s="187">
        <f t="shared" si="70"/>
        <v>1</v>
      </c>
      <c r="Y179" s="62">
        <f t="shared" si="56"/>
        <v>9.7799999999999998E-2</v>
      </c>
      <c r="Z179" s="62">
        <f t="shared" si="57"/>
        <v>5.8948</v>
      </c>
      <c r="AA179" s="62">
        <f t="shared" si="58"/>
        <v>5.7969999999999997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9"/>
        <v>0819-08</v>
      </c>
      <c r="AE179" s="85" t="str">
        <f t="shared" si="60"/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179" s="82" t="str">
        <f t="shared" si="61"/>
        <v>"C:\Program Files (x86)\AstroGrep\AstroGrep.exe" /e /r /s /spath="%USERPROFILE%\AppData\Local\Temp\OnboardLogs" /stypes="app*4053*20170308*" /stext=" 19:.+((SYSTEM_STATE.+slice.+state.+changed )|(ment ac)|(multiple cpu faults)|(system.+state.+changed )|(\[timeout)|(PRM\|1\|D)|(kpr)|(kdp)|(\|lc)|(penalty))"</v>
      </c>
      <c r="AG179" s="1" t="str">
        <f t="shared" si="62"/>
        <v>NW</v>
      </c>
      <c r="AH179" s="86" t="str">
        <f t="shared" si="63"/>
        <v>"%USERPROFILE%\Documents\GitHub\eaglep3\Utilities\RefineRTDCRunTimes.py" --tripid 819-08 --locoid 4053 --swversion DE.1.0.9.0 --startMP 204:978 --initTime 2017-03-08T12:01:46 --startdatetime 2017-03-08T12:21:24 --delay 1 --endMP 300:58948 --enddatetime 2017-03-08T12:34:56 --enforcementcount 0 &gt;&gt;C:\Users\stu\Documents\GitHub\eaglep3-reporting\EC\2017-03-08-refined-times.txt</v>
      </c>
      <c r="AI179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{"issue":{"subject":"","project_id":79,"tracker_id":40,"status_id":1,"priority_id":2,"assigned_to_id":23,"start_date":"2017-03-08","description":"","custom_fields":[{"id":1,"name":"Subdivision","value":"NW"},{"id":4,"name":"Milepost","value":"5.8948"},{"id":17,"name":"Train ID","value":"819-08"},{"id":16,"name":"Locomotive ID","value":"4053"},{"id":130,"name":"Impact","value":""},{"id":150,"name":"Time of Event (Mountain Time)","value":"12:34:56"},{"id":151,"name":"Denver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5"/>
        <v>start /low /b %USERPROFILE%\Documents\GitHub\eaglep3\Utilities\DownloadLogsFromS3.py --loco 4053 --day 2017-03-08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"%USERPROFILE%\AppData\Local\Temp\OnboardLogs"\RTDC4053\*4053*20170308* | grep -SE "(Enforcement Action)|(\[TIMEOUT)|(CHR.+\|PRM\|1\|D.+(SWITCH|SIGNAL).+UNKNOWN)" - &gt;&gt; 2017-03-08-UncaughtWiMAX.txt</v>
      </c>
    </row>
    <row r="180" spans="1:91" x14ac:dyDescent="0.25">
      <c r="A180" s="33" t="s">
        <v>708</v>
      </c>
      <c r="B180" s="7">
        <v>4054</v>
      </c>
      <c r="C180" s="21" t="s">
        <v>242</v>
      </c>
      <c r="D180" s="21" t="s">
        <v>978</v>
      </c>
      <c r="E180" s="13">
        <v>42802.525694444441</v>
      </c>
      <c r="F180" s="13">
        <v>42802.527395833335</v>
      </c>
      <c r="G180" s="7">
        <v>1</v>
      </c>
      <c r="H180" s="21" t="s">
        <v>526</v>
      </c>
      <c r="I180" s="13">
        <v>42802.53806712963</v>
      </c>
      <c r="J180" s="7">
        <v>0</v>
      </c>
      <c r="K180" s="98" t="str">
        <f t="shared" si="51"/>
        <v>4053/4054</v>
      </c>
      <c r="L180" s="21" t="str">
        <f>VLOOKUP(A180,'Trips&amp;Operators'!$C$1:$G$99999,5,FALSE)</f>
        <v>LOZA FIDEL</v>
      </c>
      <c r="M180" s="6">
        <f t="shared" si="52"/>
        <v>1.0671296295186039E-2</v>
      </c>
      <c r="N180" s="7">
        <f t="shared" si="71"/>
        <v>15.366666665067896</v>
      </c>
      <c r="O180" s="7"/>
      <c r="P180" s="7"/>
      <c r="Q180" s="22"/>
      <c r="R180" s="22"/>
      <c r="S180" s="31">
        <f t="shared" si="72"/>
        <v>1</v>
      </c>
      <c r="T180" s="46" t="str">
        <f t="shared" si="53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4"/>
        <v>https://d0f6bd738d7f1b3e5a7ca70fe4ff75f0.us-east-1.aws.found.io/app/kibana#/discover/Steve-Slow-Train-Analysis-(2080s-and-2083s)?_g=(refreshInterval:(display:Off,pause:!f,section:0,value:0),time:(from:'2017-03-08T11:37:00-0700',mode:absolute,to:'2017-03-08T13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0" s="187" t="str">
        <f t="shared" si="55"/>
        <v>N</v>
      </c>
      <c r="X180" s="187">
        <f t="shared" si="70"/>
        <v>1</v>
      </c>
      <c r="Y180" s="62">
        <f t="shared" si="56"/>
        <v>5.8644999999999996</v>
      </c>
      <c r="Z180" s="62">
        <f t="shared" si="57"/>
        <v>6.5000000000000002E-2</v>
      </c>
      <c r="AA180" s="62">
        <f t="shared" si="58"/>
        <v>5.7994999999999992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9"/>
        <v>0820-08</v>
      </c>
      <c r="AE180" s="85" t="str">
        <f t="shared" si="60"/>
        <v>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 &amp; aws s3 cp s3://rtdc.mdm.uploadarchive.raw/RTDC4054/ "%USERPROFILE%\AppData\Local\Temp\OnboardLogs"\RTDC4054\2017-03-09 --exclude "*" --recursive --include "*20170309*" &amp; "%USERPROFILE%\Documents\GitHub\mrs-test-scripts\Headless Mode &amp; Sideloading\WalkAndUnGZ.bat" "%USERPROFILE%\AppData\Local\Temp\OnboardLogs"\RTDC4054\2017-03-09</v>
      </c>
      <c r="AF180" s="82" t="str">
        <f t="shared" si="61"/>
        <v>"C:\Program Files (x86)\AstroGrep\AstroGrep.exe" /e /r /s /spath="%USERPROFILE%\AppData\Local\Temp\OnboardLogs" /stypes="app*4054*20170308*" /stext=" 19:.+((SYSTEM_STATE.+slice.+state.+changed )|(ment ac)|(multiple cpu faults)|(system.+state.+changed )|(\[timeout)|(PRM\|1\|D)|(kpr)|(kdp)|(\|lc)|(penalty))"</v>
      </c>
      <c r="AG180" s="1" t="str">
        <f t="shared" si="62"/>
        <v>NW</v>
      </c>
      <c r="AH180" s="86" t="str">
        <f t="shared" si="63"/>
        <v>"%USERPROFILE%\Documents\GitHub\eaglep3\Utilities\RefineRTDCRunTimes.py" --tripid 820-08 --locoid 4054 --swversion DE.1.0.9.0 --startMP 300:58645 --initTime 2017-03-08T12:37:00 --startdatetime 2017-03-08T12:39:27 --delay 1 --endMP 204:650 --enddatetime 2017-03-08T12:54:49 --enforcementcount 0 &gt;&gt;C:\Users\stu\Documents\GitHub\eaglep3-reporting\EC\2017-03-08-refined-times.txt</v>
      </c>
      <c r="AI180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{"issue":{"subject":"","project_id":79,"tracker_id":40,"status_id":1,"priority_id":2,"assigned_to_id":23,"start_date":"2017-03-08","description":"","custom_fields":[{"id":1,"name":"Subdivision","value":"NW"},{"id":4,"name":"Milepost","value":"0.065"},{"id":17,"name":"Train ID","value":"820-08"},{"id":16,"name":"Locomotive ID","value":"4054"},{"id":130,"name":"Impact","value":""},{"id":150,"name":"Time of Event (Mountain Time)","value":"12:54:49"},{"id":151,"name":"Denver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5"/>
        <v>start /low /b %USERPROFILE%\Documents\GitHub\eaglep3\Utilities\DownloadLogsFromS3.py --loco 4054 --day 2017-03-08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"%USERPROFILE%\AppData\Local\Temp\OnboardLogs"\RTDC4054\*4054*20170308* | grep -SE "(Enforcement Action)|(\[TIMEOUT)|(CHR.+\|PRM\|1\|D.+(SWITCH|SIGNAL).+UNKNOWN)" - &gt;&gt; 2017-03-08-UncaughtWiMAX.txt</v>
      </c>
    </row>
    <row r="181" spans="1:91" x14ac:dyDescent="0.25">
      <c r="A181" s="33" t="s">
        <v>713</v>
      </c>
      <c r="B181" s="7">
        <v>4053</v>
      </c>
      <c r="C181" s="21" t="s">
        <v>242</v>
      </c>
      <c r="D181" s="21" t="s">
        <v>979</v>
      </c>
      <c r="E181" s="13">
        <v>42802.547314814816</v>
      </c>
      <c r="F181" s="13">
        <v>42802.556446759256</v>
      </c>
      <c r="G181" s="7">
        <v>1</v>
      </c>
      <c r="H181" s="21" t="s">
        <v>977</v>
      </c>
      <c r="I181" s="13">
        <v>42802.566122685188</v>
      </c>
      <c r="J181" s="7">
        <v>0</v>
      </c>
      <c r="K181" s="98" t="str">
        <f t="shared" si="51"/>
        <v>4053/4054</v>
      </c>
      <c r="L181" s="21" t="str">
        <f>VLOOKUP(A181,'Trips&amp;Operators'!$C$1:$G$99999,5,FALSE)</f>
        <v>MAYBERRY BILL</v>
      </c>
      <c r="M181" s="6">
        <f t="shared" si="52"/>
        <v>9.6759259322425351E-3</v>
      </c>
      <c r="N181" s="7">
        <f t="shared" si="71"/>
        <v>13.93333334242925</v>
      </c>
      <c r="O181" s="7"/>
      <c r="P181" s="7"/>
      <c r="Q181" s="22"/>
      <c r="R181" s="22"/>
      <c r="S181" s="31">
        <f t="shared" si="72"/>
        <v>1</v>
      </c>
      <c r="T181" s="46" t="str">
        <f t="shared" si="53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4"/>
        <v>https://d0f6bd738d7f1b3e5a7ca70fe4ff75f0.us-east-1.aws.found.io/app/kibana#/discover/Steve-Slow-Train-Analysis-(2080s-and-2083s)?_g=(refreshInterval:(display:Off,pause:!f,section:0,value:0),time:(from:'2017-03-08T12:08:08-0700',mode:absolute,to:'2017-03-08T14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1" s="187" t="str">
        <f t="shared" si="55"/>
        <v>N</v>
      </c>
      <c r="X181" s="187">
        <f t="shared" si="70"/>
        <v>1</v>
      </c>
      <c r="Y181" s="62">
        <f t="shared" si="56"/>
        <v>9.5699999999999993E-2</v>
      </c>
      <c r="Z181" s="62">
        <f t="shared" si="57"/>
        <v>5.8948</v>
      </c>
      <c r="AA181" s="62">
        <f t="shared" si="58"/>
        <v>5.7991000000000001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9"/>
        <v>0821-08</v>
      </c>
      <c r="AE181" s="85" t="str">
        <f t="shared" si="60"/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181" s="82" t="str">
        <f t="shared" si="61"/>
        <v>"C:\Program Files (x86)\AstroGrep\AstroGrep.exe" /e /r /s /spath="%USERPROFILE%\AppData\Local\Temp\OnboardLogs" /stypes="app*4053*20170308*" /stext=" 20:.+((SYSTEM_STATE.+slice.+state.+changed )|(ment ac)|(multiple cpu faults)|(system.+state.+changed )|(\[timeout)|(PRM\|1\|D)|(kpr)|(kdp)|(\|lc)|(penalty))"</v>
      </c>
      <c r="AG181" s="1" t="str">
        <f t="shared" si="62"/>
        <v>NW</v>
      </c>
      <c r="AH181" s="86" t="str">
        <f t="shared" si="63"/>
        <v>"%USERPROFILE%\Documents\GitHub\eaglep3\Utilities\RefineRTDCRunTimes.py" --tripid 821-08 --locoid 4053 --swversion DE.1.0.9.0 --startMP 204:957 --initTime 2017-03-08T13:08:08 --startdatetime 2017-03-08T13:21:17 --delay 1 --endMP 300:58948 --enddatetime 2017-03-08T13:35:13 --enforcementcount 0 &gt;&gt;C:\Users\stu\Documents\GitHub\eaglep3-reporting\EC\2017-03-08-refined-times.txt</v>
      </c>
      <c r="AI181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{"issue":{"subject":"","project_id":79,"tracker_id":40,"status_id":1,"priority_id":2,"assigned_to_id":23,"start_date":"2017-03-08","description":"","custom_fields":[{"id":1,"name":"Subdivision","value":"NW"},{"id":4,"name":"Milepost","value":"5.8948"},{"id":17,"name":"Train ID","value":"821-08"},{"id":16,"name":"Locomotive ID","value":"4053"},{"id":130,"name":"Impact","value":""},{"id":150,"name":"Time of Event (Mountain Time)","value":"13:35:13"},{"id":151,"name":"Denver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5"/>
        <v>start /low /b %USERPROFILE%\Documents\GitHub\eaglep3\Utilities\DownloadLogsFromS3.py --loco 4053 --day 2017-03-08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"%USERPROFILE%\AppData\Local\Temp\OnboardLogs"\RTDC4053\*4053*20170308* | grep -SE "(Enforcement Action)|(\[TIMEOUT)|(CHR.+\|PRM\|1\|D.+(SWITCH|SIGNAL).+UNKNOWN)" - &gt;&gt; 2017-03-08-UncaughtWiMAX.txt</v>
      </c>
    </row>
    <row r="182" spans="1:91" s="20" customFormat="1" x14ac:dyDescent="0.25">
      <c r="A182" s="33" t="s">
        <v>720</v>
      </c>
      <c r="B182" s="7">
        <v>4054</v>
      </c>
      <c r="C182" s="21" t="s">
        <v>242</v>
      </c>
      <c r="D182" s="21" t="s">
        <v>980</v>
      </c>
      <c r="E182" s="13">
        <v>42802.566932870373</v>
      </c>
      <c r="F182" s="13">
        <v>42802.56894675926</v>
      </c>
      <c r="G182" s="7">
        <v>1</v>
      </c>
      <c r="H182" s="21" t="s">
        <v>981</v>
      </c>
      <c r="I182" s="13">
        <v>42802.58017361111</v>
      </c>
      <c r="J182" s="7">
        <v>0</v>
      </c>
      <c r="K182" s="98" t="str">
        <f t="shared" si="51"/>
        <v>4053/4054</v>
      </c>
      <c r="L182" s="21" t="str">
        <f>VLOOKUP(A182,'Trips&amp;Operators'!$C$1:$G$99999,5,FALSE)</f>
        <v>MAYBERRY BILL</v>
      </c>
      <c r="M182" s="6">
        <f t="shared" si="52"/>
        <v>1.1226851849642117E-2</v>
      </c>
      <c r="N182" s="7">
        <f t="shared" si="71"/>
        <v>16.166666663484648</v>
      </c>
      <c r="O182" s="7"/>
      <c r="P182" s="7"/>
      <c r="Q182" s="22"/>
      <c r="R182" s="22"/>
      <c r="S182" s="31">
        <f t="shared" si="72"/>
        <v>1</v>
      </c>
      <c r="T182" s="46" t="str">
        <f t="shared" si="53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4"/>
        <v>https://d0f6bd738d7f1b3e5a7ca70fe4ff75f0.us-east-1.aws.found.io/app/kibana#/discover/Steve-Slow-Train-Analysis-(2080s-and-2083s)?_g=(refreshInterval:(display:Off,pause:!f,section:0,value:0),time:(from:'2017-03-08T12:36:23-0700',mode:absolute,to:'2017-03-08T14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2" s="187" t="str">
        <f t="shared" si="55"/>
        <v>N</v>
      </c>
      <c r="X182" s="187">
        <f t="shared" si="70"/>
        <v>1</v>
      </c>
      <c r="Y182" s="62">
        <f t="shared" si="56"/>
        <v>5.8625999999999996</v>
      </c>
      <c r="Z182" s="62">
        <f t="shared" si="57"/>
        <v>7.0099999999999996E-2</v>
      </c>
      <c r="AA182" s="62">
        <f t="shared" si="58"/>
        <v>5.7924999999999995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9"/>
        <v>0822-08</v>
      </c>
      <c r="AE182" s="85" t="str">
        <f t="shared" si="60"/>
        <v>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 &amp; aws s3 cp s3://rtdc.mdm.uploadarchive.raw/RTDC4054/ "%USERPROFILE%\AppData\Local\Temp\OnboardLogs"\RTDC4054\2017-03-09 --exclude "*" --recursive --include "*20170309*" &amp; "%USERPROFILE%\Documents\GitHub\mrs-test-scripts\Headless Mode &amp; Sideloading\WalkAndUnGZ.bat" "%USERPROFILE%\AppData\Local\Temp\OnboardLogs"\RTDC4054\2017-03-09</v>
      </c>
      <c r="AF182" s="82" t="str">
        <f t="shared" si="61"/>
        <v>"C:\Program Files (x86)\AstroGrep\AstroGrep.exe" /e /r /s /spath="%USERPROFILE%\AppData\Local\Temp\OnboardLogs" /stypes="app*4054*20170308*" /stext=" 20:.+((SYSTEM_STATE.+slice.+state.+changed )|(ment ac)|(multiple cpu faults)|(system.+state.+changed )|(\[timeout)|(PRM\|1\|D)|(kpr)|(kdp)|(\|lc)|(penalty))"</v>
      </c>
      <c r="AG182" s="1" t="str">
        <f t="shared" si="62"/>
        <v>NW</v>
      </c>
      <c r="AH182" s="86" t="str">
        <f t="shared" si="63"/>
        <v>"%USERPROFILE%\Documents\GitHub\eaglep3\Utilities\RefineRTDCRunTimes.py" --tripid 822-08 --locoid 4054 --swversion DE.1.0.9.0 --startMP 300:58626 --initTime 2017-03-08T13:36:23 --startdatetime 2017-03-08T13:39:17 --delay 1 --endMP 204:701 --enddatetime 2017-03-08T13:55:27 --enforcementcount 0 &gt;&gt;C:\Users\stu\Documents\GitHub\eaglep3-reporting\EC\2017-03-08-refined-times.txt</v>
      </c>
      <c r="AI182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{"issue":{"subject":"","project_id":79,"tracker_id":40,"status_id":1,"priority_id":2,"assigned_to_id":23,"start_date":"2017-03-08","description":"","custom_fields":[{"id":1,"name":"Subdivision","value":"NW"},{"id":4,"name":"Milepost","value":"0.0701"},{"id":17,"name":"Train ID","value":"822-08"},{"id":16,"name":"Locomotive ID","value":"4054"},{"id":130,"name":"Impact","value":""},{"id":150,"name":"Time of Event (Mountain Time)","value":"13:55:27"},{"id":151,"name":"Denver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5"/>
        <v>start /low /b %USERPROFILE%\Documents\GitHub\eaglep3\Utilities\DownloadLogsFromS3.py --loco 4054 --day 2017-03-08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"%USERPROFILE%\AppData\Local\Temp\OnboardLogs"\RTDC4054\*4054*20170308* | grep -SE "(Enforcement Action)|(\[TIMEOUT)|(CHR.+\|PRM\|1\|D.+(SWITCH|SIGNAL).+UNKNOWN)" - &gt;&gt; 2017-03-08-UncaughtWiMAX.txt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725</v>
      </c>
      <c r="B183" s="7">
        <v>4053</v>
      </c>
      <c r="C183" s="21" t="s">
        <v>242</v>
      </c>
      <c r="D183" s="21" t="s">
        <v>982</v>
      </c>
      <c r="E183" s="13">
        <v>42802.594166666669</v>
      </c>
      <c r="F183" s="13">
        <v>42802.598182870373</v>
      </c>
      <c r="G183" s="7">
        <v>2</v>
      </c>
      <c r="H183" s="21" t="s">
        <v>267</v>
      </c>
      <c r="I183" s="13">
        <v>42802.607766203706</v>
      </c>
      <c r="J183" s="7">
        <v>0</v>
      </c>
      <c r="K183" s="98" t="str">
        <f t="shared" si="51"/>
        <v>4053/4054</v>
      </c>
      <c r="L183" s="21" t="str">
        <f>VLOOKUP(A183,'Trips&amp;Operators'!$C$1:$G$99999,5,FALSE)</f>
        <v>BRUDER RICHARD</v>
      </c>
      <c r="M183" s="6">
        <f t="shared" si="52"/>
        <v>9.5833333325572312E-3</v>
      </c>
      <c r="N183" s="7">
        <f t="shared" si="71"/>
        <v>13.799999998882413</v>
      </c>
      <c r="O183" s="7"/>
      <c r="P183" s="7"/>
      <c r="Q183" s="22"/>
      <c r="R183" s="22"/>
      <c r="S183" s="31">
        <f t="shared" si="72"/>
        <v>1</v>
      </c>
      <c r="T183" s="46" t="str">
        <f t="shared" si="53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4"/>
        <v>https://d0f6bd738d7f1b3e5a7ca70fe4ff75f0.us-east-1.aws.found.io/app/kibana#/discover/Steve-Slow-Train-Analysis-(2080s-and-2083s)?_g=(refreshInterval:(display:Off,pause:!f,section:0,value:0),time:(from:'2017-03-08T13:15:36-0700',mode:absolute,to:'2017-03-08T15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3" s="187" t="str">
        <f t="shared" si="55"/>
        <v>N</v>
      </c>
      <c r="X183" s="187">
        <f t="shared" si="70"/>
        <v>1</v>
      </c>
      <c r="Y183" s="62">
        <f t="shared" si="56"/>
        <v>9.5500000000000002E-2</v>
      </c>
      <c r="Z183" s="62">
        <f t="shared" si="57"/>
        <v>5.8933</v>
      </c>
      <c r="AA183" s="62">
        <f t="shared" si="58"/>
        <v>5.7977999999999996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9"/>
        <v>0823-08</v>
      </c>
      <c r="AE183" s="85" t="str">
        <f t="shared" si="60"/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183" s="82" t="str">
        <f t="shared" si="61"/>
        <v>"C:\Program Files (x86)\AstroGrep\AstroGrep.exe" /e /r /s /spath="%USERPROFILE%\AppData\Local\Temp\OnboardLogs" /stypes="app*4053*20170308*" /stext=" 21:.+((SYSTEM_STATE.+slice.+state.+changed )|(ment ac)|(multiple cpu faults)|(system.+state.+changed )|(\[timeout)|(PRM\|1\|D)|(kpr)|(kdp)|(\|lc)|(penalty))"</v>
      </c>
      <c r="AG183" s="1" t="str">
        <f t="shared" si="62"/>
        <v>NW</v>
      </c>
      <c r="AH183" s="86" t="str">
        <f t="shared" si="63"/>
        <v>"%USERPROFILE%\Documents\GitHub\eaglep3\Utilities\RefineRTDCRunTimes.py" --tripid 823-08 --locoid 4053 --swversion DE.1.0.9.0 --startMP 204:955 --initTime 2017-03-08T14:15:36 --startdatetime 2017-03-08T14:21:23 --delay 2 --endMP 300:58933 --enddatetime 2017-03-08T14:35:11 --enforcementcount 0 &gt;&gt;C:\Users\stu\Documents\GitHub\eaglep3-reporting\EC\2017-03-08-refined-times.txt</v>
      </c>
      <c r="AI183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{"issue":{"subject":"","project_id":79,"tracker_id":40,"status_id":1,"priority_id":2,"assigned_to_id":23,"start_date":"2017-03-08","description":"","custom_fields":[{"id":1,"name":"Subdivision","value":"NW"},{"id":4,"name":"Milepost","value":"5.8933"},{"id":17,"name":"Train ID","value":"823-08"},{"id":16,"name":"Locomotive ID","value":"4053"},{"id":130,"name":"Impact","value":""},{"id":150,"name":"Time of Event (Mountain Time)","value":"14:35:11"},{"id":151,"name":"Denver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5"/>
        <v>start /low /b %USERPROFILE%\Documents\GitHub\eaglep3\Utilities\DownloadLogsFromS3.py --loco 4053 --day 2017-03-08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"%USERPROFILE%\AppData\Local\Temp\OnboardLogs"\RTDC4053\*4053*20170308* | grep -SE "(Enforcement Action)|(\[TIMEOUT)|(CHR.+\|PRM\|1\|D.+(SWITCH|SIGNAL).+UNKNOWN)" - &gt;&gt; 2017-03-08-UncaughtWiMAX.txt</v>
      </c>
    </row>
    <row r="184" spans="1:91" s="20" customFormat="1" x14ac:dyDescent="0.25">
      <c r="A184" s="33" t="s">
        <v>730</v>
      </c>
      <c r="B184" s="7">
        <v>4054</v>
      </c>
      <c r="C184" s="21" t="s">
        <v>242</v>
      </c>
      <c r="D184" s="21" t="s">
        <v>955</v>
      </c>
      <c r="E184" s="13">
        <v>42802.609259259261</v>
      </c>
      <c r="F184" s="13">
        <v>42802.611689814818</v>
      </c>
      <c r="G184" s="7">
        <v>2</v>
      </c>
      <c r="H184" s="21" t="s">
        <v>983</v>
      </c>
      <c r="I184" s="13">
        <v>42802.621874999997</v>
      </c>
      <c r="J184" s="7">
        <v>0</v>
      </c>
      <c r="K184" s="98" t="str">
        <f t="shared" si="51"/>
        <v>4053/4054</v>
      </c>
      <c r="L184" s="21" t="str">
        <f>VLOOKUP(A184,'Trips&amp;Operators'!$C$1:$G$99999,5,FALSE)</f>
        <v>BRUDER RICHARD</v>
      </c>
      <c r="M184" s="6">
        <f t="shared" si="52"/>
        <v>1.0185185179580003E-2</v>
      </c>
      <c r="N184" s="7">
        <f t="shared" si="71"/>
        <v>14.666666658595204</v>
      </c>
      <c r="O184" s="7"/>
      <c r="P184" s="7"/>
      <c r="Q184" s="22"/>
      <c r="R184" s="22"/>
      <c r="S184" s="31">
        <f t="shared" si="72"/>
        <v>1</v>
      </c>
      <c r="T184" s="46" t="str">
        <f t="shared" si="53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4"/>
        <v>https://d0f6bd738d7f1b3e5a7ca70fe4ff75f0.us-east-1.aws.found.io/app/kibana#/discover/Steve-Slow-Train-Analysis-(2080s-and-2083s)?_g=(refreshInterval:(display:Off,pause:!f,section:0,value:0),time:(from:'2017-03-08T13:37:20-0700',mode:absolute,to:'2017-03-08T15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4" s="187" t="str">
        <f t="shared" si="55"/>
        <v>N</v>
      </c>
      <c r="X184" s="187">
        <f t="shared" si="70"/>
        <v>1</v>
      </c>
      <c r="Y184" s="62">
        <f t="shared" si="56"/>
        <v>5.8620999999999999</v>
      </c>
      <c r="Z184" s="62">
        <f t="shared" si="57"/>
        <v>6.7500000000000004E-2</v>
      </c>
      <c r="AA184" s="62">
        <f t="shared" si="58"/>
        <v>5.7946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9"/>
        <v>0824-08</v>
      </c>
      <c r="AE184" s="85" t="str">
        <f t="shared" si="60"/>
        <v>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 &amp; aws s3 cp s3://rtdc.mdm.uploadarchive.raw/RTDC4054/ "%USERPROFILE%\AppData\Local\Temp\OnboardLogs"\RTDC4054\2017-03-09 --exclude "*" --recursive --include "*20170309*" &amp; "%USERPROFILE%\Documents\GitHub\mrs-test-scripts\Headless Mode &amp; Sideloading\WalkAndUnGZ.bat" "%USERPROFILE%\AppData\Local\Temp\OnboardLogs"\RTDC4054\2017-03-09</v>
      </c>
      <c r="AF184" s="82" t="str">
        <f t="shared" si="61"/>
        <v>"C:\Program Files (x86)\AstroGrep\AstroGrep.exe" /e /r /s /spath="%USERPROFILE%\AppData\Local\Temp\OnboardLogs" /stypes="app*4054*20170308*" /stext=" 21:.+((SYSTEM_STATE.+slice.+state.+changed )|(ment ac)|(multiple cpu faults)|(system.+state.+changed )|(\[timeout)|(PRM\|1\|D)|(kpr)|(kdp)|(\|lc)|(penalty))"</v>
      </c>
      <c r="AG184" s="1" t="str">
        <f t="shared" si="62"/>
        <v>NW</v>
      </c>
      <c r="AH184" s="86" t="str">
        <f t="shared" si="63"/>
        <v>"%USERPROFILE%\Documents\GitHub\eaglep3\Utilities\RefineRTDCRunTimes.py" --tripid 824-08 --locoid 4054 --swversion DE.1.0.9.0 --startMP 300:58621 --initTime 2017-03-08T14:37:20 --startdatetime 2017-03-08T14:40:50 --delay 2 --endMP 204:675 --enddatetime 2017-03-08T14:55:30 --enforcementcount 0 &gt;&gt;C:\Users\stu\Documents\GitHub\eaglep3-reporting\EC\2017-03-08-refined-times.txt</v>
      </c>
      <c r="AI184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{"issue":{"subject":"","project_id":79,"tracker_id":40,"status_id":1,"priority_id":2,"assigned_to_id":23,"start_date":"2017-03-08","description":"","custom_fields":[{"id":1,"name":"Subdivision","value":"NW"},{"id":4,"name":"Milepost","value":"0.0675"},{"id":17,"name":"Train ID","value":"824-08"},{"id":16,"name":"Locomotive ID","value":"4054"},{"id":130,"name":"Impact","value":""},{"id":150,"name":"Time of Event (Mountain Time)","value":"14:55:30"},{"id":151,"name":"Denver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5"/>
        <v>start /low /b %USERPROFILE%\Documents\GitHub\eaglep3\Utilities\DownloadLogsFromS3.py --loco 4054 --day 2017-03-08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"%USERPROFILE%\AppData\Local\Temp\OnboardLogs"\RTDC4054\*4054*20170308* | grep -SE "(Enforcement Action)|(\[TIMEOUT)|(CHR.+\|PRM\|1\|D.+(SWITCH|SIGNAL).+UNKNOWN)" - &gt;&gt; 2017-03-08-UncaughtWiMAX.txt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737</v>
      </c>
      <c r="B185" s="7">
        <v>4053</v>
      </c>
      <c r="C185" s="21" t="s">
        <v>242</v>
      </c>
      <c r="D185" s="21" t="s">
        <v>982</v>
      </c>
      <c r="E185" s="13">
        <v>42802.636342592596</v>
      </c>
      <c r="F185" s="13">
        <v>42802.639884259261</v>
      </c>
      <c r="G185" s="7">
        <v>2</v>
      </c>
      <c r="H185" s="21" t="s">
        <v>977</v>
      </c>
      <c r="I185" s="13">
        <v>42802.65016203704</v>
      </c>
      <c r="J185" s="7">
        <v>0</v>
      </c>
      <c r="K185" s="98" t="str">
        <f t="shared" si="51"/>
        <v>4053/4054</v>
      </c>
      <c r="L185" s="21" t="str">
        <f>VLOOKUP(A185,'Trips&amp;Operators'!$C$1:$G$99999,5,FALSE)</f>
        <v>BRUDER RICHARD</v>
      </c>
      <c r="M185" s="6">
        <f t="shared" si="52"/>
        <v>1.0277777779265307E-2</v>
      </c>
      <c r="N185" s="7">
        <f t="shared" si="71"/>
        <v>14.800000002142042</v>
      </c>
      <c r="O185" s="7"/>
      <c r="P185" s="7"/>
      <c r="Q185" s="22"/>
      <c r="R185" s="22"/>
      <c r="S185" s="31">
        <f t="shared" si="72"/>
        <v>1</v>
      </c>
      <c r="T185" s="46" t="str">
        <f t="shared" si="53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4"/>
        <v>https://d0f6bd738d7f1b3e5a7ca70fe4ff75f0.us-east-1.aws.found.io/app/kibana#/discover/Steve-Slow-Train-Analysis-(2080s-and-2083s)?_g=(refreshInterval:(display:Off,pause:!f,section:0,value:0),time:(from:'2017-03-08T14:16:20-0700',mode:absolute,to:'2017-03-08T16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5" s="187" t="str">
        <f t="shared" si="55"/>
        <v>N</v>
      </c>
      <c r="X185" s="187">
        <f t="shared" si="70"/>
        <v>1</v>
      </c>
      <c r="Y185" s="62">
        <f t="shared" si="56"/>
        <v>9.5500000000000002E-2</v>
      </c>
      <c r="Z185" s="62">
        <f t="shared" si="57"/>
        <v>5.8948</v>
      </c>
      <c r="AA185" s="62">
        <f t="shared" si="58"/>
        <v>5.7992999999999997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9"/>
        <v>0825-08</v>
      </c>
      <c r="AE185" s="85" t="str">
        <f t="shared" si="60"/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185" s="82" t="str">
        <f t="shared" si="61"/>
        <v>"C:\Program Files (x86)\AstroGrep\AstroGrep.exe" /e /r /s /spath="%USERPROFILE%\AppData\Local\Temp\OnboardLogs" /stypes="app*4053*20170308*" /stext=" 22:.+((SYSTEM_STATE.+slice.+state.+changed )|(ment ac)|(multiple cpu faults)|(system.+state.+changed )|(\[timeout)|(PRM\|1\|D)|(kpr)|(kdp)|(\|lc)|(penalty))"</v>
      </c>
      <c r="AG185" s="1" t="str">
        <f t="shared" si="62"/>
        <v>NW</v>
      </c>
      <c r="AH185" s="86" t="str">
        <f t="shared" si="63"/>
        <v>"%USERPROFILE%\Documents\GitHub\eaglep3\Utilities\RefineRTDCRunTimes.py" --tripid 825-08 --locoid 4053 --swversion DE.1.0.9.0 --startMP 204:955 --initTime 2017-03-08T15:16:20 --startdatetime 2017-03-08T15:21:26 --delay 2 --endMP 300:58948 --enddatetime 2017-03-08T15:36:14 --enforcementcount 0 &gt;&gt;C:\Users\stu\Documents\GitHub\eaglep3-reporting\EC\2017-03-08-refined-times.txt</v>
      </c>
      <c r="AI185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{"issue":{"subject":"","project_id":79,"tracker_id":40,"status_id":1,"priority_id":2,"assigned_to_id":23,"start_date":"2017-03-08","description":"","custom_fields":[{"id":1,"name":"Subdivision","value":"NW"},{"id":4,"name":"Milepost","value":"5.8948"},{"id":17,"name":"Train ID","value":"825-08"},{"id":16,"name":"Locomotive ID","value":"4053"},{"id":130,"name":"Impact","value":""},{"id":150,"name":"Time of Event (Mountain Time)","value":"15:36:14"},{"id":151,"name":"Denver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5"/>
        <v>start /low /b %USERPROFILE%\Documents\GitHub\eaglep3\Utilities\DownloadLogsFromS3.py --loco 4053 --day 2017-03-08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"%USERPROFILE%\AppData\Local\Temp\OnboardLogs"\RTDC4053\*4053*20170308* | grep -SE "(Enforcement Action)|(\[TIMEOUT)|(CHR.+\|PRM\|1\|D.+(SWITCH|SIGNAL).+UNKNOWN)" - &gt;&gt; 2017-03-08-UncaughtWiMAX.txt</v>
      </c>
    </row>
    <row r="186" spans="1:91" x14ac:dyDescent="0.25">
      <c r="A186" s="33" t="s">
        <v>741</v>
      </c>
      <c r="B186" s="7">
        <v>4054</v>
      </c>
      <c r="C186" s="21" t="s">
        <v>242</v>
      </c>
      <c r="D186" s="21" t="s">
        <v>438</v>
      </c>
      <c r="E186" s="13">
        <v>42802.652141203704</v>
      </c>
      <c r="F186" s="13">
        <v>42802.654421296298</v>
      </c>
      <c r="G186" s="7">
        <v>1</v>
      </c>
      <c r="H186" s="21" t="s">
        <v>984</v>
      </c>
      <c r="I186" s="13">
        <v>42802.6637962963</v>
      </c>
      <c r="J186" s="7">
        <v>0</v>
      </c>
      <c r="K186" s="98" t="str">
        <f t="shared" si="51"/>
        <v>4053/4054</v>
      </c>
      <c r="L186" s="21" t="str">
        <f>VLOOKUP(A186,'Trips&amp;Operators'!$C$1:$G$99999,5,FALSE)</f>
        <v>BRUDER RICHARD</v>
      </c>
      <c r="M186" s="6">
        <f t="shared" si="52"/>
        <v>9.3750000014551915E-3</v>
      </c>
      <c r="N186" s="7">
        <f t="shared" si="71"/>
        <v>13.500000002095476</v>
      </c>
      <c r="O186" s="7"/>
      <c r="P186" s="7"/>
      <c r="Q186" s="22"/>
      <c r="R186" s="22"/>
      <c r="S186" s="31">
        <f t="shared" si="72"/>
        <v>1</v>
      </c>
      <c r="T186" s="46" t="str">
        <f t="shared" si="53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4"/>
        <v>https://d0f6bd738d7f1b3e5a7ca70fe4ff75f0.us-east-1.aws.found.io/app/kibana#/discover/Steve-Slow-Train-Analysis-(2080s-and-2083s)?_g=(refreshInterval:(display:Off,pause:!f,section:0,value:0),time:(from:'2017-03-08T14:39:05-0700',mode:absolute,to:'2017-03-08T16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6" s="187" t="str">
        <f t="shared" si="55"/>
        <v>N</v>
      </c>
      <c r="X186" s="187">
        <f t="shared" si="70"/>
        <v>1</v>
      </c>
      <c r="Y186" s="62">
        <f t="shared" si="56"/>
        <v>5.8624000000000001</v>
      </c>
      <c r="Z186" s="62">
        <f t="shared" si="57"/>
        <v>6.9400000000000003E-2</v>
      </c>
      <c r="AA186" s="62">
        <f t="shared" si="58"/>
        <v>5.7930000000000001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9"/>
        <v>0826-08</v>
      </c>
      <c r="AE186" s="85" t="str">
        <f t="shared" si="60"/>
        <v>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 &amp; aws s3 cp s3://rtdc.mdm.uploadarchive.raw/RTDC4054/ "%USERPROFILE%\AppData\Local\Temp\OnboardLogs"\RTDC4054\2017-03-09 --exclude "*" --recursive --include "*20170309*" &amp; "%USERPROFILE%\Documents\GitHub\mrs-test-scripts\Headless Mode &amp; Sideloading\WalkAndUnGZ.bat" "%USERPROFILE%\AppData\Local\Temp\OnboardLogs"\RTDC4054\2017-03-09</v>
      </c>
      <c r="AF186" s="82" t="str">
        <f t="shared" si="61"/>
        <v>"C:\Program Files (x86)\AstroGrep\AstroGrep.exe" /e /r /s /spath="%USERPROFILE%\AppData\Local\Temp\OnboardLogs" /stypes="app*4054*20170308*" /stext=" 22:.+((SYSTEM_STATE.+slice.+state.+changed )|(ment ac)|(multiple cpu faults)|(system.+state.+changed )|(\[timeout)|(PRM\|1\|D)|(kpr)|(kdp)|(\|lc)|(penalty))"</v>
      </c>
      <c r="AG186" s="1" t="str">
        <f t="shared" si="62"/>
        <v>NW</v>
      </c>
      <c r="AH186" s="86" t="str">
        <f t="shared" si="63"/>
        <v>"%USERPROFILE%\Documents\GitHub\eaglep3\Utilities\RefineRTDCRunTimes.py" --tripid 826-08 --locoid 4054 --swversion DE.1.0.9.0 --startMP 300:58624 --initTime 2017-03-08T15:39:05 --startdatetime 2017-03-08T15:42:22 --delay 1 --endMP 204:694 --enddatetime 2017-03-08T15:55:52 --enforcementcount 0 &gt;&gt;C:\Users\stu\Documents\GitHub\eaglep3-reporting\EC\2017-03-08-refined-times.txt</v>
      </c>
      <c r="AI186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{"issue":{"subject":"","project_id":79,"tracker_id":40,"status_id":1,"priority_id":2,"assigned_to_id":23,"start_date":"2017-03-08","description":"","custom_fields":[{"id":1,"name":"Subdivision","value":"NW"},{"id":4,"name":"Milepost","value":"0.0694"},{"id":17,"name":"Train ID","value":"826-08"},{"id":16,"name":"Locomotive ID","value":"4054"},{"id":130,"name":"Impact","value":""},{"id":150,"name":"Time of Event (Mountain Time)","value":"15:55:52"},{"id":151,"name":"Denver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5"/>
        <v>start /low /b %USERPROFILE%\Documents\GitHub\eaglep3\Utilities\DownloadLogsFromS3.py --loco 4054 --day 2017-03-08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"%USERPROFILE%\AppData\Local\Temp\OnboardLogs"\RTDC4054\*4054*20170308* | grep -SE "(Enforcement Action)|(\[TIMEOUT)|(CHR.+\|PRM\|1\|D.+(SWITCH|SIGNAL).+UNKNOWN)" - &gt;&gt; 2017-03-08-UncaughtWiMAX.txt</v>
      </c>
    </row>
    <row r="187" spans="1:91" x14ac:dyDescent="0.25">
      <c r="A187" s="33" t="s">
        <v>744</v>
      </c>
      <c r="B187" s="7">
        <v>4040</v>
      </c>
      <c r="C187" s="21" t="s">
        <v>242</v>
      </c>
      <c r="D187" s="21" t="s">
        <v>516</v>
      </c>
      <c r="E187" s="13">
        <v>42802.658576388887</v>
      </c>
      <c r="F187" s="13">
        <v>42802.660682870373</v>
      </c>
      <c r="G187" s="7">
        <v>1</v>
      </c>
      <c r="H187" s="21" t="s">
        <v>985</v>
      </c>
      <c r="I187" s="13">
        <v>42802.671249999999</v>
      </c>
      <c r="J187" s="7">
        <v>0</v>
      </c>
      <c r="K187" s="98" t="str">
        <f t="shared" si="51"/>
        <v>4039/4040</v>
      </c>
      <c r="L187" s="21" t="str">
        <f>VLOOKUP(A187,'Trips&amp;Operators'!$C$1:$G$99999,5,FALSE)</f>
        <v>CHANDLER KELVIN</v>
      </c>
      <c r="M187" s="6">
        <f t="shared" si="52"/>
        <v>1.056712962599704E-2</v>
      </c>
      <c r="N187" s="7">
        <f t="shared" si="71"/>
        <v>15.216666661435738</v>
      </c>
      <c r="O187" s="7"/>
      <c r="P187" s="7"/>
      <c r="Q187" s="22"/>
      <c r="R187" s="22"/>
      <c r="S187" s="31">
        <f t="shared" si="72"/>
        <v>1</v>
      </c>
      <c r="T187" s="46" t="str">
        <f t="shared" si="53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4"/>
        <v>https://d0f6bd738d7f1b3e5a7ca70fe4ff75f0.us-east-1.aws.found.io/app/kibana#/discover/Steve-Slow-Train-Analysis-(2080s-and-2083s)?_g=(refreshInterval:(display:Off,pause:!f,section:0,value:0),time:(from:'2017-03-08T14:48:21-0700',mode:absolute,to:'2017-03-08T17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7" s="187" t="str">
        <f t="shared" si="55"/>
        <v>N</v>
      </c>
      <c r="X187" s="187">
        <f t="shared" si="70"/>
        <v>1</v>
      </c>
      <c r="Y187" s="62">
        <f t="shared" si="56"/>
        <v>9.5799999999999996E-2</v>
      </c>
      <c r="Z187" s="62">
        <f t="shared" si="57"/>
        <v>5.8901000000000003</v>
      </c>
      <c r="AA187" s="62">
        <f t="shared" si="58"/>
        <v>5.7943000000000007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9"/>
        <v>0827-08</v>
      </c>
      <c r="AE187" s="85" t="str">
        <f t="shared" si="60"/>
        <v>aws s3 cp s3://rtdc.mdm.uploadarchive.raw/RTDC4040/ "%USERPROFILE%\AppData\Local\Temp\OnboardLogs"\RTDC4040\2017-03-08 --exclude "*" --recursive --include "*20170308*" &amp; "%USERPROFILE%\Documents\GitHub\mrs-test-scripts\Headless Mode &amp; Sideloading\WalkAndUnGZ.bat" "%USERPROFILE%\AppData\Local\Temp\OnboardLogs"\RTDC4040\2017-03-08 &amp; 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</v>
      </c>
      <c r="AF187" s="82" t="str">
        <f t="shared" si="61"/>
        <v>"C:\Program Files (x86)\AstroGrep\AstroGrep.exe" /e /r /s /spath="%USERPROFILE%\AppData\Local\Temp\OnboardLogs" /stypes="app*4040*20170308*" /stext=" 23:.+((SYSTEM_STATE.+slice.+state.+changed )|(ment ac)|(multiple cpu faults)|(system.+state.+changed )|(\[timeout)|(PRM\|1\|D)|(kpr)|(kdp)|(\|lc)|(penalty))"</v>
      </c>
      <c r="AG187" s="1" t="str">
        <f t="shared" si="62"/>
        <v>NW</v>
      </c>
      <c r="AH187" s="86" t="str">
        <f t="shared" si="63"/>
        <v>"%USERPROFILE%\Documents\GitHub\eaglep3\Utilities\RefineRTDCRunTimes.py" --tripid 827-08 --locoid 4040 --swversion DE.1.0.9.0 --startMP 204:958 --initTime 2017-03-08T15:48:21 --startdatetime 2017-03-08T15:51:23 --delay 1 --endMP 300:58901 --enddatetime 2017-03-08T16:06:36 --enforcementcount 0 &gt;&gt;C:\Users\stu\Documents\GitHub\eaglep3-reporting\EC\2017-03-08-refined-times.txt</v>
      </c>
      <c r="AI187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{"issue":{"subject":"","project_id":79,"tracker_id":40,"status_id":1,"priority_id":2,"assigned_to_id":23,"start_date":"2017-03-08","description":"","custom_fields":[{"id":1,"name":"Subdivision","value":"NW"},{"id":4,"name":"Milepost","value":"5.8901"},{"id":17,"name":"Train ID","value":"827-08"},{"id":16,"name":"Locomotive ID","value":"4040"},{"id":130,"name":"Impact","value":""},{"id":150,"name":"Time of Event (Mountain Time)","value":"16:06:36"},{"id":151,"name":"Denver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5"/>
        <v>start /low /b %USERPROFILE%\Documents\GitHub\eaglep3\Utilities\DownloadLogsFromS3.py --loco 4040 --day 2017-03-08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"%USERPROFILE%\AppData\Local\Temp\OnboardLogs"\RTDC4040\*4040*20170308* | grep -SE "(Enforcement Action)|(\[TIMEOUT)|(CHR.+\|PRM\|1\|D.+(SWITCH|SIGNAL).+UNKNOWN)" - &gt;&gt; 2017-03-08-UncaughtWiMAX.txt</v>
      </c>
    </row>
    <row r="188" spans="1:91" x14ac:dyDescent="0.25">
      <c r="A188" s="33" t="s">
        <v>748</v>
      </c>
      <c r="B188" s="7">
        <v>4039</v>
      </c>
      <c r="C188" s="21" t="s">
        <v>242</v>
      </c>
      <c r="D188" s="21" t="s">
        <v>513</v>
      </c>
      <c r="E188" s="13">
        <v>42802.673090277778</v>
      </c>
      <c r="F188" s="13">
        <v>42802.674247685187</v>
      </c>
      <c r="G188" s="7">
        <v>1</v>
      </c>
      <c r="H188" s="21" t="s">
        <v>515</v>
      </c>
      <c r="I188" s="13">
        <v>42802.685162037036</v>
      </c>
      <c r="J188" s="7">
        <v>0</v>
      </c>
      <c r="K188" s="98" t="str">
        <f t="shared" si="51"/>
        <v>4039/4040</v>
      </c>
      <c r="L188" s="21" t="str">
        <f>VLOOKUP(A188,'Trips&amp;Operators'!$C$1:$G$99999,5,FALSE)</f>
        <v>CHANDLER KELVIN</v>
      </c>
      <c r="M188" s="6">
        <f t="shared" si="52"/>
        <v>1.0914351849351078E-2</v>
      </c>
      <c r="N188" s="7">
        <f t="shared" si="71"/>
        <v>15.716666663065553</v>
      </c>
      <c r="O188" s="7"/>
      <c r="P188" s="7"/>
      <c r="Q188" s="22"/>
      <c r="R188" s="22"/>
      <c r="S188" s="31">
        <f t="shared" si="72"/>
        <v>1</v>
      </c>
      <c r="T188" s="46" t="str">
        <f t="shared" si="53"/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4"/>
        <v>https://d0f6bd738d7f1b3e5a7ca70fe4ff75f0.us-east-1.aws.found.io/app/kibana#/discover/Steve-Slow-Train-Analysis-(2080s-and-2083s)?_g=(refreshInterval:(display:Off,pause:!f,section:0,value:0),time:(from:'2017-03-08T15:09:15-0700',mode:absolute,to:'2017-03-08T17:26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8" s="187" t="str">
        <f t="shared" si="55"/>
        <v>N</v>
      </c>
      <c r="X188" s="187">
        <f t="shared" si="70"/>
        <v>1</v>
      </c>
      <c r="Y188" s="62">
        <f t="shared" si="56"/>
        <v>5.8597999999999999</v>
      </c>
      <c r="Z188" s="62">
        <f t="shared" si="57"/>
        <v>6.59E-2</v>
      </c>
      <c r="AA188" s="62">
        <f t="shared" si="58"/>
        <v>5.7938999999999998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9"/>
        <v>0828-08</v>
      </c>
      <c r="AE188" s="85" t="str">
        <f t="shared" si="60"/>
        <v>aws s3 cp s3://rtdc.mdm.uploadarchive.raw/RTDC4039/ "%USERPROFILE%\AppData\Local\Temp\OnboardLogs"\RTDC4039\2017-03-08 --exclude "*" --recursive --include "*20170308*" &amp; "%USERPROFILE%\Documents\GitHub\mrs-test-scripts\Headless Mode &amp; Sideloading\WalkAndUnGZ.bat" "%USERPROFILE%\AppData\Local\Temp\OnboardLogs"\RTDC4039\2017-03-08 &amp; 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</v>
      </c>
      <c r="AF188" s="82" t="str">
        <f t="shared" si="61"/>
        <v>"C:\Program Files (x86)\AstroGrep\AstroGrep.exe" /e /r /s /spath="%USERPROFILE%\AppData\Local\Temp\OnboardLogs" /stypes="app*4039*20170308*" /stext=" 23:.+((SYSTEM_STATE.+slice.+state.+changed )|(ment ac)|(multiple cpu faults)|(system.+state.+changed )|(\[timeout)|(PRM\|1\|D)|(kpr)|(kdp)|(\|lc)|(penalty))"</v>
      </c>
      <c r="AG188" s="1" t="str">
        <f t="shared" si="62"/>
        <v>NW</v>
      </c>
      <c r="AH188" s="86" t="str">
        <f t="shared" si="63"/>
        <v>"%USERPROFILE%\Documents\GitHub\eaglep3\Utilities\RefineRTDCRunTimes.py" --tripid 828-08 --locoid 4039 --swversion DE.1.0.9.0 --startMP 300:58598 --initTime 2017-03-08T16:09:15 --startdatetime 2017-03-08T16:10:55 --delay 1 --endMP 204:659 --enddatetime 2017-03-08T16:26:38 --enforcementcount 0 &gt;&gt;C:\Users\stu\Documents\GitHub\eaglep3-reporting\EC\2017-03-08-refined-times.txt</v>
      </c>
      <c r="AI188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{"issue":{"subject":"","project_id":79,"tracker_id":40,"status_id":1,"priority_id":2,"assigned_to_id":23,"start_date":"2017-03-08","description":"","custom_fields":[{"id":1,"name":"Subdivision","value":"NW"},{"id":4,"name":"Milepost","value":"0.0659"},{"id":17,"name":"Train ID","value":"828-08"},{"id":16,"name":"Locomotive ID","value":"4039"},{"id":130,"name":"Impact","value":""},{"id":150,"name":"Time of Event (Mountain Time)","value":"16:26:38"},{"id":151,"name":"Denver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5"/>
        <v>start /low /b %USERPROFILE%\Documents\GitHub\eaglep3\Utilities\DownloadLogsFromS3.py --loco 4039 --day 2017-03-08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"%USERPROFILE%\AppData\Local\Temp\OnboardLogs"\RTDC4039\*4039*20170308* | grep -SE "(Enforcement Action)|(\[TIMEOUT)|(CHR.+\|PRM\|1\|D.+(SWITCH|SIGNAL).+UNKNOWN)" - &gt;&gt; 2017-03-08-UncaughtWiMAX.txt</v>
      </c>
    </row>
    <row r="189" spans="1:91" x14ac:dyDescent="0.25">
      <c r="A189" s="33" t="s">
        <v>750</v>
      </c>
      <c r="B189" s="7">
        <v>4053</v>
      </c>
      <c r="C189" s="21" t="s">
        <v>242</v>
      </c>
      <c r="D189" s="21" t="s">
        <v>986</v>
      </c>
      <c r="E189" s="13">
        <v>42802.677534722221</v>
      </c>
      <c r="F189" s="13">
        <v>42802.681435185186</v>
      </c>
      <c r="G189" s="7">
        <v>1</v>
      </c>
      <c r="H189" s="21" t="s">
        <v>946</v>
      </c>
      <c r="I189" s="13">
        <v>42802.691099537034</v>
      </c>
      <c r="J189" s="7">
        <v>0</v>
      </c>
      <c r="K189" s="98" t="str">
        <f t="shared" si="51"/>
        <v>4053/4054</v>
      </c>
      <c r="L189" s="21" t="str">
        <f>VLOOKUP(A189,'Trips&amp;Operators'!$C$1:$G$99999,5,FALSE)</f>
        <v>BRUDER RICHARD</v>
      </c>
      <c r="M189" s="6">
        <f t="shared" si="52"/>
        <v>9.6643518481869251E-3</v>
      </c>
      <c r="N189" s="7">
        <f t="shared" si="71"/>
        <v>13.916666661389172</v>
      </c>
      <c r="O189" s="7"/>
      <c r="P189" s="7"/>
      <c r="Q189" s="22"/>
      <c r="R189" s="22"/>
      <c r="S189" s="31">
        <f t="shared" si="72"/>
        <v>1</v>
      </c>
      <c r="T189" s="46" t="str">
        <f t="shared" si="53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4"/>
        <v>https://d0f6bd738d7f1b3e5a7ca70fe4ff75f0.us-east-1.aws.found.io/app/kibana#/discover/Steve-Slow-Train-Analysis-(2080s-and-2083s)?_g=(refreshInterval:(display:Off,pause:!f,section:0,value:0),time:(from:'2017-03-08T15:15:39-0700',mode:absolute,to:'2017-03-08T17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9" s="187" t="str">
        <f t="shared" si="55"/>
        <v>N</v>
      </c>
      <c r="X189" s="187">
        <f t="shared" si="70"/>
        <v>1</v>
      </c>
      <c r="Y189" s="62">
        <f t="shared" si="56"/>
        <v>9.7100000000000006E-2</v>
      </c>
      <c r="Z189" s="62">
        <f t="shared" si="57"/>
        <v>5.8939000000000004</v>
      </c>
      <c r="AA189" s="62">
        <f t="shared" si="58"/>
        <v>5.7968000000000002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9"/>
        <v>0829-08</v>
      </c>
      <c r="AE189" s="85" t="str">
        <f t="shared" si="60"/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189" s="82" t="str">
        <f t="shared" si="61"/>
        <v>"C:\Program Files (x86)\AstroGrep\AstroGrep.exe" /e /r /s /spath="%USERPROFILE%\AppData\Local\Temp\OnboardLogs" /stypes="app*4053*20170308*" /stext=" 23:.+((SYSTEM_STATE.+slice.+state.+changed )|(ment ac)|(multiple cpu faults)|(system.+state.+changed )|(\[timeout)|(PRM\|1\|D)|(kpr)|(kdp)|(\|lc)|(penalty))"</v>
      </c>
      <c r="AG189" s="1" t="str">
        <f t="shared" si="62"/>
        <v>NW</v>
      </c>
      <c r="AH189" s="86" t="str">
        <f t="shared" si="63"/>
        <v>"%USERPROFILE%\Documents\GitHub\eaglep3\Utilities\RefineRTDCRunTimes.py" --tripid 829-08 --locoid 4053 --swversion DE.1.0.9.0 --startMP 204:971 --initTime 2017-03-08T16:15:39 --startdatetime 2017-03-08T16:21:16 --delay 1 --endMP 300:58939 --enddatetime 2017-03-08T16:35:11 --enforcementcount 0 &gt;&gt;C:\Users\stu\Documents\GitHub\eaglep3-reporting\EC\2017-03-08-refined-times.txt</v>
      </c>
      <c r="AI189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{"issue":{"subject":"","project_id":79,"tracker_id":40,"status_id":1,"priority_id":2,"assigned_to_id":23,"start_date":"2017-03-08","description":"","custom_fields":[{"id":1,"name":"Subdivision","value":"NW"},{"id":4,"name":"Milepost","value":"5.8939"},{"id":17,"name":"Train ID","value":"829-08"},{"id":16,"name":"Locomotive ID","value":"4053"},{"id":130,"name":"Impact","value":""},{"id":150,"name":"Time of Event (Mountain Time)","value":"16:35:11"},{"id":151,"name":"Denver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5"/>
        <v>start /low /b %USERPROFILE%\Documents\GitHub\eaglep3\Utilities\DownloadLogsFromS3.py --loco 4053 --day 2017-03-08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"%USERPROFILE%\AppData\Local\Temp\OnboardLogs"\RTDC4053\*4053*20170308* | grep -SE "(Enforcement Action)|(\[TIMEOUT)|(CHR.+\|PRM\|1\|D.+(SWITCH|SIGNAL).+UNKNOWN)" - &gt;&gt; 2017-03-08-UncaughtWiMAX.txt</v>
      </c>
    </row>
    <row r="190" spans="1:91" x14ac:dyDescent="0.25">
      <c r="A190" s="33" t="s">
        <v>753</v>
      </c>
      <c r="B190" s="7">
        <v>4054</v>
      </c>
      <c r="C190" s="21" t="s">
        <v>242</v>
      </c>
      <c r="D190" s="21" t="s">
        <v>268</v>
      </c>
      <c r="E190" s="13">
        <v>42802.692719907405</v>
      </c>
      <c r="F190" s="13">
        <v>42802.69494212963</v>
      </c>
      <c r="G190" s="7">
        <v>1</v>
      </c>
      <c r="H190" s="21" t="s">
        <v>987</v>
      </c>
      <c r="I190" s="13">
        <v>42802.705625000002</v>
      </c>
      <c r="J190" s="7">
        <v>0</v>
      </c>
      <c r="K190" s="98" t="str">
        <f t="shared" si="51"/>
        <v>4053/4054</v>
      </c>
      <c r="L190" s="21" t="str">
        <f>VLOOKUP(A190,'Trips&amp;Operators'!$C$1:$G$99999,5,FALSE)</f>
        <v>BRUDER RICHARD</v>
      </c>
      <c r="M190" s="6">
        <f t="shared" si="52"/>
        <v>1.0682870371965691E-2</v>
      </c>
      <c r="N190" s="7">
        <f t="shared" si="71"/>
        <v>15.383333335630596</v>
      </c>
      <c r="O190" s="7"/>
      <c r="P190" s="7"/>
      <c r="Q190" s="22"/>
      <c r="R190" s="22"/>
      <c r="S190" s="31">
        <f t="shared" si="72"/>
        <v>1</v>
      </c>
      <c r="T190" s="46" t="str">
        <f t="shared" si="53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4"/>
        <v>https://d0f6bd738d7f1b3e5a7ca70fe4ff75f0.us-east-1.aws.found.io/app/kibana#/discover/Steve-Slow-Train-Analysis-(2080s-and-2083s)?_g=(refreshInterval:(display:Off,pause:!f,section:0,value:0),time:(from:'2017-03-08T15:37:31-0700',mode:absolute,to:'2017-03-08T17:56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0" s="187" t="str">
        <f t="shared" si="55"/>
        <v>N</v>
      </c>
      <c r="X190" s="187">
        <f t="shared" si="70"/>
        <v>1</v>
      </c>
      <c r="Y190" s="62">
        <f t="shared" si="56"/>
        <v>5.8623000000000003</v>
      </c>
      <c r="Z190" s="62">
        <f t="shared" si="57"/>
        <v>6.8699999999999997E-2</v>
      </c>
      <c r="AA190" s="62">
        <f t="shared" si="58"/>
        <v>5.7936000000000005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9"/>
        <v>0830-08</v>
      </c>
      <c r="AE190" s="85" t="str">
        <f t="shared" si="60"/>
        <v>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 &amp; aws s3 cp s3://rtdc.mdm.uploadarchive.raw/RTDC4054/ "%USERPROFILE%\AppData\Local\Temp\OnboardLogs"\RTDC4054\2017-03-09 --exclude "*" --recursive --include "*20170309*" &amp; "%USERPROFILE%\Documents\GitHub\mrs-test-scripts\Headless Mode &amp; Sideloading\WalkAndUnGZ.bat" "%USERPROFILE%\AppData\Local\Temp\OnboardLogs"\RTDC4054\2017-03-09</v>
      </c>
      <c r="AF190" s="82" t="str">
        <f t="shared" si="61"/>
        <v>"C:\Program Files (x86)\AstroGrep\AstroGrep.exe" /e /r /s /spath="%USERPROFILE%\AppData\Local\Temp\OnboardLogs" /stypes="app*4054*20170308*" /stext=" 23:.+((SYSTEM_STATE.+slice.+state.+changed )|(ment ac)|(multiple cpu faults)|(system.+state.+changed )|(\[timeout)|(PRM\|1\|D)|(kpr)|(kdp)|(\|lc)|(penalty))"</v>
      </c>
      <c r="AG190" s="1" t="str">
        <f t="shared" si="62"/>
        <v>NW</v>
      </c>
      <c r="AH190" s="86" t="str">
        <f t="shared" si="63"/>
        <v>"%USERPROFILE%\Documents\GitHub\eaglep3\Utilities\RefineRTDCRunTimes.py" --tripid 830-08 --locoid 4054 --swversion DE.1.0.9.0 --startMP 300:58623 --initTime 2017-03-08T16:37:31 --startdatetime 2017-03-08T16:40:43 --delay 1 --endMP 204:687 --enddatetime 2017-03-08T16:56:06 --enforcementcount 0 &gt;&gt;C:\Users\stu\Documents\GitHub\eaglep3-reporting\EC\2017-03-08-refined-times.txt</v>
      </c>
      <c r="AI190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{"issue":{"subject":"","project_id":79,"tracker_id":40,"status_id":1,"priority_id":2,"assigned_to_id":23,"start_date":"2017-03-08","description":"","custom_fields":[{"id":1,"name":"Subdivision","value":"NW"},{"id":4,"name":"Milepost","value":"0.0687"},{"id":17,"name":"Train ID","value":"830-08"},{"id":16,"name":"Locomotive ID","value":"4054"},{"id":130,"name":"Impact","value":""},{"id":150,"name":"Time of Event (Mountain Time)","value":"16:56:06"},{"id":151,"name":"Denver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5"/>
        <v>start /low /b %USERPROFILE%\Documents\GitHub\eaglep3\Utilities\DownloadLogsFromS3.py --loco 4054 --day 2017-03-08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"%USERPROFILE%\AppData\Local\Temp\OnboardLogs"\RTDC4054\*4054*20170308* | grep -SE "(Enforcement Action)|(\[TIMEOUT)|(CHR.+\|PRM\|1\|D.+(SWITCH|SIGNAL).+UNKNOWN)" - &gt;&gt; 2017-03-08-UncaughtWiMAX.txt</v>
      </c>
    </row>
    <row r="191" spans="1:91" x14ac:dyDescent="0.25">
      <c r="A191" s="33" t="s">
        <v>754</v>
      </c>
      <c r="B191" s="7">
        <v>4040</v>
      </c>
      <c r="C191" s="21" t="s">
        <v>242</v>
      </c>
      <c r="D191" s="21" t="s">
        <v>527</v>
      </c>
      <c r="E191" s="13">
        <v>42802.697939814818</v>
      </c>
      <c r="F191" s="13">
        <v>42802.70239583333</v>
      </c>
      <c r="G191" s="7">
        <v>1</v>
      </c>
      <c r="H191" s="21" t="s">
        <v>985</v>
      </c>
      <c r="I191" s="13">
        <v>42802.713136574072</v>
      </c>
      <c r="J191" s="7">
        <v>0</v>
      </c>
      <c r="K191" s="98" t="str">
        <f t="shared" si="51"/>
        <v>4039/4040</v>
      </c>
      <c r="L191" s="21" t="str">
        <f>VLOOKUP(A191,'Trips&amp;Operators'!$C$1:$G$99999,5,FALSE)</f>
        <v>CHANDLER KELVIN</v>
      </c>
      <c r="M191" s="6">
        <f t="shared" si="52"/>
        <v>1.0740740741312038E-2</v>
      </c>
      <c r="N191" s="7">
        <f t="shared" si="71"/>
        <v>15.466666667489335</v>
      </c>
      <c r="O191" s="7"/>
      <c r="P191" s="7"/>
      <c r="Q191" s="22"/>
      <c r="R191" s="22"/>
      <c r="S191" s="31">
        <f t="shared" si="72"/>
        <v>1</v>
      </c>
      <c r="T191" s="46" t="str">
        <f t="shared" si="53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4"/>
        <v>https://d0f6bd738d7f1b3e5a7ca70fe4ff75f0.us-east-1.aws.found.io/app/kibana#/discover/Steve-Slow-Train-Analysis-(2080s-and-2083s)?_g=(refreshInterval:(display:Off,pause:!f,section:0,value:0),time:(from:'2017-03-08T15:45:02-0700',mode:absolute,to:'2017-03-08T18:06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1" s="187" t="str">
        <f t="shared" si="55"/>
        <v>N</v>
      </c>
      <c r="X191" s="187">
        <f t="shared" si="70"/>
        <v>1</v>
      </c>
      <c r="Y191" s="62">
        <f t="shared" si="56"/>
        <v>9.3700000000000006E-2</v>
      </c>
      <c r="Z191" s="62">
        <f t="shared" si="57"/>
        <v>5.8901000000000003</v>
      </c>
      <c r="AA191" s="62">
        <f t="shared" si="58"/>
        <v>5.7964000000000002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9"/>
        <v>0831-08</v>
      </c>
      <c r="AE191" s="85" t="str">
        <f t="shared" si="60"/>
        <v>aws s3 cp s3://rtdc.mdm.uploadarchive.raw/RTDC4040/ "%USERPROFILE%\AppData\Local\Temp\OnboardLogs"\RTDC4040\2017-03-08 --exclude "*" --recursive --include "*20170308*" &amp; "%USERPROFILE%\Documents\GitHub\mrs-test-scripts\Headless Mode &amp; Sideloading\WalkAndUnGZ.bat" "%USERPROFILE%\AppData\Local\Temp\OnboardLogs"\RTDC4040\2017-03-08 &amp; 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</v>
      </c>
      <c r="AF191" s="82" t="str">
        <f t="shared" si="61"/>
        <v>"C:\Program Files (x86)\AstroGrep\AstroGrep.exe" /e /r /s /spath="%USERPROFILE%\AppData\Local\Temp\OnboardLogs" /stypes="app*4040*20170309*" /stext=" 00:.+((SYSTEM_STATE.+slice.+state.+changed )|(ment ac)|(multiple cpu faults)|(system.+state.+changed )|(\[timeout)|(PRM\|1\|D)|(kpr)|(kdp)|(\|lc)|(penalty))"</v>
      </c>
      <c r="AG191" s="1" t="str">
        <f t="shared" si="62"/>
        <v>NW</v>
      </c>
      <c r="AH191" s="86" t="str">
        <f t="shared" si="63"/>
        <v>"%USERPROFILE%\Documents\GitHub\eaglep3\Utilities\RefineRTDCRunTimes.py" --tripid 831-08 --locoid 4040 --swversion DE.1.0.9.0 --startMP 204:937 --initTime 2017-03-08T16:45:02 --startdatetime 2017-03-08T16:51:27 --delay 1 --endMP 300:58901 --enddatetime 2017-03-08T17:06:55 --enforcementcount 0 &gt;&gt;C:\Users\stu\Documents\GitHub\eaglep3-reporting\EC\2017-03-08-refined-times.txt</v>
      </c>
      <c r="AI191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{"issue":{"subject":"","project_id":79,"tracker_id":40,"status_id":1,"priority_id":2,"assigned_to_id":23,"start_date":"2017-03-08","description":"","custom_fields":[{"id":1,"name":"Subdivision","value":"NW"},{"id":4,"name":"Milepost","value":"5.8901"},{"id":17,"name":"Train ID","value":"831-08"},{"id":16,"name":"Locomotive ID","value":"4040"},{"id":130,"name":"Impact","value":""},{"id":150,"name":"Time of Event (Mountain Time)","value":"17:06:55"},{"id":151,"name":"Denver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5"/>
        <v>start /low /b %USERPROFILE%\Documents\GitHub\eaglep3\Utilities\DownloadLogsFromS3.py --loco 4040 --day 2017-03-08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"%USERPROFILE%\AppData\Local\Temp\OnboardLogs"\RTDC4040\*4040*20170308* | grep -SE "(Enforcement Action)|(\[TIMEOUT)|(CHR.+\|PRM\|1\|D.+(SWITCH|SIGNAL).+UNKNOWN)" - &gt;&gt; 2017-03-08-UncaughtWiMAX.txt</v>
      </c>
    </row>
    <row r="192" spans="1:91" x14ac:dyDescent="0.25">
      <c r="A192" s="33" t="s">
        <v>760</v>
      </c>
      <c r="B192" s="7">
        <v>4039</v>
      </c>
      <c r="C192" s="21" t="s">
        <v>242</v>
      </c>
      <c r="D192" s="21" t="s">
        <v>988</v>
      </c>
      <c r="E192" s="13">
        <v>42802.71466435185</v>
      </c>
      <c r="F192" s="13">
        <v>42802.716006944444</v>
      </c>
      <c r="G192" s="7">
        <v>0</v>
      </c>
      <c r="H192" s="21" t="s">
        <v>984</v>
      </c>
      <c r="I192" s="13">
        <v>42802.728449074071</v>
      </c>
      <c r="J192" s="7">
        <v>0</v>
      </c>
      <c r="K192" s="98" t="str">
        <f t="shared" si="51"/>
        <v>4039/4040</v>
      </c>
      <c r="L192" s="21" t="str">
        <f>VLOOKUP(A192,'Trips&amp;Operators'!$C$1:$G$99999,5,FALSE)</f>
        <v>CHANDLER KELVIN</v>
      </c>
      <c r="M192" s="6">
        <f t="shared" si="52"/>
        <v>1.244212962774327E-2</v>
      </c>
      <c r="N192" s="7">
        <f t="shared" si="71"/>
        <v>17.916666663950309</v>
      </c>
      <c r="O192" s="7"/>
      <c r="P192" s="7"/>
      <c r="Q192" s="22"/>
      <c r="R192" s="22" t="s">
        <v>1032</v>
      </c>
      <c r="S192" s="31">
        <f t="shared" si="72"/>
        <v>1</v>
      </c>
      <c r="T192" s="46" t="str">
        <f t="shared" si="53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4"/>
        <v>https://d0f6bd738d7f1b3e5a7ca70fe4ff75f0.us-east-1.aws.found.io/app/kibana#/discover/Steve-Slow-Train-Analysis-(2080s-and-2083s)?_g=(refreshInterval:(display:Off,pause:!f,section:0,value:0),time:(from:'2017-03-08T16:09:07-0700',mode:absolute,to:'2017-03-08T18:28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2" s="187" t="str">
        <f t="shared" si="55"/>
        <v>N</v>
      </c>
      <c r="X192" s="187">
        <f t="shared" si="70"/>
        <v>1</v>
      </c>
      <c r="Y192" s="62">
        <f t="shared" si="56"/>
        <v>5.8582999999999998</v>
      </c>
      <c r="Z192" s="62">
        <f t="shared" si="57"/>
        <v>6.9400000000000003E-2</v>
      </c>
      <c r="AA192" s="62">
        <f t="shared" si="58"/>
        <v>5.7888999999999999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9"/>
        <v>0832-08</v>
      </c>
      <c r="AE192" s="85" t="str">
        <f t="shared" si="60"/>
        <v>aws s3 cp s3://rtdc.mdm.uploadarchive.raw/RTDC4039/ "%USERPROFILE%\AppData\Local\Temp\OnboardLogs"\RTDC4039\2017-03-08 --exclude "*" --recursive --include "*20170308*" &amp; "%USERPROFILE%\Documents\GitHub\mrs-test-scripts\Headless Mode &amp; Sideloading\WalkAndUnGZ.bat" "%USERPROFILE%\AppData\Local\Temp\OnboardLogs"\RTDC4039\2017-03-08 &amp; 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</v>
      </c>
      <c r="AF192" s="82" t="str">
        <f t="shared" si="61"/>
        <v>"C:\Program Files (x86)\AstroGrep\AstroGrep.exe" /e /r /s /spath="%USERPROFILE%\AppData\Local\Temp\OnboardLogs" /stypes="app*4039*20170309*" /stext=" 00:.+((SYSTEM_STATE.+slice.+state.+changed )|(ment ac)|(multiple cpu faults)|(system.+state.+changed )|(\[timeout)|(PRM\|1\|D)|(kpr)|(kdp)|(\|lc)|(penalty))"</v>
      </c>
      <c r="AG192" s="1" t="str">
        <f t="shared" si="62"/>
        <v>NW</v>
      </c>
      <c r="AH192" s="86" t="str">
        <f t="shared" si="63"/>
        <v>"%USERPROFILE%\Documents\GitHub\eaglep3\Utilities\RefineRTDCRunTimes.py" --tripid 832-08 --locoid 4039 --swversion DE.1.0.9.0 --startMP 300:58583 --initTime 2017-03-08T17:09:07 --startdatetime 2017-03-08T17:11:03 --delay 0 --endMP 204:694 --enddatetime 2017-03-08T17:28:58 --enforcementcount 0 &gt;&gt;C:\Users\stu\Documents\GitHub\eaglep3-reporting\EC\2017-03-08-refined-times.txt</v>
      </c>
      <c r="AI192" s="108" t="str">
        <f t="shared" si="64"/>
        <v>echo {"issue":{"subject":"Went active past Westminster 2S","project_id":79,"tracker_id":40,"status_id":1,"priority_id":2,"assigned_to_id":23,"start_date":"2017-03-08","description":"","custom_fields":[{"id":1,"name":"Subdivision","value":"NW"},{"id":4,"name":"Milepost","value":"0.0694"},{"id":17,"name":"Train ID","value":"832-08"},{"id":16,"name":"Locomotive ID","value":"4039"},{"id":130,"name":"Impact","value":""},{"id":150,"name":"Time of Event (Mountain Time)","value":"17:28:58"},{"id":151,"name":"Denver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5"/>
        <v>start /low /b %USERPROFILE%\Documents\GitHub\eaglep3\Utilities\DownloadLogsFromS3.py --loco 4039 --day 2017-03-08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2017-03-08-UncaughtWiMAX.txt</v>
      </c>
    </row>
    <row r="193" spans="1:40" x14ac:dyDescent="0.25">
      <c r="A193" s="33" t="s">
        <v>761</v>
      </c>
      <c r="B193" s="7">
        <v>4053</v>
      </c>
      <c r="C193" s="21" t="s">
        <v>242</v>
      </c>
      <c r="D193" s="21" t="s">
        <v>989</v>
      </c>
      <c r="E193" s="13">
        <v>42802.721215277779</v>
      </c>
      <c r="F193" s="13">
        <v>42802.723217592589</v>
      </c>
      <c r="G193" s="7">
        <v>1</v>
      </c>
      <c r="H193" s="21" t="s">
        <v>267</v>
      </c>
      <c r="I193" s="13">
        <v>42802.733159722222</v>
      </c>
      <c r="J193" s="7">
        <v>0</v>
      </c>
      <c r="K193" s="98" t="str">
        <f t="shared" si="51"/>
        <v>4053/4054</v>
      </c>
      <c r="L193" s="21" t="str">
        <f>VLOOKUP(A193,'Trips&amp;Operators'!$C$1:$G$99999,5,FALSE)</f>
        <v>BRUDER RICHARD</v>
      </c>
      <c r="M193" s="6">
        <f t="shared" si="52"/>
        <v>9.9421296326909214E-3</v>
      </c>
      <c r="N193" s="7">
        <f t="shared" si="71"/>
        <v>14.316666671074927</v>
      </c>
      <c r="O193" s="7"/>
      <c r="P193" s="7"/>
      <c r="Q193" s="22"/>
      <c r="R193" s="22"/>
      <c r="S193" s="31">
        <f t="shared" si="72"/>
        <v>1</v>
      </c>
      <c r="T193" s="46" t="str">
        <f t="shared" si="53"/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4"/>
        <v>https://d0f6bd738d7f1b3e5a7ca70fe4ff75f0.us-east-1.aws.found.io/app/kibana#/discover/Steve-Slow-Train-Analysis-(2080s-and-2083s)?_g=(refreshInterval:(display:Off,pause:!f,section:0,value:0),time:(from:'2017-03-08T16:18:33-0700',mode:absolute,to:'2017-03-08T18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3" s="187" t="str">
        <f t="shared" si="55"/>
        <v>N</v>
      </c>
      <c r="X193" s="187">
        <f t="shared" si="70"/>
        <v>1</v>
      </c>
      <c r="Y193" s="62">
        <f t="shared" si="56"/>
        <v>9.7199999999999995E-2</v>
      </c>
      <c r="Z193" s="62">
        <f t="shared" si="57"/>
        <v>5.8933</v>
      </c>
      <c r="AA193" s="62">
        <f t="shared" si="58"/>
        <v>5.7961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9"/>
        <v>0833-08</v>
      </c>
      <c r="AE193" s="85" t="str">
        <f t="shared" si="60"/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193" s="82" t="str">
        <f t="shared" si="61"/>
        <v>"C:\Program Files (x86)\AstroGrep\AstroGrep.exe" /e /r /s /spath="%USERPROFILE%\AppData\Local\Temp\OnboardLogs" /stypes="app*4053*20170309*" /stext=" 00:.+((SYSTEM_STATE.+slice.+state.+changed )|(ment ac)|(multiple cpu faults)|(system.+state.+changed )|(\[timeout)|(PRM\|1\|D)|(kpr)|(kdp)|(\|lc)|(penalty))"</v>
      </c>
      <c r="AG193" s="1" t="str">
        <f t="shared" si="62"/>
        <v>NW</v>
      </c>
      <c r="AH193" s="86" t="str">
        <f t="shared" si="63"/>
        <v>"%USERPROFILE%\Documents\GitHub\eaglep3\Utilities\RefineRTDCRunTimes.py" --tripid 833-08 --locoid 4053 --swversion DE.1.0.9.0 --startMP 204:972 --initTime 2017-03-08T17:18:33 --startdatetime 2017-03-08T17:21:26 --delay 1 --endMP 300:58933 --enddatetime 2017-03-08T17:35:45 --enforcementcount 0 &gt;&gt;C:\Users\stu\Documents\GitHub\eaglep3-reporting\EC\2017-03-08-refined-times.txt</v>
      </c>
      <c r="AI193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{"issue":{"subject":"","project_id":79,"tracker_id":40,"status_id":1,"priority_id":2,"assigned_to_id":23,"start_date":"2017-03-08","description":"","custom_fields":[{"id":1,"name":"Subdivision","value":"NW"},{"id":4,"name":"Milepost","value":"5.8933"},{"id":17,"name":"Train ID","value":"833-08"},{"id":16,"name":"Locomotive ID","value":"4053"},{"id":130,"name":"Impact","value":""},{"id":150,"name":"Time of Event (Mountain Time)","value":"17:35:45"},{"id":151,"name":"Denver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5"/>
        <v>start /low /b %USERPROFILE%\Documents\GitHub\eaglep3\Utilities\DownloadLogsFromS3.py --loco 4053 --day 2017-03-08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"%USERPROFILE%\AppData\Local\Temp\OnboardLogs"\RTDC4053\*4053*20170309* | grep -SE "(Enforcement Action)|(\[TIMEOUT)|(CHR.+\|PRM\|1\|D.+(SWITCH|SIGNAL).+UNKNOWN)" - &gt;&gt; 2017-03-08-UncaughtWiMAX.txt</v>
      </c>
    </row>
    <row r="194" spans="1:40" x14ac:dyDescent="0.25">
      <c r="A194" s="33" t="s">
        <v>766</v>
      </c>
      <c r="B194" s="7">
        <v>4054</v>
      </c>
      <c r="C194" s="21" t="s">
        <v>242</v>
      </c>
      <c r="D194" s="21" t="s">
        <v>980</v>
      </c>
      <c r="E194" s="13">
        <v>42802.7346875</v>
      </c>
      <c r="F194" s="13">
        <v>42802.736770833333</v>
      </c>
      <c r="G194" s="7">
        <v>1</v>
      </c>
      <c r="H194" s="21" t="s">
        <v>514</v>
      </c>
      <c r="I194" s="13">
        <v>42802.746817129628</v>
      </c>
      <c r="J194" s="7">
        <v>0</v>
      </c>
      <c r="K194" s="98" t="str">
        <f t="shared" si="51"/>
        <v>4053/4054</v>
      </c>
      <c r="L194" s="21" t="str">
        <f>VLOOKUP(A194,'Trips&amp;Operators'!$C$1:$G$99999,5,FALSE)</f>
        <v>BRUDER RICHARD</v>
      </c>
      <c r="M194" s="6">
        <f t="shared" si="52"/>
        <v>1.0046296294603962E-2</v>
      </c>
      <c r="N194" s="7">
        <f t="shared" si="71"/>
        <v>14.466666664229706</v>
      </c>
      <c r="O194" s="7"/>
      <c r="P194" s="7"/>
      <c r="Q194" s="22"/>
      <c r="R194" s="22"/>
      <c r="S194" s="31">
        <f t="shared" si="72"/>
        <v>1</v>
      </c>
      <c r="T194" s="46" t="str">
        <f t="shared" si="53"/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4"/>
        <v>https://d0f6bd738d7f1b3e5a7ca70fe4ff75f0.us-east-1.aws.found.io/app/kibana#/discover/Steve-Slow-Train-Analysis-(2080s-and-2083s)?_g=(refreshInterval:(display:Off,pause:!f,section:0,value:0),time:(from:'2017-03-08T16:37:57-0700',mode:absolute,to:'2017-03-08T18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4" s="187" t="str">
        <f t="shared" si="55"/>
        <v>N</v>
      </c>
      <c r="X194" s="187">
        <f t="shared" si="70"/>
        <v>1</v>
      </c>
      <c r="Y194" s="62">
        <f t="shared" si="56"/>
        <v>5.8625999999999996</v>
      </c>
      <c r="Z194" s="62">
        <f t="shared" si="57"/>
        <v>6.8199999999999997E-2</v>
      </c>
      <c r="AA194" s="62">
        <f t="shared" si="58"/>
        <v>5.7943999999999996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9"/>
        <v>0834-08</v>
      </c>
      <c r="AE194" s="85" t="str">
        <f t="shared" si="60"/>
        <v>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 &amp; aws s3 cp s3://rtdc.mdm.uploadarchive.raw/RTDC4054/ "%USERPROFILE%\AppData\Local\Temp\OnboardLogs"\RTDC4054\2017-03-09 --exclude "*" --recursive --include "*20170309*" &amp; "%USERPROFILE%\Documents\GitHub\mrs-test-scripts\Headless Mode &amp; Sideloading\WalkAndUnGZ.bat" "%USERPROFILE%\AppData\Local\Temp\OnboardLogs"\RTDC4054\2017-03-09</v>
      </c>
      <c r="AF194" s="82" t="str">
        <f t="shared" si="61"/>
        <v>"C:\Program Files (x86)\AstroGrep\AstroGrep.exe" /e /r /s /spath="%USERPROFILE%\AppData\Local\Temp\OnboardLogs" /stypes="app*4054*20170309*" /stext=" 00:.+((SYSTEM_STATE.+slice.+state.+changed )|(ment ac)|(multiple cpu faults)|(system.+state.+changed )|(\[timeout)|(PRM\|1\|D)|(kpr)|(kdp)|(\|lc)|(penalty))"</v>
      </c>
      <c r="AG194" s="1" t="str">
        <f t="shared" si="62"/>
        <v>NW</v>
      </c>
      <c r="AH194" s="86" t="str">
        <f t="shared" si="63"/>
        <v>"%USERPROFILE%\Documents\GitHub\eaglep3\Utilities\RefineRTDCRunTimes.py" --tripid 834-08 --locoid 4054 --swversion DE.1.0.9.0 --startMP 300:58626 --initTime 2017-03-08T17:37:57 --startdatetime 2017-03-08T17:40:57 --delay 1 --endMP 204:682 --enddatetime 2017-03-08T17:55:25 --enforcementcount 0 &gt;&gt;C:\Users\stu\Documents\GitHub\eaglep3-reporting\EC\2017-03-08-refined-times.txt</v>
      </c>
      <c r="AI194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{"issue":{"subject":"","project_id":79,"tracker_id":40,"status_id":1,"priority_id":2,"assigned_to_id":23,"start_date":"2017-03-08","description":"","custom_fields":[{"id":1,"name":"Subdivision","value":"NW"},{"id":4,"name":"Milepost","value":"0.0682"},{"id":17,"name":"Train ID","value":"834-08"},{"id":16,"name":"Locomotive ID","value":"4054"},{"id":130,"name":"Impact","value":""},{"id":150,"name":"Time of Event (Mountain Time)","value":"17:55:25"},{"id":151,"name":"Denver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5"/>
        <v>start /low /b %USERPROFILE%\Documents\GitHub\eaglep3\Utilities\DownloadLogsFromS3.py --loco 4054 --day 2017-03-08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"%USERPROFILE%\AppData\Local\Temp\OnboardLogs"\RTDC4054\*4054*20170309* | grep -SE "(Enforcement Action)|(\[TIMEOUT)|(CHR.+\|PRM\|1\|D.+(SWITCH|SIGNAL).+UNKNOWN)" - &gt;&gt; 2017-03-08-UncaughtWiMAX.txt</v>
      </c>
    </row>
    <row r="195" spans="1:40" x14ac:dyDescent="0.25">
      <c r="A195" s="33" t="s">
        <v>767</v>
      </c>
      <c r="B195" s="7">
        <v>4040</v>
      </c>
      <c r="C195" s="21" t="s">
        <v>242</v>
      </c>
      <c r="D195" s="21" t="s">
        <v>963</v>
      </c>
      <c r="E195" s="13">
        <v>42802.74114583333</v>
      </c>
      <c r="F195" s="13">
        <v>42802.743981481479</v>
      </c>
      <c r="G195" s="7">
        <v>1</v>
      </c>
      <c r="H195" s="21" t="s">
        <v>990</v>
      </c>
      <c r="I195" s="13">
        <v>42802.754583333335</v>
      </c>
      <c r="J195" s="7">
        <v>0</v>
      </c>
      <c r="K195" s="98" t="str">
        <f t="shared" si="51"/>
        <v>4039/4040</v>
      </c>
      <c r="L195" s="21" t="str">
        <f>VLOOKUP(A195,'Trips&amp;Operators'!$C$1:$G$99999,5,FALSE)</f>
        <v>CHANDLER KELVIN</v>
      </c>
      <c r="M195" s="6">
        <f t="shared" si="52"/>
        <v>1.0601851856335998E-2</v>
      </c>
      <c r="N195" s="7">
        <f t="shared" si="71"/>
        <v>15.266666673123837</v>
      </c>
      <c r="O195" s="7"/>
      <c r="P195" s="7"/>
      <c r="Q195" s="22"/>
      <c r="R195" s="22"/>
      <c r="S195" s="31">
        <f t="shared" si="72"/>
        <v>1</v>
      </c>
      <c r="T195" s="46" t="str">
        <f t="shared" si="53"/>
        <v>NorthBound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4"/>
        <v>https://d0f6bd738d7f1b3e5a7ca70fe4ff75f0.us-east-1.aws.found.io/app/kibana#/discover/Steve-Slow-Train-Analysis-(2080s-and-2083s)?_g=(refreshInterval:(display:Off,pause:!f,section:0,value:0),time:(from:'2017-03-08T16:47:15-0700',mode:absolute,to:'2017-03-08T19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5" s="187" t="str">
        <f t="shared" si="55"/>
        <v>N</v>
      </c>
      <c r="X195" s="187">
        <f t="shared" si="70"/>
        <v>1</v>
      </c>
      <c r="Y195" s="62">
        <f t="shared" si="56"/>
        <v>9.74E-2</v>
      </c>
      <c r="Z195" s="62">
        <f t="shared" si="57"/>
        <v>5.8914</v>
      </c>
      <c r="AA195" s="62">
        <f t="shared" si="58"/>
        <v>5.7939999999999996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9"/>
        <v>0835-08</v>
      </c>
      <c r="AE195" s="85" t="str">
        <f t="shared" si="60"/>
        <v>aws s3 cp s3://rtdc.mdm.uploadarchive.raw/RTDC4040/ "%USERPROFILE%\AppData\Local\Temp\OnboardLogs"\RTDC4040\2017-03-08 --exclude "*" --recursive --include "*20170308*" &amp; "%USERPROFILE%\Documents\GitHub\mrs-test-scripts\Headless Mode &amp; Sideloading\WalkAndUnGZ.bat" "%USERPROFILE%\AppData\Local\Temp\OnboardLogs"\RTDC4040\2017-03-08 &amp; 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</v>
      </c>
      <c r="AF195" s="82" t="str">
        <f t="shared" si="61"/>
        <v>"C:\Program Files (x86)\AstroGrep\AstroGrep.exe" /e /r /s /spath="%USERPROFILE%\AppData\Local\Temp\OnboardLogs" /stypes="app*4040*20170309*" /stext=" 01:.+((SYSTEM_STATE.+slice.+state.+changed )|(ment ac)|(multiple cpu faults)|(system.+state.+changed )|(\[timeout)|(PRM\|1\|D)|(kpr)|(kdp)|(\|lc)|(penalty))"</v>
      </c>
      <c r="AG195" s="1" t="str">
        <f t="shared" si="62"/>
        <v>NW</v>
      </c>
      <c r="AH195" s="86" t="str">
        <f t="shared" si="63"/>
        <v>"%USERPROFILE%\Documents\GitHub\eaglep3\Utilities\RefineRTDCRunTimes.py" --tripid 835-08 --locoid 4040 --swversion DE.1.0.9.0 --startMP 204:974 --initTime 2017-03-08T17:47:15 --startdatetime 2017-03-08T17:51:20 --delay 1 --endMP 300:58914 --enddatetime 2017-03-08T18:06:36 --enforcementcount 0 &gt;&gt;C:\Users\stu\Documents\GitHub\eaglep3-reporting\EC\2017-03-08-refined-times.txt</v>
      </c>
      <c r="AI195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{"issue":{"subject":"","project_id":79,"tracker_id":40,"status_id":1,"priority_id":2,"assigned_to_id":23,"start_date":"2017-03-08","description":"","custom_fields":[{"id":1,"name":"Subdivision","value":"NW"},{"id":4,"name":"Milepost","value":"5.8914"},{"id":17,"name":"Train ID","value":"835-08"},{"id":16,"name":"Locomotive ID","value":"4040"},{"id":130,"name":"Impact","value":""},{"id":150,"name":"Time of Event (Mountain Time)","value":"18:06:36"},{"id":151,"name":"Denver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5"/>
        <v>start /low /b %USERPROFILE%\Documents\GitHub\eaglep3\Utilities\DownloadLogsFromS3.py --loco 4040 --day 2017-03-08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"%USERPROFILE%\AppData\Local\Temp\OnboardLogs"\RTDC4040\*4040*20170309* | grep -SE "(Enforcement Action)|(\[TIMEOUT)|(CHR.+\|PRM\|1\|D.+(SWITCH|SIGNAL).+UNKNOWN)" - &gt;&gt; 2017-03-08-UncaughtWiMAX.txt</v>
      </c>
    </row>
    <row r="196" spans="1:40" x14ac:dyDescent="0.25">
      <c r="A196" s="33" t="s">
        <v>589</v>
      </c>
      <c r="B196" s="7">
        <v>4039</v>
      </c>
      <c r="C196" s="21" t="s">
        <v>242</v>
      </c>
      <c r="D196" s="21" t="s">
        <v>991</v>
      </c>
      <c r="E196" s="13">
        <v>42802.756365740737</v>
      </c>
      <c r="F196" s="13">
        <v>42802.757708333331</v>
      </c>
      <c r="G196" s="7">
        <v>1</v>
      </c>
      <c r="H196" s="21" t="s">
        <v>524</v>
      </c>
      <c r="I196" s="13">
        <v>42802.768229166664</v>
      </c>
      <c r="J196" s="7">
        <v>0</v>
      </c>
      <c r="K196" s="98" t="str">
        <f t="shared" si="51"/>
        <v>4039/4040</v>
      </c>
      <c r="L196" s="21" t="str">
        <f>VLOOKUP(A196,'Trips&amp;Operators'!$C$1:$G$99999,5,FALSE)</f>
        <v>CHANDLER KELVIN</v>
      </c>
      <c r="M196" s="6">
        <f t="shared" si="52"/>
        <v>1.0520833333430346E-2</v>
      </c>
      <c r="N196" s="7">
        <f t="shared" si="71"/>
        <v>15.150000000139698</v>
      </c>
      <c r="O196" s="7"/>
      <c r="P196" s="7"/>
      <c r="Q196" s="22"/>
      <c r="R196" s="22"/>
      <c r="S196" s="31">
        <f t="shared" si="72"/>
        <v>1</v>
      </c>
      <c r="T196" s="46" t="str">
        <f t="shared" si="53"/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4"/>
        <v>https://d0f6bd738d7f1b3e5a7ca70fe4ff75f0.us-east-1.aws.found.io/app/kibana#/discover/Steve-Slow-Train-Analysis-(2080s-and-2083s)?_g=(refreshInterval:(display:Off,pause:!f,section:0,value:0),time:(from:'2017-03-08T17:09:10-0700',mode:absolute,to:'2017-03-08T19:26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6" s="187" t="str">
        <f t="shared" si="55"/>
        <v>N</v>
      </c>
      <c r="X196" s="187">
        <f t="shared" si="70"/>
        <v>1</v>
      </c>
      <c r="Y196" s="62">
        <f t="shared" si="56"/>
        <v>5.8593999999999999</v>
      </c>
      <c r="Z196" s="62">
        <f t="shared" si="57"/>
        <v>6.6400000000000001E-2</v>
      </c>
      <c r="AA196" s="62">
        <f t="shared" si="58"/>
        <v>5.7930000000000001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9"/>
        <v>0836-08</v>
      </c>
      <c r="AE196" s="85" t="str">
        <f t="shared" si="60"/>
        <v>aws s3 cp s3://rtdc.mdm.uploadarchive.raw/RTDC4039/ "%USERPROFILE%\AppData\Local\Temp\OnboardLogs"\RTDC4039\2017-03-08 --exclude "*" --recursive --include "*20170308*" &amp; "%USERPROFILE%\Documents\GitHub\mrs-test-scripts\Headless Mode &amp; Sideloading\WalkAndUnGZ.bat" "%USERPROFILE%\AppData\Local\Temp\OnboardLogs"\RTDC4039\2017-03-08 &amp; 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</v>
      </c>
      <c r="AF196" s="82" t="str">
        <f t="shared" si="61"/>
        <v>"C:\Program Files (x86)\AstroGrep\AstroGrep.exe" /e /r /s /spath="%USERPROFILE%\AppData\Local\Temp\OnboardLogs" /stypes="app*4039*20170309*" /stext=" 01:.+((SYSTEM_STATE.+slice.+state.+changed )|(ment ac)|(multiple cpu faults)|(system.+state.+changed )|(\[timeout)|(PRM\|1\|D)|(kpr)|(kdp)|(\|lc)|(penalty))"</v>
      </c>
      <c r="AG196" s="1" t="str">
        <f t="shared" si="62"/>
        <v>NW</v>
      </c>
      <c r="AH196" s="86" t="str">
        <f t="shared" si="63"/>
        <v>"%USERPROFILE%\Documents\GitHub\eaglep3\Utilities\RefineRTDCRunTimes.py" --tripid 836-08 --locoid 4039 --swversion DE.1.0.9.0 --startMP 300:58594 --initTime 2017-03-08T18:09:10 --startdatetime 2017-03-08T18:11:06 --delay 1 --endMP 204:664 --enddatetime 2017-03-08T18:26:15 --enforcementcount 0 &gt;&gt;C:\Users\stu\Documents\GitHub\eaglep3-reporting\EC\2017-03-08-refined-times.txt</v>
      </c>
      <c r="AI196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{"issue":{"subject":"","project_id":79,"tracker_id":40,"status_id":1,"priority_id":2,"assigned_to_id":23,"start_date":"2017-03-08","description":"","custom_fields":[{"id":1,"name":"Subdivision","value":"NW"},{"id":4,"name":"Milepost","value":"0.0664"},{"id":17,"name":"Train ID","value":"836-08"},{"id":16,"name":"Locomotive ID","value":"4039"},{"id":130,"name":"Impact","value":""},{"id":150,"name":"Time of Event (Mountain Time)","value":"18:26:15"},{"id":151,"name":"Denver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5"/>
        <v>start /low /b %USERPROFILE%\Documents\GitHub\eaglep3\Utilities\DownloadLogsFromS3.py --loco 4039 --day 2017-03-08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2017-03-08-UncaughtWiMAX.txt</v>
      </c>
    </row>
    <row r="197" spans="1:40" x14ac:dyDescent="0.25">
      <c r="A197" s="33" t="s">
        <v>775</v>
      </c>
      <c r="B197" s="7">
        <v>4053</v>
      </c>
      <c r="C197" s="21" t="s">
        <v>242</v>
      </c>
      <c r="D197" s="21" t="s">
        <v>986</v>
      </c>
      <c r="E197" s="13">
        <v>42802.759282407409</v>
      </c>
      <c r="F197" s="13">
        <v>42802.764780092592</v>
      </c>
      <c r="G197" s="7">
        <v>1</v>
      </c>
      <c r="H197" s="21" t="s">
        <v>946</v>
      </c>
      <c r="I197" s="13">
        <v>42802.774409722224</v>
      </c>
      <c r="J197" s="7">
        <v>0</v>
      </c>
      <c r="K197" s="98" t="str">
        <f t="shared" si="51"/>
        <v>4053/4054</v>
      </c>
      <c r="L197" s="21" t="str">
        <f>VLOOKUP(A197,'Trips&amp;Operators'!$C$1:$G$99999,5,FALSE)</f>
        <v>BRUDER RICHARD</v>
      </c>
      <c r="M197" s="6">
        <f t="shared" si="52"/>
        <v>9.6296296323998831E-3</v>
      </c>
      <c r="N197" s="7">
        <f t="shared" si="71"/>
        <v>13.866666670655832</v>
      </c>
      <c r="O197" s="7"/>
      <c r="P197" s="7"/>
      <c r="Q197" s="22"/>
      <c r="R197" s="22"/>
      <c r="S197" s="31">
        <f t="shared" si="72"/>
        <v>1</v>
      </c>
      <c r="T197" s="46" t="str">
        <f t="shared" si="53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4"/>
        <v>https://d0f6bd738d7f1b3e5a7ca70fe4ff75f0.us-east-1.aws.found.io/app/kibana#/discover/Steve-Slow-Train-Analysis-(2080s-and-2083s)?_g=(refreshInterval:(display:Off,pause:!f,section:0,value:0),time:(from:'2017-03-08T17:13:22-0700',mode:absolute,to:'2017-03-08T19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7" s="187" t="str">
        <f t="shared" si="55"/>
        <v>N</v>
      </c>
      <c r="X197" s="187">
        <f t="shared" si="70"/>
        <v>1</v>
      </c>
      <c r="Y197" s="62">
        <f t="shared" si="56"/>
        <v>9.7100000000000006E-2</v>
      </c>
      <c r="Z197" s="62">
        <f t="shared" si="57"/>
        <v>5.8939000000000004</v>
      </c>
      <c r="AA197" s="62">
        <f t="shared" si="58"/>
        <v>5.7968000000000002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9"/>
        <v>0837-08</v>
      </c>
      <c r="AE197" s="85" t="str">
        <f t="shared" si="60"/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197" s="82" t="str">
        <f t="shared" si="61"/>
        <v>"C:\Program Files (x86)\AstroGrep\AstroGrep.exe" /e /r /s /spath="%USERPROFILE%\AppData\Local\Temp\OnboardLogs" /stypes="app*4053*20170309*" /stext=" 01:.+((SYSTEM_STATE.+slice.+state.+changed )|(ment ac)|(multiple cpu faults)|(system.+state.+changed )|(\[timeout)|(PRM\|1\|D)|(kpr)|(kdp)|(\|lc)|(penalty))"</v>
      </c>
      <c r="AG197" s="1" t="str">
        <f t="shared" si="62"/>
        <v>NW</v>
      </c>
      <c r="AH197" s="86" t="str">
        <f t="shared" si="63"/>
        <v>"%USERPROFILE%\Documents\GitHub\eaglep3\Utilities\RefineRTDCRunTimes.py" --tripid 837-08 --locoid 4053 --swversion DE.1.0.9.0 --startMP 204:971 --initTime 2017-03-08T18:13:22 --startdatetime 2017-03-08T18:21:17 --delay 1 --endMP 300:58939 --enddatetime 2017-03-08T18:35:09 --enforcementcount 0 &gt;&gt;C:\Users\stu\Documents\GitHub\eaglep3-reporting\EC\2017-03-08-refined-times.txt</v>
      </c>
      <c r="AI197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{"issue":{"subject":"","project_id":79,"tracker_id":40,"status_id":1,"priority_id":2,"assigned_to_id":23,"start_date":"2017-03-08","description":"","custom_fields":[{"id":1,"name":"Subdivision","value":"NW"},{"id":4,"name":"Milepost","value":"5.8939"},{"id":17,"name":"Train ID","value":"837-08"},{"id":16,"name":"Locomotive ID","value":"4053"},{"id":130,"name":"Impact","value":""},{"id":150,"name":"Time of Event (Mountain Time)","value":"18:35:09"},{"id":151,"name":"Denver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5"/>
        <v>start /low /b %USERPROFILE%\Documents\GitHub\eaglep3\Utilities\DownloadLogsFromS3.py --loco 4053 --day 2017-03-08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"%USERPROFILE%\AppData\Local\Temp\OnboardLogs"\RTDC4053\*4053*20170309* | grep -SE "(Enforcement Action)|(\[TIMEOUT)|(CHR.+\|PRM\|1\|D.+(SWITCH|SIGNAL).+UNKNOWN)" - &gt;&gt; 2017-03-08-UncaughtWiMAX.txt</v>
      </c>
    </row>
    <row r="198" spans="1:40" x14ac:dyDescent="0.25">
      <c r="A198" s="33" t="s">
        <v>781</v>
      </c>
      <c r="B198" s="7">
        <v>4054</v>
      </c>
      <c r="C198" s="21" t="s">
        <v>242</v>
      </c>
      <c r="D198" s="21" t="s">
        <v>955</v>
      </c>
      <c r="E198" s="13">
        <v>42802.775868055556</v>
      </c>
      <c r="F198" s="13">
        <v>42802.77784722222</v>
      </c>
      <c r="G198" s="7">
        <v>1</v>
      </c>
      <c r="H198" s="21" t="s">
        <v>518</v>
      </c>
      <c r="I198" s="13">
        <v>42802.788645833331</v>
      </c>
      <c r="J198" s="7">
        <v>0</v>
      </c>
      <c r="K198" s="98" t="str">
        <f t="shared" si="51"/>
        <v>4053/4054</v>
      </c>
      <c r="L198" s="21" t="str">
        <f>VLOOKUP(A198,'Trips&amp;Operators'!$C$1:$G$99999,5,FALSE)</f>
        <v>BRUDER RICHARD</v>
      </c>
      <c r="M198" s="6">
        <f t="shared" si="52"/>
        <v>1.0798611110658385E-2</v>
      </c>
      <c r="N198" s="7">
        <f t="shared" si="71"/>
        <v>15.549999999348074</v>
      </c>
      <c r="O198" s="7"/>
      <c r="P198" s="7"/>
      <c r="Q198" s="22"/>
      <c r="R198" s="22"/>
      <c r="S198" s="31">
        <f t="shared" si="72"/>
        <v>1</v>
      </c>
      <c r="T198" s="46" t="str">
        <f t="shared" si="53"/>
        <v>Southbound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4"/>
        <v>https://d0f6bd738d7f1b3e5a7ca70fe4ff75f0.us-east-1.aws.found.io/app/kibana#/discover/Steve-Slow-Train-Analysis-(2080s-and-2083s)?_g=(refreshInterval:(display:Off,pause:!f,section:0,value:0),time:(from:'2017-03-08T17:37:15-0700',mode:absolute,to:'2017-03-08T19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8" s="187" t="str">
        <f t="shared" si="55"/>
        <v>N</v>
      </c>
      <c r="X198" s="187">
        <f t="shared" si="70"/>
        <v>1</v>
      </c>
      <c r="Y198" s="62">
        <f t="shared" si="56"/>
        <v>5.8620999999999999</v>
      </c>
      <c r="Z198" s="62">
        <f t="shared" si="57"/>
        <v>6.6100000000000006E-2</v>
      </c>
      <c r="AA198" s="62">
        <f t="shared" si="58"/>
        <v>5.7960000000000003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9"/>
        <v>0838-08</v>
      </c>
      <c r="AE198" s="85" t="str">
        <f t="shared" si="60"/>
        <v>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 &amp; aws s3 cp s3://rtdc.mdm.uploadarchive.raw/RTDC4054/ "%USERPROFILE%\AppData\Local\Temp\OnboardLogs"\RTDC4054\2017-03-09 --exclude "*" --recursive --include "*20170309*" &amp; "%USERPROFILE%\Documents\GitHub\mrs-test-scripts\Headless Mode &amp; Sideloading\WalkAndUnGZ.bat" "%USERPROFILE%\AppData\Local\Temp\OnboardLogs"\RTDC4054\2017-03-09</v>
      </c>
      <c r="AF198" s="82" t="str">
        <f t="shared" si="61"/>
        <v>"C:\Program Files (x86)\AstroGrep\AstroGrep.exe" /e /r /s /spath="%USERPROFILE%\AppData\Local\Temp\OnboardLogs" /stypes="app*4054*20170309*" /stext=" 01:.+((SYSTEM_STATE.+slice.+state.+changed )|(ment ac)|(multiple cpu faults)|(system.+state.+changed )|(\[timeout)|(PRM\|1\|D)|(kpr)|(kdp)|(\|lc)|(penalty))"</v>
      </c>
      <c r="AG198" s="1" t="str">
        <f t="shared" si="62"/>
        <v>NW</v>
      </c>
      <c r="AH198" s="86" t="str">
        <f t="shared" si="63"/>
        <v>"%USERPROFILE%\Documents\GitHub\eaglep3\Utilities\RefineRTDCRunTimes.py" --tripid 838-08 --locoid 4054 --swversion DE.1.0.9.0 --startMP 300:58621 --initTime 2017-03-08T18:37:15 --startdatetime 2017-03-08T18:40:06 --delay 1 --endMP 204:661 --enddatetime 2017-03-08T18:55:39 --enforcementcount 0 &gt;&gt;C:\Users\stu\Documents\GitHub\eaglep3-reporting\EC\2017-03-08-refined-times.txt</v>
      </c>
      <c r="AI198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{"issue":{"subject":"","project_id":79,"tracker_id":40,"status_id":1,"priority_id":2,"assigned_to_id":23,"start_date":"2017-03-08","description":"","custom_fields":[{"id":1,"name":"Subdivision","value":"NW"},{"id":4,"name":"Milepost","value":"0.0661"},{"id":17,"name":"Train ID","value":"838-08"},{"id":16,"name":"Locomotive ID","value":"4054"},{"id":130,"name":"Impact","value":""},{"id":150,"name":"Time of Event (Mountain Time)","value":"18:55:39"},{"id":151,"name":"Denver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5"/>
        <v>start /low /b %USERPROFILE%\Documents\GitHub\eaglep3\Utilities\DownloadLogsFromS3.py --loco 4054 --day 2017-03-08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"%USERPROFILE%\AppData\Local\Temp\OnboardLogs"\RTDC4054\*4054*20170309* | grep -SE "(Enforcement Action)|(\[TIMEOUT)|(CHR.+\|PRM\|1\|D.+(SWITCH|SIGNAL).+UNKNOWN)" - &gt;&gt; 2017-03-08-UncaughtWiMAX.txt</v>
      </c>
    </row>
    <row r="199" spans="1:40" x14ac:dyDescent="0.25">
      <c r="A199" s="33" t="s">
        <v>783</v>
      </c>
      <c r="B199" s="7">
        <v>4040</v>
      </c>
      <c r="C199" s="21" t="s">
        <v>242</v>
      </c>
      <c r="D199" s="21" t="s">
        <v>516</v>
      </c>
      <c r="E199" s="13">
        <v>42802.783078703702</v>
      </c>
      <c r="F199" s="13">
        <v>42802.785682870373</v>
      </c>
      <c r="G199" s="7">
        <v>0</v>
      </c>
      <c r="H199" s="21" t="s">
        <v>992</v>
      </c>
      <c r="I199" s="13">
        <v>42802.795474537037</v>
      </c>
      <c r="J199" s="7">
        <v>0</v>
      </c>
      <c r="K199" s="98" t="str">
        <f t="shared" si="51"/>
        <v>4039/4040</v>
      </c>
      <c r="L199" s="21" t="str">
        <f>VLOOKUP(A199,'Trips&amp;Operators'!$C$1:$G$99999,5,FALSE)</f>
        <v>CHANDLER KELVIN</v>
      </c>
      <c r="M199" s="6">
        <f t="shared" si="52"/>
        <v>9.7916666636592709E-3</v>
      </c>
      <c r="N199" s="7">
        <f t="shared" si="71"/>
        <v>14.09999999566935</v>
      </c>
      <c r="O199" s="7"/>
      <c r="P199" s="7"/>
      <c r="Q199" s="22"/>
      <c r="R199" s="22"/>
      <c r="S199" s="31">
        <f t="shared" si="72"/>
        <v>1</v>
      </c>
      <c r="T199" s="46" t="str">
        <f t="shared" si="53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4"/>
        <v>https://d0f6bd738d7f1b3e5a7ca70fe4ff75f0.us-east-1.aws.found.io/app/kibana#/discover/Steve-Slow-Train-Analysis-(2080s-and-2083s)?_g=(refreshInterval:(display:Off,pause:!f,section:0,value:0),time:(from:'2017-03-08T17:47:38-0700',mode:absolute,to:'2017-03-08T20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9" s="187" t="str">
        <f t="shared" si="55"/>
        <v>N</v>
      </c>
      <c r="X199" s="187">
        <f t="shared" si="70"/>
        <v>1</v>
      </c>
      <c r="Y199" s="62">
        <f t="shared" si="56"/>
        <v>9.5799999999999996E-2</v>
      </c>
      <c r="Z199" s="62">
        <f t="shared" si="57"/>
        <v>5.8890000000000002</v>
      </c>
      <c r="AA199" s="62">
        <f t="shared" si="58"/>
        <v>5.7932000000000006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9"/>
        <v>0839-08</v>
      </c>
      <c r="AE199" s="85" t="str">
        <f t="shared" si="60"/>
        <v>aws s3 cp s3://rtdc.mdm.uploadarchive.raw/RTDC4040/ "%USERPROFILE%\AppData\Local\Temp\OnboardLogs"\RTDC4040\2017-03-08 --exclude "*" --recursive --include "*20170308*" &amp; "%USERPROFILE%\Documents\GitHub\mrs-test-scripts\Headless Mode &amp; Sideloading\WalkAndUnGZ.bat" "%USERPROFILE%\AppData\Local\Temp\OnboardLogs"\RTDC4040\2017-03-08 &amp; 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</v>
      </c>
      <c r="AF199" s="82" t="str">
        <f t="shared" si="61"/>
        <v>"C:\Program Files (x86)\AstroGrep\AstroGrep.exe" /e /r /s /spath="%USERPROFILE%\AppData\Local\Temp\OnboardLogs" /stypes="app*4040*20170309*" /stext=" 02:.+((SYSTEM_STATE.+slice.+state.+changed )|(ment ac)|(multiple cpu faults)|(system.+state.+changed )|(\[timeout)|(PRM\|1\|D)|(kpr)|(kdp)|(\|lc)|(penalty))"</v>
      </c>
      <c r="AG199" s="1" t="str">
        <f t="shared" si="62"/>
        <v>NW</v>
      </c>
      <c r="AH199" s="86" t="str">
        <f t="shared" si="63"/>
        <v>"%USERPROFILE%\Documents\GitHub\eaglep3\Utilities\RefineRTDCRunTimes.py" --tripid 839-08 --locoid 4040 --swversion DE.1.0.9.0 --startMP 204:958 --initTime 2017-03-08T18:47:38 --startdatetime 2017-03-08T18:51:23 --delay 0 --endMP 300:58890 --enddatetime 2017-03-08T19:05:29 --enforcementcount 0 &gt;&gt;C:\Users\stu\Documents\GitHub\eaglep3-reporting\EC\2017-03-08-refined-times.txt</v>
      </c>
      <c r="AI199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{"issue":{"subject":"","project_id":79,"tracker_id":40,"status_id":1,"priority_id":2,"assigned_to_id":23,"start_date":"2017-03-08","description":"","custom_fields":[{"id":1,"name":"Subdivision","value":"NW"},{"id":4,"name":"Milepost","value":"5.889"},{"id":17,"name":"Train ID","value":"839-08"},{"id":16,"name":"Locomotive ID","value":"4040"},{"id":130,"name":"Impact","value":""},{"id":150,"name":"Time of Event (Mountain Time)","value":"19:05:29"},{"id":151,"name":"Denver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5"/>
        <v>start /low /b %USERPROFILE%\Documents\GitHub\eaglep3\Utilities\DownloadLogsFromS3.py --loco 4040 --day 2017-03-08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"%USERPROFILE%\AppData\Local\Temp\OnboardLogs"\RTDC4040\*4040*20170309* | grep -SE "(Enforcement Action)|(\[TIMEOUT)|(CHR.+\|PRM\|1\|D.+(SWITCH|SIGNAL).+UNKNOWN)" - &gt;&gt; 2017-03-08-UncaughtWiMAX.txt</v>
      </c>
    </row>
    <row r="200" spans="1:40" x14ac:dyDescent="0.25">
      <c r="A200" s="33" t="s">
        <v>794</v>
      </c>
      <c r="B200" s="7">
        <v>4054</v>
      </c>
      <c r="C200" s="21" t="s">
        <v>242</v>
      </c>
      <c r="D200" s="21" t="s">
        <v>955</v>
      </c>
      <c r="E200" s="13">
        <v>42802.817291666666</v>
      </c>
      <c r="F200" s="13">
        <v>42802.819548611114</v>
      </c>
      <c r="G200" s="7">
        <v>1</v>
      </c>
      <c r="H200" s="21" t="s">
        <v>904</v>
      </c>
      <c r="I200" s="13">
        <v>42802.830312500002</v>
      </c>
      <c r="J200" s="7">
        <v>0</v>
      </c>
      <c r="K200" s="98" t="str">
        <f t="shared" si="51"/>
        <v>4053/4054</v>
      </c>
      <c r="L200" s="21" t="str">
        <f>VLOOKUP(A200,'Trips&amp;Operators'!$C$1:$G$99999,5,FALSE)</f>
        <v>BRUDER RICHARD</v>
      </c>
      <c r="M200" s="6">
        <f t="shared" si="52"/>
        <v>1.0763888887595385E-2</v>
      </c>
      <c r="N200" s="7">
        <f t="shared" si="71"/>
        <v>15.499999998137355</v>
      </c>
      <c r="O200" s="7"/>
      <c r="P200" s="7"/>
      <c r="Q200" s="22"/>
      <c r="R200" s="22"/>
      <c r="S200" s="31">
        <f t="shared" si="72"/>
        <v>1</v>
      </c>
      <c r="T200" s="46" t="str">
        <f t="shared" si="53"/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4"/>
        <v>https://d0f6bd738d7f1b3e5a7ca70fe4ff75f0.us-east-1.aws.found.io/app/kibana#/discover/Steve-Slow-Train-Analysis-(2080s-and-2083s)?_g=(refreshInterval:(display:Off,pause:!f,section:0,value:0),time:(from:'2017-03-08T18:36:54-0700',mode:absolute,to:'2017-03-08T20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0" s="187" t="str">
        <f t="shared" si="55"/>
        <v>N</v>
      </c>
      <c r="X200" s="187">
        <f t="shared" si="70"/>
        <v>1</v>
      </c>
      <c r="Y200" s="62">
        <f t="shared" si="56"/>
        <v>5.8620999999999999</v>
      </c>
      <c r="Z200" s="62">
        <f t="shared" si="57"/>
        <v>6.8900000000000003E-2</v>
      </c>
      <c r="AA200" s="62">
        <f t="shared" si="58"/>
        <v>5.7931999999999997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9"/>
        <v>0840-08</v>
      </c>
      <c r="AE200" s="85" t="str">
        <f t="shared" si="60"/>
        <v>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 &amp; aws s3 cp s3://rtdc.mdm.uploadarchive.raw/RTDC4054/ "%USERPROFILE%\AppData\Local\Temp\OnboardLogs"\RTDC4054\2017-03-09 --exclude "*" --recursive --include "*20170309*" &amp; "%USERPROFILE%\Documents\GitHub\mrs-test-scripts\Headless Mode &amp; Sideloading\WalkAndUnGZ.bat" "%USERPROFILE%\AppData\Local\Temp\OnboardLogs"\RTDC4054\2017-03-09</v>
      </c>
      <c r="AF200" s="82" t="str">
        <f t="shared" si="61"/>
        <v>"C:\Program Files (x86)\AstroGrep\AstroGrep.exe" /e /r /s /spath="%USERPROFILE%\AppData\Local\Temp\OnboardLogs" /stypes="app*4054*20170309*" /stext=" 02:.+((SYSTEM_STATE.+slice.+state.+changed )|(ment ac)|(multiple cpu faults)|(system.+state.+changed )|(\[timeout)|(PRM\|1\|D)|(kpr)|(kdp)|(\|lc)|(penalty))"</v>
      </c>
      <c r="AG200" s="1" t="str">
        <f t="shared" si="62"/>
        <v>NW</v>
      </c>
      <c r="AH200" s="86" t="str">
        <f t="shared" si="63"/>
        <v>"%USERPROFILE%\Documents\GitHub\eaglep3\Utilities\RefineRTDCRunTimes.py" --tripid 840-08 --locoid 4054 --swversion DE.1.0.9.0 --startMP 300:58621 --initTime 2017-03-08T19:36:54 --startdatetime 2017-03-08T19:40:09 --delay 1 --endMP 204:689 --enddatetime 2017-03-08T19:55:39 --enforcementcount 0 &gt;&gt;C:\Users\stu\Documents\GitHub\eaglep3-reporting\EC\2017-03-08-refined-times.txt</v>
      </c>
      <c r="AI200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{"issue":{"subject":"","project_id":79,"tracker_id":40,"status_id":1,"priority_id":2,"assigned_to_id":23,"start_date":"2017-03-08","description":"","custom_fields":[{"id":1,"name":"Subdivision","value":"NW"},{"id":4,"name":"Milepost","value":"0.0689"},{"id":17,"name":"Train ID","value":"840-08"},{"id":16,"name":"Locomotive ID","value":"4054"},{"id":130,"name":"Impact","value":""},{"id":150,"name":"Time of Event (Mountain Time)","value":"19:55:39"},{"id":151,"name":"Denver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5"/>
        <v>start /low /b %USERPROFILE%\Documents\GitHub\eaglep3\Utilities\DownloadLogsFromS3.py --loco 4054 --day 2017-03-08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"%USERPROFILE%\AppData\Local\Temp\OnboardLogs"\RTDC4054\*4054*20170309* | grep -SE "(Enforcement Action)|(\[TIMEOUT)|(CHR.+\|PRM\|1\|D.+(SWITCH|SIGNAL).+UNKNOWN)" - &gt;&gt; 2017-03-08-UncaughtWiMAX.txt</v>
      </c>
    </row>
    <row r="201" spans="1:40" x14ac:dyDescent="0.25">
      <c r="A201" s="33" t="s">
        <v>790</v>
      </c>
      <c r="B201" s="7">
        <v>4053</v>
      </c>
      <c r="C201" s="21" t="s">
        <v>242</v>
      </c>
      <c r="D201" s="21" t="s">
        <v>963</v>
      </c>
      <c r="E201" s="13">
        <v>42802.801724537036</v>
      </c>
      <c r="F201" s="13">
        <v>42802.806504629632</v>
      </c>
      <c r="G201" s="7">
        <v>1</v>
      </c>
      <c r="H201" s="21" t="s">
        <v>993</v>
      </c>
      <c r="I201" s="13">
        <v>42802.816168981481</v>
      </c>
      <c r="J201" s="7">
        <v>0</v>
      </c>
      <c r="K201" s="98" t="str">
        <f t="shared" si="51"/>
        <v>4053/4054</v>
      </c>
      <c r="L201" s="21" t="str">
        <f>VLOOKUP(A201,'Trips&amp;Operators'!$C$1:$G$99999,5,FALSE)</f>
        <v>BRUDER RICHARD</v>
      </c>
      <c r="M201" s="6">
        <f t="shared" si="52"/>
        <v>9.6643518481869251E-3</v>
      </c>
      <c r="N201" s="7">
        <f t="shared" si="71"/>
        <v>13.916666661389172</v>
      </c>
      <c r="O201" s="7"/>
      <c r="P201" s="7"/>
      <c r="Q201" s="22"/>
      <c r="R201" s="22"/>
      <c r="S201" s="31">
        <f t="shared" si="72"/>
        <v>1</v>
      </c>
      <c r="T201" s="46" t="str">
        <f t="shared" si="53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4"/>
        <v>https://d0f6bd738d7f1b3e5a7ca70fe4ff75f0.us-east-1.aws.found.io/app/kibana#/discover/Steve-Slow-Train-Analysis-(2080s-and-2083s)?_g=(refreshInterval:(display:Off,pause:!f,section:0,value:0),time:(from:'2017-03-08T18:14:29-0700',mode:absolute,to:'2017-03-08T20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1" s="187" t="str">
        <f t="shared" si="55"/>
        <v>N</v>
      </c>
      <c r="X201" s="187">
        <f t="shared" si="70"/>
        <v>1</v>
      </c>
      <c r="Y201" s="62">
        <f t="shared" si="56"/>
        <v>9.74E-2</v>
      </c>
      <c r="Z201" s="62">
        <f t="shared" si="57"/>
        <v>5.8944000000000001</v>
      </c>
      <c r="AA201" s="62">
        <f t="shared" si="58"/>
        <v>5.7969999999999997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9"/>
        <v>0841-08</v>
      </c>
      <c r="AE201" s="85" t="str">
        <f t="shared" si="60"/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201" s="82" t="str">
        <f t="shared" si="61"/>
        <v>"C:\Program Files (x86)\AstroGrep\AstroGrep.exe" /e /r /s /spath="%USERPROFILE%\AppData\Local\Temp\OnboardLogs" /stypes="app*4053*20170309*" /stext=" 02:.+((SYSTEM_STATE.+slice.+state.+changed )|(ment ac)|(multiple cpu faults)|(system.+state.+changed )|(\[timeout)|(PRM\|1\|D)|(kpr)|(kdp)|(\|lc)|(penalty))"</v>
      </c>
      <c r="AG201" s="1" t="str">
        <f t="shared" si="62"/>
        <v>NW</v>
      </c>
      <c r="AH201" s="86" t="str">
        <f t="shared" si="63"/>
        <v>"%USERPROFILE%\Documents\GitHub\eaglep3\Utilities\RefineRTDCRunTimes.py" --tripid 841-08 --locoid 4053 --swversion DE.1.0.9.0 --startMP 204:974 --initTime 2017-03-08T19:14:29 --startdatetime 2017-03-08T19:21:22 --delay 1 --endMP 300:58944 --enddatetime 2017-03-08T19:35:17 --enforcementcount 0 &gt;&gt;C:\Users\stu\Documents\GitHub\eaglep3-reporting\EC\2017-03-08-refined-times.txt</v>
      </c>
      <c r="AI201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{"issue":{"subject":"","project_id":79,"tracker_id":40,"status_id":1,"priority_id":2,"assigned_to_id":23,"start_date":"2017-03-08","description":"","custom_fields":[{"id":1,"name":"Subdivision","value":"NW"},{"id":4,"name":"Milepost","value":"5.8944"},{"id":17,"name":"Train ID","value":"841-08"},{"id":16,"name":"Locomotive ID","value":"4053"},{"id":130,"name":"Impact","value":""},{"id":150,"name":"Time of Event (Mountain Time)","value":"19:35:17"},{"id":151,"name":"Denver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5"/>
        <v>start /low /b %USERPROFILE%\Documents\GitHub\eaglep3\Utilities\DownloadLogsFromS3.py --loco 4053 --day 2017-03-08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"%USERPROFILE%\AppData\Local\Temp\OnboardLogs"\RTDC4053\*4053*20170309* | grep -SE "(Enforcement Action)|(\[TIMEOUT)|(CHR.+\|PRM\|1\|D.+(SWITCH|SIGNAL).+UNKNOWN)" - &gt;&gt; 2017-03-08-UncaughtWiMAX.txt</v>
      </c>
    </row>
    <row r="202" spans="1:40" x14ac:dyDescent="0.25">
      <c r="A202" s="33" t="s">
        <v>802</v>
      </c>
      <c r="B202" s="7">
        <v>4054</v>
      </c>
      <c r="C202" s="21" t="s">
        <v>242</v>
      </c>
      <c r="D202" s="21" t="s">
        <v>980</v>
      </c>
      <c r="E202" s="13">
        <v>42802.859016203707</v>
      </c>
      <c r="F202" s="13">
        <v>42802.860393518517</v>
      </c>
      <c r="G202" s="7">
        <v>1</v>
      </c>
      <c r="H202" s="21" t="s">
        <v>514</v>
      </c>
      <c r="I202" s="13">
        <v>42802.871817129628</v>
      </c>
      <c r="J202" s="7">
        <v>0</v>
      </c>
      <c r="K202" s="98" t="str">
        <f t="shared" si="51"/>
        <v>4053/4054</v>
      </c>
      <c r="L202" s="21" t="str">
        <f>VLOOKUP(A202,'Trips&amp;Operators'!$C$1:$G$99999,5,FALSE)</f>
        <v>BRUDER RICHARD</v>
      </c>
      <c r="M202" s="6">
        <f t="shared" si="52"/>
        <v>1.1423611111240461E-2</v>
      </c>
      <c r="N202" s="7">
        <f t="shared" si="71"/>
        <v>16.450000000186265</v>
      </c>
      <c r="O202" s="7"/>
      <c r="P202" s="7"/>
      <c r="Q202" s="22"/>
      <c r="R202" s="22"/>
      <c r="S202" s="31">
        <f t="shared" si="72"/>
        <v>1</v>
      </c>
      <c r="T202" s="46" t="str">
        <f t="shared" si="53"/>
        <v>Southbound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54"/>
        <v>https://d0f6bd738d7f1b3e5a7ca70fe4ff75f0.us-east-1.aws.found.io/app/kibana#/discover/Steve-Slow-Train-Analysis-(2080s-and-2083s)?_g=(refreshInterval:(display:Off,pause:!f,section:0,value:0),time:(from:'2017-03-08T19:36:59-0700',mode:absolute,to:'2017-03-08T21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2" s="187" t="str">
        <f t="shared" si="55"/>
        <v>N</v>
      </c>
      <c r="X202" s="187">
        <f t="shared" si="70"/>
        <v>1</v>
      </c>
      <c r="Y202" s="62">
        <f t="shared" si="56"/>
        <v>5.8625999999999996</v>
      </c>
      <c r="Z202" s="62">
        <f t="shared" si="57"/>
        <v>6.8199999999999997E-2</v>
      </c>
      <c r="AA202" s="62">
        <f t="shared" si="58"/>
        <v>5.7943999999999996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9"/>
        <v>0842-08</v>
      </c>
      <c r="AE202" s="85" t="str">
        <f t="shared" si="60"/>
        <v>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 &amp; aws s3 cp s3://rtdc.mdm.uploadarchive.raw/RTDC4054/ "%USERPROFILE%\AppData\Local\Temp\OnboardLogs"\RTDC4054\2017-03-09 --exclude "*" --recursive --include "*20170309*" &amp; "%USERPROFILE%\Documents\GitHub\mrs-test-scripts\Headless Mode &amp; Sideloading\WalkAndUnGZ.bat" "%USERPROFILE%\AppData\Local\Temp\OnboardLogs"\RTDC4054\2017-03-09</v>
      </c>
      <c r="AF202" s="82" t="str">
        <f t="shared" si="61"/>
        <v>"C:\Program Files (x86)\AstroGrep\AstroGrep.exe" /e /r /s /spath="%USERPROFILE%\AppData\Local\Temp\OnboardLogs" /stypes="app*4054*20170309*" /stext=" 03:.+((SYSTEM_STATE.+slice.+state.+changed )|(ment ac)|(multiple cpu faults)|(system.+state.+changed )|(\[timeout)|(PRM\|1\|D)|(kpr)|(kdp)|(\|lc)|(penalty))"</v>
      </c>
      <c r="AG202" s="1" t="str">
        <f t="shared" si="62"/>
        <v>NW</v>
      </c>
      <c r="AH202" s="86" t="str">
        <f t="shared" si="63"/>
        <v>"%USERPROFILE%\Documents\GitHub\eaglep3\Utilities\RefineRTDCRunTimes.py" --tripid 842-08 --locoid 4054 --swversion DE.1.0.9.0 --startMP 300:58626 --initTime 2017-03-08T20:36:59 --startdatetime 2017-03-08T20:38:58 --delay 1 --endMP 204:682 --enddatetime 2017-03-08T20:55:25 --enforcementcount 0 &gt;&gt;C:\Users\stu\Documents\GitHub\eaglep3-reporting\EC\2017-03-08-refined-times.txt</v>
      </c>
      <c r="AI202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{"issue":{"subject":"","project_id":79,"tracker_id":40,"status_id":1,"priority_id":2,"assigned_to_id":23,"start_date":"2017-03-08","description":"","custom_fields":[{"id":1,"name":"Subdivision","value":"NW"},{"id":4,"name":"Milepost","value":"0.0682"},{"id":17,"name":"Train ID","value":"842-08"},{"id":16,"name":"Locomotive ID","value":"4054"},{"id":130,"name":"Impact","value":""},{"id":150,"name":"Time of Event (Mountain Time)","value":"20:55:25"},{"id":151,"name":"Denver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5"/>
        <v>start /low /b %USERPROFILE%\Documents\GitHub\eaglep3\Utilities\DownloadLogsFromS3.py --loco 4054 --day 2017-03-08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"%USERPROFILE%\AppData\Local\Temp\OnboardLogs"\RTDC4054\*4054*20170309* | grep -SE "(Enforcement Action)|(\[TIMEOUT)|(CHR.+\|PRM\|1\|D.+(SWITCH|SIGNAL).+UNKNOWN)" - &gt;&gt; 2017-03-08-UncaughtWiMAX.txt</v>
      </c>
    </row>
    <row r="203" spans="1:40" x14ac:dyDescent="0.25">
      <c r="A203" s="33" t="s">
        <v>798</v>
      </c>
      <c r="B203" s="7">
        <v>4053</v>
      </c>
      <c r="C203" s="21" t="s">
        <v>242</v>
      </c>
      <c r="D203" s="21" t="s">
        <v>519</v>
      </c>
      <c r="E203" s="13">
        <v>42802.840694444443</v>
      </c>
      <c r="F203" s="13">
        <v>42802.848124999997</v>
      </c>
      <c r="G203" s="7">
        <v>1</v>
      </c>
      <c r="H203" s="21" t="s">
        <v>468</v>
      </c>
      <c r="I203" s="13">
        <v>42802.857789351852</v>
      </c>
      <c r="J203" s="7">
        <v>0</v>
      </c>
      <c r="K203" s="98" t="str">
        <f t="shared" si="51"/>
        <v>4053/4054</v>
      </c>
      <c r="L203" s="21" t="str">
        <f>VLOOKUP(A203,'Trips&amp;Operators'!$C$1:$G$99999,5,FALSE)</f>
        <v>BRUDER RICHARD</v>
      </c>
      <c r="M203" s="6">
        <f t="shared" si="52"/>
        <v>9.6643518554628827E-3</v>
      </c>
      <c r="N203" s="7">
        <f t="shared" si="71"/>
        <v>13.916666671866551</v>
      </c>
      <c r="O203" s="7"/>
      <c r="P203" s="7"/>
      <c r="Q203" s="22"/>
      <c r="R203" s="22"/>
      <c r="S203" s="31">
        <f t="shared" si="72"/>
        <v>1</v>
      </c>
      <c r="T203" s="46" t="str">
        <f t="shared" si="53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4"/>
        <v>https://d0f6bd738d7f1b3e5a7ca70fe4ff75f0.us-east-1.aws.found.io/app/kibana#/discover/Steve-Slow-Train-Analysis-(2080s-and-2083s)?_g=(refreshInterval:(display:Off,pause:!f,section:0,value:0),time:(from:'2017-03-08T19:10:36-0700',mode:absolute,to:'2017-03-08T21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3" s="187" t="str">
        <f t="shared" si="55"/>
        <v>N</v>
      </c>
      <c r="X203" s="187">
        <f t="shared" si="70"/>
        <v>1</v>
      </c>
      <c r="Y203" s="62">
        <f t="shared" si="56"/>
        <v>9.6000000000000002E-2</v>
      </c>
      <c r="Z203" s="62">
        <f t="shared" si="57"/>
        <v>5.8940999999999999</v>
      </c>
      <c r="AA203" s="62">
        <f t="shared" si="58"/>
        <v>5.7980999999999998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9"/>
        <v>0843-08</v>
      </c>
      <c r="AE203" s="85" t="str">
        <f t="shared" si="60"/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203" s="82" t="str">
        <f t="shared" si="61"/>
        <v>"C:\Program Files (x86)\AstroGrep\AstroGrep.exe" /e /r /s /spath="%USERPROFILE%\AppData\Local\Temp\OnboardLogs" /stypes="app*4053*20170309*" /stext=" 03:.+((SYSTEM_STATE.+slice.+state.+changed )|(ment ac)|(multiple cpu faults)|(system.+state.+changed )|(\[timeout)|(PRM\|1\|D)|(kpr)|(kdp)|(\|lc)|(penalty))"</v>
      </c>
      <c r="AG203" s="1" t="str">
        <f t="shared" si="62"/>
        <v>NW</v>
      </c>
      <c r="AH203" s="86" t="str">
        <f t="shared" si="63"/>
        <v>"%USERPROFILE%\Documents\GitHub\eaglep3\Utilities\RefineRTDCRunTimes.py" --tripid 843-08 --locoid 4053 --swversion DE.1.0.9.0 --startMP 204:960 --initTime 2017-03-08T20:10:36 --startdatetime 2017-03-08T20:21:18 --delay 1 --endMP 300:58941 --enddatetime 2017-03-08T20:35:13 --enforcementcount 0 &gt;&gt;C:\Users\stu\Documents\GitHub\eaglep3-reporting\EC\2017-03-08-refined-times.txt</v>
      </c>
      <c r="AI203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{"issue":{"subject":"","project_id":79,"tracker_id":40,"status_id":1,"priority_id":2,"assigned_to_id":23,"start_date":"2017-03-08","description":"","custom_fields":[{"id":1,"name":"Subdivision","value":"NW"},{"id":4,"name":"Milepost","value":"5.8941"},{"id":17,"name":"Train ID","value":"843-08"},{"id":16,"name":"Locomotive ID","value":"4053"},{"id":130,"name":"Impact","value":""},{"id":150,"name":"Time of Event (Mountain Time)","value":"20:35:13"},{"id":151,"name":"Denver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5"/>
        <v>start /low /b %USERPROFILE%\Documents\GitHub\eaglep3\Utilities\DownloadLogsFromS3.py --loco 4053 --day 2017-03-08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"%USERPROFILE%\AppData\Local\Temp\OnboardLogs"\RTDC4053\*4053*20170309* | grep -SE "(Enforcement Action)|(\[TIMEOUT)|(CHR.+\|PRM\|1\|D.+(SWITCH|SIGNAL).+UNKNOWN)" - &gt;&gt; 2017-03-08-UncaughtWiMAX.txt</v>
      </c>
    </row>
    <row r="204" spans="1:40" x14ac:dyDescent="0.25">
      <c r="A204" s="33" t="s">
        <v>807</v>
      </c>
      <c r="B204" s="7">
        <v>4054</v>
      </c>
      <c r="C204" s="21" t="s">
        <v>242</v>
      </c>
      <c r="D204" s="21" t="s">
        <v>994</v>
      </c>
      <c r="E204" s="13">
        <v>42802.903043981481</v>
      </c>
      <c r="F204" s="13">
        <v>42802.904490740744</v>
      </c>
      <c r="G204" s="7">
        <v>1</v>
      </c>
      <c r="H204" s="21" t="s">
        <v>995</v>
      </c>
      <c r="I204" s="13">
        <v>42802.91511574074</v>
      </c>
      <c r="J204" s="7">
        <v>0</v>
      </c>
      <c r="K204" s="98" t="str">
        <f t="shared" si="51"/>
        <v>4053/4054</v>
      </c>
      <c r="L204" s="21" t="str">
        <f>VLOOKUP(A204,'Trips&amp;Operators'!$C$1:$G$99999,5,FALSE)</f>
        <v>CHANDLER KELVIN</v>
      </c>
      <c r="M204" s="6">
        <f t="shared" si="52"/>
        <v>1.0624999995343387E-2</v>
      </c>
      <c r="N204" s="7">
        <f t="shared" si="71"/>
        <v>15.299999993294477</v>
      </c>
      <c r="O204" s="7"/>
      <c r="P204" s="7"/>
      <c r="Q204" s="22"/>
      <c r="R204" s="22"/>
      <c r="S204" s="31">
        <f t="shared" si="72"/>
        <v>1</v>
      </c>
      <c r="T204" s="46" t="str">
        <f t="shared" si="53"/>
        <v>Southbound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54"/>
        <v>https://d0f6bd738d7f1b3e5a7ca70fe4ff75f0.us-east-1.aws.found.io/app/kibana#/discover/Steve-Slow-Train-Analysis-(2080s-and-2083s)?_g=(refreshInterval:(display:Off,pause:!f,section:0,value:0),time:(from:'2017-03-08T20:40:23-0700',mode:absolute,to:'2017-03-08T22:57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4" s="187" t="str">
        <f t="shared" si="55"/>
        <v>N</v>
      </c>
      <c r="X204" s="187">
        <f t="shared" si="70"/>
        <v>1</v>
      </c>
      <c r="Y204" s="62">
        <f t="shared" si="56"/>
        <v>5.8578999999999999</v>
      </c>
      <c r="Z204" s="62">
        <f t="shared" si="57"/>
        <v>6.6299999999999998E-2</v>
      </c>
      <c r="AA204" s="62">
        <f t="shared" si="58"/>
        <v>5.7915999999999999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9"/>
        <v>0844-08</v>
      </c>
      <c r="AE204" s="85" t="str">
        <f t="shared" si="60"/>
        <v>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 &amp; aws s3 cp s3://rtdc.mdm.uploadarchive.raw/RTDC4054/ "%USERPROFILE%\AppData\Local\Temp\OnboardLogs"\RTDC4054\2017-03-09 --exclude "*" --recursive --include "*20170309*" &amp; "%USERPROFILE%\Documents\GitHub\mrs-test-scripts\Headless Mode &amp; Sideloading\WalkAndUnGZ.bat" "%USERPROFILE%\AppData\Local\Temp\OnboardLogs"\RTDC4054\2017-03-09</v>
      </c>
      <c r="AF204" s="82" t="str">
        <f t="shared" si="61"/>
        <v>"C:\Program Files (x86)\AstroGrep\AstroGrep.exe" /e /r /s /spath="%USERPROFILE%\AppData\Local\Temp\OnboardLogs" /stypes="app*4054*20170309*" /stext=" 04:.+((SYSTEM_STATE.+slice.+state.+changed )|(ment ac)|(multiple cpu faults)|(system.+state.+changed )|(\[timeout)|(PRM\|1\|D)|(kpr)|(kdp)|(\|lc)|(penalty))"</v>
      </c>
      <c r="AG204" s="1" t="str">
        <f t="shared" si="62"/>
        <v>NW</v>
      </c>
      <c r="AH204" s="86" t="str">
        <f t="shared" si="63"/>
        <v>"%USERPROFILE%\Documents\GitHub\eaglep3\Utilities\RefineRTDCRunTimes.py" --tripid 844-08 --locoid 4054 --swversion DE.1.0.9.0 --startMP 300:58579 --initTime 2017-03-08T21:40:23 --startdatetime 2017-03-08T21:42:28 --delay 1 --endMP 204:663 --enddatetime 2017-03-08T21:57:46 --enforcementcount 0 &gt;&gt;C:\Users\stu\Documents\GitHub\eaglep3-reporting\EC\2017-03-08-refined-times.txt</v>
      </c>
      <c r="AI204" s="108" t="str">
        <f t="shared" si="64"/>
        <v>echo {"issue":{"subject":"","project_id":79,"tracker_id":40,"status_id":1,"priority_id":2,"assigned_to_id":23,"start_date":"2017-03-08","description":"","custom_fields":[{"id":1,"name":"Subdivision","value":"NW"},{"id":4,"name":"Milepost","value":"0.0663"},{"id":17,"name":"Train ID","value":"844-08"},{"id":16,"name":"Locomotive ID","value":"4054"},{"id":130,"name":"Impact","value":""},{"id":150,"name":"Time of Event (Mountain Time)","value":"21:57:46"},{"id":151,"name":"Denver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5"/>
        <v>start /low /b %USERPROFILE%\Documents\GitHub\eaglep3\Utilities\DownloadLogsFromS3.py --loco 4054 --day 2017-03-08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"%USERPROFILE%\AppData\Local\Temp\OnboardLogs"\RTDC4054\*4054*20170309* | grep -SE "(Enforcement Action)|(\[TIMEOUT)|(CHR.+\|PRM\|1\|D.+(SWITCH|SIGNAL).+UNKNOWN)" - &gt;&gt; 2017-03-08-UncaughtWiMAX.txt</v>
      </c>
    </row>
    <row r="205" spans="1:40" x14ac:dyDescent="0.25">
      <c r="A205" s="33" t="s">
        <v>806</v>
      </c>
      <c r="B205" s="7">
        <v>4053</v>
      </c>
      <c r="C205" s="21" t="s">
        <v>242</v>
      </c>
      <c r="D205" s="21" t="s">
        <v>963</v>
      </c>
      <c r="E205" s="13">
        <v>42802.886886574073</v>
      </c>
      <c r="F205" s="13">
        <v>42802.89</v>
      </c>
      <c r="G205" s="7">
        <v>1</v>
      </c>
      <c r="H205" s="21" t="s">
        <v>996</v>
      </c>
      <c r="I205" s="13">
        <v>42802.900914351849</v>
      </c>
      <c r="J205" s="7">
        <v>0</v>
      </c>
      <c r="K205" s="98" t="str">
        <f t="shared" ref="K205:K251" si="73">IF(ISEVEN(B205),(B205-1)&amp;"/"&amp;B205,B205&amp;"/"&amp;(B205+1))</f>
        <v>4053/4054</v>
      </c>
      <c r="L205" s="21" t="str">
        <f>VLOOKUP(A205,'Trips&amp;Operators'!$C$1:$G$99999,5,FALSE)</f>
        <v>CHANDLER KELVIN</v>
      </c>
      <c r="M205" s="6">
        <f t="shared" ref="M205:M251" si="74">I205-F205</f>
        <v>1.0914351849351078E-2</v>
      </c>
      <c r="N205" s="7">
        <f t="shared" si="71"/>
        <v>15.716666663065553</v>
      </c>
      <c r="O205" s="7"/>
      <c r="P205" s="7"/>
      <c r="Q205" s="22"/>
      <c r="R205" s="22"/>
      <c r="S205" s="31">
        <f t="shared" si="72"/>
        <v>1</v>
      </c>
      <c r="T205" s="46" t="str">
        <f t="shared" ref="T205:T251" si="75"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51" si="7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-08T20:17:07-0700',mode:absolute,to:'2017-03-08T22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5" s="187" t="str">
        <f t="shared" ref="W205:W251" si="77">IF(AA205&lt;IF(AG205="EC",23,5.65),"Y","N")</f>
        <v>N</v>
      </c>
      <c r="X205" s="187">
        <f t="shared" ref="X205:X236" si="78">VALUE(LEFT(AD205,4))-VALUE(LEFT(AD204,4))</f>
        <v>1</v>
      </c>
      <c r="Y205" s="62">
        <f t="shared" ref="Y205:Y251" si="79">RIGHT(D205,LEN(D205)-4)/10000</f>
        <v>9.74E-2</v>
      </c>
      <c r="Z205" s="62">
        <f t="shared" ref="Z205:Z251" si="80">RIGHT(H205,LEN(H205)-4)/10000</f>
        <v>5.8895999999999997</v>
      </c>
      <c r="AA205" s="62">
        <f t="shared" ref="AA205:AA268" si="81">ABS(Z205-Y205)</f>
        <v>5.7921999999999993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51" si="82">IF(LEN(A205)=6,"0"&amp;A205,A205)</f>
        <v>0845-08</v>
      </c>
      <c r="AE205" s="85" t="str">
        <f t="shared" ref="AE205:AE251" si="8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205" s="82" t="str">
        <f t="shared" ref="AF205:AF251" si="8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/stypes="app*4053*20170309*" /stext=" 04:.+((SYSTEM_STATE.+slice.+state.+changed )|(ment ac)|(multiple cpu faults)|(system.+state.+changed )|(\[timeout)|(PRM\|1\|D)|(kpr)|(kdp)|(\|lc)|(penalty))"</v>
      </c>
      <c r="AG205" s="1" t="str">
        <f t="shared" ref="AG205:AG251" si="85">IFERROR(IF(VALUE(LEFT(AD205,2))&lt;=2,"EC",IF(OR(VALUE(LEFT(AD205,2))=8,VALUE(LEFT(AD205,2))=18),"NW","Other")),"Other")</f>
        <v>NW</v>
      </c>
      <c r="AH205" s="86" t="str">
        <f t="shared" ref="AH205:AH251" si="8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845-08 --locoid 4053 --swversion DE.1.0.9.0 --startMP 204:974 --initTime 2017-03-08T21:17:07 --startdatetime 2017-03-08T21:21:36 --delay 1 --endMP 300:58896 --enddatetime 2017-03-08T21:37:19 --enforcementcount 0 &gt;&gt;C:\Users\stu\Documents\GitHub\eaglep3-reporting\EC\2017-03-08-refined-times.txt</v>
      </c>
      <c r="AI205" s="108" t="str">
        <f t="shared" ref="AI205:AI251" si="87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{"issue":{"subject":"","project_id":79,"tracker_id":40,"status_id":1,"priority_id":2,"assigned_to_id":23,"start_date":"2017-03-08","description":"","custom_fields":[{"id":1,"name":"Subdivision","value":"NW"},{"id":4,"name":"Milepost","value":"5.8896"},{"id":17,"name":"Train ID","value":"845-08"},{"id":16,"name":"Locomotive ID","value":"4053"},{"id":130,"name":"Impact","value":""},{"id":150,"name":"Time of Event (Mountain Time)","value":"21:37:19"},{"id":151,"name":"Denver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ref="AM205:AM251" si="88">"start /low /b "&amp;dls3logs&amp;" --loco "&amp;B205&amp;" --day "&amp;TEXT(F205,"YYYY-MM-DD")</f>
        <v>start /low /b %USERPROFILE%\Documents\GitHub\eaglep3\Utilities\DownloadLogsFromS3.py --loco 4053 --day 2017-03-08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"%USERPROFILE%\AppData\Local\Temp\OnboardLogs"\RTDC4053\*4053*20170309* | grep -SE "(Enforcement Action)|(\[TIMEOUT)|(CHR.+\|PRM\|1\|D.+(SWITCH|SIGNAL).+UNKNOWN)" - &gt;&gt; 2017-03-08-UncaughtWiMAX.txt</v>
      </c>
    </row>
    <row r="206" spans="1:40" x14ac:dyDescent="0.25">
      <c r="A206" s="33" t="s">
        <v>810</v>
      </c>
      <c r="B206" s="7">
        <v>4053</v>
      </c>
      <c r="C206" s="21" t="s">
        <v>242</v>
      </c>
      <c r="D206" s="21" t="s">
        <v>523</v>
      </c>
      <c r="E206" s="13">
        <v>42802.928553240738</v>
      </c>
      <c r="F206" s="13">
        <v>42802.931574074071</v>
      </c>
      <c r="G206" s="7">
        <v>1</v>
      </c>
      <c r="H206" s="21" t="s">
        <v>997</v>
      </c>
      <c r="I206" s="13">
        <v>42802.941261574073</v>
      </c>
      <c r="J206" s="7">
        <v>0</v>
      </c>
      <c r="K206" s="98" t="str">
        <f t="shared" si="73"/>
        <v>4053/4054</v>
      </c>
      <c r="L206" s="21" t="str">
        <f>VLOOKUP(A206,'Trips&amp;Operators'!$C$1:$G$99999,5,FALSE)</f>
        <v>CHANDLER KELVIN</v>
      </c>
      <c r="M206" s="6">
        <f t="shared" si="74"/>
        <v>9.6875000017462298E-3</v>
      </c>
      <c r="N206" s="7">
        <f t="shared" si="71"/>
        <v>13.950000002514571</v>
      </c>
      <c r="O206" s="7"/>
      <c r="P206" s="7"/>
      <c r="Q206" s="22"/>
      <c r="R206" s="22"/>
      <c r="S206" s="31">
        <f t="shared" si="72"/>
        <v>1</v>
      </c>
      <c r="T206" s="46" t="str">
        <f t="shared" si="75"/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76"/>
        <v>https://d0f6bd738d7f1b3e5a7ca70fe4ff75f0.us-east-1.aws.found.io/app/kibana#/discover/Steve-Slow-Train-Analysis-(2080s-and-2083s)?_g=(refreshInterval:(display:Off,pause:!f,section:0,value:0),time:(from:'2017-03-08T21:17:07-0700',mode:absolute,to:'2017-03-08T23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6" s="187" t="str">
        <f t="shared" si="77"/>
        <v>N</v>
      </c>
      <c r="X206" s="187">
        <f t="shared" si="78"/>
        <v>2</v>
      </c>
      <c r="Y206" s="62">
        <f t="shared" si="79"/>
        <v>9.4399999999999998E-2</v>
      </c>
      <c r="Z206" s="62">
        <f t="shared" si="80"/>
        <v>5.8894000000000002</v>
      </c>
      <c r="AA206" s="62">
        <f t="shared" si="81"/>
        <v>5.7949999999999999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2"/>
        <v>0847-08</v>
      </c>
      <c r="AE206" s="85" t="str">
        <f t="shared" si="83"/>
        <v>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 &amp; aws s3 cp s3://rtdc.mdm.uploadarchive.raw/RTDC4053/ "%USERPROFILE%\AppData\Local\Temp\OnboardLogs"\RTDC4053\2017-03-09 --exclude "*" --recursive --include "*20170309*" &amp; "%USERPROFILE%\Documents\GitHub\mrs-test-scripts\Headless Mode &amp; Sideloading\WalkAndUnGZ.bat" "%USERPROFILE%\AppData\Local\Temp\OnboardLogs"\RTDC4053\2017-03-09</v>
      </c>
      <c r="AF206" s="82" t="str">
        <f t="shared" si="84"/>
        <v>"C:\Program Files (x86)\AstroGrep\AstroGrep.exe" /e /r /s /spath="%USERPROFILE%\AppData\Local\Temp\OnboardLogs" /stypes="app*4053*20170309*" /stext=" 05:.+((SYSTEM_STATE.+slice.+state.+changed )|(ment ac)|(multiple cpu faults)|(system.+state.+changed )|(\[timeout)|(PRM\|1\|D)|(kpr)|(kdp)|(\|lc)|(penalty))"</v>
      </c>
      <c r="AG206" s="1" t="str">
        <f t="shared" si="85"/>
        <v>NW</v>
      </c>
      <c r="AH206" s="86" t="str">
        <f t="shared" si="86"/>
        <v>"%USERPROFILE%\Documents\GitHub\eaglep3\Utilities\RefineRTDCRunTimes.py" --tripid 847-08 --locoid 4053 --swversion DE.1.0.9.0 --startMP 204:944 --initTime 2017-03-08T22:17:07 --startdatetime 2017-03-08T22:21:28 --delay 1 --endMP 300:58894 --enddatetime 2017-03-08T22:35:25 --enforcementcount 0 &gt;&gt;C:\Users\stu\Documents\GitHub\eaglep3-reporting\EC\2017-03-08-refined-times.txt</v>
      </c>
      <c r="AI206" s="108" t="str">
        <f t="shared" si="87"/>
        <v>echo {"issue":{"subject":"","project_id":79,"tracker_id":40,"status_id":1,"priority_id":2,"assigned_to_id":23,"start_date":"2017-03-08","description":"","custom_fields":[{"id":1,"name":"Subdivision","value":"NW"},{"id":4,"name":"Milepost","value":"5.8894"},{"id":17,"name":"Train ID","value":"847-08"},{"id":16,"name":"Locomotive ID","value":"4053"},{"id":130,"name":"Impact","value":""},{"id":150,"name":"Time of Event (Mountain Time)","value":"22:35:25"},{"id":151,"name":"Denver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88"/>
        <v>start /low /b %USERPROFILE%\Documents\GitHub\eaglep3\Utilities\DownloadLogsFromS3.py --loco 4053 --day 2017-03-08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"%USERPROFILE%\AppData\Local\Temp\OnboardLogs"\RTDC4053\*4053*20170309* | grep -SE "(Enforcement Action)|(\[TIMEOUT)|(CHR.+\|PRM\|1\|D.+(SWITCH|SIGNAL).+UNKNOWN)" - &gt;&gt; 2017-03-08-UncaughtWiMAX.txt</v>
      </c>
    </row>
    <row r="207" spans="1:40" x14ac:dyDescent="0.25">
      <c r="A207" s="33" t="s">
        <v>605</v>
      </c>
      <c r="B207" s="7">
        <v>4015</v>
      </c>
      <c r="C207" s="21" t="s">
        <v>242</v>
      </c>
      <c r="D207" s="21" t="s">
        <v>905</v>
      </c>
      <c r="E207" s="13">
        <v>42802.140914351854</v>
      </c>
      <c r="F207" s="13">
        <v>42802.143425925926</v>
      </c>
      <c r="G207" s="7">
        <v>5</v>
      </c>
      <c r="H207" s="21" t="s">
        <v>532</v>
      </c>
      <c r="I207" s="13">
        <v>42802.149097222224</v>
      </c>
      <c r="J207" s="7">
        <v>0</v>
      </c>
      <c r="K207" s="98" t="str">
        <f t="shared" si="73"/>
        <v>4015/4016</v>
      </c>
      <c r="L207" s="21" t="str">
        <f>VLOOKUP(A207,'Trips&amp;Operators'!$C$1:$G$99999,5,FALSE)</f>
        <v>ACKERMAN JARED</v>
      </c>
      <c r="M207" s="6">
        <f t="shared" si="74"/>
        <v>5.6712962978053838E-3</v>
      </c>
      <c r="N207" s="7">
        <f t="shared" si="71"/>
        <v>8.1666666688397527</v>
      </c>
      <c r="O207" s="7"/>
      <c r="P207" s="7"/>
      <c r="Q207" s="22"/>
      <c r="R207" s="22"/>
      <c r="S207" s="31">
        <f t="shared" si="72"/>
        <v>1</v>
      </c>
      <c r="T207" s="46" t="str">
        <f t="shared" si="75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76"/>
        <v>https://d0f6bd738d7f1b3e5a7ca70fe4ff75f0.us-east-1.aws.found.io/app/kibana#/discover/Steve-Slow-Train-Analysis-(2080s-and-2083s)?_g=(refreshInterval:(display:Off,pause:!f,section:0,value:0),time:(from:'2017-03-08T02:22:55-0700',mode:absolute,to:'2017-03-08T04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7" s="187" t="str">
        <f t="shared" si="77"/>
        <v>Y</v>
      </c>
      <c r="X207" s="187">
        <f t="shared" si="78"/>
        <v>-543</v>
      </c>
      <c r="Y207" s="62">
        <f t="shared" si="79"/>
        <v>1.9387000000000001</v>
      </c>
      <c r="Z207" s="62">
        <f t="shared" si="80"/>
        <v>1.3599999999999999E-2</v>
      </c>
      <c r="AA207" s="62">
        <f t="shared" si="81"/>
        <v>1.9251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2"/>
        <v>0304-08</v>
      </c>
      <c r="AE207" s="85" t="str">
        <f t="shared" si="83"/>
        <v>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 &amp; 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</v>
      </c>
      <c r="AF207" s="82" t="str">
        <f t="shared" si="84"/>
        <v>"C:\Program Files (x86)\AstroGrep\AstroGrep.exe" /e /r /s /spath="%USERPROFILE%\AppData\Local\Temp\OnboardLogs" /stypes="app*4015*20170308*" /stext=" 10:.+((SYSTEM_STATE.+slice.+state.+changed )|(ment ac)|(multiple cpu faults)|(system.+state.+changed )|(\[timeout)|(PRM\|1\|D)|(kpr)|(kdp)|(\|lc)|(penalty))"</v>
      </c>
      <c r="AG207" s="1" t="str">
        <f t="shared" si="85"/>
        <v>Other</v>
      </c>
      <c r="AH207" s="86" t="str">
        <f t="shared" si="86"/>
        <v>"%USERPROFILE%\Documents\GitHub\eaglep3\Utilities\RefineRTDCRunTimes.py" --tripid 304-08 --locoid 4015 --swversion DE.1.0.9.0 --startMP 300:19387 --initTime 2017-03-08T03:22:55 --startdatetime 2017-03-08T03:26:32 --delay 5 --endMP 204:136 --enddatetime 2017-03-08T03:34:42 --enforcementcount 0 &gt;&gt;C:\Users\stu\Documents\GitHub\eaglep3-reporting\EC\2017-03-08-refined-times.txt</v>
      </c>
      <c r="AI207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{"issue":{"subject":"","project_id":79,"tracker_id":40,"status_id":1,"priority_id":2,"assigned_to_id":23,"start_date":"2017-03-08","description":"","custom_fields":[{"id":1,"name":"Subdivision","value":"Other"},{"id":4,"name":"Milepost","value":"0.0136"},{"id":17,"name":"Train ID","value":"304-08"},{"id":16,"name":"Locomotive ID","value":"4015"},{"id":130,"name":"Impact","value":""},{"id":150,"name":"Time of Event (Mountain Time)","value":"03:34:42"},{"id":151,"name":"Denver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88"/>
        <v>start /low /b %USERPROFILE%\Documents\GitHub\eaglep3\Utilities\DownloadLogsFromS3.py --loco 4015 --day 2017-03-08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"%USERPROFILE%\AppData\Local\Temp\OnboardLogs"\RTDC4015\*4015*20170308* | grep -SE "(Enforcement Action)|(\[TIMEOUT)|(CHR.+\|PRM\|1\|D.+(SWITCH|SIGNAL).+UNKNOWN)" - &gt;&gt; 2017-03-08-UncaughtWiMAX.txt</v>
      </c>
    </row>
    <row r="208" spans="1:40" x14ac:dyDescent="0.25">
      <c r="A208" s="33" t="s">
        <v>605</v>
      </c>
      <c r="B208" s="7">
        <v>4015</v>
      </c>
      <c r="C208" s="21" t="s">
        <v>242</v>
      </c>
      <c r="D208" s="21" t="s">
        <v>906</v>
      </c>
      <c r="E208" s="13">
        <v>42802.140914351854</v>
      </c>
      <c r="F208" s="13">
        <v>42802.143425925926</v>
      </c>
      <c r="G208" s="7">
        <v>3</v>
      </c>
      <c r="H208" s="21" t="s">
        <v>532</v>
      </c>
      <c r="I208" s="13">
        <v>42802.149097222224</v>
      </c>
      <c r="J208" s="7">
        <v>0</v>
      </c>
      <c r="K208" s="98" t="str">
        <f t="shared" si="73"/>
        <v>4015/4016</v>
      </c>
      <c r="L208" s="21" t="str">
        <f>VLOOKUP(A208,'Trips&amp;Operators'!$C$1:$G$99999,5,FALSE)</f>
        <v>ACKERMAN JARED</v>
      </c>
      <c r="M208" s="6">
        <f t="shared" si="74"/>
        <v>5.6712962978053838E-3</v>
      </c>
      <c r="N208" s="7">
        <f t="shared" si="71"/>
        <v>8.1666666688397527</v>
      </c>
      <c r="O208" s="7"/>
      <c r="P208" s="7"/>
      <c r="Q208" s="22"/>
      <c r="R208" s="22"/>
      <c r="S208" s="31">
        <f t="shared" si="72"/>
        <v>1</v>
      </c>
      <c r="T208" s="46" t="str">
        <f t="shared" si="75"/>
        <v>Southbound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76"/>
        <v>https://d0f6bd738d7f1b3e5a7ca70fe4ff75f0.us-east-1.aws.found.io/app/kibana#/discover/Steve-Slow-Train-Analysis-(2080s-and-2083s)?_g=(refreshInterval:(display:Off,pause:!f,section:0,value:0),time:(from:'2017-03-08T02:22:55-0700',mode:absolute,to:'2017-03-08T04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8" s="187" t="str">
        <f t="shared" si="77"/>
        <v>Y</v>
      </c>
      <c r="X208" s="187">
        <f t="shared" si="78"/>
        <v>0</v>
      </c>
      <c r="Y208" s="62">
        <f t="shared" si="79"/>
        <v>2.3125</v>
      </c>
      <c r="Z208" s="62">
        <f t="shared" si="80"/>
        <v>1.3599999999999999E-2</v>
      </c>
      <c r="AA208" s="62">
        <f t="shared" si="81"/>
        <v>2.2989000000000002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2"/>
        <v>0304-08</v>
      </c>
      <c r="AE208" s="85" t="str">
        <f t="shared" si="83"/>
        <v>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 &amp; 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</v>
      </c>
      <c r="AF208" s="82" t="str">
        <f t="shared" si="84"/>
        <v>"C:\Program Files (x86)\AstroGrep\AstroGrep.exe" /e /r /s /spath="%USERPROFILE%\AppData\Local\Temp\OnboardLogs" /stypes="app*4015*20170308*" /stext=" 10:.+((SYSTEM_STATE.+slice.+state.+changed )|(ment ac)|(multiple cpu faults)|(system.+state.+changed )|(\[timeout)|(PRM\|1\|D)|(kpr)|(kdp)|(\|lc)|(penalty))"</v>
      </c>
      <c r="AG208" s="1" t="str">
        <f t="shared" si="85"/>
        <v>Other</v>
      </c>
      <c r="AH208" s="86" t="str">
        <f t="shared" si="86"/>
        <v>"%USERPROFILE%\Documents\GitHub\eaglep3\Utilities\RefineRTDCRunTimes.py" --tripid 304-08 --locoid 4015 --swversion DE.1.0.9.0 --startMP 300:23125 --initTime 2017-03-08T03:22:55 --startdatetime 2017-03-08T03:26:32 --delay 3 --endMP 204:136 --enddatetime 2017-03-08T03:34:42 --enforcementcount 0 &gt;&gt;C:\Users\stu\Documents\GitHub\eaglep3-reporting\EC\2017-03-08-refined-times.txt</v>
      </c>
      <c r="AI208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{"issue":{"subject":"","project_id":79,"tracker_id":40,"status_id":1,"priority_id":2,"assigned_to_id":23,"start_date":"2017-03-08","description":"","custom_fields":[{"id":1,"name":"Subdivision","value":"Other"},{"id":4,"name":"Milepost","value":"0.0136"},{"id":17,"name":"Train ID","value":"304-08"},{"id":16,"name":"Locomotive ID","value":"4015"},{"id":130,"name":"Impact","value":""},{"id":150,"name":"Time of Event (Mountain Time)","value":"03:34:42"},{"id":151,"name":"Denver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8"/>
        <v>start /low /b %USERPROFILE%\Documents\GitHub\eaglep3\Utilities\DownloadLogsFromS3.py --loco 4015 --day 2017-03-08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"%USERPROFILE%\AppData\Local\Temp\OnboardLogs"\RTDC4015\*4015*20170308* | grep -SE "(Enforcement Action)|(\[TIMEOUT)|(CHR.+\|PRM\|1\|D.+(SWITCH|SIGNAL).+UNKNOWN)" - &gt;&gt; 2017-03-08-UncaughtWiMAX.txt</v>
      </c>
    </row>
    <row r="209" spans="1:40" x14ac:dyDescent="0.25">
      <c r="A209" s="33" t="s">
        <v>789</v>
      </c>
      <c r="B209" s="7">
        <v>4031</v>
      </c>
      <c r="C209" s="21" t="s">
        <v>242</v>
      </c>
      <c r="D209" s="21" t="s">
        <v>264</v>
      </c>
      <c r="E209" s="13">
        <v>42802.800937499997</v>
      </c>
      <c r="F209" s="13">
        <v>42802.806423611109</v>
      </c>
      <c r="G209" s="7">
        <v>1</v>
      </c>
      <c r="H209" s="21" t="s">
        <v>907</v>
      </c>
      <c r="I209" s="13">
        <v>42802.811689814815</v>
      </c>
      <c r="J209" s="7">
        <v>0</v>
      </c>
      <c r="K209" s="98" t="str">
        <f t="shared" si="73"/>
        <v>4031/4032</v>
      </c>
      <c r="L209" s="21" t="str">
        <f>VLOOKUP(A209,'Trips&amp;Operators'!$C$1:$G$99999,5,FALSE)</f>
        <v>LOCKLEAR TRAVIS</v>
      </c>
      <c r="M209" s="6">
        <f t="shared" si="74"/>
        <v>5.2662037051049992E-3</v>
      </c>
      <c r="N209" s="7">
        <f t="shared" si="71"/>
        <v>7.5833333353511989</v>
      </c>
      <c r="O209" s="7"/>
      <c r="P209" s="7"/>
      <c r="Q209" s="22"/>
      <c r="R209" s="22"/>
      <c r="S209" s="31">
        <f t="shared" si="72"/>
        <v>1</v>
      </c>
      <c r="T209" s="46" t="str">
        <f t="shared" si="75"/>
        <v>NorthBound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76"/>
        <v>https://d0f6bd738d7f1b3e5a7ca70fe4ff75f0.us-east-1.aws.found.io/app/kibana#/discover/Steve-Slow-Train-Analysis-(2080s-and-2083s)?_g=(refreshInterval:(display:Off,pause:!f,section:0,value:0),time:(from:'2017-03-08T18:13:21-0700',mode:absolute,to:'2017-03-08T20:28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9" s="187" t="str">
        <f t="shared" si="77"/>
        <v>Y</v>
      </c>
      <c r="X209" s="187">
        <f t="shared" si="78"/>
        <v>1</v>
      </c>
      <c r="Y209" s="62">
        <f t="shared" si="79"/>
        <v>4.7300000000000002E-2</v>
      </c>
      <c r="Z209" s="62">
        <f t="shared" si="80"/>
        <v>2.3102</v>
      </c>
      <c r="AA209" s="62">
        <f t="shared" si="81"/>
        <v>2.2629000000000001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2"/>
        <v>0305-08</v>
      </c>
      <c r="AE209" s="85" t="str">
        <f t="shared" si="83"/>
        <v>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 &amp; aws s3 cp s3://rtdc.mdm.uploadarchive.raw/RTDC4031/ "%USERPROFILE%\AppData\Local\Temp\OnboardLogs"\RTDC4031\2017-03-09 --exclude "*" --recursive --include "*20170309*" &amp; "%USERPROFILE%\Documents\GitHub\mrs-test-scripts\Headless Mode &amp; Sideloading\WalkAndUnGZ.bat" "%USERPROFILE%\AppData\Local\Temp\OnboardLogs"\RTDC4031\2017-03-09</v>
      </c>
      <c r="AF209" s="82" t="str">
        <f t="shared" si="84"/>
        <v>"C:\Program Files (x86)\AstroGrep\AstroGrep.exe" /e /r /s /spath="%USERPROFILE%\AppData\Local\Temp\OnboardLogs" /stypes="app*4031*20170309*" /stext=" 02:.+((SYSTEM_STATE.+slice.+state.+changed )|(ment ac)|(multiple cpu faults)|(system.+state.+changed )|(\[timeout)|(PRM\|1\|D)|(kpr)|(kdp)|(\|lc)|(penalty))"</v>
      </c>
      <c r="AG209" s="1" t="str">
        <f t="shared" si="85"/>
        <v>Other</v>
      </c>
      <c r="AH209" s="86" t="str">
        <f t="shared" si="86"/>
        <v>"%USERPROFILE%\Documents\GitHub\eaglep3\Utilities\RefineRTDCRunTimes.py" --tripid 305-08 --locoid 4031 --swversion DE.1.0.9.0 --startMP 204:473 --initTime 2017-03-08T19:13:21 --startdatetime 2017-03-08T19:21:15 --delay 1 --endMP 300:23102 --enddatetime 2017-03-08T19:28:50 --enforcementcount 0 &gt;&gt;C:\Users\stu\Documents\GitHub\eaglep3-reporting\EC\2017-03-08-refined-times.txt</v>
      </c>
      <c r="AI209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{"issue":{"subject":"","project_id":79,"tracker_id":40,"status_id":1,"priority_id":2,"assigned_to_id":23,"start_date":"2017-03-08","description":"","custom_fields":[{"id":1,"name":"Subdivision","value":"Other"},{"id":4,"name":"Milepost","value":"2.3102"},{"id":17,"name":"Train ID","value":"305-08"},{"id":16,"name":"Locomotive ID","value":"4031"},{"id":130,"name":"Impact","value":""},{"id":150,"name":"Time of Event (Mountain Time)","value":"19:28:50"},{"id":151,"name":"Denver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8"/>
        <v>start /low /b %USERPROFILE%\Documents\GitHub\eaglep3\Utilities\DownloadLogsFromS3.py --loco 4031 --day 2017-03-08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"%USERPROFILE%\AppData\Local\Temp\OnboardLogs"\RTDC4031\*4031*20170309* | grep -SE "(Enforcement Action)|(\[TIMEOUT)|(CHR.+\|PRM\|1\|D.+(SWITCH|SIGNAL).+UNKNOWN)" - &gt;&gt; 2017-03-08-UncaughtWiMAX.txt</v>
      </c>
    </row>
    <row r="210" spans="1:40" x14ac:dyDescent="0.25">
      <c r="A210" s="33" t="s">
        <v>608</v>
      </c>
      <c r="B210" s="7">
        <v>4052</v>
      </c>
      <c r="C210" s="21" t="s">
        <v>242</v>
      </c>
      <c r="D210" s="21" t="s">
        <v>908</v>
      </c>
      <c r="E210" s="13">
        <v>42802.16138888889</v>
      </c>
      <c r="F210" s="13">
        <v>42802.164259259262</v>
      </c>
      <c r="G210" s="7">
        <v>4</v>
      </c>
      <c r="H210" s="21" t="s">
        <v>459</v>
      </c>
      <c r="I210" s="13">
        <v>42802.169942129629</v>
      </c>
      <c r="J210" s="7">
        <v>0</v>
      </c>
      <c r="K210" s="98" t="str">
        <f t="shared" si="73"/>
        <v>4051/4052</v>
      </c>
      <c r="L210" s="21" t="str">
        <f>VLOOKUP(A210,'Trips&amp;Operators'!$C$1:$G$99999,5,FALSE)</f>
        <v>GEBRETEKLE DAGNEW</v>
      </c>
      <c r="M210" s="6">
        <f t="shared" si="74"/>
        <v>5.6828703673090786E-3</v>
      </c>
      <c r="N210" s="7">
        <f t="shared" ref="N210:N241" si="89">24*60*SUM($M210:$M210)</f>
        <v>8.1833333289250731</v>
      </c>
      <c r="O210" s="7"/>
      <c r="P210" s="7"/>
      <c r="Q210" s="22"/>
      <c r="R210" s="22"/>
      <c r="S210" s="31">
        <f t="shared" ref="S210:S241" si="90">SUM(U210:U210)/IF(AG210="EC",12,1)</f>
        <v>1</v>
      </c>
      <c r="T210" s="46" t="str">
        <f t="shared" si="75"/>
        <v>Southbound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76"/>
        <v>https://d0f6bd738d7f1b3e5a7ca70fe4ff75f0.us-east-1.aws.found.io/app/kibana#/discover/Steve-Slow-Train-Analysis-(2080s-and-2083s)?_g=(refreshInterval:(display:Off,pause:!f,section:0,value:0),time:(from:'2017-03-08T02:52:24-0700',mode:absolute,to:'2017-03-08T05:04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0" s="187" t="str">
        <f t="shared" si="77"/>
        <v>Y</v>
      </c>
      <c r="X210" s="187">
        <f t="shared" si="78"/>
        <v>1</v>
      </c>
      <c r="Y210" s="62">
        <f t="shared" si="79"/>
        <v>2.3355000000000001</v>
      </c>
      <c r="Z210" s="62">
        <f t="shared" si="80"/>
        <v>1.6E-2</v>
      </c>
      <c r="AA210" s="62">
        <f t="shared" si="81"/>
        <v>2.3195000000000001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2"/>
        <v>0306-08</v>
      </c>
      <c r="AE210" s="85" t="str">
        <f t="shared" si="83"/>
        <v>aws s3 cp s3://rtdc.mdm.uploadarchive.raw/RTDC4052/ "%USERPROFILE%\AppData\Local\Temp\OnboardLogs"\RTDC4052\2017-03-08 --exclude "*" --recursive --include "*20170308*" &amp; "%USERPROFILE%\Documents\GitHub\mrs-test-scripts\Headless Mode &amp; Sideloading\WalkAndUnGZ.bat" "%USERPROFILE%\AppData\Local\Temp\OnboardLogs"\RTDC4052\2017-03-08 &amp; aws s3 cp s3://rtdc.mdm.uploadarchive.raw/RTDC4052/ "%USERPROFILE%\AppData\Local\Temp\OnboardLogs"\RTDC4052\2017-03-09 --exclude "*" --recursive --include "*20170309*" &amp; "%USERPROFILE%\Documents\GitHub\mrs-test-scripts\Headless Mode &amp; Sideloading\WalkAndUnGZ.bat" "%USERPROFILE%\AppData\Local\Temp\OnboardLogs"\RTDC4052\2017-03-09</v>
      </c>
      <c r="AF210" s="82" t="str">
        <f t="shared" si="84"/>
        <v>"C:\Program Files (x86)\AstroGrep\AstroGrep.exe" /e /r /s /spath="%USERPROFILE%\AppData\Local\Temp\OnboardLogs" /stypes="app*4052*20170308*" /stext=" 11:.+((SYSTEM_STATE.+slice.+state.+changed )|(ment ac)|(multiple cpu faults)|(system.+state.+changed )|(\[timeout)|(PRM\|1\|D)|(kpr)|(kdp)|(\|lc)|(penalty))"</v>
      </c>
      <c r="AG210" s="1" t="str">
        <f t="shared" si="85"/>
        <v>Other</v>
      </c>
      <c r="AH210" s="86" t="str">
        <f t="shared" si="86"/>
        <v>"%USERPROFILE%\Documents\GitHub\eaglep3\Utilities\RefineRTDCRunTimes.py" --tripid 306-08 --locoid 4052 --swversion DE.1.0.9.0 --startMP 300:23355 --initTime 2017-03-08T03:52:24 --startdatetime 2017-03-08T03:56:32 --delay 4 --endMP 204:160 --enddatetime 2017-03-08T04:04:43 --enforcementcount 0 &gt;&gt;C:\Users\stu\Documents\GitHub\eaglep3-reporting\EC\2017-03-08-refined-times.txt</v>
      </c>
      <c r="AI210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{"issue":{"subject":"","project_id":79,"tracker_id":40,"status_id":1,"priority_id":2,"assigned_to_id":23,"start_date":"2017-03-08","description":"","custom_fields":[{"id":1,"name":"Subdivision","value":"Other"},{"id":4,"name":"Milepost","value":"0.016"},{"id":17,"name":"Train ID","value":"306-08"},{"id":16,"name":"Locomotive ID","value":"4052"},{"id":130,"name":"Impact","value":""},{"id":150,"name":"Time of Event (Mountain Time)","value":"04:04:43"},{"id":151,"name":"Denver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8"/>
        <v>start /low /b %USERPROFILE%\Documents\GitHub\eaglep3\Utilities\DownloadLogsFromS3.py --loco 4052 --day 2017-03-08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"%USERPROFILE%\AppData\Local\Temp\OnboardLogs"\RTDC4052\*4052*20170308* | grep -SE "(Enforcement Action)|(\[TIMEOUT)|(CHR.+\|PRM\|1\|D.+(SWITCH|SIGNAL).+UNKNOWN)" - &gt;&gt; 2017-03-08-UncaughtWiMAX.txt</v>
      </c>
    </row>
    <row r="211" spans="1:40" x14ac:dyDescent="0.25">
      <c r="A211" s="33" t="s">
        <v>591</v>
      </c>
      <c r="B211" s="7">
        <v>4016</v>
      </c>
      <c r="C211" s="21" t="s">
        <v>242</v>
      </c>
      <c r="D211" s="21" t="s">
        <v>909</v>
      </c>
      <c r="E211" s="13">
        <v>42802.857175925928</v>
      </c>
      <c r="F211" s="13">
        <v>42802.862280092595</v>
      </c>
      <c r="G211" s="7">
        <v>1</v>
      </c>
      <c r="H211" s="21" t="s">
        <v>910</v>
      </c>
      <c r="I211" s="13">
        <v>42802.862766203703</v>
      </c>
      <c r="J211" s="7">
        <v>0</v>
      </c>
      <c r="K211" s="98" t="str">
        <f t="shared" si="73"/>
        <v>4015/4016</v>
      </c>
      <c r="L211" s="21" t="str">
        <f>VLOOKUP(A211,'Trips&amp;Operators'!$C$1:$G$99999,5,FALSE)</f>
        <v>LALONDE GREGORY</v>
      </c>
      <c r="M211" s="6">
        <f t="shared" si="74"/>
        <v>4.8611110833007842E-4</v>
      </c>
      <c r="N211" s="7">
        <f t="shared" si="89"/>
        <v>0.69999999599531293</v>
      </c>
      <c r="O211" s="7"/>
      <c r="P211" s="7"/>
      <c r="Q211" s="22"/>
      <c r="R211" s="22"/>
      <c r="S211" s="31">
        <f t="shared" si="90"/>
        <v>0</v>
      </c>
      <c r="T211" s="46" t="str">
        <f t="shared" si="75"/>
        <v>NorthBound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6" t="str">
        <f t="shared" si="76"/>
        <v>https://d0f6bd738d7f1b3e5a7ca70fe4ff75f0.us-east-1.aws.found.io/app/kibana#/discover/Steve-Slow-Train-Analysis-(2080s-and-2083s)?_g=(refreshInterval:(display:Off,pause:!f,section:0,value:0),time:(from:'2017-03-08T19:34:20-0700',mode:absolute,to:'2017-03-08T21:42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1" s="187" t="str">
        <f t="shared" si="77"/>
        <v>Y</v>
      </c>
      <c r="X211" s="187">
        <f t="shared" si="78"/>
        <v>1</v>
      </c>
      <c r="Y211" s="62">
        <f t="shared" si="79"/>
        <v>0.1522</v>
      </c>
      <c r="Z211" s="62">
        <f t="shared" si="80"/>
        <v>0.19450000000000001</v>
      </c>
      <c r="AA211" s="62">
        <f t="shared" si="81"/>
        <v>4.2300000000000004E-2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2"/>
        <v>0307-08</v>
      </c>
      <c r="AE211" s="85" t="str">
        <f t="shared" si="83"/>
        <v>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 &amp; 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</v>
      </c>
      <c r="AF211" s="82" t="str">
        <f t="shared" si="84"/>
        <v>"C:\Program Files (x86)\AstroGrep\AstroGrep.exe" /e /r /s /spath="%USERPROFILE%\AppData\Local\Temp\OnboardLogs" /stypes="app*4016*20170309*" /stext=" 03:.+((SYSTEM_STATE.+slice.+state.+changed )|(ment ac)|(multiple cpu faults)|(system.+state.+changed )|(\[timeout)|(PRM\|1\|D)|(kpr)|(kdp)|(\|lc)|(penalty))"</v>
      </c>
      <c r="AG211" s="1" t="str">
        <f t="shared" si="85"/>
        <v>Other</v>
      </c>
      <c r="AH211" s="86" t="str">
        <f t="shared" si="86"/>
        <v>"%USERPROFILE%\Documents\GitHub\eaglep3\Utilities\RefineRTDCRunTimes.py" --tripid 307-08 --locoid 4016 --swversion DE.1.0.9.0 --startMP 204:1522 --initTime 2017-03-08T20:34:20 --startdatetime 2017-03-08T20:41:41 --delay 1 --endMP 204:1945 --enddatetime 2017-03-08T20:42:23 --enforcementcount 0 &gt;&gt;C:\Users\stu\Documents\GitHub\eaglep3-reporting\EC\2017-03-08-refined-times.txt</v>
      </c>
      <c r="AI211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{"issue":{"subject":"","project_id":79,"tracker_id":40,"status_id":1,"priority_id":2,"assigned_to_id":23,"start_date":"2017-03-08","description":"","custom_fields":[{"id":1,"name":"Subdivision","value":"Other"},{"id":4,"name":"Milepost","value":"0.1945"},{"id":17,"name":"Train ID","value":"307-08"},{"id":16,"name":"Locomotive ID","value":"4016"},{"id":130,"name":"Impact","value":""},{"id":150,"name":"Time of Event (Mountain Time)","value":"20:42:23"},{"id":151,"name":"Denver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8"/>
        <v>start /low /b %USERPROFILE%\Documents\GitHub\eaglep3\Utilities\DownloadLogsFromS3.py --loco 4016 --day 2017-03-08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"%USERPROFILE%\AppData\Local\Temp\OnboardLogs"\RTDC4016\*4016*20170309* | grep -SE "(Enforcement Action)|(\[TIMEOUT)|(CHR.+\|PRM\|1\|D.+(SWITCH|SIGNAL).+UNKNOWN)" - &gt;&gt; 2017-03-08-UncaughtWiMAX.txt</v>
      </c>
    </row>
    <row r="212" spans="1:40" x14ac:dyDescent="0.25">
      <c r="A212" s="33" t="s">
        <v>613</v>
      </c>
      <c r="B212" s="7">
        <v>4005</v>
      </c>
      <c r="C212" s="21" t="s">
        <v>242</v>
      </c>
      <c r="D212" s="21" t="s">
        <v>911</v>
      </c>
      <c r="E212" s="13">
        <v>42802.167696759258</v>
      </c>
      <c r="F212" s="13">
        <v>42802.170393518521</v>
      </c>
      <c r="G212" s="7">
        <v>3</v>
      </c>
      <c r="H212" s="21" t="s">
        <v>232</v>
      </c>
      <c r="I212" s="13">
        <v>42802.176805555559</v>
      </c>
      <c r="J212" s="7">
        <v>0</v>
      </c>
      <c r="K212" s="98" t="str">
        <f t="shared" si="73"/>
        <v>4005/4006</v>
      </c>
      <c r="L212" s="21" t="str">
        <f>VLOOKUP(A212,'Trips&amp;Operators'!$C$1:$G$99999,5,FALSE)</f>
        <v>BONDS REYNALDO</v>
      </c>
      <c r="M212" s="6">
        <f t="shared" si="74"/>
        <v>6.4120370370801538E-3</v>
      </c>
      <c r="N212" s="7">
        <f t="shared" si="89"/>
        <v>9.2333333333954215</v>
      </c>
      <c r="O212" s="7"/>
      <c r="P212" s="7"/>
      <c r="Q212" s="22"/>
      <c r="R212" s="22"/>
      <c r="S212" s="31">
        <f t="shared" si="90"/>
        <v>1</v>
      </c>
      <c r="T212" s="46" t="str">
        <f t="shared" si="75"/>
        <v>Southbound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76"/>
        <v>https://d0f6bd738d7f1b3e5a7ca70fe4ff75f0.us-east-1.aws.found.io/app/kibana#/discover/Steve-Slow-Train-Analysis-(2080s-and-2083s)?_g=(refreshInterval:(display:Off,pause:!f,section:0,value:0),time:(from:'2017-03-08T03:01:29-0700',mode:absolute,to:'2017-03-08T05:14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2" s="187" t="str">
        <f t="shared" si="77"/>
        <v>Y</v>
      </c>
      <c r="X212" s="187">
        <f t="shared" si="78"/>
        <v>1</v>
      </c>
      <c r="Y212" s="62">
        <f t="shared" si="79"/>
        <v>2.383</v>
      </c>
      <c r="Z212" s="62">
        <f t="shared" si="80"/>
        <v>1.5599999999999999E-2</v>
      </c>
      <c r="AA212" s="62">
        <f t="shared" si="81"/>
        <v>2.3673999999999999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2"/>
        <v>0308-08</v>
      </c>
      <c r="AE212" s="85" t="str">
        <f t="shared" si="83"/>
        <v>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 &amp; aws s3 cp s3://rtdc.mdm.uploadarchive.raw/RTDC4005/ "%USERPROFILE%\AppData\Local\Temp\OnboardLogs"\RTDC4005\2017-03-09 --exclude "*" --recursive --include "*20170309*" &amp; "%USERPROFILE%\Documents\GitHub\mrs-test-scripts\Headless Mode &amp; Sideloading\WalkAndUnGZ.bat" "%USERPROFILE%\AppData\Local\Temp\OnboardLogs"\RTDC4005\2017-03-09</v>
      </c>
      <c r="AF212" s="82" t="str">
        <f t="shared" si="84"/>
        <v>"C:\Program Files (x86)\AstroGrep\AstroGrep.exe" /e /r /s /spath="%USERPROFILE%\AppData\Local\Temp\OnboardLogs" /stypes="app*4005*20170308*" /stext=" 11:.+((SYSTEM_STATE.+slice.+state.+changed )|(ment ac)|(multiple cpu faults)|(system.+state.+changed )|(\[timeout)|(PRM\|1\|D)|(kpr)|(kdp)|(\|lc)|(penalty))"</v>
      </c>
      <c r="AG212" s="1" t="str">
        <f t="shared" si="85"/>
        <v>Other</v>
      </c>
      <c r="AH212" s="86" t="str">
        <f t="shared" si="86"/>
        <v>"%USERPROFILE%\Documents\GitHub\eaglep3\Utilities\RefineRTDCRunTimes.py" --tripid 308-08 --locoid 4005 --swversion DE.1.0.9.0 --startMP 300:23830 --initTime 2017-03-08T04:01:29 --startdatetime 2017-03-08T04:05:22 --delay 3 --endMP 204:156 --enddatetime 2017-03-08T04:14:36 --enforcementcount 0 &gt;&gt;C:\Users\stu\Documents\GitHub\eaglep3-reporting\EC\2017-03-08-refined-times.txt</v>
      </c>
      <c r="AI212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{"issue":{"subject":"","project_id":79,"tracker_id":40,"status_id":1,"priority_id":2,"assigned_to_id":23,"start_date":"2017-03-08","description":"","custom_fields":[{"id":1,"name":"Subdivision","value":"Other"},{"id":4,"name":"Milepost","value":"0.0156"},{"id":17,"name":"Train ID","value":"308-08"},{"id":16,"name":"Locomotive ID","value":"4005"},{"id":130,"name":"Impact","value":""},{"id":150,"name":"Time of Event (Mountain Time)","value":"04:14:36"},{"id":151,"name":"Denver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8"/>
        <v>start /low /b %USERPROFILE%\Documents\GitHub\eaglep3\Utilities\DownloadLogsFromS3.py --loco 4005 --day 2017-03-08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"%USERPROFILE%\AppData\Local\Temp\OnboardLogs"\RTDC4005\*4005*20170308* | grep -SE "(Enforcement Action)|(\[TIMEOUT)|(CHR.+\|PRM\|1\|D.+(SWITCH|SIGNAL).+UNKNOWN)" - &gt;&gt; 2017-03-08-UncaughtWiMAX.txt</v>
      </c>
    </row>
    <row r="213" spans="1:40" x14ac:dyDescent="0.25">
      <c r="A213" s="33" t="s">
        <v>823</v>
      </c>
      <c r="B213" s="7">
        <v>4009</v>
      </c>
      <c r="C213" s="21" t="s">
        <v>242</v>
      </c>
      <c r="D213" s="21" t="s">
        <v>912</v>
      </c>
      <c r="E213" s="13">
        <v>42803.06858796296</v>
      </c>
      <c r="F213" s="13">
        <v>42803.070300925923</v>
      </c>
      <c r="G213" s="7">
        <v>2</v>
      </c>
      <c r="H213" s="21" t="s">
        <v>913</v>
      </c>
      <c r="I213" s="13">
        <v>42803.078229166669</v>
      </c>
      <c r="J213" s="7">
        <v>0</v>
      </c>
      <c r="K213" s="98" t="str">
        <f t="shared" si="73"/>
        <v>4009/4010</v>
      </c>
      <c r="L213" s="21" t="str">
        <f>VLOOKUP(A213,'Trips&amp;Operators'!$C$1:$G$99999,5,FALSE)</f>
        <v>STORY SAMANTHA</v>
      </c>
      <c r="M213" s="6">
        <f t="shared" si="74"/>
        <v>7.928240745968651E-3</v>
      </c>
      <c r="N213" s="7">
        <f t="shared" si="89"/>
        <v>11.416666674194857</v>
      </c>
      <c r="O213" s="7"/>
      <c r="P213" s="7"/>
      <c r="Q213" s="22"/>
      <c r="R213" s="22"/>
      <c r="S213" s="31">
        <f t="shared" si="90"/>
        <v>1</v>
      </c>
      <c r="T213" s="46" t="str">
        <f t="shared" si="75"/>
        <v>NorthBound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76"/>
        <v>https://d0f6bd738d7f1b3e5a7ca70fe4ff75f0.us-east-1.aws.found.io/app/kibana#/discover/Steve-Slow-Train-Analysis-(2080s-and-2083s)?_g=(refreshInterval:(display:Off,pause:!f,section:0,value:0),time:(from:'2017-03-09T00:38:46-0700',mode:absolute,to:'2017-03-09T02:52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3" s="187" t="str">
        <f t="shared" si="77"/>
        <v>Y</v>
      </c>
      <c r="X213" s="187">
        <f t="shared" si="78"/>
        <v>1</v>
      </c>
      <c r="Y213" s="62">
        <f t="shared" si="79"/>
        <v>3.3000000000000002E-2</v>
      </c>
      <c r="Z213" s="62">
        <f t="shared" si="80"/>
        <v>2.3298999999999999</v>
      </c>
      <c r="AA213" s="62">
        <f t="shared" si="81"/>
        <v>2.2968999999999999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2"/>
        <v>0309-08</v>
      </c>
      <c r="AE213" s="85" t="str">
        <f t="shared" si="83"/>
        <v>aws s3 cp s3://rtdc.mdm.uploadarchive.raw/RTDC4009/ "%USERPROFILE%\AppData\Local\Temp\OnboardLogs"\RTDC4009\2017-03-09 --exclude "*" --recursive --include "*20170309*" &amp; "%USERPROFILE%\Documents\GitHub\mrs-test-scripts\Headless Mode &amp; Sideloading\WalkAndUnGZ.bat" "%USERPROFILE%\AppData\Local\Temp\OnboardLogs"\RTDC4009\2017-03-09 &amp; aws s3 cp s3://rtdc.mdm.uploadarchive.raw/RTDC4009/ "%USERPROFILE%\AppData\Local\Temp\OnboardLogs"\RTDC4009\2017-03-10 --exclude "*" --recursive --include "*20170310*" &amp; "%USERPROFILE%\Documents\GitHub\mrs-test-scripts\Headless Mode &amp; Sideloading\WalkAndUnGZ.bat" "%USERPROFILE%\AppData\Local\Temp\OnboardLogs"\RTDC4009\2017-03-10</v>
      </c>
      <c r="AF213" s="82" t="str">
        <f t="shared" si="84"/>
        <v>"C:\Program Files (x86)\AstroGrep\AstroGrep.exe" /e /r /s /spath="%USERPROFILE%\AppData\Local\Temp\OnboardLogs" /stypes="app*4009*20170309*" /stext=" 08:.+((SYSTEM_STATE.+slice.+state.+changed )|(ment ac)|(multiple cpu faults)|(system.+state.+changed )|(\[timeout)|(PRM\|1\|D)|(kpr)|(kdp)|(\|lc)|(penalty))"</v>
      </c>
      <c r="AG213" s="1" t="str">
        <f t="shared" si="85"/>
        <v>Other</v>
      </c>
      <c r="AH213" s="86" t="str">
        <f t="shared" si="86"/>
        <v>"%USERPROFILE%\Documents\GitHub\eaglep3\Utilities\RefineRTDCRunTimes.py" --tripid 309-08 --locoid 4009 --swversion DE.1.0.9.0 --startMP 204:330 --initTime 2017-03-09T01:38:46 --startdatetime 2017-03-09T01:41:14 --delay 2 --endMP 300:23299 --enddatetime 2017-03-09T01:52:39 --enforcementcount 0 &gt;&gt;C:\Users\stu\Documents\GitHub\eaglep3-reporting\EC\2017-03-08-refined-times.txt</v>
      </c>
      <c r="AI213" s="108" t="str">
        <f t="shared" si="87"/>
        <v>echo {"issue":{"subject":"","project_id":79,"tracker_id":40,"status_id":1,"priority_id":2,"assigned_to_id":23,"start_date":"2017-03-09","description":"","custom_fields":[{"id":1,"name":"Subdivision","value":"Other"},{"id":4,"name":"Milepost","value":"2.3299"},{"id":17,"name":"Train ID","value":"309-08"},{"id":16,"name":"Locomotive ID","value":"4009"},{"id":130,"name":"Impact","value":""},{"id":150,"name":"Time of Event (Mountain Time)","value":"01:52:39"},{"id":151,"name":"Denver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8"/>
        <v>start /low /b %USERPROFILE%\Documents\GitHub\eaglep3\Utilities\DownloadLogsFromS3.py --loco 4009 --day 2017-03-09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"%USERPROFILE%\AppData\Local\Temp\OnboardLogs"\RTDC4009\*4009*20170309* | grep -SE "(Enforcement Action)|(\[TIMEOUT)|(CHR.+\|PRM\|1\|D.+(SWITCH|SIGNAL).+UNKNOWN)" - &gt;&gt; 2017-03-08-UncaughtWiMAX.txt</v>
      </c>
    </row>
    <row r="214" spans="1:40" x14ac:dyDescent="0.25">
      <c r="A214" s="33" t="s">
        <v>617</v>
      </c>
      <c r="B214" s="7">
        <v>4030</v>
      </c>
      <c r="C214" s="21" t="s">
        <v>242</v>
      </c>
      <c r="D214" s="21" t="s">
        <v>914</v>
      </c>
      <c r="E214" s="13">
        <v>42802.181041666663</v>
      </c>
      <c r="F214" s="13">
        <v>42802.184374999997</v>
      </c>
      <c r="G214" s="7">
        <v>4</v>
      </c>
      <c r="H214" s="21" t="s">
        <v>208</v>
      </c>
      <c r="I214" s="13">
        <v>42802.191041666665</v>
      </c>
      <c r="J214" s="7">
        <v>0</v>
      </c>
      <c r="K214" s="98" t="str">
        <f t="shared" si="73"/>
        <v>4029/4030</v>
      </c>
      <c r="L214" s="21" t="str">
        <f>VLOOKUP(A214,'Trips&amp;Operators'!$C$1:$G$99999,5,FALSE)</f>
        <v>SANTIZO D. EDY</v>
      </c>
      <c r="M214" s="6">
        <f t="shared" si="74"/>
        <v>6.6666666680248454E-3</v>
      </c>
      <c r="N214" s="7">
        <f t="shared" si="89"/>
        <v>9.6000000019557774</v>
      </c>
      <c r="O214" s="7"/>
      <c r="P214" s="7"/>
      <c r="Q214" s="22"/>
      <c r="R214" s="22"/>
      <c r="S214" s="31">
        <f t="shared" si="90"/>
        <v>1</v>
      </c>
      <c r="T214" s="46" t="str">
        <f t="shared" si="75"/>
        <v>Southbound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76"/>
        <v>https://d0f6bd738d7f1b3e5a7ca70fe4ff75f0.us-east-1.aws.found.io/app/kibana#/discover/Steve-Slow-Train-Analysis-(2080s-and-2083s)?_g=(refreshInterval:(display:Off,pause:!f,section:0,value:0),time:(from:'2017-03-08T03:20:42-0700',mode:absolute,to:'2017-03-08T05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4" s="187" t="str">
        <f t="shared" si="77"/>
        <v>Y</v>
      </c>
      <c r="X214" s="187">
        <f t="shared" si="78"/>
        <v>1</v>
      </c>
      <c r="Y214" s="62">
        <f t="shared" si="79"/>
        <v>1.9424999999999999</v>
      </c>
      <c r="Z214" s="62">
        <f t="shared" si="80"/>
        <v>1.54E-2</v>
      </c>
      <c r="AA214" s="62">
        <f t="shared" si="81"/>
        <v>1.9270999999999998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2"/>
        <v>0310-08</v>
      </c>
      <c r="AE214" s="85" t="str">
        <f t="shared" si="83"/>
        <v>aws s3 cp s3://rtdc.mdm.uploadarchive.raw/RTDC4030/ "%USERPROFILE%\AppData\Local\Temp\OnboardLogs"\RTDC4030\2017-03-08 --exclude "*" --recursive --include "*20170308*" &amp; "%USERPROFILE%\Documents\GitHub\mrs-test-scripts\Headless Mode &amp; Sideloading\WalkAndUnGZ.bat" "%USERPROFILE%\AppData\Local\Temp\OnboardLogs"\RTDC4030\2017-03-08 &amp; 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</v>
      </c>
      <c r="AF214" s="82" t="str">
        <f t="shared" si="84"/>
        <v>"C:\Program Files (x86)\AstroGrep\AstroGrep.exe" /e /r /s /spath="%USERPROFILE%\AppData\Local\Temp\OnboardLogs" /stypes="app*4030*20170308*" /stext=" 11:.+((SYSTEM_STATE.+slice.+state.+changed )|(ment ac)|(multiple cpu faults)|(system.+state.+changed )|(\[timeout)|(PRM\|1\|D)|(kpr)|(kdp)|(\|lc)|(penalty))"</v>
      </c>
      <c r="AG214" s="1" t="str">
        <f t="shared" si="85"/>
        <v>Other</v>
      </c>
      <c r="AH214" s="86" t="str">
        <f t="shared" si="86"/>
        <v>"%USERPROFILE%\Documents\GitHub\eaglep3\Utilities\RefineRTDCRunTimes.py" --tripid 310-08 --locoid 4030 --swversion DE.1.0.9.0 --startMP 300:19425 --initTime 2017-03-08T04:20:42 --startdatetime 2017-03-08T04:25:30 --delay 4 --endMP 204:154 --enddatetime 2017-03-08T04:35:06 --enforcementcount 0 &gt;&gt;C:\Users\stu\Documents\GitHub\eaglep3-reporting\EC\2017-03-08-refined-times.txt</v>
      </c>
      <c r="AI214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{"issue":{"subject":"","project_id":79,"tracker_id":40,"status_id":1,"priority_id":2,"assigned_to_id":23,"start_date":"2017-03-08","description":"","custom_fields":[{"id":1,"name":"Subdivision","value":"Other"},{"id":4,"name":"Milepost","value":"0.0154"},{"id":17,"name":"Train ID","value":"310-08"},{"id":16,"name":"Locomotive ID","value":"4030"},{"id":130,"name":"Impact","value":""},{"id":150,"name":"Time of Event (Mountain Time)","value":"04:35:06"},{"id":151,"name":"Denver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88"/>
        <v>start /low /b %USERPROFILE%\Documents\GitHub\eaglep3\Utilities\DownloadLogsFromS3.py --loco 4030 --day 2017-03-08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"%USERPROFILE%\AppData\Local\Temp\OnboardLogs"\RTDC4030\*4030*20170308* | grep -SE "(Enforcement Action)|(\[TIMEOUT)|(CHR.+\|PRM\|1\|D.+(SWITCH|SIGNAL).+UNKNOWN)" - &gt;&gt; 2017-03-08-UncaughtWiMAX.txt</v>
      </c>
    </row>
    <row r="215" spans="1:40" x14ac:dyDescent="0.25">
      <c r="A215" s="33" t="s">
        <v>824</v>
      </c>
      <c r="B215" s="7">
        <v>4042</v>
      </c>
      <c r="C215" s="21" t="s">
        <v>242</v>
      </c>
      <c r="D215" s="21" t="s">
        <v>915</v>
      </c>
      <c r="E215" s="13">
        <v>42803.072060185186</v>
      </c>
      <c r="F215" s="13">
        <v>42803.074282407404</v>
      </c>
      <c r="G215" s="7">
        <v>2</v>
      </c>
      <c r="H215" s="21" t="s">
        <v>913</v>
      </c>
      <c r="I215" s="13">
        <v>42803.084861111114</v>
      </c>
      <c r="J215" s="7">
        <v>0</v>
      </c>
      <c r="K215" s="98" t="str">
        <f t="shared" si="73"/>
        <v>4041/4042</v>
      </c>
      <c r="L215" s="21" t="str">
        <f>VLOOKUP(A215,'Trips&amp;Operators'!$C$1:$G$99999,5,FALSE)</f>
        <v>NELSON ARIANE</v>
      </c>
      <c r="M215" s="6">
        <f t="shared" si="74"/>
        <v>1.057870371005265E-2</v>
      </c>
      <c r="N215" s="7">
        <f t="shared" si="89"/>
        <v>15.233333342475817</v>
      </c>
      <c r="O215" s="7"/>
      <c r="P215" s="7"/>
      <c r="Q215" s="22"/>
      <c r="R215" s="22"/>
      <c r="S215" s="31">
        <f t="shared" si="90"/>
        <v>1</v>
      </c>
      <c r="T215" s="46" t="str">
        <f t="shared" si="75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76"/>
        <v>https://d0f6bd738d7f1b3e5a7ca70fe4ff75f0.us-east-1.aws.found.io/app/kibana#/discover/Steve-Slow-Train-Analysis-(2080s-and-2083s)?_g=(refreshInterval:(display:Off,pause:!f,section:0,value:0),time:(from:'2017-03-09T00:43:46-0700',mode:absolute,to:'2017-03-09T03:02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5" s="187" t="str">
        <f t="shared" si="77"/>
        <v>Y</v>
      </c>
      <c r="X215" s="187">
        <f t="shared" si="78"/>
        <v>1</v>
      </c>
      <c r="Y215" s="62">
        <f t="shared" si="79"/>
        <v>9.8799999999999999E-2</v>
      </c>
      <c r="Z215" s="62">
        <f t="shared" si="80"/>
        <v>2.3298999999999999</v>
      </c>
      <c r="AA215" s="62">
        <f t="shared" si="81"/>
        <v>2.2310999999999996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2"/>
        <v>0311-08</v>
      </c>
      <c r="AE215" s="85" t="str">
        <f t="shared" si="83"/>
        <v>aws s3 cp s3://rtdc.mdm.uploadarchive.raw/RTDC4042/ "%USERPROFILE%\AppData\Local\Temp\OnboardLogs"\RTDC4042\2017-03-09 --exclude "*" --recursive --include "*20170309*" &amp; "%USERPROFILE%\Documents\GitHub\mrs-test-scripts\Headless Mode &amp; Sideloading\WalkAndUnGZ.bat" "%USERPROFILE%\AppData\Local\Temp\OnboardLogs"\RTDC4042\2017-03-09 &amp; aws s3 cp s3://rtdc.mdm.uploadarchive.raw/RTDC4042/ "%USERPROFILE%\AppData\Local\Temp\OnboardLogs"\RTDC4042\2017-03-10 --exclude "*" --recursive --include "*20170310*" &amp; "%USERPROFILE%\Documents\GitHub\mrs-test-scripts\Headless Mode &amp; Sideloading\WalkAndUnGZ.bat" "%USERPROFILE%\AppData\Local\Temp\OnboardLogs"\RTDC4042\2017-03-10</v>
      </c>
      <c r="AF215" s="82" t="str">
        <f t="shared" si="84"/>
        <v>"C:\Program Files (x86)\AstroGrep\AstroGrep.exe" /e /r /s /spath="%USERPROFILE%\AppData\Local\Temp\OnboardLogs" /stypes="app*4042*20170309*" /stext=" 09:.+((SYSTEM_STATE.+slice.+state.+changed )|(ment ac)|(multiple cpu faults)|(system.+state.+changed )|(\[timeout)|(PRM\|1\|D)|(kpr)|(kdp)|(\|lc)|(penalty))"</v>
      </c>
      <c r="AG215" s="1" t="str">
        <f t="shared" si="85"/>
        <v>Other</v>
      </c>
      <c r="AH215" s="86" t="str">
        <f t="shared" si="86"/>
        <v>"%USERPROFILE%\Documents\GitHub\eaglep3\Utilities\RefineRTDCRunTimes.py" --tripid 311-08 --locoid 4042 --swversion DE.1.0.9.0 --startMP 204:988 --initTime 2017-03-09T01:43:46 --startdatetime 2017-03-09T01:46:58 --delay 2 --endMP 300:23299 --enddatetime 2017-03-09T02:02:12 --enforcementcount 0 &gt;&gt;C:\Users\stu\Documents\GitHub\eaglep3-reporting\EC\2017-03-08-refined-times.txt</v>
      </c>
      <c r="AI215" s="108" t="str">
        <f t="shared" si="87"/>
        <v>echo {"issue":{"subject":"","project_id":79,"tracker_id":40,"status_id":1,"priority_id":2,"assigned_to_id":23,"start_date":"2017-03-09","description":"","custom_fields":[{"id":1,"name":"Subdivision","value":"Other"},{"id":4,"name":"Milepost","value":"2.3299"},{"id":17,"name":"Train ID","value":"311-08"},{"id":16,"name":"Locomotive ID","value":"4042"},{"id":130,"name":"Impact","value":""},{"id":150,"name":"Time of Event (Mountain Time)","value":"02:02:12"},{"id":151,"name":"Denver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8"/>
        <v>start /low /b %USERPROFILE%\Documents\GitHub\eaglep3\Utilities\DownloadLogsFromS3.py --loco 4042 --day 2017-03-09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"%USERPROFILE%\AppData\Local\Temp\OnboardLogs"\RTDC4042\*4042*20170309* | grep -SE "(Enforcement Action)|(\[TIMEOUT)|(CHR.+\|PRM\|1\|D.+(SWITCH|SIGNAL).+UNKNOWN)" - &gt;&gt; 2017-03-08-UncaughtWiMAX.txt</v>
      </c>
    </row>
    <row r="216" spans="1:40" x14ac:dyDescent="0.25">
      <c r="A216" s="33" t="s">
        <v>600</v>
      </c>
      <c r="B216" s="7">
        <v>4014</v>
      </c>
      <c r="C216" s="21" t="s">
        <v>242</v>
      </c>
      <c r="D216" s="21" t="s">
        <v>526</v>
      </c>
      <c r="E216" s="13">
        <v>42802.087638888886</v>
      </c>
      <c r="F216" s="13">
        <v>42802.08898148148</v>
      </c>
      <c r="G216" s="7">
        <v>1</v>
      </c>
      <c r="H216" s="21" t="s">
        <v>916</v>
      </c>
      <c r="I216" s="13">
        <v>25568.708333333332</v>
      </c>
      <c r="J216" s="7">
        <v>0</v>
      </c>
      <c r="K216" s="98" t="str">
        <f t="shared" si="73"/>
        <v>4013/4014</v>
      </c>
      <c r="L216" s="21" t="str">
        <f>VLOOKUP(A216,'Trips&amp;Operators'!$C$1:$G$99999,5,FALSE)</f>
        <v>STAMBAUGH JAMES</v>
      </c>
      <c r="M216" s="6">
        <f t="shared" si="74"/>
        <v>-17233.380648148148</v>
      </c>
      <c r="N216" s="7">
        <f t="shared" si="89"/>
        <v>-24816068.133333333</v>
      </c>
      <c r="O216" s="7"/>
      <c r="P216" s="7"/>
      <c r="Q216" s="22"/>
      <c r="R216" s="22"/>
      <c r="S216" s="31">
        <f t="shared" si="90"/>
        <v>0</v>
      </c>
      <c r="T216" s="46" t="str">
        <f t="shared" si="75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 t="shared" si="76"/>
        <v>https://d0f6bd738d7f1b3e5a7ca70fe4ff75f0.us-east-1.aws.found.io/app/kibana#/discover/Steve-Slow-Train-Analysis-(2080s-and-2083s)?_g=(refreshInterval:(display:Off,pause:!f,section:0,value:0),time:(from:'2017-03-08T01:06:12-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6" s="187" t="str">
        <f t="shared" si="77"/>
        <v>Y</v>
      </c>
      <c r="X216" s="187">
        <f t="shared" si="78"/>
        <v>2</v>
      </c>
      <c r="Y216" s="62">
        <f t="shared" si="79"/>
        <v>6.5000000000000002E-2</v>
      </c>
      <c r="Z216" s="62">
        <f t="shared" si="80"/>
        <v>0.18240000000000001</v>
      </c>
      <c r="AA216" s="62">
        <f t="shared" si="81"/>
        <v>0.1174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2"/>
        <v>0313-07</v>
      </c>
      <c r="AE216" s="85" t="str">
        <f t="shared" si="83"/>
        <v>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 &amp; 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</v>
      </c>
      <c r="AF216" s="82" t="str">
        <f t="shared" si="84"/>
        <v>"C:\Program Files (x86)\AstroGrep\AstroGrep.exe" /e /r /s /spath="%USERPROFILE%\AppData\Local\Temp\OnboardLogs" /stypes="app*4014*19700101*" /stext=" 00:.+((SYSTEM_STATE.+slice.+state.+changed )|(ment ac)|(multiple cpu faults)|(system.+state.+changed )|(\[timeout)|(PRM\|1\|D)|(kpr)|(kdp)|(\|lc)|(penalty))"</v>
      </c>
      <c r="AG216" s="1" t="str">
        <f t="shared" si="85"/>
        <v>Other</v>
      </c>
      <c r="AH216" s="86" t="str">
        <f t="shared" si="86"/>
        <v>"%USERPROFILE%\Documents\GitHub\eaglep3\Utilities\RefineRTDCRunTimes.py" --tripid 313-07 --locoid 4014 --swversion DE.1.0.9.0 --startMP 204:650 --initTime 2017-03-08T02:06:12 --startdatetime 2017-03-08T02:08:08 --delay 1 --endMP 204:1824 --enddatetime 1969-12-31T17:00:00 --enforcementcount 0 &gt;&gt;C:\Users\stu\Documents\GitHub\eaglep3-reporting\EC\2017-03-08-refined-times.txt</v>
      </c>
      <c r="AI216" s="108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{"issue":{"subject":"","project_id":79,"tracker_id":40,"status_id":1,"priority_id":2,"assigned_to_id":23,"start_date":"1969-12-31","description":"","custom_fields":[{"id":1,"name":"Subdivision","value":"Other"},{"id":4,"name":"Milepost","value":"0.1824"},{"id":17,"name":"Train ID","value":"313-07"},{"id":16,"name":"Locomotive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8"/>
        <v>start /low /b %USERPROFILE%\Documents\GitHub\eaglep3\Utilities\DownloadLogsFromS3.py --loco 4014 --day 2017-03-08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"%USERPROFILE%\AppData\Local\Temp\OnboardLogs"\RTDC4014\*4014*19930804* | grep -SE "(Enforcement Action)|(\[TIMEOUT)|(CHR.+\|PRM\|1\|D.+(SWITCH|SIGNAL).+UNKNOWN)" - &gt;&gt; 2017-03-08-UncaughtWiMAX.txt</v>
      </c>
    </row>
    <row r="217" spans="1:40" x14ac:dyDescent="0.25">
      <c r="A217" s="33" t="s">
        <v>825</v>
      </c>
      <c r="B217" s="7">
        <v>4046</v>
      </c>
      <c r="C217" s="21" t="s">
        <v>242</v>
      </c>
      <c r="D217" s="21" t="s">
        <v>263</v>
      </c>
      <c r="E217" s="13">
        <v>42803.09002314815</v>
      </c>
      <c r="F217" s="13">
        <v>42803.091168981482</v>
      </c>
      <c r="G217" s="7">
        <v>0</v>
      </c>
      <c r="H217" s="21" t="s">
        <v>512</v>
      </c>
      <c r="I217" s="13">
        <v>42803.09815972222</v>
      </c>
      <c r="J217" s="7">
        <v>0</v>
      </c>
      <c r="K217" s="98" t="str">
        <f t="shared" si="73"/>
        <v>4045/4046</v>
      </c>
      <c r="L217" s="21" t="str">
        <f>VLOOKUP(A217,'Trips&amp;Operators'!$C$1:$G$99999,5,FALSE)</f>
        <v>NEWELL JAMES</v>
      </c>
      <c r="M217" s="6">
        <f t="shared" si="74"/>
        <v>6.9907407378195785E-3</v>
      </c>
      <c r="N217" s="7">
        <f t="shared" si="89"/>
        <v>10.066666662460193</v>
      </c>
      <c r="O217" s="7"/>
      <c r="P217" s="7"/>
      <c r="Q217" s="22"/>
      <c r="R217" s="22"/>
      <c r="S217" s="31">
        <f t="shared" si="90"/>
        <v>1</v>
      </c>
      <c r="T217" s="46" t="str">
        <f t="shared" si="75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si="76"/>
        <v>https://d0f6bd738d7f1b3e5a7ca70fe4ff75f0.us-east-1.aws.found.io/app/kibana#/discover/Steve-Slow-Train-Analysis-(2080s-and-2083s)?_g=(refreshInterval:(display:Off,pause:!f,section:0,value:0),time:(from:'2017-03-09T01:09:38-0700',mode:absolute,to:'2017-03-09T03:21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7" s="187" t="str">
        <f t="shared" si="77"/>
        <v>Y</v>
      </c>
      <c r="X217" s="187">
        <f t="shared" si="78"/>
        <v>0</v>
      </c>
      <c r="Y217" s="62">
        <f t="shared" si="79"/>
        <v>4.6699999999999998E-2</v>
      </c>
      <c r="Z217" s="62">
        <f t="shared" si="80"/>
        <v>2.331</v>
      </c>
      <c r="AA217" s="62">
        <f t="shared" si="81"/>
        <v>2.2843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2"/>
        <v>0313-08</v>
      </c>
      <c r="AE217" s="85" t="str">
        <f t="shared" si="83"/>
        <v>aws s3 cp s3://rtdc.mdm.uploadarchive.raw/RTDC4046/ "%USERPROFILE%\AppData\Local\Temp\OnboardLogs"\RTDC4046\2017-03-09 --exclude "*" --recursive --include "*20170309*" &amp; "%USERPROFILE%\Documents\GitHub\mrs-test-scripts\Headless Mode &amp; Sideloading\WalkAndUnGZ.bat" "%USERPROFILE%\AppData\Local\Temp\OnboardLogs"\RTDC4046\2017-03-09 &amp; aws s3 cp s3://rtdc.mdm.uploadarchive.raw/RTDC4046/ "%USERPROFILE%\AppData\Local\Temp\OnboardLogs"\RTDC4046\2017-03-10 --exclude "*" --recursive --include "*20170310*" &amp; "%USERPROFILE%\Documents\GitHub\mrs-test-scripts\Headless Mode &amp; Sideloading\WalkAndUnGZ.bat" "%USERPROFILE%\AppData\Local\Temp\OnboardLogs"\RTDC4046\2017-03-10</v>
      </c>
      <c r="AF217" s="82" t="str">
        <f t="shared" si="84"/>
        <v>"C:\Program Files (x86)\AstroGrep\AstroGrep.exe" /e /r /s /spath="%USERPROFILE%\AppData\Local\Temp\OnboardLogs" /stypes="app*4046*20170309*" /stext=" 09:.+((SYSTEM_STATE.+slice.+state.+changed )|(ment ac)|(multiple cpu faults)|(system.+state.+changed )|(\[timeout)|(PRM\|1\|D)|(kpr)|(kdp)|(\|lc)|(penalty))"</v>
      </c>
      <c r="AG217" s="1" t="str">
        <f t="shared" si="85"/>
        <v>Other</v>
      </c>
      <c r="AH217" s="86" t="str">
        <f t="shared" si="86"/>
        <v>"%USERPROFILE%\Documents\GitHub\eaglep3\Utilities\RefineRTDCRunTimes.py" --tripid 313-08 --locoid 4046 --swversion DE.1.0.9.0 --startMP 204:467 --initTime 2017-03-09T02:09:38 --startdatetime 2017-03-09T02:11:17 --delay 0 --endMP 300:23310 --enddatetime 2017-03-09T02:21:21 --enforcementcount 0 &gt;&gt;C:\Users\stu\Documents\GitHub\eaglep3-reporting\EC\2017-03-08-refined-times.txt</v>
      </c>
      <c r="AI217" s="108" t="str">
        <f t="shared" si="87"/>
        <v>echo {"issue":{"subject":"","project_id":79,"tracker_id":40,"status_id":1,"priority_id":2,"assigned_to_id":23,"start_date":"2017-03-09","description":"","custom_fields":[{"id":1,"name":"Subdivision","value":"Other"},{"id":4,"name":"Milepost","value":"2.331"},{"id":17,"name":"Train ID","value":"313-08"},{"id":16,"name":"Locomotive ID","value":"4046"},{"id":130,"name":"Impact","value":""},{"id":150,"name":"Time of Event (Mountain Time)","value":"02:21:21"},{"id":151,"name":"Denver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88"/>
        <v>start /low /b %USERPROFILE%\Documents\GitHub\eaglep3\Utilities\DownloadLogsFromS3.py --loco 4046 --day 2017-03-09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"%USERPROFILE%\AppData\Local\Temp\OnboardLogs"\RTDC4046\*4046*20170309* | grep -SE "(Enforcement Action)|(\[TIMEOUT)|(CHR.+\|PRM\|1\|D.+(SWITCH|SIGNAL).+UNKNOWN)" - &gt;&gt; 2017-03-08-UncaughtWiMAX.txt</v>
      </c>
    </row>
    <row r="218" spans="1:40" x14ac:dyDescent="0.25">
      <c r="A218" s="33" t="s">
        <v>820</v>
      </c>
      <c r="B218" s="7">
        <v>4051</v>
      </c>
      <c r="C218" s="21" t="s">
        <v>242</v>
      </c>
      <c r="D218" s="21" t="s">
        <v>223</v>
      </c>
      <c r="E218" s="13">
        <v>42803.032951388886</v>
      </c>
      <c r="F218" s="13">
        <v>42803.034560185188</v>
      </c>
      <c r="G218" s="7">
        <v>1</v>
      </c>
      <c r="H218" s="21" t="s">
        <v>917</v>
      </c>
      <c r="I218" s="13">
        <v>42803.042523148149</v>
      </c>
      <c r="J218" s="7">
        <v>0</v>
      </c>
      <c r="K218" s="98" t="str">
        <f t="shared" si="73"/>
        <v>4051/4052</v>
      </c>
      <c r="L218" s="21" t="str">
        <f>VLOOKUP(A218,'Trips&amp;Operators'!$C$1:$G$99999,5,FALSE)</f>
        <v>SWANSON BRYCE</v>
      </c>
      <c r="M218" s="6">
        <f t="shared" si="74"/>
        <v>7.962962961755693E-3</v>
      </c>
      <c r="N218" s="7">
        <f t="shared" si="89"/>
        <v>11.466666664928198</v>
      </c>
      <c r="O218" s="7"/>
      <c r="P218" s="7"/>
      <c r="Q218" s="22"/>
      <c r="R218" s="22"/>
      <c r="S218" s="31">
        <f t="shared" si="90"/>
        <v>1</v>
      </c>
      <c r="T218" s="46" t="str">
        <f t="shared" si="75"/>
        <v>NorthBound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76"/>
        <v>https://d0f6bd738d7f1b3e5a7ca70fe4ff75f0.us-east-1.aws.found.io/app/kibana#/discover/Steve-Slow-Train-Analysis-(2080s-and-2083s)?_g=(refreshInterval:(display:Off,pause:!f,section:0,value:0),time:(from:'2017-03-08T23:47:27-0700',mode:absolute,to:'2017-03-09T02:01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8" s="187" t="str">
        <f t="shared" si="77"/>
        <v>Y</v>
      </c>
      <c r="X218" s="187">
        <f t="shared" si="78"/>
        <v>2</v>
      </c>
      <c r="Y218" s="62">
        <f t="shared" si="79"/>
        <v>4.53E-2</v>
      </c>
      <c r="Z218" s="62">
        <f t="shared" si="80"/>
        <v>2.3311999999999999</v>
      </c>
      <c r="AA218" s="62">
        <f t="shared" si="81"/>
        <v>2.2858999999999998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2"/>
        <v>0315-08</v>
      </c>
      <c r="AE218" s="85" t="str">
        <f t="shared" si="83"/>
        <v>aws s3 cp s3://rtdc.mdm.uploadarchive.raw/RTDC4051/ "%USERPROFILE%\AppData\Local\Temp\OnboardLogs"\RTDC4051\2017-03-09 --exclude "*" --recursive --include "*20170309*" &amp; "%USERPROFILE%\Documents\GitHub\mrs-test-scripts\Headless Mode &amp; Sideloading\WalkAndUnGZ.bat" "%USERPROFILE%\AppData\Local\Temp\OnboardLogs"\RTDC4051\2017-03-09 &amp; aws s3 cp s3://rtdc.mdm.uploadarchive.raw/RTDC4051/ "%USERPROFILE%\AppData\Local\Temp\OnboardLogs"\RTDC4051\2017-03-10 --exclude "*" --recursive --include "*20170310*" &amp; "%USERPROFILE%\Documents\GitHub\mrs-test-scripts\Headless Mode &amp; Sideloading\WalkAndUnGZ.bat" "%USERPROFILE%\AppData\Local\Temp\OnboardLogs"\RTDC4051\2017-03-10</v>
      </c>
      <c r="AF218" s="82" t="str">
        <f t="shared" si="84"/>
        <v>"C:\Program Files (x86)\AstroGrep\AstroGrep.exe" /e /r /s /spath="%USERPROFILE%\AppData\Local\Temp\OnboardLogs" /stypes="app*4051*20170309*" /stext=" 08:.+((SYSTEM_STATE.+slice.+state.+changed )|(ment ac)|(multiple cpu faults)|(system.+state.+changed )|(\[timeout)|(PRM\|1\|D)|(kpr)|(kdp)|(\|lc)|(penalty))"</v>
      </c>
      <c r="AG218" s="1" t="str">
        <f t="shared" si="85"/>
        <v>Other</v>
      </c>
      <c r="AH218" s="86" t="str">
        <f t="shared" si="86"/>
        <v>"%USERPROFILE%\Documents\GitHub\eaglep3\Utilities\RefineRTDCRunTimes.py" --tripid 315-08 --locoid 4051 --swversion DE.1.0.9.0 --startMP 204:453 --initTime 2017-03-09T00:47:27 --startdatetime 2017-03-09T00:49:46 --delay 1 --endMP 300:23312 --enddatetime 2017-03-09T01:01:14 --enforcementcount 0 &gt;&gt;C:\Users\stu\Documents\GitHub\eaglep3-reporting\EC\2017-03-08-refined-times.txt</v>
      </c>
      <c r="AI218" s="108" t="str">
        <f t="shared" si="87"/>
        <v>echo {"issue":{"subject":"","project_id":79,"tracker_id":40,"status_id":1,"priority_id":2,"assigned_to_id":23,"start_date":"2017-03-09","description":"","custom_fields":[{"id":1,"name":"Subdivision","value":"Other"},{"id":4,"name":"Milepost","value":"2.3312"},{"id":17,"name":"Train ID","value":"315-08"},{"id":16,"name":"Locomotive ID","value":"4051"},{"id":130,"name":"Impact","value":""},{"id":150,"name":"Time of Event (Mountain Time)","value":"01:01:14"},{"id":151,"name":"Denver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88"/>
        <v>start /low /b %USERPROFILE%\Documents\GitHub\eaglep3\Utilities\DownloadLogsFromS3.py --loco 4051 --day 2017-03-09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"%USERPROFILE%\AppData\Local\Temp\OnboardLogs"\RTDC4051\*4051*20170309* | grep -SE "(Enforcement Action)|(\[TIMEOUT)|(CHR.+\|PRM\|1\|D.+(SWITCH|SIGNAL).+UNKNOWN)" - &gt;&gt; 2017-03-08-UncaughtWiMAX.txt</v>
      </c>
    </row>
    <row r="219" spans="1:40" x14ac:dyDescent="0.25">
      <c r="A219" s="33" t="s">
        <v>621</v>
      </c>
      <c r="B219" s="7">
        <v>4040</v>
      </c>
      <c r="C219" s="21" t="s">
        <v>242</v>
      </c>
      <c r="D219" s="21" t="s">
        <v>998</v>
      </c>
      <c r="E219" s="13">
        <v>42802.201273148145</v>
      </c>
      <c r="F219" s="13">
        <v>42802.204247685186</v>
      </c>
      <c r="G219" s="7">
        <v>4</v>
      </c>
      <c r="H219" s="21" t="s">
        <v>999</v>
      </c>
      <c r="I219" s="13">
        <v>42802.209432870368</v>
      </c>
      <c r="J219" s="7">
        <v>0</v>
      </c>
      <c r="K219" s="98" t="str">
        <f t="shared" si="73"/>
        <v>4039/4040</v>
      </c>
      <c r="L219" s="21" t="str">
        <f>VLOOKUP(A219,'Trips&amp;Operators'!$C$1:$G$99999,5,FALSE)</f>
        <v>YORK EDGAR</v>
      </c>
      <c r="M219" s="6">
        <f t="shared" si="74"/>
        <v>5.1851851821993478E-3</v>
      </c>
      <c r="N219" s="7">
        <f t="shared" si="89"/>
        <v>7.4666666623670608</v>
      </c>
      <c r="O219" s="7"/>
      <c r="P219" s="7"/>
      <c r="Q219" s="22"/>
      <c r="R219" s="22"/>
      <c r="S219" s="31">
        <f t="shared" si="90"/>
        <v>0</v>
      </c>
      <c r="T219" s="46" t="str">
        <f t="shared" si="75"/>
        <v>NorthBound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 t="shared" si="76"/>
        <v>https://d0f6bd738d7f1b3e5a7ca70fe4ff75f0.us-east-1.aws.found.io/app/kibana#/discover/Steve-Slow-Train-Analysis-(2080s-and-2083s)?_g=(refreshInterval:(display:Off,pause:!f,section:0,value:0),time:(from:'2017-03-08T03:49:50-0700',mode:absolute,to:'2017-03-08T06:01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9" s="187" t="str">
        <f t="shared" si="77"/>
        <v>Y</v>
      </c>
      <c r="X219" s="187">
        <f t="shared" si="78"/>
        <v>586</v>
      </c>
      <c r="Y219" s="62">
        <f t="shared" si="79"/>
        <v>2.9824999999999999</v>
      </c>
      <c r="Z219" s="62">
        <f t="shared" si="80"/>
        <v>5.8936999999999999</v>
      </c>
      <c r="AA219" s="62">
        <f t="shared" si="81"/>
        <v>2.9112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2"/>
        <v>0901-08</v>
      </c>
      <c r="AE219" s="85" t="str">
        <f t="shared" si="83"/>
        <v>aws s3 cp s3://rtdc.mdm.uploadarchive.raw/RTDC4040/ "%USERPROFILE%\AppData\Local\Temp\OnboardLogs"\RTDC4040\2017-03-08 --exclude "*" --recursive --include "*20170308*" &amp; "%USERPROFILE%\Documents\GitHub\mrs-test-scripts\Headless Mode &amp; Sideloading\WalkAndUnGZ.bat" "%USERPROFILE%\AppData\Local\Temp\OnboardLogs"\RTDC4040\2017-03-08 &amp; 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</v>
      </c>
      <c r="AF219" s="82" t="str">
        <f t="shared" si="84"/>
        <v>"C:\Program Files (x86)\AstroGrep\AstroGrep.exe" /e /r /s /spath="%USERPROFILE%\AppData\Local\Temp\OnboardLogs" /stypes="app*4040*20170308*" /stext=" 12:.+((SYSTEM_STATE.+slice.+state.+changed )|(ment ac)|(multiple cpu faults)|(system.+state.+changed )|(\[timeout)|(PRM\|1\|D)|(kpr)|(kdp)|(\|lc)|(penalty))"</v>
      </c>
      <c r="AG219" s="1" t="str">
        <f t="shared" si="85"/>
        <v>Other</v>
      </c>
      <c r="AH219" s="86" t="str">
        <f t="shared" si="86"/>
        <v>"%USERPROFILE%\Documents\GitHub\eaglep3\Utilities\RefineRTDCRunTimes.py" --tripid 901-08 --locoid 4040 --swversion DE.1.0.9.0 --startMP 300:29825 --initTime 2017-03-08T04:49:50 --startdatetime 2017-03-08T04:54:07 --delay 4 --endMP 300:58937 --enddatetime 2017-03-08T05:01:35 --enforcementcount 0 &gt;&gt;C:\Users\stu\Documents\GitHub\eaglep3-reporting\EC\2017-03-08-refined-times.txt</v>
      </c>
      <c r="AI219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{"issue":{"subject":"","project_id":79,"tracker_id":40,"status_id":1,"priority_id":2,"assigned_to_id":23,"start_date":"2017-03-08","description":"","custom_fields":[{"id":1,"name":"Subdivision","value":"Other"},{"id":4,"name":"Milepost","value":"5.8937"},{"id":17,"name":"Train ID","value":"901-08"},{"id":16,"name":"Locomotive ID","value":"4040"},{"id":130,"name":"Impact","value":""},{"id":150,"name":"Time of Event (Mountain Time)","value":"05:01:35"},{"id":151,"name":"Denver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88"/>
        <v>start /low /b %USERPROFILE%\Documents\GitHub\eaglep3\Utilities\DownloadLogsFromS3.py --loco 4040 --day 2017-03-08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"%USERPROFILE%\AppData\Local\Temp\OnboardLogs"\RTDC4040\*4040*20170308* | grep -SE "(Enforcement Action)|(\[TIMEOUT)|(CHR.+\|PRM\|1\|D.+(SWITCH|SIGNAL).+UNKNOWN)" - &gt;&gt; 2017-03-08-UncaughtWiMAX.txt</v>
      </c>
    </row>
    <row r="220" spans="1:40" x14ac:dyDescent="0.25">
      <c r="A220" s="33" t="s">
        <v>633</v>
      </c>
      <c r="B220" s="7">
        <v>4054</v>
      </c>
      <c r="C220" s="21" t="s">
        <v>242</v>
      </c>
      <c r="D220" s="21" t="s">
        <v>1000</v>
      </c>
      <c r="E220" s="13">
        <v>42802.248726851853</v>
      </c>
      <c r="F220" s="13">
        <v>42802.251712962963</v>
      </c>
      <c r="G220" s="7">
        <v>4</v>
      </c>
      <c r="H220" s="21" t="s">
        <v>514</v>
      </c>
      <c r="I220" s="13">
        <v>42802.257048611114</v>
      </c>
      <c r="J220" s="7">
        <v>0</v>
      </c>
      <c r="K220" s="98" t="str">
        <f t="shared" si="73"/>
        <v>4053/4054</v>
      </c>
      <c r="L220" s="21" t="str">
        <f>VLOOKUP(A220,'Trips&amp;Operators'!$C$1:$G$99999,5,FALSE)</f>
        <v>LOZA FIDEL</v>
      </c>
      <c r="M220" s="6">
        <f t="shared" si="74"/>
        <v>5.3356481512309983E-3</v>
      </c>
      <c r="N220" s="7">
        <f t="shared" si="89"/>
        <v>7.6833333377726376</v>
      </c>
      <c r="O220" s="7"/>
      <c r="P220" s="7"/>
      <c r="Q220" s="22"/>
      <c r="R220" s="22"/>
      <c r="S220" s="31">
        <f t="shared" si="90"/>
        <v>1</v>
      </c>
      <c r="T220" s="46" t="str">
        <f t="shared" si="75"/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6" t="str">
        <f t="shared" si="76"/>
        <v>https://d0f6bd738d7f1b3e5a7ca70fe4ff75f0.us-east-1.aws.found.io/app/kibana#/discover/Steve-Slow-Train-Analysis-(2080s-and-2083s)?_g=(refreshInterval:(display:Off,pause:!f,section:0,value:0),time:(from:'2017-03-08T04:58:10-0700',mode:absolute,to:'2017-03-08T07:10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0" s="187" t="str">
        <f t="shared" si="77"/>
        <v>Y</v>
      </c>
      <c r="X220" s="187">
        <f t="shared" si="78"/>
        <v>1</v>
      </c>
      <c r="Y220" s="62">
        <f t="shared" si="79"/>
        <v>2.3266</v>
      </c>
      <c r="Z220" s="62">
        <f t="shared" si="80"/>
        <v>6.8199999999999997E-2</v>
      </c>
      <c r="AA220" s="62">
        <f t="shared" si="81"/>
        <v>2.2584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2"/>
        <v>0902-08</v>
      </c>
      <c r="AE220" s="85" t="str">
        <f t="shared" si="83"/>
        <v>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 &amp; aws s3 cp s3://rtdc.mdm.uploadarchive.raw/RTDC4054/ "%USERPROFILE%\AppData\Local\Temp\OnboardLogs"\RTDC4054\2017-03-09 --exclude "*" --recursive --include "*20170309*" &amp; "%USERPROFILE%\Documents\GitHub\mrs-test-scripts\Headless Mode &amp; Sideloading\WalkAndUnGZ.bat" "%USERPROFILE%\AppData\Local\Temp\OnboardLogs"\RTDC4054\2017-03-09</v>
      </c>
      <c r="AF220" s="82" t="str">
        <f t="shared" si="84"/>
        <v>"C:\Program Files (x86)\AstroGrep\AstroGrep.exe" /e /r /s /spath="%USERPROFILE%\AppData\Local\Temp\OnboardLogs" /stypes="app*4054*20170308*" /stext=" 13:.+((SYSTEM_STATE.+slice.+state.+changed )|(ment ac)|(multiple cpu faults)|(system.+state.+changed )|(\[timeout)|(PRM\|1\|D)|(kpr)|(kdp)|(\|lc)|(penalty))"</v>
      </c>
      <c r="AG220" s="1" t="str">
        <f t="shared" si="85"/>
        <v>Other</v>
      </c>
      <c r="AH220" s="86" t="str">
        <f t="shared" si="86"/>
        <v>"%USERPROFILE%\Documents\GitHub\eaglep3\Utilities\RefineRTDCRunTimes.py" --tripid 902-08 --locoid 4054 --swversion DE.1.0.9.0 --startMP 300:23266 --initTime 2017-03-08T05:58:10 --startdatetime 2017-03-08T06:02:28 --delay 4 --endMP 204:682 --enddatetime 2017-03-08T06:10:09 --enforcementcount 0 &gt;&gt;C:\Users\stu\Documents\GitHub\eaglep3-reporting\EC\2017-03-08-refined-times.txt</v>
      </c>
      <c r="AI220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{"issue":{"subject":"","project_id":79,"tracker_id":40,"status_id":1,"priority_id":2,"assigned_to_id":23,"start_date":"2017-03-08","description":"","custom_fields":[{"id":1,"name":"Subdivision","value":"Other"},{"id":4,"name":"Milepost","value":"0.0682"},{"id":17,"name":"Train ID","value":"902-08"},{"id":16,"name":"Locomotive ID","value":"4054"},{"id":130,"name":"Impact","value":""},{"id":150,"name":"Time of Event (Mountain Time)","value":"06:10:09"},{"id":151,"name":"Denver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88"/>
        <v>start /low /b %USERPROFILE%\Documents\GitHub\eaglep3\Utilities\DownloadLogsFromS3.py --loco 4054 --day 2017-03-08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"%USERPROFILE%\AppData\Local\Temp\OnboardLogs"\RTDC4054\*4054*20170308* | grep -SE "(Enforcement Action)|(\[TIMEOUT)|(CHR.+\|PRM\|1\|D.+(SWITCH|SIGNAL).+UNKNOWN)" - &gt;&gt; 2017-03-08-UncaughtWiMAX.txt</v>
      </c>
    </row>
    <row r="221" spans="1:40" x14ac:dyDescent="0.25">
      <c r="A221" s="33" t="s">
        <v>658</v>
      </c>
      <c r="B221" s="7">
        <v>4040</v>
      </c>
      <c r="C221" s="21" t="s">
        <v>242</v>
      </c>
      <c r="D221" s="21" t="s">
        <v>1001</v>
      </c>
      <c r="E221" s="13">
        <v>42802.351886574077</v>
      </c>
      <c r="F221" s="13">
        <v>42802.353009259263</v>
      </c>
      <c r="G221" s="7">
        <v>1</v>
      </c>
      <c r="H221" s="21" t="s">
        <v>1002</v>
      </c>
      <c r="I221" s="13">
        <v>42802.357557870368</v>
      </c>
      <c r="J221" s="7">
        <v>0</v>
      </c>
      <c r="K221" s="98" t="str">
        <f t="shared" si="73"/>
        <v>4039/4040</v>
      </c>
      <c r="L221" s="21" t="str">
        <f>VLOOKUP(A221,'Trips&amp;Operators'!$C$1:$G$99999,5,FALSE)</f>
        <v>YORK EDGAR</v>
      </c>
      <c r="M221" s="6">
        <f t="shared" si="74"/>
        <v>4.5486111048376188E-3</v>
      </c>
      <c r="N221" s="7">
        <f t="shared" si="89"/>
        <v>6.549999990966171</v>
      </c>
      <c r="O221" s="7"/>
      <c r="P221" s="7"/>
      <c r="Q221" s="22"/>
      <c r="R221" s="22"/>
      <c r="S221" s="31">
        <f t="shared" si="90"/>
        <v>1</v>
      </c>
      <c r="T221" s="46" t="str">
        <f t="shared" si="75"/>
        <v>NorthBound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6" t="str">
        <f t="shared" si="76"/>
        <v>https://d0f6bd738d7f1b3e5a7ca70fe4ff75f0.us-east-1.aws.found.io/app/kibana#/discover/Steve-Slow-Train-Analysis-(2080s-and-2083s)?_g=(refreshInterval:(display:Off,pause:!f,section:0,value:0),time:(from:'2017-03-08T07:26:43-0700',mode:absolute,to:'2017-03-08T09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1" s="187" t="str">
        <f t="shared" si="77"/>
        <v>Y</v>
      </c>
      <c r="X221" s="187">
        <f t="shared" si="78"/>
        <v>1</v>
      </c>
      <c r="Y221" s="62">
        <f t="shared" si="79"/>
        <v>0.1116</v>
      </c>
      <c r="Z221" s="62">
        <f t="shared" si="80"/>
        <v>2.4253999999999998</v>
      </c>
      <c r="AA221" s="62">
        <f t="shared" si="81"/>
        <v>2.3137999999999996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2"/>
        <v>0903-08</v>
      </c>
      <c r="AE221" s="85" t="str">
        <f t="shared" si="83"/>
        <v>aws s3 cp s3://rtdc.mdm.uploadarchive.raw/RTDC4040/ "%USERPROFILE%\AppData\Local\Temp\OnboardLogs"\RTDC4040\2017-03-08 --exclude "*" --recursive --include "*20170308*" &amp; "%USERPROFILE%\Documents\GitHub\mrs-test-scripts\Headless Mode &amp; Sideloading\WalkAndUnGZ.bat" "%USERPROFILE%\AppData\Local\Temp\OnboardLogs"\RTDC4040\2017-03-08 &amp; 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</v>
      </c>
      <c r="AF221" s="82" t="str">
        <f t="shared" si="84"/>
        <v>"C:\Program Files (x86)\AstroGrep\AstroGrep.exe" /e /r /s /spath="%USERPROFILE%\AppData\Local\Temp\OnboardLogs" /stypes="app*4040*20170308*" /stext=" 15:.+((SYSTEM_STATE.+slice.+state.+changed )|(ment ac)|(multiple cpu faults)|(system.+state.+changed )|(\[timeout)|(PRM\|1\|D)|(kpr)|(kdp)|(\|lc)|(penalty))"</v>
      </c>
      <c r="AG221" s="1" t="str">
        <f t="shared" si="85"/>
        <v>Other</v>
      </c>
      <c r="AH221" s="86" t="str">
        <f t="shared" si="86"/>
        <v>"%USERPROFILE%\Documents\GitHub\eaglep3\Utilities\RefineRTDCRunTimes.py" --tripid 903-08 --locoid 4040 --swversion DE.1.0.9.0 --startMP 204:1116 --initTime 2017-03-08T08:26:43 --startdatetime 2017-03-08T08:28:20 --delay 1 --endMP 300:24254 --enddatetime 2017-03-08T08:34:53 --enforcementcount 0 &gt;&gt;C:\Users\stu\Documents\GitHub\eaglep3-reporting\EC\2017-03-08-refined-times.txt</v>
      </c>
      <c r="AI221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{"issue":{"subject":"","project_id":79,"tracker_id":40,"status_id":1,"priority_id":2,"assigned_to_id":23,"start_date":"2017-03-08","description":"","custom_fields":[{"id":1,"name":"Subdivision","value":"Other"},{"id":4,"name":"Milepost","value":"2.4254"},{"id":17,"name":"Train ID","value":"903-08"},{"id":16,"name":"Locomotive ID","value":"4040"},{"id":130,"name":"Impact","value":""},{"id":150,"name":"Time of Event (Mountain Time)","value":"08:34:53"},{"id":151,"name":"Denver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88"/>
        <v>start /low /b %USERPROFILE%\Documents\GitHub\eaglep3\Utilities\DownloadLogsFromS3.py --loco 4040 --day 2017-03-08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"%USERPROFILE%\AppData\Local\Temp\OnboardLogs"\RTDC4040\*4040*20170308* | grep -SE "(Enforcement Action)|(\[TIMEOUT)|(CHR.+\|PRM\|1\|D.+(SWITCH|SIGNAL).+UNKNOWN)" - &gt;&gt; 2017-03-08-UncaughtWiMAX.txt</v>
      </c>
    </row>
    <row r="222" spans="1:40" x14ac:dyDescent="0.25">
      <c r="A222" s="33" t="s">
        <v>740</v>
      </c>
      <c r="B222" s="7">
        <v>4039</v>
      </c>
      <c r="C222" s="21" t="s">
        <v>242</v>
      </c>
      <c r="D222" s="21" t="s">
        <v>1003</v>
      </c>
      <c r="E222" s="13">
        <v>42802.644641203704</v>
      </c>
      <c r="F222" s="13">
        <v>42802.647800925923</v>
      </c>
      <c r="G222" s="7">
        <v>4</v>
      </c>
      <c r="H222" s="21" t="s">
        <v>1004</v>
      </c>
      <c r="I222" s="13">
        <v>42802.654467592591</v>
      </c>
      <c r="J222" s="7">
        <v>0</v>
      </c>
      <c r="K222" s="98" t="str">
        <f t="shared" si="73"/>
        <v>4039/4040</v>
      </c>
      <c r="L222" s="21" t="str">
        <f>VLOOKUP(A222,'Trips&amp;Operators'!$C$1:$G$99999,5,FALSE)</f>
        <v>CHANDLER KELVIN</v>
      </c>
      <c r="M222" s="6">
        <f t="shared" si="74"/>
        <v>6.6666666680248454E-3</v>
      </c>
      <c r="N222" s="7">
        <f t="shared" si="89"/>
        <v>9.6000000019557774</v>
      </c>
      <c r="O222" s="7"/>
      <c r="P222" s="7"/>
      <c r="Q222" s="22"/>
      <c r="R222" s="22"/>
      <c r="S222" s="31">
        <f t="shared" si="90"/>
        <v>1</v>
      </c>
      <c r="T222" s="46" t="str">
        <f t="shared" si="75"/>
        <v>Southbound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6" t="str">
        <f t="shared" si="76"/>
        <v>https://d0f6bd738d7f1b3e5a7ca70fe4ff75f0.us-east-1.aws.found.io/app/kibana#/discover/Steve-Slow-Train-Analysis-(2080s-and-2083s)?_g=(refreshInterval:(display:Off,pause:!f,section:0,value:0),time:(from:'2017-03-08T14:28:17-0700',mode:absolute,to:'2017-03-08T16:42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2" s="187" t="str">
        <f t="shared" si="77"/>
        <v>Y</v>
      </c>
      <c r="X222" s="187">
        <f t="shared" si="78"/>
        <v>1</v>
      </c>
      <c r="Y222" s="62">
        <f t="shared" si="79"/>
        <v>2.3142999999999998</v>
      </c>
      <c r="Z222" s="62">
        <f t="shared" si="80"/>
        <v>6.54E-2</v>
      </c>
      <c r="AA222" s="62">
        <f t="shared" si="81"/>
        <v>2.2488999999999999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2"/>
        <v>0904-08</v>
      </c>
      <c r="AE222" s="85" t="str">
        <f t="shared" si="83"/>
        <v>aws s3 cp s3://rtdc.mdm.uploadarchive.raw/RTDC4039/ "%USERPROFILE%\AppData\Local\Temp\OnboardLogs"\RTDC4039\2017-03-08 --exclude "*" --recursive --include "*20170308*" &amp; "%USERPROFILE%\Documents\GitHub\mrs-test-scripts\Headless Mode &amp; Sideloading\WalkAndUnGZ.bat" "%USERPROFILE%\AppData\Local\Temp\OnboardLogs"\RTDC4039\2017-03-08 &amp; 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</v>
      </c>
      <c r="AF222" s="82" t="str">
        <f t="shared" si="84"/>
        <v>"C:\Program Files (x86)\AstroGrep\AstroGrep.exe" /e /r /s /spath="%USERPROFILE%\AppData\Local\Temp\OnboardLogs" /stypes="app*4039*20170308*" /stext=" 22:.+((SYSTEM_STATE.+slice.+state.+changed )|(ment ac)|(multiple cpu faults)|(system.+state.+changed )|(\[timeout)|(PRM\|1\|D)|(kpr)|(kdp)|(\|lc)|(penalty))"</v>
      </c>
      <c r="AG222" s="1" t="str">
        <f t="shared" si="85"/>
        <v>Other</v>
      </c>
      <c r="AH222" s="86" t="str">
        <f t="shared" si="86"/>
        <v>"%USERPROFILE%\Documents\GitHub\eaglep3\Utilities\RefineRTDCRunTimes.py" --tripid 904-08 --locoid 4039 --swversion DE.1.0.9.0 --startMP 300:23143 --initTime 2017-03-08T15:28:17 --startdatetime 2017-03-08T15:32:50 --delay 4 --endMP 204:654 --enddatetime 2017-03-08T15:42:26 --enforcementcount 0 &gt;&gt;C:\Users\stu\Documents\GitHub\eaglep3-reporting\EC\2017-03-08-refined-times.txt</v>
      </c>
      <c r="AI222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{"issue":{"subject":"","project_id":79,"tracker_id":40,"status_id":1,"priority_id":2,"assigned_to_id":23,"start_date":"2017-03-08","description":"","custom_fields":[{"id":1,"name":"Subdivision","value":"Other"},{"id":4,"name":"Milepost","value":"0.0654"},{"id":17,"name":"Train ID","value":"904-08"},{"id":16,"name":"Locomotive ID","value":"4039"},{"id":130,"name":"Impact","value":""},{"id":150,"name":"Time of Event (Mountain Time)","value":"15:42:26"},{"id":151,"name":"Denver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88"/>
        <v>start /low /b %USERPROFILE%\Documents\GitHub\eaglep3\Utilities\DownloadLogsFromS3.py --loco 4039 --day 2017-03-08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"%USERPROFILE%\AppData\Local\Temp\OnboardLogs"\RTDC4039\*4039*20170308* | grep -SE "(Enforcement Action)|(\[TIMEOUT)|(CHR.+\|PRM\|1\|D.+(SWITCH|SIGNAL).+UNKNOWN)" - &gt;&gt; 2017-03-08-UncaughtWiMAX.txt</v>
      </c>
    </row>
    <row r="223" spans="1:40" x14ac:dyDescent="0.25">
      <c r="A223" s="33" t="s">
        <v>787</v>
      </c>
      <c r="B223" s="7">
        <v>4039</v>
      </c>
      <c r="C223" s="21" t="s">
        <v>242</v>
      </c>
      <c r="D223" s="21" t="s">
        <v>1005</v>
      </c>
      <c r="E223" s="13">
        <v>42802.797210648147</v>
      </c>
      <c r="F223" s="13">
        <v>42802.79824074074</v>
      </c>
      <c r="G223" s="7">
        <v>1</v>
      </c>
      <c r="H223" s="21" t="s">
        <v>1006</v>
      </c>
      <c r="I223" s="13">
        <v>42802.804525462961</v>
      </c>
      <c r="J223" s="7">
        <v>0</v>
      </c>
      <c r="K223" s="98" t="str">
        <f t="shared" si="73"/>
        <v>4039/4040</v>
      </c>
      <c r="L223" s="21" t="str">
        <f>VLOOKUP(A223,'Trips&amp;Operators'!$C$1:$G$99999,5,FALSE)</f>
        <v>CHANDLER KELVIN</v>
      </c>
      <c r="M223" s="6">
        <f t="shared" si="74"/>
        <v>6.284722221607808E-3</v>
      </c>
      <c r="N223" s="7">
        <f t="shared" si="89"/>
        <v>9.0499999991152436</v>
      </c>
      <c r="O223" s="7"/>
      <c r="P223" s="7"/>
      <c r="Q223" s="22"/>
      <c r="R223" s="22"/>
      <c r="S223" s="31">
        <f t="shared" si="90"/>
        <v>0</v>
      </c>
      <c r="T223" s="46" t="str">
        <f t="shared" si="75"/>
        <v>Southbound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76"/>
        <v>https://d0f6bd738d7f1b3e5a7ca70fe4ff75f0.us-east-1.aws.found.io/app/kibana#/discover/Steve-Slow-Train-Analysis-(2080s-and-2083s)?_g=(refreshInterval:(display:Off,pause:!f,section:0,value:0),time:(from:'2017-03-08T18:07:59-0700',mode:absolute,to:'2017-03-08T20:18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3" s="187" t="str">
        <f t="shared" si="77"/>
        <v>Y</v>
      </c>
      <c r="X223" s="187">
        <f t="shared" si="78"/>
        <v>2</v>
      </c>
      <c r="Y223" s="62">
        <f t="shared" si="79"/>
        <v>5.8577000000000004</v>
      </c>
      <c r="Z223" s="62">
        <f t="shared" si="80"/>
        <v>2.1400999999999999</v>
      </c>
      <c r="AA223" s="62">
        <f t="shared" si="81"/>
        <v>3.7176000000000005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2"/>
        <v>0906-08</v>
      </c>
      <c r="AE223" s="85" t="str">
        <f t="shared" si="83"/>
        <v>aws s3 cp s3://rtdc.mdm.uploadarchive.raw/RTDC4039/ "%USERPROFILE%\AppData\Local\Temp\OnboardLogs"\RTDC4039\2017-03-08 --exclude "*" --recursive --include "*20170308*" &amp; "%USERPROFILE%\Documents\GitHub\mrs-test-scripts\Headless Mode &amp; Sideloading\WalkAndUnGZ.bat" "%USERPROFILE%\AppData\Local\Temp\OnboardLogs"\RTDC4039\2017-03-08 &amp; 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</v>
      </c>
      <c r="AF223" s="82" t="str">
        <f t="shared" si="84"/>
        <v>"C:\Program Files (x86)\AstroGrep\AstroGrep.exe" /e /r /s /spath="%USERPROFILE%\AppData\Local\Temp\OnboardLogs" /stypes="app*4039*20170309*" /stext=" 02:.+((SYSTEM_STATE.+slice.+state.+changed )|(ment ac)|(multiple cpu faults)|(system.+state.+changed )|(\[timeout)|(PRM\|1\|D)|(kpr)|(kdp)|(\|lc)|(penalty))"</v>
      </c>
      <c r="AG223" s="1" t="str">
        <f t="shared" si="85"/>
        <v>Other</v>
      </c>
      <c r="AH223" s="86" t="str">
        <f t="shared" si="86"/>
        <v>"%USERPROFILE%\Documents\GitHub\eaglep3\Utilities\RefineRTDCRunTimes.py" --tripid 906-08 --locoid 4039 --swversion DE.1.0.9.0 --startMP 300:58577 --initTime 2017-03-08T19:07:59 --startdatetime 2017-03-08T19:09:28 --delay 1 --endMP 300:21401 --enddatetime 2017-03-08T19:18:31 --enforcementcount 0 &gt;&gt;C:\Users\stu\Documents\GitHub\eaglep3-reporting\EC\2017-03-08-refined-times.txt</v>
      </c>
      <c r="AI223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{"issue":{"subject":"","project_id":79,"tracker_id":40,"status_id":1,"priority_id":2,"assigned_to_id":23,"start_date":"2017-03-08","description":"","custom_fields":[{"id":1,"name":"Subdivision","value":"Other"},{"id":4,"name":"Milepost","value":"2.1401"},{"id":17,"name":"Train ID","value":"906-08"},{"id":16,"name":"Locomotive ID","value":"4039"},{"id":130,"name":"Impact","value":""},{"id":150,"name":"Time of Event (Mountain Time)","value":"19:18:31"},{"id":151,"name":"Denver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88"/>
        <v>start /low /b %USERPROFILE%\Documents\GitHub\eaglep3\Utilities\DownloadLogsFromS3.py --loco 4039 --day 2017-03-08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2017-03-08-UncaughtWiMAX.txt</v>
      </c>
    </row>
    <row r="224" spans="1:40" x14ac:dyDescent="0.25">
      <c r="A224" s="33" t="s">
        <v>813</v>
      </c>
      <c r="B224" s="7">
        <v>4054</v>
      </c>
      <c r="C224" s="21" t="s">
        <v>242</v>
      </c>
      <c r="D224" s="21" t="s">
        <v>1007</v>
      </c>
      <c r="E224" s="13">
        <v>42802.943182870367</v>
      </c>
      <c r="F224" s="13">
        <v>42802.944097222222</v>
      </c>
      <c r="G224" s="7">
        <v>1</v>
      </c>
      <c r="H224" s="21" t="s">
        <v>1008</v>
      </c>
      <c r="I224" s="13">
        <v>42802.951203703706</v>
      </c>
      <c r="J224" s="7">
        <v>0</v>
      </c>
      <c r="K224" s="98" t="str">
        <f t="shared" si="73"/>
        <v>4053/4054</v>
      </c>
      <c r="L224" s="21" t="str">
        <f>VLOOKUP(A224,'Trips&amp;Operators'!$C$1:$G$99999,5,FALSE)</f>
        <v>CHANDLER KELVIN</v>
      </c>
      <c r="M224" s="6">
        <f t="shared" si="74"/>
        <v>7.1064814837882295E-3</v>
      </c>
      <c r="N224" s="7">
        <f t="shared" si="89"/>
        <v>10.233333336655051</v>
      </c>
      <c r="O224" s="7"/>
      <c r="P224" s="7"/>
      <c r="Q224" s="22"/>
      <c r="R224" s="22"/>
      <c r="S224" s="31">
        <f t="shared" si="90"/>
        <v>0</v>
      </c>
      <c r="T224" s="46" t="str">
        <f t="shared" si="75"/>
        <v>Southbound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76"/>
        <v>https://d0f6bd738d7f1b3e5a7ca70fe4ff75f0.us-east-1.aws.found.io/app/kibana#/discover/Steve-Slow-Train-Analysis-(2080s-and-2083s)?_g=(refreshInterval:(display:Off,pause:!f,section:0,value:0),time:(from:'2017-03-08T21:38:11-0700',mode:absolute,to:'2017-03-08T23:49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4" s="187" t="str">
        <f t="shared" si="77"/>
        <v>Y</v>
      </c>
      <c r="X224" s="187">
        <f t="shared" si="78"/>
        <v>2</v>
      </c>
      <c r="Y224" s="62">
        <f t="shared" si="79"/>
        <v>5.8581000000000003</v>
      </c>
      <c r="Z224" s="62">
        <f t="shared" si="80"/>
        <v>2.8763000000000001</v>
      </c>
      <c r="AA224" s="62">
        <f t="shared" si="81"/>
        <v>2.9818000000000002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2"/>
        <v>0908-08</v>
      </c>
      <c r="AE224" s="85" t="str">
        <f t="shared" si="83"/>
        <v>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 &amp; aws s3 cp s3://rtdc.mdm.uploadarchive.raw/RTDC4054/ "%USERPROFILE%\AppData\Local\Temp\OnboardLogs"\RTDC4054\2017-03-09 --exclude "*" --recursive --include "*20170309*" &amp; "%USERPROFILE%\Documents\GitHub\mrs-test-scripts\Headless Mode &amp; Sideloading\WalkAndUnGZ.bat" "%USERPROFILE%\AppData\Local\Temp\OnboardLogs"\RTDC4054\2017-03-09</v>
      </c>
      <c r="AF224" s="82" t="str">
        <f t="shared" si="84"/>
        <v>"C:\Program Files (x86)\AstroGrep\AstroGrep.exe" /e /r /s /spath="%USERPROFILE%\AppData\Local\Temp\OnboardLogs" /stypes="app*4054*20170309*" /stext=" 05:.+((SYSTEM_STATE.+slice.+state.+changed )|(ment ac)|(multiple cpu faults)|(system.+state.+changed )|(\[timeout)|(PRM\|1\|D)|(kpr)|(kdp)|(\|lc)|(penalty))"</v>
      </c>
      <c r="AG224" s="1" t="str">
        <f t="shared" si="85"/>
        <v>Other</v>
      </c>
      <c r="AH224" s="86" t="str">
        <f t="shared" si="86"/>
        <v>"%USERPROFILE%\Documents\GitHub\eaglep3\Utilities\RefineRTDCRunTimes.py" --tripid 908-08 --locoid 4054 --swversion DE.1.0.9.0 --startMP 300:58581 --initTime 2017-03-08T22:38:11 --startdatetime 2017-03-08T22:39:30 --delay 1 --endMP 300:28763 --enddatetime 2017-03-08T22:49:44 --enforcementcount 0 &gt;&gt;C:\Users\stu\Documents\GitHub\eaglep3-reporting\EC\2017-03-08-refined-times.txt</v>
      </c>
      <c r="AI224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{"issue":{"subject":"","project_id":79,"tracker_id":40,"status_id":1,"priority_id":2,"assigned_to_id":23,"start_date":"2017-03-08","description":"","custom_fields":[{"id":1,"name":"Subdivision","value":"Other"},{"id":4,"name":"Milepost","value":"2.8763"},{"id":17,"name":"Train ID","value":"908-08"},{"id":16,"name":"Locomotive ID","value":"4054"},{"id":130,"name":"Impact","value":""},{"id":150,"name":"Time of Event (Mountain Time)","value":"22:49:44"},{"id":151,"name":"Denver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88"/>
        <v>start /low /b %USERPROFILE%\Documents\GitHub\eaglep3\Utilities\DownloadLogsFromS3.py --loco 4054 --day 2017-03-08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"%USERPROFILE%\AppData\Local\Temp\OnboardLogs"\RTDC4054\*4054*20170309* | grep -SE "(Enforcement Action)|(\[TIMEOUT)|(CHR.+\|PRM\|1\|D.+(SWITCH|SIGNAL).+UNKNOWN)" - &gt;&gt; 2017-03-08-UncaughtWiMAX.txt</v>
      </c>
    </row>
    <row r="225" spans="1:40" x14ac:dyDescent="0.25">
      <c r="A225" s="33" t="s">
        <v>581</v>
      </c>
      <c r="B225" s="7">
        <v>4023</v>
      </c>
      <c r="C225" s="21" t="s">
        <v>242</v>
      </c>
      <c r="D225" s="21" t="s">
        <v>918</v>
      </c>
      <c r="E225" s="13">
        <v>42802.459074074075</v>
      </c>
      <c r="F225" s="13">
        <v>42802.463946759257</v>
      </c>
      <c r="G225" s="7">
        <v>6</v>
      </c>
      <c r="H225" s="21" t="s">
        <v>919</v>
      </c>
      <c r="I225" s="13">
        <v>42802.4690625</v>
      </c>
      <c r="J225" s="7">
        <v>0</v>
      </c>
      <c r="K225" s="98" t="str">
        <f t="shared" si="73"/>
        <v>4023/4024</v>
      </c>
      <c r="L225" s="21" t="str">
        <f>VLOOKUP(A225,'Trips&amp;Operators'!$C$1:$G$99999,5,FALSE)</f>
        <v>DE LA ROSA ALEX</v>
      </c>
      <c r="M225" s="6">
        <f t="shared" si="74"/>
        <v>5.1157407433493063E-3</v>
      </c>
      <c r="N225" s="7">
        <f t="shared" si="89"/>
        <v>7.3666666704230011</v>
      </c>
      <c r="O225" s="7"/>
      <c r="P225" s="7"/>
      <c r="Q225" s="22"/>
      <c r="R225" s="22"/>
      <c r="S225" s="31">
        <f t="shared" si="90"/>
        <v>0</v>
      </c>
      <c r="T225" s="46" t="e">
        <f t="shared" si="75"/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76"/>
        <v>https://d0f6bd738d7f1b3e5a7ca70fe4ff75f0.us-east-1.aws.found.io/app/kibana#/discover/Steve-Slow-Train-Analysis-(2080s-and-2083s)?_g=(refreshInterval:(display:Off,pause:!f,section:0,value:0),time:(from:'2017-03-08T10:01:04-0700',mode:absolute,to:'2017-03-08T12:15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5" s="187" t="str">
        <f t="shared" si="77"/>
        <v>Y</v>
      </c>
      <c r="X225" s="187" t="e">
        <f t="shared" si="78"/>
        <v>#VALUE!</v>
      </c>
      <c r="Y225" s="62">
        <f t="shared" si="79"/>
        <v>2.1896</v>
      </c>
      <c r="Z225" s="62">
        <f t="shared" si="80"/>
        <v>0.01</v>
      </c>
      <c r="AA225" s="62">
        <f t="shared" si="81"/>
        <v>2.1796000000000002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2"/>
        <v>50-08</v>
      </c>
      <c r="AE225" s="85" t="str">
        <f t="shared" si="83"/>
        <v>aws s3 cp s3://rtdc.mdm.uploadarchive.raw/RTDC4023/ "%USERPROFILE%\AppData\Local\Temp\OnboardLogs"\RTDC4023\2017-03-08 --exclude "*" --recursive --include "*20170308*" &amp; "%USERPROFILE%\Documents\GitHub\mrs-test-scripts\Headless Mode &amp; Sideloading\WalkAndUnGZ.bat" "%USERPROFILE%\AppData\Local\Temp\OnboardLogs"\RTDC4023\2017-03-08 &amp; aws s3 cp s3://rtdc.mdm.uploadarchive.raw/RTDC4023/ "%USERPROFILE%\AppData\Local\Temp\OnboardLogs"\RTDC4023\2017-03-09 --exclude "*" --recursive --include "*20170309*" &amp; "%USERPROFILE%\Documents\GitHub\mrs-test-scripts\Headless Mode &amp; Sideloading\WalkAndUnGZ.bat" "%USERPROFILE%\AppData\Local\Temp\OnboardLogs"\RTDC4023\2017-03-09</v>
      </c>
      <c r="AF225" s="82" t="str">
        <f t="shared" si="84"/>
        <v>"C:\Program Files (x86)\AstroGrep\AstroGrep.exe" /e /r /s /spath="%USERPROFILE%\AppData\Local\Temp\OnboardLogs" /stypes="app*4023*20170308*" /stext=" 18:.+((SYSTEM_STATE.+slice.+state.+changed )|(ment ac)|(multiple cpu faults)|(system.+state.+changed )|(\[timeout)|(PRM\|1\|D)|(kpr)|(kdp)|(\|lc)|(penalty))"</v>
      </c>
      <c r="AG225" s="1" t="str">
        <f t="shared" si="85"/>
        <v>Other</v>
      </c>
      <c r="AH225" s="86" t="str">
        <f t="shared" si="86"/>
        <v>"%USERPROFILE%\Documents\GitHub\eaglep3\Utilities\RefineRTDCRunTimes.py" --tripid 50-08 --locoid 4023 --swversion DE.1.0.9.0 --startMP 300:21896 --initTime 2017-03-08T11:01:04 --startdatetime 2017-03-08T11:08:05 --delay 6 --endMP 204:100 --enddatetime 2017-03-08T11:15:27 --enforcementcount 0 &gt;&gt;C:\Users\stu\Documents\GitHub\eaglep3-reporting\EC\2017-03-08-refined-times.txt</v>
      </c>
      <c r="AI225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{"issue":{"subject":"","project_id":79,"tracker_id":40,"status_id":1,"priority_id":2,"assigned_to_id":23,"start_date":"2017-03-08","description":"","custom_fields":[{"id":1,"name":"Subdivision","value":"Other"},{"id":4,"name":"Milepost","value":"0.01"},{"id":17,"name":"Train ID","value":"50-08"},{"id":16,"name":"Locomotive ID","value":"4023"},{"id":130,"name":"Impact","value":""},{"id":150,"name":"Time of Event (Mountain Time)","value":"11:15:27"},{"id":151,"name":"Denver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88"/>
        <v>start /low /b %USERPROFILE%\Documents\GitHub\eaglep3\Utilities\DownloadLogsFromS3.py --loco 4023 --day 2017-03-08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"%USERPROFILE%\AppData\Local\Temp\OnboardLogs"\RTDC4023\*4023*20170308* | grep -SE "(Enforcement Action)|(\[TIMEOUT)|(CHR.+\|PRM\|1\|D.+(SWITCH|SIGNAL).+UNKNOWN)" - &gt;&gt; 2017-03-08-UncaughtWiMAX.txt</v>
      </c>
    </row>
    <row r="226" spans="1:40" x14ac:dyDescent="0.25">
      <c r="A226" s="33" t="s">
        <v>615</v>
      </c>
      <c r="B226" s="7">
        <v>4063</v>
      </c>
      <c r="C226" s="21" t="s">
        <v>242</v>
      </c>
      <c r="D226" s="21" t="s">
        <v>920</v>
      </c>
      <c r="E226" s="13">
        <v>42802.196377314816</v>
      </c>
      <c r="F226" s="13">
        <v>42802.198553240742</v>
      </c>
      <c r="G226" s="7">
        <v>1</v>
      </c>
      <c r="H226" s="21" t="s">
        <v>921</v>
      </c>
      <c r="I226" s="13">
        <v>42802.207291666666</v>
      </c>
      <c r="J226" s="7">
        <v>0</v>
      </c>
      <c r="K226" s="98" t="str">
        <f t="shared" si="73"/>
        <v>4063/4064</v>
      </c>
      <c r="L226" s="21" t="str">
        <f>VLOOKUP(A226,'Trips&amp;Operators'!$C$1:$G$99999,5,FALSE)</f>
        <v>COOLAHAN JOHN</v>
      </c>
      <c r="M226" s="6">
        <f t="shared" si="74"/>
        <v>8.7384259240934625E-3</v>
      </c>
      <c r="N226" s="7">
        <f t="shared" si="89"/>
        <v>12.583333330694586</v>
      </c>
      <c r="O226" s="7"/>
      <c r="P226" s="7"/>
      <c r="Q226" s="22"/>
      <c r="R226" s="22"/>
      <c r="S226" s="31">
        <f t="shared" si="90"/>
        <v>0</v>
      </c>
      <c r="T226" s="46" t="e">
        <f t="shared" si="75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76"/>
        <v>https://d0f6bd738d7f1b3e5a7ca70fe4ff75f0.us-east-1.aws.found.io/app/kibana#/discover/Steve-Slow-Train-Analysis-(2080s-and-2083s)?_g=(refreshInterval:(display:Off,pause:!f,section:0,value:0),time:(from:'2017-03-08T03:42:47-0700',mode:absolute,to:'2017-03-08T05:58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6" s="187" t="str">
        <f t="shared" si="77"/>
        <v>Y</v>
      </c>
      <c r="X226" s="187" t="e">
        <f t="shared" si="78"/>
        <v>#VALUE!</v>
      </c>
      <c r="Y226" s="62">
        <f t="shared" si="79"/>
        <v>0.13109999999999999</v>
      </c>
      <c r="Z226" s="62">
        <f t="shared" si="80"/>
        <v>2.3304</v>
      </c>
      <c r="AA226" s="62">
        <f t="shared" si="81"/>
        <v>2.1993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2"/>
        <v>51-08</v>
      </c>
      <c r="AE226" s="85" t="str">
        <f t="shared" si="83"/>
        <v>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 &amp; 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</v>
      </c>
      <c r="AF226" s="82" t="str">
        <f t="shared" si="84"/>
        <v>"C:\Program Files (x86)\AstroGrep\AstroGrep.exe" /e /r /s /spath="%USERPROFILE%\AppData\Local\Temp\OnboardLogs" /stypes="app*4063*20170308*" /stext=" 11:.+((SYSTEM_STATE.+slice.+state.+changed )|(ment ac)|(multiple cpu faults)|(system.+state.+changed )|(\[timeout)|(PRM\|1\|D)|(kpr)|(kdp)|(\|lc)|(penalty))"</v>
      </c>
      <c r="AG226" s="1" t="str">
        <f t="shared" si="85"/>
        <v>Other</v>
      </c>
      <c r="AH226" s="86" t="str">
        <f t="shared" si="86"/>
        <v>"%USERPROFILE%\Documents\GitHub\eaglep3\Utilities\RefineRTDCRunTimes.py" --tripid 51-08 --locoid 4063 --swversion DE.1.0.9.0 --startMP 204:1311 --initTime 2017-03-08T04:42:47 --startdatetime 2017-03-08T04:45:55 --delay 1 --endMP 300:23304 --enddatetime 2017-03-08T04:58:30 --enforcementcount 0 &gt;&gt;C:\Users\stu\Documents\GitHub\eaglep3-reporting\EC\2017-03-08-refined-times.txt</v>
      </c>
      <c r="AI226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{"issue":{"subject":"","project_id":79,"tracker_id":40,"status_id":1,"priority_id":2,"assigned_to_id":23,"start_date":"2017-03-08","description":"","custom_fields":[{"id":1,"name":"Subdivision","value":"Other"},{"id":4,"name":"Milepost","value":"2.3304"},{"id":17,"name":"Train ID","value":"51-08"},{"id":16,"name":"Locomotive ID","value":"4063"},{"id":130,"name":"Impact","value":""},{"id":150,"name":"Time of Event (Mountain Time)","value":"04:58:30"},{"id":151,"name":"Denver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88"/>
        <v>start /low /b %USERPROFILE%\Documents\GitHub\eaglep3\Utilities\DownloadLogsFromS3.py --loco 4063 --day 2017-03-08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"%USERPROFILE%\AppData\Local\Temp\OnboardLogs"\RTDC4063\*4063*20170308* | grep -SE "(Enforcement Action)|(\[TIMEOUT)|(CHR.+\|PRM\|1\|D.+(SWITCH|SIGNAL).+UNKNOWN)" - &gt;&gt; 2017-03-08-UncaughtWiMAX.txt</v>
      </c>
    </row>
    <row r="227" spans="1:40" x14ac:dyDescent="0.25">
      <c r="A227" s="33" t="s">
        <v>615</v>
      </c>
      <c r="B227" s="7">
        <v>4063</v>
      </c>
      <c r="C227" s="21" t="s">
        <v>242</v>
      </c>
      <c r="D227" s="21" t="s">
        <v>922</v>
      </c>
      <c r="E227" s="13">
        <v>42802.186898148146</v>
      </c>
      <c r="F227" s="13">
        <v>42802.198553240742</v>
      </c>
      <c r="G227" s="7">
        <v>1</v>
      </c>
      <c r="H227" s="21" t="s">
        <v>923</v>
      </c>
      <c r="I227" s="13">
        <v>42802.207291666666</v>
      </c>
      <c r="J227" s="7">
        <v>0</v>
      </c>
      <c r="K227" s="98" t="str">
        <f t="shared" si="73"/>
        <v>4063/4064</v>
      </c>
      <c r="L227" s="21" t="str">
        <f>VLOOKUP(A227,'Trips&amp;Operators'!$C$1:$G$99999,5,FALSE)</f>
        <v>COOLAHAN JOHN</v>
      </c>
      <c r="M227" s="6">
        <f t="shared" si="74"/>
        <v>8.7384259240934625E-3</v>
      </c>
      <c r="N227" s="7">
        <f t="shared" si="89"/>
        <v>12.583333330694586</v>
      </c>
      <c r="O227" s="7"/>
      <c r="P227" s="7"/>
      <c r="Q227" s="22"/>
      <c r="R227" s="22"/>
      <c r="S227" s="31">
        <f t="shared" si="90"/>
        <v>0</v>
      </c>
      <c r="T227" s="46" t="e">
        <f t="shared" si="75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76"/>
        <v>https://d0f6bd738d7f1b3e5a7ca70fe4ff75f0.us-east-1.aws.found.io/app/kibana#/discover/Steve-Slow-Train-Analysis-(2080s-and-2083s)?_g=(refreshInterval:(display:Off,pause:!f,section:0,value:0),time:(from:'2017-03-08T03:29:08-0700',mode:absolute,to:'2017-03-08T05:58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7" s="187" t="str">
        <f t="shared" si="77"/>
        <v>Y</v>
      </c>
      <c r="X227" s="187" t="e">
        <f t="shared" si="78"/>
        <v>#VALUE!</v>
      </c>
      <c r="Y227" s="62">
        <f t="shared" si="79"/>
        <v>0.33700000000000002</v>
      </c>
      <c r="Z227" s="62">
        <f t="shared" si="80"/>
        <v>0.55020000000000002</v>
      </c>
      <c r="AA227" s="62">
        <f t="shared" si="81"/>
        <v>0.2132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2"/>
        <v>51-08</v>
      </c>
      <c r="AE227" s="85" t="str">
        <f t="shared" si="83"/>
        <v>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 &amp; 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</v>
      </c>
      <c r="AF227" s="82" t="str">
        <f t="shared" si="84"/>
        <v>"C:\Program Files (x86)\AstroGrep\AstroGrep.exe" /e /r /s /spath="%USERPROFILE%\AppData\Local\Temp\OnboardLogs" /stypes="app*4063*20170308*" /stext=" 11:.+((SYSTEM_STATE.+slice.+state.+changed )|(ment ac)|(multiple cpu faults)|(system.+state.+changed )|(\[timeout)|(PRM\|1\|D)|(kpr)|(kdp)|(\|lc)|(penalty))"</v>
      </c>
      <c r="AG227" s="1" t="str">
        <f t="shared" si="85"/>
        <v>Other</v>
      </c>
      <c r="AH227" s="86" t="str">
        <f t="shared" si="86"/>
        <v>"%USERPROFILE%\Documents\GitHub\eaglep3\Utilities\RefineRTDCRunTimes.py" --tripid 51-08 --locoid 4063 --swversion DE.1.0.9.0 --startMP 204:3370 --initTime 2017-03-08T04:29:08 --startdatetime 2017-03-08T04:45:55 --delay 1 --endMP 300:5502 --enddatetime 2017-03-08T04:58:30 --enforcementcount 0 &gt;&gt;C:\Users\stu\Documents\GitHub\eaglep3-reporting\EC\2017-03-08-refined-times.txt</v>
      </c>
      <c r="AI227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{"issue":{"subject":"","project_id":79,"tracker_id":40,"status_id":1,"priority_id":2,"assigned_to_id":23,"start_date":"2017-03-08","description":"","custom_fields":[{"id":1,"name":"Subdivision","value":"Other"},{"id":4,"name":"Milepost","value":"0.5502"},{"id":17,"name":"Train ID","value":"51-08"},{"id":16,"name":"Locomotive ID","value":"4063"},{"id":130,"name":"Impact","value":""},{"id":150,"name":"Time of Event (Mountain Time)","value":"04:58:30"},{"id":151,"name":"Denver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88"/>
        <v>start /low /b %USERPROFILE%\Documents\GitHub\eaglep3\Utilities\DownloadLogsFromS3.py --loco 4063 --day 2017-03-08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"%USERPROFILE%\AppData\Local\Temp\OnboardLogs"\RTDC4063\*4063*20170308* | grep -SE "(Enforcement Action)|(\[TIMEOUT)|(CHR.+\|PRM\|1\|D.+(SWITCH|SIGNAL).+UNKNOWN)" - &gt;&gt; 2017-03-08-UncaughtWiMAX.txt</v>
      </c>
    </row>
    <row r="228" spans="1:40" x14ac:dyDescent="0.25">
      <c r="A228" s="33" t="s">
        <v>615</v>
      </c>
      <c r="B228" s="7">
        <v>4063</v>
      </c>
      <c r="C228" s="21" t="s">
        <v>242</v>
      </c>
      <c r="D228" s="21" t="s">
        <v>924</v>
      </c>
      <c r="E228" s="13">
        <v>42802.178553240738</v>
      </c>
      <c r="F228" s="13">
        <v>42802.198553240742</v>
      </c>
      <c r="G228" s="7">
        <v>1</v>
      </c>
      <c r="H228" s="21" t="s">
        <v>925</v>
      </c>
      <c r="I228" s="13">
        <v>42802.207291666666</v>
      </c>
      <c r="J228" s="7">
        <v>0</v>
      </c>
      <c r="K228" s="98" t="str">
        <f t="shared" si="73"/>
        <v>4063/4064</v>
      </c>
      <c r="L228" s="21" t="str">
        <f>VLOOKUP(A228,'Trips&amp;Operators'!$C$1:$G$99999,5,FALSE)</f>
        <v>COOLAHAN JOHN</v>
      </c>
      <c r="M228" s="6">
        <f t="shared" si="74"/>
        <v>8.7384259240934625E-3</v>
      </c>
      <c r="N228" s="7">
        <f t="shared" si="89"/>
        <v>12.583333330694586</v>
      </c>
      <c r="O228" s="7"/>
      <c r="P228" s="7"/>
      <c r="Q228" s="22"/>
      <c r="R228" s="22"/>
      <c r="S228" s="31">
        <f t="shared" si="90"/>
        <v>0</v>
      </c>
      <c r="T228" s="46" t="e">
        <f t="shared" si="75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76"/>
        <v>https://d0f6bd738d7f1b3e5a7ca70fe4ff75f0.us-east-1.aws.found.io/app/kibana#/discover/Steve-Slow-Train-Analysis-(2080s-and-2083s)?_g=(refreshInterval:(display:Off,pause:!f,section:0,value:0),time:(from:'2017-03-08T03:17:07-0700',mode:absolute,to:'2017-03-08T05:58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8" s="187" t="str">
        <f t="shared" si="77"/>
        <v>Y</v>
      </c>
      <c r="X228" s="187" t="e">
        <f t="shared" si="78"/>
        <v>#VALUE!</v>
      </c>
      <c r="Y228" s="62">
        <f t="shared" si="79"/>
        <v>0.36849999999999999</v>
      </c>
      <c r="Z228" s="62">
        <f t="shared" si="80"/>
        <v>0.53700000000000003</v>
      </c>
      <c r="AA228" s="62">
        <f t="shared" si="81"/>
        <v>0.16850000000000004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2"/>
        <v>51-08</v>
      </c>
      <c r="AE228" s="85" t="str">
        <f t="shared" si="83"/>
        <v>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 &amp; 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</v>
      </c>
      <c r="AF228" s="82" t="str">
        <f t="shared" si="84"/>
        <v>"C:\Program Files (x86)\AstroGrep\AstroGrep.exe" /e /r /s /spath="%USERPROFILE%\AppData\Local\Temp\OnboardLogs" /stypes="app*4063*20170308*" /stext=" 11:.+((SYSTEM_STATE.+slice.+state.+changed )|(ment ac)|(multiple cpu faults)|(system.+state.+changed )|(\[timeout)|(PRM\|1\|D)|(kpr)|(kdp)|(\|lc)|(penalty))"</v>
      </c>
      <c r="AG228" s="1" t="str">
        <f t="shared" si="85"/>
        <v>Other</v>
      </c>
      <c r="AH228" s="86" t="str">
        <f t="shared" si="86"/>
        <v>"%USERPROFILE%\Documents\GitHub\eaglep3\Utilities\RefineRTDCRunTimes.py" --tripid 51-08 --locoid 4063 --swversion DE.1.0.9.0 --startMP 204:3685 --initTime 2017-03-08T04:17:07 --startdatetime 2017-03-08T04:45:55 --delay 1 --endMP 300:5370 --enddatetime 2017-03-08T04:58:30 --enforcementcount 0 &gt;&gt;C:\Users\stu\Documents\GitHub\eaglep3-reporting\EC\2017-03-08-refined-times.txt</v>
      </c>
      <c r="AI228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{"issue":{"subject":"","project_id":79,"tracker_id":40,"status_id":1,"priority_id":2,"assigned_to_id":23,"start_date":"2017-03-08","description":"","custom_fields":[{"id":1,"name":"Subdivision","value":"Other"},{"id":4,"name":"Milepost","value":"0.537"},{"id":17,"name":"Train ID","value":"51-08"},{"id":16,"name":"Locomotive ID","value":"4063"},{"id":130,"name":"Impact","value":""},{"id":150,"name":"Time of Event (Mountain Time)","value":"04:58:30"},{"id":151,"name":"Denver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88"/>
        <v>start /low /b %USERPROFILE%\Documents\GitHub\eaglep3\Utilities\DownloadLogsFromS3.py --loco 4063 --day 2017-03-08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"%USERPROFILE%\AppData\Local\Temp\OnboardLogs"\RTDC4063\*4063*20170308* | grep -SE "(Enforcement Action)|(\[TIMEOUT)|(CHR.+\|PRM\|1\|D.+(SWITCH|SIGNAL).+UNKNOWN)" - &gt;&gt; 2017-03-08-UncaughtWiMAX.txt</v>
      </c>
    </row>
    <row r="229" spans="1:40" x14ac:dyDescent="0.25">
      <c r="A229" s="33" t="s">
        <v>562</v>
      </c>
      <c r="B229" s="7">
        <v>4064</v>
      </c>
      <c r="C229" s="21" t="s">
        <v>242</v>
      </c>
      <c r="D229" s="21" t="s">
        <v>926</v>
      </c>
      <c r="E229" s="13">
        <v>42802.162893518522</v>
      </c>
      <c r="F229" s="13">
        <v>42802.193067129629</v>
      </c>
      <c r="G229" s="7">
        <v>3</v>
      </c>
      <c r="H229" s="21" t="s">
        <v>927</v>
      </c>
      <c r="I229" s="13">
        <v>42802.195370370369</v>
      </c>
      <c r="J229" s="7">
        <v>0</v>
      </c>
      <c r="K229" s="98" t="str">
        <f t="shared" si="73"/>
        <v>4063/4064</v>
      </c>
      <c r="L229" s="21" t="str">
        <f>VLOOKUP(A229,'Trips&amp;Operators'!$C$1:$G$99999,5,FALSE)</f>
        <v>COOLAHAN JOHN</v>
      </c>
      <c r="M229" s="6">
        <f t="shared" si="74"/>
        <v>2.3032407407299615E-3</v>
      </c>
      <c r="N229" s="7">
        <f t="shared" si="89"/>
        <v>3.3166666666511446</v>
      </c>
      <c r="O229" s="7"/>
      <c r="P229" s="7"/>
      <c r="Q229" s="22"/>
      <c r="R229" s="22"/>
      <c r="S229" s="31">
        <f t="shared" si="90"/>
        <v>0</v>
      </c>
      <c r="T229" s="46" t="e">
        <f t="shared" si="75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76"/>
        <v>https://d0f6bd738d7f1b3e5a7ca70fe4ff75f0.us-east-1.aws.found.io/app/kibana#/discover/Steve-Slow-Train-Analysis-(2080s-and-2083s)?_g=(refreshInterval:(display:Off,pause:!f,section:0,value:0),time:(from:'2017-03-08T02:54:34-0700',mode:absolute,to:'2017-03-08T05:41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9" s="187" t="str">
        <f t="shared" si="77"/>
        <v>Y</v>
      </c>
      <c r="X229" s="187" t="e">
        <f t="shared" si="78"/>
        <v>#VALUE!</v>
      </c>
      <c r="Y229" s="62">
        <f t="shared" si="79"/>
        <v>2.6633</v>
      </c>
      <c r="Z229" s="62">
        <f t="shared" si="80"/>
        <v>0.3347</v>
      </c>
      <c r="AA229" s="62">
        <f t="shared" si="81"/>
        <v>2.3285999999999998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2"/>
        <v>52-08</v>
      </c>
      <c r="AE229" s="85" t="str">
        <f t="shared" si="83"/>
        <v>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 &amp; aws s3 cp s3://rtdc.mdm.uploadarchive.raw/RTDC4064/ "%USERPROFILE%\AppData\Local\Temp\OnboardLogs"\RTDC4064\2017-03-09 --exclude "*" --recursive --include "*20170309*" &amp; "%USERPROFILE%\Documents\GitHub\mrs-test-scripts\Headless Mode &amp; Sideloading\WalkAndUnGZ.bat" "%USERPROFILE%\AppData\Local\Temp\OnboardLogs"\RTDC4064\2017-03-09</v>
      </c>
      <c r="AF229" s="82" t="str">
        <f t="shared" si="84"/>
        <v>"C:\Program Files (x86)\AstroGrep\AstroGrep.exe" /e /r /s /spath="%USERPROFILE%\AppData\Local\Temp\OnboardLogs" /stypes="app*4064*20170308*" /stext=" 11:.+((SYSTEM_STATE.+slice.+state.+changed )|(ment ac)|(multiple cpu faults)|(system.+state.+changed )|(\[timeout)|(PRM\|1\|D)|(kpr)|(kdp)|(\|lc)|(penalty))"</v>
      </c>
      <c r="AG229" s="1" t="str">
        <f t="shared" si="85"/>
        <v>Other</v>
      </c>
      <c r="AH229" s="86" t="str">
        <f t="shared" si="86"/>
        <v>"%USERPROFILE%\Documents\GitHub\eaglep3\Utilities\RefineRTDCRunTimes.py" --tripid 52-08 --locoid 4064 --swversion DE.1.0.9.0 --startMP 300:26633 --initTime 2017-03-08T03:54:34 --startdatetime 2017-03-08T04:38:01 --delay 3 --endMP 204:3347 --enddatetime 2017-03-08T04:41:20 --enforcementcount 0 &gt;&gt;C:\Users\stu\Documents\GitHub\eaglep3-reporting\EC\2017-03-08-refined-times.txt</v>
      </c>
      <c r="AI229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{"issue":{"subject":"","project_id":79,"tracker_id":40,"status_id":1,"priority_id":2,"assigned_to_id":23,"start_date":"2017-03-08","description":"","custom_fields":[{"id":1,"name":"Subdivision","value":"Other"},{"id":4,"name":"Milepost","value":"0.3347"},{"id":17,"name":"Train ID","value":"52-08"},{"id":16,"name":"Locomotive ID","value":"4064"},{"id":130,"name":"Impact","value":""},{"id":150,"name":"Time of Event (Mountain Time)","value":"04:41:20"},{"id":151,"name":"Denver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88"/>
        <v>start /low /b %USERPROFILE%\Documents\GitHub\eaglep3\Utilities\DownloadLogsFromS3.py --loco 4064 --day 2017-03-08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"%USERPROFILE%\AppData\Local\Temp\OnboardLogs"\RTDC4064\*4064*20170308* | grep -SE "(Enforcement Action)|(\[TIMEOUT)|(CHR.+\|PRM\|1\|D.+(SWITCH|SIGNAL).+UNKNOWN)" - &gt;&gt; 2017-03-08-UncaughtWiMAX.txt</v>
      </c>
    </row>
    <row r="230" spans="1:40" x14ac:dyDescent="0.25">
      <c r="A230" s="33" t="s">
        <v>562</v>
      </c>
      <c r="B230" s="7">
        <v>4064</v>
      </c>
      <c r="C230" s="21" t="s">
        <v>242</v>
      </c>
      <c r="D230" s="21" t="s">
        <v>928</v>
      </c>
      <c r="E230" s="13">
        <v>42802.182013888887</v>
      </c>
      <c r="F230" s="13">
        <v>42802.193067129629</v>
      </c>
      <c r="G230" s="7">
        <v>1</v>
      </c>
      <c r="H230" s="21" t="s">
        <v>929</v>
      </c>
      <c r="I230" s="13">
        <v>42802.195370370369</v>
      </c>
      <c r="J230" s="7">
        <v>0</v>
      </c>
      <c r="K230" s="98" t="str">
        <f t="shared" si="73"/>
        <v>4063/4064</v>
      </c>
      <c r="L230" s="21" t="str">
        <f>VLOOKUP(A230,'Trips&amp;Operators'!$C$1:$G$99999,5,FALSE)</f>
        <v>COOLAHAN JOHN</v>
      </c>
      <c r="M230" s="6">
        <f t="shared" si="74"/>
        <v>2.3032407407299615E-3</v>
      </c>
      <c r="N230" s="7">
        <f t="shared" si="89"/>
        <v>3.3166666666511446</v>
      </c>
      <c r="O230" s="7"/>
      <c r="P230" s="7"/>
      <c r="Q230" s="22"/>
      <c r="R230" s="22"/>
      <c r="S230" s="31">
        <f t="shared" si="90"/>
        <v>0</v>
      </c>
      <c r="T230" s="46" t="e">
        <f t="shared" si="75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76"/>
        <v>https://d0f6bd738d7f1b3e5a7ca70fe4ff75f0.us-east-1.aws.found.io/app/kibana#/discover/Steve-Slow-Train-Analysis-(2080s-and-2083s)?_g=(refreshInterval:(display:Off,pause:!f,section:0,value:0),time:(from:'2017-03-08T03:22:06-0700',mode:absolute,to:'2017-03-08T05:41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0" s="187" t="str">
        <f t="shared" si="77"/>
        <v>Y</v>
      </c>
      <c r="X230" s="187" t="e">
        <f t="shared" si="78"/>
        <v>#VALUE!</v>
      </c>
      <c r="Y230" s="62">
        <f t="shared" si="79"/>
        <v>0.5121</v>
      </c>
      <c r="Z230" s="62">
        <f t="shared" si="80"/>
        <v>0.3034</v>
      </c>
      <c r="AA230" s="62">
        <f t="shared" si="81"/>
        <v>0.2087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2"/>
        <v>52-08</v>
      </c>
      <c r="AE230" s="85" t="str">
        <f t="shared" si="83"/>
        <v>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 &amp; aws s3 cp s3://rtdc.mdm.uploadarchive.raw/RTDC4064/ "%USERPROFILE%\AppData\Local\Temp\OnboardLogs"\RTDC4064\2017-03-09 --exclude "*" --recursive --include "*20170309*" &amp; "%USERPROFILE%\Documents\GitHub\mrs-test-scripts\Headless Mode &amp; Sideloading\WalkAndUnGZ.bat" "%USERPROFILE%\AppData\Local\Temp\OnboardLogs"\RTDC4064\2017-03-09</v>
      </c>
      <c r="AF230" s="82" t="str">
        <f t="shared" si="84"/>
        <v>"C:\Program Files (x86)\AstroGrep\AstroGrep.exe" /e /r /s /spath="%USERPROFILE%\AppData\Local\Temp\OnboardLogs" /stypes="app*4064*20170308*" /stext=" 11:.+((SYSTEM_STATE.+slice.+state.+changed )|(ment ac)|(multiple cpu faults)|(system.+state.+changed )|(\[timeout)|(PRM\|1\|D)|(kpr)|(kdp)|(\|lc)|(penalty))"</v>
      </c>
      <c r="AG230" s="1" t="str">
        <f t="shared" si="85"/>
        <v>Other</v>
      </c>
      <c r="AH230" s="86" t="str">
        <f t="shared" si="86"/>
        <v>"%USERPROFILE%\Documents\GitHub\eaglep3\Utilities\RefineRTDCRunTimes.py" --tripid 52-08 --locoid 4064 --swversion DE.1.0.9.0 --startMP 300:5121 --initTime 2017-03-08T04:22:06 --startdatetime 2017-03-08T04:38:01 --delay 1 --endMP 204:3034 --enddatetime 2017-03-08T04:41:20 --enforcementcount 0 &gt;&gt;C:\Users\stu\Documents\GitHub\eaglep3-reporting\EC\2017-03-08-refined-times.txt</v>
      </c>
      <c r="AI230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{"issue":{"subject":"","project_id":79,"tracker_id":40,"status_id":1,"priority_id":2,"assigned_to_id":23,"start_date":"2017-03-08","description":"","custom_fields":[{"id":1,"name":"Subdivision","value":"Other"},{"id":4,"name":"Milepost","value":"0.3034"},{"id":17,"name":"Train ID","value":"52-08"},{"id":16,"name":"Locomotive ID","value":"4064"},{"id":130,"name":"Impact","value":""},{"id":150,"name":"Time of Event (Mountain Time)","value":"04:41:20"},{"id":151,"name":"Denver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88"/>
        <v>start /low /b %USERPROFILE%\Documents\GitHub\eaglep3\Utilities\DownloadLogsFromS3.py --loco 4064 --day 2017-03-08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"%USERPROFILE%\AppData\Local\Temp\OnboardLogs"\RTDC4064\*4064*20170308* | grep -SE "(Enforcement Action)|(\[TIMEOUT)|(CHR.+\|PRM\|1\|D.+(SWITCH|SIGNAL).+UNKNOWN)" - &gt;&gt; 2017-03-08-UncaughtWiMAX.txt</v>
      </c>
    </row>
    <row r="231" spans="1:40" x14ac:dyDescent="0.25">
      <c r="A231" s="33" t="s">
        <v>562</v>
      </c>
      <c r="B231" s="7">
        <v>4064</v>
      </c>
      <c r="C231" s="21" t="s">
        <v>242</v>
      </c>
      <c r="D231" s="21" t="s">
        <v>930</v>
      </c>
      <c r="E231" s="13">
        <v>42802.191307870373</v>
      </c>
      <c r="F231" s="13">
        <v>42802.193067129629</v>
      </c>
      <c r="G231" s="7">
        <v>1</v>
      </c>
      <c r="H231" s="21" t="s">
        <v>931</v>
      </c>
      <c r="I231" s="13">
        <v>42802.195370370369</v>
      </c>
      <c r="J231" s="7">
        <v>0</v>
      </c>
      <c r="K231" s="98" t="str">
        <f t="shared" si="73"/>
        <v>4063/4064</v>
      </c>
      <c r="L231" s="21" t="str">
        <f>VLOOKUP(A231,'Trips&amp;Operators'!$C$1:$G$99999,5,FALSE)</f>
        <v>COOLAHAN JOHN</v>
      </c>
      <c r="M231" s="6">
        <f t="shared" si="74"/>
        <v>2.3032407407299615E-3</v>
      </c>
      <c r="N231" s="7">
        <f t="shared" si="89"/>
        <v>3.3166666666511446</v>
      </c>
      <c r="O231" s="7"/>
      <c r="P231" s="7"/>
      <c r="Q231" s="22"/>
      <c r="R231" s="22"/>
      <c r="S231" s="31">
        <f t="shared" si="90"/>
        <v>0</v>
      </c>
      <c r="T231" s="46" t="e">
        <f t="shared" si="75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76"/>
        <v>https://d0f6bd738d7f1b3e5a7ca70fe4ff75f0.us-east-1.aws.found.io/app/kibana#/discover/Steve-Slow-Train-Analysis-(2080s-and-2083s)?_g=(refreshInterval:(display:Off,pause:!f,section:0,value:0),time:(from:'2017-03-08T03:35:29-0700',mode:absolute,to:'2017-03-08T05:41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1" s="187" t="str">
        <f t="shared" si="77"/>
        <v>Y</v>
      </c>
      <c r="X231" s="187" t="e">
        <f t="shared" si="78"/>
        <v>#VALUE!</v>
      </c>
      <c r="Y231" s="62">
        <f t="shared" si="79"/>
        <v>0.52170000000000005</v>
      </c>
      <c r="Z231" s="62">
        <f t="shared" si="80"/>
        <v>0.1002</v>
      </c>
      <c r="AA231" s="62">
        <f t="shared" si="81"/>
        <v>0.42150000000000004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82"/>
        <v>52-08</v>
      </c>
      <c r="AE231" s="85" t="str">
        <f t="shared" si="83"/>
        <v>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 &amp; aws s3 cp s3://rtdc.mdm.uploadarchive.raw/RTDC4064/ "%USERPROFILE%\AppData\Local\Temp\OnboardLogs"\RTDC4064\2017-03-09 --exclude "*" --recursive --include "*20170309*" &amp; "%USERPROFILE%\Documents\GitHub\mrs-test-scripts\Headless Mode &amp; Sideloading\WalkAndUnGZ.bat" "%USERPROFILE%\AppData\Local\Temp\OnboardLogs"\RTDC4064\2017-03-09</v>
      </c>
      <c r="AF231" s="82" t="str">
        <f t="shared" si="84"/>
        <v>"C:\Program Files (x86)\AstroGrep\AstroGrep.exe" /e /r /s /spath="%USERPROFILE%\AppData\Local\Temp\OnboardLogs" /stypes="app*4064*20170308*" /stext=" 11:.+((SYSTEM_STATE.+slice.+state.+changed )|(ment ac)|(multiple cpu faults)|(system.+state.+changed )|(\[timeout)|(PRM\|1\|D)|(kpr)|(kdp)|(\|lc)|(penalty))"</v>
      </c>
      <c r="AG231" s="1" t="str">
        <f t="shared" si="85"/>
        <v>Other</v>
      </c>
      <c r="AH231" s="86" t="str">
        <f t="shared" si="86"/>
        <v>"%USERPROFILE%\Documents\GitHub\eaglep3\Utilities\RefineRTDCRunTimes.py" --tripid 52-08 --locoid 4064 --swversion DE.1.0.9.0 --startMP 300:5217 --initTime 2017-03-08T04:35:29 --startdatetime 2017-03-08T04:38:01 --delay 1 --endMP 204:1002 --enddatetime 2017-03-08T04:41:20 --enforcementcount 0 &gt;&gt;C:\Users\stu\Documents\GitHub\eaglep3-reporting\EC\2017-03-08-refined-times.txt</v>
      </c>
      <c r="AI231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{"issue":{"subject":"","project_id":79,"tracker_id":40,"status_id":1,"priority_id":2,"assigned_to_id":23,"start_date":"2017-03-08","description":"","custom_fields":[{"id":1,"name":"Subdivision","value":"Other"},{"id":4,"name":"Milepost","value":"0.1002"},{"id":17,"name":"Train ID","value":"52-08"},{"id":16,"name":"Locomotive ID","value":"4064"},{"id":130,"name":"Impact","value":""},{"id":150,"name":"Time of Event (Mountain Time)","value":"04:41:20"},{"id":151,"name":"Denver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88"/>
        <v>start /low /b %USERPROFILE%\Documents\GitHub\eaglep3\Utilities\DownloadLogsFromS3.py --loco 4064 --day 2017-03-08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"%USERPROFILE%\AppData\Local\Temp\OnboardLogs"\RTDC4064\*4064*20170308* | grep -SE "(Enforcement Action)|(\[TIMEOUT)|(CHR.+\|PRM\|1\|D.+(SWITCH|SIGNAL).+UNKNOWN)" - &gt;&gt; 2017-03-08-UncaughtWiMAX.txt</v>
      </c>
    </row>
    <row r="232" spans="1:40" x14ac:dyDescent="0.25">
      <c r="A232" s="33" t="s">
        <v>697</v>
      </c>
      <c r="B232" s="7">
        <v>4024</v>
      </c>
      <c r="C232" s="21" t="s">
        <v>242</v>
      </c>
      <c r="D232" s="21" t="s">
        <v>932</v>
      </c>
      <c r="E232" s="13">
        <v>42802.487766203703</v>
      </c>
      <c r="F232" s="13">
        <v>42802.489270833335</v>
      </c>
      <c r="G232" s="7">
        <v>1</v>
      </c>
      <c r="H232" s="21" t="s">
        <v>933</v>
      </c>
      <c r="I232" s="13">
        <v>42802.496423611112</v>
      </c>
      <c r="J232" s="7">
        <v>0</v>
      </c>
      <c r="K232" s="98" t="str">
        <f t="shared" si="73"/>
        <v>4023/4024</v>
      </c>
      <c r="L232" s="21" t="str">
        <f>VLOOKUP(A232,'Trips&amp;Operators'!$C$1:$G$99999,5,FALSE)</f>
        <v>BONDS REYNALDO</v>
      </c>
      <c r="M232" s="6">
        <f t="shared" si="74"/>
        <v>7.1527777763549238E-3</v>
      </c>
      <c r="N232" s="7">
        <f t="shared" si="89"/>
        <v>10.29999999795109</v>
      </c>
      <c r="O232" s="7"/>
      <c r="P232" s="7"/>
      <c r="Q232" s="22"/>
      <c r="R232" s="22"/>
      <c r="S232" s="31">
        <f t="shared" si="90"/>
        <v>0</v>
      </c>
      <c r="T232" s="46" t="e">
        <f t="shared" si="75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76"/>
        <v>https://d0f6bd738d7f1b3e5a7ca70fe4ff75f0.us-east-1.aws.found.io/app/kibana#/discover/Steve-Slow-Train-Analysis-(2080s-and-2083s)?_g=(refreshInterval:(display:Off,pause:!f,section:0,value:0),time:(from:'2017-03-08T10:42:23-0700',mode:absolute,to:'2017-03-08T12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2" s="187" t="str">
        <f t="shared" si="77"/>
        <v>Y</v>
      </c>
      <c r="X232" s="187" t="e">
        <f t="shared" si="78"/>
        <v>#VALUE!</v>
      </c>
      <c r="Y232" s="62">
        <f t="shared" si="79"/>
        <v>3.9699999999999999E-2</v>
      </c>
      <c r="Z232" s="62">
        <f t="shared" si="80"/>
        <v>2.4260000000000002</v>
      </c>
      <c r="AA232" s="62">
        <f t="shared" si="81"/>
        <v>2.3863000000000003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82"/>
        <v>53-08</v>
      </c>
      <c r="AE232" s="85" t="str">
        <f t="shared" si="83"/>
        <v>aws s3 cp s3://rtdc.mdm.uploadarchive.raw/RTDC4024/ "%USERPROFILE%\AppData\Local\Temp\OnboardLogs"\RTDC4024\2017-03-08 --exclude "*" --recursive --include "*20170308*" &amp; "%USERPROFILE%\Documents\GitHub\mrs-test-scripts\Headless Mode &amp; Sideloading\WalkAndUnGZ.bat" "%USERPROFILE%\AppData\Local\Temp\OnboardLogs"\RTDC4024\2017-03-08 &amp; aws s3 cp s3://rtdc.mdm.uploadarchive.raw/RTDC4024/ "%USERPROFILE%\AppData\Local\Temp\OnboardLogs"\RTDC4024\2017-03-09 --exclude "*" --recursive --include "*20170309*" &amp; "%USERPROFILE%\Documents\GitHub\mrs-test-scripts\Headless Mode &amp; Sideloading\WalkAndUnGZ.bat" "%USERPROFILE%\AppData\Local\Temp\OnboardLogs"\RTDC4024\2017-03-09</v>
      </c>
      <c r="AF232" s="82" t="str">
        <f t="shared" si="84"/>
        <v>"C:\Program Files (x86)\AstroGrep\AstroGrep.exe" /e /r /s /spath="%USERPROFILE%\AppData\Local\Temp\OnboardLogs" /stypes="app*4024*20170308*" /stext=" 18:.+((SYSTEM_STATE.+slice.+state.+changed )|(ment ac)|(multiple cpu faults)|(system.+state.+changed )|(\[timeout)|(PRM\|1\|D)|(kpr)|(kdp)|(\|lc)|(penalty))"</v>
      </c>
      <c r="AG232" s="1" t="str">
        <f t="shared" si="85"/>
        <v>Other</v>
      </c>
      <c r="AH232" s="86" t="str">
        <f t="shared" si="86"/>
        <v>"%USERPROFILE%\Documents\GitHub\eaglep3\Utilities\RefineRTDCRunTimes.py" --tripid 53-08 --locoid 4024 --swversion DE.1.0.9.0 --startMP 204:397 --initTime 2017-03-08T11:42:23 --startdatetime 2017-03-08T11:44:33 --delay 1 --endMP 300:24260 --enddatetime 2017-03-08T11:54:51 --enforcementcount 0 &gt;&gt;C:\Users\stu\Documents\GitHub\eaglep3-reporting\EC\2017-03-08-refined-times.txt</v>
      </c>
      <c r="AI232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{"issue":{"subject":"","project_id":79,"tracker_id":40,"status_id":1,"priority_id":2,"assigned_to_id":23,"start_date":"2017-03-08","description":"","custom_fields":[{"id":1,"name":"Subdivision","value":"Other"},{"id":4,"name":"Milepost","value":"2.426"},{"id":17,"name":"Train ID","value":"53-08"},{"id":16,"name":"Locomotive ID","value":"4024"},{"id":130,"name":"Impact","value":""},{"id":150,"name":"Time of Event (Mountain Time)","value":"11:54:51"},{"id":151,"name":"Denver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88"/>
        <v>start /low /b %USERPROFILE%\Documents\GitHub\eaglep3\Utilities\DownloadLogsFromS3.py --loco 4024 --day 2017-03-08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"%USERPROFILE%\AppData\Local\Temp\OnboardLogs"\RTDC4024\*4024*20170308* | grep -SE "(Enforcement Action)|(\[TIMEOUT)|(CHR.+\|PRM\|1\|D.+(SWITCH|SIGNAL).+UNKNOWN)" - &gt;&gt; 2017-03-08-UncaughtWiMAX.txt</v>
      </c>
    </row>
    <row r="233" spans="1:40" x14ac:dyDescent="0.25">
      <c r="A233" s="33" t="s">
        <v>772</v>
      </c>
      <c r="B233" s="7">
        <v>4013</v>
      </c>
      <c r="C233" s="21" t="s">
        <v>242</v>
      </c>
      <c r="D233" s="21" t="s">
        <v>934</v>
      </c>
      <c r="E233" s="13">
        <v>42802.747037037036</v>
      </c>
      <c r="F233" s="13">
        <v>42802.751030092593</v>
      </c>
      <c r="G233" s="7">
        <v>3</v>
      </c>
      <c r="H233" s="21" t="s">
        <v>867</v>
      </c>
      <c r="I233" s="13">
        <v>42802.754872685182</v>
      </c>
      <c r="J233" s="7">
        <v>0</v>
      </c>
      <c r="K233" s="98" t="str">
        <f t="shared" si="73"/>
        <v>4013/4014</v>
      </c>
      <c r="L233" s="21" t="str">
        <f>VLOOKUP(A233,'Trips&amp;Operators'!$C$1:$G$99999,5,FALSE)</f>
        <v>MCREYNOLDS KYLE</v>
      </c>
      <c r="M233" s="6">
        <f t="shared" si="74"/>
        <v>3.8425925886258483E-3</v>
      </c>
      <c r="N233" s="7">
        <f t="shared" si="89"/>
        <v>5.5333333276212215</v>
      </c>
      <c r="O233" s="7"/>
      <c r="P233" s="7"/>
      <c r="Q233" s="22"/>
      <c r="R233" s="22"/>
      <c r="S233" s="31">
        <f t="shared" si="90"/>
        <v>0</v>
      </c>
      <c r="T233" s="46" t="e">
        <f t="shared" si="75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76"/>
        <v>https://d0f6bd738d7f1b3e5a7ca70fe4ff75f0.us-east-1.aws.found.io/app/kibana#/discover/Steve-Slow-Train-Analysis-(2080s-and-2083s)?_g=(refreshInterval:(display:Off,pause:!f,section:0,value:0),time:(from:'2017-03-08T16:55:44-0700',mode:absolute,to:'2017-03-08T19:07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3" s="187" t="str">
        <f t="shared" si="77"/>
        <v>Y</v>
      </c>
      <c r="X233" s="187" t="e">
        <f t="shared" si="78"/>
        <v>#VALUE!</v>
      </c>
      <c r="Y233" s="62">
        <f t="shared" si="79"/>
        <v>2.1833</v>
      </c>
      <c r="Z233" s="62">
        <f t="shared" si="80"/>
        <v>1.2500000000000001E-2</v>
      </c>
      <c r="AA233" s="62">
        <f t="shared" si="81"/>
        <v>2.1707999999999998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82"/>
        <v>70-08</v>
      </c>
      <c r="AE233" s="85" t="str">
        <f t="shared" si="83"/>
        <v>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 &amp; 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</v>
      </c>
      <c r="AF233" s="82" t="str">
        <f t="shared" si="84"/>
        <v>"C:\Program Files (x86)\AstroGrep\AstroGrep.exe" /e /r /s /spath="%USERPROFILE%\AppData\Local\Temp\OnboardLogs" /stypes="app*4013*20170309*" /stext=" 01:.+((SYSTEM_STATE.+slice.+state.+changed )|(ment ac)|(multiple cpu faults)|(system.+state.+changed )|(\[timeout)|(PRM\|1\|D)|(kpr)|(kdp)|(\|lc)|(penalty))"</v>
      </c>
      <c r="AG233" s="1" t="str">
        <f t="shared" si="85"/>
        <v>Other</v>
      </c>
      <c r="AH233" s="86" t="str">
        <f t="shared" si="86"/>
        <v>"%USERPROFILE%\Documents\GitHub\eaglep3\Utilities\RefineRTDCRunTimes.py" --tripid 70-08 --locoid 4013 --swversion DE.1.0.9.0 --startMP 300:21833 --initTime 2017-03-08T17:55:44 --startdatetime 2017-03-08T18:01:29 --delay 3 --endMP 204:125 --enddatetime 2017-03-08T18:07:01 --enforcementcount 0 &gt;&gt;C:\Users\stu\Documents\GitHub\eaglep3-reporting\EC\2017-03-08-refined-times.txt</v>
      </c>
      <c r="AI233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{"issue":{"subject":"","project_id":79,"tracker_id":40,"status_id":1,"priority_id":2,"assigned_to_id":23,"start_date":"2017-03-08","description":"","custom_fields":[{"id":1,"name":"Subdivision","value":"Other"},{"id":4,"name":"Milepost","value":"0.0125"},{"id":17,"name":"Train ID","value":"70-08"},{"id":16,"name":"Locomotive ID","value":"4013"},{"id":130,"name":"Impact","value":""},{"id":150,"name":"Time of Event (Mountain Time)","value":"18:07:01"},{"id":151,"name":"Denver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88"/>
        <v>start /low /b %USERPROFILE%\Documents\GitHub\eaglep3\Utilities\DownloadLogsFromS3.py --loco 4013 --day 2017-03-08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"%USERPROFILE%\AppData\Local\Temp\OnboardLogs"\RTDC4013\*4013*20170309* | grep -SE "(Enforcement Action)|(\[TIMEOUT)|(CHR.+\|PRM\|1\|D.+(SWITCH|SIGNAL).+UNKNOWN)" - &gt;&gt; 2017-03-08-UncaughtWiMAX.txt</v>
      </c>
    </row>
    <row r="234" spans="1:40" x14ac:dyDescent="0.25">
      <c r="A234" s="33" t="s">
        <v>772</v>
      </c>
      <c r="B234" s="7">
        <v>4013</v>
      </c>
      <c r="C234" s="21" t="s">
        <v>242</v>
      </c>
      <c r="D234" s="21" t="s">
        <v>935</v>
      </c>
      <c r="E234" s="13">
        <v>42802.7500462963</v>
      </c>
      <c r="F234" s="13">
        <v>42802.751030092593</v>
      </c>
      <c r="G234" s="7">
        <v>1</v>
      </c>
      <c r="H234" s="21" t="s">
        <v>867</v>
      </c>
      <c r="I234" s="13">
        <v>42802.754872685182</v>
      </c>
      <c r="J234" s="7">
        <v>0</v>
      </c>
      <c r="K234" s="98" t="str">
        <f t="shared" si="73"/>
        <v>4013/4014</v>
      </c>
      <c r="L234" s="21" t="str">
        <f>VLOOKUP(A234,'Trips&amp;Operators'!$C$1:$G$99999,5,FALSE)</f>
        <v>MCREYNOLDS KYLE</v>
      </c>
      <c r="M234" s="6">
        <f t="shared" si="74"/>
        <v>3.8425925886258483E-3</v>
      </c>
      <c r="N234" s="7">
        <f t="shared" si="89"/>
        <v>5.5333333276212215</v>
      </c>
      <c r="O234" s="7"/>
      <c r="P234" s="7"/>
      <c r="Q234" s="22"/>
      <c r="R234" s="22"/>
      <c r="S234" s="31">
        <f t="shared" si="90"/>
        <v>0</v>
      </c>
      <c r="T234" s="46" t="e">
        <f t="shared" si="75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76"/>
        <v>https://d0f6bd738d7f1b3e5a7ca70fe4ff75f0.us-east-1.aws.found.io/app/kibana#/discover/Steve-Slow-Train-Analysis-(2080s-and-2083s)?_g=(refreshInterval:(display:Off,pause:!f,section:0,value:0),time:(from:'2017-03-08T17:00:04-0700',mode:absolute,to:'2017-03-08T19:07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4" s="187" t="str">
        <f t="shared" si="77"/>
        <v>Y</v>
      </c>
      <c r="X234" s="187" t="e">
        <f t="shared" si="78"/>
        <v>#VALUE!</v>
      </c>
      <c r="Y234" s="62">
        <f t="shared" si="79"/>
        <v>2.1835</v>
      </c>
      <c r="Z234" s="62">
        <f t="shared" si="80"/>
        <v>1.2500000000000001E-2</v>
      </c>
      <c r="AA234" s="62">
        <f t="shared" si="81"/>
        <v>2.1709999999999998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82"/>
        <v>70-08</v>
      </c>
      <c r="AE234" s="85" t="str">
        <f t="shared" si="83"/>
        <v>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 &amp; 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</v>
      </c>
      <c r="AF234" s="82" t="str">
        <f t="shared" si="84"/>
        <v>"C:\Program Files (x86)\AstroGrep\AstroGrep.exe" /e /r /s /spath="%USERPROFILE%\AppData\Local\Temp\OnboardLogs" /stypes="app*4013*20170309*" /stext=" 01:.+((SYSTEM_STATE.+slice.+state.+changed )|(ment ac)|(multiple cpu faults)|(system.+state.+changed )|(\[timeout)|(PRM\|1\|D)|(kpr)|(kdp)|(\|lc)|(penalty))"</v>
      </c>
      <c r="AG234" s="1" t="str">
        <f t="shared" si="85"/>
        <v>Other</v>
      </c>
      <c r="AH234" s="86" t="str">
        <f t="shared" si="86"/>
        <v>"%USERPROFILE%\Documents\GitHub\eaglep3\Utilities\RefineRTDCRunTimes.py" --tripid 70-08 --locoid 4013 --swversion DE.1.0.9.0 --startMP 300:21835 --initTime 2017-03-08T18:00:04 --startdatetime 2017-03-08T18:01:29 --delay 1 --endMP 204:125 --enddatetime 2017-03-08T18:07:01 --enforcementcount 0 &gt;&gt;C:\Users\stu\Documents\GitHub\eaglep3-reporting\EC\2017-03-08-refined-times.txt</v>
      </c>
      <c r="AI234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{"issue":{"subject":"","project_id":79,"tracker_id":40,"status_id":1,"priority_id":2,"assigned_to_id":23,"start_date":"2017-03-08","description":"","custom_fields":[{"id":1,"name":"Subdivision","value":"Other"},{"id":4,"name":"Milepost","value":"0.0125"},{"id":17,"name":"Train ID","value":"70-08"},{"id":16,"name":"Locomotive ID","value":"4013"},{"id":130,"name":"Impact","value":""},{"id":150,"name":"Time of Event (Mountain Time)","value":"18:07:01"},{"id":151,"name":"Denver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88"/>
        <v>start /low /b %USERPROFILE%\Documents\GitHub\eaglep3\Utilities\DownloadLogsFromS3.py --loco 4013 --day 2017-03-08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"%USERPROFILE%\AppData\Local\Temp\OnboardLogs"\RTDC4013\*4013*20170309* | grep -SE "(Enforcement Action)|(\[TIMEOUT)|(CHR.+\|PRM\|1\|D.+(SWITCH|SIGNAL).+UNKNOWN)" - &gt;&gt; 2017-03-08-UncaughtWiMAX.txt</v>
      </c>
    </row>
    <row r="235" spans="1:40" x14ac:dyDescent="0.25">
      <c r="A235" s="33" t="s">
        <v>764</v>
      </c>
      <c r="B235" s="7">
        <v>4003</v>
      </c>
      <c r="C235" s="21" t="s">
        <v>242</v>
      </c>
      <c r="D235" s="21" t="s">
        <v>936</v>
      </c>
      <c r="E235" s="13">
        <v>42802.728831018518</v>
      </c>
      <c r="F235" s="13">
        <v>42802.731261574074</v>
      </c>
      <c r="G235" s="7">
        <v>1</v>
      </c>
      <c r="H235" s="21" t="s">
        <v>437</v>
      </c>
      <c r="I235" s="13">
        <v>42802.743958333333</v>
      </c>
      <c r="J235" s="7">
        <v>0</v>
      </c>
      <c r="K235" s="98" t="str">
        <f t="shared" si="73"/>
        <v>4003/4004</v>
      </c>
      <c r="L235" s="21" t="str">
        <f>VLOOKUP(A235,'Trips&amp;Operators'!$C$1:$G$99999,5,FALSE)</f>
        <v>MOSES BRADLEY</v>
      </c>
      <c r="M235" s="6">
        <f t="shared" si="74"/>
        <v>1.2696759258687962E-2</v>
      </c>
      <c r="N235" s="7">
        <f t="shared" si="89"/>
        <v>18.283333332510665</v>
      </c>
      <c r="O235" s="7"/>
      <c r="P235" s="7"/>
      <c r="Q235" s="22"/>
      <c r="R235" s="22"/>
      <c r="S235" s="31">
        <f t="shared" si="90"/>
        <v>0</v>
      </c>
      <c r="T235" s="46" t="e">
        <f t="shared" si="75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76"/>
        <v>https://d0f6bd738d7f1b3e5a7ca70fe4ff75f0.us-east-1.aws.found.io/app/kibana#/discover/Steve-Slow-Train-Analysis-(2080s-and-2083s)?_g=(refreshInterval:(display:Off,pause:!f,section:0,value:0),time:(from:'2017-03-08T16:29:31-0700',mode:absolute,to:'2017-03-08T18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5" s="187" t="str">
        <f t="shared" si="77"/>
        <v>Y</v>
      </c>
      <c r="X235" s="187" t="e">
        <f t="shared" si="78"/>
        <v>#VALUE!</v>
      </c>
      <c r="Y235" s="62">
        <f t="shared" si="79"/>
        <v>0.14649999999999999</v>
      </c>
      <c r="Z235" s="62">
        <f t="shared" si="80"/>
        <v>2.3308</v>
      </c>
      <c r="AA235" s="62">
        <f t="shared" si="81"/>
        <v>2.1842999999999999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82"/>
        <v>71-08</v>
      </c>
      <c r="AE235" s="85" t="str">
        <f t="shared" si="83"/>
        <v>aws s3 cp s3://rtdc.mdm.uploadarchive.raw/RTDC4003/ "%USERPROFILE%\AppData\Local\Temp\OnboardLogs"\RTDC4003\2017-03-08 --exclude "*" --recursive --include "*20170308*" &amp; "%USERPROFILE%\Documents\GitHub\mrs-test-scripts\Headless Mode &amp; Sideloading\WalkAndUnGZ.bat" "%USERPROFILE%\AppData\Local\Temp\OnboardLogs"\RTDC4003\2017-03-08 &amp; 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</v>
      </c>
      <c r="AF235" s="82" t="str">
        <f t="shared" si="84"/>
        <v>"C:\Program Files (x86)\AstroGrep\AstroGrep.exe" /e /r /s /spath="%USERPROFILE%\AppData\Local\Temp\OnboardLogs" /stypes="app*4003*20170309*" /stext=" 00:.+((SYSTEM_STATE.+slice.+state.+changed )|(ment ac)|(multiple cpu faults)|(system.+state.+changed )|(\[timeout)|(PRM\|1\|D)|(kpr)|(kdp)|(\|lc)|(penalty))"</v>
      </c>
      <c r="AG235" s="1" t="str">
        <f t="shared" si="85"/>
        <v>Other</v>
      </c>
      <c r="AH235" s="86" t="str">
        <f t="shared" si="86"/>
        <v>"%USERPROFILE%\Documents\GitHub\eaglep3\Utilities\RefineRTDCRunTimes.py" --tripid 71-08 --locoid 4003 --swversion DE.1.0.9.0 --startMP 204:1465 --initTime 2017-03-08T17:29:31 --startdatetime 2017-03-08T17:33:01 --delay 1 --endMP 300:23308 --enddatetime 2017-03-08T17:51:18 --enforcementcount 0 &gt;&gt;C:\Users\stu\Documents\GitHub\eaglep3-reporting\EC\2017-03-08-refined-times.txt</v>
      </c>
      <c r="AI235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{"issue":{"subject":"","project_id":79,"tracker_id":40,"status_id":1,"priority_id":2,"assigned_to_id":23,"start_date":"2017-03-08","description":"","custom_fields":[{"id":1,"name":"Subdivision","value":"Other"},{"id":4,"name":"Milepost","value":"2.3308"},{"id":17,"name":"Train ID","value":"71-08"},{"id":16,"name":"Locomotive ID","value":"4003"},{"id":130,"name":"Impact","value":""},{"id":150,"name":"Time of Event (Mountain Time)","value":"17:51:18"},{"id":151,"name":"Denver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88"/>
        <v>start /low /b %USERPROFILE%\Documents\GitHub\eaglep3\Utilities\DownloadLogsFromS3.py --loco 4003 --day 2017-03-08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"%USERPROFILE%\AppData\Local\Temp\OnboardLogs"\RTDC4003\*4003*20170309* | grep -SE "(Enforcement Action)|(\[TIMEOUT)|(CHR.+\|PRM\|1\|D.+(SWITCH|SIGNAL).+UNKNOWN)" - &gt;&gt; 2017-03-08-UncaughtWiMAX.txt</v>
      </c>
    </row>
    <row r="236" spans="1:40" x14ac:dyDescent="0.25">
      <c r="A236" s="33" t="s">
        <v>560</v>
      </c>
      <c r="B236" s="7">
        <v>4064</v>
      </c>
      <c r="C236" s="21" t="s">
        <v>242</v>
      </c>
      <c r="D236" s="21" t="s">
        <v>937</v>
      </c>
      <c r="E236" s="13">
        <v>42802.123344907406</v>
      </c>
      <c r="F236" s="13">
        <v>42802.146863425929</v>
      </c>
      <c r="G236" s="7">
        <v>1</v>
      </c>
      <c r="H236" s="21" t="s">
        <v>938</v>
      </c>
      <c r="I236" s="13">
        <v>42802.152789351851</v>
      </c>
      <c r="J236" s="7">
        <v>0</v>
      </c>
      <c r="K236" s="98" t="str">
        <f t="shared" si="73"/>
        <v>4063/4064</v>
      </c>
      <c r="L236" s="21" t="str">
        <f>VLOOKUP(A236,'Trips&amp;Operators'!$C$1:$G$99999,5,FALSE)</f>
        <v>YANG JAN</v>
      </c>
      <c r="M236" s="6">
        <f t="shared" si="74"/>
        <v>5.9259259214741178E-3</v>
      </c>
      <c r="N236" s="7">
        <f t="shared" si="89"/>
        <v>8.5333333269227296</v>
      </c>
      <c r="O236" s="7"/>
      <c r="P236" s="7"/>
      <c r="Q236" s="22"/>
      <c r="R236" s="22"/>
      <c r="S236" s="31">
        <f t="shared" si="90"/>
        <v>0</v>
      </c>
      <c r="T236" s="46" t="e">
        <f t="shared" si="75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76"/>
        <v>https://d0f6bd738d7f1b3e5a7ca70fe4ff75f0.us-east-1.aws.found.io/app/kibana#/discover/Steve-Slow-Train-Analysis-(2080s-and-2083s)?_g=(refreshInterval:(display:Off,pause:!f,section:0,value:0),time:(from:'2017-03-08T01:57:37-0700',mode:absolute,to:'2017-03-08T04:40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6" s="187" t="str">
        <f t="shared" si="77"/>
        <v>Y</v>
      </c>
      <c r="X236" s="187" t="e">
        <f t="shared" si="78"/>
        <v>#VALUE!</v>
      </c>
      <c r="Y236" s="62">
        <f t="shared" si="79"/>
        <v>5.8596000000000004</v>
      </c>
      <c r="Z236" s="62">
        <f t="shared" si="80"/>
        <v>1.4137999999999999</v>
      </c>
      <c r="AA236" s="62">
        <f t="shared" si="81"/>
        <v>4.4458000000000002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82"/>
        <v>72-07</v>
      </c>
      <c r="AE236" s="85" t="str">
        <f t="shared" si="83"/>
        <v>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 &amp; aws s3 cp s3://rtdc.mdm.uploadarchive.raw/RTDC4064/ "%USERPROFILE%\AppData\Local\Temp\OnboardLogs"\RTDC4064\2017-03-09 --exclude "*" --recursive --include "*20170309*" &amp; "%USERPROFILE%\Documents\GitHub\mrs-test-scripts\Headless Mode &amp; Sideloading\WalkAndUnGZ.bat" "%USERPROFILE%\AppData\Local\Temp\OnboardLogs"\RTDC4064\2017-03-09</v>
      </c>
      <c r="AF236" s="82" t="str">
        <f t="shared" si="84"/>
        <v>"C:\Program Files (x86)\AstroGrep\AstroGrep.exe" /e /r /s /spath="%USERPROFILE%\AppData\Local\Temp\OnboardLogs" /stypes="app*4064*20170308*" /stext=" 10:.+((SYSTEM_STATE.+slice.+state.+changed )|(ment ac)|(multiple cpu faults)|(system.+state.+changed )|(\[timeout)|(PRM\|1\|D)|(kpr)|(kdp)|(\|lc)|(penalty))"</v>
      </c>
      <c r="AG236" s="1" t="str">
        <f t="shared" si="85"/>
        <v>Other</v>
      </c>
      <c r="AH236" s="86" t="str">
        <f t="shared" si="86"/>
        <v>"%USERPROFILE%\Documents\GitHub\eaglep3\Utilities\RefineRTDCRunTimes.py" --tripid 72-07 --locoid 4064 --swversion DE.1.0.9.0 --startMP 300:58596 --initTime 2017-03-08T02:57:37 --startdatetime 2017-03-08T03:31:29 --delay 1 --endMP 300:14138 --enddatetime 2017-03-08T03:40:01 --enforcementcount 0 &gt;&gt;C:\Users\stu\Documents\GitHub\eaglep3-reporting\EC\2017-03-08-refined-times.txt</v>
      </c>
      <c r="AI236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{"issue":{"subject":"","project_id":79,"tracker_id":40,"status_id":1,"priority_id":2,"assigned_to_id":23,"start_date":"2017-03-08","description":"","custom_fields":[{"id":1,"name":"Subdivision","value":"Other"},{"id":4,"name":"Milepost","value":"1.4138"},{"id":17,"name":"Train ID","value":"72-07"},{"id":16,"name":"Locomotive ID","value":"4064"},{"id":130,"name":"Impact","value":""},{"id":150,"name":"Time of Event (Mountain Time)","value":"03:40:01"},{"id":151,"name":"Denver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88"/>
        <v>start /low /b %USERPROFILE%\Documents\GitHub\eaglep3\Utilities\DownloadLogsFromS3.py --loco 4064 --day 2017-03-08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"%USERPROFILE%\AppData\Local\Temp\OnboardLogs"\RTDC4064\*4064*20170308* | grep -SE "(Enforcement Action)|(\[TIMEOUT)|(CHR.+\|PRM\|1\|D.+(SWITCH|SIGNAL).+UNKNOWN)" - &gt;&gt; 2017-03-08-UncaughtWiMAX.txt</v>
      </c>
    </row>
    <row r="237" spans="1:40" x14ac:dyDescent="0.25">
      <c r="A237" s="33" t="s">
        <v>560</v>
      </c>
      <c r="B237" s="7">
        <v>4064</v>
      </c>
      <c r="C237" s="21" t="s">
        <v>242</v>
      </c>
      <c r="D237" s="21" t="s">
        <v>525</v>
      </c>
      <c r="E237" s="13">
        <v>42802.092268518521</v>
      </c>
      <c r="F237" s="13">
        <v>42802.124791666669</v>
      </c>
      <c r="G237" s="7">
        <v>1</v>
      </c>
      <c r="H237" s="21" t="s">
        <v>939</v>
      </c>
      <c r="I237" s="13">
        <v>42802.132881944446</v>
      </c>
      <c r="J237" s="7">
        <v>0</v>
      </c>
      <c r="K237" s="98" t="str">
        <f t="shared" si="73"/>
        <v>4063/4064</v>
      </c>
      <c r="L237" s="21" t="str">
        <f>VLOOKUP(A237,'Trips&amp;Operators'!$C$1:$G$99999,5,FALSE)</f>
        <v>YANG JAN</v>
      </c>
      <c r="M237" s="6">
        <f t="shared" si="74"/>
        <v>8.0902777772280388E-3</v>
      </c>
      <c r="N237" s="7">
        <f t="shared" si="89"/>
        <v>11.649999999208376</v>
      </c>
      <c r="O237" s="7"/>
      <c r="P237" s="7"/>
      <c r="Q237" s="22"/>
      <c r="R237" s="22"/>
      <c r="S237" s="31">
        <f t="shared" si="90"/>
        <v>0</v>
      </c>
      <c r="T237" s="46" t="e">
        <f t="shared" si="75"/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 t="shared" si="76"/>
        <v>https://d0f6bd738d7f1b3e5a7ca70fe4ff75f0.us-east-1.aws.found.io/app/kibana#/discover/Steve-Slow-Train-Analysis-(2080s-and-2083s)?_g=(refreshInterval:(display:Off,pause:!f,section:0,value:0),time:(from:'2017-03-08T01:12:52-0700',mode:absolute,to:'2017-03-08T04:11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7" s="187" t="str">
        <f t="shared" si="77"/>
        <v>Y</v>
      </c>
      <c r="X237" s="187" t="e">
        <f t="shared" ref="X237:X251" si="91">VALUE(LEFT(AD237,4))-VALUE(LEFT(AD236,4))</f>
        <v>#VALUE!</v>
      </c>
      <c r="Y237" s="62">
        <f t="shared" si="79"/>
        <v>5.8608000000000002</v>
      </c>
      <c r="Z237" s="62">
        <f t="shared" si="80"/>
        <v>0.53859999999999997</v>
      </c>
      <c r="AA237" s="62">
        <f t="shared" si="81"/>
        <v>5.3222000000000005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82"/>
        <v>72-07</v>
      </c>
      <c r="AE237" s="85" t="str">
        <f t="shared" si="83"/>
        <v>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 &amp; aws s3 cp s3://rtdc.mdm.uploadarchive.raw/RTDC4064/ "%USERPROFILE%\AppData\Local\Temp\OnboardLogs"\RTDC4064\2017-03-09 --exclude "*" --recursive --include "*20170309*" &amp; "%USERPROFILE%\Documents\GitHub\mrs-test-scripts\Headless Mode &amp; Sideloading\WalkAndUnGZ.bat" "%USERPROFILE%\AppData\Local\Temp\OnboardLogs"\RTDC4064\2017-03-09</v>
      </c>
      <c r="AF237" s="82" t="str">
        <f t="shared" si="84"/>
        <v>"C:\Program Files (x86)\AstroGrep\AstroGrep.exe" /e /r /s /spath="%USERPROFILE%\AppData\Local\Temp\OnboardLogs" /stypes="app*4064*20170308*" /stext=" 10:.+((SYSTEM_STATE.+slice.+state.+changed )|(ment ac)|(multiple cpu faults)|(system.+state.+changed )|(\[timeout)|(PRM\|1\|D)|(kpr)|(kdp)|(\|lc)|(penalty))"</v>
      </c>
      <c r="AG237" s="1" t="str">
        <f t="shared" si="85"/>
        <v>Other</v>
      </c>
      <c r="AH237" s="86" t="str">
        <f t="shared" si="86"/>
        <v>"%USERPROFILE%\Documents\GitHub\eaglep3\Utilities\RefineRTDCRunTimes.py" --tripid 72-07 --locoid 4064 --swversion DE.1.0.9.0 --startMP 300:58608 --initTime 2017-03-08T02:12:52 --startdatetime 2017-03-08T02:59:42 --delay 1 --endMP 300:5386 --enddatetime 2017-03-08T03:11:21 --enforcementcount 0 &gt;&gt;C:\Users\stu\Documents\GitHub\eaglep3-reporting\EC\2017-03-08-refined-times.txt</v>
      </c>
      <c r="AI237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{"issue":{"subject":"","project_id":79,"tracker_id":40,"status_id":1,"priority_id":2,"assigned_to_id":23,"start_date":"2017-03-08","description":"","custom_fields":[{"id":1,"name":"Subdivision","value":"Other"},{"id":4,"name":"Milepost","value":"0.5386"},{"id":17,"name":"Train ID","value":"72-07"},{"id":16,"name":"Locomotive ID","value":"4064"},{"id":130,"name":"Impact","value":""},{"id":150,"name":"Time of Event (Mountain Time)","value":"03:11:21"},{"id":151,"name":"Denver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88"/>
        <v>start /low /b %USERPROFILE%\Documents\GitHub\eaglep3\Utilities\DownloadLogsFromS3.py --loco 4064 --day 2017-03-08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"%USERPROFILE%\AppData\Local\Temp\OnboardLogs"\RTDC4064\*4064*20170308* | grep -SE "(Enforcement Action)|(\[TIMEOUT)|(CHR.+\|PRM\|1\|D.+(SWITCH|SIGNAL).+UNKNOWN)" - &gt;&gt; 2017-03-08-UncaughtWiMAX.txt</v>
      </c>
    </row>
    <row r="238" spans="1:40" x14ac:dyDescent="0.25">
      <c r="A238" s="33" t="s">
        <v>560</v>
      </c>
      <c r="B238" s="7">
        <v>4064</v>
      </c>
      <c r="C238" s="21" t="s">
        <v>242</v>
      </c>
      <c r="D238" s="21" t="s">
        <v>466</v>
      </c>
      <c r="E238" s="13">
        <v>42802.144861111112</v>
      </c>
      <c r="F238" s="13">
        <v>42802.146863425929</v>
      </c>
      <c r="G238" s="7">
        <v>1</v>
      </c>
      <c r="H238" s="21" t="s">
        <v>940</v>
      </c>
      <c r="I238" s="13">
        <v>42802.152789351851</v>
      </c>
      <c r="J238" s="7">
        <v>0</v>
      </c>
      <c r="K238" s="98" t="str">
        <f t="shared" si="73"/>
        <v>4063/4064</v>
      </c>
      <c r="L238" s="21" t="str">
        <f>VLOOKUP(A238,'Trips&amp;Operators'!$C$1:$G$99999,5,FALSE)</f>
        <v>YANG JAN</v>
      </c>
      <c r="M238" s="6">
        <f t="shared" si="74"/>
        <v>5.9259259214741178E-3</v>
      </c>
      <c r="N238" s="7">
        <f t="shared" si="89"/>
        <v>8.5333333269227296</v>
      </c>
      <c r="O238" s="7"/>
      <c r="P238" s="7"/>
      <c r="Q238" s="22"/>
      <c r="R238" s="22"/>
      <c r="S238" s="31">
        <f t="shared" si="90"/>
        <v>0</v>
      </c>
      <c r="T238" s="46" t="e">
        <f t="shared" si="75"/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 t="shared" si="76"/>
        <v>https://d0f6bd738d7f1b3e5a7ca70fe4ff75f0.us-east-1.aws.found.io/app/kibana#/discover/Steve-Slow-Train-Analysis-(2080s-and-2083s)?_g=(refreshInterval:(display:Off,pause:!f,section:0,value:0),time:(from:'2017-03-08T02:28:36-0700',mode:absolute,to:'2017-03-08T04:40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8" s="187" t="str">
        <f t="shared" si="77"/>
        <v>Y</v>
      </c>
      <c r="X238" s="187" t="e">
        <f t="shared" si="91"/>
        <v>#VALUE!</v>
      </c>
      <c r="Y238" s="62">
        <f t="shared" si="79"/>
        <v>5.8609</v>
      </c>
      <c r="Z238" s="62">
        <f t="shared" si="80"/>
        <v>2.6617999999999999</v>
      </c>
      <c r="AA238" s="62">
        <f t="shared" si="81"/>
        <v>3.1991000000000001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82"/>
        <v>72-07</v>
      </c>
      <c r="AE238" s="85" t="str">
        <f t="shared" si="83"/>
        <v>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 &amp; aws s3 cp s3://rtdc.mdm.uploadarchive.raw/RTDC4064/ "%USERPROFILE%\AppData\Local\Temp\OnboardLogs"\RTDC4064\2017-03-09 --exclude "*" --recursive --include "*20170309*" &amp; "%USERPROFILE%\Documents\GitHub\mrs-test-scripts\Headless Mode &amp; Sideloading\WalkAndUnGZ.bat" "%USERPROFILE%\AppData\Local\Temp\OnboardLogs"\RTDC4064\2017-03-09</v>
      </c>
      <c r="AF238" s="82" t="str">
        <f t="shared" si="84"/>
        <v>"C:\Program Files (x86)\AstroGrep\AstroGrep.exe" /e /r /s /spath="%USERPROFILE%\AppData\Local\Temp\OnboardLogs" /stypes="app*4064*20170308*" /stext=" 10:.+((SYSTEM_STATE.+slice.+state.+changed )|(ment ac)|(multiple cpu faults)|(system.+state.+changed )|(\[timeout)|(PRM\|1\|D)|(kpr)|(kdp)|(\|lc)|(penalty))"</v>
      </c>
      <c r="AG238" s="1" t="str">
        <f t="shared" si="85"/>
        <v>Other</v>
      </c>
      <c r="AH238" s="86" t="str">
        <f t="shared" si="86"/>
        <v>"%USERPROFILE%\Documents\GitHub\eaglep3\Utilities\RefineRTDCRunTimes.py" --tripid 72-07 --locoid 4064 --swversion DE.1.0.9.0 --startMP 300:58609 --initTime 2017-03-08T03:28:36 --startdatetime 2017-03-08T03:31:29 --delay 1 --endMP 300:26618 --enddatetime 2017-03-08T03:40:01 --enforcementcount 0 &gt;&gt;C:\Users\stu\Documents\GitHub\eaglep3-reporting\EC\2017-03-08-refined-times.txt</v>
      </c>
      <c r="AI238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{"issue":{"subject":"","project_id":79,"tracker_id":40,"status_id":1,"priority_id":2,"assigned_to_id":23,"start_date":"2017-03-08","description":"","custom_fields":[{"id":1,"name":"Subdivision","value":"Other"},{"id":4,"name":"Milepost","value":"2.6618"},{"id":17,"name":"Train ID","value":"72-07"},{"id":16,"name":"Locomotive ID","value":"4064"},{"id":130,"name":"Impact","value":""},{"id":150,"name":"Time of Event (Mountain Time)","value":"03:40:01"},{"id":151,"name":"Denver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88"/>
        <v>start /low /b %USERPROFILE%\Documents\GitHub\eaglep3\Utilities\DownloadLogsFromS3.py --loco 4064 --day 2017-03-08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"%USERPROFILE%\AppData\Local\Temp\OnboardLogs"\RTDC4064\*4064*20170308* | grep -SE "(Enforcement Action)|(\[TIMEOUT)|(CHR.+\|PRM\|1\|D.+(SWITCH|SIGNAL).+UNKNOWN)" - &gt;&gt; 2017-03-08-UncaughtWiMAX.txt</v>
      </c>
    </row>
    <row r="239" spans="1:40" x14ac:dyDescent="0.25">
      <c r="A239" s="33" t="s">
        <v>769</v>
      </c>
      <c r="B239" s="7">
        <v>4023</v>
      </c>
      <c r="C239" s="21" t="s">
        <v>242</v>
      </c>
      <c r="D239" s="21" t="s">
        <v>941</v>
      </c>
      <c r="E239" s="13">
        <v>42802.743541666663</v>
      </c>
      <c r="F239" s="13">
        <v>42802.744641203702</v>
      </c>
      <c r="G239" s="7">
        <v>1</v>
      </c>
      <c r="H239" s="21" t="s">
        <v>942</v>
      </c>
      <c r="I239" s="13">
        <v>42802.751388888886</v>
      </c>
      <c r="J239" s="7">
        <v>0</v>
      </c>
      <c r="K239" s="98" t="str">
        <f t="shared" si="73"/>
        <v>4023/4024</v>
      </c>
      <c r="L239" s="21" t="str">
        <f>VLOOKUP(A239,'Trips&amp;Operators'!$C$1:$G$99999,5,FALSE)</f>
        <v>NELSON ARIANE</v>
      </c>
      <c r="M239" s="6">
        <f t="shared" si="74"/>
        <v>6.7476851836545393E-3</v>
      </c>
      <c r="N239" s="7">
        <f t="shared" si="89"/>
        <v>9.7166666644625366</v>
      </c>
      <c r="O239" s="7"/>
      <c r="P239" s="7"/>
      <c r="Q239" s="22"/>
      <c r="R239" s="22"/>
      <c r="S239" s="31">
        <f t="shared" si="90"/>
        <v>0</v>
      </c>
      <c r="T239" s="46" t="e">
        <f t="shared" si="75"/>
        <v>#VALUE!</v>
      </c>
      <c r="U239" s="18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6" t="str">
        <f t="shared" si="76"/>
        <v>https://d0f6bd738d7f1b3e5a7ca70fe4ff75f0.us-east-1.aws.found.io/app/kibana#/discover/Steve-Slow-Train-Analysis-(2080s-and-2083s)?_g=(refreshInterval:(display:Off,pause:!f,section:0,value:0),time:(from:'2017-03-08T16:50:42-0700',mode:absolute,to:'2017-03-08T19:02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9" s="187" t="str">
        <f t="shared" si="77"/>
        <v>Y</v>
      </c>
      <c r="X239" s="187" t="e">
        <f t="shared" si="91"/>
        <v>#VALUE!</v>
      </c>
      <c r="Y239" s="62">
        <f t="shared" si="79"/>
        <v>2.347</v>
      </c>
      <c r="Z239" s="62">
        <f t="shared" si="80"/>
        <v>1.24E-2</v>
      </c>
      <c r="AA239" s="62">
        <f t="shared" si="81"/>
        <v>2.3346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82"/>
        <v>72-08</v>
      </c>
      <c r="AE239" s="85" t="str">
        <f t="shared" si="83"/>
        <v>aws s3 cp s3://rtdc.mdm.uploadarchive.raw/RTDC4023/ "%USERPROFILE%\AppData\Local\Temp\OnboardLogs"\RTDC4023\2017-03-08 --exclude "*" --recursive --include "*20170308*" &amp; "%USERPROFILE%\Documents\GitHub\mrs-test-scripts\Headless Mode &amp; Sideloading\WalkAndUnGZ.bat" "%USERPROFILE%\AppData\Local\Temp\OnboardLogs"\RTDC4023\2017-03-08 &amp; aws s3 cp s3://rtdc.mdm.uploadarchive.raw/RTDC4023/ "%USERPROFILE%\AppData\Local\Temp\OnboardLogs"\RTDC4023\2017-03-09 --exclude "*" --recursive --include "*20170309*" &amp; "%USERPROFILE%\Documents\GitHub\mrs-test-scripts\Headless Mode &amp; Sideloading\WalkAndUnGZ.bat" "%USERPROFILE%\AppData\Local\Temp\OnboardLogs"\RTDC4023\2017-03-09</v>
      </c>
      <c r="AF239" s="82" t="str">
        <f t="shared" si="84"/>
        <v>"C:\Program Files (x86)\AstroGrep\AstroGrep.exe" /e /r /s /spath="%USERPROFILE%\AppData\Local\Temp\OnboardLogs" /stypes="app*4023*20170309*" /stext=" 01:.+((SYSTEM_STATE.+slice.+state.+changed )|(ment ac)|(multiple cpu faults)|(system.+state.+changed )|(\[timeout)|(PRM\|1\|D)|(kpr)|(kdp)|(\|lc)|(penalty))"</v>
      </c>
      <c r="AG239" s="1" t="str">
        <f t="shared" si="85"/>
        <v>Other</v>
      </c>
      <c r="AH239" s="86" t="str">
        <f t="shared" si="86"/>
        <v>"%USERPROFILE%\Documents\GitHub\eaglep3\Utilities\RefineRTDCRunTimes.py" --tripid 72-08 --locoid 4023 --swversion DE.1.0.9.0 --startMP 300:23470 --initTime 2017-03-08T17:50:42 --startdatetime 2017-03-08T17:52:17 --delay 1 --endMP 204:124 --enddatetime 2017-03-08T18:02:00 --enforcementcount 0 &gt;&gt;C:\Users\stu\Documents\GitHub\eaglep3-reporting\EC\2017-03-08-refined-times.txt</v>
      </c>
      <c r="AI239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{"issue":{"subject":"","project_id":79,"tracker_id":40,"status_id":1,"priority_id":2,"assigned_to_id":23,"start_date":"2017-03-08","description":"","custom_fields":[{"id":1,"name":"Subdivision","value":"Other"},{"id":4,"name":"Milepost","value":"0.0124"},{"id":17,"name":"Train ID","value":"72-08"},{"id":16,"name":"Locomotive ID","value":"4023"},{"id":130,"name":"Impact","value":""},{"id":150,"name":"Time of Event (Mountain Time)","value":"18:02:00"},{"id":151,"name":"Denver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88"/>
        <v>start /low /b %USERPROFILE%\Documents\GitHub\eaglep3\Utilities\DownloadLogsFromS3.py --loco 4023 --day 2017-03-08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"%USERPROFILE%\AppData\Local\Temp\OnboardLogs"\RTDC4023\*4023*20170309* | grep -SE "(Enforcement Action)|(\[TIMEOUT)|(CHR.+\|PRM\|1\|D.+(SWITCH|SIGNAL).+UNKNOWN)" - &gt;&gt; 2017-03-08-UncaughtWiMAX.txt</v>
      </c>
    </row>
    <row r="240" spans="1:40" x14ac:dyDescent="0.25">
      <c r="A240" s="33" t="s">
        <v>596</v>
      </c>
      <c r="B240" s="7">
        <v>4063</v>
      </c>
      <c r="C240" s="21" t="s">
        <v>242</v>
      </c>
      <c r="D240" s="21" t="s">
        <v>943</v>
      </c>
      <c r="E240" s="13">
        <v>42802.076597222222</v>
      </c>
      <c r="F240" s="13">
        <v>42802.108703703707</v>
      </c>
      <c r="G240" s="7">
        <v>4</v>
      </c>
      <c r="H240" s="21" t="s">
        <v>944</v>
      </c>
      <c r="I240" s="13">
        <v>42802.122916666667</v>
      </c>
      <c r="J240" s="7">
        <v>0</v>
      </c>
      <c r="K240" s="98" t="str">
        <f t="shared" si="73"/>
        <v>4063/4064</v>
      </c>
      <c r="L240" s="21" t="str">
        <f>VLOOKUP(A240,'Trips&amp;Operators'!$C$1:$G$99999,5,FALSE)</f>
        <v>DUNCAN SHEILA</v>
      </c>
      <c r="M240" s="6">
        <f t="shared" si="74"/>
        <v>1.4212962960300501E-2</v>
      </c>
      <c r="N240" s="7">
        <f t="shared" si="89"/>
        <v>20.466666662832722</v>
      </c>
      <c r="O240" s="7"/>
      <c r="P240" s="7"/>
      <c r="Q240" s="22"/>
      <c r="R240" s="22"/>
      <c r="S240" s="31">
        <f t="shared" si="90"/>
        <v>0</v>
      </c>
      <c r="T240" s="46" t="e">
        <f t="shared" si="75"/>
        <v>#VALUE!</v>
      </c>
      <c r="U240" s="18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6" t="str">
        <f t="shared" si="76"/>
        <v>https://d0f6bd738d7f1b3e5a7ca70fe4ff75f0.us-east-1.aws.found.io/app/kibana#/discover/Steve-Slow-Train-Analysis-(2080s-and-2083s)?_g=(refreshInterval:(display:Off,pause:!f,section:0,value:0),time:(from:'2017-03-08T00:50:18-0700',mode:absolute,to:'2017-03-08T03:57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0" s="187" t="str">
        <f t="shared" si="77"/>
        <v>N</v>
      </c>
      <c r="X240" s="187" t="e">
        <f t="shared" si="91"/>
        <v>#VALUE!</v>
      </c>
      <c r="Y240" s="62">
        <f t="shared" si="79"/>
        <v>0.12529999999999999</v>
      </c>
      <c r="Z240" s="62">
        <f t="shared" si="80"/>
        <v>5.8921999999999999</v>
      </c>
      <c r="AA240" s="62">
        <f t="shared" si="81"/>
        <v>5.7668999999999997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82"/>
        <v>73-07</v>
      </c>
      <c r="AE240" s="85" t="str">
        <f t="shared" si="83"/>
        <v>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 &amp; 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</v>
      </c>
      <c r="AF240" s="82" t="str">
        <f t="shared" si="84"/>
        <v>"C:\Program Files (x86)\AstroGrep\AstroGrep.exe" /e /r /s /spath="%USERPROFILE%\AppData\Local\Temp\OnboardLogs" /stypes="app*4063*20170308*" /stext=" 09:.+((SYSTEM_STATE.+slice.+state.+changed )|(ment ac)|(multiple cpu faults)|(system.+state.+changed )|(\[timeout)|(PRM\|1\|D)|(kpr)|(kdp)|(\|lc)|(penalty))"</v>
      </c>
      <c r="AG240" s="1" t="str">
        <f t="shared" si="85"/>
        <v>Other</v>
      </c>
      <c r="AH240" s="86" t="str">
        <f t="shared" si="86"/>
        <v>"%USERPROFILE%\Documents\GitHub\eaglep3\Utilities\RefineRTDCRunTimes.py" --tripid 73-07 --locoid 4063 --swversion DE.1.0.9.0 --startMP 204:1253 --initTime 2017-03-08T01:50:18 --startdatetime 2017-03-08T02:36:32 --delay 4 --endMP 300:58922 --enddatetime 2017-03-08T02:57:00 --enforcementcount 0 &gt;&gt;C:\Users\stu\Documents\GitHub\eaglep3-reporting\EC\2017-03-08-refined-times.txt</v>
      </c>
      <c r="AI240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{"issue":{"subject":"","project_id":79,"tracker_id":40,"status_id":1,"priority_id":2,"assigned_to_id":23,"start_date":"2017-03-08","description":"","custom_fields":[{"id":1,"name":"Subdivision","value":"Other"},{"id":4,"name":"Milepost","value":"5.8922"},{"id":17,"name":"Train ID","value":"73-07"},{"id":16,"name":"Locomotive ID","value":"4063"},{"id":130,"name":"Impact","value":""},{"id":150,"name":"Time of Event (Mountain Time)","value":"02:57:00"},{"id":151,"name":"Denver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88"/>
        <v>start /low /b %USERPROFILE%\Documents\GitHub\eaglep3\Utilities\DownloadLogsFromS3.py --loco 4063 --day 2017-03-08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"%USERPROFILE%\AppData\Local\Temp\OnboardLogs"\RTDC4063\*4063*20170308* | grep -SE "(Enforcement Action)|(\[TIMEOUT)|(CHR.+\|PRM\|1\|D.+(SWITCH|SIGNAL).+UNKNOWN)" - &gt;&gt; 2017-03-08-UncaughtWiMAX.txt</v>
      </c>
    </row>
    <row r="241" spans="1:40" x14ac:dyDescent="0.25">
      <c r="A241" s="33" t="s">
        <v>596</v>
      </c>
      <c r="B241" s="7">
        <v>4063</v>
      </c>
      <c r="C241" s="21" t="s">
        <v>242</v>
      </c>
      <c r="D241" s="21" t="s">
        <v>945</v>
      </c>
      <c r="E241" s="13">
        <v>42802.133229166669</v>
      </c>
      <c r="F241" s="13">
        <v>42802.136655092596</v>
      </c>
      <c r="G241" s="7">
        <v>2</v>
      </c>
      <c r="H241" s="21" t="s">
        <v>946</v>
      </c>
      <c r="I241" s="13">
        <v>42802.144259259258</v>
      </c>
      <c r="J241" s="7">
        <v>0</v>
      </c>
      <c r="K241" s="98" t="str">
        <f t="shared" si="73"/>
        <v>4063/4064</v>
      </c>
      <c r="L241" s="21" t="str">
        <f>VLOOKUP(A241,'Trips&amp;Operators'!$C$1:$G$99999,5,FALSE)</f>
        <v>DUNCAN SHEILA</v>
      </c>
      <c r="M241" s="6">
        <f t="shared" si="74"/>
        <v>7.6041666616220027E-3</v>
      </c>
      <c r="N241" s="7">
        <f t="shared" si="89"/>
        <v>10.949999992735684</v>
      </c>
      <c r="O241" s="7"/>
      <c r="P241" s="7"/>
      <c r="Q241" s="22"/>
      <c r="R241" s="22"/>
      <c r="S241" s="31">
        <f t="shared" si="90"/>
        <v>0</v>
      </c>
      <c r="T241" s="46" t="e">
        <f t="shared" si="75"/>
        <v>#VALUE!</v>
      </c>
      <c r="U241" s="18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6" t="str">
        <f t="shared" si="76"/>
        <v>https://d0f6bd738d7f1b3e5a7ca70fe4ff75f0.us-east-1.aws.found.io/app/kibana#/discover/Steve-Slow-Train-Analysis-(2080s-and-2083s)?_g=(refreshInterval:(display:Off,pause:!f,section:0,value:0),time:(from:'2017-03-08T02:11:51-0700',mode:absolute,to:'2017-03-08T04:27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1" s="187" t="str">
        <f t="shared" si="77"/>
        <v>Y</v>
      </c>
      <c r="X241" s="187" t="e">
        <f t="shared" si="91"/>
        <v>#VALUE!</v>
      </c>
      <c r="Y241" s="62">
        <f t="shared" si="79"/>
        <v>1.4431</v>
      </c>
      <c r="Z241" s="62">
        <f t="shared" si="80"/>
        <v>5.8939000000000004</v>
      </c>
      <c r="AA241" s="62">
        <f t="shared" si="81"/>
        <v>4.4508000000000001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82"/>
        <v>73-07</v>
      </c>
      <c r="AE241" s="85" t="str">
        <f t="shared" si="83"/>
        <v>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 &amp; 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</v>
      </c>
      <c r="AF241" s="82" t="str">
        <f t="shared" si="84"/>
        <v>"C:\Program Files (x86)\AstroGrep\AstroGrep.exe" /e /r /s /spath="%USERPROFILE%\AppData\Local\Temp\OnboardLogs" /stypes="app*4063*20170308*" /stext=" 10:.+((SYSTEM_STATE.+slice.+state.+changed )|(ment ac)|(multiple cpu faults)|(system.+state.+changed )|(\[timeout)|(PRM\|1\|D)|(kpr)|(kdp)|(\|lc)|(penalty))"</v>
      </c>
      <c r="AG241" s="1" t="str">
        <f t="shared" si="85"/>
        <v>Other</v>
      </c>
      <c r="AH241" s="86" t="str">
        <f t="shared" si="86"/>
        <v>"%USERPROFILE%\Documents\GitHub\eaglep3\Utilities\RefineRTDCRunTimes.py" --tripid 73-07 --locoid 4063 --swversion DE.1.0.9.0 --startMP 300:14431 --initTime 2017-03-08T03:11:51 --startdatetime 2017-03-08T03:16:47 --delay 2 --endMP 300:58939 --enddatetime 2017-03-08T03:27:44 --enforcementcount 0 &gt;&gt;C:\Users\stu\Documents\GitHub\eaglep3-reporting\EC\2017-03-08-refined-times.txt</v>
      </c>
      <c r="AI241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{"issue":{"subject":"","project_id":79,"tracker_id":40,"status_id":1,"priority_id":2,"assigned_to_id":23,"start_date":"2017-03-08","description":"","custom_fields":[{"id":1,"name":"Subdivision","value":"Other"},{"id":4,"name":"Milepost","value":"5.8939"},{"id":17,"name":"Train ID","value":"73-07"},{"id":16,"name":"Locomotive ID","value":"4063"},{"id":130,"name":"Impact","value":""},{"id":150,"name":"Time of Event (Mountain Time)","value":"03:27:44"},{"id":151,"name":"Denver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88"/>
        <v>start /low /b %USERPROFILE%\Documents\GitHub\eaglep3\Utilities\DownloadLogsFromS3.py --loco 4063 --day 2017-03-08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"%USERPROFILE%\AppData\Local\Temp\OnboardLogs"\RTDC4063\*4063*20170308* | grep -SE "(Enforcement Action)|(\[TIMEOUT)|(CHR.+\|PRM\|1\|D.+(SWITCH|SIGNAL).+UNKNOWN)" - &gt;&gt; 2017-03-08-UncaughtWiMAX.txt</v>
      </c>
    </row>
    <row r="242" spans="1:40" x14ac:dyDescent="0.25">
      <c r="A242" s="33" t="s">
        <v>596</v>
      </c>
      <c r="B242" s="7">
        <v>4063</v>
      </c>
      <c r="C242" s="21" t="s">
        <v>242</v>
      </c>
      <c r="D242" s="21" t="s">
        <v>947</v>
      </c>
      <c r="E242" s="13">
        <v>42802.106504629628</v>
      </c>
      <c r="F242" s="13">
        <v>42802.136655092596</v>
      </c>
      <c r="G242" s="7">
        <v>2</v>
      </c>
      <c r="H242" s="21" t="s">
        <v>520</v>
      </c>
      <c r="I242" s="13">
        <v>42802.144259259258</v>
      </c>
      <c r="J242" s="7">
        <v>0</v>
      </c>
      <c r="K242" s="98" t="str">
        <f t="shared" si="73"/>
        <v>4063/4064</v>
      </c>
      <c r="L242" s="21" t="str">
        <f>VLOOKUP(A242,'Trips&amp;Operators'!$C$1:$G$99999,5,FALSE)</f>
        <v>DUNCAN SHEILA</v>
      </c>
      <c r="M242" s="6">
        <f t="shared" si="74"/>
        <v>7.6041666616220027E-3</v>
      </c>
      <c r="N242" s="7">
        <f t="shared" ref="N242:N251" si="92">24*60*SUM($M242:$M242)</f>
        <v>10.949999992735684</v>
      </c>
      <c r="O242" s="7"/>
      <c r="P242" s="7"/>
      <c r="Q242" s="22"/>
      <c r="R242" s="22"/>
      <c r="S242" s="31">
        <f t="shared" ref="S242:S251" si="93">SUM(U242:U242)/IF(AG242="EC",12,1)</f>
        <v>0</v>
      </c>
      <c r="T242" s="46" t="e">
        <f t="shared" si="75"/>
        <v>#VALUE!</v>
      </c>
      <c r="U242" s="18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6" t="str">
        <f t="shared" si="76"/>
        <v>https://d0f6bd738d7f1b3e5a7ca70fe4ff75f0.us-east-1.aws.found.io/app/kibana#/discover/Steve-Slow-Train-Analysis-(2080s-and-2083s)?_g=(refreshInterval:(display:Off,pause:!f,section:0,value:0),time:(from:'2017-03-08T01:33:22-0700',mode:absolute,to:'2017-03-08T04:27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2" s="187" t="str">
        <f t="shared" si="77"/>
        <v>Y</v>
      </c>
      <c r="X242" s="187" t="e">
        <f t="shared" si="91"/>
        <v>#VALUE!</v>
      </c>
      <c r="Y242" s="62">
        <f t="shared" si="79"/>
        <v>0.56979999999999997</v>
      </c>
      <c r="Z242" s="62">
        <f t="shared" si="80"/>
        <v>5.8920000000000003</v>
      </c>
      <c r="AA242" s="62">
        <f t="shared" si="81"/>
        <v>5.3222000000000005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82"/>
        <v>73-07</v>
      </c>
      <c r="AE242" s="85" t="str">
        <f t="shared" si="83"/>
        <v>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 &amp; 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</v>
      </c>
      <c r="AF242" s="82" t="str">
        <f t="shared" si="84"/>
        <v>"C:\Program Files (x86)\AstroGrep\AstroGrep.exe" /e /r /s /spath="%USERPROFILE%\AppData\Local\Temp\OnboardLogs" /stypes="app*4063*20170308*" /stext=" 10:.+((SYSTEM_STATE.+slice.+state.+changed )|(ment ac)|(multiple cpu faults)|(system.+state.+changed )|(\[timeout)|(PRM\|1\|D)|(kpr)|(kdp)|(\|lc)|(penalty))"</v>
      </c>
      <c r="AG242" s="1" t="str">
        <f t="shared" si="85"/>
        <v>Other</v>
      </c>
      <c r="AH242" s="86" t="str">
        <f t="shared" si="86"/>
        <v>"%USERPROFILE%\Documents\GitHub\eaglep3\Utilities\RefineRTDCRunTimes.py" --tripid 73-07 --locoid 4063 --swversion DE.1.0.9.0 --startMP 300:5698 --initTime 2017-03-08T02:33:22 --startdatetime 2017-03-08T03:16:47 --delay 2 --endMP 300:58920 --enddatetime 2017-03-08T03:27:44 --enforcementcount 0 &gt;&gt;C:\Users\stu\Documents\GitHub\eaglep3-reporting\EC\2017-03-08-refined-times.txt</v>
      </c>
      <c r="AI242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{"issue":{"subject":"","project_id":79,"tracker_id":40,"status_id":1,"priority_id":2,"assigned_to_id":23,"start_date":"2017-03-08","description":"","custom_fields":[{"id":1,"name":"Subdivision","value":"Other"},{"id":4,"name":"Milepost","value":"5.892"},{"id":17,"name":"Train ID","value":"73-07"},{"id":16,"name":"Locomotive ID","value":"4063"},{"id":130,"name":"Impact","value":""},{"id":150,"name":"Time of Event (Mountain Time)","value":"03:27:44"},{"id":151,"name":"Denver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48"/>
      <c r="AK242" s="48"/>
      <c r="AL242" s="48"/>
      <c r="AM242" s="154" t="str">
        <f t="shared" si="88"/>
        <v>start /low /b %USERPROFILE%\Documents\GitHub\eaglep3\Utilities\DownloadLogsFromS3.py --loco 4063 --day 2017-03-08</v>
      </c>
      <c r="AN242" s="163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"%USERPROFILE%\AppData\Local\Temp\OnboardLogs"\RTDC4063\*4063*20170308* | grep -SE "(Enforcement Action)|(\[TIMEOUT)|(CHR.+\|PRM\|1\|D.+(SWITCH|SIGNAL).+UNKNOWN)" - &gt;&gt; 2017-03-08-UncaughtWiMAX.txt</v>
      </c>
    </row>
    <row r="243" spans="1:40" x14ac:dyDescent="0.25">
      <c r="A243" s="33" t="s">
        <v>777</v>
      </c>
      <c r="B243" s="7">
        <v>4024</v>
      </c>
      <c r="C243" s="21" t="s">
        <v>242</v>
      </c>
      <c r="D243" s="21" t="s">
        <v>234</v>
      </c>
      <c r="E243" s="13">
        <v>42802.765162037038</v>
      </c>
      <c r="F243" s="13">
        <v>42802.770624999997</v>
      </c>
      <c r="G243" s="7">
        <v>1</v>
      </c>
      <c r="H243" s="21" t="s">
        <v>437</v>
      </c>
      <c r="I243" s="13">
        <v>42802.776122685187</v>
      </c>
      <c r="J243" s="7">
        <v>0</v>
      </c>
      <c r="K243" s="98" t="str">
        <f t="shared" si="73"/>
        <v>4023/4024</v>
      </c>
      <c r="L243" s="21" t="str">
        <f>VLOOKUP(A243,'Trips&amp;Operators'!$C$1:$G$99999,5,FALSE)</f>
        <v>DAVIS MICHAEL</v>
      </c>
      <c r="M243" s="6">
        <f t="shared" si="74"/>
        <v>5.4976851897663437E-3</v>
      </c>
      <c r="N243" s="7">
        <f t="shared" si="92"/>
        <v>7.9166666732635349</v>
      </c>
      <c r="O243" s="7"/>
      <c r="P243" s="7"/>
      <c r="Q243" s="22"/>
      <c r="R243" s="22"/>
      <c r="S243" s="31">
        <f t="shared" si="93"/>
        <v>0</v>
      </c>
      <c r="T243" s="46" t="e">
        <f t="shared" si="75"/>
        <v>#VALUE!</v>
      </c>
      <c r="U243" s="18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6" t="str">
        <f t="shared" si="76"/>
        <v>https://d0f6bd738d7f1b3e5a7ca70fe4ff75f0.us-east-1.aws.found.io/app/kibana#/discover/Steve-Slow-Train-Analysis-(2080s-and-2083s)?_g=(refreshInterval:(display:Off,pause:!f,section:0,value:0),time:(from:'2017-03-08T17:21:50-0700',mode:absolute,to:'2017-03-08T19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3" s="187" t="str">
        <f t="shared" si="77"/>
        <v>Y</v>
      </c>
      <c r="X243" s="187" t="e">
        <f t="shared" si="91"/>
        <v>#VALUE!</v>
      </c>
      <c r="Y243" s="62">
        <f t="shared" si="79"/>
        <v>4.4400000000000002E-2</v>
      </c>
      <c r="Z243" s="62">
        <f t="shared" si="80"/>
        <v>2.3308</v>
      </c>
      <c r="AA243" s="62">
        <f t="shared" si="81"/>
        <v>2.2864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82"/>
        <v>73-08</v>
      </c>
      <c r="AE243" s="85" t="str">
        <f t="shared" si="83"/>
        <v>aws s3 cp s3://rtdc.mdm.uploadarchive.raw/RTDC4024/ "%USERPROFILE%\AppData\Local\Temp\OnboardLogs"\RTDC4024\2017-03-08 --exclude "*" --recursive --include "*20170308*" &amp; "%USERPROFILE%\Documents\GitHub\mrs-test-scripts\Headless Mode &amp; Sideloading\WalkAndUnGZ.bat" "%USERPROFILE%\AppData\Local\Temp\OnboardLogs"\RTDC4024\2017-03-08 &amp; aws s3 cp s3://rtdc.mdm.uploadarchive.raw/RTDC4024/ "%USERPROFILE%\AppData\Local\Temp\OnboardLogs"\RTDC4024\2017-03-09 --exclude "*" --recursive --include "*20170309*" &amp; "%USERPROFILE%\Documents\GitHub\mrs-test-scripts\Headless Mode &amp; Sideloading\WalkAndUnGZ.bat" "%USERPROFILE%\AppData\Local\Temp\OnboardLogs"\RTDC4024\2017-03-09</v>
      </c>
      <c r="AF243" s="82" t="str">
        <f t="shared" si="84"/>
        <v>"C:\Program Files (x86)\AstroGrep\AstroGrep.exe" /e /r /s /spath="%USERPROFILE%\AppData\Local\Temp\OnboardLogs" /stypes="app*4024*20170309*" /stext=" 01:.+((SYSTEM_STATE.+slice.+state.+changed )|(ment ac)|(multiple cpu faults)|(system.+state.+changed )|(\[timeout)|(PRM\|1\|D)|(kpr)|(kdp)|(\|lc)|(penalty))"</v>
      </c>
      <c r="AG243" s="1" t="str">
        <f t="shared" si="85"/>
        <v>Other</v>
      </c>
      <c r="AH243" s="86" t="str">
        <f t="shared" si="86"/>
        <v>"%USERPROFILE%\Documents\GitHub\eaglep3\Utilities\RefineRTDCRunTimes.py" --tripid 73-08 --locoid 4024 --swversion DE.1.0.9.0 --startMP 204:444 --initTime 2017-03-08T18:21:50 --startdatetime 2017-03-08T18:29:42 --delay 1 --endMP 300:23308 --enddatetime 2017-03-08T18:37:37 --enforcementcount 0 &gt;&gt;C:\Users\stu\Documents\GitHub\eaglep3-reporting\EC\2017-03-08-refined-times.txt</v>
      </c>
      <c r="AI243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{"issue":{"subject":"","project_id":79,"tracker_id":40,"status_id":1,"priority_id":2,"assigned_to_id":23,"start_date":"2017-03-08","description":"","custom_fields":[{"id":1,"name":"Subdivision","value":"Other"},{"id":4,"name":"Milepost","value":"2.3308"},{"id":17,"name":"Train ID","value":"73-08"},{"id":16,"name":"Locomotive ID","value":"4024"},{"id":130,"name":"Impact","value":""},{"id":150,"name":"Time of Event (Mountain Time)","value":"18:37:37"},{"id":151,"name":"Denver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48"/>
      <c r="AK243" s="48"/>
      <c r="AL243" s="48"/>
      <c r="AM243" s="154" t="str">
        <f t="shared" si="88"/>
        <v>start /low /b %USERPROFILE%\Documents\GitHub\eaglep3\Utilities\DownloadLogsFromS3.py --loco 4024 --day 2017-03-08</v>
      </c>
      <c r="AN243" s="163" t="str">
        <f>"grep -SE -B400 ""CHR.+\|PRM\|1\|D.+(SWITCH|SIGNAL).+UNKNOWN"" "&amp;search_path&amp;"\RTDC"&amp;B243&amp;"\*"&amp;B243&amp;"*"&amp;TEXT(AVERAGE(F243,I243)-utc_offset/24,"YYYYMMDD")&amp;"*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"%USERPROFILE%\AppData\Local\Temp\OnboardLogs"\RTDC4024\*4024*20170309* | grep -SE "(Enforcement Action)|(\[TIMEOUT)|(CHR.+\|PRM\|1\|D.+(SWITCH|SIGNAL).+UNKNOWN)" - &gt;&gt; 2017-03-08-UncaughtWiMAX.txt</v>
      </c>
    </row>
    <row r="244" spans="1:40" x14ac:dyDescent="0.25">
      <c r="A244" s="33" t="s">
        <v>797</v>
      </c>
      <c r="B244" s="7">
        <v>4064</v>
      </c>
      <c r="C244" s="21" t="s">
        <v>242</v>
      </c>
      <c r="D244" s="21" t="s">
        <v>948</v>
      </c>
      <c r="E244" s="13">
        <v>42803.048368055555</v>
      </c>
      <c r="F244" s="13">
        <v>42803.051736111112</v>
      </c>
      <c r="G244" s="7">
        <v>1</v>
      </c>
      <c r="H244" s="21" t="s">
        <v>949</v>
      </c>
      <c r="I244" s="13">
        <v>42803.074502314812</v>
      </c>
      <c r="J244" s="7">
        <v>0</v>
      </c>
      <c r="K244" s="98" t="str">
        <f t="shared" si="73"/>
        <v>4063/4064</v>
      </c>
      <c r="L244" s="21" t="str">
        <f>VLOOKUP(A244,'Trips&amp;Operators'!$C$1:$G$99999,5,FALSE)</f>
        <v>YANG JAN</v>
      </c>
      <c r="M244" s="6">
        <f t="shared" si="74"/>
        <v>2.2766203699575271E-2</v>
      </c>
      <c r="N244" s="7">
        <f t="shared" si="92"/>
        <v>32.783333327388391</v>
      </c>
      <c r="O244" s="7"/>
      <c r="P244" s="7"/>
      <c r="Q244" s="22"/>
      <c r="R244" s="22"/>
      <c r="S244" s="31">
        <f t="shared" si="93"/>
        <v>0</v>
      </c>
      <c r="T244" s="46" t="e">
        <f t="shared" si="75"/>
        <v>#VALUE!</v>
      </c>
      <c r="U244" s="18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6" t="str">
        <f t="shared" si="76"/>
        <v>https://d0f6bd738d7f1b3e5a7ca70fe4ff75f0.us-east-1.aws.found.io/app/kibana#/discover/Steve-Slow-Train-Analysis-(2080s-and-2083s)?_g=(refreshInterval:(display:Off,pause:!f,section:0,value:0),time:(from:'2017-03-09T00:09:39-0700',mode:absolute,to:'2017-03-09T02:47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4" s="187" t="str">
        <f t="shared" si="77"/>
        <v>N</v>
      </c>
      <c r="X244" s="187" t="e">
        <f t="shared" si="91"/>
        <v>#VALUE!</v>
      </c>
      <c r="Y244" s="62">
        <f t="shared" si="79"/>
        <v>12.8018</v>
      </c>
      <c r="Z244" s="62">
        <f t="shared" si="80"/>
        <v>0.1105</v>
      </c>
      <c r="AA244" s="62">
        <f t="shared" si="81"/>
        <v>12.6913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 t="shared" si="82"/>
        <v>80-08</v>
      </c>
      <c r="AE244" s="85" t="str">
        <f t="shared" si="83"/>
        <v>aws s3 cp s3://rtdc.mdm.uploadarchive.raw/RTDC4064/ "%USERPROFILE%\AppData\Local\Temp\OnboardLogs"\RTDC4064\2017-03-09 --exclude "*" --recursive --include "*20170309*" &amp; "%USERPROFILE%\Documents\GitHub\mrs-test-scripts\Headless Mode &amp; Sideloading\WalkAndUnGZ.bat" "%USERPROFILE%\AppData\Local\Temp\OnboardLogs"\RTDC4064\2017-03-09 &amp; aws s3 cp s3://rtdc.mdm.uploadarchive.raw/RTDC4064/ "%USERPROFILE%\AppData\Local\Temp\OnboardLogs"\RTDC4064\2017-03-10 --exclude "*" --recursive --include "*20170310*" &amp; "%USERPROFILE%\Documents\GitHub\mrs-test-scripts\Headless Mode &amp; Sideloading\WalkAndUnGZ.bat" "%USERPROFILE%\AppData\Local\Temp\OnboardLogs"\RTDC4064\2017-03-10</v>
      </c>
      <c r="AF244" s="82" t="str">
        <f t="shared" si="84"/>
        <v>"C:\Program Files (x86)\AstroGrep\AstroGrep.exe" /e /r /s /spath="%USERPROFILE%\AppData\Local\Temp\OnboardLogs" /stypes="app*4064*20170309*" /stext=" 08:.+((SYSTEM_STATE.+slice.+state.+changed )|(ment ac)|(multiple cpu faults)|(system.+state.+changed )|(\[timeout)|(PRM\|1\|D)|(kpr)|(kdp)|(\|lc)|(penalty))"</v>
      </c>
      <c r="AG244" s="1" t="str">
        <f t="shared" si="85"/>
        <v>Other</v>
      </c>
      <c r="AH244" s="86" t="str">
        <f t="shared" si="86"/>
        <v>"%USERPROFILE%\Documents\GitHub\eaglep3\Utilities\RefineRTDCRunTimes.py" --tripid 80-08 --locoid 4064 --swversion DE.1.0.9.0 --startMP 204:128018 --initTime 2017-03-09T01:09:39 --startdatetime 2017-03-09T01:14:30 --delay 1 --endMP 204:1105 --enddatetime 2017-03-09T01:47:17 --enforcementcount 0 &gt;&gt;C:\Users\stu\Documents\GitHub\eaglep3-reporting\EC\2017-03-08-refined-times.txt</v>
      </c>
      <c r="AI244" s="108" t="str">
        <f t="shared" si="87"/>
        <v>echo {"issue":{"subject":"","project_id":79,"tracker_id":40,"status_id":1,"priority_id":2,"assigned_to_id":23,"start_date":"2017-03-09","description":"","custom_fields":[{"id":1,"name":"Subdivision","value":"Other"},{"id":4,"name":"Milepost","value":"0.1105"},{"id":17,"name":"Train ID","value":"80-08"},{"id":16,"name":"Locomotive ID","value":"4064"},{"id":130,"name":"Impact","value":""},{"id":150,"name":"Time of Event (Mountain Time)","value":"01:47:17"},{"id":151,"name":"Denver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48"/>
      <c r="AK244" s="48"/>
      <c r="AL244" s="48"/>
      <c r="AM244" s="154" t="str">
        <f t="shared" si="88"/>
        <v>start /low /b %USERPROFILE%\Documents\GitHub\eaglep3\Utilities\DownloadLogsFromS3.py --loco 4064 --day 2017-03-09</v>
      </c>
      <c r="AN244" s="163" t="str">
        <f>"grep -SE -B400 ""CHR.+\|PRM\|1\|D.+(SWITCH|SIGNAL).+UNKNOWN"" "&amp;search_path&amp;"\RTDC"&amp;B244&amp;"\*"&amp;B244&amp;"*"&amp;TEXT(AVERAGE(F244,I244)-utc_offset/24,"YYYYMMDD")&amp;"*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"%USERPROFILE%\AppData\Local\Temp\OnboardLogs"\RTDC4064\*4064*20170309* | grep -SE "(Enforcement Action)|(\[TIMEOUT)|(CHR.+\|PRM\|1\|D.+(SWITCH|SIGNAL).+UNKNOWN)" - &gt;&gt; 2017-03-08-UncaughtWiMAX.txt</v>
      </c>
    </row>
    <row r="245" spans="1:40" x14ac:dyDescent="0.25">
      <c r="A245" s="33" t="s">
        <v>797</v>
      </c>
      <c r="B245" s="7">
        <v>4064</v>
      </c>
      <c r="C245" s="21" t="s">
        <v>242</v>
      </c>
      <c r="D245" s="21" t="s">
        <v>950</v>
      </c>
      <c r="E245" s="13">
        <v>42802.931400462963</v>
      </c>
      <c r="F245" s="13">
        <v>42802.934953703705</v>
      </c>
      <c r="G245" s="7">
        <v>1</v>
      </c>
      <c r="H245" s="21" t="s">
        <v>951</v>
      </c>
      <c r="I245" s="13">
        <v>42802.95071759259</v>
      </c>
      <c r="J245" s="7">
        <v>0</v>
      </c>
      <c r="K245" s="98" t="str">
        <f t="shared" si="73"/>
        <v>4063/4064</v>
      </c>
      <c r="L245" s="21" t="str">
        <f>VLOOKUP(A245,'Trips&amp;Operators'!$C$1:$G$99999,5,FALSE)</f>
        <v>YANG JAN</v>
      </c>
      <c r="M245" s="6">
        <f t="shared" si="74"/>
        <v>1.5763888884976041E-2</v>
      </c>
      <c r="N245" s="7">
        <f t="shared" si="92"/>
        <v>22.699999994365498</v>
      </c>
      <c r="O245" s="7"/>
      <c r="P245" s="7"/>
      <c r="Q245" s="22"/>
      <c r="R245" s="22"/>
      <c r="S245" s="31">
        <f t="shared" si="93"/>
        <v>0</v>
      </c>
      <c r="T245" s="46" t="e">
        <f t="shared" si="75"/>
        <v>#VALUE!</v>
      </c>
      <c r="U245" s="18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86" t="str">
        <f t="shared" si="76"/>
        <v>https://d0f6bd738d7f1b3e5a7ca70fe4ff75f0.us-east-1.aws.found.io/app/kibana#/discover/Steve-Slow-Train-Analysis-(2080s-and-2083s)?_g=(refreshInterval:(display:Off,pause:!f,section:0,value:0),time:(from:'2017-03-08T21:21:13-0700',mode:absolute,to:'2017-03-08T23:49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5" s="187" t="str">
        <f t="shared" si="77"/>
        <v>N</v>
      </c>
      <c r="X245" s="187" t="e">
        <f t="shared" si="91"/>
        <v>#VALUE!</v>
      </c>
      <c r="Y245" s="62">
        <f t="shared" si="79"/>
        <v>12.8025</v>
      </c>
      <c r="Z245" s="62">
        <f t="shared" si="80"/>
        <v>1.0106999999999999</v>
      </c>
      <c r="AA245" s="62">
        <f t="shared" si="81"/>
        <v>11.7918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 t="shared" si="82"/>
        <v>80-08</v>
      </c>
      <c r="AE245" s="85" t="str">
        <f t="shared" si="83"/>
        <v>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 &amp; aws s3 cp s3://rtdc.mdm.uploadarchive.raw/RTDC4064/ "%USERPROFILE%\AppData\Local\Temp\OnboardLogs"\RTDC4064\2017-03-09 --exclude "*" --recursive --include "*20170309*" &amp; "%USERPROFILE%\Documents\GitHub\mrs-test-scripts\Headless Mode &amp; Sideloading\WalkAndUnGZ.bat" "%USERPROFILE%\AppData\Local\Temp\OnboardLogs"\RTDC4064\2017-03-09</v>
      </c>
      <c r="AF245" s="82" t="str">
        <f t="shared" si="84"/>
        <v>"C:\Program Files (x86)\AstroGrep\AstroGrep.exe" /e /r /s /spath="%USERPROFILE%\AppData\Local\Temp\OnboardLogs" /stypes="app*4064*20170309*" /stext=" 05:.+((SYSTEM_STATE.+slice.+state.+changed )|(ment ac)|(multiple cpu faults)|(system.+state.+changed )|(\[timeout)|(PRM\|1\|D)|(kpr)|(kdp)|(\|lc)|(penalty))"</v>
      </c>
      <c r="AG245" s="1" t="str">
        <f t="shared" si="85"/>
        <v>Other</v>
      </c>
      <c r="AH245" s="86" t="str">
        <f t="shared" si="86"/>
        <v>"%USERPROFILE%\Documents\GitHub\eaglep3\Utilities\RefineRTDCRunTimes.py" --tripid 80-08 --locoid 4064 --swversion DE.1.0.9.0 --startMP 204:128025 --initTime 2017-03-08T22:21:13 --startdatetime 2017-03-08T22:26:20 --delay 1 --endMP 204:10107 --enddatetime 2017-03-08T22:49:02 --enforcementcount 0 &gt;&gt;C:\Users\stu\Documents\GitHub\eaglep3-reporting\EC\2017-03-08-refined-times.txt</v>
      </c>
      <c r="AI245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{"issue":{"subject":"","project_id":79,"tracker_id":40,"status_id":1,"priority_id":2,"assigned_to_id":23,"start_date":"2017-03-08","description":"","custom_fields":[{"id":1,"name":"Subdivision","value":"Other"},{"id":4,"name":"Milepost","value":"1.0107"},{"id":17,"name":"Train ID","value":"80-08"},{"id":16,"name":"Locomotive ID","value":"4064"},{"id":130,"name":"Impact","value":""},{"id":150,"name":"Time of Event (Mountain Time)","value":"22:49:02"},{"id":151,"name":"Denver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48"/>
      <c r="AK245" s="48"/>
      <c r="AL245" s="48"/>
      <c r="AM245" s="154" t="str">
        <f t="shared" si="88"/>
        <v>start /low /b %USERPROFILE%\Documents\GitHub\eaglep3\Utilities\DownloadLogsFromS3.py --loco 4064 --day 2017-03-08</v>
      </c>
      <c r="AN245" s="163" t="str">
        <f>"grep -SE -B400 ""CHR.+\|PRM\|1\|D.+(SWITCH|SIGNAL).+UNKNOWN"" "&amp;search_path&amp;"\RTDC"&amp;B245&amp;"\*"&amp;B245&amp;"*"&amp;TEXT(AVERAGE(F245,I245)-utc_offset/24,"YYYYMMDD")&amp;"*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"%USERPROFILE%\AppData\Local\Temp\OnboardLogs"\RTDC4064\*4064*20170309* | grep -SE "(Enforcement Action)|(\[TIMEOUT)|(CHR.+\|PRM\|1\|D.+(SWITCH|SIGNAL).+UNKNOWN)" - &gt;&gt; 2017-03-08-UncaughtWiMAX.txt</v>
      </c>
    </row>
    <row r="246" spans="1:40" x14ac:dyDescent="0.25">
      <c r="A246" s="33" t="s">
        <v>797</v>
      </c>
      <c r="B246" s="7">
        <v>4064</v>
      </c>
      <c r="C246" s="21" t="s">
        <v>242</v>
      </c>
      <c r="D246" s="21" t="s">
        <v>470</v>
      </c>
      <c r="E246" s="13">
        <v>42802.984583333331</v>
      </c>
      <c r="F246" s="13">
        <v>42802.987141203703</v>
      </c>
      <c r="G246" s="7">
        <v>1</v>
      </c>
      <c r="H246" s="21" t="s">
        <v>194</v>
      </c>
      <c r="I246" s="13">
        <v>42803.015752314815</v>
      </c>
      <c r="J246" s="7">
        <v>0</v>
      </c>
      <c r="K246" s="98" t="str">
        <f t="shared" si="73"/>
        <v>4063/4064</v>
      </c>
      <c r="L246" s="21" t="str">
        <f>VLOOKUP(A246,'Trips&amp;Operators'!$C$1:$G$99999,5,FALSE)</f>
        <v>YANG JAN</v>
      </c>
      <c r="M246" s="6">
        <f t="shared" si="74"/>
        <v>2.8611111112695653E-2</v>
      </c>
      <c r="N246" s="7">
        <f t="shared" si="92"/>
        <v>41.20000000228174</v>
      </c>
      <c r="O246" s="7"/>
      <c r="P246" s="7"/>
      <c r="Q246" s="22"/>
      <c r="R246" s="22"/>
      <c r="S246" s="31">
        <f t="shared" si="93"/>
        <v>0</v>
      </c>
      <c r="T246" s="46" t="e">
        <f t="shared" si="75"/>
        <v>#VALUE!</v>
      </c>
      <c r="U246" s="18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86" t="str">
        <f t="shared" si="76"/>
        <v>https://d0f6bd738d7f1b3e5a7ca70fe4ff75f0.us-east-1.aws.found.io/app/kibana#/discover/Steve-Slow-Train-Analysis-(2080s-and-2083s)?_g=(refreshInterval:(display:Off,pause:!f,section:0,value:0),time:(from:'2017-03-08T22:37:48-0700',mode:absolute,to:'2017-03-09T01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6" s="187" t="str">
        <f t="shared" si="77"/>
        <v>N</v>
      </c>
      <c r="X246" s="187" t="e">
        <f t="shared" si="91"/>
        <v>#VALUE!</v>
      </c>
      <c r="Y246" s="62">
        <f t="shared" si="79"/>
        <v>23.297599999999999</v>
      </c>
      <c r="Z246" s="62">
        <f t="shared" si="80"/>
        <v>1.4500000000000001E-2</v>
      </c>
      <c r="AA246" s="62">
        <f t="shared" si="81"/>
        <v>23.283099999999997</v>
      </c>
      <c r="AB246" s="59" t="e">
        <f>VLOOKUP(A246,Enforcements!$C$7:$K$13,8,0)</f>
        <v>#N/A</v>
      </c>
      <c r="AC246" s="55" t="e">
        <f>VLOOKUP(A246,Enforcements!$C$7:$E$13,3,0)</f>
        <v>#N/A</v>
      </c>
      <c r="AD246" s="56" t="str">
        <f t="shared" si="82"/>
        <v>80-08</v>
      </c>
      <c r="AE246" s="85" t="str">
        <f t="shared" si="83"/>
        <v>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 &amp; aws s3 cp s3://rtdc.mdm.uploadarchive.raw/RTDC4064/ "%USERPROFILE%\AppData\Local\Temp\OnboardLogs"\RTDC4064\2017-03-09 --exclude "*" --recursive --include "*20170309*" &amp; "%USERPROFILE%\Documents\GitHub\mrs-test-scripts\Headless Mode &amp; Sideloading\WalkAndUnGZ.bat" "%USERPROFILE%\AppData\Local\Temp\OnboardLogs"\RTDC4064\2017-03-09</v>
      </c>
      <c r="AF246" s="82" t="str">
        <f t="shared" si="84"/>
        <v>"C:\Program Files (x86)\AstroGrep\AstroGrep.exe" /e /r /s /spath="%USERPROFILE%\AppData\Local\Temp\OnboardLogs" /stypes="app*4064*20170309*" /stext=" 07:.+((SYSTEM_STATE.+slice.+state.+changed )|(ment ac)|(multiple cpu faults)|(system.+state.+changed )|(\[timeout)|(PRM\|1\|D)|(kpr)|(kdp)|(\|lc)|(penalty))"</v>
      </c>
      <c r="AG246" s="1" t="str">
        <f t="shared" si="85"/>
        <v>Other</v>
      </c>
      <c r="AH246" s="86" t="str">
        <f t="shared" si="86"/>
        <v>"%USERPROFILE%\Documents\GitHub\eaglep3\Utilities\RefineRTDCRunTimes.py" --tripid 80-08 --locoid 4064 --swversion DE.1.0.9.0 --startMP 204:232976 --initTime 2017-03-08T23:37:48 --startdatetime 2017-03-08T23:41:29 --delay 1 --endMP 204:145 --enddatetime 2017-03-09T00:22:41 --enforcementcount 0 &gt;&gt;C:\Users\stu\Documents\GitHub\eaglep3-reporting\EC\2017-03-08-refined-times.txt</v>
      </c>
      <c r="AI246" s="108" t="str">
        <f t="shared" si="87"/>
        <v>echo {"issue":{"subject":"","project_id":79,"tracker_id":40,"status_id":1,"priority_id":2,"assigned_to_id":23,"start_date":"2017-03-09","description":"","custom_fields":[{"id":1,"name":"Subdivision","value":"Other"},{"id":4,"name":"Milepost","value":"0.0145"},{"id":17,"name":"Train ID","value":"80-08"},{"id":16,"name":"Locomotive ID","value":"4064"},{"id":130,"name":"Impact","value":""},{"id":150,"name":"Time of Event (Mountain Time)","value":"00:22:41"},{"id":151,"name":"Denver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48"/>
      <c r="AK246" s="48"/>
      <c r="AL246" s="48"/>
      <c r="AM246" s="154" t="str">
        <f t="shared" si="88"/>
        <v>start /low /b %USERPROFILE%\Documents\GitHub\eaglep3\Utilities\DownloadLogsFromS3.py --loco 4064 --day 2017-03-08</v>
      </c>
      <c r="AN246" s="163" t="str">
        <f>"grep -SE -B400 ""CHR.+\|PRM\|1\|D.+(SWITCH|SIGNAL).+UNKNOWN"" "&amp;search_path&amp;"\RTDC"&amp;B246&amp;"\*"&amp;B246&amp;"*"&amp;TEXT(AVERAGE(F246,I246)-utc_offset/24,"YYYYMMDD")&amp;"*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"%USERPROFILE%\AppData\Local\Temp\OnboardLogs"\RTDC4064\*4064*20170309* | grep -SE "(Enforcement Action)|(\[TIMEOUT)|(CHR.+\|PRM\|1\|D.+(SWITCH|SIGNAL).+UNKNOWN)" - &gt;&gt; 2017-03-08-UncaughtWiMAX.txt</v>
      </c>
    </row>
    <row r="247" spans="1:40" x14ac:dyDescent="0.25">
      <c r="A247" s="33" t="s">
        <v>797</v>
      </c>
      <c r="B247" s="7">
        <v>4064</v>
      </c>
      <c r="C247" s="21" t="s">
        <v>242</v>
      </c>
      <c r="D247" s="21" t="s">
        <v>952</v>
      </c>
      <c r="E247" s="13">
        <v>42802.842719907407</v>
      </c>
      <c r="F247" s="13">
        <v>42802.84516203704</v>
      </c>
      <c r="G247" s="7">
        <v>1</v>
      </c>
      <c r="H247" s="21" t="s">
        <v>527</v>
      </c>
      <c r="I247" s="13">
        <v>42802.850381944445</v>
      </c>
      <c r="J247" s="7">
        <v>0</v>
      </c>
      <c r="K247" s="98" t="str">
        <f t="shared" si="73"/>
        <v>4063/4064</v>
      </c>
      <c r="L247" s="21" t="str">
        <f>VLOOKUP(A247,'Trips&amp;Operators'!$C$1:$G$99999,5,FALSE)</f>
        <v>YANG JAN</v>
      </c>
      <c r="M247" s="6">
        <f t="shared" si="74"/>
        <v>5.2199074052623473E-3</v>
      </c>
      <c r="N247" s="7">
        <f t="shared" si="92"/>
        <v>7.5166666635777801</v>
      </c>
      <c r="O247" s="7"/>
      <c r="P247" s="7"/>
      <c r="Q247" s="22"/>
      <c r="R247" s="22"/>
      <c r="S247" s="31">
        <f t="shared" si="93"/>
        <v>0</v>
      </c>
      <c r="T247" s="46" t="e">
        <f t="shared" si="75"/>
        <v>#VALUE!</v>
      </c>
      <c r="U247" s="18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86" t="str">
        <f t="shared" si="76"/>
        <v>https://d0f6bd738d7f1b3e5a7ca70fe4ff75f0.us-east-1.aws.found.io/app/kibana#/discover/Steve-Slow-Train-Analysis-(2080s-and-2083s)?_g=(refreshInterval:(display:Off,pause:!f,section:0,value:0),time:(from:'2017-03-08T19:13:31-0700',mode:absolute,to:'2017-03-08T21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7" s="187" t="str">
        <f t="shared" si="77"/>
        <v>Y</v>
      </c>
      <c r="X247" s="187" t="e">
        <f t="shared" si="91"/>
        <v>#VALUE!</v>
      </c>
      <c r="Y247" s="62">
        <f t="shared" si="79"/>
        <v>2.3012999999999999</v>
      </c>
      <c r="Z247" s="62">
        <f t="shared" si="80"/>
        <v>9.3700000000000006E-2</v>
      </c>
      <c r="AA247" s="62">
        <f t="shared" si="81"/>
        <v>2.2075999999999998</v>
      </c>
      <c r="AB247" s="59" t="e">
        <f>VLOOKUP(A247,Enforcements!$C$7:$K$13,8,0)</f>
        <v>#N/A</v>
      </c>
      <c r="AC247" s="55" t="e">
        <f>VLOOKUP(A247,Enforcements!$C$7:$E$13,3,0)</f>
        <v>#N/A</v>
      </c>
      <c r="AD247" s="56" t="str">
        <f t="shared" si="82"/>
        <v>80-08</v>
      </c>
      <c r="AE247" s="85" t="str">
        <f t="shared" si="83"/>
        <v>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 &amp; aws s3 cp s3://rtdc.mdm.uploadarchive.raw/RTDC4064/ "%USERPROFILE%\AppData\Local\Temp\OnboardLogs"\RTDC4064\2017-03-09 --exclude "*" --recursive --include "*20170309*" &amp; "%USERPROFILE%\Documents\GitHub\mrs-test-scripts\Headless Mode &amp; Sideloading\WalkAndUnGZ.bat" "%USERPROFILE%\AppData\Local\Temp\OnboardLogs"\RTDC4064\2017-03-09</v>
      </c>
      <c r="AF247" s="82" t="str">
        <f t="shared" si="84"/>
        <v>"C:\Program Files (x86)\AstroGrep\AstroGrep.exe" /e /r /s /spath="%USERPROFILE%\AppData\Local\Temp\OnboardLogs" /stypes="app*4064*20170309*" /stext=" 03:.+((SYSTEM_STATE.+slice.+state.+changed )|(ment ac)|(multiple cpu faults)|(system.+state.+changed )|(\[timeout)|(PRM\|1\|D)|(kpr)|(kdp)|(\|lc)|(penalty))"</v>
      </c>
      <c r="AG247" s="1" t="str">
        <f t="shared" si="85"/>
        <v>Other</v>
      </c>
      <c r="AH247" s="86" t="str">
        <f t="shared" si="86"/>
        <v>"%USERPROFILE%\Documents\GitHub\eaglep3\Utilities\RefineRTDCRunTimes.py" --tripid 80-08 --locoid 4064 --swversion DE.1.0.9.0 --startMP 300:23013 --initTime 2017-03-08T20:13:31 --startdatetime 2017-03-08T20:17:02 --delay 1 --endMP 204:937 --enddatetime 2017-03-08T20:24:33 --enforcementcount 0 &gt;&gt;C:\Users\stu\Documents\GitHub\eaglep3-reporting\EC\2017-03-08-refined-times.txt</v>
      </c>
      <c r="AI247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{"issue":{"subject":"","project_id":79,"tracker_id":40,"status_id":1,"priority_id":2,"assigned_to_id":23,"start_date":"2017-03-08","description":"","custom_fields":[{"id":1,"name":"Subdivision","value":"Other"},{"id":4,"name":"Milepost","value":"0.0937"},{"id":17,"name":"Train ID","value":"80-08"},{"id":16,"name":"Locomotive ID","value":"4064"},{"id":130,"name":"Impact","value":""},{"id":150,"name":"Time of Event (Mountain Time)","value":"20:24:33"},{"id":151,"name":"Denver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48"/>
      <c r="AK247" s="48"/>
      <c r="AL247" s="48"/>
      <c r="AM247" s="154" t="str">
        <f t="shared" si="88"/>
        <v>start /low /b %USERPROFILE%\Documents\GitHub\eaglep3\Utilities\DownloadLogsFromS3.py --loco 4064 --day 2017-03-08</v>
      </c>
      <c r="AN247" s="163" t="str">
        <f>"grep -SE -B400 ""CHR.+\|PRM\|1\|D.+(SWITCH|SIGNAL).+UNKNOWN"" "&amp;search_path&amp;"\RTDC"&amp;B247&amp;"\*"&amp;B247&amp;"*"&amp;TEXT(AVERAGE(F247,I247)-utc_offset/24,"YYYYMMDD")&amp;"*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"%USERPROFILE%\AppData\Local\Temp\OnboardLogs"\RTDC4064\*4064*20170309* | grep -SE "(Enforcement Action)|(\[TIMEOUT)|(CHR.+\|PRM\|1\|D.+(SWITCH|SIGNAL).+UNKNOWN)" - &gt;&gt; 2017-03-08-UncaughtWiMAX.txt</v>
      </c>
    </row>
    <row r="248" spans="1:40" x14ac:dyDescent="0.25">
      <c r="A248" s="33" t="s">
        <v>801</v>
      </c>
      <c r="B248" s="7">
        <v>4063</v>
      </c>
      <c r="C248" s="21" t="s">
        <v>242</v>
      </c>
      <c r="D248" s="21" t="s">
        <v>968</v>
      </c>
      <c r="E248" s="13">
        <v>42802.951898148145</v>
      </c>
      <c r="F248" s="13">
        <v>42802.953657407408</v>
      </c>
      <c r="G248" s="7">
        <v>1</v>
      </c>
      <c r="H248" s="21" t="s">
        <v>250</v>
      </c>
      <c r="I248" s="13">
        <v>42802.982499999998</v>
      </c>
      <c r="J248" s="7">
        <v>0</v>
      </c>
      <c r="K248" s="98" t="str">
        <f t="shared" si="73"/>
        <v>4063/4064</v>
      </c>
      <c r="L248" s="21" t="str">
        <f>VLOOKUP(A248,'Trips&amp;Operators'!$C$1:$G$99999,5,FALSE)</f>
        <v>YANG JAN</v>
      </c>
      <c r="M248" s="6">
        <f t="shared" si="74"/>
        <v>2.884259259008104E-2</v>
      </c>
      <c r="N248" s="7">
        <f t="shared" si="92"/>
        <v>41.533333329716697</v>
      </c>
      <c r="O248" s="7"/>
      <c r="P248" s="7"/>
      <c r="Q248" s="22"/>
      <c r="R248" s="22"/>
      <c r="S248" s="31">
        <f t="shared" si="93"/>
        <v>0</v>
      </c>
      <c r="T248" s="46" t="e">
        <f t="shared" si="75"/>
        <v>#VALUE!</v>
      </c>
      <c r="U248" s="18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86" t="str">
        <f t="shared" si="76"/>
        <v>https://d0f6bd738d7f1b3e5a7ca70fe4ff75f0.us-east-1.aws.found.io/app/kibana#/discover/Steve-Slow-Train-Analysis-(2080s-and-2083s)?_g=(refreshInterval:(display:Off,pause:!f,section:0,value:0),time:(from:'2017-03-08T21:50:44-0700',mode:absolute,to:'2017-03-09T00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8" s="187" t="str">
        <f t="shared" si="77"/>
        <v>N</v>
      </c>
      <c r="X248" s="187" t="e">
        <f t="shared" si="91"/>
        <v>#VALUE!</v>
      </c>
      <c r="Y248" s="62">
        <f t="shared" si="79"/>
        <v>1.0339</v>
      </c>
      <c r="Z248" s="62">
        <f t="shared" si="80"/>
        <v>23.330400000000001</v>
      </c>
      <c r="AA248" s="62">
        <f t="shared" si="81"/>
        <v>22.296500000000002</v>
      </c>
      <c r="AB248" s="59" t="e">
        <f>VLOOKUP(A248,Enforcements!$C$7:$K$13,8,0)</f>
        <v>#N/A</v>
      </c>
      <c r="AC248" s="55" t="e">
        <f>VLOOKUP(A248,Enforcements!$C$7:$E$13,3,0)</f>
        <v>#N/A</v>
      </c>
      <c r="AD248" s="56" t="str">
        <f t="shared" si="82"/>
        <v>81-08</v>
      </c>
      <c r="AE248" s="85" t="str">
        <f t="shared" si="83"/>
        <v>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 &amp; 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</v>
      </c>
      <c r="AF248" s="82" t="str">
        <f t="shared" si="84"/>
        <v>"C:\Program Files (x86)\AstroGrep\AstroGrep.exe" /e /r /s /spath="%USERPROFILE%\AppData\Local\Temp\OnboardLogs" /stypes="app*4063*20170309*" /stext=" 06:.+((SYSTEM_STATE.+slice.+state.+changed )|(ment ac)|(multiple cpu faults)|(system.+state.+changed )|(\[timeout)|(PRM\|1\|D)|(kpr)|(kdp)|(\|lc)|(penalty))"</v>
      </c>
      <c r="AG248" s="1" t="str">
        <f t="shared" si="85"/>
        <v>Other</v>
      </c>
      <c r="AH248" s="86" t="str">
        <f t="shared" si="86"/>
        <v>"%USERPROFILE%\Documents\GitHub\eaglep3\Utilities\RefineRTDCRunTimes.py" --tripid 81-08 --locoid 4063 --swversion DE.1.0.9.0 --startMP 204:10339 --initTime 2017-03-08T22:50:44 --startdatetime 2017-03-08T22:53:16 --delay 1 --endMP 204:233304 --enddatetime 2017-03-08T23:34:48 --enforcementcount 0 &gt;&gt;C:\Users\stu\Documents\GitHub\eaglep3-reporting\EC\2017-03-08-refined-times.txt</v>
      </c>
      <c r="AI248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{"issue":{"subject":"","project_id":79,"tracker_id":40,"status_id":1,"priority_id":2,"assigned_to_id":23,"start_date":"2017-03-08","description":"","custom_fields":[{"id":1,"name":"Subdivision","value":"Other"},{"id":4,"name":"Milepost","value":"23.3304"},{"id":17,"name":"Train ID","value":"81-08"},{"id":16,"name":"Locomotive ID","value":"4063"},{"id":130,"name":"Impact","value":""},{"id":150,"name":"Time of Event (Mountain Time)","value":"23:34:48"},{"id":151,"name":"Denver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48"/>
      <c r="AK248" s="48"/>
      <c r="AL248" s="48"/>
      <c r="AM248" s="154" t="str">
        <f t="shared" si="88"/>
        <v>start /low /b %USERPROFILE%\Documents\GitHub\eaglep3\Utilities\DownloadLogsFromS3.py --loco 4063 --day 2017-03-08</v>
      </c>
      <c r="AN248" s="163" t="str">
        <f>"grep -SE -B400 ""CHR.+\|PRM\|1\|D.+(SWITCH|SIGNAL).+UNKNOWN"" "&amp;search_path&amp;"\RTDC"&amp;B248&amp;"\*"&amp;B248&amp;"*"&amp;TEXT(AVERAGE(F248,I248)-utc_offset/24,"YYYYMMDD")&amp;"*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"%USERPROFILE%\AppData\Local\Temp\OnboardLogs"\RTDC4063\*4063*20170309* | grep -SE "(Enforcement Action)|(\[TIMEOUT)|(CHR.+\|PRM\|1\|D.+(SWITCH|SIGNAL).+UNKNOWN)" - &gt;&gt; 2017-03-08-UncaughtWiMAX.txt</v>
      </c>
    </row>
    <row r="249" spans="1:40" x14ac:dyDescent="0.25">
      <c r="A249" s="33" t="s">
        <v>801</v>
      </c>
      <c r="B249" s="7">
        <v>4063</v>
      </c>
      <c r="C249" s="21" t="s">
        <v>242</v>
      </c>
      <c r="D249" s="21" t="s">
        <v>969</v>
      </c>
      <c r="E249" s="13">
        <v>42802.857361111113</v>
      </c>
      <c r="F249" s="13">
        <v>42802.909189814818</v>
      </c>
      <c r="G249" s="7">
        <v>1</v>
      </c>
      <c r="H249" s="21" t="s">
        <v>504</v>
      </c>
      <c r="I249" s="13">
        <v>42802.930451388886</v>
      </c>
      <c r="J249" s="7">
        <v>0</v>
      </c>
      <c r="K249" s="98" t="str">
        <f t="shared" si="73"/>
        <v>4063/4064</v>
      </c>
      <c r="L249" s="21" t="str">
        <f>VLOOKUP(A249,'Trips&amp;Operators'!$C$1:$G$99999,5,FALSE)</f>
        <v>YANG JAN</v>
      </c>
      <c r="M249" s="6">
        <f t="shared" si="74"/>
        <v>2.1261574067466427E-2</v>
      </c>
      <c r="N249" s="7">
        <f t="shared" si="92"/>
        <v>30.616666657151654</v>
      </c>
      <c r="O249" s="7"/>
      <c r="P249" s="7"/>
      <c r="Q249" s="22"/>
      <c r="R249" s="22"/>
      <c r="S249" s="31">
        <f t="shared" si="93"/>
        <v>0</v>
      </c>
      <c r="T249" s="46" t="e">
        <f t="shared" si="75"/>
        <v>#VALUE!</v>
      </c>
      <c r="U249" s="18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86" t="str">
        <f t="shared" si="76"/>
        <v>https://d0f6bd738d7f1b3e5a7ca70fe4ff75f0.us-east-1.aws.found.io/app/kibana#/discover/Steve-Slow-Train-Analysis-(2080s-and-2083s)?_g=(refreshInterval:(display:Off,pause:!f,section:0,value:0),time:(from:'2017-03-08T19:34:36-0700',mode:absolute,to:'2017-03-08T23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9" s="187" t="str">
        <f t="shared" si="77"/>
        <v>N</v>
      </c>
      <c r="X249" s="187" t="e">
        <f t="shared" si="91"/>
        <v>#VALUE!</v>
      </c>
      <c r="Y249" s="62">
        <f t="shared" si="79"/>
        <v>0.12609999999999999</v>
      </c>
      <c r="Z249" s="62">
        <f t="shared" si="80"/>
        <v>12.8278</v>
      </c>
      <c r="AA249" s="62">
        <f t="shared" si="81"/>
        <v>12.701700000000001</v>
      </c>
      <c r="AB249" s="59" t="e">
        <f>VLOOKUP(A249,Enforcements!$C$7:$K$13,8,0)</f>
        <v>#N/A</v>
      </c>
      <c r="AC249" s="55" t="e">
        <f>VLOOKUP(A249,Enforcements!$C$7:$E$13,3,0)</f>
        <v>#N/A</v>
      </c>
      <c r="AD249" s="56" t="str">
        <f t="shared" si="82"/>
        <v>81-08</v>
      </c>
      <c r="AE249" s="85" t="str">
        <f t="shared" si="83"/>
        <v>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 &amp; 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</v>
      </c>
      <c r="AF249" s="82" t="str">
        <f t="shared" si="84"/>
        <v>"C:\Program Files (x86)\AstroGrep\AstroGrep.exe" /e /r /s /spath="%USERPROFILE%\AppData\Local\Temp\OnboardLogs" /stypes="app*4063*20170309*" /stext=" 05:.+((SYSTEM_STATE.+slice.+state.+changed )|(ment ac)|(multiple cpu faults)|(system.+state.+changed )|(\[timeout)|(PRM\|1\|D)|(kpr)|(kdp)|(\|lc)|(penalty))"</v>
      </c>
      <c r="AG249" s="1" t="str">
        <f t="shared" si="85"/>
        <v>Other</v>
      </c>
      <c r="AH249" s="86" t="str">
        <f t="shared" si="86"/>
        <v>"%USERPROFILE%\Documents\GitHub\eaglep3\Utilities\RefineRTDCRunTimes.py" --tripid 81-08 --locoid 4063 --swversion DE.1.0.9.0 --startMP 204:1261 --initTime 2017-03-08T20:34:36 --startdatetime 2017-03-08T21:49:14 --delay 1 --endMP 204:128278 --enddatetime 2017-03-08T22:19:51 --enforcementcount 0 &gt;&gt;C:\Users\stu\Documents\GitHub\eaglep3-reporting\EC\2017-03-08-refined-times.txt</v>
      </c>
      <c r="AI249" s="108" t="str">
        <f t="shared" si="87"/>
        <v>echo {"issue":{"subject":"","project_id":79,"tracker_id":40,"status_id":1,"priority_id":2,"assigned_to_id":23,"start_date":"2017-03-08","description":"","custom_fields":[{"id":1,"name":"Subdivision","value":"Other"},{"id":4,"name":"Milepost","value":"12.8278"},{"id":17,"name":"Train ID","value":"81-08"},{"id":16,"name":"Locomotive ID","value":"4063"},{"id":130,"name":"Impact","value":""},{"id":150,"name":"Time of Event (Mountain Time)","value":"22:19:51"},{"id":151,"name":"Denver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48"/>
      <c r="AK249" s="48"/>
      <c r="AL249" s="48"/>
      <c r="AM249" s="154" t="str">
        <f t="shared" si="88"/>
        <v>start /low /b %USERPROFILE%\Documents\GitHub\eaglep3\Utilities\DownloadLogsFromS3.py --loco 4063 --day 2017-03-08</v>
      </c>
      <c r="AN249" s="163" t="str">
        <f>"grep -SE -B400 ""CHR.+\|PRM\|1\|D.+(SWITCH|SIGNAL).+UNKNOWN"" "&amp;search_path&amp;"\RTDC"&amp;B249&amp;"\*"&amp;B249&amp;"*"&amp;TEXT(AVERAGE(F249,I249)-utc_offset/24,"YYYYMMDD")&amp;"*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"%USERPROFILE%\AppData\Local\Temp\OnboardLogs"\RTDC4063\*4063*20170309* | grep -SE "(Enforcement Action)|(\[TIMEOUT)|(CHR.+\|PRM\|1\|D.+(SWITCH|SIGNAL).+UNKNOWN)" - &gt;&gt; 2017-03-08-UncaughtWiMAX.txt</v>
      </c>
    </row>
    <row r="250" spans="1:40" x14ac:dyDescent="0.25">
      <c r="A250" s="33" t="s">
        <v>801</v>
      </c>
      <c r="B250" s="7">
        <v>4063</v>
      </c>
      <c r="C250" s="21" t="s">
        <v>242</v>
      </c>
      <c r="D250" s="21" t="s">
        <v>970</v>
      </c>
      <c r="E250" s="13">
        <v>42803.075844907406</v>
      </c>
      <c r="F250" s="13">
        <v>42803.077881944446</v>
      </c>
      <c r="G250" s="7">
        <v>1</v>
      </c>
      <c r="H250" s="21" t="s">
        <v>511</v>
      </c>
      <c r="I250" s="13">
        <v>42803.086539351854</v>
      </c>
      <c r="J250" s="7">
        <v>0</v>
      </c>
      <c r="K250" s="98" t="str">
        <f t="shared" si="73"/>
        <v>4063/4064</v>
      </c>
      <c r="L250" s="21" t="str">
        <f>VLOOKUP(A250,'Trips&amp;Operators'!$C$1:$G$99999,5,FALSE)</f>
        <v>YANG JAN</v>
      </c>
      <c r="M250" s="6">
        <f t="shared" si="74"/>
        <v>8.6574074084637687E-3</v>
      </c>
      <c r="N250" s="7">
        <f t="shared" si="92"/>
        <v>12.466666668187827</v>
      </c>
      <c r="O250" s="7"/>
      <c r="P250" s="7"/>
      <c r="Q250" s="22"/>
      <c r="R250" s="22"/>
      <c r="S250" s="31">
        <f t="shared" si="93"/>
        <v>0</v>
      </c>
      <c r="T250" s="46" t="e">
        <f t="shared" si="75"/>
        <v>#VALUE!</v>
      </c>
      <c r="U250" s="18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86" t="str">
        <f t="shared" si="76"/>
        <v>https://d0f6bd738d7f1b3e5a7ca70fe4ff75f0.us-east-1.aws.found.io/app/kibana#/discover/Steve-Slow-Train-Analysis-(2080s-and-2083s)?_g=(refreshInterval:(display:Off,pause:!f,section:0,value:0),time:(from:'2017-03-09T00:49:13-0700',mode:absolute,to:'2017-03-09T03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50" s="187" t="str">
        <f t="shared" si="77"/>
        <v>Y</v>
      </c>
      <c r="X250" s="187" t="e">
        <f t="shared" si="91"/>
        <v>#VALUE!</v>
      </c>
      <c r="Y250" s="62">
        <f t="shared" si="79"/>
        <v>0.14219999999999999</v>
      </c>
      <c r="Z250" s="62">
        <f t="shared" si="80"/>
        <v>2.3302</v>
      </c>
      <c r="AA250" s="62">
        <f t="shared" si="81"/>
        <v>2.1880000000000002</v>
      </c>
      <c r="AB250" s="59" t="e">
        <f>VLOOKUP(A250,Enforcements!$C$7:$K$13,8,0)</f>
        <v>#N/A</v>
      </c>
      <c r="AC250" s="55" t="e">
        <f>VLOOKUP(A250,Enforcements!$C$7:$E$13,3,0)</f>
        <v>#N/A</v>
      </c>
      <c r="AD250" s="56" t="str">
        <f t="shared" si="82"/>
        <v>81-08</v>
      </c>
      <c r="AE250" s="85" t="str">
        <f t="shared" si="83"/>
        <v>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 &amp; aws s3 cp s3://rtdc.mdm.uploadarchive.raw/RTDC4063/ "%USERPROFILE%\AppData\Local\Temp\OnboardLogs"\RTDC4063\2017-03-10 --exclude "*" --recursive --include "*20170310*" &amp; "%USERPROFILE%\Documents\GitHub\mrs-test-scripts\Headless Mode &amp; Sideloading\WalkAndUnGZ.bat" "%USERPROFILE%\AppData\Local\Temp\OnboardLogs"\RTDC4063\2017-03-10</v>
      </c>
      <c r="AF250" s="82" t="str">
        <f t="shared" si="84"/>
        <v>"C:\Program Files (x86)\AstroGrep\AstroGrep.exe" /e /r /s /spath="%USERPROFILE%\AppData\Local\Temp\OnboardLogs" /stypes="app*4063*20170309*" /stext=" 09:.+((SYSTEM_STATE.+slice.+state.+changed )|(ment ac)|(multiple cpu faults)|(system.+state.+changed )|(\[timeout)|(PRM\|1\|D)|(kpr)|(kdp)|(\|lc)|(penalty))"</v>
      </c>
      <c r="AG250" s="1" t="str">
        <f t="shared" si="85"/>
        <v>Other</v>
      </c>
      <c r="AH250" s="86" t="str">
        <f t="shared" si="86"/>
        <v>"%USERPROFILE%\Documents\GitHub\eaglep3\Utilities\RefineRTDCRunTimes.py" --tripid 81-08 --locoid 4063 --swversion DE.1.0.9.0 --startMP 204:1422 --initTime 2017-03-09T01:49:13 --startdatetime 2017-03-09T01:52:09 --delay 1 --endMP 300:23302 --enddatetime 2017-03-09T02:04:37 --enforcementcount 0 &gt;&gt;C:\Users\stu\Documents\GitHub\eaglep3-reporting\EC\2017-03-08-refined-times.txt</v>
      </c>
      <c r="AI250" s="108" t="str">
        <f t="shared" si="87"/>
        <v>echo {"issue":{"subject":"","project_id":79,"tracker_id":40,"status_id":1,"priority_id":2,"assigned_to_id":23,"start_date":"2017-03-09","description":"","custom_fields":[{"id":1,"name":"Subdivision","value":"Other"},{"id":4,"name":"Milepost","value":"2.3302"},{"id":17,"name":"Train ID","value":"81-08"},{"id":16,"name":"Locomotive ID","value":"4063"},{"id":130,"name":"Impact","value":""},{"id":150,"name":"Time of Event (Mountain Time)","value":"02:04:37"},{"id":151,"name":"Denver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48"/>
      <c r="AK250" s="48"/>
      <c r="AL250" s="48"/>
      <c r="AM250" s="154" t="str">
        <f t="shared" si="88"/>
        <v>start /low /b %USERPROFILE%\Documents\GitHub\eaglep3\Utilities\DownloadLogsFromS3.py --loco 4063 --day 2017-03-09</v>
      </c>
      <c r="AN250" s="163" t="str">
        <f>"grep -SE -B400 ""CHR.+\|PRM\|1\|D.+(SWITCH|SIGNAL).+UNKNOWN"" "&amp;search_path&amp;"\RTDC"&amp;B250&amp;"\*"&amp;B250&amp;"*"&amp;TEXT(AVERAGE(F250,I250)-utc_offset/24,"YYYYMMDD")&amp;"*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"%USERPROFILE%\AppData\Local\Temp\OnboardLogs"\RTDC4063\*4063*20170309* | grep -SE "(Enforcement Action)|(\[TIMEOUT)|(CHR.+\|PRM\|1\|D.+(SWITCH|SIGNAL).+UNKNOWN)" - &gt;&gt; 2017-03-08-UncaughtWiMAX.txt</v>
      </c>
    </row>
    <row r="251" spans="1:40" x14ac:dyDescent="0.25">
      <c r="A251" s="33" t="s">
        <v>801</v>
      </c>
      <c r="B251" s="7">
        <v>4063</v>
      </c>
      <c r="C251" s="21" t="s">
        <v>242</v>
      </c>
      <c r="D251" s="21" t="s">
        <v>218</v>
      </c>
      <c r="E251" s="13">
        <v>42803.025405092594</v>
      </c>
      <c r="F251" s="13">
        <v>42803.03087962963</v>
      </c>
      <c r="G251" s="7">
        <v>2</v>
      </c>
      <c r="H251" s="21" t="s">
        <v>971</v>
      </c>
      <c r="I251" s="13">
        <v>42803.047118055554</v>
      </c>
      <c r="J251" s="7">
        <v>0</v>
      </c>
      <c r="K251" s="98" t="str">
        <f t="shared" si="73"/>
        <v>4063/4064</v>
      </c>
      <c r="L251" s="21" t="str">
        <f>VLOOKUP(A251,'Trips&amp;Operators'!$C$1:$G$99999,5,FALSE)</f>
        <v>YANG JAN</v>
      </c>
      <c r="M251" s="6">
        <f t="shared" si="74"/>
        <v>1.6238425923802424E-2</v>
      </c>
      <c r="N251" s="7">
        <f t="shared" si="92"/>
        <v>23.383333330275491</v>
      </c>
      <c r="O251" s="7"/>
      <c r="P251" s="7"/>
      <c r="Q251" s="22"/>
      <c r="R251" s="22"/>
      <c r="S251" s="31">
        <f t="shared" si="93"/>
        <v>0</v>
      </c>
      <c r="T251" s="46" t="e">
        <f t="shared" si="75"/>
        <v>#VALUE!</v>
      </c>
      <c r="U251" s="18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86" t="str">
        <f t="shared" si="76"/>
        <v>https://d0f6bd738d7f1b3e5a7ca70fe4ff75f0.us-east-1.aws.found.io/app/kibana#/discover/Steve-Slow-Train-Analysis-(2080s-and-2083s)?_g=(refreshInterval:(display:Off,pause:!f,section:0,value:0),time:(from:'2017-03-08T23:36:35-0700',mode:absolute,to:'2017-03-09T02:07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51" s="187" t="str">
        <f t="shared" si="77"/>
        <v>N</v>
      </c>
      <c r="X251" s="187" t="e">
        <f t="shared" si="91"/>
        <v>#VALUE!</v>
      </c>
      <c r="Y251" s="62">
        <f t="shared" si="79"/>
        <v>4.5999999999999999E-2</v>
      </c>
      <c r="Z251" s="62">
        <f t="shared" si="80"/>
        <v>12.8268</v>
      </c>
      <c r="AA251" s="62">
        <f t="shared" si="81"/>
        <v>12.780800000000001</v>
      </c>
      <c r="AB251" s="59" t="e">
        <f>VLOOKUP(A251,Enforcements!$C$7:$K$13,8,0)</f>
        <v>#N/A</v>
      </c>
      <c r="AC251" s="55" t="e">
        <f>VLOOKUP(A251,Enforcements!$C$7:$E$13,3,0)</f>
        <v>#N/A</v>
      </c>
      <c r="AD251" s="56" t="str">
        <f t="shared" si="82"/>
        <v>81-08</v>
      </c>
      <c r="AE251" s="85" t="str">
        <f t="shared" si="83"/>
        <v>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 &amp; aws s3 cp s3://rtdc.mdm.uploadarchive.raw/RTDC4063/ "%USERPROFILE%\AppData\Local\Temp\OnboardLogs"\RTDC4063\2017-03-10 --exclude "*" --recursive --include "*20170310*" &amp; "%USERPROFILE%\Documents\GitHub\mrs-test-scripts\Headless Mode &amp; Sideloading\WalkAndUnGZ.bat" "%USERPROFILE%\AppData\Local\Temp\OnboardLogs"\RTDC4063\2017-03-10</v>
      </c>
      <c r="AF251" s="82" t="str">
        <f t="shared" si="84"/>
        <v>"C:\Program Files (x86)\AstroGrep\AstroGrep.exe" /e /r /s /spath="%USERPROFILE%\AppData\Local\Temp\OnboardLogs" /stypes="app*4063*20170309*" /stext=" 08:.+((SYSTEM_STATE.+slice.+state.+changed )|(ment ac)|(multiple cpu faults)|(system.+state.+changed )|(\[timeout)|(PRM\|1\|D)|(kpr)|(kdp)|(\|lc)|(penalty))"</v>
      </c>
      <c r="AG251" s="1" t="str">
        <f t="shared" si="85"/>
        <v>Other</v>
      </c>
      <c r="AH251" s="86" t="str">
        <f t="shared" si="86"/>
        <v>"%USERPROFILE%\Documents\GitHub\eaglep3\Utilities\RefineRTDCRunTimes.py" --tripid 81-08 --locoid 4063 --swversion DE.1.0.9.0 --startMP 204:460 --initTime 2017-03-09T00:36:35 --startdatetime 2017-03-09T00:44:28 --delay 2 --endMP 204:128268 --enddatetime 2017-03-09T01:07:51 --enforcementcount 0 &gt;&gt;C:\Users\stu\Documents\GitHub\eaglep3-reporting\EC\2017-03-08-refined-times.txt</v>
      </c>
      <c r="AI251" s="108" t="str">
        <f t="shared" si="87"/>
        <v>echo {"issue":{"subject":"","project_id":79,"tracker_id":40,"status_id":1,"priority_id":2,"assigned_to_id":23,"start_date":"2017-03-09","description":"","custom_fields":[{"id":1,"name":"Subdivision","value":"Other"},{"id":4,"name":"Milepost","value":"12.8268"},{"id":17,"name":"Train ID","value":"81-08"},{"id":16,"name":"Locomotive ID","value":"4063"},{"id":130,"name":"Impact","value":""},{"id":150,"name":"Time of Event (Mountain Time)","value":"01:07:51"},{"id":151,"name":"Denver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48"/>
      <c r="AK251" s="48"/>
      <c r="AL251" s="48"/>
      <c r="AM251" s="154" t="str">
        <f t="shared" si="88"/>
        <v>start /low /b %USERPROFILE%\Documents\GitHub\eaglep3\Utilities\DownloadLogsFromS3.py --loco 4063 --day 2017-03-09</v>
      </c>
      <c r="AN251" s="163" t="str">
        <f>"grep -SE -B400 ""CHR.+\|PRM\|1\|D.+(SWITCH|SIGNAL).+UNKNOWN"" "&amp;search_path&amp;"\RTDC"&amp;B251&amp;"\*"&amp;B251&amp;"*"&amp;TEXT(AVERAGE(F251,I251)-utc_offset/24,"YYYYMMDD")&amp;"*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"%USERPROFILE%\AppData\Local\Temp\OnboardLogs"\RTDC4063\*4063*20170309* | grep -SE "(Enforcement Action)|(\[TIMEOUT)|(CHR.+\|PRM\|1\|D.+(SWITCH|SIGNAL).+UNKNOWN)" - &gt;&gt; 2017-03-08-UncaughtWiMAX.txt</v>
      </c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</sheetData>
  <autoFilter ref="A12:AG257">
    <sortState ref="A13:AG258">
      <sortCondition ref="AG13:AG252"/>
      <sortCondition ref="AD13:AD252"/>
    </sortState>
  </autoFilter>
  <sortState ref="A13:AH200">
    <sortCondition ref="AG13:AG200"/>
    <sortCondition ref="AD13:AD200"/>
  </sortState>
  <mergeCells count="1">
    <mergeCell ref="A11:P11"/>
  </mergeCells>
  <conditionalFormatting sqref="W11:W12 W276:X1048576 W13:X251">
    <cfRule type="cellIs" dxfId="10" priority="363" operator="equal">
      <formula>"Y"</formula>
    </cfRule>
  </conditionalFormatting>
  <conditionalFormatting sqref="X276:X1048576 X13:X251">
    <cfRule type="cellIs" dxfId="9" priority="346" operator="greaterThan">
      <formula>1</formula>
    </cfRule>
  </conditionalFormatting>
  <conditionalFormatting sqref="X276:X1048576 X12:X251">
    <cfRule type="cellIs" dxfId="8" priority="343" operator="equal">
      <formula>0</formula>
    </cfRule>
  </conditionalFormatting>
  <conditionalFormatting sqref="A13:S251">
    <cfRule type="expression" dxfId="7" priority="337" stopIfTrue="1">
      <formula>$P13&gt;0</formula>
    </cfRule>
    <cfRule type="expression" dxfId="6" priority="338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9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A13:S251</xm:sqref>
        </x14:conditionalFormatting>
        <x14:conditionalFormatting xmlns:xm="http://schemas.microsoft.com/office/excel/2006/main">
          <x14:cfRule type="expression" priority="22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AK13:AK251</xm:sqref>
        </x14:dataValidation>
        <x14:dataValidation type="list" allowBlank="1" showInputMessage="1" showErrorMessage="1">
          <x14:formula1>
            <xm:f>'Redmine List Values'!$C$2:$C$15</xm:f>
          </x14:formula1>
          <xm:sqref>AL13:AL251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COUNTIF($O$7:$O$313,"=Y")</f>
        <v>1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COUNTA($O$7:$O$313)-O2</f>
        <v>36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220" t="str">
        <f>"Eagle P3 Braking Events - "&amp;TEXT(Variables!$A$2,"YYYY-mm-dd")</f>
        <v>Eagle P3 Braking Events - 2017-03-08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193</v>
      </c>
      <c r="AE6" s="155" t="s">
        <v>205</v>
      </c>
    </row>
    <row r="7" spans="1:32" s="1" customFormat="1" x14ac:dyDescent="0.25">
      <c r="A7" s="32">
        <v>42802.317187499997</v>
      </c>
      <c r="B7" s="30" t="s">
        <v>450</v>
      </c>
      <c r="C7" s="30" t="s">
        <v>570</v>
      </c>
      <c r="D7" s="30" t="s">
        <v>49</v>
      </c>
      <c r="E7" s="30" t="s">
        <v>195</v>
      </c>
      <c r="F7" s="43">
        <v>0</v>
      </c>
      <c r="G7" s="43">
        <v>206</v>
      </c>
      <c r="H7" s="43">
        <v>26939</v>
      </c>
      <c r="I7" s="43">
        <v>27227</v>
      </c>
      <c r="J7" s="30" t="s">
        <v>196</v>
      </c>
      <c r="K7" s="43">
        <v>27053</v>
      </c>
      <c r="L7" s="143" t="s">
        <v>50</v>
      </c>
      <c r="M7" s="144">
        <f t="shared" ref="M7:M43" si="0">CONVERT((I7-K7)/10000,"mi","ft")*IF(L7="Increasing Mileposts (1)",-1,1)</f>
        <v>-91.872</v>
      </c>
      <c r="N7" s="145" t="str">
        <f>VLOOKUP(C7,'Trips&amp;Operators'!$C$1:$G$99999,5,FALSE)</f>
        <v>MAELZER KURT</v>
      </c>
      <c r="O7" s="194" t="s">
        <v>185</v>
      </c>
      <c r="P7" s="146" t="s">
        <v>531</v>
      </c>
      <c r="Q7" s="30"/>
      <c r="R7" s="89" t="str">
        <f>IF(VLOOKUP(C7,'Train Runs'!$A$13:$AE$9945,1,1)=C7,VLOOKUP(C7,'Train Runs'!$A$13:$AE$9945,31,1),NA())</f>
        <v>aws s3 cp s3://rtdc.mdm.uploadarchive.raw/RTDC4009/ "%USERPROFILE%\AppData\Local\Temp\OnboardLogs"\RTDC4009\2017-03-08 --exclude "*" --recursive --include "*20170308*" &amp; "%USERPROFILE%\Documents\GitHub\mrs-test-scripts\Headless Mode &amp; Sideloading\WalkAndUnGZ.bat" "%USERPROFILE%\AppData\Local\Temp\OnboardLogs"\RTDC4009\2017-03-08 &amp; aws s3 cp s3://rtdc.mdm.uploadarchive.raw/RTDC4009/ "%USERPROFILE%\AppData\Local\Temp\OnboardLogs"\RTDC4009\2017-03-09 --exclude "*" --recursive --include "*20170309*" &amp; "%USERPROFILE%\Documents\GitHub\mrs-test-scripts\Headless Mode &amp; Sideloading\WalkAndUnGZ.bat" "%USERPROFILE%\AppData\Local\Temp\OnboardLogs"\RTDC4009\2017-03-09</v>
      </c>
      <c r="S7" s="92" t="str">
        <f>IF(VLOOKUP(C7,'Train Runs'!$A$13:$AE$9945,1,1)=C7,VLOOKUP(C7,'Train Runs'!$A$13:$AE$9945,22,1),NA())</f>
        <v>https://d0f6bd738d7f1b3e5a7ca70fe4ff75f0.us-east-1.aws.found.io/app/kibana#/discover/Steve-Slow-Train-Analysis-(2080s-and-2083s)?_g=(refreshInterval:(display:Off,pause:!f,section:0,value:0),time:(from:'2017-03-08T06:24:20-0700',mode:absolute,to:'2017-03-08T09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7" s="94" t="str">
        <f t="shared" ref="T7:T4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/stypes="*4009*201703081*" /stext=" 14:.+((SYSTEM_STATE.+slice.+state.+changed )|(ment ac)|(multiple cpu faults)|(system.+state.+changed )|(\[timeout)|(PRM\|1\|D)|(kpr)|(kdp)|(\|lc)|(penalty))"</v>
      </c>
      <c r="U7" s="9" t="str">
        <f t="shared" ref="U7:U43" si="2">MID(B7,13,4)</f>
        <v>4009</v>
      </c>
      <c r="V7" s="32">
        <f t="shared" ref="V7:V43" si="3">A7-utc_offset/24</f>
        <v>42802.608854166661</v>
      </c>
      <c r="W7" s="46" t="str">
        <f t="shared" ref="W7:W43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3" si="5">IF(AND(E7="TRACK WARRANT AUTHORITY",G7&lt;10),"OMIT","KEEP")</f>
        <v>KEEP</v>
      </c>
      <c r="Y7" s="108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C","project_id":79,"tracker_id":40,"status_id":1,"priority_id":2,"assigned_to_id":23,"start_date":"2017-03-08","description":"","custom_fields":[{"id":1,"name":"Subdivision","value":"EC"},{"id":4,"name":"Milepost","value":"2.7053"},{"id":17,"name":"Train ID","value":"131-08"},{"id":16,"name":"Locomotive ID","value":"4009"},{"id":130,"name":"Impact","value":""},{"id":150,"name":"Time of Event (Mountain Time)","value":"07:36:45"},{"id":151,"name":"Denver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28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"%USERPROFILE%\AppData\Local\Temp\OnboardLogs"\RTDC4009\*4009*201703081*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"%USERPROFILE%\AppData\Local\Temp\OnboardLogs"\RTDC4009\*4009*201703081* &gt;&gt; 2017-03-08-SliceDisagreementCheck.txt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4009 --day 2017-03-08</v>
      </c>
    </row>
    <row r="8" spans="1:32" s="1" customFormat="1" x14ac:dyDescent="0.25">
      <c r="A8" s="32">
        <v>42802.703888888886</v>
      </c>
      <c r="B8" s="30" t="s">
        <v>211</v>
      </c>
      <c r="C8" s="30" t="s">
        <v>585</v>
      </c>
      <c r="D8" s="30" t="s">
        <v>49</v>
      </c>
      <c r="E8" s="30" t="s">
        <v>195</v>
      </c>
      <c r="F8" s="43">
        <v>0</v>
      </c>
      <c r="G8" s="43">
        <v>161</v>
      </c>
      <c r="H8" s="43">
        <v>27027</v>
      </c>
      <c r="I8" s="43">
        <v>27144</v>
      </c>
      <c r="J8" s="30" t="s">
        <v>196</v>
      </c>
      <c r="K8" s="43">
        <v>27053</v>
      </c>
      <c r="L8" s="143" t="s">
        <v>50</v>
      </c>
      <c r="M8" s="144">
        <f t="shared" si="0"/>
        <v>-48.048000000000002</v>
      </c>
      <c r="N8" s="145" t="str">
        <f>VLOOKUP(C8,'Trips&amp;Operators'!$C$1:$G$99999,5,FALSE)</f>
        <v>LEVERE CRAIG</v>
      </c>
      <c r="O8" s="194" t="s">
        <v>185</v>
      </c>
      <c r="P8" s="146" t="s">
        <v>269</v>
      </c>
      <c r="Q8" s="30"/>
      <c r="R8" s="89" t="str">
        <f>IF(VLOOKUP(C8,'Train Runs'!$A$13:$AE$9945,1,1)=C8,VLOOKUP(C8,'Train Runs'!$A$13:$AE$9945,31,1),NA())</f>
        <v>aws s3 cp s3://rtdc.mdm.uploadarchive.raw/RTDC4046/ "%USERPROFILE%\AppData\Local\Temp\OnboardLogs"\RTDC4046\2017-03-08 --exclude "*" --recursive --include "*20170308*" &amp; "%USERPROFILE%\Documents\GitHub\mrs-test-scripts\Headless Mode &amp; Sideloading\WalkAndUnGZ.bat" "%USERPROFILE%\AppData\Local\Temp\OnboardLogs"\RTDC4046\2017-03-08 &amp; aws s3 cp s3://rtdc.mdm.uploadarchive.raw/RTDC4046/ "%USERPROFILE%\AppData\Local\Temp\OnboardLogs"\RTDC4046\2017-03-09 --exclude "*" --recursive --include "*20170309*" &amp; "%USERPROFILE%\Documents\GitHub\mrs-test-scripts\Headless Mode &amp; Sideloading\WalkAndUnGZ.bat" "%USERPROFILE%\AppData\Local\Temp\OnboardLogs"\RTDC4046\2017-03-09</v>
      </c>
      <c r="S8" s="92" t="str">
        <f>IF(VLOOKUP(C8,'Train Runs'!$A$13:$AE$9945,1,1)=C8,VLOOKUP(C8,'Train Runs'!$A$13:$AE$9945,22,1),NA())</f>
        <v>https://d0f6bd738d7f1b3e5a7ca70fe4ff75f0.us-east-1.aws.found.io/app/kibana#/discover/Steve-Slow-Train-Analysis-(2080s-and-2083s)?_g=(refreshInterval:(display:Off,pause:!f,section:0,value:0),time:(from:'2017-03-08T15:38:38-0700',mode:absolute,to:'2017-03-08T18:26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8" s="94" t="str">
        <f t="shared" si="1"/>
        <v>"C:\Program Files (x86)\AstroGrep\AstroGrep.exe" /e /r /s /spath="%USERPROFILE%\AppData\Local\Temp\OnboardLogs" /stypes="*4046*201703082*" /stext=" 23:.+((SYSTEM_STATE.+slice.+state.+changed )|(ment ac)|(multiple cpu faults)|(system.+state.+changed )|(\[timeout)|(PRM\|1\|D)|(kpr)|(kdp)|(\|lc)|(penalty))"</v>
      </c>
      <c r="U8" s="9" t="str">
        <f t="shared" si="2"/>
        <v>4046</v>
      </c>
      <c r="V8" s="32">
        <f t="shared" si="3"/>
        <v>42802.99555555555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arrival","project_id":79,"tracker_id":40,"status_id":1,"priority_id":2,"assigned_to_id":23,"start_date":"2017-03-08","description":"","custom_fields":[{"id":1,"name":"Subdivision","value":"EC"},{"id":4,"name":"Milepost","value":"2.7053"},{"id":17,"name":"Train ID","value":"205-08"},{"id":16,"name":"Locomotive ID","value":"4046"},{"id":130,"name":"Impact","value":""},{"id":150,"name":"Time of Event (Mountain Time)","value":"16:53:36"},{"id":151,"name":"Denver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"%USERPROFILE%\AppData\Local\Temp\OnboardLogs"\RTDC4046\*4046*201703082*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"%USERPROFILE%\AppData\Local\Temp\OnboardLogs"\RTDC4046\*4046*201703082* &gt;&gt; 2017-03-08-SliceDisagreementCheck.txt</v>
      </c>
      <c r="AE8" s="157" t="str">
        <f t="shared" ref="AE8:AE43" si="9">"start /low /b "&amp;dls3logs&amp;" --loco "&amp;U8&amp;" --day "&amp;TEXT(V8,"YYYY-MM-DD")</f>
        <v>start /low /b %USERPROFILE%\Documents\GitHub\eaglep3\Utilities\DownloadLogsFromS3.py --loco 4046 --day 2017-03-08</v>
      </c>
    </row>
    <row r="9" spans="1:32" s="1" customFormat="1" x14ac:dyDescent="0.25">
      <c r="A9" s="32">
        <v>42802.338807870372</v>
      </c>
      <c r="B9" s="30" t="s">
        <v>573</v>
      </c>
      <c r="C9" s="30" t="s">
        <v>574</v>
      </c>
      <c r="D9" s="30" t="s">
        <v>49</v>
      </c>
      <c r="E9" s="30" t="s">
        <v>195</v>
      </c>
      <c r="F9" s="43">
        <v>0</v>
      </c>
      <c r="G9" s="43">
        <v>158</v>
      </c>
      <c r="H9" s="43">
        <v>30099</v>
      </c>
      <c r="I9" s="43">
        <v>30390</v>
      </c>
      <c r="J9" s="30" t="s">
        <v>196</v>
      </c>
      <c r="K9" s="43">
        <v>30830</v>
      </c>
      <c r="L9" s="143" t="s">
        <v>50</v>
      </c>
      <c r="M9" s="144">
        <f t="shared" si="0"/>
        <v>232.32</v>
      </c>
      <c r="N9" s="145" t="str">
        <f>VLOOKUP(C9,'Trips&amp;Operators'!$C$1:$G$99999,5,FALSE)</f>
        <v>BONDS REYNALDO</v>
      </c>
      <c r="O9" s="194" t="s">
        <v>185</v>
      </c>
      <c r="P9" s="146" t="s">
        <v>531</v>
      </c>
      <c r="Q9" s="30"/>
      <c r="R9" s="89" t="str">
        <f>IF(VLOOKUP(C9,'Train Runs'!$A$13:$AE$9945,1,1)=C9,VLOOKUP(C9,'Train Runs'!$A$13:$AE$9945,31,1),NA())</f>
        <v>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 &amp; aws s3 cp s3://rtdc.mdm.uploadarchive.raw/RTDC4006/ "%USERPROFILE%\AppData\Local\Temp\OnboardLogs"\RTDC4006\2017-03-09 --exclude "*" --recursive --include "*20170309*" &amp; "%USERPROFILE%\Documents\GitHub\mrs-test-scripts\Headless Mode &amp; Sideloading\WalkAndUnGZ.bat" "%USERPROFILE%\AppData\Local\Temp\OnboardLogs"\RTDC4006\2017-03-09</v>
      </c>
      <c r="S9" s="92" t="str">
        <f>IF(VLOOKUP(C9,'Train Runs'!$A$13:$AE$9945,1,1)=C9,VLOOKUP(C9,'Train Runs'!$A$13:$AE$9945,22,1),NA())</f>
        <v>https://d0f6bd738d7f1b3e5a7ca70fe4ff75f0.us-east-1.aws.found.io/app/kibana#/discover/Steve-Slow-Train-Analysis-(2080s-and-2083s)?_g=(refreshInterval:(display:Off,pause:!f,section:0,value:0),time:(from:'2017-03-08T06:55:07-0700',mode:absolute,to:'2017-03-08T09:38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9" s="94" t="str">
        <f t="shared" si="1"/>
        <v>"C:\Program Files (x86)\AstroGrep\AstroGrep.exe" /e /r /s /spath="%USERPROFILE%\AppData\Local\Temp\OnboardLogs" /stypes="*4006*201703081*" /stext=" 15:.+((SYSTEM_STATE.+slice.+state.+changed )|(ment ac)|(multiple cpu faults)|(system.+state.+changed )|(\[timeout)|(PRM\|1\|D)|(kpr)|(kdp)|(\|lc)|(penalty))"</v>
      </c>
      <c r="U9" s="9" t="str">
        <f t="shared" si="2"/>
        <v>4006</v>
      </c>
      <c r="V9" s="32">
        <f t="shared" si="3"/>
        <v>42802.630474537036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{"issue":{"subject":"Form C","project_id":79,"tracker_id":40,"status_id":1,"priority_id":2,"assigned_to_id":23,"start_date":"2017-03-08","description":"","custom_fields":[{"id":1,"name":"Subdivision","value":"EC"},{"id":4,"name":"Milepost","value":"3.083"},{"id":17,"name":"Train ID","value":"135-08"},{"id":16,"name":"Locomotive ID","value":"4006"},{"id":130,"name":"Impact","value":""},{"id":150,"name":"Time of Event (Mountain Time)","value":"08:07:53"},{"id":151,"name":"Denver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"%USERPROFILE%\AppData\Local\Temp\OnboardLogs"\RTDC4006\*4006*201703081*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"%USERPROFILE%\AppData\Local\Temp\OnboardLogs"\RTDC4006\*4006*201703081* &gt;&gt; 2017-03-08-SliceDisagreementCheck.txt</v>
      </c>
      <c r="AE9" s="157" t="str">
        <f t="shared" si="9"/>
        <v>start /low /b %USERPROFILE%\Documents\GitHub\eaglep3\Utilities\DownloadLogsFromS3.py --loco 4006 --day 2017-03-08</v>
      </c>
    </row>
    <row r="10" spans="1:32" s="1" customFormat="1" x14ac:dyDescent="0.25">
      <c r="A10" s="32">
        <v>42802.33935185185</v>
      </c>
      <c r="B10" s="30" t="s">
        <v>573</v>
      </c>
      <c r="C10" s="30" t="s">
        <v>574</v>
      </c>
      <c r="D10" s="30" t="s">
        <v>49</v>
      </c>
      <c r="E10" s="30" t="s">
        <v>195</v>
      </c>
      <c r="F10" s="43">
        <v>0</v>
      </c>
      <c r="G10" s="43">
        <v>123</v>
      </c>
      <c r="H10" s="43">
        <v>30828</v>
      </c>
      <c r="I10" s="43">
        <v>30931</v>
      </c>
      <c r="J10" s="30" t="s">
        <v>196</v>
      </c>
      <c r="K10" s="43">
        <v>30830</v>
      </c>
      <c r="L10" s="143" t="s">
        <v>50</v>
      </c>
      <c r="M10" s="144">
        <f t="shared" si="0"/>
        <v>-53.328000000000003</v>
      </c>
      <c r="N10" s="145" t="str">
        <f>VLOOKUP(C10,'Trips&amp;Operators'!$C$1:$G$99999,5,FALSE)</f>
        <v>BONDS REYNALDO</v>
      </c>
      <c r="O10" s="194" t="s">
        <v>185</v>
      </c>
      <c r="P10" s="146" t="s">
        <v>531</v>
      </c>
      <c r="Q10" s="30"/>
      <c r="R10" s="89" t="str">
        <f>IF(VLOOKUP(C10,'Train Runs'!$A$13:$AE$9945,1,1)=C10,VLOOKUP(C10,'Train Runs'!$A$13:$AE$9945,31,1),NA())</f>
        <v>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 &amp; aws s3 cp s3://rtdc.mdm.uploadarchive.raw/RTDC4006/ "%USERPROFILE%\AppData\Local\Temp\OnboardLogs"\RTDC4006\2017-03-09 --exclude "*" --recursive --include "*20170309*" &amp; "%USERPROFILE%\Documents\GitHub\mrs-test-scripts\Headless Mode &amp; Sideloading\WalkAndUnGZ.bat" "%USERPROFILE%\AppData\Local\Temp\OnboardLogs"\RTDC4006\2017-03-09</v>
      </c>
      <c r="S10" s="92" t="str">
        <f>IF(VLOOKUP(C10,'Train Runs'!$A$13:$AE$9945,1,1)=C10,VLOOKUP(C10,'Train Runs'!$A$13:$AE$9945,22,1),NA())</f>
        <v>https://d0f6bd738d7f1b3e5a7ca70fe4ff75f0.us-east-1.aws.found.io/app/kibana#/discover/Steve-Slow-Train-Analysis-(2080s-and-2083s)?_g=(refreshInterval:(display:Off,pause:!f,section:0,value:0),time:(from:'2017-03-08T06:55:07-0700',mode:absolute,to:'2017-03-08T09:38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0" s="94" t="str">
        <f t="shared" si="1"/>
        <v>"C:\Program Files (x86)\AstroGrep\AstroGrep.exe" /e /r /s /spath="%USERPROFILE%\AppData\Local\Temp\OnboardLogs" /stypes="*4006*201703081*" /stext=" 15:.+((SYSTEM_STATE.+slice.+state.+changed )|(ment ac)|(multiple cpu faults)|(system.+state.+changed )|(\[timeout)|(PRM\|1\|D)|(kpr)|(kdp)|(\|lc)|(penalty))"</v>
      </c>
      <c r="U10" s="9" t="str">
        <f t="shared" si="2"/>
        <v>4006</v>
      </c>
      <c r="V10" s="32">
        <f t="shared" si="3"/>
        <v>42802.631018518514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{"issue":{"subject":"Form C","project_id":79,"tracker_id":40,"status_id":1,"priority_id":2,"assigned_to_id":23,"start_date":"2017-03-08","description":"","custom_fields":[{"id":1,"name":"Subdivision","value":"EC"},{"id":4,"name":"Milepost","value":"3.083"},{"id":17,"name":"Train ID","value":"135-08"},{"id":16,"name":"Locomotive ID","value":"4006"},{"id":130,"name":"Impact","value":""},{"id":150,"name":"Time of Event (Mountain Time)","value":"08:08:40"},{"id":151,"name":"Denver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"%USERPROFILE%\AppData\Local\Temp\OnboardLogs"\RTDC4006\*4006*201703081*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"%USERPROFILE%\AppData\Local\Temp\OnboardLogs"\RTDC4006\*4006*201703081* &gt;&gt; 2017-03-08-SliceDisagreementCheck.txt</v>
      </c>
      <c r="AE10" s="157" t="str">
        <f t="shared" si="9"/>
        <v>start /low /b %USERPROFILE%\Documents\GitHub\eaglep3\Utilities\DownloadLogsFromS3.py --loco 4006 --day 2017-03-08</v>
      </c>
    </row>
    <row r="11" spans="1:32" s="1" customFormat="1" x14ac:dyDescent="0.25">
      <c r="A11" s="32">
        <v>42802.536898148152</v>
      </c>
      <c r="B11" s="30" t="s">
        <v>450</v>
      </c>
      <c r="C11" s="30" t="s">
        <v>582</v>
      </c>
      <c r="D11" s="30" t="s">
        <v>49</v>
      </c>
      <c r="E11" s="30" t="s">
        <v>195</v>
      </c>
      <c r="F11" s="43">
        <v>0</v>
      </c>
      <c r="G11" s="43">
        <v>183</v>
      </c>
      <c r="H11" s="43">
        <v>29817</v>
      </c>
      <c r="I11" s="43">
        <v>30264</v>
      </c>
      <c r="J11" s="30" t="s">
        <v>196</v>
      </c>
      <c r="K11" s="43">
        <v>30830</v>
      </c>
      <c r="L11" s="143" t="s">
        <v>50</v>
      </c>
      <c r="M11" s="144">
        <f t="shared" si="0"/>
        <v>298.84800000000001</v>
      </c>
      <c r="N11" s="145" t="str">
        <f>VLOOKUP(C11,'Trips&amp;Operators'!$C$1:$G$99999,5,FALSE)</f>
        <v>STRICKLAND EVAN</v>
      </c>
      <c r="O11" s="194" t="s">
        <v>185</v>
      </c>
      <c r="P11" s="146" t="s">
        <v>531</v>
      </c>
      <c r="Q11" s="30"/>
      <c r="R11" s="89" t="str">
        <f>IF(VLOOKUP(C11,'Train Runs'!$A$13:$AE$9945,1,1)=C11,VLOOKUP(C11,'Train Runs'!$A$13:$AE$9945,31,1),NA())</f>
        <v>aws s3 cp s3://rtdc.mdm.uploadarchive.raw/RTDC4009/ "%USERPROFILE%\AppData\Local\Temp\OnboardLogs"\RTDC4009\2017-03-08 --exclude "*" --recursive --include "*20170308*" &amp; "%USERPROFILE%\Documents\GitHub\mrs-test-scripts\Headless Mode &amp; Sideloading\WalkAndUnGZ.bat" "%USERPROFILE%\AppData\Local\Temp\OnboardLogs"\RTDC4009\2017-03-08 &amp; aws s3 cp s3://rtdc.mdm.uploadarchive.raw/RTDC4009/ "%USERPROFILE%\AppData\Local\Temp\OnboardLogs"\RTDC4009\2017-03-09 --exclude "*" --recursive --include "*20170309*" &amp; "%USERPROFILE%\Documents\GitHub\mrs-test-scripts\Headless Mode &amp; Sideloading\WalkAndUnGZ.bat" "%USERPROFILE%\AppData\Local\Temp\OnboardLogs"\RTDC4009\2017-03-09</v>
      </c>
      <c r="S11" s="92" t="str">
        <f>IF(VLOOKUP(C11,'Train Runs'!$A$13:$AE$9945,1,1)=C11,VLOOKUP(C11,'Train Runs'!$A$13:$AE$9945,22,1),NA())</f>
        <v>https://d0f6bd738d7f1b3e5a7ca70fe4ff75f0.us-east-1.aws.found.io/app/kibana#/discover/Steve-Slow-Train-Analysis-(2080s-and-2083s)?_g=(refreshInterval:(display:Off,pause:!f,section:0,value:0),time:(from:'2017-03-08T11:39:45-0700',mode:absolute,to:'2017-03-08T14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1" s="94" t="str">
        <f t="shared" si="1"/>
        <v>"C:\Program Files (x86)\AstroGrep\AstroGrep.exe" /e /r /s /spath="%USERPROFILE%\AppData\Local\Temp\OnboardLogs" /stypes="*4009*201703081*" /stext=" 19:.+((SYSTEM_STATE.+slice.+state.+changed )|(ment ac)|(multiple cpu faults)|(system.+state.+changed )|(\[timeout)|(PRM\|1\|D)|(kpr)|(kdp)|(\|lc)|(penalty))"</v>
      </c>
      <c r="U11" s="9" t="str">
        <f t="shared" si="2"/>
        <v>4009</v>
      </c>
      <c r="V11" s="32">
        <f t="shared" si="3"/>
        <v>42802.828564814816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{"issue":{"subject":"Form C","project_id":79,"tracker_id":40,"status_id":1,"priority_id":2,"assigned_to_id":23,"start_date":"2017-03-08","description":"","custom_fields":[{"id":1,"name":"Subdivision","value":"EC"},{"id":4,"name":"Milepost","value":"3.083"},{"id":17,"name":"Train ID","value":"173-08"},{"id":16,"name":"Locomotive ID","value":"4009"},{"id":130,"name":"Impact","value":""},{"id":150,"name":"Time of Event (Mountain Time)","value":"12:53:08"},{"id":151,"name":"Denver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"%USERPROFILE%\AppData\Local\Temp\OnboardLogs"\RTDC4009\*4009*201703081*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"%USERPROFILE%\AppData\Local\Temp\OnboardLogs"\RTDC4009\*4009*201703081* &gt;&gt; 2017-03-08-SliceDisagreementCheck.txt</v>
      </c>
      <c r="AE11" s="157" t="str">
        <f t="shared" si="9"/>
        <v>start /low /b %USERPROFILE%\Documents\GitHub\eaglep3\Utilities\DownloadLogsFromS3.py --loco 4009 --day 2017-03-08</v>
      </c>
    </row>
    <row r="12" spans="1:32" s="1" customFormat="1" x14ac:dyDescent="0.25">
      <c r="A12" s="32">
        <v>42802.29011574074</v>
      </c>
      <c r="B12" s="30" t="s">
        <v>566</v>
      </c>
      <c r="C12" s="30" t="s">
        <v>567</v>
      </c>
      <c r="D12" s="30" t="s">
        <v>49</v>
      </c>
      <c r="E12" s="30" t="s">
        <v>195</v>
      </c>
      <c r="F12" s="43">
        <v>0</v>
      </c>
      <c r="G12" s="43">
        <v>161</v>
      </c>
      <c r="H12" s="43">
        <v>31926</v>
      </c>
      <c r="I12" s="43">
        <v>31625</v>
      </c>
      <c r="J12" s="30" t="s">
        <v>196</v>
      </c>
      <c r="K12" s="43">
        <v>30970</v>
      </c>
      <c r="L12" s="143" t="s">
        <v>51</v>
      </c>
      <c r="M12" s="144">
        <f t="shared" si="0"/>
        <v>345.84</v>
      </c>
      <c r="N12" s="145" t="str">
        <f>VLOOKUP(C12,'Trips&amp;Operators'!$C$1:$G$99999,5,FALSE)</f>
        <v>STARKS ANGELINA</v>
      </c>
      <c r="O12" s="194" t="s">
        <v>185</v>
      </c>
      <c r="P12" s="146" t="s">
        <v>531</v>
      </c>
      <c r="Q12" s="30"/>
      <c r="R12" s="89" t="str">
        <f>IF(VLOOKUP(C12,'Train Runs'!$A$13:$AE$9945,1,1)=C12,VLOOKUP(C12,'Train Runs'!$A$13:$AE$9945,31,1),NA())</f>
        <v>aws s3 cp s3://rtdc.mdm.uploadarchive.raw/RTDC4041/ "%USERPROFILE%\AppData\Local\Temp\OnboardLogs"\RTDC4041\2017-03-08 --exclude "*" --recursive --include "*20170308*" &amp; "%USERPROFILE%\Documents\GitHub\mrs-test-scripts\Headless Mode &amp; Sideloading\WalkAndUnGZ.bat" "%USERPROFILE%\AppData\Local\Temp\OnboardLogs"\RTDC4041\2017-03-08 &amp; aws s3 cp s3://rtdc.mdm.uploadarchive.raw/RTDC4041/ "%USERPROFILE%\AppData\Local\Temp\OnboardLogs"\RTDC4041\2017-03-09 --exclude "*" --recursive --include "*20170309*" &amp; "%USERPROFILE%\Documents\GitHub\mrs-test-scripts\Headless Mode &amp; Sideloading\WalkAndUnGZ.bat" "%USERPROFILE%\AppData\Local\Temp\OnboardLogs"\RTDC4041\2017-03-09</v>
      </c>
      <c r="S12" s="92" t="str">
        <f>IF(VLOOKUP(C12,'Train Runs'!$A$13:$AE$9945,1,1)=C12,VLOOKUP(C12,'Train Runs'!$A$13:$AE$9945,22,1),NA())</f>
        <v>https://d0f6bd738d7f1b3e5a7ca70fe4ff75f0.us-east-1.aws.found.io/app/kibana#/discover/Steve-Slow-Train-Analysis-(2080s-and-2083s)?_g=(refreshInterval:(display:Off,pause:!f,section:0,value:0),time:(from:'2017-03-08T05:09:14-0700',mode:absolute,to:'2017-03-08T08:08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94" t="str">
        <f t="shared" si="1"/>
        <v>"C:\Program Files (x86)\AstroGrep\AstroGrep.exe" /e /r /s /spath="%USERPROFILE%\AppData\Local\Temp\OnboardLogs" /stypes="*4041*201703081*" /stext=" 13:.+((SYSTEM_STATE.+slice.+state.+changed )|(ment ac)|(multiple cpu faults)|(system.+state.+changed )|(\[timeout)|(PRM\|1\|D)|(kpr)|(kdp)|(\|lc)|(penalty))"</v>
      </c>
      <c r="U12" s="9" t="str">
        <f t="shared" si="2"/>
        <v>4041</v>
      </c>
      <c r="V12" s="32">
        <f t="shared" si="3"/>
        <v>42802.581782407404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{"issue":{"subject":"Form C","project_id":79,"tracker_id":40,"status_id":1,"priority_id":2,"assigned_to_id":23,"start_date":"2017-03-08","description":"","custom_fields":[{"id":1,"name":"Subdivision","value":"EC"},{"id":4,"name":"Milepost","value":"3.097"},{"id":17,"name":"Train ID","value":"116-08"},{"id":16,"name":"Locomotive ID","value":"4041"},{"id":130,"name":"Impact","value":""},{"id":150,"name":"Time of Event (Mountain Time)","value":"06:57:46"},{"id":151,"name":"Denver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"%USERPROFILE%\AppData\Local\Temp\OnboardLogs"\RTDC4041\*4041*201703081*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"%USERPROFILE%\AppData\Local\Temp\OnboardLogs"\RTDC4041\*4041*201703081* &gt;&gt; 2017-03-08-SliceDisagreementCheck.txt</v>
      </c>
      <c r="AE12" s="157" t="str">
        <f t="shared" si="9"/>
        <v>start /low /b %USERPROFILE%\Documents\GitHub\eaglep3\Utilities\DownloadLogsFromS3.py --loco 4041 --day 2017-03-08</v>
      </c>
    </row>
    <row r="13" spans="1:32" s="1" customFormat="1" x14ac:dyDescent="0.25">
      <c r="A13" s="32">
        <v>42802.163425925923</v>
      </c>
      <c r="B13" s="30" t="s">
        <v>450</v>
      </c>
      <c r="C13" s="30" t="s">
        <v>561</v>
      </c>
      <c r="D13" s="30" t="s">
        <v>49</v>
      </c>
      <c r="E13" s="30" t="s">
        <v>195</v>
      </c>
      <c r="F13" s="43">
        <v>360</v>
      </c>
      <c r="G13" s="43">
        <v>417</v>
      </c>
      <c r="H13" s="43">
        <v>33034</v>
      </c>
      <c r="I13" s="43">
        <v>34029</v>
      </c>
      <c r="J13" s="30" t="s">
        <v>196</v>
      </c>
      <c r="K13" s="43">
        <v>33137</v>
      </c>
      <c r="L13" s="143" t="s">
        <v>50</v>
      </c>
      <c r="M13" s="144">
        <f t="shared" si="0"/>
        <v>-470.976</v>
      </c>
      <c r="N13" s="145" t="str">
        <f>VLOOKUP(C13,'Trips&amp;Operators'!$C$1:$G$99999,5,FALSE)</f>
        <v>ACKERMAN JARED</v>
      </c>
      <c r="O13" s="194" t="s">
        <v>185</v>
      </c>
      <c r="P13" s="146" t="s">
        <v>269</v>
      </c>
      <c r="Q13" s="30"/>
      <c r="R13" s="89" t="str">
        <f>IF(VLOOKUP(C13,'Train Runs'!$A$13:$AE$9945,1,1)=C13,VLOOKUP(C13,'Train Runs'!$A$13:$AE$9945,31,1),NA())</f>
        <v>aws s3 cp s3://rtdc.mdm.uploadarchive.raw/RTDC4009/ "%USERPROFILE%\AppData\Local\Temp\OnboardLogs"\RTDC4009\2017-03-08 --exclude "*" --recursive --include "*20170308*" &amp; "%USERPROFILE%\Documents\GitHub\mrs-test-scripts\Headless Mode &amp; Sideloading\WalkAndUnGZ.bat" "%USERPROFILE%\AppData\Local\Temp\OnboardLogs"\RTDC4009\2017-03-08 &amp; aws s3 cp s3://rtdc.mdm.uploadarchive.raw/RTDC4009/ "%USERPROFILE%\AppData\Local\Temp\OnboardLogs"\RTDC4009\2017-03-09 --exclude "*" --recursive --include "*20170309*" &amp; "%USERPROFILE%\Documents\GitHub\mrs-test-scripts\Headless Mode &amp; Sideloading\WalkAndUnGZ.bat" "%USERPROFILE%\AppData\Local\Temp\OnboardLogs"\RTDC4009\2017-03-09</v>
      </c>
      <c r="S13" s="92" t="str">
        <f>IF(VLOOKUP(C13,'Train Runs'!$A$13:$AE$9945,1,1)=C13,VLOOKUP(C13,'Train Runs'!$A$13:$AE$9945,22,1),NA())</f>
        <v>https://d0f6bd738d7f1b3e5a7ca70fe4ff75f0.us-east-1.aws.found.io/app/kibana#/discover/Steve-Slow-Train-Analysis-(2080s-and-2083s)?_g=(refreshInterval:(display:Off,pause:!f,section:0,value:0),time:(from:'2017-03-08T02:40:02-0700',mode:absolute,to:'2017-03-08T05:25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3" s="94" t="str">
        <f t="shared" si="1"/>
        <v>"C:\Program Files (x86)\AstroGrep\AstroGrep.exe" /e /r /s /spath="%USERPROFILE%\AppData\Local\Temp\OnboardLogs" /stypes="*4009*201703081*" /stext=" 10:.+((SYSTEM_STATE.+slice.+state.+changed )|(ment ac)|(multiple cpu faults)|(system.+state.+changed )|(\[timeout)|(PRM\|1\|D)|(kpr)|(kdp)|(\|lc)|(penalty))"</v>
      </c>
      <c r="U13" s="9" t="str">
        <f t="shared" si="2"/>
        <v>4009</v>
      </c>
      <c r="V13" s="32">
        <f t="shared" si="3"/>
        <v>42802.455092592587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arrival","project_id":79,"tracker_id":40,"status_id":1,"priority_id":2,"assigned_to_id":23,"start_date":"2017-03-08","description":"","custom_fields":[{"id":1,"name":"Subdivision","value":"EC"},{"id":4,"name":"Milepost","value":"3.3137"},{"id":17,"name":"Train ID","value":"103-08"},{"id":16,"name":"Locomotive ID","value":"4009"},{"id":130,"name":"Impact","value":""},{"id":150,"name":"Time of Event (Mountain Time)","value":"03:55:20"},{"id":151,"name":"Denver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"%USERPROFILE%\AppData\Local\Temp\OnboardLogs"\RTDC4009\*4009*201703081*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"%USERPROFILE%\AppData\Local\Temp\OnboardLogs"\RTDC4009\*4009*201703081* &gt;&gt; 2017-03-08-SliceDisagreementCheck.txt</v>
      </c>
      <c r="AE13" s="157" t="str">
        <f t="shared" si="9"/>
        <v>start /low /b %USERPROFILE%\Documents\GitHub\eaglep3\Utilities\DownloadLogsFromS3.py --loco 4009 --day 2017-03-08</v>
      </c>
    </row>
    <row r="14" spans="1:32" x14ac:dyDescent="0.25">
      <c r="A14" s="32">
        <v>42802.308530092596</v>
      </c>
      <c r="B14" s="30" t="s">
        <v>568</v>
      </c>
      <c r="C14" s="30" t="s">
        <v>569</v>
      </c>
      <c r="D14" s="30" t="s">
        <v>49</v>
      </c>
      <c r="E14" s="30" t="s">
        <v>195</v>
      </c>
      <c r="F14" s="43">
        <v>360</v>
      </c>
      <c r="G14" s="43">
        <v>416</v>
      </c>
      <c r="H14" s="43">
        <v>32737</v>
      </c>
      <c r="I14" s="43">
        <v>33649</v>
      </c>
      <c r="J14" s="30" t="s">
        <v>196</v>
      </c>
      <c r="K14" s="43">
        <v>33137</v>
      </c>
      <c r="L14" s="143" t="s">
        <v>50</v>
      </c>
      <c r="M14" s="144">
        <f t="shared" si="0"/>
        <v>-270.33600000000001</v>
      </c>
      <c r="N14" s="145" t="str">
        <f>VLOOKUP(C14,'Trips&amp;Operators'!$C$1:$G$99999,5,FALSE)</f>
        <v>STARKS ANGELINA</v>
      </c>
      <c r="O14" s="194" t="s">
        <v>185</v>
      </c>
      <c r="P14" s="146" t="s">
        <v>269</v>
      </c>
      <c r="Q14" s="30"/>
      <c r="R14" s="89" t="str">
        <f>IF(VLOOKUP(C14,'Train Runs'!$A$13:$AE$9945,1,1)=C14,VLOOKUP(C14,'Train Runs'!$A$13:$AE$9945,31,1),NA())</f>
        <v>aws s3 cp s3://rtdc.mdm.uploadarchive.raw/RTDC4042/ "%USERPROFILE%\AppData\Local\Temp\OnboardLogs"\RTDC4042\2017-03-08 --exclude "*" --recursive --include "*20170308*" &amp; "%USERPROFILE%\Documents\GitHub\mrs-test-scripts\Headless Mode &amp; Sideloading\WalkAndUnGZ.bat" "%USERPROFILE%\AppData\Local\Temp\OnboardLogs"\RTDC4042\2017-03-08 &amp; aws s3 cp s3://rtdc.mdm.uploadarchive.raw/RTDC4042/ "%USERPROFILE%\AppData\Local\Temp\OnboardLogs"\RTDC4042\2017-03-09 --exclude "*" --recursive --include "*20170309*" &amp; "%USERPROFILE%\Documents\GitHub\mrs-test-scripts\Headless Mode &amp; Sideloading\WalkAndUnGZ.bat" "%USERPROFILE%\AppData\Local\Temp\OnboardLogs"\RTDC4042\2017-03-09</v>
      </c>
      <c r="S14" s="92" t="str">
        <f>IF(VLOOKUP(C14,'Train Runs'!$A$13:$AE$9945,1,1)=C14,VLOOKUP(C14,'Train Runs'!$A$13:$AE$9945,22,1),NA())</f>
        <v>https://d0f6bd738d7f1b3e5a7ca70fe4ff75f0.us-east-1.aws.found.io/app/kibana#/discover/Steve-Slow-Train-Analysis-(2080s-and-2083s)?_g=(refreshInterval:(display:Off,pause:!f,section:0,value:0),time:(from:'2017-03-08T06:11:03-0700',mode:absolute,to:'2017-03-08T08:53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4" s="94" t="str">
        <f t="shared" si="1"/>
        <v>"C:\Program Files (x86)\AstroGrep\AstroGrep.exe" /e /r /s /spath="%USERPROFILE%\AppData\Local\Temp\OnboardLogs" /stypes="*4042*201703081*" /stext=" 14:.+((SYSTEM_STATE.+slice.+state.+changed )|(ment ac)|(multiple cpu faults)|(system.+state.+changed )|(\[timeout)|(PRM\|1\|D)|(kpr)|(kdp)|(\|lc)|(penalty))"</v>
      </c>
      <c r="U14" s="9" t="str">
        <f t="shared" si="2"/>
        <v>4042</v>
      </c>
      <c r="V14" s="32">
        <f t="shared" si="3"/>
        <v>42802.60019675926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arrival","project_id":79,"tracker_id":40,"status_id":1,"priority_id":2,"assigned_to_id":23,"start_date":"2017-03-08","description":"","custom_fields":[{"id":1,"name":"Subdivision","value":"EC"},{"id":4,"name":"Milepost","value":"3.3137"},{"id":17,"name":"Train ID","value":"129-08"},{"id":16,"name":"Locomotive ID","value":"4042"},{"id":130,"name":"Impact","value":""},{"id":150,"name":"Time of Event (Mountain Time)","value":"07:24:17"},{"id":151,"name":"Denver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"%USERPROFILE%\AppData\Local\Temp\OnboardLogs"\RTDC4042\*4042*201703081*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"%USERPROFILE%\AppData\Local\Temp\OnboardLogs"\RTDC4042\*4042*201703081* &gt;&gt; 2017-03-08-SliceDisagreementCheck.txt</v>
      </c>
      <c r="AE14" s="157" t="str">
        <f t="shared" si="9"/>
        <v>start /low /b %USERPROFILE%\Documents\GitHub\eaglep3\Utilities\DownloadLogsFromS3.py --loco 4042 --day 2017-03-08</v>
      </c>
      <c r="AF14" s="1"/>
    </row>
    <row r="15" spans="1:32" x14ac:dyDescent="0.25">
      <c r="A15" s="32">
        <v>42802.414305555554</v>
      </c>
      <c r="B15" s="30" t="s">
        <v>429</v>
      </c>
      <c r="C15" s="30" t="s">
        <v>579</v>
      </c>
      <c r="D15" s="30" t="s">
        <v>49</v>
      </c>
      <c r="E15" s="30" t="s">
        <v>195</v>
      </c>
      <c r="F15" s="43">
        <v>0</v>
      </c>
      <c r="G15" s="43">
        <v>204</v>
      </c>
      <c r="H15" s="43">
        <v>33301</v>
      </c>
      <c r="I15" s="43">
        <v>33105</v>
      </c>
      <c r="J15" s="30" t="s">
        <v>196</v>
      </c>
      <c r="K15" s="43">
        <v>33257</v>
      </c>
      <c r="L15" s="143" t="s">
        <v>51</v>
      </c>
      <c r="M15" s="144">
        <f t="shared" si="0"/>
        <v>-80.256</v>
      </c>
      <c r="N15" s="145" t="str">
        <f>VLOOKUP(C15,'Trips&amp;Operators'!$C$1:$G$99999,5,FALSE)</f>
        <v>ROCHA YAOTL</v>
      </c>
      <c r="O15" s="194" t="s">
        <v>185</v>
      </c>
      <c r="P15" s="146" t="s">
        <v>531</v>
      </c>
      <c r="Q15" s="30"/>
      <c r="R15" s="89" t="str">
        <f>IF(VLOOKUP(C15,'Train Runs'!$A$13:$AE$9945,1,1)=C15,VLOOKUP(C15,'Train Runs'!$A$13:$AE$9945,31,1),NA())</f>
        <v>aws s3 cp s3://rtdc.mdm.uploadarchive.raw/RTDC4004/ "%USERPROFILE%\AppData\Local\Temp\OnboardLogs"\RTDC4004\2017-03-08 --exclude "*" --recursive --include "*20170308*" &amp; "%USERPROFILE%\Documents\GitHub\mrs-test-scripts\Headless Mode &amp; Sideloading\WalkAndUnGZ.bat" "%USERPROFILE%\AppData\Local\Temp\OnboardLogs"\RTDC4004\2017-03-08 &amp; 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</v>
      </c>
      <c r="S15" s="92" t="str">
        <f>IF(VLOOKUP(C15,'Train Runs'!$A$13:$AE$9945,1,1)=C15,VLOOKUP(C15,'Train Runs'!$A$13:$AE$9945,22,1),NA())</f>
        <v>https://d0f6bd738d7f1b3e5a7ca70fe4ff75f0.us-east-1.aws.found.io/app/kibana#/discover/Steve-Slow-Train-Analysis-(2080s-and-2083s)?_g=(refreshInterval:(display:Off,pause:!f,section:0,value:0),time:(from:'2017-03-08T08:24:02-0700',mode:absolute,to:'2017-03-08T11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5" s="94" t="str">
        <f t="shared" si="1"/>
        <v>"C:\Program Files (x86)\AstroGrep\AstroGrep.exe" /e /r /s /spath="%USERPROFILE%\AppData\Local\Temp\OnboardLogs" /stypes="*4004*201703081*" /stext=" 16:.+((SYSTEM_STATE.+slice.+state.+changed )|(ment ac)|(multiple cpu faults)|(system.+state.+changed )|(\[timeout)|(PRM\|1\|D)|(kpr)|(kdp)|(\|lc)|(penalty))"</v>
      </c>
      <c r="U15" s="9" t="str">
        <f t="shared" si="2"/>
        <v>4004</v>
      </c>
      <c r="V15" s="32">
        <f t="shared" si="3"/>
        <v>42802.705972222218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{"issue":{"subject":"Form C","project_id":79,"tracker_id":40,"status_id":1,"priority_id":2,"assigned_to_id":23,"start_date":"2017-03-08","description":"","custom_fields":[{"id":1,"name":"Subdivision","value":"EC"},{"id":4,"name":"Milepost","value":"3.3257"},{"id":17,"name":"Train ID","value":"140-08"},{"id":16,"name":"Locomotive ID","value":"4004"},{"id":130,"name":"Impact","value":""},{"id":150,"name":"Time of Event (Mountain Time)","value":"09:56:36"},{"id":151,"name":"Denver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"%USERPROFILE%\AppData\Local\Temp\OnboardLogs"\RTDC4004\*4004*201703081*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"%USERPROFILE%\AppData\Local\Temp\OnboardLogs"\RTDC4004\*4004*201703081* &gt;&gt; 2017-03-08-SliceDisagreementCheck.txt</v>
      </c>
      <c r="AE15" s="157" t="str">
        <f t="shared" si="9"/>
        <v>start /low /b %USERPROFILE%\Documents\GitHub\eaglep3\Utilities\DownloadLogsFromS3.py --loco 4004 --day 2017-03-08</v>
      </c>
      <c r="AF15" s="1"/>
    </row>
    <row r="16" spans="1:32" x14ac:dyDescent="0.25">
      <c r="A16" s="32">
        <v>42802.560752314814</v>
      </c>
      <c r="B16" s="30" t="s">
        <v>429</v>
      </c>
      <c r="C16" s="30" t="s">
        <v>583</v>
      </c>
      <c r="D16" s="30" t="s">
        <v>49</v>
      </c>
      <c r="E16" s="30" t="s">
        <v>195</v>
      </c>
      <c r="F16" s="43">
        <v>0</v>
      </c>
      <c r="G16" s="43">
        <v>220</v>
      </c>
      <c r="H16" s="43">
        <v>33381</v>
      </c>
      <c r="I16" s="43">
        <v>33145</v>
      </c>
      <c r="J16" s="30" t="s">
        <v>196</v>
      </c>
      <c r="K16" s="43">
        <v>33257</v>
      </c>
      <c r="L16" s="143" t="s">
        <v>51</v>
      </c>
      <c r="M16" s="144">
        <f t="shared" si="0"/>
        <v>-59.136000000000003</v>
      </c>
      <c r="N16" s="145" t="str">
        <f>VLOOKUP(C16,'Trips&amp;Operators'!$C$1:$G$99999,5,FALSE)</f>
        <v>LOCKLEAR TRAVIS</v>
      </c>
      <c r="O16" s="194" t="s">
        <v>185</v>
      </c>
      <c r="P16" s="146" t="s">
        <v>531</v>
      </c>
      <c r="Q16" s="30"/>
      <c r="R16" s="89" t="str">
        <f>IF(VLOOKUP(C16,'Train Runs'!$A$13:$AE$9945,1,1)=C16,VLOOKUP(C16,'Train Runs'!$A$13:$AE$9945,31,1),NA())</f>
        <v>aws s3 cp s3://rtdc.mdm.uploadarchive.raw/RTDC4004/ "%USERPROFILE%\AppData\Local\Temp\OnboardLogs"\RTDC4004\2017-03-08 --exclude "*" --recursive --include "*20170308*" &amp; "%USERPROFILE%\Documents\GitHub\mrs-test-scripts\Headless Mode &amp; Sideloading\WalkAndUnGZ.bat" "%USERPROFILE%\AppData\Local\Temp\OnboardLogs"\RTDC4004\2017-03-08 &amp; 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</v>
      </c>
      <c r="S16" s="92" t="str">
        <f>IF(VLOOKUP(C16,'Train Runs'!$A$13:$AE$9945,1,1)=C16,VLOOKUP(C16,'Train Runs'!$A$13:$AE$9945,22,1),NA())</f>
        <v>https://d0f6bd738d7f1b3e5a7ca70fe4ff75f0.us-east-1.aws.found.io/app/kibana#/discover/Steve-Slow-Train-Analysis-(2080s-and-2083s)?_g=(refreshInterval:(display:Off,pause:!f,section:0,value:0),time:(from:'2017-03-08T11:53:22-0700',mode:absolute,to:'2017-03-08T14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6" s="94" t="str">
        <f t="shared" si="1"/>
        <v>"C:\Program Files (x86)\AstroGrep\AstroGrep.exe" /e /r /s /spath="%USERPROFILE%\AppData\Local\Temp\OnboardLogs" /stypes="*4004*201703082*" /stext=" 20:.+((SYSTEM_STATE.+slice.+state.+changed )|(ment ac)|(multiple cpu faults)|(system.+state.+changed )|(\[timeout)|(PRM\|1\|D)|(kpr)|(kdp)|(\|lc)|(penalty))"</v>
      </c>
      <c r="U16" s="9" t="str">
        <f t="shared" si="2"/>
        <v>4004</v>
      </c>
      <c r="V16" s="32">
        <f t="shared" si="3"/>
        <v>42802.852418981478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{"issue":{"subject":"Form C","project_id":79,"tracker_id":40,"status_id":1,"priority_id":2,"assigned_to_id":23,"start_date":"2017-03-08","description":"","custom_fields":[{"id":1,"name":"Subdivision","value":"EC"},{"id":4,"name":"Milepost","value":"3.3257"},{"id":17,"name":"Train ID","value":"168-08"},{"id":16,"name":"Locomotive ID","value":"4004"},{"id":130,"name":"Impact","value":""},{"id":150,"name":"Time of Event (Mountain Time)","value":"13:27:29"},{"id":151,"name":"Denver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"%USERPROFILE%\AppData\Local\Temp\OnboardLogs"\RTDC4004\*4004*201703082*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"%USERPROFILE%\AppData\Local\Temp\OnboardLogs"\RTDC4004\*4004*201703082* &gt;&gt; 2017-03-08-SliceDisagreementCheck.txt</v>
      </c>
      <c r="AE16" s="157" t="str">
        <f t="shared" si="9"/>
        <v>start /low /b %USERPROFILE%\Documents\GitHub\eaglep3\Utilities\DownloadLogsFromS3.py --loco 4004 --day 2017-03-08</v>
      </c>
      <c r="AF16" s="1"/>
    </row>
    <row r="17" spans="1:32" x14ac:dyDescent="0.25">
      <c r="A17" s="32">
        <v>42803.040150462963</v>
      </c>
      <c r="B17" s="30" t="s">
        <v>449</v>
      </c>
      <c r="C17" s="30" t="s">
        <v>594</v>
      </c>
      <c r="D17" s="30" t="s">
        <v>49</v>
      </c>
      <c r="E17" s="30" t="s">
        <v>195</v>
      </c>
      <c r="F17" s="43">
        <v>420</v>
      </c>
      <c r="G17" s="43">
        <v>497</v>
      </c>
      <c r="H17" s="43">
        <v>43990</v>
      </c>
      <c r="I17" s="43">
        <v>42144</v>
      </c>
      <c r="J17" s="30" t="s">
        <v>196</v>
      </c>
      <c r="K17" s="43">
        <v>42961</v>
      </c>
      <c r="L17" s="143" t="s">
        <v>51</v>
      </c>
      <c r="M17" s="144">
        <f t="shared" si="0"/>
        <v>-431.37599999999998</v>
      </c>
      <c r="N17" s="145" t="str">
        <f>VLOOKUP(C17,'Trips&amp;Operators'!$C$1:$G$99999,5,FALSE)</f>
        <v>STORY SAMANTHA</v>
      </c>
      <c r="O17" s="194" t="s">
        <v>185</v>
      </c>
      <c r="P17" s="146" t="s">
        <v>269</v>
      </c>
      <c r="Q17" s="30"/>
      <c r="R17" s="89" t="str">
        <f>IF(VLOOKUP(C17,'Train Runs'!$A$13:$AE$9945,1,1)=C17,VLOOKUP(C17,'Train Runs'!$A$13:$AE$9945,31,1),NA())</f>
        <v>aws s3 cp s3://rtdc.mdm.uploadarchive.raw/RTDC4010/ "%USERPROFILE%\AppData\Local\Temp\OnboardLogs"\RTDC4010\2017-03-09 --exclude "*" --recursive --include "*20170309*" &amp; "%USERPROFILE%\Documents\GitHub\mrs-test-scripts\Headless Mode &amp; Sideloading\WalkAndUnGZ.bat" "%USERPROFILE%\AppData\Local\Temp\OnboardLogs"\RTDC4010\2017-03-09 &amp; aws s3 cp s3://rtdc.mdm.uploadarchive.raw/RTDC4010/ "%USERPROFILE%\AppData\Local\Temp\OnboardLogs"\RTDC4010\2017-03-10 --exclude "*" --recursive --include "*20170310*" &amp; "%USERPROFILE%\Documents\GitHub\mrs-test-scripts\Headless Mode &amp; Sideloading\WalkAndUnGZ.bat" "%USERPROFILE%\AppData\Local\Temp\OnboardLogs"\RTDC4010\2017-03-10</v>
      </c>
      <c r="S17" s="92" t="str">
        <f>IF(VLOOKUP(C17,'Train Runs'!$A$13:$AE$9945,1,1)=C17,VLOOKUP(C17,'Train Runs'!$A$13:$AE$9945,22,1),NA())</f>
        <v>https://d0f6bd738d7f1b3e5a7ca70fe4ff75f0.us-east-1.aws.found.io/app/kibana#/discover/Steve-Slow-Train-Analysis-(2080s-and-2083s)?_g=(refreshInterval:(display:Off,pause:!f,section:0,value:0),time:(from:'2017-03-08T23:15:30-0700',mode:absolute,to:'2017-03-09T02:11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7" s="94" t="str">
        <f t="shared" si="1"/>
        <v>"C:\Program Files (x86)\AstroGrep\AstroGrep.exe" /e /r /s /spath="%USERPROFILE%\AppData\Local\Temp\OnboardLogs" /stypes="*4010*201703090*" /stext=" 07:.+((SYSTEM_STATE.+slice.+state.+changed )|(ment ac)|(multiple cpu faults)|(system.+state.+changed )|(\[timeout)|(PRM\|1\|D)|(kpr)|(kdp)|(\|lc)|(penalty))"</v>
      </c>
      <c r="U17" s="9" t="str">
        <f t="shared" si="2"/>
        <v>4010</v>
      </c>
      <c r="V17" s="32">
        <f t="shared" si="3"/>
        <v>42803.331817129627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arrival","project_id":79,"tracker_id":40,"status_id":1,"priority_id":2,"assigned_to_id":23,"start_date":"2017-03-09","description":"","custom_fields":[{"id":1,"name":"Subdivision","value":"EC"},{"id":4,"name":"Milepost","value":"4.2961"},{"id":17,"name":"Train ID","value":"240-08"},{"id":16,"name":"Locomotive ID","value":"4010"},{"id":130,"name":"Impact","value":""},{"id":150,"name":"Time of Event (Mountain Time)","value":"00:57:49"},{"id":151,"name":"Denver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"%USERPROFILE%\AppData\Local\Temp\OnboardLogs"\RTDC4010\*4010*201703090*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"%USERPROFILE%\AppData\Local\Temp\OnboardLogs"\RTDC4010\*4010*201703090* &gt;&gt; 2017-03-08-SliceDisagreementCheck.txt</v>
      </c>
      <c r="AE17" s="157" t="str">
        <f t="shared" si="9"/>
        <v>start /low /b %USERPROFILE%\Documents\GitHub\eaglep3\Utilities\DownloadLogsFromS3.py --loco 4010 --day 2017-03-09</v>
      </c>
      <c r="AF17" s="1"/>
    </row>
    <row r="18" spans="1:32" ht="15" customHeight="1" x14ac:dyDescent="0.25">
      <c r="A18" s="32">
        <v>42802.321203703701</v>
      </c>
      <c r="B18" s="30" t="s">
        <v>450</v>
      </c>
      <c r="C18" s="30" t="s">
        <v>570</v>
      </c>
      <c r="D18" s="30" t="s">
        <v>49</v>
      </c>
      <c r="E18" s="30" t="s">
        <v>195</v>
      </c>
      <c r="F18" s="43">
        <v>0</v>
      </c>
      <c r="G18" s="43">
        <v>427</v>
      </c>
      <c r="H18" s="43">
        <v>47372</v>
      </c>
      <c r="I18" s="43">
        <v>48452</v>
      </c>
      <c r="J18" s="30" t="s">
        <v>196</v>
      </c>
      <c r="K18" s="43">
        <v>47866</v>
      </c>
      <c r="L18" s="143" t="s">
        <v>50</v>
      </c>
      <c r="M18" s="144">
        <f t="shared" si="0"/>
        <v>-309.40800000000002</v>
      </c>
      <c r="N18" s="145" t="str">
        <f>VLOOKUP(C18,'Trips&amp;Operators'!$C$1:$G$99999,5,FALSE)</f>
        <v>MAELZER KURT</v>
      </c>
      <c r="O18" s="194" t="s">
        <v>185</v>
      </c>
      <c r="P18" s="146" t="s">
        <v>269</v>
      </c>
      <c r="Q18" s="30"/>
      <c r="R18" s="89" t="str">
        <f>IF(VLOOKUP(C18,'Train Runs'!$A$13:$AE$9945,1,1)=C18,VLOOKUP(C18,'Train Runs'!$A$13:$AE$9945,31,1),NA())</f>
        <v>aws s3 cp s3://rtdc.mdm.uploadarchive.raw/RTDC4009/ "%USERPROFILE%\AppData\Local\Temp\OnboardLogs"\RTDC4009\2017-03-08 --exclude "*" --recursive --include "*20170308*" &amp; "%USERPROFILE%\Documents\GitHub\mrs-test-scripts\Headless Mode &amp; Sideloading\WalkAndUnGZ.bat" "%USERPROFILE%\AppData\Local\Temp\OnboardLogs"\RTDC4009\2017-03-08 &amp; aws s3 cp s3://rtdc.mdm.uploadarchive.raw/RTDC4009/ "%USERPROFILE%\AppData\Local\Temp\OnboardLogs"\RTDC4009\2017-03-09 --exclude "*" --recursive --include "*20170309*" &amp; "%USERPROFILE%\Documents\GitHub\mrs-test-scripts\Headless Mode &amp; Sideloading\WalkAndUnGZ.bat" "%USERPROFILE%\AppData\Local\Temp\OnboardLogs"\RTDC4009\2017-03-09</v>
      </c>
      <c r="S18" s="92" t="str">
        <f>IF(VLOOKUP(C18,'Train Runs'!$A$13:$AE$9945,1,1)=C18,VLOOKUP(C18,'Train Runs'!$A$13:$AE$9945,22,1),NA())</f>
        <v>https://d0f6bd738d7f1b3e5a7ca70fe4ff75f0.us-east-1.aws.found.io/app/kibana#/discover/Steve-Slow-Train-Analysis-(2080s-and-2083s)?_g=(refreshInterval:(display:Off,pause:!f,section:0,value:0),time:(from:'2017-03-08T06:24:20-0700',mode:absolute,to:'2017-03-08T09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8" s="94" t="str">
        <f t="shared" si="1"/>
        <v>"C:\Program Files (x86)\AstroGrep\AstroGrep.exe" /e /r /s /spath="%USERPROFILE%\AppData\Local\Temp\OnboardLogs" /stypes="*4009*201703081*" /stext=" 14:.+((SYSTEM_STATE.+slice.+state.+changed )|(ment ac)|(multiple cpu faults)|(system.+state.+changed )|(\[timeout)|(PRM\|1\|D)|(kpr)|(kdp)|(\|lc)|(penalty))"</v>
      </c>
      <c r="U18" s="9" t="str">
        <f t="shared" si="2"/>
        <v>4009</v>
      </c>
      <c r="V18" s="32">
        <f t="shared" si="3"/>
        <v>42802.612870370365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arrival","project_id":79,"tracker_id":40,"status_id":1,"priority_id":2,"assigned_to_id":23,"start_date":"2017-03-08","description":"","custom_fields":[{"id":1,"name":"Subdivision","value":"EC"},{"id":4,"name":"Milepost","value":"4.7866"},{"id":17,"name":"Train ID","value":"131-08"},{"id":16,"name":"Locomotive ID","value":"4009"},{"id":130,"name":"Impact","value":""},{"id":150,"name":"Time of Event (Mountain Time)","value":"07:42:32"},{"id":151,"name":"Denver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"%USERPROFILE%\AppData\Local\Temp\OnboardLogs"\RTDC4009\*4009*201703081*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"%USERPROFILE%\AppData\Local\Temp\OnboardLogs"\RTDC4009\*4009*201703081* &gt;&gt; 2017-03-08-SliceDisagreementCheck.txt</v>
      </c>
      <c r="AE18" s="157" t="str">
        <f t="shared" si="9"/>
        <v>start /low /b %USERPROFILE%\Documents\GitHub\eaglep3\Utilities\DownloadLogsFromS3.py --loco 4009 --day 2017-03-08</v>
      </c>
      <c r="AF18" s="1"/>
    </row>
    <row r="19" spans="1:32" x14ac:dyDescent="0.25">
      <c r="A19" s="32">
        <v>42802.311307870368</v>
      </c>
      <c r="B19" s="30" t="s">
        <v>568</v>
      </c>
      <c r="C19" s="30" t="s">
        <v>569</v>
      </c>
      <c r="D19" s="30" t="s">
        <v>49</v>
      </c>
      <c r="E19" s="30" t="s">
        <v>195</v>
      </c>
      <c r="F19" s="43">
        <v>0</v>
      </c>
      <c r="G19" s="43">
        <v>465</v>
      </c>
      <c r="H19" s="43">
        <v>52439</v>
      </c>
      <c r="I19" s="43">
        <v>53458</v>
      </c>
      <c r="J19" s="30" t="s">
        <v>196</v>
      </c>
      <c r="K19" s="43">
        <v>53156</v>
      </c>
      <c r="L19" s="143" t="s">
        <v>50</v>
      </c>
      <c r="M19" s="144">
        <f t="shared" si="0"/>
        <v>-159.45599999999999</v>
      </c>
      <c r="N19" s="145" t="str">
        <f>VLOOKUP(C19,'Trips&amp;Operators'!$C$1:$G$99999,5,FALSE)</f>
        <v>STARKS ANGELINA</v>
      </c>
      <c r="O19" s="194" t="s">
        <v>185</v>
      </c>
      <c r="P19" s="146" t="s">
        <v>269</v>
      </c>
      <c r="Q19" s="30"/>
      <c r="R19" s="89" t="str">
        <f>IF(VLOOKUP(C19,'Train Runs'!$A$13:$AE$9945,1,1)=C19,VLOOKUP(C19,'Train Runs'!$A$13:$AE$9945,31,1),NA())</f>
        <v>aws s3 cp s3://rtdc.mdm.uploadarchive.raw/RTDC4042/ "%USERPROFILE%\AppData\Local\Temp\OnboardLogs"\RTDC4042\2017-03-08 --exclude "*" --recursive --include "*20170308*" &amp; "%USERPROFILE%\Documents\GitHub\mrs-test-scripts\Headless Mode &amp; Sideloading\WalkAndUnGZ.bat" "%USERPROFILE%\AppData\Local\Temp\OnboardLogs"\RTDC4042\2017-03-08 &amp; aws s3 cp s3://rtdc.mdm.uploadarchive.raw/RTDC4042/ "%USERPROFILE%\AppData\Local\Temp\OnboardLogs"\RTDC4042\2017-03-09 --exclude "*" --recursive --include "*20170309*" &amp; "%USERPROFILE%\Documents\GitHub\mrs-test-scripts\Headless Mode &amp; Sideloading\WalkAndUnGZ.bat" "%USERPROFILE%\AppData\Local\Temp\OnboardLogs"\RTDC4042\2017-03-09</v>
      </c>
      <c r="S19" s="92" t="str">
        <f>IF(VLOOKUP(C19,'Train Runs'!$A$13:$AE$9945,1,1)=C19,VLOOKUP(C19,'Train Runs'!$A$13:$AE$9945,22,1),NA())</f>
        <v>https://d0f6bd738d7f1b3e5a7ca70fe4ff75f0.us-east-1.aws.found.io/app/kibana#/discover/Steve-Slow-Train-Analysis-(2080s-and-2083s)?_g=(refreshInterval:(display:Off,pause:!f,section:0,value:0),time:(from:'2017-03-08T06:11:03-0700',mode:absolute,to:'2017-03-08T08:53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9" s="94" t="str">
        <f t="shared" si="1"/>
        <v>"C:\Program Files (x86)\AstroGrep\AstroGrep.exe" /e /r /s /spath="%USERPROFILE%\AppData\Local\Temp\OnboardLogs" /stypes="*4042*201703081*" /stext=" 14:.+((SYSTEM_STATE.+slice.+state.+changed )|(ment ac)|(multiple cpu faults)|(system.+state.+changed )|(\[timeout)|(PRM\|1\|D)|(kpr)|(kdp)|(\|lc)|(penalty))"</v>
      </c>
      <c r="U19" s="9" t="str">
        <f t="shared" si="2"/>
        <v>4042</v>
      </c>
      <c r="V19" s="32">
        <f t="shared" si="3"/>
        <v>42802.602974537032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arrival","project_id":79,"tracker_id":40,"status_id":1,"priority_id":2,"assigned_to_id":23,"start_date":"2017-03-08","description":"","custom_fields":[{"id":1,"name":"Subdivision","value":"EC"},{"id":4,"name":"Milepost","value":"5.3156"},{"id":17,"name":"Train ID","value":"129-08"},{"id":16,"name":"Locomotive ID","value":"4042"},{"id":130,"name":"Impact","value":""},{"id":150,"name":"Time of Event (Mountain Time)","value":"07:28:17"},{"id":151,"name":"Denver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"%USERPROFILE%\AppData\Local\Temp\OnboardLogs"\RTDC4042\*4042*201703081*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"%USERPROFILE%\AppData\Local\Temp\OnboardLogs"\RTDC4042\*4042*201703081* &gt;&gt; 2017-03-08-SliceDisagreementCheck.txt</v>
      </c>
      <c r="AE19" s="157" t="str">
        <f t="shared" si="9"/>
        <v>start /low /b %USERPROFILE%\Documents\GitHub\eaglep3\Utilities\DownloadLogsFromS3.py --loco 4042 --day 2017-03-08</v>
      </c>
      <c r="AF19" s="1"/>
    </row>
    <row r="20" spans="1:32" x14ac:dyDescent="0.25">
      <c r="A20" s="32">
        <v>42802.719699074078</v>
      </c>
      <c r="B20" s="30" t="s">
        <v>439</v>
      </c>
      <c r="C20" s="30" t="s">
        <v>587</v>
      </c>
      <c r="D20" s="30" t="s">
        <v>49</v>
      </c>
      <c r="E20" s="30" t="s">
        <v>195</v>
      </c>
      <c r="F20" s="43">
        <v>460</v>
      </c>
      <c r="G20" s="43">
        <v>528</v>
      </c>
      <c r="H20" s="43">
        <v>62025</v>
      </c>
      <c r="I20" s="43">
        <v>63674</v>
      </c>
      <c r="J20" s="30" t="s">
        <v>196</v>
      </c>
      <c r="K20" s="43">
        <v>63069</v>
      </c>
      <c r="L20" s="143" t="s">
        <v>50</v>
      </c>
      <c r="M20" s="144">
        <f t="shared" si="0"/>
        <v>-319.44</v>
      </c>
      <c r="N20" s="145" t="str">
        <f>VLOOKUP(C20,'Trips&amp;Operators'!$C$1:$G$99999,5,FALSE)</f>
        <v>HELVIE ADAM</v>
      </c>
      <c r="O20" s="194" t="s">
        <v>185</v>
      </c>
      <c r="P20" s="146" t="s">
        <v>269</v>
      </c>
      <c r="Q20" s="30"/>
      <c r="R20" s="89" t="str">
        <f>IF(VLOOKUP(C20,'Train Runs'!$A$13:$AE$9945,1,1)=C20,VLOOKUP(C20,'Train Runs'!$A$13:$AE$9945,31,1),NA())</f>
        <v>aws s3 cp s3://rtdc.mdm.uploadarchive.raw/RTDC4029/ "%USERPROFILE%\AppData\Local\Temp\OnboardLogs"\RTDC4029\2017-03-08 --exclude "*" --recursive --include "*20170308*" &amp; "%USERPROFILE%\Documents\GitHub\mrs-test-scripts\Headless Mode &amp; Sideloading\WalkAndUnGZ.bat" "%USERPROFILE%\AppData\Local\Temp\OnboardLogs"\RTDC4029\2017-03-08 &amp; 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</v>
      </c>
      <c r="S20" s="92" t="str">
        <f>IF(VLOOKUP(C20,'Train Runs'!$A$13:$AE$9945,1,1)=C20,VLOOKUP(C20,'Train Runs'!$A$13:$AE$9945,22,1),NA())</f>
        <v>https://d0f6bd738d7f1b3e5a7ca70fe4ff75f0.us-east-1.aws.found.io/app/kibana#/discover/Steve-Slow-Train-Analysis-(2080s-and-2083s)?_g=(refreshInterval:(display:Off,pause:!f,section:0,value:0),time:(from:'2017-03-08T15:54:58-0700',mode:absolute,to:'2017-03-08T18:40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0" s="94" t="str">
        <f t="shared" si="1"/>
        <v>"C:\Program Files (x86)\AstroGrep\AstroGrep.exe" /e /r /s /spath="%USERPROFILE%\AppData\Local\Temp\OnboardLogs" /stypes="*4029*201703090*" /stext=" 00:.+((SYSTEM_STATE.+slice.+state.+changed )|(ment ac)|(multiple cpu faults)|(system.+state.+changed )|(\[timeout)|(PRM\|1\|D)|(kpr)|(kdp)|(\|lc)|(penalty))"</v>
      </c>
      <c r="U20" s="9" t="str">
        <f t="shared" si="2"/>
        <v>4029</v>
      </c>
      <c r="V20" s="32">
        <f t="shared" si="3"/>
        <v>42803.011365740742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arrival","project_id":79,"tracker_id":40,"status_id":1,"priority_id":2,"assigned_to_id":23,"start_date":"2017-03-08","description":"","custom_fields":[{"id":1,"name":"Subdivision","value":"EC"},{"id":4,"name":"Milepost","value":"6.3069"},{"id":17,"name":"Train ID","value":"207-08"},{"id":16,"name":"Locomotive ID","value":"4029"},{"id":130,"name":"Impact","value":""},{"id":150,"name":"Time of Event (Mountain Time)","value":"17:16:22"},{"id":151,"name":"Denver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"%USERPROFILE%\AppData\Local\Temp\OnboardLogs"\RTDC4029\*4029*201703090*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"%USERPROFILE%\AppData\Local\Temp\OnboardLogs"\RTDC4029\*4029*201703090* &gt;&gt; 2017-03-08-SliceDisagreementCheck.txt</v>
      </c>
      <c r="AE20" s="157" t="str">
        <f t="shared" si="9"/>
        <v>start /low /b %USERPROFILE%\Documents\GitHub\eaglep3\Utilities\DownloadLogsFromS3.py --loco 4029 --day 2017-03-09</v>
      </c>
      <c r="AF20" s="1"/>
    </row>
    <row r="21" spans="1:32" x14ac:dyDescent="0.25">
      <c r="A21" s="32">
        <v>42803.037256944444</v>
      </c>
      <c r="B21" s="30" t="s">
        <v>449</v>
      </c>
      <c r="C21" s="30" t="s">
        <v>594</v>
      </c>
      <c r="D21" s="30" t="s">
        <v>49</v>
      </c>
      <c r="E21" s="30" t="s">
        <v>195</v>
      </c>
      <c r="F21" s="43">
        <v>70</v>
      </c>
      <c r="G21" s="43">
        <v>136</v>
      </c>
      <c r="H21" s="43">
        <v>64021</v>
      </c>
      <c r="I21" s="43">
        <v>63884</v>
      </c>
      <c r="J21" s="30" t="s">
        <v>196</v>
      </c>
      <c r="K21" s="43">
        <v>63309</v>
      </c>
      <c r="L21" s="143" t="s">
        <v>51</v>
      </c>
      <c r="M21" s="144">
        <f t="shared" si="0"/>
        <v>303.60000000000002</v>
      </c>
      <c r="N21" s="145" t="str">
        <f>VLOOKUP(C21,'Trips&amp;Operators'!$C$1:$G$99999,5,FALSE)</f>
        <v>STORY SAMANTHA</v>
      </c>
      <c r="O21" s="194" t="s">
        <v>185</v>
      </c>
      <c r="P21" s="146" t="s">
        <v>269</v>
      </c>
      <c r="Q21" s="30"/>
      <c r="R21" s="89" t="str">
        <f>IF(VLOOKUP(C21,'Train Runs'!$A$13:$AE$9945,1,1)=C21,VLOOKUP(C21,'Train Runs'!$A$13:$AE$9945,31,1),NA())</f>
        <v>aws s3 cp s3://rtdc.mdm.uploadarchive.raw/RTDC4010/ "%USERPROFILE%\AppData\Local\Temp\OnboardLogs"\RTDC4010\2017-03-09 --exclude "*" --recursive --include "*20170309*" &amp; "%USERPROFILE%\Documents\GitHub\mrs-test-scripts\Headless Mode &amp; Sideloading\WalkAndUnGZ.bat" "%USERPROFILE%\AppData\Local\Temp\OnboardLogs"\RTDC4010\2017-03-09 &amp; aws s3 cp s3://rtdc.mdm.uploadarchive.raw/RTDC4010/ "%USERPROFILE%\AppData\Local\Temp\OnboardLogs"\RTDC4010\2017-03-10 --exclude "*" --recursive --include "*20170310*" &amp; "%USERPROFILE%\Documents\GitHub\mrs-test-scripts\Headless Mode &amp; Sideloading\WalkAndUnGZ.bat" "%USERPROFILE%\AppData\Local\Temp\OnboardLogs"\RTDC4010\2017-03-10</v>
      </c>
      <c r="S21" s="92" t="str">
        <f>IF(VLOOKUP(C21,'Train Runs'!$A$13:$AE$9945,1,1)=C21,VLOOKUP(C21,'Train Runs'!$A$13:$AE$9945,22,1),NA())</f>
        <v>https://d0f6bd738d7f1b3e5a7ca70fe4ff75f0.us-east-1.aws.found.io/app/kibana#/discover/Steve-Slow-Train-Analysis-(2080s-and-2083s)?_g=(refreshInterval:(display:Off,pause:!f,section:0,value:0),time:(from:'2017-03-08T23:15:30-0700',mode:absolute,to:'2017-03-09T02:11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1" s="94" t="str">
        <f t="shared" si="1"/>
        <v>"C:\Program Files (x86)\AstroGrep\AstroGrep.exe" /e /r /s /spath="%USERPROFILE%\AppData\Local\Temp\OnboardLogs" /stypes="*4010*201703090*" /stext=" 07:.+((SYSTEM_STATE.+slice.+state.+changed )|(ment ac)|(multiple cpu faults)|(system.+state.+changed )|(\[timeout)|(PRM\|1\|D)|(kpr)|(kdp)|(\|lc)|(penalty))"</v>
      </c>
      <c r="U21" s="9" t="str">
        <f t="shared" si="2"/>
        <v>4010</v>
      </c>
      <c r="V21" s="32">
        <f t="shared" si="3"/>
        <v>42803.328923611109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arrival","project_id":79,"tracker_id":40,"status_id":1,"priority_id":2,"assigned_to_id":23,"start_date":"2017-03-09","description":"","custom_fields":[{"id":1,"name":"Subdivision","value":"EC"},{"id":4,"name":"Milepost","value":"6.3309"},{"id":17,"name":"Train ID","value":"240-08"},{"id":16,"name":"Locomotive ID","value":"4010"},{"id":130,"name":"Impact","value":""},{"id":150,"name":"Time of Event (Mountain Time)","value":"00:53:39"},{"id":151,"name":"Denver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"%USERPROFILE%\AppData\Local\Temp\OnboardLogs"\RTDC4010\*4010*201703090*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"%USERPROFILE%\AppData\Local\Temp\OnboardLogs"\RTDC4010\*4010*201703090* &gt;&gt; 2017-03-08-SliceDisagreementCheck.txt</v>
      </c>
      <c r="AE21" s="157" t="str">
        <f t="shared" si="9"/>
        <v>start /low /b %USERPROFILE%\Documents\GitHub\eaglep3\Utilities\DownloadLogsFromS3.py --loco 4010 --day 2017-03-09</v>
      </c>
      <c r="AF21" s="1"/>
    </row>
    <row r="22" spans="1:32" x14ac:dyDescent="0.25">
      <c r="A22" s="32">
        <v>42802.757384259261</v>
      </c>
      <c r="B22" s="30" t="s">
        <v>568</v>
      </c>
      <c r="C22" s="30" t="s">
        <v>588</v>
      </c>
      <c r="D22" s="30" t="s">
        <v>49</v>
      </c>
      <c r="E22" s="30" t="s">
        <v>195</v>
      </c>
      <c r="F22" s="43">
        <v>620</v>
      </c>
      <c r="G22" s="43">
        <v>719</v>
      </c>
      <c r="H22" s="43">
        <v>106272</v>
      </c>
      <c r="I22" s="43">
        <v>109289</v>
      </c>
      <c r="J22" s="30" t="s">
        <v>196</v>
      </c>
      <c r="K22" s="43">
        <v>108954</v>
      </c>
      <c r="L22" s="143" t="s">
        <v>50</v>
      </c>
      <c r="M22" s="144">
        <f t="shared" si="0"/>
        <v>-176.88000000000002</v>
      </c>
      <c r="N22" s="145" t="str">
        <f>VLOOKUP(C22,'Trips&amp;Operators'!$C$1:$G$99999,5,FALSE)</f>
        <v>STORY SAMANTHA</v>
      </c>
      <c r="O22" s="194" t="s">
        <v>185</v>
      </c>
      <c r="P22" s="146" t="s">
        <v>269</v>
      </c>
      <c r="Q22" s="30"/>
      <c r="R22" s="89" t="str">
        <f>IF(VLOOKUP(C22,'Train Runs'!$A$13:$AE$9945,1,1)=C22,VLOOKUP(C22,'Train Runs'!$A$13:$AE$9945,31,1),NA())</f>
        <v>aws s3 cp s3://rtdc.mdm.uploadarchive.raw/RTDC4042/ "%USERPROFILE%\AppData\Local\Temp\OnboardLogs"\RTDC4042\2017-03-08 --exclude "*" --recursive --include "*20170308*" &amp; "%USERPROFILE%\Documents\GitHub\mrs-test-scripts\Headless Mode &amp; Sideloading\WalkAndUnGZ.bat" "%USERPROFILE%\AppData\Local\Temp\OnboardLogs"\RTDC4042\2017-03-08 &amp; aws s3 cp s3://rtdc.mdm.uploadarchive.raw/RTDC4042/ "%USERPROFILE%\AppData\Local\Temp\OnboardLogs"\RTDC4042\2017-03-09 --exclude "*" --recursive --include "*20170309*" &amp; "%USERPROFILE%\Documents\GitHub\mrs-test-scripts\Headless Mode &amp; Sideloading\WalkAndUnGZ.bat" "%USERPROFILE%\AppData\Local\Temp\OnboardLogs"\RTDC4042\2017-03-09</v>
      </c>
      <c r="S22" s="92" t="str">
        <f>IF(VLOOKUP(C22,'Train Runs'!$A$13:$AE$9945,1,1)=C22,VLOOKUP(C22,'Train Runs'!$A$13:$AE$9945,22,1),NA())</f>
        <v>https://d0f6bd738d7f1b3e5a7ca70fe4ff75f0.us-east-1.aws.found.io/app/kibana#/discover/Steve-Slow-Train-Analysis-(2080s-and-2083s)?_g=(refreshInterval:(display:Off,pause:!f,section:0,value:0),time:(from:'2017-03-08T16:47:28-0700',mode:absolute,to:'2017-03-08T19:27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2" s="94" t="str">
        <f t="shared" si="1"/>
        <v>"C:\Program Files (x86)\AstroGrep\AstroGrep.exe" /e /r /s /spath="%USERPROFILE%\AppData\Local\Temp\OnboardLogs" /stypes="*4042*201703090*" /stext=" 01:.+((SYSTEM_STATE.+slice.+state.+changed )|(ment ac)|(multiple cpu faults)|(system.+state.+changed )|(\[timeout)|(PRM\|1\|D)|(kpr)|(kdp)|(\|lc)|(penalty))"</v>
      </c>
      <c r="U22" s="9" t="str">
        <f t="shared" si="2"/>
        <v>4042</v>
      </c>
      <c r="V22" s="32">
        <f t="shared" si="3"/>
        <v>42803.049050925925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arrival","project_id":79,"tracker_id":40,"status_id":1,"priority_id":2,"assigned_to_id":23,"start_date":"2017-03-08","description":"","custom_fields":[{"id":1,"name":"Subdivision","value":"EC"},{"id":4,"name":"Milepost","value":"10.8954"},{"id":17,"name":"Train ID","value":"213-08"},{"id":16,"name":"Locomotive ID","value":"4042"},{"id":130,"name":"Impact","value":""},{"id":150,"name":"Time of Event (Mountain Time)","value":"18:10:38"},{"id":151,"name":"Denver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"%USERPROFILE%\AppData\Local\Temp\OnboardLogs"\RTDC4042\*4042*201703090*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"%USERPROFILE%\AppData\Local\Temp\OnboardLogs"\RTDC4042\*4042*201703090* &gt;&gt; 2017-03-08-SliceDisagreementCheck.txt</v>
      </c>
      <c r="AE22" s="157" t="str">
        <f t="shared" si="9"/>
        <v>start /low /b %USERPROFILE%\Documents\GitHub\eaglep3\Utilities\DownloadLogsFromS3.py --loco 4042 --day 2017-03-09</v>
      </c>
      <c r="AF22" s="1"/>
    </row>
    <row r="23" spans="1:32" x14ac:dyDescent="0.25">
      <c r="A23" s="32">
        <v>42802.551817129628</v>
      </c>
      <c r="B23" s="30" t="s">
        <v>429</v>
      </c>
      <c r="C23" s="30" t="s">
        <v>583</v>
      </c>
      <c r="D23" s="30" t="s">
        <v>49</v>
      </c>
      <c r="E23" s="30" t="s">
        <v>195</v>
      </c>
      <c r="F23" s="43">
        <v>0</v>
      </c>
      <c r="G23" s="43">
        <v>364</v>
      </c>
      <c r="H23" s="43">
        <v>109243</v>
      </c>
      <c r="I23" s="43">
        <v>108370</v>
      </c>
      <c r="J23" s="30" t="s">
        <v>196</v>
      </c>
      <c r="K23" s="43">
        <v>109135</v>
      </c>
      <c r="L23" s="143" t="s">
        <v>51</v>
      </c>
      <c r="M23" s="144">
        <f t="shared" si="0"/>
        <v>-403.92</v>
      </c>
      <c r="N23" s="145" t="str">
        <f>VLOOKUP(C23,'Trips&amp;Operators'!$C$1:$G$99999,5,FALSE)</f>
        <v>LOCKLEAR TRAVIS</v>
      </c>
      <c r="O23" s="194" t="s">
        <v>185</v>
      </c>
      <c r="P23" s="146" t="s">
        <v>269</v>
      </c>
      <c r="Q23" s="30"/>
      <c r="R23" s="89" t="str">
        <f>IF(VLOOKUP(C23,'Train Runs'!$A$13:$AE$9945,1,1)=C23,VLOOKUP(C23,'Train Runs'!$A$13:$AE$9945,31,1),NA())</f>
        <v>aws s3 cp s3://rtdc.mdm.uploadarchive.raw/RTDC4004/ "%USERPROFILE%\AppData\Local\Temp\OnboardLogs"\RTDC4004\2017-03-08 --exclude "*" --recursive --include "*20170308*" &amp; "%USERPROFILE%\Documents\GitHub\mrs-test-scripts\Headless Mode &amp; Sideloading\WalkAndUnGZ.bat" "%USERPROFILE%\AppData\Local\Temp\OnboardLogs"\RTDC4004\2017-03-08 &amp; 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</v>
      </c>
      <c r="S23" s="92" t="str">
        <f>IF(VLOOKUP(C23,'Train Runs'!$A$13:$AE$9945,1,1)=C23,VLOOKUP(C23,'Train Runs'!$A$13:$AE$9945,22,1),NA())</f>
        <v>https://d0f6bd738d7f1b3e5a7ca70fe4ff75f0.us-east-1.aws.found.io/app/kibana#/discover/Steve-Slow-Train-Analysis-(2080s-and-2083s)?_g=(refreshInterval:(display:Off,pause:!f,section:0,value:0),time:(from:'2017-03-08T11:53:22-0700',mode:absolute,to:'2017-03-08T14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3" s="94" t="str">
        <f t="shared" si="1"/>
        <v>"C:\Program Files (x86)\AstroGrep\AstroGrep.exe" /e /r /s /spath="%USERPROFILE%\AppData\Local\Temp\OnboardLogs" /stypes="*4004*201703082*" /stext=" 20:.+((SYSTEM_STATE.+slice.+state.+changed )|(ment ac)|(multiple cpu faults)|(system.+state.+changed )|(\[timeout)|(PRM\|1\|D)|(kpr)|(kdp)|(\|lc)|(penalty))"</v>
      </c>
      <c r="U23" s="9" t="str">
        <f t="shared" si="2"/>
        <v>4004</v>
      </c>
      <c r="V23" s="32">
        <f t="shared" si="3"/>
        <v>42802.843483796292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{"issue":{"subject":"Early arrival","project_id":79,"tracker_id":40,"status_id":1,"priority_id":2,"assigned_to_id":23,"start_date":"2017-03-08","description":"","custom_fields":[{"id":1,"name":"Subdivision","value":"EC"},{"id":4,"name":"Milepost","value":"10.9135"},{"id":17,"name":"Train ID","value":"168-08"},{"id":16,"name":"Locomotive ID","value":"4004"},{"id":130,"name":"Impact","value":""},{"id":150,"name":"Time of Event (Mountain Time)","value":"13:14:37"},{"id":151,"name":"Denver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"%USERPROFILE%\AppData\Local\Temp\OnboardLogs"\RTDC4004\*4004*201703082*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"%USERPROFILE%\AppData\Local\Temp\OnboardLogs"\RTDC4004\*4004*201703082* &gt;&gt; 2017-03-08-SliceDisagreementCheck.txt</v>
      </c>
      <c r="AE23" s="157" t="str">
        <f t="shared" si="9"/>
        <v>start /low /b %USERPROFILE%\Documents\GitHub\eaglep3\Utilities\DownloadLogsFromS3.py --loco 4004 --day 2017-03-08</v>
      </c>
      <c r="AF23" s="1"/>
    </row>
    <row r="24" spans="1:32" x14ac:dyDescent="0.25">
      <c r="A24" s="32">
        <v>42802.323333333334</v>
      </c>
      <c r="B24" s="30" t="s">
        <v>204</v>
      </c>
      <c r="C24" s="30" t="s">
        <v>572</v>
      </c>
      <c r="D24" s="30" t="s">
        <v>98</v>
      </c>
      <c r="E24" s="30" t="s">
        <v>195</v>
      </c>
      <c r="F24" s="43">
        <v>390</v>
      </c>
      <c r="G24" s="43">
        <v>447</v>
      </c>
      <c r="H24" s="43">
        <v>108966</v>
      </c>
      <c r="I24" s="43">
        <v>107454</v>
      </c>
      <c r="J24" s="30" t="s">
        <v>196</v>
      </c>
      <c r="K24" s="43">
        <v>109135</v>
      </c>
      <c r="L24" s="143" t="s">
        <v>51</v>
      </c>
      <c r="M24" s="144">
        <f t="shared" si="0"/>
        <v>-887.56799999999998</v>
      </c>
      <c r="N24" s="145" t="str">
        <f>VLOOKUP(C24,'Trips&amp;Operators'!$C$1:$G$99999,5,FALSE)</f>
        <v>SANTIZO D. EDY</v>
      </c>
      <c r="O24" s="194" t="s">
        <v>185</v>
      </c>
      <c r="P24" s="146" t="s">
        <v>269</v>
      </c>
      <c r="Q24" s="30"/>
      <c r="R24" s="89" t="str">
        <f>IF(VLOOKUP(C24,'Train Runs'!$A$13:$AE$9945,1,1)=C24,VLOOKUP(C24,'Train Runs'!$A$13:$AE$9945,31,1),NA())</f>
        <v>aws s3 cp s3://rtdc.mdm.uploadarchive.raw/RTDC4030/ "%USERPROFILE%\AppData\Local\Temp\OnboardLogs"\RTDC4030\2017-03-08 --exclude "*" --recursive --include "*20170308*" &amp; "%USERPROFILE%\Documents\GitHub\mrs-test-scripts\Headless Mode &amp; Sideloading\WalkAndUnGZ.bat" "%USERPROFILE%\AppData\Local\Temp\OnboardLogs"\RTDC4030\2017-03-08 &amp; 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</v>
      </c>
      <c r="S24" s="92" t="str">
        <f>IF(VLOOKUP(C24,'Train Runs'!$A$13:$AE$9945,1,1)=C24,VLOOKUP(C24,'Train Runs'!$A$13:$AE$9945,22,1),NA())</f>
        <v>https://d0f6bd738d7f1b3e5a7ca70fe4ff75f0.us-east-1.aws.found.io/app/kibana#/discover/Steve-Slow-Train-Analysis-(2080s-and-2083s)?_g=(refreshInterval:(display:Off,pause:!f,section:0,value:0),time:(from:'2017-03-08T06:08:02-0700',mode:absolute,to:'2017-03-08T09:08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4" s="94" t="str">
        <f t="shared" si="1"/>
        <v>"C:\Program Files (x86)\AstroGrep\AstroGrep.exe" /e /r /s /spath="%USERPROFILE%\AppData\Local\Temp\OnboardLogs" /stypes="*4030*201703081*" /stext=" 14:.+((SYSTEM_STATE.+slice.+state.+changed )|(ment ac)|(multiple cpu faults)|(system.+state.+changed )|(\[timeout)|(PRM\|1\|D)|(kpr)|(kdp)|(\|lc)|(penalty))"</v>
      </c>
      <c r="U24" s="9" t="str">
        <f t="shared" si="2"/>
        <v>4030</v>
      </c>
      <c r="V24" s="32">
        <f t="shared" si="3"/>
        <v>42802.614999999998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{"issue":{"subject":"Early arrival","project_id":79,"tracker_id":40,"status_id":1,"priority_id":2,"assigned_to_id":23,"start_date":"2017-03-08","description":"","custom_fields":[{"id":1,"name":"Subdivision","value":"EC"},{"id":4,"name":"Milepost","value":"10.9135"},{"id":17,"name":"Train ID","value":"124-08"},{"id":16,"name":"Locomotive ID","value":"4030"},{"id":130,"name":"Impact","value":""},{"id":150,"name":"Time of Event (Mountain Time)","value":"07:45:36"},{"id":151,"name":"Denver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"%USERPROFILE%\AppData\Local\Temp\OnboardLogs"\RTDC4030\*4030*201703081*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"%USERPROFILE%\AppData\Local\Temp\OnboardLogs"\RTDC4030\*4030*201703081* &gt;&gt; 2017-03-08-SliceDisagreementCheck.txt</v>
      </c>
      <c r="AE24" s="157" t="str">
        <f t="shared" si="9"/>
        <v>start /low /b %USERPROFILE%\Documents\GitHub\eaglep3\Utilities\DownloadLogsFromS3.py --loco 4030 --day 2017-03-08</v>
      </c>
      <c r="AF24" s="1"/>
    </row>
    <row r="25" spans="1:32" x14ac:dyDescent="0.25">
      <c r="A25" s="32">
        <v>42802.280636574076</v>
      </c>
      <c r="B25" s="30" t="s">
        <v>566</v>
      </c>
      <c r="C25" s="30" t="s">
        <v>567</v>
      </c>
      <c r="D25" s="30" t="s">
        <v>49</v>
      </c>
      <c r="E25" s="30" t="s">
        <v>195</v>
      </c>
      <c r="F25" s="43">
        <v>420</v>
      </c>
      <c r="G25" s="43">
        <v>472</v>
      </c>
      <c r="H25" s="43">
        <v>110363</v>
      </c>
      <c r="I25" s="43">
        <v>108921</v>
      </c>
      <c r="J25" s="30" t="s">
        <v>196</v>
      </c>
      <c r="K25" s="43">
        <v>109135</v>
      </c>
      <c r="L25" s="143" t="s">
        <v>51</v>
      </c>
      <c r="M25" s="144">
        <f t="shared" si="0"/>
        <v>-112.992</v>
      </c>
      <c r="N25" s="145" t="str">
        <f>VLOOKUP(C25,'Trips&amp;Operators'!$C$1:$G$99999,5,FALSE)</f>
        <v>STARKS ANGELINA</v>
      </c>
      <c r="O25" s="194" t="s">
        <v>185</v>
      </c>
      <c r="P25" s="146" t="s">
        <v>269</v>
      </c>
      <c r="Q25" s="30"/>
      <c r="R25" s="89" t="str">
        <f>IF(VLOOKUP(C25,'Train Runs'!$A$13:$AE$9945,1,1)=C25,VLOOKUP(C25,'Train Runs'!$A$13:$AE$9945,31,1),NA())</f>
        <v>aws s3 cp s3://rtdc.mdm.uploadarchive.raw/RTDC4041/ "%USERPROFILE%\AppData\Local\Temp\OnboardLogs"\RTDC4041\2017-03-08 --exclude "*" --recursive --include "*20170308*" &amp; "%USERPROFILE%\Documents\GitHub\mrs-test-scripts\Headless Mode &amp; Sideloading\WalkAndUnGZ.bat" "%USERPROFILE%\AppData\Local\Temp\OnboardLogs"\RTDC4041\2017-03-08 &amp; aws s3 cp s3://rtdc.mdm.uploadarchive.raw/RTDC4041/ "%USERPROFILE%\AppData\Local\Temp\OnboardLogs"\RTDC4041\2017-03-09 --exclude "*" --recursive --include "*20170309*" &amp; "%USERPROFILE%\Documents\GitHub\mrs-test-scripts\Headless Mode &amp; Sideloading\WalkAndUnGZ.bat" "%USERPROFILE%\AppData\Local\Temp\OnboardLogs"\RTDC4041\2017-03-09</v>
      </c>
      <c r="S25" s="92" t="str">
        <f>IF(VLOOKUP(C25,'Train Runs'!$A$13:$AE$9945,1,1)=C25,VLOOKUP(C25,'Train Runs'!$A$13:$AE$9945,22,1),NA())</f>
        <v>https://d0f6bd738d7f1b3e5a7ca70fe4ff75f0.us-east-1.aws.found.io/app/kibana#/discover/Steve-Slow-Train-Analysis-(2080s-and-2083s)?_g=(refreshInterval:(display:Off,pause:!f,section:0,value:0),time:(from:'2017-03-08T05:09:14-0700',mode:absolute,to:'2017-03-08T08:08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5" s="94" t="str">
        <f t="shared" si="1"/>
        <v>"C:\Program Files (x86)\AstroGrep\AstroGrep.exe" /e /r /s /spath="%USERPROFILE%\AppData\Local\Temp\OnboardLogs" /stypes="*4041*201703081*" /stext=" 13:.+((SYSTEM_STATE.+slice.+state.+changed )|(ment ac)|(multiple cpu faults)|(system.+state.+changed )|(\[timeout)|(PRM\|1\|D)|(kpr)|(kdp)|(\|lc)|(penalty))"</v>
      </c>
      <c r="U25" s="9" t="str">
        <f t="shared" si="2"/>
        <v>4041</v>
      </c>
      <c r="V25" s="32">
        <f t="shared" si="3"/>
        <v>42802.57230324074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{"issue":{"subject":"Early arrival","project_id":79,"tracker_id":40,"status_id":1,"priority_id":2,"assigned_to_id":23,"start_date":"2017-03-08","description":"","custom_fields":[{"id":1,"name":"Subdivision","value":"EC"},{"id":4,"name":"Milepost","value":"10.9135"},{"id":17,"name":"Train ID","value":"116-08"},{"id":16,"name":"Locomotive ID","value":"4041"},{"id":130,"name":"Impact","value":""},{"id":150,"name":"Time of Event (Mountain Time)","value":"06:44:07"},{"id":151,"name":"Denver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"%USERPROFILE%\AppData\Local\Temp\OnboardLogs"\RTDC4041\*4041*201703081*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"%USERPROFILE%\AppData\Local\Temp\OnboardLogs"\RTDC4041\*4041*201703081* &gt;&gt; 2017-03-08-SliceDisagreementCheck.txt</v>
      </c>
      <c r="AE25" s="157" t="str">
        <f t="shared" si="9"/>
        <v>start /low /b %USERPROFILE%\Documents\GitHub\eaglep3\Utilities\DownloadLogsFromS3.py --loco 4041 --day 2017-03-08</v>
      </c>
      <c r="AF25" s="1"/>
    </row>
    <row r="26" spans="1:32" x14ac:dyDescent="0.25">
      <c r="A26" s="32">
        <v>42802.292303240742</v>
      </c>
      <c r="B26" s="30" t="s">
        <v>566</v>
      </c>
      <c r="C26" s="30" t="s">
        <v>567</v>
      </c>
      <c r="D26" s="30" t="s">
        <v>49</v>
      </c>
      <c r="E26" s="30" t="s">
        <v>238</v>
      </c>
      <c r="F26" s="43">
        <v>300</v>
      </c>
      <c r="G26" s="43">
        <v>398</v>
      </c>
      <c r="H26" s="43">
        <v>23250</v>
      </c>
      <c r="I26" s="43">
        <v>22190</v>
      </c>
      <c r="J26" s="30" t="s">
        <v>239</v>
      </c>
      <c r="K26" s="43">
        <v>21848</v>
      </c>
      <c r="L26" s="143" t="s">
        <v>51</v>
      </c>
      <c r="M26" s="144">
        <f t="shared" si="0"/>
        <v>180.57599999999999</v>
      </c>
      <c r="N26" s="145" t="str">
        <f>VLOOKUP(C26,'Trips&amp;Operators'!$C$1:$G$99999,5,FALSE)</f>
        <v>STARKS ANGELINA</v>
      </c>
      <c r="O26" s="194" t="s">
        <v>185</v>
      </c>
      <c r="P26" s="146"/>
      <c r="Q26" s="30"/>
      <c r="R26" s="89" t="str">
        <f>IF(VLOOKUP(C26,'Train Runs'!$A$13:$AE$9945,1,1)=C26,VLOOKUP(C26,'Train Runs'!$A$13:$AE$9945,31,1),NA())</f>
        <v>aws s3 cp s3://rtdc.mdm.uploadarchive.raw/RTDC4041/ "%USERPROFILE%\AppData\Local\Temp\OnboardLogs"\RTDC4041\2017-03-08 --exclude "*" --recursive --include "*20170308*" &amp; "%USERPROFILE%\Documents\GitHub\mrs-test-scripts\Headless Mode &amp; Sideloading\WalkAndUnGZ.bat" "%USERPROFILE%\AppData\Local\Temp\OnboardLogs"\RTDC4041\2017-03-08 &amp; aws s3 cp s3://rtdc.mdm.uploadarchive.raw/RTDC4041/ "%USERPROFILE%\AppData\Local\Temp\OnboardLogs"\RTDC4041\2017-03-09 --exclude "*" --recursive --include "*20170309*" &amp; "%USERPROFILE%\Documents\GitHub\mrs-test-scripts\Headless Mode &amp; Sideloading\WalkAndUnGZ.bat" "%USERPROFILE%\AppData\Local\Temp\OnboardLogs"\RTDC4041\2017-03-09</v>
      </c>
      <c r="S26" s="92" t="str">
        <f>IF(VLOOKUP(C26,'Train Runs'!$A$13:$AE$9945,1,1)=C26,VLOOKUP(C26,'Train Runs'!$A$13:$AE$9945,22,1),NA())</f>
        <v>https://d0f6bd738d7f1b3e5a7ca70fe4ff75f0.us-east-1.aws.found.io/app/kibana#/discover/Steve-Slow-Train-Analysis-(2080s-and-2083s)?_g=(refreshInterval:(display:Off,pause:!f,section:0,value:0),time:(from:'2017-03-08T05:09:14-0700',mode:absolute,to:'2017-03-08T08:08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6" s="94" t="str">
        <f t="shared" si="1"/>
        <v>"C:\Program Files (x86)\AstroGrep\AstroGrep.exe" /e /r /s /spath="%USERPROFILE%\AppData\Local\Temp\OnboardLogs" /stypes="*4041*201703081*" /stext=" 14:.+((SYSTEM_STATE.+slice.+state.+changed )|(ment ac)|(multiple cpu faults)|(system.+state.+changed )|(\[timeout)|(PRM\|1\|D)|(kpr)|(kdp)|(\|lc)|(penalty))"</v>
      </c>
      <c r="U26" s="9" t="str">
        <f t="shared" si="2"/>
        <v>4041</v>
      </c>
      <c r="V26" s="32">
        <f t="shared" si="3"/>
        <v>42802.583969907406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{"issue":{"subject":"","project_id":79,"tracker_id":40,"status_id":1,"priority_id":2,"assigned_to_id":23,"start_date":"2017-03-08","description":"","custom_fields":[{"id":1,"name":"Subdivision","value":"EC"},{"id":4,"name":"Milepost","value":"2.1848"},{"id":17,"name":"Train ID","value":"116-08"},{"id":16,"name":"Locomotive ID","value":"4041"},{"id":130,"name":"Impact","value":""},{"id":150,"name":"Time of Event (Mountain Time)","value":"07:00:55"},{"id":151,"name":"Denver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"%USERPROFILE%\AppData\Local\Temp\OnboardLogs"\RTDC4041\*4041*201703081*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"%USERPROFILE%\AppData\Local\Temp\OnboardLogs"\RTDC4041\*4041*201703081* &gt;&gt; 2017-03-08-SliceDisagreementCheck.txt</v>
      </c>
      <c r="AE26" s="157" t="str">
        <f t="shared" si="9"/>
        <v>start /low /b %USERPROFILE%\Documents\GitHub\eaglep3\Utilities\DownloadLogsFromS3.py --loco 4041 --day 2017-03-08</v>
      </c>
      <c r="AF26" s="1"/>
    </row>
    <row r="27" spans="1:32" x14ac:dyDescent="0.25">
      <c r="A27" s="32">
        <v>42802.396134259259</v>
      </c>
      <c r="B27" s="30" t="s">
        <v>564</v>
      </c>
      <c r="C27" s="30" t="s">
        <v>578</v>
      </c>
      <c r="D27" s="30" t="s">
        <v>49</v>
      </c>
      <c r="E27" s="30" t="s">
        <v>238</v>
      </c>
      <c r="F27" s="43">
        <v>300</v>
      </c>
      <c r="G27" s="43">
        <v>371</v>
      </c>
      <c r="H27" s="43">
        <v>22991</v>
      </c>
      <c r="I27" s="43">
        <v>21988</v>
      </c>
      <c r="J27" s="30" t="s">
        <v>239</v>
      </c>
      <c r="K27" s="43">
        <v>21848</v>
      </c>
      <c r="L27" s="143" t="s">
        <v>51</v>
      </c>
      <c r="M27" s="144">
        <f t="shared" si="0"/>
        <v>73.92</v>
      </c>
      <c r="N27" s="145" t="str">
        <f>VLOOKUP(C27,'Trips&amp;Operators'!$C$1:$G$99999,5,FALSE)</f>
        <v>BONDS REYNALDO</v>
      </c>
      <c r="O27" s="194" t="s">
        <v>185</v>
      </c>
      <c r="P27" s="146"/>
      <c r="Q27" s="30"/>
      <c r="R27" s="89" t="str">
        <f>IF(VLOOKUP(C27,'Train Runs'!$A$13:$AE$9945,1,1)=C27,VLOOKUP(C27,'Train Runs'!$A$13:$AE$9945,31,1),NA())</f>
        <v>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 &amp; aws s3 cp s3://rtdc.mdm.uploadarchive.raw/RTDC4005/ "%USERPROFILE%\AppData\Local\Temp\OnboardLogs"\RTDC4005\2017-03-09 --exclude "*" --recursive --include "*20170309*" &amp; "%USERPROFILE%\Documents\GitHub\mrs-test-scripts\Headless Mode &amp; Sideloading\WalkAndUnGZ.bat" "%USERPROFILE%\AppData\Local\Temp\OnboardLogs"\RTDC4005\2017-03-09</v>
      </c>
      <c r="S27" s="92" t="str">
        <f>IF(VLOOKUP(C27,'Train Runs'!$A$13:$AE$9945,1,1)=C27,VLOOKUP(C27,'Train Runs'!$A$13:$AE$9945,22,1),NA())</f>
        <v>https://d0f6bd738d7f1b3e5a7ca70fe4ff75f0.us-east-1.aws.found.io/app/kibana#/discover/Steve-Slow-Train-Analysis-(2080s-and-2083s)?_g=(refreshInterval:(display:Off,pause:!f,section:0,value:0),time:(from:'2017-03-08T07:52:35-0700',mode:absolute,to:'2017-03-08T10:38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7" s="94" t="str">
        <f t="shared" si="1"/>
        <v>"C:\Program Files (x86)\AstroGrep\AstroGrep.exe" /e /r /s /spath="%USERPROFILE%\AppData\Local\Temp\OnboardLogs" /stypes="*4005*201703081*" /stext=" 16:.+((SYSTEM_STATE.+slice.+state.+changed )|(ment ac)|(multiple cpu faults)|(system.+state.+changed )|(\[timeout)|(PRM\|1\|D)|(kpr)|(kdp)|(\|lc)|(penalty))"</v>
      </c>
      <c r="U27" s="9" t="str">
        <f t="shared" si="2"/>
        <v>4005</v>
      </c>
      <c r="V27" s="32">
        <f t="shared" si="3"/>
        <v>42802.687800925924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{"issue":{"subject":"","project_id":79,"tracker_id":40,"status_id":1,"priority_id":2,"assigned_to_id":23,"start_date":"2017-03-08","description":"","custom_fields":[{"id":1,"name":"Subdivision","value":"EC"},{"id":4,"name":"Milepost","value":"2.1848"},{"id":17,"name":"Train ID","value":"136-08"},{"id":16,"name":"Locomotive ID","value":"4005"},{"id":130,"name":"Impact","value":""},{"id":150,"name":"Time of Event (Mountain Time)","value":"09:30:26"},{"id":151,"name":"Denver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"%USERPROFILE%\AppData\Local\Temp\OnboardLogs"\RTDC4005\*4005*201703081*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"%USERPROFILE%\AppData\Local\Temp\OnboardLogs"\RTDC4005\*4005*201703081* &gt;&gt; 2017-03-08-SliceDisagreementCheck.txt</v>
      </c>
      <c r="AE27" s="157" t="str">
        <f t="shared" si="9"/>
        <v>start /low /b %USERPROFILE%\Documents\GitHub\eaglep3\Utilities\DownloadLogsFromS3.py --loco 4005 --day 2017-03-08</v>
      </c>
      <c r="AF27" s="1"/>
    </row>
    <row r="28" spans="1:32" x14ac:dyDescent="0.25">
      <c r="A28" s="32">
        <v>42802.229259259257</v>
      </c>
      <c r="B28" s="30" t="s">
        <v>430</v>
      </c>
      <c r="C28" s="30" t="s">
        <v>563</v>
      </c>
      <c r="D28" s="30" t="s">
        <v>49</v>
      </c>
      <c r="E28" s="30" t="s">
        <v>238</v>
      </c>
      <c r="F28" s="43">
        <v>600</v>
      </c>
      <c r="G28" s="43">
        <v>739</v>
      </c>
      <c r="H28" s="43">
        <v>181222</v>
      </c>
      <c r="I28" s="43">
        <v>184560</v>
      </c>
      <c r="J28" s="30" t="s">
        <v>239</v>
      </c>
      <c r="K28" s="43">
        <v>183829</v>
      </c>
      <c r="L28" s="143" t="s">
        <v>50</v>
      </c>
      <c r="M28" s="144">
        <f t="shared" si="0"/>
        <v>-385.96800000000002</v>
      </c>
      <c r="N28" s="145" t="str">
        <f>VLOOKUP(C28,'Trips&amp;Operators'!$C$1:$G$99999,5,FALSE)</f>
        <v>YANAI IAN</v>
      </c>
      <c r="O28" s="194" t="s">
        <v>185</v>
      </c>
      <c r="P28" s="146"/>
      <c r="Q28" s="30"/>
      <c r="R28" s="89" t="str">
        <f>IF(VLOOKUP(C28,'Train Runs'!$A$13:$AE$9945,1,1)=C28,VLOOKUP(C28,'Train Runs'!$A$13:$AE$9945,31,1),NA())</f>
        <v>aws s3 cp s3://rtdc.mdm.uploadarchive.raw/RTDC4003/ "%USERPROFILE%\AppData\Local\Temp\OnboardLogs"\RTDC4003\2017-03-08 --exclude "*" --recursive --include "*20170308*" &amp; "%USERPROFILE%\Documents\GitHub\mrs-test-scripts\Headless Mode &amp; Sideloading\WalkAndUnGZ.bat" "%USERPROFILE%\AppData\Local\Temp\OnboardLogs"\RTDC4003\2017-03-08 &amp; 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</v>
      </c>
      <c r="S28" s="92" t="str">
        <f>IF(VLOOKUP(C28,'Train Runs'!$A$13:$AE$9945,1,1)=C28,VLOOKUP(C28,'Train Runs'!$A$13:$AE$9945,22,1),NA())</f>
        <v>https://d0f6bd738d7f1b3e5a7ca70fe4ff75f0.us-east-1.aws.found.io/app/kibana#/discover/Steve-Slow-Train-Analysis-(2080s-and-2083s)?_g=(refreshInterval:(display:Off,pause:!f,section:0,value:0),time:(from:'2017-03-08T03:55:02-0700',mode:absolute,to:'2017-03-08T06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8" s="94" t="str">
        <f t="shared" si="1"/>
        <v>"C:\Program Files (x86)\AstroGrep\AstroGrep.exe" /e /r /s /spath="%USERPROFILE%\AppData\Local\Temp\OnboardLogs" /stypes="*4003*201703081*" /stext=" 12:.+((SYSTEM_STATE.+slice.+state.+changed )|(ment ac)|(multiple cpu faults)|(system.+state.+changed )|(\[timeout)|(PRM\|1\|D)|(kpr)|(kdp)|(\|lc)|(penalty))"</v>
      </c>
      <c r="U28" s="9" t="str">
        <f t="shared" si="2"/>
        <v>4003</v>
      </c>
      <c r="V28" s="32">
        <f t="shared" si="3"/>
        <v>42802.520925925921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{"issue":{"subject":"","project_id":79,"tracker_id":40,"status_id":1,"priority_id":2,"assigned_to_id":23,"start_date":"2017-03-08","description":"","custom_fields":[{"id":1,"name":"Subdivision","value":"EC"},{"id":4,"name":"Milepost","value":"18.3829"},{"id":17,"name":"Train ID","value":"111-08"},{"id":16,"name":"Locomotive ID","value":"4003"},{"id":130,"name":"Impact","value":""},{"id":150,"name":"Time of Event (Mountain Time)","value":"05:30:08"},{"id":151,"name":"Denver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"%USERPROFILE%\AppData\Local\Temp\OnboardLogs"\RTDC4003\*4003*201703081*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"%USERPROFILE%\AppData\Local\Temp\OnboardLogs"\RTDC4003\*4003*201703081* &gt;&gt; 2017-03-08-SliceDisagreementCheck.txt</v>
      </c>
      <c r="AE28" s="157" t="str">
        <f t="shared" si="9"/>
        <v>start /low /b %USERPROFILE%\Documents\GitHub\eaglep3\Utilities\DownloadLogsFromS3.py --loco 4003 --day 2017-03-08</v>
      </c>
      <c r="AF28" s="1"/>
    </row>
    <row r="29" spans="1:32" x14ac:dyDescent="0.25">
      <c r="A29" s="32">
        <v>42802.236134259256</v>
      </c>
      <c r="B29" s="30" t="s">
        <v>564</v>
      </c>
      <c r="C29" s="30" t="s">
        <v>565</v>
      </c>
      <c r="D29" s="30" t="s">
        <v>49</v>
      </c>
      <c r="E29" s="30" t="s">
        <v>473</v>
      </c>
      <c r="F29" s="43">
        <v>0</v>
      </c>
      <c r="G29" s="43">
        <v>436</v>
      </c>
      <c r="H29" s="43">
        <v>135909</v>
      </c>
      <c r="I29" s="43">
        <v>134316</v>
      </c>
      <c r="J29" s="30" t="s">
        <v>474</v>
      </c>
      <c r="K29" s="43">
        <v>133166</v>
      </c>
      <c r="L29" s="143" t="s">
        <v>51</v>
      </c>
      <c r="M29" s="144">
        <f t="shared" si="0"/>
        <v>607.20000000000005</v>
      </c>
      <c r="N29" s="145" t="str">
        <f>VLOOKUP(C29,'Trips&amp;Operators'!$C$1:$G$99999,5,FALSE)</f>
        <v>BONDS REYNALDO</v>
      </c>
      <c r="O29" s="194" t="s">
        <v>477</v>
      </c>
      <c r="P29" s="146" t="s">
        <v>530</v>
      </c>
      <c r="Q29" s="30"/>
      <c r="R29" s="89" t="str">
        <f>IF(VLOOKUP(C29,'Train Runs'!$A$13:$AE$9945,1,1)=C29,VLOOKUP(C29,'Train Runs'!$A$13:$AE$9945,31,1),NA())</f>
        <v>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 &amp; aws s3 cp s3://rtdc.mdm.uploadarchive.raw/RTDC4005/ "%USERPROFILE%\AppData\Local\Temp\OnboardLogs"\RTDC4005\2017-03-09 --exclude "*" --recursive --include "*20170309*" &amp; "%USERPROFILE%\Documents\GitHub\mrs-test-scripts\Headless Mode &amp; Sideloading\WalkAndUnGZ.bat" "%USERPROFILE%\AppData\Local\Temp\OnboardLogs"\RTDC4005\2017-03-09</v>
      </c>
      <c r="S29" s="92" t="str">
        <f>IF(VLOOKUP(C29,'Train Runs'!$A$13:$AE$9945,1,1)=C29,VLOOKUP(C29,'Train Runs'!$A$13:$AE$9945,22,1),NA())</f>
        <v>https://d0f6bd738d7f1b3e5a7ca70fe4ff75f0.us-east-1.aws.found.io/app/kibana#/discover/Steve-Slow-Train-Analysis-(2080s-and-2083s)?_g=(refreshInterval:(display:Off,pause:!f,section:0,value:0),time:(from:'2017-03-08T04:18:08-0700',mode:absolute,to:'2017-03-08T07:09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9" s="94" t="str">
        <f t="shared" si="1"/>
        <v>"C:\Program Files (x86)\AstroGrep\AstroGrep.exe" /e /r /s /spath="%USERPROFILE%\AppData\Local\Temp\OnboardLogs" /stypes="*4005*201703081*" /stext=" 12:.+((SYSTEM_STATE.+slice.+state.+changed )|(ment ac)|(multiple cpu faults)|(system.+state.+changed )|(\[timeout)|(PRM\|1\|D)|(kpr)|(kdp)|(\|lc)|(penalty))"</v>
      </c>
      <c r="U29" s="9" t="str">
        <f t="shared" si="2"/>
        <v>4005</v>
      </c>
      <c r="V29" s="32">
        <f t="shared" si="3"/>
        <v>42802.52780092592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{"issue":{"subject":"Wi-MAX data drop","project_id":79,"tracker_id":40,"status_id":1,"priority_id":2,"assigned_to_id":23,"start_date":"2017-03-08","description":"http://stevetu21.github.io/eaglep3/load_kml.html?kml=http://rtdc.gmaps-snips.s3.amazonaws.com/f297f543-d931-46f6-a0d4-fc6995f056b5.kml","custom_fields":[{"id":1,"name":"Subdivision","value":"EC"},{"id":4,"name":"Milepost","value":"13.3166"},{"id":17,"name":"Train ID","value":"108-08"},{"id":16,"name":"Locomotive ID","value":"4005"},{"id":130,"name":"Impact","value":"Enforcement"},{"id":150,"name":"Time of Event (Mountain Time)","value":"05:40:02"},{"id":151,"name":"Denver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9" t="s">
        <v>1031</v>
      </c>
      <c r="AA29" s="48" t="s">
        <v>124</v>
      </c>
      <c r="AB29" s="48" t="s">
        <v>137</v>
      </c>
      <c r="AC29" s="127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"%USERPROFILE%\AppData\Local\Temp\OnboardLogs"\RTDC4005\*4005*201703081*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"%USERPROFILE%\AppData\Local\Temp\OnboardLogs"\RTDC4005\*4005*201703081* &gt;&gt; 2017-03-08-SliceDisagreementCheck.txt</v>
      </c>
      <c r="AE29" s="157" t="str">
        <f t="shared" si="9"/>
        <v>start /low /b %USERPROFILE%\Documents\GitHub\eaglep3\Utilities\DownloadLogsFromS3.py --loco 4005 --day 2017-03-08</v>
      </c>
      <c r="AF29" s="1"/>
    </row>
    <row r="30" spans="1:32" x14ac:dyDescent="0.25">
      <c r="A30" s="32">
        <v>42802.610636574071</v>
      </c>
      <c r="B30" s="30" t="s">
        <v>277</v>
      </c>
      <c r="C30" s="30" t="s">
        <v>584</v>
      </c>
      <c r="D30" s="30" t="s">
        <v>49</v>
      </c>
      <c r="E30" s="30" t="s">
        <v>186</v>
      </c>
      <c r="F30" s="43">
        <v>0</v>
      </c>
      <c r="G30" s="43">
        <v>102</v>
      </c>
      <c r="H30" s="43">
        <v>351</v>
      </c>
      <c r="I30" s="43">
        <v>238</v>
      </c>
      <c r="J30" s="30" t="s">
        <v>187</v>
      </c>
      <c r="K30" s="43">
        <v>1</v>
      </c>
      <c r="L30" s="143" t="s">
        <v>51</v>
      </c>
      <c r="M30" s="144">
        <f t="shared" si="0"/>
        <v>125.136</v>
      </c>
      <c r="N30" s="145" t="str">
        <f>VLOOKUP(C30,'Trips&amp;Operators'!$C$1:$G$99999,5,FALSE)</f>
        <v>DAVIS MICHAEL</v>
      </c>
      <c r="O30" s="194" t="s">
        <v>185</v>
      </c>
      <c r="P30" s="146"/>
      <c r="Q30" s="30"/>
      <c r="R30" s="89" t="str">
        <f>IF(VLOOKUP(C30,'Train Runs'!$A$13:$AE$9945,1,1)=C30,VLOOKUP(C30,'Train Runs'!$A$13:$AE$9945,31,1),NA())</f>
        <v>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 &amp; 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</v>
      </c>
      <c r="S30" s="92" t="str">
        <f>IF(VLOOKUP(C30,'Train Runs'!$A$13:$AE$9945,1,1)=C30,VLOOKUP(C30,'Train Runs'!$A$13:$AE$9945,22,1),NA())</f>
        <v>https://d0f6bd738d7f1b3e5a7ca70fe4ff75f0.us-east-1.aws.found.io/app/kibana#/discover/Steve-Slow-Train-Analysis-(2080s-and-2083s)?_g=(refreshInterval:(display:Off,pause:!f,section:0,value:0),time:(from:'2017-03-08T12:53:36-0700',mode:absolute,to:'2017-03-08T15:39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0" s="94" t="str">
        <f t="shared" si="1"/>
        <v>"C:\Program Files (x86)\AstroGrep\AstroGrep.exe" /e /r /s /spath="%USERPROFILE%\AppData\Local\Temp\OnboardLogs" /stypes="*4015*201703082*" /stext=" 21:.+((SYSTEM_STATE.+slice.+state.+changed )|(ment ac)|(multiple cpu faults)|(system.+state.+changed )|(\[timeout)|(PRM\|1\|D)|(kpr)|(kdp)|(\|lc)|(penalty))"</v>
      </c>
      <c r="U30" s="9" t="str">
        <f t="shared" si="2"/>
        <v>4015</v>
      </c>
      <c r="V30" s="32">
        <f t="shared" si="3"/>
        <v>42802.902303240735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{"issue":{"subject":"","project_id":79,"tracker_id":40,"status_id":1,"priority_id":2,"assigned_to_id":23,"start_date":"2017-03-08","description":"","custom_fields":[{"id":1,"name":"Subdivision","value":"EC"},{"id":4,"name":"Milepost","value":"0.0001"},{"id":17,"name":"Train ID","value":"176-08"},{"id":16,"name":"Locomotive ID","value":"4015"},{"id":130,"name":"Impact","value":""},{"id":150,"name":"Time of Event (Mountain Time)","value":"14:39:19"},{"id":151,"name":"Denver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ref="AC30:AC43" si="10">"grep -hSE -A400 ""Enforcement Action"" "&amp;search_path&amp;"\RTDC"&amp;U30&amp;"\*"&amp;U30&amp;"*"&amp;TEXT(A30-utc_offset/24,"YYYYMMDD")&amp;LEFT(TEXT(A30-utc_offset/24,"HH"),1)&amp;"* | grep -SE ""((Enforcement Ac)|(PRM.+XING))"" -"</f>
        <v>grep -hSE -A400 "Enforcement Action" "%USERPROFILE%\AppData\Local\Temp\OnboardLogs"\RTDC4015\*4015*201703082*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"%USERPROFILE%\AppData\Local\Temp\OnboardLogs"\RTDC4015\*4015*201703082* &gt;&gt; 2017-03-08-SliceDisagreementCheck.txt</v>
      </c>
      <c r="AE30" s="157" t="str">
        <f t="shared" si="9"/>
        <v>start /low /b %USERPROFILE%\Documents\GitHub\eaglep3\Utilities\DownloadLogsFromS3.py --loco 4015 --day 2017-03-08</v>
      </c>
      <c r="AF30" s="1"/>
    </row>
    <row r="31" spans="1:32" x14ac:dyDescent="0.25">
      <c r="A31" s="32">
        <v>42802.817731481482</v>
      </c>
      <c r="B31" s="30" t="s">
        <v>449</v>
      </c>
      <c r="C31" s="30" t="s">
        <v>590</v>
      </c>
      <c r="D31" s="30" t="s">
        <v>98</v>
      </c>
      <c r="E31" s="30" t="s">
        <v>186</v>
      </c>
      <c r="F31" s="43">
        <v>0</v>
      </c>
      <c r="G31" s="43">
        <v>9</v>
      </c>
      <c r="H31" s="43">
        <v>839</v>
      </c>
      <c r="I31" s="43">
        <v>0</v>
      </c>
      <c r="J31" s="30" t="s">
        <v>187</v>
      </c>
      <c r="K31" s="43">
        <v>839</v>
      </c>
      <c r="L31" s="143" t="s">
        <v>51</v>
      </c>
      <c r="M31" s="144">
        <f t="shared" si="0"/>
        <v>-442.99200000000002</v>
      </c>
      <c r="N31" s="145" t="str">
        <f>VLOOKUP(C31,'Trips&amp;Operators'!$C$1:$G$99999,5,FALSE)</f>
        <v>BRANNON JEFFREY</v>
      </c>
      <c r="O31" s="194" t="s">
        <v>185</v>
      </c>
      <c r="P31" s="146"/>
      <c r="Q31" s="30"/>
      <c r="R31" s="89" t="str">
        <f>IF(VLOOKUP(C31,'Train Runs'!$A$13:$AE$9945,1,1)=C31,VLOOKUP(C31,'Train Runs'!$A$13:$AE$9945,31,1),NA())</f>
        <v>aws s3 cp s3://rtdc.mdm.uploadarchive.raw/RTDC4010/ "%USERPROFILE%\AppData\Local\Temp\OnboardLogs"\RTDC4010\2017-03-08 --exclude "*" --recursive --include "*20170308*" &amp; "%USERPROFILE%\Documents\GitHub\mrs-test-scripts\Headless Mode &amp; Sideloading\WalkAndUnGZ.bat" "%USERPROFILE%\AppData\Local\Temp\OnboardLogs"\RTDC4010\2017-03-08 &amp; aws s3 cp s3://rtdc.mdm.uploadarchive.raw/RTDC4010/ "%USERPROFILE%\AppData\Local\Temp\OnboardLogs"\RTDC4010\2017-03-09 --exclude "*" --recursive --include "*20170309*" &amp; "%USERPROFILE%\Documents\GitHub\mrs-test-scripts\Headless Mode &amp; Sideloading\WalkAndUnGZ.bat" "%USERPROFILE%\AppData\Local\Temp\OnboardLogs"\RTDC4010\2017-03-09</v>
      </c>
      <c r="S31" s="92" t="str">
        <f>IF(VLOOKUP(C31,'Train Runs'!$A$13:$AE$9945,1,1)=C31,VLOOKUP(C31,'Train Runs'!$A$13:$AE$9945,22,1),NA())</f>
        <v>https://d0f6bd738d7f1b3e5a7ca70fe4ff75f0.us-east-1.aws.found.io/app/kibana#/discover/Steve-Slow-Train-Analysis-(2080s-and-2083s)?_g=(refreshInterval:(display:Off,pause:!f,section:0,value:0),time:(from:'2017-03-08T17:41:46-0700',mode:absolute,to:'2017-03-08T20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1" s="94" t="str">
        <f t="shared" si="1"/>
        <v>"C:\Program Files (x86)\AstroGrep\AstroGrep.exe" /e /r /s /spath="%USERPROFILE%\AppData\Local\Temp\OnboardLogs" /stypes="*4010*201703090*" /stext=" 02:.+((SYSTEM_STATE.+slice.+state.+changed )|(ment ac)|(multiple cpu faults)|(system.+state.+changed )|(\[timeout)|(PRM\|1\|D)|(kpr)|(kdp)|(\|lc)|(penalty))"</v>
      </c>
      <c r="U31" s="9" t="str">
        <f t="shared" si="2"/>
        <v>4010</v>
      </c>
      <c r="V31" s="32">
        <f t="shared" si="3"/>
        <v>42803.109398148146</v>
      </c>
      <c r="W31" s="46" t="str">
        <f t="shared" si="4"/>
        <v>EC</v>
      </c>
      <c r="X31" s="46" t="str">
        <f t="shared" si="5"/>
        <v>OMIT</v>
      </c>
      <c r="Y31" s="108" t="str">
        <f t="shared" si="6"/>
        <v>echo {"issue":{"subject":"","project_id":79,"tracker_id":40,"status_id":1,"priority_id":2,"assigned_to_id":23,"start_date":"2017-03-08","description":"","custom_fields":[{"id":1,"name":"Subdivision","value":"EC"},{"id":4,"name":"Milepost","value":"0.0839"},{"id":17,"name":"Train ID","value":"216-08"},{"id":16,"name":"Locomotive ID","value":"4010"},{"id":130,"name":"Impact","value":""},{"id":150,"name":"Time of Event (Mountain Time)","value":"19:37:32"},{"id":151,"name":"Denver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10"/>
        <v>grep -hSE -A400 "Enforcement Action" "%USERPROFILE%\AppData\Local\Temp\OnboardLogs"\RTDC4010\*4010*201703090*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"%USERPROFILE%\AppData\Local\Temp\OnboardLogs"\RTDC4010\*4010*201703090* &gt;&gt; 2017-03-08-SliceDisagreementCheck.txt</v>
      </c>
      <c r="AE31" s="157" t="str">
        <f t="shared" si="9"/>
        <v>start /low /b %USERPROFILE%\Documents\GitHub\eaglep3\Utilities\DownloadLogsFromS3.py --loco 4010 --day 2017-03-09</v>
      </c>
      <c r="AF31" s="1"/>
    </row>
    <row r="32" spans="1:32" x14ac:dyDescent="0.25">
      <c r="A32" s="32">
        <v>42802.985983796294</v>
      </c>
      <c r="B32" s="30" t="s">
        <v>252</v>
      </c>
      <c r="C32" s="30" t="s">
        <v>593</v>
      </c>
      <c r="D32" s="30" t="s">
        <v>49</v>
      </c>
      <c r="E32" s="30" t="s">
        <v>186</v>
      </c>
      <c r="F32" s="43">
        <v>0</v>
      </c>
      <c r="G32" s="43">
        <v>18</v>
      </c>
      <c r="H32" s="43">
        <v>903</v>
      </c>
      <c r="I32" s="43">
        <v>892</v>
      </c>
      <c r="J32" s="30" t="s">
        <v>187</v>
      </c>
      <c r="K32" s="43">
        <v>839</v>
      </c>
      <c r="L32" s="143" t="s">
        <v>51</v>
      </c>
      <c r="M32" s="144">
        <f t="shared" si="0"/>
        <v>27.984000000000002</v>
      </c>
      <c r="N32" s="145" t="str">
        <f>VLOOKUP(C32,'Trips&amp;Operators'!$C$1:$G$99999,5,FALSE)</f>
        <v>NELSON ARIANE</v>
      </c>
      <c r="O32" s="194" t="s">
        <v>185</v>
      </c>
      <c r="P32" s="146"/>
      <c r="Q32" s="30"/>
      <c r="R32" s="89" t="str">
        <f>IF(VLOOKUP(C32,'Train Runs'!$A$13:$AE$9945,1,1)=C32,VLOOKUP(C32,'Train Runs'!$A$13:$AE$9945,31,1),NA())</f>
        <v>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 &amp; 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</v>
      </c>
      <c r="S32" s="92" t="str">
        <f>IF(VLOOKUP(C32,'Train Runs'!$A$13:$AE$9945,1,1)=C32,VLOOKUP(C32,'Train Runs'!$A$13:$AE$9945,22,1),NA())</f>
        <v>https://d0f6bd738d7f1b3e5a7ca70fe4ff75f0.us-east-1.aws.found.io/app/kibana#/discover/Steve-Slow-Train-Analysis-(2080s-and-2083s)?_g=(refreshInterval:(display:Off,pause:!f,section:0,value:0),time:(from:'2017-03-08T21:54:27-0700',mode:absolute,to:'2017-03-09T00:39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2" s="94" t="str">
        <f t="shared" si="1"/>
        <v>"C:\Program Files (x86)\AstroGrep\AstroGrep.exe" /e /r /s /spath="%USERPROFILE%\AppData\Local\Temp\OnboardLogs" /stypes="*4013*201703090*" /stext=" 06:.+((SYSTEM_STATE.+slice.+state.+changed )|(ment ac)|(multiple cpu faults)|(system.+state.+changed )|(\[timeout)|(PRM\|1\|D)|(kpr)|(kdp)|(\|lc)|(penalty))"</v>
      </c>
      <c r="U32" s="9" t="str">
        <f t="shared" si="2"/>
        <v>4013</v>
      </c>
      <c r="V32" s="32">
        <f t="shared" si="3"/>
        <v>42803.277650462958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{"issue":{"subject":"","project_id":79,"tracker_id":40,"status_id":1,"priority_id":2,"assigned_to_id":23,"start_date":"2017-03-08","description":"","custom_fields":[{"id":1,"name":"Subdivision","value":"EC"},{"id":4,"name":"Milepost","value":"0.0839"},{"id":17,"name":"Train ID","value":"234-08"},{"id":16,"name":"Locomotive ID","value":"4013"},{"id":130,"name":"Impact","value":""},{"id":150,"name":"Time of Event (Mountain Time)","value":"23:39:49"},{"id":151,"name":"Denver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10"/>
        <v>grep -hSE -A400 "Enforcement Action" "%USERPROFILE%\AppData\Local\Temp\OnboardLogs"\RTDC4013\*4013*201703090*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"%USERPROFILE%\AppData\Local\Temp\OnboardLogs"\RTDC4013\*4013*201703090* &gt;&gt; 2017-03-08-SliceDisagreementCheck.txt</v>
      </c>
      <c r="AE32" s="157" t="str">
        <f t="shared" si="9"/>
        <v>start /low /b %USERPROFILE%\Documents\GitHub\eaglep3\Utilities\DownloadLogsFromS3.py --loco 4013 --day 2017-03-09</v>
      </c>
      <c r="AF32" s="1"/>
    </row>
    <row r="33" spans="1:32" x14ac:dyDescent="0.25">
      <c r="A33" s="32">
        <v>42802.318240740744</v>
      </c>
      <c r="B33" s="30" t="s">
        <v>211</v>
      </c>
      <c r="C33" s="30" t="s">
        <v>571</v>
      </c>
      <c r="D33" s="30" t="s">
        <v>49</v>
      </c>
      <c r="E33" s="30" t="s">
        <v>186</v>
      </c>
      <c r="F33" s="43">
        <v>0</v>
      </c>
      <c r="G33" s="43">
        <v>84</v>
      </c>
      <c r="H33" s="43">
        <v>233128</v>
      </c>
      <c r="I33" s="43">
        <v>233216</v>
      </c>
      <c r="J33" s="30" t="s">
        <v>187</v>
      </c>
      <c r="K33" s="43">
        <v>233491</v>
      </c>
      <c r="L33" s="143" t="s">
        <v>50</v>
      </c>
      <c r="M33" s="144">
        <f t="shared" si="0"/>
        <v>145.19999999999999</v>
      </c>
      <c r="N33" s="145" t="str">
        <f>VLOOKUP(C33,'Trips&amp;Operators'!$C$1:$G$99999,5,FALSE)</f>
        <v>YOUNG ELIZABETH</v>
      </c>
      <c r="O33" s="194" t="s">
        <v>185</v>
      </c>
      <c r="P33" s="146"/>
      <c r="Q33" s="30"/>
      <c r="R33" s="89" t="str">
        <f>IF(VLOOKUP(C33,'Train Runs'!$A$13:$AE$9945,1,1)=C33,VLOOKUP(C33,'Train Runs'!$A$13:$AE$9945,31,1),NA())</f>
        <v>aws s3 cp s3://rtdc.mdm.uploadarchive.raw/RTDC4046/ "%USERPROFILE%\AppData\Local\Temp\OnboardLogs"\RTDC4046\2017-03-08 --exclude "*" --recursive --include "*20170308*" &amp; "%USERPROFILE%\Documents\GitHub\mrs-test-scripts\Headless Mode &amp; Sideloading\WalkAndUnGZ.bat" "%USERPROFILE%\AppData\Local\Temp\OnboardLogs"\RTDC4046\2017-03-08 &amp; aws s3 cp s3://rtdc.mdm.uploadarchive.raw/RTDC4046/ "%USERPROFILE%\AppData\Local\Temp\OnboardLogs"\RTDC4046\2017-03-09 --exclude "*" --recursive --include "*20170309*" &amp; "%USERPROFILE%\Documents\GitHub\mrs-test-scripts\Headless Mode &amp; Sideloading\WalkAndUnGZ.bat" "%USERPROFILE%\AppData\Local\Temp\OnboardLogs"\RTDC4046\2017-03-09</v>
      </c>
      <c r="S33" s="92" t="str">
        <f>IF(VLOOKUP(C33,'Train Runs'!$A$13:$AE$9945,1,1)=C33,VLOOKUP(C33,'Train Runs'!$A$13:$AE$9945,22,1),NA())</f>
        <v>https://d0f6bd738d7f1b3e5a7ca70fe4ff75f0.us-east-1.aws.found.io/app/kibana#/discover/Steve-Slow-Train-Analysis-(2080s-and-2083s)?_g=(refreshInterval:(display:Off,pause:!f,section:0,value:0),time:(from:'2017-03-08T05:55:21-0700',mode:absolute,to:'2017-03-08T08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3" s="94" t="str">
        <f t="shared" si="1"/>
        <v>"C:\Program Files (x86)\AstroGrep\AstroGrep.exe" /e /r /s /spath="%USERPROFILE%\AppData\Local\Temp\OnboardLogs" /stypes="*4046*201703081*" /stext=" 14:.+((SYSTEM_STATE.+slice.+state.+changed )|(ment ac)|(multiple cpu faults)|(system.+state.+changed )|(\[timeout)|(PRM\|1\|D)|(kpr)|(kdp)|(\|lc)|(penalty))"</v>
      </c>
      <c r="U33" s="9" t="str">
        <f t="shared" si="2"/>
        <v>4046</v>
      </c>
      <c r="V33" s="32">
        <f t="shared" si="3"/>
        <v>42802.609907407408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{"issue":{"subject":"","project_id":79,"tracker_id":40,"status_id":1,"priority_id":2,"assigned_to_id":23,"start_date":"2017-03-08","description":"","custom_fields":[{"id":1,"name":"Subdivision","value":"EC"},{"id":4,"name":"Milepost","value":"23.3491"},{"id":17,"name":"Train ID","value":"127-08"},{"id":16,"name":"Locomotive ID","value":"4046"},{"id":130,"name":"Impact","value":""},{"id":150,"name":"Time of Event (Mountain Time)","value":"07:38:16"},{"id":151,"name":"Denver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10"/>
        <v>grep -hSE -A400 "Enforcement Action" "%USERPROFILE%\AppData\Local\Temp\OnboardLogs"\RTDC4046\*4046*201703081*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"%USERPROFILE%\AppData\Local\Temp\OnboardLogs"\RTDC4046\*4046*201703081* &gt;&gt; 2017-03-08-SliceDisagreementCheck.txt</v>
      </c>
      <c r="AE33" s="157" t="str">
        <f t="shared" si="9"/>
        <v>start /low /b %USERPROFILE%\Documents\GitHub\eaglep3\Utilities\DownloadLogsFromS3.py --loco 4046 --day 2017-03-08</v>
      </c>
      <c r="AF33" s="1"/>
    </row>
    <row r="34" spans="1:32" x14ac:dyDescent="0.25">
      <c r="A34" s="32">
        <v>42802.391377314816</v>
      </c>
      <c r="B34" s="30" t="s">
        <v>211</v>
      </c>
      <c r="C34" s="30" t="s">
        <v>577</v>
      </c>
      <c r="D34" s="30" t="s">
        <v>49</v>
      </c>
      <c r="E34" s="30" t="s">
        <v>186</v>
      </c>
      <c r="F34" s="43">
        <v>0</v>
      </c>
      <c r="G34" s="43">
        <v>97</v>
      </c>
      <c r="H34" s="43">
        <v>233136</v>
      </c>
      <c r="I34" s="43">
        <v>233238</v>
      </c>
      <c r="J34" s="30" t="s">
        <v>187</v>
      </c>
      <c r="K34" s="43">
        <v>233491</v>
      </c>
      <c r="L34" s="143" t="s">
        <v>50</v>
      </c>
      <c r="M34" s="144">
        <f t="shared" si="0"/>
        <v>133.584</v>
      </c>
      <c r="N34" s="145" t="str">
        <f>VLOOKUP(C34,'Trips&amp;Operators'!$C$1:$G$99999,5,FALSE)</f>
        <v>YOUNG ELIZABETH</v>
      </c>
      <c r="O34" s="194" t="s">
        <v>185</v>
      </c>
      <c r="P34" s="146"/>
      <c r="Q34" s="30"/>
      <c r="R34" s="89" t="str">
        <f>IF(VLOOKUP(C34,'Train Runs'!$A$13:$AE$9945,1,1)=C34,VLOOKUP(C34,'Train Runs'!$A$13:$AE$9945,31,1),NA())</f>
        <v>aws s3 cp s3://rtdc.mdm.uploadarchive.raw/RTDC4046/ "%USERPROFILE%\AppData\Local\Temp\OnboardLogs"\RTDC4046\2017-03-08 --exclude "*" --recursive --include "*20170308*" &amp; "%USERPROFILE%\Documents\GitHub\mrs-test-scripts\Headless Mode &amp; Sideloading\WalkAndUnGZ.bat" "%USERPROFILE%\AppData\Local\Temp\OnboardLogs"\RTDC4046\2017-03-08 &amp; aws s3 cp s3://rtdc.mdm.uploadarchive.raw/RTDC4046/ "%USERPROFILE%\AppData\Local\Temp\OnboardLogs"\RTDC4046\2017-03-09 --exclude "*" --recursive --include "*20170309*" &amp; "%USERPROFILE%\Documents\GitHub\mrs-test-scripts\Headless Mode &amp; Sideloading\WalkAndUnGZ.bat" "%USERPROFILE%\AppData\Local\Temp\OnboardLogs"\RTDC4046\2017-03-09</v>
      </c>
      <c r="S34" s="92" t="str">
        <f>IF(VLOOKUP(C34,'Train Runs'!$A$13:$AE$9945,1,1)=C34,VLOOKUP(C34,'Train Runs'!$A$13:$AE$9945,22,1),NA())</f>
        <v>https://d0f6bd738d7f1b3e5a7ca70fe4ff75f0.us-east-1.aws.found.io/app/kibana#/discover/Steve-Slow-Train-Analysis-(2080s-and-2083s)?_g=(refreshInterval:(display:Off,pause:!f,section:0,value:0),time:(from:'2017-03-08T07:41:45-0700',mode:absolute,to:'2017-03-08T10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4" s="94" t="str">
        <f t="shared" si="1"/>
        <v>"C:\Program Files (x86)\AstroGrep\AstroGrep.exe" /e /r /s /spath="%USERPROFILE%\AppData\Local\Temp\OnboardLogs" /stypes="*4046*201703081*" /stext=" 16:.+((SYSTEM_STATE.+slice.+state.+changed )|(ment ac)|(multiple cpu faults)|(system.+state.+changed )|(\[timeout)|(PRM\|1\|D)|(kpr)|(kdp)|(\|lc)|(penalty))"</v>
      </c>
      <c r="U34" s="9" t="str">
        <f t="shared" si="2"/>
        <v>4046</v>
      </c>
      <c r="V34" s="32">
        <f t="shared" si="3"/>
        <v>42802.68304398148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{"issue":{"subject":"","project_id":79,"tracker_id":40,"status_id":1,"priority_id":2,"assigned_to_id":23,"start_date":"2017-03-08","description":"","custom_fields":[{"id":1,"name":"Subdivision","value":"EC"},{"id":4,"name":"Milepost","value":"23.3491"},{"id":17,"name":"Train ID","value":"141-08"},{"id":16,"name":"Locomotive ID","value":"4046"},{"id":130,"name":"Impact","value":""},{"id":150,"name":"Time of Event (Mountain Time)","value":"09:23:35"},{"id":151,"name":"Denver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10"/>
        <v>grep -hSE -A400 "Enforcement Action" "%USERPROFILE%\AppData\Local\Temp\OnboardLogs"\RTDC4046\*4046*201703081*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"%USERPROFILE%\AppData\Local\Temp\OnboardLogs"\RTDC4046\*4046*201703081* &gt;&gt; 2017-03-08-SliceDisagreementCheck.txt</v>
      </c>
      <c r="AE34" s="157" t="str">
        <f t="shared" si="9"/>
        <v>start /low /b %USERPROFILE%\Documents\GitHub\eaglep3\Utilities\DownloadLogsFromS3.py --loco 4046 --day 2017-03-08</v>
      </c>
      <c r="AF34" s="1"/>
    </row>
    <row r="35" spans="1:32" x14ac:dyDescent="0.25">
      <c r="A35" s="32">
        <v>42802.717268518521</v>
      </c>
      <c r="B35" s="30" t="s">
        <v>276</v>
      </c>
      <c r="C35" s="30" t="s">
        <v>586</v>
      </c>
      <c r="D35" s="30" t="s">
        <v>49</v>
      </c>
      <c r="E35" s="30" t="s">
        <v>186</v>
      </c>
      <c r="F35" s="43">
        <v>0</v>
      </c>
      <c r="G35" s="43">
        <v>135</v>
      </c>
      <c r="H35" s="43">
        <v>232794</v>
      </c>
      <c r="I35" s="43">
        <v>232934</v>
      </c>
      <c r="J35" s="30" t="s">
        <v>187</v>
      </c>
      <c r="K35" s="43">
        <v>233491</v>
      </c>
      <c r="L35" s="143" t="s">
        <v>50</v>
      </c>
      <c r="M35" s="144">
        <f t="shared" si="0"/>
        <v>294.096</v>
      </c>
      <c r="N35" s="145" t="str">
        <f>VLOOKUP(C35,'Trips&amp;Operators'!$C$1:$G$99999,5,FALSE)</f>
        <v>DAVIS MICHAEL</v>
      </c>
      <c r="O35" s="194" t="s">
        <v>185</v>
      </c>
      <c r="P35" s="146"/>
      <c r="Q35" s="30"/>
      <c r="R35" s="89" t="str">
        <f>IF(VLOOKUP(C35,'Train Runs'!$A$13:$AE$9945,1,1)=C35,VLOOKUP(C35,'Train Runs'!$A$13:$AE$9945,31,1),NA())</f>
        <v>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 &amp; 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</v>
      </c>
      <c r="S35" s="92" t="str">
        <f>IF(VLOOKUP(C35,'Train Runs'!$A$13:$AE$9945,1,1)=C35,VLOOKUP(C35,'Train Runs'!$A$13:$AE$9945,22,1),NA())</f>
        <v>https://d0f6bd738d7f1b3e5a7ca70fe4ff75f0.us-east-1.aws.found.io/app/kibana#/discover/Steve-Slow-Train-Analysis-(2080s-and-2083s)?_g=(refreshInterval:(display:Off,pause:!f,section:0,value:0),time:(from:'2017-03-08T15:29:02-0700',mode:absolute,to:'2017-03-08T18:12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5" s="94" t="str">
        <f t="shared" si="1"/>
        <v>"C:\Program Files (x86)\AstroGrep\AstroGrep.exe" /e /r /s /spath="%USERPROFILE%\AppData\Local\Temp\OnboardLogs" /stypes="*4016*201703090*" /stext=" 00:.+((SYSTEM_STATE.+slice.+state.+changed )|(ment ac)|(multiple cpu faults)|(system.+state.+changed )|(\[timeout)|(PRM\|1\|D)|(kpr)|(kdp)|(\|lc)|(penalty))"</v>
      </c>
      <c r="U35" s="9" t="str">
        <f t="shared" si="2"/>
        <v>4016</v>
      </c>
      <c r="V35" s="32">
        <f t="shared" si="3"/>
        <v>42803.008935185186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{"issue":{"subject":"","project_id":79,"tracker_id":40,"status_id":1,"priority_id":2,"assigned_to_id":23,"start_date":"2017-03-08","description":"","custom_fields":[{"id":1,"name":"Subdivision","value":"EC"},{"id":4,"name":"Milepost","value":"23.3491"},{"id":17,"name":"Train ID","value":"203-08"},{"id":16,"name":"Locomotive ID","value":"4016"},{"id":130,"name":"Impact","value":""},{"id":150,"name":"Time of Event (Mountain Time)","value":"17:12:52"},{"id":151,"name":"Denver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10"/>
        <v>grep -hSE -A400 "Enforcement Action" "%USERPROFILE%\AppData\Local\Temp\OnboardLogs"\RTDC4016\*4016*201703090*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"%USERPROFILE%\AppData\Local\Temp\OnboardLogs"\RTDC4016\*4016*201703090* &gt;&gt; 2017-03-08-SliceDisagreementCheck.txt</v>
      </c>
      <c r="AE35" s="157" t="str">
        <f t="shared" si="9"/>
        <v>start /low /b %USERPROFILE%\Documents\GitHub\eaglep3\Utilities\DownloadLogsFromS3.py --loco 4016 --day 2017-03-09</v>
      </c>
      <c r="AF35" s="1"/>
    </row>
    <row r="36" spans="1:32" x14ac:dyDescent="0.25">
      <c r="A36" s="32">
        <v>42802.921956018516</v>
      </c>
      <c r="B36" s="30" t="s">
        <v>450</v>
      </c>
      <c r="C36" s="30" t="s">
        <v>592</v>
      </c>
      <c r="D36" s="30" t="s">
        <v>49</v>
      </c>
      <c r="E36" s="30" t="s">
        <v>186</v>
      </c>
      <c r="F36" s="43">
        <v>0</v>
      </c>
      <c r="G36" s="43">
        <v>43</v>
      </c>
      <c r="H36" s="43">
        <v>233385</v>
      </c>
      <c r="I36" s="43">
        <v>233414</v>
      </c>
      <c r="J36" s="30" t="s">
        <v>187</v>
      </c>
      <c r="K36" s="43">
        <v>233491</v>
      </c>
      <c r="L36" s="143" t="s">
        <v>50</v>
      </c>
      <c r="M36" s="144">
        <f t="shared" si="0"/>
        <v>40.655999999999999</v>
      </c>
      <c r="N36" s="145" t="str">
        <f>VLOOKUP(C36,'Trips&amp;Operators'!$C$1:$G$99999,5,FALSE)</f>
        <v>STORY SAMANTHA</v>
      </c>
      <c r="O36" s="194" t="s">
        <v>185</v>
      </c>
      <c r="P36" s="146"/>
      <c r="Q36" s="30"/>
      <c r="R36" s="89" t="str">
        <f>IF(VLOOKUP(C36,'Train Runs'!$A$13:$AE$9945,1,1)=C36,VLOOKUP(C36,'Train Runs'!$A$13:$AE$9945,31,1),NA())</f>
        <v>aws s3 cp s3://rtdc.mdm.uploadarchive.raw/RTDC4009/ "%USERPROFILE%\AppData\Local\Temp\OnboardLogs"\RTDC4009\2017-03-08 --exclude "*" --recursive --include "*20170308*" &amp; "%USERPROFILE%\Documents\GitHub\mrs-test-scripts\Headless Mode &amp; Sideloading\WalkAndUnGZ.bat" "%USERPROFILE%\AppData\Local\Temp\OnboardLogs"\RTDC4009\2017-03-08 &amp; aws s3 cp s3://rtdc.mdm.uploadarchive.raw/RTDC4009/ "%USERPROFILE%\AppData\Local\Temp\OnboardLogs"\RTDC4009\2017-03-09 --exclude "*" --recursive --include "*20170309*" &amp; "%USERPROFILE%\Documents\GitHub\mrs-test-scripts\Headless Mode &amp; Sideloading\WalkAndUnGZ.bat" "%USERPROFILE%\AppData\Local\Temp\OnboardLogs"\RTDC4009\2017-03-09</v>
      </c>
      <c r="S36" s="92" t="str">
        <f>IF(VLOOKUP(C36,'Train Runs'!$A$13:$AE$9945,1,1)=C36,VLOOKUP(C36,'Train Runs'!$A$13:$AE$9945,22,1),NA())</f>
        <v>https://d0f6bd738d7f1b3e5a7ca70fe4ff75f0.us-east-1.aws.found.io/app/kibana#/discover/Steve-Slow-Train-Analysis-(2080s-and-2083s)?_g=(refreshInterval:(display:Off,pause:!f,section:0,value:0),time:(from:'2017-03-08T20:28:15-0700',mode:absolute,to:'2017-03-08T23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6" s="94" t="str">
        <f t="shared" si="1"/>
        <v>"C:\Program Files (x86)\AstroGrep\AstroGrep.exe" /e /r /s /spath="%USERPROFILE%\AppData\Local\Temp\OnboardLogs" /stypes="*4009*201703090*" /stext=" 05:.+((SYSTEM_STATE.+slice.+state.+changed )|(ment ac)|(multiple cpu faults)|(system.+state.+changed )|(\[timeout)|(PRM\|1\|D)|(kpr)|(kdp)|(\|lc)|(penalty))"</v>
      </c>
      <c r="U36" s="9" t="str">
        <f t="shared" si="2"/>
        <v>4009</v>
      </c>
      <c r="V36" s="32">
        <f t="shared" si="3"/>
        <v>42803.21362268518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{"issue":{"subject":"","project_id":79,"tracker_id":40,"status_id":1,"priority_id":2,"assigned_to_id":23,"start_date":"2017-03-08","description":"","custom_fields":[{"id":1,"name":"Subdivision","value":"EC"},{"id":4,"name":"Milepost","value":"23.3491"},{"id":17,"name":"Train ID","value":"231-08"},{"id":16,"name":"Locomotive ID","value":"4009"},{"id":130,"name":"Impact","value":""},{"id":150,"name":"Time of Event (Mountain Time)","value":"22:07:37"},{"id":151,"name":"Denver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10"/>
        <v>grep -hSE -A400 "Enforcement Action" "%USERPROFILE%\AppData\Local\Temp\OnboardLogs"\RTDC4009\*4009*201703090*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"%USERPROFILE%\AppData\Local\Temp\OnboardLogs"\RTDC4009\*4009*201703090* &gt;&gt; 2017-03-08-SliceDisagreementCheck.txt</v>
      </c>
      <c r="AE36" s="157" t="str">
        <f t="shared" si="9"/>
        <v>start /low /b %USERPROFILE%\Documents\GitHub\eaglep3\Utilities\DownloadLogsFromS3.py --loco 4009 --day 2017-03-09</v>
      </c>
      <c r="AF36" s="1"/>
    </row>
    <row r="37" spans="1:32" x14ac:dyDescent="0.25">
      <c r="A37" s="32">
        <v>42802.347430555557</v>
      </c>
      <c r="B37" s="30" t="s">
        <v>575</v>
      </c>
      <c r="C37" s="30" t="s">
        <v>576</v>
      </c>
      <c r="D37" s="30" t="s">
        <v>49</v>
      </c>
      <c r="E37" s="30" t="s">
        <v>195</v>
      </c>
      <c r="F37" s="43">
        <v>0</v>
      </c>
      <c r="G37" s="43">
        <v>276</v>
      </c>
      <c r="H37" s="43">
        <v>11046</v>
      </c>
      <c r="I37" s="43">
        <v>10500</v>
      </c>
      <c r="J37" s="30" t="s">
        <v>196</v>
      </c>
      <c r="K37" s="43">
        <v>10988</v>
      </c>
      <c r="L37" s="143" t="s">
        <v>51</v>
      </c>
      <c r="M37" s="144">
        <f t="shared" si="0"/>
        <v>-257.66399999999999</v>
      </c>
      <c r="N37" s="145" t="str">
        <f>VLOOKUP(C37,'Trips&amp;Operators'!$C$1:$G$99999,5,FALSE)</f>
        <v>YORK EDGAR</v>
      </c>
      <c r="O37" s="194" t="s">
        <v>185</v>
      </c>
      <c r="P37" s="146" t="s">
        <v>269</v>
      </c>
      <c r="Q37" s="30"/>
      <c r="R37" s="89" t="e">
        <f>IF(VLOOKUP(C37,'Train Runs'!$A$13:$AE$9945,1,1)=C37,VLOOKUP(C37,'Train Runs'!$A$13:$AE$9945,31,1),NA())</f>
        <v>#N/A</v>
      </c>
      <c r="S37" s="92" t="e">
        <f>IF(VLOOKUP(C37,'Train Runs'!$A$13:$AE$9945,1,1)=C37,VLOOKUP(C37,'Train Runs'!$A$13:$AE$9945,22,1),NA())</f>
        <v>#N/A</v>
      </c>
      <c r="T37" s="94" t="str">
        <f t="shared" si="1"/>
        <v>"C:\Program Files (x86)\AstroGrep\AstroGrep.exe" /e /r /s /spath="%USERPROFILE%\AppData\Local\Temp\OnboardLogs" /stypes="*4039*201703081*" /stext=" 15:.+((SYSTEM_STATE.+slice.+state.+changed )|(ment ac)|(multiple cpu faults)|(system.+state.+changed )|(\[timeout)|(PRM\|1\|D)|(kpr)|(kdp)|(\|lc)|(penalty))"</v>
      </c>
      <c r="U37" s="9" t="str">
        <f t="shared" si="2"/>
        <v>4039</v>
      </c>
      <c r="V37" s="32">
        <f t="shared" si="3"/>
        <v>42802.639097222222</v>
      </c>
      <c r="W37" s="46" t="str">
        <f t="shared" si="4"/>
        <v>NW</v>
      </c>
      <c r="X37" s="46" t="str">
        <f t="shared" si="5"/>
        <v>KEEP</v>
      </c>
      <c r="Y37" s="108" t="str">
        <f t="shared" si="6"/>
        <v>echo {"issue":{"subject":"Early arrival","project_id":79,"tracker_id":40,"status_id":1,"priority_id":2,"assigned_to_id":23,"start_date":"2017-03-08","description":"","custom_fields":[{"id":1,"name":"Subdivision","value":"NW"},{"id":4,"name":"Milepost","value":"1.0988"},{"id":17,"name":"Train ID","value":"810-08"},{"id":16,"name":"Locomotive ID","value":"4039"},{"id":130,"name":"Impact","value":""},{"id":150,"name":"Time of Event (Mountain Time)","value":"08:20:18"},{"id":151,"name":"Denver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10"/>
        <v>grep -hSE -A400 "Enforcement Action" "%USERPROFILE%\AppData\Local\Temp\OnboardLogs"\RTDC4039\*4039*201703081*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"%USERPROFILE%\AppData\Local\Temp\OnboardLogs"\RTDC4039\*4039*201703081* &gt;&gt; 2017-03-08-SliceDisagreementCheck.txt</v>
      </c>
      <c r="AE37" s="157" t="str">
        <f t="shared" si="9"/>
        <v>start /low /b %USERPROFILE%\Documents\GitHub\eaglep3\Utilities\DownloadLogsFromS3.py --loco 4039 --day 2017-03-08</v>
      </c>
      <c r="AF37" s="1"/>
    </row>
    <row r="38" spans="1:32" x14ac:dyDescent="0.25">
      <c r="A38" s="32">
        <v>42802.768240740741</v>
      </c>
      <c r="B38" s="30" t="s">
        <v>575</v>
      </c>
      <c r="C38" s="30" t="s">
        <v>589</v>
      </c>
      <c r="D38" s="30" t="s">
        <v>49</v>
      </c>
      <c r="E38" s="30" t="s">
        <v>186</v>
      </c>
      <c r="F38" s="43">
        <v>0</v>
      </c>
      <c r="G38" s="43">
        <v>32</v>
      </c>
      <c r="H38" s="43">
        <v>650</v>
      </c>
      <c r="I38" s="43">
        <v>633</v>
      </c>
      <c r="J38" s="30" t="s">
        <v>187</v>
      </c>
      <c r="K38" s="43">
        <v>575</v>
      </c>
      <c r="L38" s="143" t="s">
        <v>51</v>
      </c>
      <c r="M38" s="144">
        <f t="shared" si="0"/>
        <v>30.623999999999999</v>
      </c>
      <c r="N38" s="145" t="str">
        <f>VLOOKUP(C38,'Trips&amp;Operators'!$C$1:$G$99999,5,FALSE)</f>
        <v>CHANDLER KELVIN</v>
      </c>
      <c r="O38" s="194" t="s">
        <v>185</v>
      </c>
      <c r="P38" s="146"/>
      <c r="Q38" s="30"/>
      <c r="R38" s="89" t="e">
        <f>IF(VLOOKUP(C38,'Train Runs'!$A$13:$AE$9945,1,1)=C38,VLOOKUP(C38,'Train Runs'!$A$13:$AE$9945,31,1),NA())</f>
        <v>#N/A</v>
      </c>
      <c r="S38" s="92" t="e">
        <f>IF(VLOOKUP(C38,'Train Runs'!$A$13:$AE$9945,1,1)=C38,VLOOKUP(C38,'Train Runs'!$A$13:$AE$9945,22,1),NA())</f>
        <v>#N/A</v>
      </c>
      <c r="T38" s="94" t="str">
        <f t="shared" si="1"/>
        <v>"C:\Program Files (x86)\AstroGrep\AstroGrep.exe" /e /r /s /spath="%USERPROFILE%\AppData\Local\Temp\OnboardLogs" /stypes="*4039*201703090*" /stext=" 01:.+((SYSTEM_STATE.+slice.+state.+changed )|(ment ac)|(multiple cpu faults)|(system.+state.+changed )|(\[timeout)|(PRM\|1\|D)|(kpr)|(kdp)|(\|lc)|(penalty))"</v>
      </c>
      <c r="U38" s="9" t="str">
        <f t="shared" si="2"/>
        <v>4039</v>
      </c>
      <c r="V38" s="32">
        <f t="shared" si="3"/>
        <v>42803.059907407405</v>
      </c>
      <c r="W38" s="46" t="str">
        <f t="shared" si="4"/>
        <v>NW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{"issue":{"subject":"","project_id":79,"tracker_id":40,"status_id":1,"priority_id":2,"assigned_to_id":23,"start_date":"2017-03-08","description":"","custom_fields":[{"id":1,"name":"Subdivision","value":"NW"},{"id":4,"name":"Milepost","value":"0.0575"},{"id":17,"name":"Train ID","value":"836-08"},{"id":16,"name":"Locomotive ID","value":"4039"},{"id":130,"name":"Impact","value":""},{"id":150,"name":"Time of Event (Mountain Time)","value":"18:26:16"},{"id":151,"name":"Denver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10"/>
        <v>grep -hSE -A400 "Enforcement Action" "%USERPROFILE%\AppData\Local\Temp\OnboardLogs"\RTDC4039\*4039*201703090*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"%USERPROFILE%\AppData\Local\Temp\OnboardLogs"\RTDC4039\*4039*201703090* &gt;&gt; 2017-03-08-SliceDisagreementCheck.txt</v>
      </c>
      <c r="AE38" s="157" t="str">
        <f t="shared" si="9"/>
        <v>start /low /b %USERPROFILE%\Documents\GitHub\eaglep3\Utilities\DownloadLogsFromS3.py --loco 4039 --day 2017-03-09</v>
      </c>
      <c r="AF38" s="1"/>
    </row>
    <row r="39" spans="1:32" x14ac:dyDescent="0.25">
      <c r="A39" s="32">
        <v>42802.150439814817</v>
      </c>
      <c r="B39" s="30" t="s">
        <v>559</v>
      </c>
      <c r="C39" s="30" t="s">
        <v>560</v>
      </c>
      <c r="D39" s="30" t="s">
        <v>98</v>
      </c>
      <c r="E39" s="30" t="s">
        <v>238</v>
      </c>
      <c r="F39" s="43">
        <v>400</v>
      </c>
      <c r="G39" s="43">
        <v>456</v>
      </c>
      <c r="H39" s="43">
        <v>38787</v>
      </c>
      <c r="I39" s="43">
        <v>37445</v>
      </c>
      <c r="J39" s="30" t="s">
        <v>239</v>
      </c>
      <c r="K39" s="43">
        <v>40977</v>
      </c>
      <c r="L39" s="143" t="s">
        <v>51</v>
      </c>
      <c r="M39" s="144">
        <f t="shared" si="0"/>
        <v>-1864.896</v>
      </c>
      <c r="N39" s="145" t="str">
        <f>VLOOKUP(C39,'Trips&amp;Operators'!$C$1:$G$99999,5,FALSE)</f>
        <v>YANG JAN</v>
      </c>
      <c r="O39" s="194" t="s">
        <v>185</v>
      </c>
      <c r="P39" s="146"/>
      <c r="Q39" s="30"/>
      <c r="R39" s="89" t="e">
        <f>IF(VLOOKUP(C39,'Train Runs'!$A$13:$AE$9945,1,1)=C39,VLOOKUP(C39,'Train Runs'!$A$13:$AE$9945,31,1),NA())</f>
        <v>#N/A</v>
      </c>
      <c r="S39" s="92" t="e">
        <f>IF(VLOOKUP(C39,'Train Runs'!$A$13:$AE$9945,1,1)=C39,VLOOKUP(C39,'Train Runs'!$A$13:$AE$9945,22,1),NA())</f>
        <v>#N/A</v>
      </c>
      <c r="T39" s="94" t="str">
        <f t="shared" si="1"/>
        <v>"C:\Program Files (x86)\AstroGrep\AstroGrep.exe" /e /r /s /spath="%USERPROFILE%\AppData\Local\Temp\OnboardLogs" /stypes="*4064*201703081*" /stext=" 10:.+((SYSTEM_STATE.+slice.+state.+changed )|(ment ac)|(multiple cpu faults)|(system.+state.+changed )|(\[timeout)|(PRM\|1\|D)|(kpr)|(kdp)|(\|lc)|(penalty))"</v>
      </c>
      <c r="U39" s="9" t="str">
        <f t="shared" si="2"/>
        <v>4064</v>
      </c>
      <c r="V39" s="32">
        <f t="shared" si="3"/>
        <v>42802.442106481481</v>
      </c>
      <c r="W39" s="46" t="str">
        <f t="shared" si="4"/>
        <v>Other</v>
      </c>
      <c r="X39" s="46" t="str">
        <f t="shared" si="5"/>
        <v>KEEP</v>
      </c>
      <c r="Y39" s="108" t="str">
        <f t="shared" si="6"/>
        <v>echo {"issue":{"subject":"","project_id":79,"tracker_id":40,"status_id":1,"priority_id":2,"assigned_to_id":23,"start_date":"2017-03-08","description":"","custom_fields":[{"id":1,"name":"Subdivision","value":"Other"},{"id":4,"name":"Milepost","value":"4.0977"},{"id":17,"name":"Train ID","value":"72-07"},{"id":16,"name":"Locomotive ID","value":"4064"},{"id":130,"name":"Impact","value":""},{"id":150,"name":"Time of Event (Mountain Time)","value":"03:36:38"},{"id":151,"name":"Denver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10"/>
        <v>grep -hSE -A400 "Enforcement Action" "%USERPROFILE%\AppData\Local\Temp\OnboardLogs"\RTDC4064\*4064*201703081*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"%USERPROFILE%\AppData\Local\Temp\OnboardLogs"\RTDC4064\*4064*201703081* &gt;&gt; 2017-03-08-SliceDisagreementCheck.txt</v>
      </c>
      <c r="AE39" s="157" t="str">
        <f t="shared" si="9"/>
        <v>start /low /b %USERPROFILE%\Documents\GitHub\eaglep3\Utilities\DownloadLogsFromS3.py --loco 4064 --day 2017-03-08</v>
      </c>
      <c r="AF39" s="1"/>
    </row>
    <row r="40" spans="1:32" x14ac:dyDescent="0.25">
      <c r="A40" s="32">
        <v>42802.86241898148</v>
      </c>
      <c r="B40" s="30" t="s">
        <v>276</v>
      </c>
      <c r="C40" s="30" t="s">
        <v>591</v>
      </c>
      <c r="D40" s="30" t="s">
        <v>98</v>
      </c>
      <c r="E40" s="30" t="s">
        <v>473</v>
      </c>
      <c r="F40" s="43">
        <v>0</v>
      </c>
      <c r="G40" s="43">
        <v>61</v>
      </c>
      <c r="H40" s="43">
        <v>1884</v>
      </c>
      <c r="I40" s="43">
        <v>1958</v>
      </c>
      <c r="J40" s="30" t="s">
        <v>474</v>
      </c>
      <c r="K40" s="43">
        <v>1692</v>
      </c>
      <c r="L40" s="143" t="s">
        <v>50</v>
      </c>
      <c r="M40" s="144">
        <f t="shared" si="0"/>
        <v>-140.44800000000001</v>
      </c>
      <c r="N40" s="145" t="str">
        <f>VLOOKUP(C40,'Trips&amp;Operators'!$C$1:$G$99999,5,FALSE)</f>
        <v>LALONDE GREGORY</v>
      </c>
      <c r="O40" s="194" t="s">
        <v>185</v>
      </c>
      <c r="P40" s="146"/>
      <c r="Q40" s="30"/>
      <c r="R40" s="89" t="e">
        <f>IF(VLOOKUP(C40,'Train Runs'!$A$13:$AE$9945,1,1)=C40,VLOOKUP(C40,'Train Runs'!$A$13:$AE$9945,31,1),NA())</f>
        <v>#N/A</v>
      </c>
      <c r="S40" s="92" t="e">
        <f>IF(VLOOKUP(C40,'Train Runs'!$A$13:$AE$9945,1,1)=C40,VLOOKUP(C40,'Train Runs'!$A$13:$AE$9945,22,1),NA())</f>
        <v>#N/A</v>
      </c>
      <c r="T40" s="94" t="str">
        <f t="shared" si="1"/>
        <v>"C:\Program Files (x86)\AstroGrep\AstroGrep.exe" /e /r /s /spath="%USERPROFILE%\AppData\Local\Temp\OnboardLogs" /stypes="*4016*201703090*" /stext=" 03:.+((SYSTEM_STATE.+slice.+state.+changed )|(ment ac)|(multiple cpu faults)|(system.+state.+changed )|(\[timeout)|(PRM\|1\|D)|(kpr)|(kdp)|(\|lc)|(penalty))"</v>
      </c>
      <c r="U40" s="9" t="str">
        <f t="shared" si="2"/>
        <v>4016</v>
      </c>
      <c r="V40" s="32">
        <f t="shared" si="3"/>
        <v>42803.154085648144</v>
      </c>
      <c r="W40" s="46" t="str">
        <f t="shared" si="4"/>
        <v>Other</v>
      </c>
      <c r="X40" s="46" t="str">
        <f t="shared" si="5"/>
        <v>KEEP</v>
      </c>
      <c r="Y40" s="108" t="str">
        <f t="shared" si="6"/>
        <v>echo {"issue":{"subject":"","project_id":79,"tracker_id":40,"status_id":1,"priority_id":2,"assigned_to_id":23,"start_date":"2017-03-08","description":"","custom_fields":[{"id":1,"name":"Subdivision","value":"Other"},{"id":4,"name":"Milepost","value":"0.1692"},{"id":17,"name":"Train ID","value":"307-08"},{"id":16,"name":"Locomotive ID","value":"4016"},{"id":130,"name":"Impact","value":""},{"id":150,"name":"Time of Event (Mountain Time)","value":"20:41:53"},{"id":151,"name":"Denver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10"/>
        <v>grep -hSE -A400 "Enforcement Action" "%USERPROFILE%\AppData\Local\Temp\OnboardLogs"\RTDC4016\*4016*201703090*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"%USERPROFILE%\AppData\Local\Temp\OnboardLogs"\RTDC4016\*4016*201703090* &gt;&gt; 2017-03-08-SliceDisagreementCheck.txt</v>
      </c>
      <c r="AE40" s="157" t="str">
        <f t="shared" si="9"/>
        <v>start /low /b %USERPROFILE%\Documents\GitHub\eaglep3\Utilities\DownloadLogsFromS3.py --loco 4016 --day 2017-03-09</v>
      </c>
      <c r="AF40" s="1"/>
    </row>
    <row r="41" spans="1:32" x14ac:dyDescent="0.25">
      <c r="A41" s="32">
        <v>42802.862766203703</v>
      </c>
      <c r="B41" s="30" t="s">
        <v>276</v>
      </c>
      <c r="C41" s="30" t="s">
        <v>591</v>
      </c>
      <c r="D41" s="30" t="s">
        <v>98</v>
      </c>
      <c r="E41" s="30" t="s">
        <v>473</v>
      </c>
      <c r="F41" s="43">
        <v>0</v>
      </c>
      <c r="G41" s="43">
        <v>12</v>
      </c>
      <c r="H41" s="43">
        <v>1959</v>
      </c>
      <c r="I41" s="43">
        <v>1978</v>
      </c>
      <c r="J41" s="30" t="s">
        <v>474</v>
      </c>
      <c r="K41" s="43">
        <v>1692</v>
      </c>
      <c r="L41" s="143" t="s">
        <v>50</v>
      </c>
      <c r="M41" s="144">
        <f t="shared" si="0"/>
        <v>-151.00800000000001</v>
      </c>
      <c r="N41" s="145" t="str">
        <f>VLOOKUP(C41,'Trips&amp;Operators'!$C$1:$G$99999,5,FALSE)</f>
        <v>LALONDE GREGORY</v>
      </c>
      <c r="O41" s="194" t="s">
        <v>185</v>
      </c>
      <c r="P41" s="146"/>
      <c r="Q41" s="30"/>
      <c r="R41" s="89" t="e">
        <f>IF(VLOOKUP(C41,'Train Runs'!$A$13:$AE$9945,1,1)=C41,VLOOKUP(C41,'Train Runs'!$A$13:$AE$9945,31,1),NA())</f>
        <v>#N/A</v>
      </c>
      <c r="S41" s="92" t="e">
        <f>IF(VLOOKUP(C41,'Train Runs'!$A$13:$AE$9945,1,1)=C41,VLOOKUP(C41,'Train Runs'!$A$13:$AE$9945,22,1),NA())</f>
        <v>#N/A</v>
      </c>
      <c r="T41" s="94" t="str">
        <f t="shared" si="1"/>
        <v>"C:\Program Files (x86)\AstroGrep\AstroGrep.exe" /e /r /s /spath="%USERPROFILE%\AppData\Local\Temp\OnboardLogs" /stypes="*4016*201703090*" /stext=" 03:.+((SYSTEM_STATE.+slice.+state.+changed )|(ment ac)|(multiple cpu faults)|(system.+state.+changed )|(\[timeout)|(PRM\|1\|D)|(kpr)|(kdp)|(\|lc)|(penalty))"</v>
      </c>
      <c r="U41" s="9" t="str">
        <f t="shared" si="2"/>
        <v>4016</v>
      </c>
      <c r="V41" s="32">
        <f t="shared" si="3"/>
        <v>42803.154432870368</v>
      </c>
      <c r="W41" s="46" t="str">
        <f t="shared" si="4"/>
        <v>Other</v>
      </c>
      <c r="X41" s="46" t="str">
        <f t="shared" si="5"/>
        <v>KEEP</v>
      </c>
      <c r="Y41" s="108" t="str">
        <f t="shared" si="6"/>
        <v>echo {"issue":{"subject":"","project_id":79,"tracker_id":40,"status_id":1,"priority_id":2,"assigned_to_id":23,"start_date":"2017-03-08","description":"","custom_fields":[{"id":1,"name":"Subdivision","value":"Other"},{"id":4,"name":"Milepost","value":"0.1692"},{"id":17,"name":"Train ID","value":"307-08"},{"id":16,"name":"Locomotive ID","value":"4016"},{"id":130,"name":"Impact","value":""},{"id":150,"name":"Time of Event (Mountain Time)","value":"20:42:23"},{"id":151,"name":"Denver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10"/>
        <v>grep -hSE -A400 "Enforcement Action" "%USERPROFILE%\AppData\Local\Temp\OnboardLogs"\RTDC4016\*4016*201703090*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"%USERPROFILE%\AppData\Local\Temp\OnboardLogs"\RTDC4016\*4016*201703090* &gt;&gt; 2017-03-08-SliceDisagreementCheck.txt</v>
      </c>
      <c r="AE41" s="157" t="str">
        <f t="shared" si="9"/>
        <v>start /low /b %USERPROFILE%\Documents\GitHub\eaglep3\Utilities\DownloadLogsFromS3.py --loco 4016 --day 2017-03-09</v>
      </c>
      <c r="AF41" s="1"/>
    </row>
    <row r="42" spans="1:32" x14ac:dyDescent="0.25">
      <c r="A42" s="32">
        <v>42802.469050925924</v>
      </c>
      <c r="B42" s="30" t="s">
        <v>580</v>
      </c>
      <c r="C42" s="30" t="s">
        <v>581</v>
      </c>
      <c r="D42" s="30" t="s">
        <v>49</v>
      </c>
      <c r="E42" s="30" t="s">
        <v>186</v>
      </c>
      <c r="F42" s="43">
        <v>0</v>
      </c>
      <c r="G42" s="43">
        <v>31</v>
      </c>
      <c r="H42" s="43">
        <v>88</v>
      </c>
      <c r="I42" s="43">
        <v>70</v>
      </c>
      <c r="J42" s="30" t="s">
        <v>187</v>
      </c>
      <c r="K42" s="43">
        <v>1</v>
      </c>
      <c r="L42" s="143" t="s">
        <v>51</v>
      </c>
      <c r="M42" s="144">
        <f t="shared" si="0"/>
        <v>36.432000000000002</v>
      </c>
      <c r="N42" s="145" t="str">
        <f>VLOOKUP(C42,'Trips&amp;Operators'!$C$1:$G$99999,5,FALSE)</f>
        <v>DE LA ROSA ALEX</v>
      </c>
      <c r="O42" s="194" t="s">
        <v>185</v>
      </c>
      <c r="P42" s="146"/>
      <c r="Q42" s="30"/>
      <c r="R42" s="89" t="e">
        <f>IF(VLOOKUP(C42,'Train Runs'!$A$13:$AE$9945,1,1)=C42,VLOOKUP(C42,'Train Runs'!$A$13:$AE$9945,31,1),NA())</f>
        <v>#N/A</v>
      </c>
      <c r="S42" s="92" t="e">
        <f>IF(VLOOKUP(C42,'Train Runs'!$A$13:$AE$9945,1,1)=C42,VLOOKUP(C42,'Train Runs'!$A$13:$AE$9945,22,1),NA())</f>
        <v>#N/A</v>
      </c>
      <c r="T42" s="94" t="str">
        <f t="shared" si="1"/>
        <v>"C:\Program Files (x86)\AstroGrep\AstroGrep.exe" /e /r /s /spath="%USERPROFILE%\AppData\Local\Temp\OnboardLogs" /stypes="*4023*201703081*" /stext=" 18:.+((SYSTEM_STATE.+slice.+state.+changed )|(ment ac)|(multiple cpu faults)|(system.+state.+changed )|(\[timeout)|(PRM\|1\|D)|(kpr)|(kdp)|(\|lc)|(penalty))"</v>
      </c>
      <c r="U42" s="9" t="str">
        <f t="shared" si="2"/>
        <v>4023</v>
      </c>
      <c r="V42" s="32">
        <f t="shared" si="3"/>
        <v>42802.760717592588</v>
      </c>
      <c r="W42" s="46" t="str">
        <f t="shared" si="4"/>
        <v>Other</v>
      </c>
      <c r="X42" s="46" t="str">
        <f t="shared" si="5"/>
        <v>KEEP</v>
      </c>
      <c r="Y42" s="108" t="str">
        <f t="shared" si="6"/>
        <v>echo {"issue":{"subject":"","project_id":79,"tracker_id":40,"status_id":1,"priority_id":2,"assigned_to_id":23,"start_date":"2017-03-08","description":"","custom_fields":[{"id":1,"name":"Subdivision","value":"Other"},{"id":4,"name":"Milepost","value":"0.0001"},{"id":17,"name":"Train ID","value":"50-08"},{"id":16,"name":"Locomotive ID","value":"4023"},{"id":130,"name":"Impact","value":""},{"id":150,"name":"Time of Event (Mountain Time)","value":"11:15:26"},{"id":151,"name":"Denver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10"/>
        <v>grep -hSE -A400 "Enforcement Action" "%USERPROFILE%\AppData\Local\Temp\OnboardLogs"\RTDC4023\*4023*201703081*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"%USERPROFILE%\AppData\Local\Temp\OnboardLogs"\RTDC4023\*4023*201703081* &gt;&gt; 2017-03-08-SliceDisagreementCheck.txt</v>
      </c>
      <c r="AE42" s="157" t="str">
        <f t="shared" si="9"/>
        <v>start /low /b %USERPROFILE%\Documents\GitHub\eaglep3\Utilities\DownloadLogsFromS3.py --loco 4023 --day 2017-03-08</v>
      </c>
      <c r="AF42" s="1"/>
    </row>
    <row r="43" spans="1:32" x14ac:dyDescent="0.25">
      <c r="A43" s="32">
        <v>42802.194328703707</v>
      </c>
      <c r="B43" s="30" t="s">
        <v>559</v>
      </c>
      <c r="C43" s="30" t="s">
        <v>562</v>
      </c>
      <c r="D43" s="30" t="s">
        <v>49</v>
      </c>
      <c r="E43" s="30" t="s">
        <v>186</v>
      </c>
      <c r="F43" s="43">
        <v>0</v>
      </c>
      <c r="G43" s="43">
        <v>122</v>
      </c>
      <c r="H43" s="43">
        <v>1621</v>
      </c>
      <c r="I43" s="43">
        <v>1469</v>
      </c>
      <c r="J43" s="30" t="s">
        <v>187</v>
      </c>
      <c r="K43" s="43">
        <v>826</v>
      </c>
      <c r="L43" s="143" t="s">
        <v>51</v>
      </c>
      <c r="M43" s="144">
        <f t="shared" si="0"/>
        <v>339.50399999999996</v>
      </c>
      <c r="N43" s="145" t="str">
        <f>VLOOKUP(C43,'Trips&amp;Operators'!$C$1:$G$99999,5,FALSE)</f>
        <v>COOLAHAN JOHN</v>
      </c>
      <c r="O43" s="194" t="s">
        <v>185</v>
      </c>
      <c r="P43" s="146"/>
      <c r="Q43" s="30"/>
      <c r="R43" s="89" t="e">
        <f>IF(VLOOKUP(C43,'Train Runs'!$A$13:$AE$9945,1,1)=C43,VLOOKUP(C43,'Train Runs'!$A$13:$AE$9945,31,1),NA())</f>
        <v>#N/A</v>
      </c>
      <c r="S43" s="92" t="e">
        <f>IF(VLOOKUP(C43,'Train Runs'!$A$13:$AE$9945,1,1)=C43,VLOOKUP(C43,'Train Runs'!$A$13:$AE$9945,22,1),NA())</f>
        <v>#N/A</v>
      </c>
      <c r="T43" s="94" t="str">
        <f t="shared" si="1"/>
        <v>"C:\Program Files (x86)\AstroGrep\AstroGrep.exe" /e /r /s /spath="%USERPROFILE%\AppData\Local\Temp\OnboardLogs" /stypes="*4064*201703081*" /stext=" 11:.+((SYSTEM_STATE.+slice.+state.+changed )|(ment ac)|(multiple cpu faults)|(system.+state.+changed )|(\[timeout)|(PRM\|1\|D)|(kpr)|(kdp)|(\|lc)|(penalty))"</v>
      </c>
      <c r="U43" s="9" t="str">
        <f t="shared" si="2"/>
        <v>4064</v>
      </c>
      <c r="V43" s="32">
        <f t="shared" si="3"/>
        <v>42802.485995370371</v>
      </c>
      <c r="W43" s="46" t="str">
        <f t="shared" si="4"/>
        <v>Other</v>
      </c>
      <c r="X43" s="46" t="str">
        <f t="shared" si="5"/>
        <v>KEEP</v>
      </c>
      <c r="Y43" s="108" t="str">
        <f t="shared" si="6"/>
        <v>echo {"issue":{"subject":"","project_id":79,"tracker_id":40,"status_id":1,"priority_id":2,"assigned_to_id":23,"start_date":"2017-03-08","description":"","custom_fields":[{"id":1,"name":"Subdivision","value":"Other"},{"id":4,"name":"Milepost","value":"0.0826"},{"id":17,"name":"Train ID","value":"52-08"},{"id":16,"name":"Locomotive ID","value":"4064"},{"id":130,"name":"Impact","value":""},{"id":150,"name":"Time of Event (Mountain Time)","value":"04:39:50"},{"id":151,"name":"Denver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10"/>
        <v>grep -hSE -A400 "Enforcement Action" "%USERPROFILE%\AppData\Local\Temp\OnboardLogs"\RTDC4064\*4064*201703081*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"%USERPROFILE%\AppData\Local\Temp\OnboardLogs"\RTDC4064\*4064*201703081* &gt;&gt; 2017-03-08-SliceDisagreementCheck.txt</v>
      </c>
      <c r="AE43" s="157" t="str">
        <f t="shared" si="9"/>
        <v>start /low /b %USERPROFILE%\Documents\GitHub\eaglep3\Utilities\DownloadLogsFromS3.py --loco 4064 --day 2017-03-08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67"/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"/>
  <sheetViews>
    <sheetView workbookViewId="0">
      <selection activeCell="A3" sqref="A3:XFD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1" t="str">
        <f>"Trips that did not appear in PTC Data "&amp;TEXT(Variables!$A$2,"YYYY-mm-dd")</f>
        <v>Trips that did not appear in PTC Data 2017-03-08</v>
      </c>
      <c r="C1" s="221"/>
      <c r="D1" s="221"/>
      <c r="E1" s="221"/>
      <c r="F1" s="221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-08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1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" s="30" t="e">
        <f>VLOOKUP(B3,'Train Runs'!$A$13:$A$99942,1,FALSE)</f>
        <v>#N/A</v>
      </c>
    </row>
    <row r="4" spans="1:10" x14ac:dyDescent="0.25">
      <c r="A4" s="185"/>
      <c r="B4" s="43" t="str">
        <f>A4&amp;"-"&amp;IF(DAY(Variables!$A$2)&lt;10,0,"")&amp;DAY(Variables!$A$2)</f>
        <v>-08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" s="30" t="e">
        <f>VLOOKUP(B4,'Train Runs'!$A$13:$A$99942,1,FALSE)</f>
        <v>#N/A</v>
      </c>
    </row>
    <row r="5" spans="1:10" x14ac:dyDescent="0.25">
      <c r="A5" s="185"/>
      <c r="B5" s="43" t="str">
        <f>A5&amp;"-"&amp;IF(DAY(Variables!$A$2)&lt;10,0,"")&amp;DAY(Variables!$A$2)</f>
        <v>-08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" s="30" t="e">
        <f>VLOOKUP(B5,'Train Runs'!$A$13:$A$99942,1,FALSE)</f>
        <v>#N/A</v>
      </c>
    </row>
    <row r="6" spans="1:10" x14ac:dyDescent="0.25">
      <c r="A6" s="185"/>
      <c r="B6" s="43" t="str">
        <f>A6&amp;"-"&amp;IF(DAY(Variables!$A$2)&lt;10,0,"")&amp;DAY(Variables!$A$2)</f>
        <v>-08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" s="30" t="e">
        <f>VLOOKUP(B6,'Train Runs'!$A$13:$A$99942,1,FALSE)</f>
        <v>#N/A</v>
      </c>
    </row>
    <row r="7" spans="1:10" x14ac:dyDescent="0.25">
      <c r="A7" s="185"/>
      <c r="B7" s="43" t="str">
        <f>A7&amp;"-"&amp;IF(DAY(Variables!$A$2)&lt;10,0,"")&amp;DAY(Variables!$A$2)</f>
        <v>-08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" s="30" t="e">
        <f>VLOOKUP(B7,'Train Runs'!$A$13:$A$99942,1,FALSE)</f>
        <v>#N/A</v>
      </c>
    </row>
    <row r="8" spans="1:10" x14ac:dyDescent="0.25">
      <c r="A8" s="185"/>
      <c r="B8" s="43" t="str">
        <f>A8&amp;"-"&amp;IF(DAY(Variables!$A$2)&lt;10,0,"")&amp;DAY(Variables!$A$2)</f>
        <v>-08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" s="30" t="e">
        <f>VLOOKUP(B8,'Train Runs'!$A$13:$A$99942,1,FALSE)</f>
        <v>#N/A</v>
      </c>
    </row>
    <row r="9" spans="1:10" x14ac:dyDescent="0.25">
      <c r="A9" s="185"/>
      <c r="B9" s="43" t="str">
        <f>A9&amp;"-"&amp;IF(DAY(Variables!$A$2)&lt;10,0,"")&amp;DAY(Variables!$A$2)</f>
        <v>-08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" s="30" t="e">
        <f>VLOOKUP(B9,'Train Runs'!$A$13:$A$99942,1,FALSE)</f>
        <v>#N/A</v>
      </c>
    </row>
    <row r="10" spans="1:10" x14ac:dyDescent="0.25">
      <c r="A10" s="185"/>
      <c r="B10" s="43" t="str">
        <f>A10&amp;"-"&amp;IF(DAY(Variables!$A$2)&lt;10,0,"")&amp;DAY(Variables!$A$2)</f>
        <v>-08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" s="30" t="e">
        <f>VLOOKUP(B10,'Train Runs'!$A$13:$A$99942,1,FALSE)</f>
        <v>#N/A</v>
      </c>
    </row>
    <row r="11" spans="1:10" x14ac:dyDescent="0.25">
      <c r="A11" s="185"/>
      <c r="B11" s="43" t="str">
        <f>A11&amp;"-"&amp;IF(DAY(Variables!$A$2)&lt;10,0,"")&amp;DAY(Variables!$A$2)</f>
        <v>-08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" s="30" t="e">
        <f>VLOOKUP(B11,'Train Runs'!$A$13:$A$99942,1,FALSE)</f>
        <v>#N/A</v>
      </c>
    </row>
    <row r="12" spans="1:10" x14ac:dyDescent="0.25">
      <c r="A12" s="185"/>
      <c r="B12" s="43" t="str">
        <f>A12&amp;"-"&amp;IF(DAY(Variables!$A$2)&lt;10,0,"")&amp;DAY(Variables!$A$2)</f>
        <v>-08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2" s="30" t="e">
        <f>VLOOKUP(B12,'Train Runs'!$A$13:$A$99942,1,FALSE)</f>
        <v>#N/A</v>
      </c>
    </row>
    <row r="13" spans="1:10" x14ac:dyDescent="0.25">
      <c r="A13" s="185"/>
      <c r="B13" s="43" t="str">
        <f>A13&amp;"-"&amp;IF(DAY(Variables!$A$2)&lt;10,0,"")&amp;DAY(Variables!$A$2)</f>
        <v>-08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3" s="30" t="e">
        <f>VLOOKUP(B13,'Train Runs'!$A$13:$A$99942,1,FALSE)</f>
        <v>#N/A</v>
      </c>
    </row>
    <row r="14" spans="1:10" x14ac:dyDescent="0.25">
      <c r="A14" s="185"/>
      <c r="B14" s="43" t="str">
        <f>A14&amp;"-"&amp;IF(DAY(Variables!$A$2)&lt;10,0,"")&amp;DAY(Variables!$A$2)</f>
        <v>-08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4" s="30" t="e">
        <f>VLOOKUP(B14,'Train Runs'!$A$13:$A$99942,1,FALSE)</f>
        <v>#N/A</v>
      </c>
    </row>
    <row r="15" spans="1:10" x14ac:dyDescent="0.25">
      <c r="A15" s="185"/>
      <c r="B15" s="43" t="str">
        <f>A15&amp;"-"&amp;IF(DAY(Variables!$A$2)&lt;10,0,"")&amp;DAY(Variables!$A$2)</f>
        <v>-08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ref="I15:I46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5" s="30" t="e">
        <f>VLOOKUP(B15,'Train Runs'!$A$13:$A$99942,1,FALSE)</f>
        <v>#N/A</v>
      </c>
    </row>
    <row r="16" spans="1:10" x14ac:dyDescent="0.25">
      <c r="A16" s="185"/>
      <c r="B16" s="43" t="str">
        <f>A16&amp;"-"&amp;IF(DAY(Variables!$A$2)&lt;10,0,"")&amp;DAY(Variables!$A$2)</f>
        <v>-08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6" s="30" t="e">
        <f>VLOOKUP(B16,'Train Runs'!$A$13:$A$99942,1,FALSE)</f>
        <v>#N/A</v>
      </c>
    </row>
    <row r="17" spans="1:10" x14ac:dyDescent="0.25">
      <c r="A17" s="185"/>
      <c r="B17" s="43" t="str">
        <f>A17&amp;"-"&amp;IF(DAY(Variables!$A$2)&lt;10,0,"")&amp;DAY(Variables!$A$2)</f>
        <v>-08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7" s="30" t="e">
        <f>VLOOKUP(B17,'Train Runs'!$A$13:$A$99942,1,FALSE)</f>
        <v>#N/A</v>
      </c>
    </row>
    <row r="18" spans="1:10" x14ac:dyDescent="0.25">
      <c r="A18" s="185"/>
      <c r="B18" s="43" t="str">
        <f>A18&amp;"-"&amp;IF(DAY(Variables!$A$2)&lt;10,0,"")&amp;DAY(Variables!$A$2)</f>
        <v>-08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8" s="30" t="e">
        <f>VLOOKUP(B18,'Train Runs'!$A$13:$A$99942,1,FALSE)</f>
        <v>#N/A</v>
      </c>
    </row>
    <row r="19" spans="1:10" x14ac:dyDescent="0.25">
      <c r="A19" s="185"/>
      <c r="B19" s="43" t="str">
        <f>A19&amp;"-"&amp;IF(DAY(Variables!$A$2)&lt;10,0,"")&amp;DAY(Variables!$A$2)</f>
        <v>-08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9" s="30" t="e">
        <f>VLOOKUP(B19,'Train Runs'!$A$13:$A$99942,1,FALSE)</f>
        <v>#N/A</v>
      </c>
    </row>
    <row r="20" spans="1:10" x14ac:dyDescent="0.25">
      <c r="A20" s="185"/>
      <c r="B20" s="43" t="str">
        <f>A20&amp;"-"&amp;IF(DAY(Variables!$A$2)&lt;10,0,"")&amp;DAY(Variables!$A$2)</f>
        <v>-08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0" s="30" t="e">
        <f>VLOOKUP(B20,'Train Runs'!$A$13:$A$99942,1,FALSE)</f>
        <v>#N/A</v>
      </c>
    </row>
    <row r="21" spans="1:10" x14ac:dyDescent="0.25">
      <c r="A21" s="185"/>
      <c r="B21" s="43" t="str">
        <f>A21&amp;"-"&amp;IF(DAY(Variables!$A$2)&lt;10,0,"")&amp;DAY(Variables!$A$2)</f>
        <v>-08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1" s="30" t="e">
        <f>VLOOKUP(B21,'Train Runs'!$A$13:$A$99942,1,FALSE)</f>
        <v>#N/A</v>
      </c>
    </row>
    <row r="22" spans="1:10" x14ac:dyDescent="0.25">
      <c r="A22" s="185"/>
      <c r="B22" s="43" t="str">
        <f>A22&amp;"-"&amp;IF(DAY(Variables!$A$2)&lt;10,0,"")&amp;DAY(Variables!$A$2)</f>
        <v>-08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2" s="30" t="e">
        <f>VLOOKUP(B22,'Train Runs'!$A$13:$A$99942,1,FALSE)</f>
        <v>#N/A</v>
      </c>
    </row>
    <row r="23" spans="1:10" x14ac:dyDescent="0.25">
      <c r="A23" s="185"/>
      <c r="B23" s="43" t="str">
        <f>A23&amp;"-"&amp;IF(DAY(Variables!$A$2)&lt;10,0,"")&amp;DAY(Variables!$A$2)</f>
        <v>-08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3" s="30" t="e">
        <f>VLOOKUP(B23,'Train Runs'!$A$13:$A$99942,1,FALSE)</f>
        <v>#N/A</v>
      </c>
    </row>
    <row r="24" spans="1:10" x14ac:dyDescent="0.25">
      <c r="A24" s="185"/>
      <c r="B24" s="43" t="str">
        <f>A24&amp;"-"&amp;IF(DAY(Variables!$A$2)&lt;10,0,"")&amp;DAY(Variables!$A$2)</f>
        <v>-08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4" s="30" t="e">
        <f>VLOOKUP(B24,'Train Runs'!$A$13:$A$99942,1,FALSE)</f>
        <v>#N/A</v>
      </c>
    </row>
    <row r="25" spans="1:10" x14ac:dyDescent="0.25">
      <c r="A25" s="185"/>
      <c r="B25" s="43" t="str">
        <f>A25&amp;"-"&amp;IF(DAY(Variables!$A$2)&lt;10,0,"")&amp;DAY(Variables!$A$2)</f>
        <v>-08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5" s="30" t="e">
        <f>VLOOKUP(B25,'Train Runs'!$A$13:$A$99942,1,FALSE)</f>
        <v>#N/A</v>
      </c>
    </row>
    <row r="26" spans="1:10" x14ac:dyDescent="0.25">
      <c r="A26" s="185"/>
      <c r="B26" s="43" t="str">
        <f>A26&amp;"-"&amp;IF(DAY(Variables!$A$2)&lt;10,0,"")&amp;DAY(Variables!$A$2)</f>
        <v>-08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6" s="30" t="e">
        <f>VLOOKUP(B26,'Train Runs'!$A$13:$A$99942,1,FALSE)</f>
        <v>#N/A</v>
      </c>
    </row>
    <row r="27" spans="1:10" x14ac:dyDescent="0.25">
      <c r="A27" s="185"/>
      <c r="B27" s="43" t="str">
        <f>A27&amp;"-"&amp;IF(DAY(Variables!$A$2)&lt;10,0,"")&amp;DAY(Variables!$A$2)</f>
        <v>-08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7" s="30" t="e">
        <f>VLOOKUP(B27,'Train Runs'!$A$13:$A$99942,1,FALSE)</f>
        <v>#N/A</v>
      </c>
    </row>
    <row r="28" spans="1:10" x14ac:dyDescent="0.25">
      <c r="A28" s="185"/>
      <c r="B28" s="43" t="str">
        <f>A28&amp;"-"&amp;IF(DAY(Variables!$A$2)&lt;10,0,"")&amp;DAY(Variables!$A$2)</f>
        <v>-08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8" s="30" t="e">
        <f>VLOOKUP(B28,'Train Runs'!$A$13:$A$99942,1,FALSE)</f>
        <v>#N/A</v>
      </c>
    </row>
    <row r="29" spans="1:10" x14ac:dyDescent="0.25">
      <c r="A29" s="185"/>
      <c r="B29" s="43" t="str">
        <f>A29&amp;"-"&amp;IF(DAY(Variables!$A$2)&lt;10,0,"")&amp;DAY(Variables!$A$2)</f>
        <v>-08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9" s="30" t="e">
        <f>VLOOKUP(B29,'Train Runs'!$A$13:$A$99942,1,FALSE)</f>
        <v>#N/A</v>
      </c>
    </row>
    <row r="30" spans="1:10" x14ac:dyDescent="0.25">
      <c r="A30" s="185"/>
      <c r="B30" s="43" t="str">
        <f>A30&amp;"-"&amp;IF(DAY(Variables!$A$2)&lt;10,0,"")&amp;DAY(Variables!$A$2)</f>
        <v>-08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0" s="30" t="e">
        <f>VLOOKUP(B30,'Train Runs'!$A$13:$A$99942,1,FALSE)</f>
        <v>#N/A</v>
      </c>
    </row>
    <row r="31" spans="1:10" x14ac:dyDescent="0.25">
      <c r="A31" s="185"/>
      <c r="B31" s="43" t="str">
        <f>A31&amp;"-"&amp;IF(DAY(Variables!$A$2)&lt;10,0,"")&amp;DAY(Variables!$A$2)</f>
        <v>-08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1" s="30" t="e">
        <f>VLOOKUP(B31,'Train Runs'!$A$13:$A$99942,1,FALSE)</f>
        <v>#N/A</v>
      </c>
    </row>
    <row r="32" spans="1:10" x14ac:dyDescent="0.25">
      <c r="A32" s="185"/>
      <c r="B32" s="43" t="str">
        <f>A32&amp;"-"&amp;IF(DAY(Variables!$A$2)&lt;10,0,"")&amp;DAY(Variables!$A$2)</f>
        <v>-08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2" s="30" t="e">
        <f>VLOOKUP(B32,'Train Runs'!$A$13:$A$99942,1,FALSE)</f>
        <v>#N/A</v>
      </c>
    </row>
    <row r="33" spans="1:10" x14ac:dyDescent="0.25">
      <c r="A33" s="185"/>
      <c r="B33" s="43" t="str">
        <f>A33&amp;"-"&amp;IF(DAY(Variables!$A$2)&lt;10,0,"")&amp;DAY(Variables!$A$2)</f>
        <v>-08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3" s="30" t="e">
        <f>VLOOKUP(B33,'Train Runs'!$A$13:$A$99942,1,FALSE)</f>
        <v>#N/A</v>
      </c>
    </row>
    <row r="34" spans="1:10" x14ac:dyDescent="0.25">
      <c r="A34" s="185"/>
      <c r="B34" s="43" t="str">
        <f>A34&amp;"-"&amp;IF(DAY(Variables!$A$2)&lt;10,0,"")&amp;DAY(Variables!$A$2)</f>
        <v>-08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4" s="30" t="e">
        <f>VLOOKUP(B34,'Train Runs'!$A$13:$A$99942,1,FALSE)</f>
        <v>#N/A</v>
      </c>
    </row>
    <row r="35" spans="1:10" x14ac:dyDescent="0.25">
      <c r="A35" s="185"/>
      <c r="B35" s="43" t="str">
        <f>A35&amp;"-"&amp;IF(DAY(Variables!$A$2)&lt;10,0,"")&amp;DAY(Variables!$A$2)</f>
        <v>-08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5" s="30" t="e">
        <f>VLOOKUP(B35,'Train Runs'!$A$13:$A$99942,1,FALSE)</f>
        <v>#N/A</v>
      </c>
    </row>
    <row r="36" spans="1:10" x14ac:dyDescent="0.25">
      <c r="A36" s="185"/>
      <c r="B36" s="43" t="str">
        <f>A36&amp;"-"&amp;IF(DAY(Variables!$A$2)&lt;10,0,"")&amp;DAY(Variables!$A$2)</f>
        <v>-08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6" s="30" t="e">
        <f>VLOOKUP(B36,'Train Runs'!$A$13:$A$99942,1,FALSE)</f>
        <v>#N/A</v>
      </c>
    </row>
    <row r="37" spans="1:10" x14ac:dyDescent="0.25">
      <c r="A37" s="185"/>
      <c r="B37" s="43" t="str">
        <f>A37&amp;"-"&amp;IF(DAY(Variables!$A$2)&lt;10,0,"")&amp;DAY(Variables!$A$2)</f>
        <v>-08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7" s="30" t="e">
        <f>VLOOKUP(B37,'Train Runs'!$A$13:$A$99942,1,FALSE)</f>
        <v>#N/A</v>
      </c>
    </row>
    <row r="38" spans="1:10" x14ac:dyDescent="0.25">
      <c r="A38" s="185"/>
      <c r="B38" s="43" t="str">
        <f>A38&amp;"-"&amp;IF(DAY(Variables!$A$2)&lt;10,0,"")&amp;DAY(Variables!$A$2)</f>
        <v>-08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8" s="30" t="e">
        <f>VLOOKUP(B38,'Train Runs'!$A$13:$A$99942,1,FALSE)</f>
        <v>#N/A</v>
      </c>
    </row>
    <row r="39" spans="1:10" x14ac:dyDescent="0.25">
      <c r="A39" s="185"/>
      <c r="B39" s="43" t="str">
        <f>A39&amp;"-"&amp;IF(DAY(Variables!$A$2)&lt;10,0,"")&amp;DAY(Variables!$A$2)</f>
        <v>-08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9" s="30" t="e">
        <f>VLOOKUP(B39,'Train Runs'!$A$13:$A$99942,1,FALSE)</f>
        <v>#N/A</v>
      </c>
    </row>
    <row r="40" spans="1:10" x14ac:dyDescent="0.25">
      <c r="A40" s="185"/>
      <c r="B40" s="43" t="str">
        <f>A40&amp;"-"&amp;IF(DAY(Variables!$A$2)&lt;10,0,"")&amp;DAY(Variables!$A$2)</f>
        <v>-08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0" s="30" t="e">
        <f>VLOOKUP(B40,'Train Runs'!$A$13:$A$99942,1,FALSE)</f>
        <v>#N/A</v>
      </c>
    </row>
    <row r="41" spans="1:10" x14ac:dyDescent="0.25">
      <c r="A41" s="185"/>
      <c r="B41" s="43" t="str">
        <f>A41&amp;"-"&amp;IF(DAY(Variables!$A$2)&lt;10,0,"")&amp;DAY(Variables!$A$2)</f>
        <v>-08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1" s="30" t="e">
        <f>VLOOKUP(B41,'Train Runs'!$A$13:$A$99942,1,FALSE)</f>
        <v>#N/A</v>
      </c>
    </row>
    <row r="42" spans="1:10" x14ac:dyDescent="0.25">
      <c r="A42" s="185"/>
      <c r="B42" s="43" t="str">
        <f>A42&amp;"-"&amp;IF(DAY(Variables!$A$2)&lt;10,0,"")&amp;DAY(Variables!$A$2)</f>
        <v>-08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2" s="30" t="e">
        <f>VLOOKUP(B42,'Train Runs'!$A$13:$A$99942,1,FALSE)</f>
        <v>#N/A</v>
      </c>
    </row>
    <row r="43" spans="1:10" x14ac:dyDescent="0.25">
      <c r="A43" s="185"/>
      <c r="B43" s="43" t="str">
        <f>A43&amp;"-"&amp;IF(DAY(Variables!$A$2)&lt;10,0,"")&amp;DAY(Variables!$A$2)</f>
        <v>-08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3" s="30" t="e">
        <f>VLOOKUP(B43,'Train Runs'!$A$13:$A$99942,1,FALSE)</f>
        <v>#N/A</v>
      </c>
    </row>
    <row r="44" spans="1:10" x14ac:dyDescent="0.25">
      <c r="A44" s="185"/>
      <c r="B44" s="43" t="str">
        <f>A44&amp;"-"&amp;IF(DAY(Variables!$A$2)&lt;10,0,"")&amp;DAY(Variables!$A$2)</f>
        <v>-08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4" s="30" t="e">
        <f>VLOOKUP(B44,'Train Runs'!$A$13:$A$99942,1,FALSE)</f>
        <v>#N/A</v>
      </c>
    </row>
    <row r="45" spans="1:10" x14ac:dyDescent="0.25">
      <c r="A45" s="185"/>
      <c r="B45" s="43" t="str">
        <f>A45&amp;"-"&amp;IF(DAY(Variables!$A$2)&lt;10,0,"")&amp;DAY(Variables!$A$2)</f>
        <v>-08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5" s="30" t="e">
        <f>VLOOKUP(B45,'Train Runs'!$A$13:$A$99942,1,FALSE)</f>
        <v>#N/A</v>
      </c>
    </row>
    <row r="46" spans="1:10" x14ac:dyDescent="0.25">
      <c r="A46" s="185"/>
      <c r="B46" s="43" t="str">
        <f>A46&amp;"-"&amp;IF(DAY(Variables!$A$2)&lt;10,0,"")&amp;DAY(Variables!$A$2)</f>
        <v>-08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6" s="30" t="e">
        <f>VLOOKUP(B46,'Train Runs'!$A$13:$A$99942,1,FALSE)</f>
        <v>#N/A</v>
      </c>
    </row>
    <row r="47" spans="1:10" x14ac:dyDescent="0.25">
      <c r="A47" s="185"/>
      <c r="B47" s="43" t="str">
        <f>A47&amp;"-"&amp;IF(DAY(Variables!$A$2)&lt;10,0,"")&amp;DAY(Variables!$A$2)</f>
        <v>-08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ref="I47:I78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7" s="30" t="e">
        <f>VLOOKUP(B47,'Train Runs'!$A$13:$A$99942,1,FALSE)</f>
        <v>#N/A</v>
      </c>
    </row>
    <row r="48" spans="1:10" x14ac:dyDescent="0.25">
      <c r="A48" s="185"/>
      <c r="B48" s="43" t="str">
        <f>A48&amp;"-"&amp;IF(DAY(Variables!$A$2)&lt;10,0,"")&amp;DAY(Variables!$A$2)</f>
        <v>-08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8" s="30" t="e">
        <f>VLOOKUP(B48,'Train Runs'!$A$13:$A$99942,1,FALSE)</f>
        <v>#N/A</v>
      </c>
    </row>
    <row r="49" spans="1:10" x14ac:dyDescent="0.25">
      <c r="A49" s="185"/>
      <c r="B49" s="43" t="str">
        <f>A49&amp;"-"&amp;IF(DAY(Variables!$A$2)&lt;10,0,"")&amp;DAY(Variables!$A$2)</f>
        <v>-08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9" s="30" t="e">
        <f>VLOOKUP(B49,'Train Runs'!$A$13:$A$99942,1,FALSE)</f>
        <v>#N/A</v>
      </c>
    </row>
    <row r="50" spans="1:10" x14ac:dyDescent="0.25">
      <c r="A50" s="185"/>
      <c r="B50" s="43" t="str">
        <f>A50&amp;"-"&amp;IF(DAY(Variables!$A$2)&lt;10,0,"")&amp;DAY(Variables!$A$2)</f>
        <v>-08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0" s="30" t="e">
        <f>VLOOKUP(B50,'Train Runs'!$A$13:$A$99942,1,FALSE)</f>
        <v>#N/A</v>
      </c>
    </row>
    <row r="51" spans="1:10" x14ac:dyDescent="0.25">
      <c r="A51" s="185"/>
      <c r="B51" s="43" t="str">
        <f>A51&amp;"-"&amp;IF(DAY(Variables!$A$2)&lt;10,0,"")&amp;DAY(Variables!$A$2)</f>
        <v>-08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1" s="30" t="e">
        <f>VLOOKUP(B51,'Train Runs'!$A$13:$A$99942,1,FALSE)</f>
        <v>#N/A</v>
      </c>
    </row>
    <row r="52" spans="1:10" x14ac:dyDescent="0.25">
      <c r="A52" s="185"/>
      <c r="B52" s="43" t="str">
        <f>A52&amp;"-"&amp;IF(DAY(Variables!$A$2)&lt;10,0,"")&amp;DAY(Variables!$A$2)</f>
        <v>-08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2" s="30" t="e">
        <f>VLOOKUP(B52,'Train Runs'!$A$13:$A$99942,1,FALSE)</f>
        <v>#N/A</v>
      </c>
    </row>
    <row r="53" spans="1:10" x14ac:dyDescent="0.25">
      <c r="A53" s="185"/>
      <c r="B53" s="43" t="str">
        <f>A53&amp;"-"&amp;IF(DAY(Variables!$A$2)&lt;10,0,"")&amp;DAY(Variables!$A$2)</f>
        <v>-08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3" s="30" t="e">
        <f>VLOOKUP(B53,'Train Runs'!$A$13:$A$99942,1,FALSE)</f>
        <v>#N/A</v>
      </c>
    </row>
    <row r="54" spans="1:10" x14ac:dyDescent="0.25">
      <c r="A54" s="185"/>
      <c r="B54" s="43" t="str">
        <f>A54&amp;"-"&amp;IF(DAY(Variables!$A$2)&lt;10,0,"")&amp;DAY(Variables!$A$2)</f>
        <v>-08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4" s="30" t="e">
        <f>VLOOKUP(B54,'Train Runs'!$A$13:$A$99942,1,FALSE)</f>
        <v>#N/A</v>
      </c>
    </row>
    <row r="55" spans="1:10" x14ac:dyDescent="0.25">
      <c r="A55" s="185"/>
      <c r="B55" s="43" t="str">
        <f>A55&amp;"-"&amp;IF(DAY(Variables!$A$2)&lt;10,0,"")&amp;DAY(Variables!$A$2)</f>
        <v>-08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5" s="30" t="e">
        <f>VLOOKUP(B55,'Train Runs'!$A$13:$A$99942,1,FALSE)</f>
        <v>#N/A</v>
      </c>
    </row>
    <row r="56" spans="1:10" x14ac:dyDescent="0.25">
      <c r="A56" s="185"/>
      <c r="B56" s="43" t="str">
        <f>A56&amp;"-"&amp;IF(DAY(Variables!$A$2)&lt;10,0,"")&amp;DAY(Variables!$A$2)</f>
        <v>-08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6" s="30" t="e">
        <f>VLOOKUP(B56,'Train Runs'!$A$13:$A$99942,1,FALSE)</f>
        <v>#N/A</v>
      </c>
    </row>
    <row r="57" spans="1:10" x14ac:dyDescent="0.25">
      <c r="A57" s="185"/>
      <c r="B57" s="43" t="str">
        <f>A57&amp;"-"&amp;IF(DAY(Variables!$A$2)&lt;10,0,"")&amp;DAY(Variables!$A$2)</f>
        <v>-08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7" s="30" t="e">
        <f>VLOOKUP(B57,'Train Runs'!$A$13:$A$99942,1,FALSE)</f>
        <v>#N/A</v>
      </c>
    </row>
    <row r="58" spans="1:10" x14ac:dyDescent="0.25">
      <c r="A58" s="185"/>
      <c r="B58" s="43" t="str">
        <f>A58&amp;"-"&amp;IF(DAY(Variables!$A$2)&lt;10,0,"")&amp;DAY(Variables!$A$2)</f>
        <v>-08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8" s="30" t="e">
        <f>VLOOKUP(B58,'Train Runs'!$A$13:$A$99942,1,FALSE)</f>
        <v>#N/A</v>
      </c>
    </row>
    <row r="59" spans="1:10" x14ac:dyDescent="0.25">
      <c r="A59" s="185"/>
      <c r="B59" s="43" t="str">
        <f>A59&amp;"-"&amp;IF(DAY(Variables!$A$2)&lt;10,0,"")&amp;DAY(Variables!$A$2)</f>
        <v>-08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9" s="30" t="e">
        <f>VLOOKUP(B59,'Train Runs'!$A$13:$A$99942,1,FALSE)</f>
        <v>#N/A</v>
      </c>
    </row>
    <row r="60" spans="1:10" x14ac:dyDescent="0.25">
      <c r="A60" s="185"/>
      <c r="B60" s="43" t="str">
        <f>A60&amp;"-"&amp;IF(DAY(Variables!$A$2)&lt;10,0,"")&amp;DAY(Variables!$A$2)</f>
        <v>-08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0" s="30" t="e">
        <f>VLOOKUP(B60,'Train Runs'!$A$13:$A$99942,1,FALSE)</f>
        <v>#N/A</v>
      </c>
    </row>
    <row r="61" spans="1:10" x14ac:dyDescent="0.25">
      <c r="A61" s="185"/>
      <c r="B61" s="43" t="str">
        <f>A61&amp;"-"&amp;IF(DAY(Variables!$A$2)&lt;10,0,"")&amp;DAY(Variables!$A$2)</f>
        <v>-08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1" s="30" t="e">
        <f>VLOOKUP(B61,'Train Runs'!$A$13:$A$99942,1,FALSE)</f>
        <v>#N/A</v>
      </c>
    </row>
    <row r="62" spans="1:10" x14ac:dyDescent="0.25">
      <c r="A62" s="185"/>
      <c r="B62" s="43" t="str">
        <f>A62&amp;"-"&amp;IF(DAY(Variables!$A$2)&lt;10,0,"")&amp;DAY(Variables!$A$2)</f>
        <v>-08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2" s="30" t="e">
        <f>VLOOKUP(B62,'Train Runs'!$A$13:$A$99942,1,FALSE)</f>
        <v>#N/A</v>
      </c>
    </row>
    <row r="63" spans="1:10" x14ac:dyDescent="0.25">
      <c r="A63" s="185"/>
      <c r="B63" s="43" t="str">
        <f>A63&amp;"-"&amp;IF(DAY(Variables!$A$2)&lt;10,0,"")&amp;DAY(Variables!$A$2)</f>
        <v>-08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3" s="30" t="e">
        <f>VLOOKUP(B63,'Train Runs'!$A$13:$A$99942,1,FALSE)</f>
        <v>#N/A</v>
      </c>
    </row>
    <row r="64" spans="1:10" x14ac:dyDescent="0.25">
      <c r="A64" s="185"/>
      <c r="B64" s="43" t="str">
        <f>A64&amp;"-"&amp;IF(DAY(Variables!$A$2)&lt;10,0,"")&amp;DAY(Variables!$A$2)</f>
        <v>-08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4" s="30" t="e">
        <f>VLOOKUP(B64,'Train Runs'!$A$13:$A$99942,1,FALSE)</f>
        <v>#N/A</v>
      </c>
    </row>
    <row r="65" spans="1:10" x14ac:dyDescent="0.25">
      <c r="A65" s="185"/>
      <c r="B65" s="43" t="str">
        <f>A65&amp;"-"&amp;IF(DAY(Variables!$A$2)&lt;10,0,"")&amp;DAY(Variables!$A$2)</f>
        <v>-08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5" s="30" t="e">
        <f>VLOOKUP(B65,'Train Runs'!$A$13:$A$99942,1,FALSE)</f>
        <v>#N/A</v>
      </c>
    </row>
    <row r="66" spans="1:10" x14ac:dyDescent="0.25">
      <c r="A66" s="185"/>
      <c r="B66" s="43" t="str">
        <f>A66&amp;"-"&amp;IF(DAY(Variables!$A$2)&lt;10,0,"")&amp;DAY(Variables!$A$2)</f>
        <v>-08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6" s="30" t="e">
        <f>VLOOKUP(B66,'Train Runs'!$A$13:$A$99942,1,FALSE)</f>
        <v>#N/A</v>
      </c>
    </row>
    <row r="67" spans="1:10" x14ac:dyDescent="0.25">
      <c r="A67" s="185"/>
      <c r="B67" s="43" t="str">
        <f>A67&amp;"-"&amp;IF(DAY(Variables!$A$2)&lt;10,0,"")&amp;DAY(Variables!$A$2)</f>
        <v>-08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7" s="30" t="e">
        <f>VLOOKUP(B67,'Train Runs'!$A$13:$A$99942,1,FALSE)</f>
        <v>#N/A</v>
      </c>
    </row>
    <row r="68" spans="1:10" x14ac:dyDescent="0.25">
      <c r="A68" s="185"/>
      <c r="B68" s="43" t="str">
        <f>A68&amp;"-"&amp;IF(DAY(Variables!$A$2)&lt;10,0,"")&amp;DAY(Variables!$A$2)</f>
        <v>-08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8" s="30" t="e">
        <f>VLOOKUP(B68,'Train Runs'!$A$13:$A$99942,1,FALSE)</f>
        <v>#N/A</v>
      </c>
    </row>
    <row r="69" spans="1:10" x14ac:dyDescent="0.25">
      <c r="A69" s="185"/>
      <c r="B69" s="43" t="str">
        <f>A69&amp;"-"&amp;IF(DAY(Variables!$A$2)&lt;10,0,"")&amp;DAY(Variables!$A$2)</f>
        <v>-08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9" s="30" t="e">
        <f>VLOOKUP(B69,'Train Runs'!$A$13:$A$99942,1,FALSE)</f>
        <v>#N/A</v>
      </c>
    </row>
    <row r="70" spans="1:10" x14ac:dyDescent="0.25">
      <c r="A70" s="185"/>
      <c r="B70" s="43" t="str">
        <f>A70&amp;"-"&amp;IF(DAY(Variables!$A$2)&lt;10,0,"")&amp;DAY(Variables!$A$2)</f>
        <v>-08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0" s="30" t="e">
        <f>VLOOKUP(B70,'Train Runs'!$A$13:$A$99942,1,FALSE)</f>
        <v>#N/A</v>
      </c>
    </row>
    <row r="71" spans="1:10" x14ac:dyDescent="0.25">
      <c r="A71" s="185"/>
      <c r="B71" s="43" t="str">
        <f>A71&amp;"-"&amp;IF(DAY(Variables!$A$2)&lt;10,0,"")&amp;DAY(Variables!$A$2)</f>
        <v>-08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1" s="30" t="e">
        <f>VLOOKUP(B71,'Train Runs'!$A$13:$A$99942,1,FALSE)</f>
        <v>#N/A</v>
      </c>
    </row>
    <row r="72" spans="1:10" x14ac:dyDescent="0.25">
      <c r="A72" s="185"/>
      <c r="B72" s="43" t="str">
        <f>A72&amp;"-"&amp;IF(DAY(Variables!$A$2)&lt;10,0,"")&amp;DAY(Variables!$A$2)</f>
        <v>-08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2" s="30" t="e">
        <f>VLOOKUP(B72,'Train Runs'!$A$13:$A$99942,1,FALSE)</f>
        <v>#N/A</v>
      </c>
    </row>
    <row r="73" spans="1:10" x14ac:dyDescent="0.25">
      <c r="A73" s="185"/>
      <c r="B73" s="43" t="str">
        <f>A73&amp;"-"&amp;IF(DAY(Variables!$A$2)&lt;10,0,"")&amp;DAY(Variables!$A$2)</f>
        <v>-08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3" s="30" t="e">
        <f>VLOOKUP(B73,'Train Runs'!$A$13:$A$99942,1,FALSE)</f>
        <v>#N/A</v>
      </c>
    </row>
    <row r="74" spans="1:10" x14ac:dyDescent="0.25">
      <c r="A74" s="185"/>
      <c r="B74" s="43" t="str">
        <f>A74&amp;"-"&amp;IF(DAY(Variables!$A$2)&lt;10,0,"")&amp;DAY(Variables!$A$2)</f>
        <v>-08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4" s="30" t="e">
        <f>VLOOKUP(B74,'Train Runs'!$A$13:$A$99942,1,FALSE)</f>
        <v>#N/A</v>
      </c>
    </row>
    <row r="75" spans="1:10" x14ac:dyDescent="0.25">
      <c r="A75" s="185"/>
      <c r="B75" s="43" t="str">
        <f>A75&amp;"-"&amp;IF(DAY(Variables!$A$2)&lt;10,0,"")&amp;DAY(Variables!$A$2)</f>
        <v>-08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5" s="30" t="e">
        <f>VLOOKUP(B75,'Train Runs'!$A$13:$A$99942,1,FALSE)</f>
        <v>#N/A</v>
      </c>
    </row>
    <row r="76" spans="1:10" x14ac:dyDescent="0.25">
      <c r="A76" s="185"/>
      <c r="B76" s="43" t="str">
        <f>A76&amp;"-"&amp;IF(DAY(Variables!$A$2)&lt;10,0,"")&amp;DAY(Variables!$A$2)</f>
        <v>-08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6" s="30" t="e">
        <f>VLOOKUP(B76,'Train Runs'!$A$13:$A$99942,1,FALSE)</f>
        <v>#N/A</v>
      </c>
    </row>
    <row r="77" spans="1:10" x14ac:dyDescent="0.25">
      <c r="A77" s="185"/>
      <c r="B77" s="43" t="str">
        <f>A77&amp;"-"&amp;IF(DAY(Variables!$A$2)&lt;10,0,"")&amp;DAY(Variables!$A$2)</f>
        <v>-08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7" s="30" t="e">
        <f>VLOOKUP(B77,'Train Runs'!$A$13:$A$99942,1,FALSE)</f>
        <v>#N/A</v>
      </c>
    </row>
    <row r="78" spans="1:10" x14ac:dyDescent="0.25">
      <c r="A78" s="185"/>
      <c r="B78" s="43" t="str">
        <f>A78&amp;"-"&amp;IF(DAY(Variables!$A$2)&lt;10,0,"")&amp;DAY(Variables!$A$2)</f>
        <v>-08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8" s="30" t="e">
        <f>VLOOKUP(B78,'Train Runs'!$A$13:$A$99942,1,FALSE)</f>
        <v>#N/A</v>
      </c>
    </row>
    <row r="79" spans="1:10" x14ac:dyDescent="0.25">
      <c r="A79" s="185"/>
      <c r="B79" s="43" t="str">
        <f>A79&amp;"-"&amp;IF(DAY(Variables!$A$2)&lt;10,0,"")&amp;DAY(Variables!$A$2)</f>
        <v>-08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ref="I79:I100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9" s="30" t="e">
        <f>VLOOKUP(B79,'Train Runs'!$A$13:$A$99942,1,FALSE)</f>
        <v>#N/A</v>
      </c>
    </row>
    <row r="80" spans="1:10" x14ac:dyDescent="0.25">
      <c r="A80" s="185"/>
      <c r="B80" s="43" t="str">
        <f>A80&amp;"-"&amp;IF(DAY(Variables!$A$2)&lt;10,0,"")&amp;DAY(Variables!$A$2)</f>
        <v>-08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0" s="30" t="e">
        <f>VLOOKUP(B80,'Train Runs'!$A$13:$A$99942,1,FALSE)</f>
        <v>#N/A</v>
      </c>
    </row>
    <row r="81" spans="1:10" x14ac:dyDescent="0.25">
      <c r="A81" s="185"/>
      <c r="B81" s="43" t="str">
        <f>A81&amp;"-"&amp;IF(DAY(Variables!$A$2)&lt;10,0,"")&amp;DAY(Variables!$A$2)</f>
        <v>-08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1" s="30" t="e">
        <f>VLOOKUP(B81,'Train Runs'!$A$13:$A$99942,1,FALSE)</f>
        <v>#N/A</v>
      </c>
    </row>
    <row r="82" spans="1:10" x14ac:dyDescent="0.25">
      <c r="A82" s="185"/>
      <c r="B82" s="43" t="str">
        <f>A82&amp;"-"&amp;IF(DAY(Variables!$A$2)&lt;10,0,"")&amp;DAY(Variables!$A$2)</f>
        <v>-08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2" s="30" t="e">
        <f>VLOOKUP(B82,'Train Runs'!$A$13:$A$99942,1,FALSE)</f>
        <v>#N/A</v>
      </c>
    </row>
    <row r="83" spans="1:10" x14ac:dyDescent="0.25">
      <c r="A83" s="185"/>
      <c r="B83" s="43" t="str">
        <f>A83&amp;"-"&amp;IF(DAY(Variables!$A$2)&lt;10,0,"")&amp;DAY(Variables!$A$2)</f>
        <v>-08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3" s="30" t="e">
        <f>VLOOKUP(B83,'Train Runs'!$A$13:$A$99942,1,FALSE)</f>
        <v>#N/A</v>
      </c>
    </row>
    <row r="84" spans="1:10" x14ac:dyDescent="0.25">
      <c r="A84" s="185"/>
      <c r="B84" s="43" t="str">
        <f>A84&amp;"-"&amp;IF(DAY(Variables!$A$2)&lt;10,0,"")&amp;DAY(Variables!$A$2)</f>
        <v>-08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4" s="30" t="e">
        <f>VLOOKUP(B84,'Train Runs'!$A$13:$A$99942,1,FALSE)</f>
        <v>#N/A</v>
      </c>
    </row>
    <row r="85" spans="1:10" x14ac:dyDescent="0.25">
      <c r="A85" s="185"/>
      <c r="B85" s="43" t="str">
        <f>A85&amp;"-"&amp;IF(DAY(Variables!$A$2)&lt;10,0,"")&amp;DAY(Variables!$A$2)</f>
        <v>-08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5" s="30" t="e">
        <f>VLOOKUP(B85,'Train Runs'!$A$13:$A$99942,1,FALSE)</f>
        <v>#N/A</v>
      </c>
    </row>
    <row r="86" spans="1:10" x14ac:dyDescent="0.25">
      <c r="A86" s="185"/>
      <c r="B86" s="43" t="str">
        <f>A86&amp;"-"&amp;IF(DAY(Variables!$A$2)&lt;10,0,"")&amp;DAY(Variables!$A$2)</f>
        <v>-08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6" s="30" t="e">
        <f>VLOOKUP(B86,'Train Runs'!$A$13:$A$99942,1,FALSE)</f>
        <v>#N/A</v>
      </c>
    </row>
    <row r="87" spans="1:10" x14ac:dyDescent="0.25">
      <c r="A87" s="185"/>
      <c r="B87" s="43" t="str">
        <f>A87&amp;"-"&amp;IF(DAY(Variables!$A$2)&lt;10,0,"")&amp;DAY(Variables!$A$2)</f>
        <v>-08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7" s="30" t="e">
        <f>VLOOKUP(B87,'Train Runs'!$A$13:$A$99942,1,FALSE)</f>
        <v>#N/A</v>
      </c>
    </row>
    <row r="88" spans="1:10" x14ac:dyDescent="0.25">
      <c r="A88" s="185"/>
      <c r="B88" s="43" t="str">
        <f>A88&amp;"-"&amp;IF(DAY(Variables!$A$2)&lt;10,0,"")&amp;DAY(Variables!$A$2)</f>
        <v>-08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8" s="30" t="e">
        <f>VLOOKUP(B88,'Train Runs'!$A$13:$A$99942,1,FALSE)</f>
        <v>#N/A</v>
      </c>
    </row>
    <row r="89" spans="1:10" x14ac:dyDescent="0.25">
      <c r="A89" s="185"/>
      <c r="B89" s="43" t="str">
        <f>A89&amp;"-"&amp;IF(DAY(Variables!$A$2)&lt;10,0,"")&amp;DAY(Variables!$A$2)</f>
        <v>-08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9" s="30" t="e">
        <f>VLOOKUP(B89,'Train Runs'!$A$13:$A$99942,1,FALSE)</f>
        <v>#N/A</v>
      </c>
    </row>
    <row r="90" spans="1:10" x14ac:dyDescent="0.25">
      <c r="A90" s="185"/>
      <c r="B90" s="43" t="str">
        <f>A90&amp;"-"&amp;IF(DAY(Variables!$A$2)&lt;10,0,"")&amp;DAY(Variables!$A$2)</f>
        <v>-08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0" s="30" t="e">
        <f>VLOOKUP(B90,'Train Runs'!$A$13:$A$99942,1,FALSE)</f>
        <v>#N/A</v>
      </c>
    </row>
    <row r="91" spans="1:10" x14ac:dyDescent="0.25">
      <c r="A91" s="185"/>
      <c r="B91" s="43" t="str">
        <f>A91&amp;"-"&amp;IF(DAY(Variables!$A$2)&lt;10,0,"")&amp;DAY(Variables!$A$2)</f>
        <v>-08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1" s="30" t="e">
        <f>VLOOKUP(B91,'Train Runs'!$A$13:$A$99942,1,FALSE)</f>
        <v>#N/A</v>
      </c>
    </row>
    <row r="92" spans="1:10" x14ac:dyDescent="0.25">
      <c r="A92" s="185"/>
      <c r="B92" s="43" t="str">
        <f>A92&amp;"-"&amp;IF(DAY(Variables!$A$2)&lt;10,0,"")&amp;DAY(Variables!$A$2)</f>
        <v>-08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2" s="30" t="e">
        <f>VLOOKUP(B92,'Train Runs'!$A$13:$A$99942,1,FALSE)</f>
        <v>#N/A</v>
      </c>
    </row>
    <row r="93" spans="1:10" x14ac:dyDescent="0.25">
      <c r="A93" s="185"/>
      <c r="B93" s="43" t="str">
        <f>A93&amp;"-"&amp;IF(DAY(Variables!$A$2)&lt;10,0,"")&amp;DAY(Variables!$A$2)</f>
        <v>-08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3" s="30" t="e">
        <f>VLOOKUP(B93,'Train Runs'!$A$13:$A$99942,1,FALSE)</f>
        <v>#N/A</v>
      </c>
    </row>
    <row r="94" spans="1:10" x14ac:dyDescent="0.25">
      <c r="A94" s="185"/>
      <c r="B94" s="43" t="str">
        <f>A94&amp;"-"&amp;IF(DAY(Variables!$A$2)&lt;10,0,"")&amp;DAY(Variables!$A$2)</f>
        <v>-08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4" s="30" t="e">
        <f>VLOOKUP(B94,'Train Runs'!$A$13:$A$99942,1,FALSE)</f>
        <v>#N/A</v>
      </c>
    </row>
    <row r="95" spans="1:10" x14ac:dyDescent="0.25">
      <c r="A95" s="185"/>
      <c r="B95" s="43" t="str">
        <f>A95&amp;"-"&amp;IF(DAY(Variables!$A$2)&lt;10,0,"")&amp;DAY(Variables!$A$2)</f>
        <v>-08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5" s="30" t="e">
        <f>VLOOKUP(B95,'Train Runs'!$A$13:$A$99942,1,FALSE)</f>
        <v>#N/A</v>
      </c>
    </row>
    <row r="96" spans="1:10" x14ac:dyDescent="0.25">
      <c r="A96" s="185"/>
      <c r="B96" s="43" t="str">
        <f>A96&amp;"-"&amp;IF(DAY(Variables!$A$2)&lt;10,0,"")&amp;DAY(Variables!$A$2)</f>
        <v>-08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6" s="30" t="e">
        <f>VLOOKUP(B96,'Train Runs'!$A$13:$A$99942,1,FALSE)</f>
        <v>#N/A</v>
      </c>
    </row>
    <row r="97" spans="1:10" x14ac:dyDescent="0.25">
      <c r="A97" s="185"/>
      <c r="B97" s="43" t="str">
        <f>A97&amp;"-"&amp;IF(DAY(Variables!$A$2)&lt;10,0,"")&amp;DAY(Variables!$A$2)</f>
        <v>-08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7" s="30" t="e">
        <f>VLOOKUP(B97,'Train Runs'!$A$13:$A$99942,1,FALSE)</f>
        <v>#N/A</v>
      </c>
    </row>
    <row r="98" spans="1:10" x14ac:dyDescent="0.25">
      <c r="A98" s="185"/>
      <c r="B98" s="43" t="str">
        <f>A98&amp;"-"&amp;IF(DAY(Variables!$A$2)&lt;10,0,"")&amp;DAY(Variables!$A$2)</f>
        <v>-08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8" s="30" t="e">
        <f>VLOOKUP(B98,'Train Runs'!$A$13:$A$99942,1,FALSE)</f>
        <v>#N/A</v>
      </c>
    </row>
    <row r="99" spans="1:10" x14ac:dyDescent="0.25">
      <c r="A99" s="185"/>
      <c r="B99" s="43" t="str">
        <f>A99&amp;"-"&amp;IF(DAY(Variables!$A$2)&lt;10,0,"")&amp;DAY(Variables!$A$2)</f>
        <v>-08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9" s="30" t="e">
        <f>VLOOKUP(B99,'Train Runs'!$A$13:$A$99942,1,FALSE)</f>
        <v>#N/A</v>
      </c>
    </row>
    <row r="100" spans="1:10" x14ac:dyDescent="0.25">
      <c r="A100" s="185"/>
      <c r="B100" s="43" t="str">
        <f>A100&amp;"-"&amp;IF(DAY(Variables!$A$2)&lt;10,0,"")&amp;DAY(Variables!$A$2)</f>
        <v>-08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0" s="30" t="e">
        <f>VLOOKUP(B100,'Train Runs'!$A$13:$A$99942,1,FALSE)</f>
        <v>#N/A</v>
      </c>
    </row>
  </sheetData>
  <autoFilter ref="A2:J100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536</v>
      </c>
      <c r="B1" s="207" t="s">
        <v>537</v>
      </c>
      <c r="C1" s="199" t="s">
        <v>545</v>
      </c>
      <c r="D1" s="211" t="s">
        <v>58</v>
      </c>
      <c r="E1" s="196" t="s">
        <v>24</v>
      </c>
      <c r="F1" s="211" t="s">
        <v>551</v>
      </c>
      <c r="G1" s="215" t="s">
        <v>94</v>
      </c>
      <c r="H1" s="217" t="s">
        <v>555</v>
      </c>
      <c r="I1" s="213" t="s">
        <v>554</v>
      </c>
      <c r="J1" s="209" t="s">
        <v>84</v>
      </c>
      <c r="K1" s="209" t="s">
        <v>550</v>
      </c>
      <c r="L1" s="204" t="s">
        <v>547</v>
      </c>
      <c r="M1" s="204" t="s">
        <v>538</v>
      </c>
      <c r="N1" s="204" t="s">
        <v>540</v>
      </c>
      <c r="O1" s="204" t="s">
        <v>541</v>
      </c>
      <c r="P1" s="204" t="s">
        <v>542</v>
      </c>
      <c r="Q1" s="203" t="s">
        <v>539</v>
      </c>
    </row>
    <row r="2" spans="1:17" x14ac:dyDescent="0.25">
      <c r="A2" s="201">
        <v>42800.21875</v>
      </c>
      <c r="B2" s="208" t="s">
        <v>544</v>
      </c>
      <c r="C2" s="198" t="s">
        <v>546</v>
      </c>
      <c r="D2" s="212">
        <v>104</v>
      </c>
      <c r="E2" s="30" t="s">
        <v>549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/stypes="*4015*201703061*" /stext=" 12:.+((SYSTEM_STATE.+slice.+state.+changed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12:.+((\|PRM\|1\|D)|(crossing.((167)|(168)|(199)|(200))))" "%USERPROFILE%\AppData\Local\Temp\OnboardLogs"\RTDC4015\*4015*201703061*</v>
      </c>
      <c r="I2" s="214" t="str">
        <f>IF(VLOOKUP(K2,'Train Runs'!$A$13:$V$998,1,TRUE)=K2,VLOOKUP(K2,'Train Runs'!$A$13:$V$998,22,TRUE),NA())</f>
        <v>https://d0f6bd738d7f1b3e5a7ca70fe4ff75f0.us-east-1.aws.found.io/app/kibana#/discover/Steve-Slow-Train-Analysis-(2080s-and-2083s)?_g=(refreshInterval:(display:Off,pause:!f,section:0,value:0),time:(from:'2017-03-08T03:34:18-0700',mode:absolute,to:'2017-03-08T06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2" s="210">
        <f t="shared" ref="J2:J35" si="2">A2-utc_offset/24</f>
        <v>42800.510416666664</v>
      </c>
      <c r="K2" s="210" t="str">
        <f>D2&amp;"-"&amp;IF(DAY(Variables!$A$2)&lt;10,0,"")&amp;DAY(Variables!$A$2)</f>
        <v>104-08</v>
      </c>
      <c r="L2" s="206">
        <f>IF(VLOOKUP(K2,'Train Runs'!$A$12:$B$998,1,TRUE)=K2,VLOOKUP(K2,'Train Runs'!$A$12:$B$998,2,TRUE),NA())</f>
        <v>4015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544</v>
      </c>
      <c r="C3" s="198" t="s">
        <v>546</v>
      </c>
      <c r="D3" s="212">
        <v>126</v>
      </c>
      <c r="E3" s="30" t="s">
        <v>548</v>
      </c>
      <c r="F3" s="212" t="b">
        <v>1</v>
      </c>
      <c r="G3" s="216" t="str">
        <f t="shared" si="0"/>
        <v>"C:\Program Files (x86)\AstroGrep\AstroGrep.exe" /e /r /s /spath="%USERPROFILE%\AppData\Local\Temp\OnboardLogs" /stypes="*4004*201703061*" /stext=" 15:.+((SYSTEM_STATE.+slice.+state.+changed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15:.+((\|PRM\|1\|D)|(crossing.((167)|(168)|(199)|(200))))" "%USERPROFILE%\AppData\Local\Temp\OnboardLogs"\RTDC4004\*4004*201703061*</v>
      </c>
      <c r="I3" s="214" t="str">
        <f>IF(VLOOKUP(K3,'Train Runs'!$A$13:$V$998,1,TRUE)=K3,VLOOKUP(K3,'Train Runs'!$A$13:$V$998,22,TRUE),NA())</f>
        <v>https://d0f6bd738d7f1b3e5a7ca70fe4ff75f0.us-east-1.aws.found.io/app/kibana#/discover/Steve-Slow-Train-Analysis-(2080s-and-2083s)?_g=(refreshInterval:(display:Off,pause:!f,section:0,value:0),time:(from:'2017-03-08T06:39:33-0700',mode:absolute,to:'2017-03-08T09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" s="210">
        <f t="shared" si="2"/>
        <v>42800.634722222218</v>
      </c>
      <c r="K3" s="210" t="str">
        <f>D3&amp;"-"&amp;IF(DAY(Variables!$A$2)&lt;10,0,"")&amp;DAY(Variables!$A$2)</f>
        <v>126-08</v>
      </c>
      <c r="L3" s="206">
        <f>IF(VLOOKUP(K3,'Train Runs'!$A$12:$B$998,1,TRUE)=K3,VLOOKUP(K3,'Train Runs'!$A$12:$B$998,2,TRUE),NA())</f>
        <v>4004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544</v>
      </c>
      <c r="C4" s="198" t="s">
        <v>546</v>
      </c>
      <c r="D4" s="212">
        <v>128</v>
      </c>
      <c r="E4" s="30" t="s">
        <v>548</v>
      </c>
      <c r="F4" s="212" t="b">
        <v>1</v>
      </c>
      <c r="G4" s="216" t="str">
        <f t="shared" si="0"/>
        <v>"C:\Program Files (x86)\AstroGrep\AstroGrep.exe" /e /r /s /spath="%USERPROFILE%\AppData\Local\Temp\OnboardLogs" /stypes="*4045*201703061*" /stext=" 15:.+((SYSTEM_STATE.+slice.+state.+changed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15:.+((\|PRM\|1\|D)|(crossing.((167)|(168)|(199)|(200))))" "%USERPROFILE%\AppData\Local\Temp\OnboardLogs"\RTDC4045\*4045*201703061*</v>
      </c>
      <c r="I4" s="214" t="str">
        <f>IF(VLOOKUP(K4,'Train Runs'!$A$13:$V$998,1,TRUE)=K4,VLOOKUP(K4,'Train Runs'!$A$13:$V$998,22,TRUE),NA())</f>
        <v>https://d0f6bd738d7f1b3e5a7ca70fe4ff75f0.us-east-1.aws.found.io/app/kibana#/discover/Steve-Slow-Train-Analysis-(2080s-and-2083s)?_g=(refreshInterval:(display:Off,pause:!f,section:0,value:0),time:(from:'2017-03-08T06:43:45-0700',mode:absolute,to:'2017-03-08T09:38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4" s="210">
        <f t="shared" si="2"/>
        <v>42800.646527777775</v>
      </c>
      <c r="K4" s="210" t="str">
        <f>D4&amp;"-"&amp;IF(DAY(Variables!$A$2)&lt;10,0,"")&amp;DAY(Variables!$A$2)</f>
        <v>128-08</v>
      </c>
      <c r="L4" s="206">
        <f>IF(VLOOKUP(K4,'Train Runs'!$A$12:$B$998,1,TRUE)=K4,VLOOKUP(K4,'Train Runs'!$A$12:$B$998,2,TRUE),NA())</f>
        <v>4045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544</v>
      </c>
      <c r="C5" s="198" t="s">
        <v>546</v>
      </c>
      <c r="D5" s="212">
        <f>D4+2</f>
        <v>130</v>
      </c>
      <c r="E5" s="30" t="s">
        <v>548</v>
      </c>
      <c r="F5" s="212" t="b">
        <v>1</v>
      </c>
      <c r="G5" s="216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15:.+((\|PRM\|1\|D)|(crossing.((167)|(168)|(199)|(200))))" "%USERPROFILE%\AppData\Local\Temp\OnboardLogs"\RTDC4041\*4041*201703061*</v>
      </c>
      <c r="I5" s="214" t="str">
        <f>IF(VLOOKUP(K5,'Train Runs'!$A$13:$V$998,1,TRUE)=K5,VLOOKUP(K5,'Train Runs'!$A$13:$V$998,22,TRUE),NA())</f>
        <v>https://d0f6bd738d7f1b3e5a7ca70fe4ff75f0.us-east-1.aws.found.io/app/kibana#/discover/Steve-Slow-Train-Analysis-(2080s-and-2083s)?_g=(refreshInterval:(display:Off,pause:!f,section:0,value:0),time:(from:'2017-03-08T07:07:55-0700',mode:absolute,to:'2017-03-08T09:53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5" s="210">
        <f t="shared" si="2"/>
        <v>42800.65625</v>
      </c>
      <c r="K5" s="210" t="str">
        <f>D5&amp;"-"&amp;IF(DAY(Variables!$A$2)&lt;10,0,"")&amp;DAY(Variables!$A$2)</f>
        <v>130-08</v>
      </c>
      <c r="L5" s="206">
        <f>IF(VLOOKUP(K5,'Train Runs'!$A$12:$B$998,1,TRUE)=K5,VLOOKUP(K5,'Train Runs'!$A$12:$B$998,2,TRUE),NA())</f>
        <v>4041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544</v>
      </c>
      <c r="C6" s="198" t="s">
        <v>546</v>
      </c>
      <c r="D6" s="212">
        <f>D5+2</f>
        <v>132</v>
      </c>
      <c r="E6" s="30" t="s">
        <v>548</v>
      </c>
      <c r="F6" s="212" t="b">
        <v>1</v>
      </c>
      <c r="G6" s="216" t="str">
        <f t="shared" si="0"/>
        <v>"C:\Program Files (x86)\AstroGrep\AstroGrep.exe" /e /r /s /spath="%USERPROFILE%\AppData\Local\Temp\OnboardLogs" /stypes="*4010*201703061*" /stext=" 16:.+((SYSTEM_STATE.+slice.+state.+changed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16:.+((\|PRM\|1\|D)|(crossing.((167)|(168)|(199)|(200))))" "%USERPROFILE%\AppData\Local\Temp\OnboardLogs"\RTDC4010\*4010*201703061*</v>
      </c>
      <c r="I6" s="214" t="str">
        <f>IF(VLOOKUP(K6,'Train Runs'!$A$13:$V$998,1,TRUE)=K6,VLOOKUP(K6,'Train Runs'!$A$13:$V$998,22,TRUE),NA())</f>
        <v>https://d0f6bd738d7f1b3e5a7ca70fe4ff75f0.us-east-1.aws.found.io/app/kibana#/discover/Steve-Slow-Train-Analysis-(2080s-and-2083s)?_g=(refreshInterval:(display:Off,pause:!f,section:0,value:0),time:(from:'2017-03-08T07:17:10-0700',mode:absolute,to:'2017-03-08T10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6" s="210">
        <f t="shared" si="2"/>
        <v>42800.666666666664</v>
      </c>
      <c r="K6" s="210" t="str">
        <f>D6&amp;"-"&amp;IF(DAY(Variables!$A$2)&lt;10,0,"")&amp;DAY(Variables!$A$2)</f>
        <v>132-08</v>
      </c>
      <c r="L6" s="206">
        <f>IF(VLOOKUP(K6,'Train Runs'!$A$12:$B$998,1,TRUE)=K6,VLOOKUP(K6,'Train Runs'!$A$12:$B$998,2,TRUE),NA())</f>
        <v>4010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544</v>
      </c>
      <c r="C7" s="198" t="s">
        <v>546</v>
      </c>
      <c r="D7" s="212">
        <f t="shared" ref="D7:D11" si="4">D6+2</f>
        <v>134</v>
      </c>
      <c r="E7" s="30" t="s">
        <v>548</v>
      </c>
      <c r="F7" s="212" t="b">
        <v>1</v>
      </c>
      <c r="G7" s="216" t="str">
        <f t="shared" si="0"/>
        <v>"C:\Program Files (x86)\AstroGrep\AstroGrep.exe" /e /r /s /spath="%USERPROFILE%\AppData\Local\Temp\OnboardLogs" /stypes="*4015*201703061*" /stext=" 16:.+((SYSTEM_STATE.+slice.+state.+changed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16:.+((\|PRM\|1\|D)|(crossing.((167)|(168)|(199)|(200))))" "%USERPROFILE%\AppData\Local\Temp\OnboardLogs"\RTDC4015\*4015*201703061*</v>
      </c>
      <c r="I7" s="214" t="str">
        <f>IF(VLOOKUP(K7,'Train Runs'!$A$13:$V$998,1,TRUE)=K7,VLOOKUP(K7,'Train Runs'!$A$13:$V$998,22,TRUE),NA())</f>
        <v>https://d0f6bd738d7f1b3e5a7ca70fe4ff75f0.us-east-1.aws.found.io/app/kibana#/discover/Steve-Slow-Train-Analysis-(2080s-and-2083s)?_g=(refreshInterval:(display:Off,pause:!f,section:0,value:0),time:(from:'2017-03-08T07:34:14-0700',mode:absolute,to:'2017-03-08T10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7" s="210">
        <f t="shared" si="2"/>
        <v>42800.674999999996</v>
      </c>
      <c r="K7" s="210" t="str">
        <f>D7&amp;"-"&amp;IF(DAY(Variables!$A$2)&lt;10,0,"")&amp;DAY(Variables!$A$2)</f>
        <v>134-08</v>
      </c>
      <c r="L7" s="206">
        <f>IF(VLOOKUP(K7,'Train Runs'!$A$12:$B$998,1,TRUE)=K7,VLOOKUP(K7,'Train Runs'!$A$12:$B$998,2,TRUE),NA())</f>
        <v>4015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544</v>
      </c>
      <c r="C8" s="198" t="s">
        <v>546</v>
      </c>
      <c r="D8" s="212">
        <f t="shared" si="4"/>
        <v>136</v>
      </c>
      <c r="E8" s="30" t="s">
        <v>548</v>
      </c>
      <c r="F8" s="212" t="b">
        <v>1</v>
      </c>
      <c r="G8" s="216" t="str">
        <f t="shared" si="0"/>
        <v>"C:\Program Files (x86)\AstroGrep\AstroGrep.exe" /e /r /s /spath="%USERPROFILE%\AppData\Local\Temp\OnboardLogs" /stypes="*4005*201703061*" /stext=" 16:.+((SYSTEM_STATE.+slice.+state.+changed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16:.+((\|PRM\|1\|D)|(crossing.((167)|(168)|(199)|(200))))" "%USERPROFILE%\AppData\Local\Temp\OnboardLogs"\RTDC4005\*4005*201703061*</v>
      </c>
      <c r="I8" s="214" t="str">
        <f>IF(VLOOKUP(K8,'Train Runs'!$A$13:$V$998,1,TRUE)=K8,VLOOKUP(K8,'Train Runs'!$A$13:$V$998,22,TRUE),NA())</f>
        <v>https://d0f6bd738d7f1b3e5a7ca70fe4ff75f0.us-east-1.aws.found.io/app/kibana#/discover/Steve-Slow-Train-Analysis-(2080s-and-2083s)?_g=(refreshInterval:(display:Off,pause:!f,section:0,value:0),time:(from:'2017-03-08T07:52:35-0700',mode:absolute,to:'2017-03-08T10:38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8" s="210">
        <f t="shared" si="2"/>
        <v>42800.685416666667</v>
      </c>
      <c r="K8" s="210" t="str">
        <f>D8&amp;"-"&amp;IF(DAY(Variables!$A$2)&lt;10,0,"")&amp;DAY(Variables!$A$2)</f>
        <v>136-08</v>
      </c>
      <c r="L8" s="206">
        <f>IF(VLOOKUP(K8,'Train Runs'!$A$12:$B$998,1,TRUE)=K8,VLOOKUP(K8,'Train Runs'!$A$12:$B$998,2,TRUE),NA())</f>
        <v>4005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544</v>
      </c>
      <c r="C9" s="198" t="s">
        <v>546</v>
      </c>
      <c r="D9" s="212">
        <f t="shared" si="4"/>
        <v>138</v>
      </c>
      <c r="E9" s="30" t="s">
        <v>548</v>
      </c>
      <c r="F9" s="212" t="b">
        <v>1</v>
      </c>
      <c r="G9" s="216" t="str">
        <f t="shared" si="0"/>
        <v>"C:\Program Files (x86)\AstroGrep\AstroGrep.exe" /e /r /s /spath="%USERPROFILE%\AppData\Local\Temp\OnboardLogs" /stypes="*4030*201703061*" /stext=" 16:.+((SYSTEM_STATE.+slice.+state.+changed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16:.+((\|PRM\|1\|D)|(crossing.((167)|(168)|(199)|(200))))" "%USERPROFILE%\AppData\Local\Temp\OnboardLogs"\RTDC4030\*4030*201703061*</v>
      </c>
      <c r="I9" s="214" t="str">
        <f>IF(VLOOKUP(K9,'Train Runs'!$A$13:$V$998,1,TRUE)=K9,VLOOKUP(K9,'Train Runs'!$A$13:$V$998,22,TRUE),NA())</f>
        <v>https://d0f6bd738d7f1b3e5a7ca70fe4ff75f0.us-east-1.aws.found.io/app/kibana#/discover/Steve-Slow-Train-Analysis-(2080s-and-2083s)?_g=(refreshInterval:(display:Off,pause:!f,section:0,value:0),time:(from:'2017-03-08T07:54:54-0700',mode:absolute,to:'2017-03-08T10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9" s="210">
        <f t="shared" si="2"/>
        <v>42800.696527777778</v>
      </c>
      <c r="K9" s="210" t="str">
        <f>D9&amp;"-"&amp;IF(DAY(Variables!$A$2)&lt;10,0,"")&amp;DAY(Variables!$A$2)</f>
        <v>138-08</v>
      </c>
      <c r="L9" s="206">
        <f>IF(VLOOKUP(K9,'Train Runs'!$A$12:$B$998,1,TRUE)=K9,VLOOKUP(K9,'Train Runs'!$A$12:$B$998,2,TRUE),NA())</f>
        <v>4030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544</v>
      </c>
      <c r="C10" s="198" t="s">
        <v>546</v>
      </c>
      <c r="D10" s="212">
        <f t="shared" si="4"/>
        <v>140</v>
      </c>
      <c r="E10" s="30" t="s">
        <v>548</v>
      </c>
      <c r="F10" s="212" t="b">
        <v>1</v>
      </c>
      <c r="G10" s="216" t="str">
        <f t="shared" si="0"/>
        <v>"C:\Program Files (x86)\AstroGrep\AstroGrep.exe" /e /r /s /spath="%USERPROFILE%\AppData\Local\Temp\OnboardLogs" /stypes="*4004*201703061*" /stext=" 16:.+((SYSTEM_STATE.+slice.+state.+changed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16:.+((\|PRM\|1\|D)|(crossing.((167)|(168)|(199)|(200))))" "%USERPROFILE%\AppData\Local\Temp\OnboardLogs"\RTDC4004\*4004*201703061*</v>
      </c>
      <c r="I10" s="214" t="str">
        <f>IF(VLOOKUP(K10,'Train Runs'!$A$13:$V$998,1,TRUE)=K10,VLOOKUP(K10,'Train Runs'!$A$13:$V$998,22,TRUE),NA())</f>
        <v>https://d0f6bd738d7f1b3e5a7ca70fe4ff75f0.us-east-1.aws.found.io/app/kibana#/discover/Steve-Slow-Train-Analysis-(2080s-and-2083s)?_g=(refreshInterval:(display:Off,pause:!f,section:0,value:0),time:(from:'2017-03-08T08:24:02-0700',mode:absolute,to:'2017-03-08T11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0" s="210">
        <f t="shared" si="2"/>
        <v>42800.707638888889</v>
      </c>
      <c r="K10" s="210" t="str">
        <f>D10&amp;"-"&amp;IF(DAY(Variables!$A$2)&lt;10,0,"")&amp;DAY(Variables!$A$2)</f>
        <v>140-08</v>
      </c>
      <c r="L10" s="206">
        <f>IF(VLOOKUP(K10,'Train Runs'!$A$12:$B$998,1,TRUE)=K10,VLOOKUP(K10,'Train Runs'!$A$12:$B$998,2,TRUE),NA())</f>
        <v>4004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544</v>
      </c>
      <c r="C11" s="198" t="s">
        <v>546</v>
      </c>
      <c r="D11" s="212">
        <f t="shared" si="4"/>
        <v>142</v>
      </c>
      <c r="E11" s="30" t="s">
        <v>548</v>
      </c>
      <c r="F11" s="212" t="b">
        <v>1</v>
      </c>
      <c r="G11" s="216" t="str">
        <f t="shared" si="0"/>
        <v>"C:\Program Files (x86)\AstroGrep\AstroGrep.exe" /e /r /s /spath="%USERPROFILE%\AppData\Local\Temp\OnboardLogs" /stypes="*4045*201703061*" /stext=" 17:.+((SYSTEM_STATE.+slice.+state.+changed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17:.+((\|PRM\|1\|D)|(crossing.((167)|(168)|(199)|(200))))" "%USERPROFILE%\AppData\Local\Temp\OnboardLogs"\RTDC4045\*4045*201703061*</v>
      </c>
      <c r="I11" s="214" t="str">
        <f>IF(VLOOKUP(K11,'Train Runs'!$A$13:$V$998,1,TRUE)=K11,VLOOKUP(K11,'Train Runs'!$A$13:$V$998,22,TRUE),NA())</f>
        <v>https://d0f6bd738d7f1b3e5a7ca70fe4ff75f0.us-east-1.aws.found.io/app/kibana#/discover/Steve-Slow-Train-Analysis-(2080s-and-2083s)?_g=(refreshInterval:(display:Off,pause:!f,section:0,value:0),time:(from:'2017-03-08T08:26:28-0700',mode:absolute,to:'2017-03-08T11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1" s="210">
        <f t="shared" si="2"/>
        <v>42800.716666666667</v>
      </c>
      <c r="K11" s="210" t="str">
        <f>D11&amp;"-"&amp;IF(DAY(Variables!$A$2)&lt;10,0,"")&amp;DAY(Variables!$A$2)</f>
        <v>142-08</v>
      </c>
      <c r="L11" s="206">
        <f>IF(VLOOKUP(K11,'Train Runs'!$A$12:$B$998,1,TRUE)=K11,VLOOKUP(K11,'Train Runs'!$A$12:$B$998,2,TRUE),NA())</f>
        <v>4045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544</v>
      </c>
      <c r="C12" s="198" t="s">
        <v>546</v>
      </c>
      <c r="D12" s="212">
        <v>144</v>
      </c>
      <c r="E12" s="30" t="s">
        <v>548</v>
      </c>
      <c r="F12" s="212" t="b">
        <v>1</v>
      </c>
      <c r="G12" s="216" t="str">
        <f t="shared" si="0"/>
        <v>"C:\Program Files (x86)\AstroGrep\AstroGrep.exe" /e /r /s /spath="%USERPROFILE%\AppData\Local\Temp\OnboardLogs" /stypes="*4041*201703061*" /stext=" 17:.+((SYSTEM_STATE.+slice.+state.+changed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17:.+((\|PRM\|1\|D)|(crossing.((167)|(168)|(199)|(200))))" "%USERPROFILE%\AppData\Local\Temp\OnboardLogs"\RTDC4041\*4041*201703061*</v>
      </c>
      <c r="I12" s="214" t="str">
        <f>IF(VLOOKUP(K12,'Train Runs'!$A$13:$V$998,1,TRUE)=K12,VLOOKUP(K12,'Train Runs'!$A$13:$V$998,22,TRUE),NA())</f>
        <v>https://d0f6bd738d7f1b3e5a7ca70fe4ff75f0.us-east-1.aws.found.io/app/kibana#/discover/Steve-Slow-Train-Analysis-(2080s-and-2083s)?_g=(refreshInterval:(display:Off,pause:!f,section:0,value:0),time:(from:'2017-03-08T08:51:00-0700',mode:absolute,to:'2017-03-08T11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2" s="210">
        <f t="shared" si="2"/>
        <v>42800.727083333331</v>
      </c>
      <c r="K12" s="210" t="str">
        <f>D12&amp;"-"&amp;IF(DAY(Variables!$A$2)&lt;10,0,"")&amp;DAY(Variables!$A$2)</f>
        <v>144-08</v>
      </c>
      <c r="L12" s="206">
        <f>IF(VLOOKUP(K12,'Train Runs'!$A$12:$B$998,1,TRUE)=K12,VLOOKUP(K12,'Train Runs'!$A$12:$B$998,2,TRUE),NA())</f>
        <v>4041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544</v>
      </c>
      <c r="C13" s="198" t="s">
        <v>546</v>
      </c>
      <c r="D13" s="212">
        <v>146</v>
      </c>
      <c r="E13" s="30" t="s">
        <v>548</v>
      </c>
      <c r="F13" s="212" t="b">
        <v>1</v>
      </c>
      <c r="G13" s="216" t="str">
        <f t="shared" si="0"/>
        <v>"C:\Program Files (x86)\AstroGrep\AstroGrep.exe" /e /r /s /spath="%USERPROFILE%\AppData\Local\Temp\OnboardLogs" /stypes="*4010*201703061*" /stext=" 17:.+((SYSTEM_STATE.+slice.+state.+changed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17:.+((\|PRM\|1\|D)|(crossing.((167)|(168)|(199)|(200))))" "%USERPROFILE%\AppData\Local\Temp\OnboardLogs"\RTDC4010\*4010*201703061*</v>
      </c>
      <c r="I13" s="214" t="str">
        <f>IF(VLOOKUP(K13,'Train Runs'!$A$13:$V$998,1,TRUE)=K13,VLOOKUP(K13,'Train Runs'!$A$13:$V$998,22,TRUE),NA())</f>
        <v>https://d0f6bd738d7f1b3e5a7ca70fe4ff75f0.us-east-1.aws.found.io/app/kibana#/discover/Steve-Slow-Train-Analysis-(2080s-and-2083s)?_g=(refreshInterval:(display:Off,pause:!f,section:0,value:0),time:(from:'2017-03-08T08:58:42-0700',mode:absolute,to:'2017-03-08T11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13" s="210">
        <f t="shared" si="2"/>
        <v>42800.737499999996</v>
      </c>
      <c r="K13" s="210" t="str">
        <f>D13&amp;"-"&amp;IF(DAY(Variables!$A$2)&lt;10,0,"")&amp;DAY(Variables!$A$2)</f>
        <v>146-08</v>
      </c>
      <c r="L13" s="206">
        <f>IF(VLOOKUP(K13,'Train Runs'!$A$12:$B$998,1,TRUE)=K13,VLOOKUP(K13,'Train Runs'!$A$12:$B$998,2,TRUE),NA())</f>
        <v>4010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544</v>
      </c>
      <c r="C14" s="198" t="s">
        <v>546</v>
      </c>
      <c r="D14" s="212">
        <v>148</v>
      </c>
      <c r="E14" s="30" t="s">
        <v>552</v>
      </c>
      <c r="F14" s="212" t="b">
        <v>1</v>
      </c>
      <c r="G14" s="216" t="str">
        <f t="shared" si="0"/>
        <v>"C:\Program Files (x86)\AstroGrep\AstroGrep.exe" /e /r /s /spath="%USERPROFILE%\AppData\Local\Temp\OnboardLogs" /stypes="*4015*201703061*" /stext=" 17:.+((SYSTEM_STATE.+slice.+state.+changed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17:.+((\|PRM\|1\|D)|(crossing.((167)|(168)|(199)|(200))))" "%USERPROFILE%\AppData\Local\Temp\OnboardLogs"\RTDC4015\*4015*201703061*</v>
      </c>
      <c r="I14" s="214" t="str">
        <f>IF(VLOOKUP(K14,'Train Runs'!$A$13:$V$998,1,TRUE)=K14,VLOOKUP(K14,'Train Runs'!$A$13:$V$998,22,TRUE),NA())</f>
        <v>https://d0f6bd738d7f1b3e5a7ca70fe4ff75f0.us-east-1.aws.found.io/app/kibana#/discover/Steve-Slow-Train-Analysis-(2080s-and-2083s)?_g=(refreshInterval:(display:Off,pause:!f,section:0,value:0),time:(from:'2017-03-08T09:18:09-0700',mode:absolute,to:'2017-03-08T12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4" s="210">
        <f t="shared" si="2"/>
        <v>42800.748611111107</v>
      </c>
      <c r="K14" s="210" t="str">
        <f>D14&amp;"-"&amp;IF(DAY(Variables!$A$2)&lt;10,0,"")&amp;DAY(Variables!$A$2)</f>
        <v>148-08</v>
      </c>
      <c r="L14" s="206">
        <f>IF(VLOOKUP(K14,'Train Runs'!$A$12:$B$998,1,TRUE)=K14,VLOOKUP(K14,'Train Runs'!$A$12:$B$998,2,TRUE),NA())</f>
        <v>4015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544</v>
      </c>
      <c r="C15" s="198" t="s">
        <v>546</v>
      </c>
      <c r="D15" s="212">
        <v>178</v>
      </c>
      <c r="E15" s="30" t="s">
        <v>553</v>
      </c>
      <c r="F15" s="212" t="b">
        <v>1</v>
      </c>
      <c r="G15" s="216" t="str">
        <f t="shared" si="0"/>
        <v>"C:\Program Files (x86)\AstroGrep\AstroGrep.exe" /e /r /s /spath="%USERPROFILE%\AppData\Local\Temp\OnboardLogs" /stypes="*4045*201703062*" /stext=" 21:.+((SYSTEM_STATE.+slice.+state.+changed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21:.+((\|PRM\|1\|D)|(crossing.((167)|(168)|(199)|(200))))" "%USERPROFILE%\AppData\Local\Temp\OnboardLogs"\RTDC4045\*4045*201703062*</v>
      </c>
      <c r="I15" s="214" t="str">
        <f>IF(VLOOKUP(K15,'Train Runs'!$A$13:$V$998,1,TRUE)=K15,VLOOKUP(K15,'Train Runs'!$A$13:$V$998,22,TRUE),NA())</f>
        <v>https://d0f6bd738d7f1b3e5a7ca70fe4ff75f0.us-east-1.aws.found.io/app/kibana#/discover/Steve-Slow-Train-Analysis-(2080s-and-2083s)?_g=(refreshInterval:(display:Off,pause:!f,section:0,value:0),time:(from:'2017-03-08T13:03:29-0700',mode:absolute,to:'2017-03-08T15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5" s="210">
        <f t="shared" si="2"/>
        <v>42800.90625</v>
      </c>
      <c r="K15" s="210" t="str">
        <f>D15&amp;"-"&amp;IF(DAY(Variables!$A$2)&lt;10,0,"")&amp;DAY(Variables!$A$2)</f>
        <v>178-08</v>
      </c>
      <c r="L15" s="206">
        <f>IF(VLOOKUP(K15,'Train Runs'!$A$12:$B$998,1,TRUE)=K15,VLOOKUP(K15,'Train Runs'!$A$12:$B$998,2,TRUE),NA())</f>
        <v>4045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544</v>
      </c>
      <c r="C16" s="198" t="s">
        <v>546</v>
      </c>
      <c r="D16" s="212">
        <v>194</v>
      </c>
      <c r="E16" s="30" t="s">
        <v>553</v>
      </c>
      <c r="F16" s="212" t="b">
        <v>1</v>
      </c>
      <c r="G16" s="216" t="str">
        <f t="shared" si="0"/>
        <v>"C:\Program Files (x86)\AstroGrep\AstroGrep.exe" /e /r /s /spath="%USERPROFILE%\AppData\Local\Temp\OnboardLogs" /stypes="*4030*201703062*" /stext=" 23:.+((SYSTEM_STATE.+slice.+state.+changed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23:.+((\|PRM\|1\|D)|(crossing.((167)|(168)|(199)|(200))))" "%USERPROFILE%\AppData\Local\Temp\OnboardLogs"\RTDC4030\*4030*201703062*</v>
      </c>
      <c r="I16" s="214" t="str">
        <f>IF(VLOOKUP(K16,'Train Runs'!$A$13:$V$998,1,TRUE)=K16,VLOOKUP(K16,'Train Runs'!$A$13:$V$998,22,TRUE),NA())</f>
        <v>https://d0f6bd738d7f1b3e5a7ca70fe4ff75f0.us-east-1.aws.found.io/app/kibana#/discover/Steve-Slow-Train-Analysis-(2080s-and-2083s)?_g=(refreshInterval:(display:Off,pause:!f,section:0,value:0),time:(from:'2017-03-08T15:05:58-0700',mode:absolute,to:'2017-03-08T17:51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16" s="210">
        <f t="shared" si="2"/>
        <v>42800.990972222222</v>
      </c>
      <c r="K16" s="210" t="str">
        <f>D16&amp;"-"&amp;IF(DAY(Variables!$A$2)&lt;10,0,"")&amp;DAY(Variables!$A$2)</f>
        <v>194-08</v>
      </c>
      <c r="L16" s="206">
        <f>IF(VLOOKUP(K16,'Train Runs'!$A$12:$B$998,1,TRUE)=K16,VLOOKUP(K16,'Train Runs'!$A$12:$B$998,2,TRUE),NA())</f>
        <v>4030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544</v>
      </c>
      <c r="C17" s="198" t="s">
        <v>546</v>
      </c>
      <c r="D17" s="212">
        <v>206</v>
      </c>
      <c r="E17" s="30" t="s">
        <v>548</v>
      </c>
      <c r="F17" s="212" t="b">
        <v>1</v>
      </c>
      <c r="G17" s="216" t="str">
        <f t="shared" si="0"/>
        <v>"C:\Program Files (x86)\AstroGrep\AstroGrep.exe" /e /r /s /spath="%USERPROFILE%\AppData\Local\Temp\OnboardLogs" /stypes="*4045*201703070*" /stext=" 01:.+((SYSTEM_STATE.+slice.+state.+changed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01:.+((\|PRM\|1\|D)|(crossing.((167)|(168)|(199)|(200))))" "%USERPROFILE%\AppData\Local\Temp\OnboardLogs"\RTDC4045\*4045*201703070*</v>
      </c>
      <c r="I17" s="214" t="str">
        <f>IF(VLOOKUP(K17,'Train Runs'!$A$13:$V$998,1,TRUE)=K17,VLOOKUP(K17,'Train Runs'!$A$13:$V$998,22,TRUE),NA())</f>
        <v>https://d0f6bd738d7f1b3e5a7ca70fe4ff75f0.us-east-1.aws.found.io/app/kibana#/discover/Steve-Slow-Train-Analysis-(2080s-and-2083s)?_g=(refreshInterval:(display:Off,pause:!f,section:0,value:0),time:(from:'2017-03-08T16:31:59-0700',mode:absolute,to:'2017-03-08T19:24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7" s="210">
        <f t="shared" si="2"/>
        <v>42801.063194444439</v>
      </c>
      <c r="K17" s="210" t="str">
        <f>D17&amp;"-"&amp;IF(DAY(Variables!$A$2)&lt;10,0,"")&amp;DAY(Variables!$A$2)</f>
        <v>206-08</v>
      </c>
      <c r="L17" s="206">
        <f>IF(VLOOKUP(K17,'Train Runs'!$A$12:$B$998,1,TRUE)=K17,VLOOKUP(K17,'Train Runs'!$A$12:$B$998,2,TRUE),NA())</f>
        <v>4045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544</v>
      </c>
      <c r="C18" s="198" t="s">
        <v>546</v>
      </c>
      <c r="D18" s="212">
        <v>210</v>
      </c>
      <c r="E18" s="30" t="s">
        <v>548</v>
      </c>
      <c r="F18" s="212" t="b">
        <v>1</v>
      </c>
      <c r="G18" s="216" t="str">
        <f t="shared" si="0"/>
        <v>"C:\Program Files (x86)\AstroGrep\AstroGrep.exe" /e /r /s /spath="%USERPROFILE%\AppData\Local\Temp\OnboardLogs" /stypes="*4052*201703070*" /stext=" 01:.+((SYSTEM_STATE.+slice.+state.+changed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01:.+((\|PRM\|1\|D)|(crossing.((167)|(168)|(199)|(200))))" "%USERPROFILE%\AppData\Local\Temp\OnboardLogs"\RTDC4052\*4052*201703070*</v>
      </c>
      <c r="I18" s="214" t="str">
        <f>IF(VLOOKUP(K18,'Train Runs'!$A$13:$V$998,1,TRUE)=K18,VLOOKUP(K18,'Train Runs'!$A$13:$V$998,22,TRUE),NA())</f>
        <v>https://d0f6bd738d7f1b3e5a7ca70fe4ff75f0.us-east-1.aws.found.io/app/kibana#/discover/Steve-Slow-Train-Analysis-(2080s-and-2083s)?_g=(refreshInterval:(display:Off,pause:!f,section:0,value:0),time:(from:'2017-03-08T17:05:21-0700',mode:absolute,to:'2017-03-08T19:58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18" s="210">
        <f t="shared" si="2"/>
        <v>42801.076388888883</v>
      </c>
      <c r="K18" s="210" t="str">
        <f>D18&amp;"-"&amp;IF(DAY(Variables!$A$2)&lt;10,0,"")&amp;DAY(Variables!$A$2)</f>
        <v>210-08</v>
      </c>
      <c r="L18" s="206">
        <f>IF(VLOOKUP(K18,'Train Runs'!$A$12:$B$998,1,TRUE)=K18,VLOOKUP(K18,'Train Runs'!$A$12:$B$998,2,TRUE),NA())</f>
        <v>4052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544</v>
      </c>
      <c r="C19" s="198" t="s">
        <v>546</v>
      </c>
      <c r="D19" s="212">
        <f>D18+2</f>
        <v>212</v>
      </c>
      <c r="E19" s="30" t="s">
        <v>548</v>
      </c>
      <c r="F19" s="212" t="b">
        <v>1</v>
      </c>
      <c r="G19" s="216" t="str">
        <f t="shared" si="0"/>
        <v>"C:\Program Files (x86)\AstroGrep\AstroGrep.exe" /e /r /s /spath="%USERPROFILE%\AppData\Local\Temp\OnboardLogs" /stypes="*4032*201703070*" /stext=" 01:.+((SYSTEM_STATE.+slice.+state.+changed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01:.+((\|PRM\|1\|D)|(crossing.((167)|(168)|(199)|(200))))" "%USERPROFILE%\AppData\Local\Temp\OnboardLogs"\RTDC4032\*4032*201703070*</v>
      </c>
      <c r="I19" s="214" t="str">
        <f>IF(VLOOKUP(K19,'Train Runs'!$A$13:$V$998,1,TRUE)=K19,VLOOKUP(K19,'Train Runs'!$A$13:$V$998,22,TRUE),NA())</f>
        <v>https://d0f6bd738d7f1b3e5a7ca70fe4ff75f0.us-east-1.aws.found.io/app/kibana#/discover/Steve-Slow-Train-Analysis-(2080s-and-2083s)?_g=(refreshInterval:(display:Off,pause:!f,section:0,value:0),time:(from:'2017-03-08T17:22:39-0700',mode:absolute,to:'2017-03-08T20:10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19" s="210">
        <f t="shared" si="2"/>
        <v>42801.081944444442</v>
      </c>
      <c r="K19" s="210" t="str">
        <f>D19&amp;"-"&amp;IF(DAY(Variables!$A$2)&lt;10,0,"")&amp;DAY(Variables!$A$2)</f>
        <v>212-08</v>
      </c>
      <c r="L19" s="206">
        <f>IF(VLOOKUP(K19,'Train Runs'!$A$12:$B$998,1,TRUE)=K19,VLOOKUP(K19,'Train Runs'!$A$12:$B$998,2,TRUE),NA())</f>
        <v>4032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544</v>
      </c>
      <c r="C20" s="198" t="s">
        <v>546</v>
      </c>
      <c r="D20" s="212">
        <v>214</v>
      </c>
      <c r="E20" s="30" t="s">
        <v>548</v>
      </c>
      <c r="F20" s="212" t="b">
        <v>1</v>
      </c>
      <c r="G20" s="216" t="str">
        <f t="shared" si="0"/>
        <v>"C:\Program Files (x86)\AstroGrep\AstroGrep.exe" /e /r /s /spath="%USERPROFILE%\AppData\Local\Temp\OnboardLogs" /stypes="*4041*201703070*" /stext=" 02:.+((SYSTEM_STATE.+slice.+state.+changed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02:.+((\|PRM\|1\|D)|(crossing.((167)|(168)|(199)|(200))))" "%USERPROFILE%\AppData\Local\Temp\OnboardLogs"\RTDC4041\*4041*201703070*</v>
      </c>
      <c r="I20" s="214" t="str">
        <f>IF(VLOOKUP(K20,'Train Runs'!$A$13:$V$998,1,TRUE)=K20,VLOOKUP(K20,'Train Runs'!$A$13:$V$998,22,TRUE),NA())</f>
        <v>https://d0f6bd738d7f1b3e5a7ca70fe4ff75f0.us-east-1.aws.found.io/app/kibana#/discover/Steve-Slow-Train-Analysis-(2080s-and-2083s)?_g=(refreshInterval:(display:Off,pause:!f,section:0,value:0),time:(from:'2017-03-08T17:35:56-0700',mode:absolute,to:'2017-03-08T20:29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0" s="210">
        <f t="shared" si="2"/>
        <v>42801.095138888886</v>
      </c>
      <c r="K20" s="210" t="str">
        <f>D20&amp;"-"&amp;IF(DAY(Variables!$A$2)&lt;10,0,"")&amp;DAY(Variables!$A$2)</f>
        <v>214-08</v>
      </c>
      <c r="L20" s="206">
        <f>IF(VLOOKUP(K20,'Train Runs'!$A$12:$B$998,1,TRUE)=K20,VLOOKUP(K20,'Train Runs'!$A$12:$B$998,2,TRUE),NA())</f>
        <v>4041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544</v>
      </c>
      <c r="C21" s="198" t="s">
        <v>546</v>
      </c>
      <c r="D21" s="212">
        <v>216</v>
      </c>
      <c r="E21" s="30" t="s">
        <v>548</v>
      </c>
      <c r="F21" s="212" t="b">
        <v>1</v>
      </c>
      <c r="G21" s="216" t="str">
        <f t="shared" si="0"/>
        <v>"C:\Program Files (x86)\AstroGrep\AstroGrep.exe" /e /r /s /spath="%USERPROFILE%\AppData\Local\Temp\OnboardLogs" /stypes="*4010*201703070*" /stext=" 02:.+((SYSTEM_STATE.+slice.+state.+changed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02:.+((\|PRM\|1\|D)|(crossing.((167)|(168)|(199)|(200))))" "%USERPROFILE%\AppData\Local\Temp\OnboardLogs"\RTDC4010\*4010*201703070*</v>
      </c>
      <c r="I21" s="214" t="str">
        <f>IF(VLOOKUP(K21,'Train Runs'!$A$13:$V$998,1,TRUE)=K21,VLOOKUP(K21,'Train Runs'!$A$13:$V$998,22,TRUE),NA())</f>
        <v>https://d0f6bd738d7f1b3e5a7ca70fe4ff75f0.us-east-1.aws.found.io/app/kibana#/discover/Steve-Slow-Train-Analysis-(2080s-and-2083s)?_g=(refreshInterval:(display:Off,pause:!f,section:0,value:0),time:(from:'2017-03-08T17:41:46-0700',mode:absolute,to:'2017-03-08T20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21" s="210">
        <f t="shared" si="2"/>
        <v>42801.111111111109</v>
      </c>
      <c r="K21" s="210" t="str">
        <f>D21&amp;"-"&amp;IF(DAY(Variables!$A$2)&lt;10,0,"")&amp;DAY(Variables!$A$2)</f>
        <v>216-08</v>
      </c>
      <c r="L21" s="206">
        <f>IF(VLOOKUP(K21,'Train Runs'!$A$12:$B$998,1,TRUE)=K21,VLOOKUP(K21,'Train Runs'!$A$12:$B$998,2,TRUE),NA())</f>
        <v>4010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544</v>
      </c>
      <c r="C22" s="198" t="s">
        <v>546</v>
      </c>
      <c r="D22" s="212">
        <f>D21+2</f>
        <v>218</v>
      </c>
      <c r="E22" s="30" t="s">
        <v>548</v>
      </c>
      <c r="F22" s="212" t="b">
        <v>1</v>
      </c>
      <c r="G22" s="216" t="str">
        <f t="shared" si="0"/>
        <v>"C:\Program Files (x86)\AstroGrep\AstroGrep.exe" /e /r /s /spath="%USERPROFILE%\AppData\Local\Temp\OnboardLogs" /stypes="*4015*201703070*" /stext=" 02:.+((SYSTEM_STATE.+slice.+state.+changed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02:.+((\|PRM\|1\|D)|(crossing.((167)|(168)|(199)|(200))))" "%USERPROFILE%\AppData\Local\Temp\OnboardLogs"\RTDC4015\*4015*201703070*</v>
      </c>
      <c r="I22" s="214" t="str">
        <f>IF(VLOOKUP(K22,'Train Runs'!$A$13:$V$998,1,TRUE)=K22,VLOOKUP(K22,'Train Runs'!$A$13:$V$998,22,TRUE),NA())</f>
        <v>https://d0f6bd738d7f1b3e5a7ca70fe4ff75f0.us-east-1.aws.found.io/app/kibana#/discover/Steve-Slow-Train-Analysis-(2080s-and-2083s)?_g=(refreshInterval:(display:Off,pause:!f,section:0,value:0),time:(from:'2017-03-08T18:08:29-0700',mode:absolute,to:'2017-03-08T21:01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22" s="210">
        <f t="shared" si="2"/>
        <v>42801.120138888888</v>
      </c>
      <c r="K22" s="210" t="str">
        <f>D22&amp;"-"&amp;IF(DAY(Variables!$A$2)&lt;10,0,"")&amp;DAY(Variables!$A$2)</f>
        <v>218-08</v>
      </c>
      <c r="L22" s="206">
        <f>IF(VLOOKUP(K22,'Train Runs'!$A$12:$B$998,1,TRUE)=K22,VLOOKUP(K22,'Train Runs'!$A$12:$B$998,2,TRUE),NA())</f>
        <v>4015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544</v>
      </c>
      <c r="C23" s="198" t="s">
        <v>546</v>
      </c>
      <c r="D23" s="212">
        <f>D22+2</f>
        <v>220</v>
      </c>
      <c r="E23" s="30" t="s">
        <v>548</v>
      </c>
      <c r="F23" s="212" t="b">
        <v>1</v>
      </c>
      <c r="G23" s="216" t="str">
        <f t="shared" si="0"/>
        <v>"C:\Program Files (x86)\AstroGrep\AstroGrep.exe" /e /r /s /spath="%USERPROFILE%\AppData\Local\Temp\OnboardLogs" /stypes="*4045*201703070*" /stext=" 03:.+((SYSTEM_STATE.+slice.+state.+changed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03:.+((\|PRM\|1\|D)|(crossing.((167)|(168)|(199)|(200))))" "%USERPROFILE%\AppData\Local\Temp\OnboardLogs"\RTDC4045\*4045*201703070*</v>
      </c>
      <c r="I23" s="214" t="str">
        <f>IF(VLOOKUP(K23,'Train Runs'!$A$13:$V$998,1,TRUE)=K23,VLOOKUP(K23,'Train Runs'!$A$13:$V$998,22,TRUE),NA())</f>
        <v>https://d0f6bd738d7f1b3e5a7ca70fe4ff75f0.us-east-1.aws.found.io/app/kibana#/discover/Steve-Slow-Train-Analysis-(2080s-and-2083s)?_g=(refreshInterval:(display:Off,pause:!f,section:0,value:0),time:(from:'2017-03-08T18:20:18-0700',mode:absolute,to:'2017-03-08T21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3" s="210">
        <f t="shared" si="2"/>
        <v>42801.127083333333</v>
      </c>
      <c r="K23" s="210" t="str">
        <f>D23&amp;"-"&amp;IF(DAY(Variables!$A$2)&lt;10,0,"")&amp;DAY(Variables!$A$2)</f>
        <v>220-08</v>
      </c>
      <c r="L23" s="206">
        <f>IF(VLOOKUP(K23,'Train Runs'!$A$12:$B$998,1,TRUE)=K23,VLOOKUP(K23,'Train Runs'!$A$12:$B$998,2,TRUE),NA())</f>
        <v>4045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544</v>
      </c>
      <c r="C24" s="198" t="s">
        <v>546</v>
      </c>
      <c r="D24" s="212">
        <f>D23+2</f>
        <v>222</v>
      </c>
      <c r="E24" s="30" t="s">
        <v>548</v>
      </c>
      <c r="F24" s="212" t="b">
        <v>1</v>
      </c>
      <c r="G24" s="216" t="str">
        <f t="shared" si="0"/>
        <v>"C:\Program Files (x86)\AstroGrep\AstroGrep.exe" /e /r /s /spath="%USERPROFILE%\AppData\Local\Temp\OnboardLogs" /stypes="*4052*201703070*" /stext=" 03:.+((SYSTEM_STATE.+slice.+state.+changed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03:.+((\|PRM\|1\|D)|(crossing.((167)|(168)|(199)|(200))))" "%USERPROFILE%\AppData\Local\Temp\OnboardLogs"\RTDC4052\*4052*201703070*</v>
      </c>
      <c r="I24" s="214" t="str">
        <f>IF(VLOOKUP(K24,'Train Runs'!$A$13:$V$998,1,TRUE)=K24,VLOOKUP(K24,'Train Runs'!$A$13:$V$998,22,TRUE),NA())</f>
        <v>https://d0f6bd738d7f1b3e5a7ca70fe4ff75f0.us-east-1.aws.found.io/app/kibana#/discover/Steve-Slow-Train-Analysis-(2080s-and-2083s)?_g=(refreshInterval:(display:Off,pause:!f,section:0,value:0),time:(from:'2017-03-08T18:52:22-0700',mode:absolute,to:'2017-03-08T21:39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24" s="210">
        <f t="shared" si="2"/>
        <v>42801.145833333328</v>
      </c>
      <c r="K24" s="210" t="str">
        <f>D24&amp;"-"&amp;IF(DAY(Variables!$A$2)&lt;10,0,"")&amp;DAY(Variables!$A$2)</f>
        <v>222-08</v>
      </c>
      <c r="L24" s="206">
        <f>IF(VLOOKUP(K24,'Train Runs'!$A$12:$B$998,1,TRUE)=K24,VLOOKUP(K24,'Train Runs'!$A$12:$B$998,2,TRUE),NA())</f>
        <v>4052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544</v>
      </c>
      <c r="C25" s="198" t="s">
        <v>546</v>
      </c>
      <c r="D25" s="212">
        <f>D24+2</f>
        <v>224</v>
      </c>
      <c r="E25" s="30" t="s">
        <v>548</v>
      </c>
      <c r="F25" s="212" t="b">
        <v>1</v>
      </c>
      <c r="G25" s="216" t="str">
        <f t="shared" si="0"/>
        <v>"C:\Program Files (x86)\AstroGrep\AstroGrep.exe" /e /r /s /spath="%USERPROFILE%\AppData\Local\Temp\OnboardLogs" /stypes="*4041*201703070*" /stext=" 03:.+((SYSTEM_STATE.+slice.+state.+changed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03:.+((\|PRM\|1\|D)|(crossing.((167)|(168)|(199)|(200))))" "%USERPROFILE%\AppData\Local\Temp\OnboardLogs"\RTDC4041\*4041*201703070*</v>
      </c>
      <c r="I25" s="214" t="str">
        <f>IF(VLOOKUP(K25,'Train Runs'!$A$13:$V$998,1,TRUE)=K25,VLOOKUP(K25,'Train Runs'!$A$13:$V$998,22,TRUE),NA())</f>
        <v>https://d0f6bd738d7f1b3e5a7ca70fe4ff75f0.us-east-1.aws.found.io/app/kibana#/discover/Steve-Slow-Train-Analysis-(2080s-and-2083s)?_g=(refreshInterval:(display:Off,pause:!f,section:0,value:0),time:(from:'2017-03-08T19:22:44-0700',mode:absolute,to:'2017-03-08T21:26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5" s="210">
        <f t="shared" si="2"/>
        <v>42801.164583333331</v>
      </c>
      <c r="K25" s="210" t="str">
        <f>D25&amp;"-"&amp;IF(DAY(Variables!$A$2)&lt;10,0,"")&amp;DAY(Variables!$A$2)</f>
        <v>224-08</v>
      </c>
      <c r="L25" s="206">
        <f>IF(VLOOKUP(K25,'Train Runs'!$A$12:$B$998,1,TRUE)=K25,VLOOKUP(K25,'Train Runs'!$A$12:$B$998,2,TRUE),NA())</f>
        <v>4041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544</v>
      </c>
      <c r="C26" s="198" t="s">
        <v>546</v>
      </c>
      <c r="D26" s="212">
        <f>D25+2</f>
        <v>226</v>
      </c>
      <c r="E26" s="30" t="s">
        <v>548</v>
      </c>
      <c r="F26" s="212" t="b">
        <v>1</v>
      </c>
      <c r="G26" s="216" t="str">
        <f t="shared" si="0"/>
        <v>"C:\Program Files (x86)\AstroGrep\AstroGrep.exe" /e /r /s /spath="%USERPROFILE%\AppData\Local\Temp\OnboardLogs" /stypes="*4013*201703070*" /stext=" 04:.+((SYSTEM_STATE.+slice.+state.+changed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04:.+((\|PRM\|1\|D)|(crossing.((167)|(168)|(199)|(200))))" "%USERPROFILE%\AppData\Local\Temp\OnboardLogs"\RTDC4013\*4013*201703070*</v>
      </c>
      <c r="I26" s="214" t="str">
        <f>IF(VLOOKUP(K26,'Train Runs'!$A$13:$V$998,1,TRUE)=K26,VLOOKUP(K26,'Train Runs'!$A$13:$V$998,22,TRUE),NA())</f>
        <v>https://d0f6bd738d7f1b3e5a7ca70fe4ff75f0.us-east-1.aws.found.io/app/kibana#/discover/Steve-Slow-Train-Analysis-(2080s-and-2083s)?_g=(refreshInterval:(display:Off,pause:!f,section:0,value:0),time:(from:'2017-03-08T19:55:13-0700',mode:absolute,to:'2017-03-08T22:42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6" s="210">
        <f t="shared" si="2"/>
        <v>42801.186805555553</v>
      </c>
      <c r="K26" s="210" t="str">
        <f>D26&amp;"-"&amp;IF(DAY(Variables!$A$2)&lt;10,0,"")&amp;DAY(Variables!$A$2)</f>
        <v>226-08</v>
      </c>
      <c r="L26" s="206">
        <f>IF(VLOOKUP(K26,'Train Runs'!$A$12:$B$998,1,TRUE)=K26,VLOOKUP(K26,'Train Runs'!$A$12:$B$998,2,TRUE),NA())</f>
        <v>4013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544</v>
      </c>
      <c r="C27" s="198" t="s">
        <v>546</v>
      </c>
      <c r="D27" s="212">
        <f t="shared" ref="D27:D33" si="5">D26+2</f>
        <v>228</v>
      </c>
      <c r="E27" s="30" t="s">
        <v>548</v>
      </c>
      <c r="F27" s="212" t="b">
        <v>1</v>
      </c>
      <c r="G27" s="216" t="str">
        <f t="shared" si="0"/>
        <v>"C:\Program Files (x86)\AstroGrep\AstroGrep.exe" /e /r /s /spath="%USERPROFILE%\AppData\Local\Temp\OnboardLogs" /stypes="*4045*201703070*" /stext=" 05:.+((SYSTEM_STATE.+slice.+state.+changed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05:.+((\|PRM\|1\|D)|(crossing.((167)|(168)|(199)|(200))))" "%USERPROFILE%\AppData\Local\Temp\OnboardLogs"\RTDC4045\*4045*201703070*</v>
      </c>
      <c r="I27" s="214" t="str">
        <f>IF(VLOOKUP(K27,'Train Runs'!$A$13:$V$998,1,TRUE)=K27,VLOOKUP(K27,'Train Runs'!$A$13:$V$998,22,TRUE),NA())</f>
        <v>https://d0f6bd738d7f1b3e5a7ca70fe4ff75f0.us-east-1.aws.found.io/app/kibana#/discover/Steve-Slow-Train-Analysis-(2080s-and-2083s)?_g=(refreshInterval:(display:Off,pause:!f,section:0,value:0),time:(from:'2017-03-08T20:13:45-0700',mode:absolute,to:'2017-03-08T23:07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7" s="210">
        <f t="shared" si="2"/>
        <v>42801.208333333328</v>
      </c>
      <c r="K27" s="210" t="str">
        <f>D27&amp;"-"&amp;IF(DAY(Variables!$A$2)&lt;10,0,"")&amp;DAY(Variables!$A$2)</f>
        <v>228-08</v>
      </c>
      <c r="L27" s="206">
        <f>IF(VLOOKUP(K27,'Train Runs'!$A$12:$B$998,1,TRUE)=K27,VLOOKUP(K27,'Train Runs'!$A$12:$B$998,2,TRUE),NA())</f>
        <v>4045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544</v>
      </c>
      <c r="C28" s="198" t="s">
        <v>546</v>
      </c>
      <c r="D28" s="212">
        <f t="shared" si="5"/>
        <v>230</v>
      </c>
      <c r="E28" s="30" t="s">
        <v>548</v>
      </c>
      <c r="F28" s="212" t="b">
        <v>1</v>
      </c>
      <c r="G28" s="216" t="str">
        <f t="shared" si="0"/>
        <v>"C:\Program Files (x86)\AstroGrep\AstroGrep.exe" /e /r /s /spath="%USERPROFILE%\AppData\Local\Temp\OnboardLogs" /stypes="*4052*201703070*" /stext=" 05:.+((SYSTEM_STATE.+slice.+state.+changed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05:.+((\|PRM\|1\|D)|(crossing.((167)|(168)|(199)|(200))))" "%USERPROFILE%\AppData\Local\Temp\OnboardLogs"\RTDC4052\*4052*201703070*</v>
      </c>
      <c r="I28" s="214" t="str">
        <f>IF(VLOOKUP(K28,'Train Runs'!$A$13:$V$998,1,TRUE)=K28,VLOOKUP(K28,'Train Runs'!$A$13:$V$998,22,TRUE),NA())</f>
        <v>https://d0f6bd738d7f1b3e5a7ca70fe4ff75f0.us-east-1.aws.found.io/app/kibana#/discover/Steve-Slow-Train-Analysis-(2080s-and-2083s)?_g=(refreshInterval:(display:Off,pause:!f,section:0,value:0),time:(from:'2017-03-08T20:42:13-0700',mode:absolute,to:'2017-03-08T23:39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28" s="210">
        <f t="shared" si="2"/>
        <v>42801.231249999997</v>
      </c>
      <c r="K28" s="210" t="str">
        <f>D28&amp;"-"&amp;IF(DAY(Variables!$A$2)&lt;10,0,"")&amp;DAY(Variables!$A$2)</f>
        <v>230-08</v>
      </c>
      <c r="L28" s="206">
        <f>IF(VLOOKUP(K28,'Train Runs'!$A$12:$B$998,1,TRUE)=K28,VLOOKUP(K28,'Train Runs'!$A$12:$B$998,2,TRUE),NA())</f>
        <v>4052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544</v>
      </c>
      <c r="C29" s="198" t="s">
        <v>546</v>
      </c>
      <c r="D29" s="212">
        <f t="shared" si="5"/>
        <v>232</v>
      </c>
      <c r="E29" s="30" t="s">
        <v>548</v>
      </c>
      <c r="F29" s="212" t="b">
        <v>1</v>
      </c>
      <c r="G29" s="216" t="str">
        <f t="shared" si="0"/>
        <v>"C:\Program Files (x86)\AstroGrep\AstroGrep.exe" /e /r /s /spath="%USERPROFILE%\AppData\Local\Temp\OnboardLogs" /stypes="*4010*201703070*" /stext=" 05:.+((SYSTEM_STATE.+slice.+state.+changed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05:.+((\|PRM\|1\|D)|(crossing.((167)|(168)|(199)|(200))))" "%USERPROFILE%\AppData\Local\Temp\OnboardLogs"\RTDC4010\*4010*201703070*</v>
      </c>
      <c r="I29" s="214" t="str">
        <f>IF(VLOOKUP(K29,'Train Runs'!$A$13:$V$998,1,TRUE)=K29,VLOOKUP(K29,'Train Runs'!$A$13:$V$998,22,TRUE),NA())</f>
        <v>https://d0f6bd738d7f1b3e5a7ca70fe4ff75f0.us-east-1.aws.found.io/app/kibana#/discover/Steve-Slow-Train-Analysis-(2080s-and-2083s)?_g=(refreshInterval:(display:Off,pause:!f,section:0,value:0),time:(from:'2017-03-08T21:17:33-0700',mode:absolute,to:'2017-03-09T01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29" s="210">
        <f t="shared" si="2"/>
        <v>42801.249305555553</v>
      </c>
      <c r="K29" s="210" t="str">
        <f>D29&amp;"-"&amp;IF(DAY(Variables!$A$2)&lt;10,0,"")&amp;DAY(Variables!$A$2)</f>
        <v>232-08</v>
      </c>
      <c r="L29" s="206">
        <f>IF(VLOOKUP(K29,'Train Runs'!$A$12:$B$998,1,TRUE)=K29,VLOOKUP(K29,'Train Runs'!$A$12:$B$998,2,TRUE),NA())</f>
        <v>4010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544</v>
      </c>
      <c r="C30" s="198" t="s">
        <v>546</v>
      </c>
      <c r="D30" s="212">
        <f t="shared" si="5"/>
        <v>234</v>
      </c>
      <c r="E30" s="30" t="s">
        <v>548</v>
      </c>
      <c r="F30" s="212" t="b">
        <v>1</v>
      </c>
      <c r="G30" s="216" t="str">
        <f t="shared" si="0"/>
        <v>"C:\Program Files (x86)\AstroGrep\AstroGrep.exe" /e /r /s /spath="%USERPROFILE%\AppData\Local\Temp\OnboardLogs" /stypes="*4013*201703070*" /stext=" 06:.+((SYSTEM_STATE.+slice.+state.+changed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06:.+((\|PRM\|1\|D)|(crossing.((167)|(168)|(199)|(200))))" "%USERPROFILE%\AppData\Local\Temp\OnboardLogs"\RTDC4013\*4013*201703070*</v>
      </c>
      <c r="I30" s="214" t="str">
        <f>IF(VLOOKUP(K30,'Train Runs'!$A$13:$V$998,1,TRUE)=K30,VLOOKUP(K30,'Train Runs'!$A$13:$V$998,22,TRUE),NA())</f>
        <v>https://d0f6bd738d7f1b3e5a7ca70fe4ff75f0.us-east-1.aws.found.io/app/kibana#/discover/Steve-Slow-Train-Analysis-(2080s-and-2083s)?_g=(refreshInterval:(display:Off,pause:!f,section:0,value:0),time:(from:'2017-03-08T21:54:27-0700',mode:absolute,to:'2017-03-09T00:39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30" s="210">
        <f t="shared" si="2"/>
        <v>42801.260416666664</v>
      </c>
      <c r="K30" s="210" t="str">
        <f>D30&amp;"-"&amp;IF(DAY(Variables!$A$2)&lt;10,0,"")&amp;DAY(Variables!$A$2)</f>
        <v>234-08</v>
      </c>
      <c r="L30" s="206">
        <f>IF(VLOOKUP(K30,'Train Runs'!$A$12:$B$998,1,TRUE)=K30,VLOOKUP(K30,'Train Runs'!$A$12:$B$998,2,TRUE),NA())</f>
        <v>4013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544</v>
      </c>
      <c r="C31" s="198" t="s">
        <v>546</v>
      </c>
      <c r="D31" s="212">
        <f t="shared" si="5"/>
        <v>236</v>
      </c>
      <c r="E31" s="30" t="s">
        <v>548</v>
      </c>
      <c r="F31" s="212" t="b">
        <v>1</v>
      </c>
      <c r="G31" s="216" t="str">
        <f t="shared" si="0"/>
        <v>"C:\Program Files (x86)\AstroGrep\AstroGrep.exe" /e /r /s /spath="%USERPROFILE%\AppData\Local\Temp\OnboardLogs" /stypes="*4045*201703070*" /stext=" 06:.+((SYSTEM_STATE.+slice.+state.+changed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06:.+((\|PRM\|1\|D)|(crossing.((167)|(168)|(199)|(200))))" "%USERPROFILE%\AppData\Local\Temp\OnboardLogs"\RTDC4045\*4045*201703070*</v>
      </c>
      <c r="I31" s="214" t="str">
        <f>IF(VLOOKUP(K31,'Train Runs'!$A$13:$V$998,1,TRUE)=K31,VLOOKUP(K31,'Train Runs'!$A$13:$V$998,22,TRUE),NA())</f>
        <v>https://d0f6bd738d7f1b3e5a7ca70fe4ff75f0.us-east-1.aws.found.io/app/kibana#/discover/Steve-Slow-Train-Analysis-(2080s-and-2083s)?_g=(refreshInterval:(display:Off,pause:!f,section:0,value:0),time:(from:'2017-03-08T22:18:44-0700',mode:absolute,to:'2017-03-09T01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1" s="210">
        <f t="shared" si="2"/>
        <v>42801.271527777775</v>
      </c>
      <c r="K31" s="210" t="str">
        <f>D31&amp;"-"&amp;IF(DAY(Variables!$A$2)&lt;10,0,"")&amp;DAY(Variables!$A$2)</f>
        <v>236-08</v>
      </c>
      <c r="L31" s="206">
        <f>IF(VLOOKUP(K31,'Train Runs'!$A$12:$B$998,1,TRUE)=K31,VLOOKUP(K31,'Train Runs'!$A$12:$B$998,2,TRUE),NA())</f>
        <v>4045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544</v>
      </c>
      <c r="C32" s="198" t="s">
        <v>546</v>
      </c>
      <c r="D32" s="212">
        <f t="shared" si="5"/>
        <v>238</v>
      </c>
      <c r="E32" s="30" t="s">
        <v>548</v>
      </c>
      <c r="F32" s="212" t="b">
        <v>1</v>
      </c>
      <c r="G32" s="216" t="str">
        <f t="shared" si="0"/>
        <v>"C:\Program Files (x86)\AstroGrep\AstroGrep.exe" /e /r /s /spath="%USERPROFILE%\AppData\Local\Temp\OnboardLogs" /stypes="*4052*201703070*" /stext=" 06:.+((SYSTEM_STATE.+slice.+state.+changed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06:.+((\|PRM\|1\|D)|(crossing.((167)|(168)|(199)|(200))))" "%USERPROFILE%\AppData\Local\Temp\OnboardLogs"\RTDC4052\*4052*201703070*</v>
      </c>
      <c r="I32" s="214" t="str">
        <f>IF(VLOOKUP(K32,'Train Runs'!$A$13:$V$998,1,TRUE)=K32,VLOOKUP(K32,'Train Runs'!$A$13:$V$998,22,TRUE),NA())</f>
        <v>https://d0f6bd738d7f1b3e5a7ca70fe4ff75f0.us-east-1.aws.found.io/app/kibana#/discover/Steve-Slow-Train-Analysis-(2080s-and-2083s)?_g=(refreshInterval:(display:Off,pause:!f,section:0,value:0),time:(from:'2017-03-08T22:42:16-0700',mode:absolute,to:'2017-03-09T01:28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32" s="210">
        <f t="shared" si="2"/>
        <v>42801.290972222218</v>
      </c>
      <c r="K32" s="210" t="str">
        <f>D32&amp;"-"&amp;IF(DAY(Variables!$A$2)&lt;10,0,"")&amp;DAY(Variables!$A$2)</f>
        <v>238-08</v>
      </c>
      <c r="L32" s="206">
        <f>IF(VLOOKUP(K32,'Train Runs'!$A$12:$B$998,1,TRUE)=K32,VLOOKUP(K32,'Train Runs'!$A$12:$B$998,2,TRUE),NA())</f>
        <v>4052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544</v>
      </c>
      <c r="C33" s="198" t="s">
        <v>546</v>
      </c>
      <c r="D33" s="212">
        <f t="shared" si="5"/>
        <v>240</v>
      </c>
      <c r="E33" s="30" t="s">
        <v>548</v>
      </c>
      <c r="F33" s="212" t="b">
        <v>1</v>
      </c>
      <c r="G33" s="216" t="str">
        <f t="shared" si="0"/>
        <v>"C:\Program Files (x86)\AstroGrep\AstroGrep.exe" /e /r /s /spath="%USERPROFILE%\AppData\Local\Temp\OnboardLogs" /stypes="*4010*201703070*" /stext=" 07:.+((SYSTEM_STATE.+slice.+state.+changed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07:.+((\|PRM\|1\|D)|(crossing.((167)|(168)|(199)|(200))))" "%USERPROFILE%\AppData\Local\Temp\OnboardLogs"\RTDC4010\*4010*201703070*</v>
      </c>
      <c r="I33" s="214" t="str">
        <f>IF(VLOOKUP(K33,'Train Runs'!$A$13:$V$998,1,TRUE)=K33,VLOOKUP(K33,'Train Runs'!$A$13:$V$998,22,TRUE),NA())</f>
        <v>https://d0f6bd738d7f1b3e5a7ca70fe4ff75f0.us-east-1.aws.found.io/app/kibana#/discover/Steve-Slow-Train-Analysis-(2080s-and-2083s)?_g=(refreshInterval:(display:Off,pause:!f,section:0,value:0),time:(from:'2017-03-08T23:15:30-0700',mode:absolute,to:'2017-03-09T02:11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33" s="210">
        <f t="shared" si="2"/>
        <v>42801.313888888886</v>
      </c>
      <c r="K33" s="210" t="str">
        <f>D33&amp;"-"&amp;IF(DAY(Variables!$A$2)&lt;10,0,"")&amp;DAY(Variables!$A$2)</f>
        <v>240-08</v>
      </c>
      <c r="L33" s="206">
        <f>IF(VLOOKUP(K33,'Train Runs'!$A$12:$B$998,1,TRUE)=K33,VLOOKUP(K33,'Train Runs'!$A$12:$B$998,2,TRUE),NA())</f>
        <v>4010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544</v>
      </c>
      <c r="C34" s="198" t="s">
        <v>546</v>
      </c>
      <c r="D34" s="212">
        <v>240</v>
      </c>
      <c r="E34" s="30" t="s">
        <v>548</v>
      </c>
      <c r="F34" s="212" t="b">
        <v>1</v>
      </c>
      <c r="G34" s="216" t="str">
        <f t="shared" si="0"/>
        <v>"C:\Program Files (x86)\AstroGrep\AstroGrep.exe" /e /r /s /spath="%USERPROFILE%\AppData\Local\Temp\OnboardLogs" /stypes="*4010*201703070*" /stext=" 07:.+((SYSTEM_STATE.+slice.+state.+changed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07:.+((\|PRM\|1\|D)|(crossing.((167)|(168)|(199)|(200))))" "%USERPROFILE%\AppData\Local\Temp\OnboardLogs"\RTDC4010\*4010*201703070*</v>
      </c>
      <c r="I34" s="214" t="str">
        <f>IF(VLOOKUP(K34,'Train Runs'!$A$13:$V$998,1,TRUE)=K34,VLOOKUP(K34,'Train Runs'!$A$13:$V$998,22,TRUE),NA())</f>
        <v>https://d0f6bd738d7f1b3e5a7ca70fe4ff75f0.us-east-1.aws.found.io/app/kibana#/discover/Steve-Slow-Train-Analysis-(2080s-and-2083s)?_g=(refreshInterval:(display:Off,pause:!f,section:0,value:0),time:(from:'2017-03-08T23:15:30-0700',mode:absolute,to:'2017-03-09T02:11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34" s="210">
        <f t="shared" si="2"/>
        <v>42801.331944444442</v>
      </c>
      <c r="K34" s="210" t="str">
        <f>D34&amp;"-"&amp;IF(DAY(Variables!$A$2)&lt;10,0,"")&amp;DAY(Variables!$A$2)</f>
        <v>240-08</v>
      </c>
      <c r="L34" s="206">
        <f>IF(VLOOKUP(K34,'Train Runs'!$A$12:$B$998,1,TRUE)=K34,VLOOKUP(K34,'Train Runs'!$A$12:$B$998,2,TRUE),NA())</f>
        <v>4010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544</v>
      </c>
      <c r="C35" s="198" t="s">
        <v>546</v>
      </c>
      <c r="D35" s="212">
        <v>242</v>
      </c>
      <c r="E35" s="30" t="s">
        <v>548</v>
      </c>
      <c r="F35" s="212" t="b">
        <v>1</v>
      </c>
      <c r="G35" s="216" t="str">
        <f t="shared" si="0"/>
        <v>"C:\Program Files (x86)\AstroGrep\AstroGrep.exe" /e /r /s /spath="%USERPROFILE%\AppData\Local\Temp\OnboardLogs" /stypes="*4041*201703070*" /stext=" 08:.+((SYSTEM_STATE.+slice.+state.+changed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08:.+((\|PRM\|1\|D)|(crossing.((167)|(168)|(199)|(200))))" "%USERPROFILE%\AppData\Local\Temp\OnboardLogs"\RTDC4041\*4041*201703070*</v>
      </c>
      <c r="I35" s="214" t="str">
        <f>IF(VLOOKUP(K35,'Train Runs'!$A$13:$V$998,1,TRUE)=K35,VLOOKUP(K35,'Train Runs'!$A$13:$V$998,22,TRUE),NA())</f>
        <v>https://d0f6bd738d7f1b3e5a7ca70fe4ff75f0.us-east-1.aws.found.io/app/kibana#/discover/Steve-Slow-Train-Analysis-(2080s-and-2083s)?_g=(refreshInterval:(display:Off,pause:!f,section:0,value:0),time:(from:'2017-03-08T23:51:44-0700',mode:absolute,to:'2017-03-09T02:40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35" s="210">
        <f t="shared" si="2"/>
        <v>42801.353472222218</v>
      </c>
      <c r="K35" s="210" t="str">
        <f>D35&amp;"-"&amp;IF(DAY(Variables!$A$2)&lt;10,0,"")&amp;DAY(Variables!$A$2)</f>
        <v>242-08</v>
      </c>
      <c r="L35" s="206">
        <f>IF(VLOOKUP(K35,'Train Runs'!$A$12:$B$998,1,TRUE)=K35,VLOOKUP(K35,'Train Runs'!$A$12:$B$998,2,TRUE),NA())</f>
        <v>4041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199</v>
      </c>
      <c r="G1" s="8" t="s">
        <v>198</v>
      </c>
    </row>
    <row r="2" spans="1:7" x14ac:dyDescent="0.25">
      <c r="A2" s="8">
        <v>42802.032361111109</v>
      </c>
      <c r="B2" s="20" t="s">
        <v>595</v>
      </c>
      <c r="C2" s="20" t="s">
        <v>596</v>
      </c>
      <c r="D2" s="150">
        <v>2680000</v>
      </c>
      <c r="E2" s="20" t="s">
        <v>441</v>
      </c>
      <c r="F2" s="20" t="s">
        <v>442</v>
      </c>
      <c r="G2" s="8" t="str">
        <f>E2&amp;" "&amp;F2</f>
        <v>DUNCAN SHEILA</v>
      </c>
    </row>
    <row r="3" spans="1:7" x14ac:dyDescent="0.25">
      <c r="A3" s="8">
        <v>42802.034699074073</v>
      </c>
      <c r="B3" s="20" t="s">
        <v>428</v>
      </c>
      <c r="C3" s="20" t="s">
        <v>597</v>
      </c>
      <c r="D3" s="150">
        <v>1740000</v>
      </c>
      <c r="E3" s="20" t="s">
        <v>490</v>
      </c>
      <c r="F3" s="20" t="s">
        <v>491</v>
      </c>
      <c r="G3" s="8" t="str">
        <f t="shared" ref="G3:G66" si="0">E3&amp;" "&amp;F3</f>
        <v>STORY SAMANTHA</v>
      </c>
    </row>
    <row r="4" spans="1:7" x14ac:dyDescent="0.25">
      <c r="A4" s="8">
        <v>42802.056030092594</v>
      </c>
      <c r="B4" s="20" t="s">
        <v>559</v>
      </c>
      <c r="C4" s="20" t="s">
        <v>560</v>
      </c>
      <c r="D4" s="150">
        <v>2730000</v>
      </c>
      <c r="E4" s="20" t="s">
        <v>240</v>
      </c>
      <c r="F4" s="20" t="s">
        <v>241</v>
      </c>
      <c r="G4" s="8" t="str">
        <f t="shared" si="0"/>
        <v>YANG JAN</v>
      </c>
    </row>
    <row r="5" spans="1:7" x14ac:dyDescent="0.25">
      <c r="A5" s="8">
        <v>42802.05810185185</v>
      </c>
      <c r="B5" s="20" t="s">
        <v>252</v>
      </c>
      <c r="C5" s="20" t="s">
        <v>598</v>
      </c>
      <c r="D5" s="150">
        <v>2000000</v>
      </c>
      <c r="E5" s="20" t="s">
        <v>443</v>
      </c>
      <c r="F5" s="20" t="s">
        <v>197</v>
      </c>
      <c r="G5" s="8" t="str">
        <f t="shared" si="0"/>
        <v>STAMBAUGH JAMES</v>
      </c>
    </row>
    <row r="6" spans="1:7" x14ac:dyDescent="0.25">
      <c r="A6" s="8">
        <v>42802.070219907408</v>
      </c>
      <c r="B6" s="20" t="s">
        <v>285</v>
      </c>
      <c r="C6" s="20" t="s">
        <v>599</v>
      </c>
      <c r="D6" s="150">
        <v>1740000</v>
      </c>
      <c r="E6" s="20" t="s">
        <v>490</v>
      </c>
      <c r="F6" s="20" t="s">
        <v>491</v>
      </c>
      <c r="G6" s="8" t="str">
        <f t="shared" si="0"/>
        <v>STORY SAMANTHA</v>
      </c>
    </row>
    <row r="7" spans="1:7" x14ac:dyDescent="0.25">
      <c r="A7" s="8">
        <v>42802.078090277777</v>
      </c>
      <c r="B7" s="20" t="s">
        <v>595</v>
      </c>
      <c r="C7" s="20" t="s">
        <v>596</v>
      </c>
      <c r="D7" s="150">
        <v>2680000</v>
      </c>
      <c r="E7" s="20" t="s">
        <v>441</v>
      </c>
      <c r="F7" s="20" t="s">
        <v>442</v>
      </c>
      <c r="G7" s="8" t="str">
        <f t="shared" si="0"/>
        <v>DUNCAN SHEILA</v>
      </c>
    </row>
    <row r="8" spans="1:7" x14ac:dyDescent="0.25">
      <c r="A8" s="8">
        <v>42802.087488425925</v>
      </c>
      <c r="B8" s="20" t="s">
        <v>254</v>
      </c>
      <c r="C8" s="20" t="s">
        <v>598</v>
      </c>
      <c r="D8" s="150">
        <v>2000000</v>
      </c>
      <c r="E8" s="20" t="s">
        <v>443</v>
      </c>
      <c r="F8" s="20" t="s">
        <v>197</v>
      </c>
      <c r="G8" s="8" t="str">
        <f t="shared" si="0"/>
        <v>STAMBAUGH JAMES</v>
      </c>
    </row>
    <row r="9" spans="1:7" ht="15.75" thickBot="1" x14ac:dyDescent="0.3">
      <c r="A9" s="24">
        <v>42802.088043981479</v>
      </c>
      <c r="B9" s="20" t="s">
        <v>254</v>
      </c>
      <c r="C9" s="20" t="s">
        <v>600</v>
      </c>
      <c r="D9" s="150">
        <v>2000000</v>
      </c>
      <c r="E9" s="20" t="s">
        <v>443</v>
      </c>
      <c r="F9" s="20" t="s">
        <v>197</v>
      </c>
      <c r="G9" s="8" t="str">
        <f t="shared" si="0"/>
        <v>STAMBAUGH JAMES</v>
      </c>
    </row>
    <row r="10" spans="1:7" x14ac:dyDescent="0.25">
      <c r="A10" s="8">
        <v>42802.092870370368</v>
      </c>
      <c r="B10" s="20" t="s">
        <v>559</v>
      </c>
      <c r="C10" s="20" t="s">
        <v>560</v>
      </c>
      <c r="D10" s="150">
        <v>2730000</v>
      </c>
      <c r="E10" s="20" t="s">
        <v>240</v>
      </c>
      <c r="F10" s="20" t="s">
        <v>241</v>
      </c>
      <c r="G10" s="8" t="str">
        <f t="shared" si="0"/>
        <v>YANG JAN</v>
      </c>
    </row>
    <row r="11" spans="1:7" x14ac:dyDescent="0.25">
      <c r="A11" s="8">
        <v>42802.106828703705</v>
      </c>
      <c r="B11" s="20" t="s">
        <v>595</v>
      </c>
      <c r="C11" s="20" t="s">
        <v>596</v>
      </c>
      <c r="D11" s="150">
        <v>2680000</v>
      </c>
      <c r="E11" s="20" t="s">
        <v>441</v>
      </c>
      <c r="F11" s="20" t="s">
        <v>442</v>
      </c>
      <c r="G11" s="8" t="str">
        <f t="shared" si="0"/>
        <v>DUNCAN SHEILA</v>
      </c>
    </row>
    <row r="12" spans="1:7" x14ac:dyDescent="0.25">
      <c r="A12" s="8">
        <v>42802.119050925925</v>
      </c>
      <c r="B12" s="20" t="s">
        <v>566</v>
      </c>
      <c r="C12" s="20" t="s">
        <v>601</v>
      </c>
      <c r="D12" s="150">
        <v>1140000</v>
      </c>
      <c r="E12" s="20" t="s">
        <v>602</v>
      </c>
      <c r="F12" s="20" t="s">
        <v>603</v>
      </c>
      <c r="G12" s="8" t="str">
        <f t="shared" si="0"/>
        <v>YOUNG ELIZABETH</v>
      </c>
    </row>
    <row r="13" spans="1:7" x14ac:dyDescent="0.25">
      <c r="A13" s="8">
        <v>42802.120520833334</v>
      </c>
      <c r="B13" s="20" t="s">
        <v>566</v>
      </c>
      <c r="C13" s="20" t="s">
        <v>601</v>
      </c>
      <c r="D13" s="150">
        <v>1140000</v>
      </c>
      <c r="E13" s="20" t="s">
        <v>602</v>
      </c>
      <c r="F13" s="20" t="s">
        <v>603</v>
      </c>
      <c r="G13" s="8" t="str">
        <f t="shared" si="0"/>
        <v>YOUNG ELIZABETH</v>
      </c>
    </row>
    <row r="14" spans="1:7" x14ac:dyDescent="0.25">
      <c r="A14" s="8">
        <v>42802.123657407406</v>
      </c>
      <c r="B14" s="20" t="s">
        <v>559</v>
      </c>
      <c r="C14" s="20" t="s">
        <v>560</v>
      </c>
      <c r="D14" s="150">
        <v>2730000</v>
      </c>
      <c r="E14" s="20" t="s">
        <v>240</v>
      </c>
      <c r="F14" s="20" t="s">
        <v>241</v>
      </c>
      <c r="G14" s="8" t="str">
        <f t="shared" si="0"/>
        <v>YANG JAN</v>
      </c>
    </row>
    <row r="15" spans="1:7" x14ac:dyDescent="0.25">
      <c r="A15" s="8">
        <v>42802.131249999999</v>
      </c>
      <c r="B15" s="20" t="s">
        <v>211</v>
      </c>
      <c r="C15" s="20" t="s">
        <v>604</v>
      </c>
      <c r="D15" s="150">
        <v>1140000</v>
      </c>
      <c r="E15" s="20" t="s">
        <v>602</v>
      </c>
      <c r="F15" s="20" t="s">
        <v>603</v>
      </c>
      <c r="G15" s="8" t="str">
        <f t="shared" si="0"/>
        <v>YOUNG ELIZABETH</v>
      </c>
    </row>
    <row r="16" spans="1:7" x14ac:dyDescent="0.25">
      <c r="A16" s="8">
        <v>42802.133634259262</v>
      </c>
      <c r="B16" s="20" t="s">
        <v>595</v>
      </c>
      <c r="C16" s="20" t="s">
        <v>596</v>
      </c>
      <c r="D16" s="150">
        <v>2680000</v>
      </c>
      <c r="E16" s="20" t="s">
        <v>441</v>
      </c>
      <c r="F16" s="20" t="s">
        <v>442</v>
      </c>
      <c r="G16" s="8" t="str">
        <f t="shared" si="0"/>
        <v>DUNCAN SHEILA</v>
      </c>
    </row>
    <row r="17" spans="1:7" x14ac:dyDescent="0.25">
      <c r="A17" s="8">
        <v>42802.141481481478</v>
      </c>
      <c r="B17" s="20" t="s">
        <v>277</v>
      </c>
      <c r="C17" s="20" t="s">
        <v>605</v>
      </c>
      <c r="D17" s="150">
        <v>1260000</v>
      </c>
      <c r="E17" s="20" t="s">
        <v>606</v>
      </c>
      <c r="F17" s="20" t="s">
        <v>607</v>
      </c>
      <c r="G17" s="8" t="str">
        <f t="shared" si="0"/>
        <v>ACKERMAN JARED</v>
      </c>
    </row>
    <row r="18" spans="1:7" x14ac:dyDescent="0.25">
      <c r="A18" s="8">
        <v>42802.145196759258</v>
      </c>
      <c r="B18" s="20" t="s">
        <v>559</v>
      </c>
      <c r="C18" s="20" t="s">
        <v>560</v>
      </c>
      <c r="D18" s="150">
        <v>2730000</v>
      </c>
      <c r="E18" s="20" t="s">
        <v>240</v>
      </c>
      <c r="F18" s="20" t="s">
        <v>241</v>
      </c>
      <c r="G18" s="8" t="str">
        <f t="shared" si="0"/>
        <v>YANG JAN</v>
      </c>
    </row>
    <row r="19" spans="1:7" x14ac:dyDescent="0.25">
      <c r="A19" s="8">
        <v>42802.153506944444</v>
      </c>
      <c r="B19" s="20" t="s">
        <v>450</v>
      </c>
      <c r="C19" s="20" t="s">
        <v>561</v>
      </c>
      <c r="D19" s="150">
        <v>1260000</v>
      </c>
      <c r="E19" s="20" t="s">
        <v>606</v>
      </c>
      <c r="F19" s="20" t="s">
        <v>607</v>
      </c>
      <c r="G19" s="8" t="str">
        <f t="shared" si="0"/>
        <v>ACKERMAN JARED</v>
      </c>
    </row>
    <row r="20" spans="1:7" x14ac:dyDescent="0.25">
      <c r="A20" s="8">
        <v>42802.162002314813</v>
      </c>
      <c r="B20" s="20" t="s">
        <v>427</v>
      </c>
      <c r="C20" s="20" t="s">
        <v>608</v>
      </c>
      <c r="D20" s="150">
        <v>1100000</v>
      </c>
      <c r="E20" s="20" t="s">
        <v>609</v>
      </c>
      <c r="F20" s="20" t="s">
        <v>610</v>
      </c>
      <c r="G20" s="8" t="str">
        <f t="shared" si="0"/>
        <v>GEBRETEKLE DAGNEW</v>
      </c>
    </row>
    <row r="21" spans="1:7" x14ac:dyDescent="0.25">
      <c r="A21" s="8">
        <v>42802.164826388886</v>
      </c>
      <c r="B21" s="20" t="s">
        <v>559</v>
      </c>
      <c r="C21" s="20" t="s">
        <v>562</v>
      </c>
      <c r="D21" s="150">
        <v>1290000</v>
      </c>
      <c r="E21" s="20" t="s">
        <v>611</v>
      </c>
      <c r="F21" s="20" t="s">
        <v>432</v>
      </c>
      <c r="G21" s="8" t="str">
        <f t="shared" si="0"/>
        <v>COOLAHAN JOHN</v>
      </c>
    </row>
    <row r="22" spans="1:7" x14ac:dyDescent="0.25">
      <c r="A22" s="26">
        <v>42802.167893518519</v>
      </c>
      <c r="B22" s="20" t="s">
        <v>566</v>
      </c>
      <c r="C22" s="20" t="s">
        <v>612</v>
      </c>
      <c r="D22" s="150">
        <v>1140000</v>
      </c>
      <c r="E22" s="20" t="s">
        <v>602</v>
      </c>
      <c r="F22" s="20" t="s">
        <v>603</v>
      </c>
      <c r="G22" s="8" t="str">
        <f t="shared" si="0"/>
        <v>YOUNG ELIZABETH</v>
      </c>
    </row>
    <row r="23" spans="1:7" x14ac:dyDescent="0.25">
      <c r="A23" s="8">
        <v>42802.168182870373</v>
      </c>
      <c r="B23" s="20" t="s">
        <v>564</v>
      </c>
      <c r="C23" s="20" t="s">
        <v>613</v>
      </c>
      <c r="D23" s="150">
        <v>940000</v>
      </c>
      <c r="E23" s="20" t="s">
        <v>480</v>
      </c>
      <c r="F23" s="20" t="s">
        <v>481</v>
      </c>
      <c r="G23" s="8" t="str">
        <f t="shared" si="0"/>
        <v>BONDS REYNALDO</v>
      </c>
    </row>
    <row r="24" spans="1:7" x14ac:dyDescent="0.25">
      <c r="A24" s="8">
        <v>42802.169282407405</v>
      </c>
      <c r="B24" s="20" t="s">
        <v>566</v>
      </c>
      <c r="C24" s="20" t="s">
        <v>612</v>
      </c>
      <c r="D24" s="150">
        <v>1140000</v>
      </c>
      <c r="E24" s="20" t="s">
        <v>602</v>
      </c>
      <c r="F24" s="20" t="s">
        <v>603</v>
      </c>
      <c r="G24" s="8" t="str">
        <f t="shared" si="0"/>
        <v>YOUNG ELIZABETH</v>
      </c>
    </row>
    <row r="25" spans="1:7" x14ac:dyDescent="0.25">
      <c r="A25" s="8">
        <v>42802.171122685184</v>
      </c>
      <c r="B25" s="20" t="s">
        <v>566</v>
      </c>
      <c r="C25" s="20" t="s">
        <v>612</v>
      </c>
      <c r="D25" s="150">
        <v>1140000</v>
      </c>
      <c r="E25" s="20" t="s">
        <v>602</v>
      </c>
      <c r="F25" s="20" t="s">
        <v>603</v>
      </c>
      <c r="G25" s="8" t="str">
        <f t="shared" si="0"/>
        <v>YOUNG ELIZABETH</v>
      </c>
    </row>
    <row r="26" spans="1:7" x14ac:dyDescent="0.25">
      <c r="A26" s="8">
        <v>42802.172210648147</v>
      </c>
      <c r="B26" s="20" t="s">
        <v>566</v>
      </c>
      <c r="C26" s="20" t="s">
        <v>612</v>
      </c>
      <c r="D26" s="150">
        <v>1140000</v>
      </c>
      <c r="E26" s="20" t="s">
        <v>602</v>
      </c>
      <c r="F26" s="20" t="s">
        <v>603</v>
      </c>
      <c r="G26" s="8" t="str">
        <f t="shared" si="0"/>
        <v>YOUNG ELIZABETH</v>
      </c>
    </row>
    <row r="27" spans="1:7" x14ac:dyDescent="0.25">
      <c r="A27" s="8">
        <v>42802.173194444447</v>
      </c>
      <c r="B27" s="20" t="s">
        <v>440</v>
      </c>
      <c r="C27" s="20" t="s">
        <v>614</v>
      </c>
      <c r="D27" s="150">
        <v>1100000</v>
      </c>
      <c r="E27" s="20" t="s">
        <v>609</v>
      </c>
      <c r="F27" s="20" t="s">
        <v>610</v>
      </c>
      <c r="G27" s="8" t="str">
        <f t="shared" si="0"/>
        <v>GEBRETEKLE DAGNEW</v>
      </c>
    </row>
    <row r="28" spans="1:7" x14ac:dyDescent="0.25">
      <c r="A28" s="8">
        <v>42802.179016203707</v>
      </c>
      <c r="B28" s="20" t="s">
        <v>595</v>
      </c>
      <c r="C28" s="20" t="s">
        <v>615</v>
      </c>
      <c r="D28" s="150">
        <v>1290000</v>
      </c>
      <c r="E28" s="20" t="s">
        <v>611</v>
      </c>
      <c r="F28" s="20" t="s">
        <v>432</v>
      </c>
      <c r="G28" s="8" t="str">
        <f t="shared" si="0"/>
        <v>COOLAHAN JOHN</v>
      </c>
    </row>
    <row r="29" spans="1:7" x14ac:dyDescent="0.25">
      <c r="A29" s="8">
        <v>42802.181041666663</v>
      </c>
      <c r="B29" s="20" t="s">
        <v>573</v>
      </c>
      <c r="C29" s="20" t="s">
        <v>616</v>
      </c>
      <c r="D29" s="150">
        <v>940000</v>
      </c>
      <c r="E29" s="20" t="s">
        <v>480</v>
      </c>
      <c r="F29" s="20" t="s">
        <v>481</v>
      </c>
      <c r="G29" s="8" t="str">
        <f t="shared" si="0"/>
        <v>BONDS REYNALDO</v>
      </c>
    </row>
    <row r="30" spans="1:7" x14ac:dyDescent="0.25">
      <c r="A30" s="8">
        <v>42802.181562500002</v>
      </c>
      <c r="B30" s="20" t="s">
        <v>204</v>
      </c>
      <c r="C30" s="20" t="s">
        <v>617</v>
      </c>
      <c r="D30" s="150">
        <v>1360000</v>
      </c>
      <c r="E30" s="20" t="s">
        <v>444</v>
      </c>
      <c r="F30" s="20" t="s">
        <v>445</v>
      </c>
      <c r="G30" s="8" t="str">
        <f t="shared" si="0"/>
        <v>SANTIZO D. EDY</v>
      </c>
    </row>
    <row r="31" spans="1:7" x14ac:dyDescent="0.25">
      <c r="A31" s="8">
        <v>42802.182662037034</v>
      </c>
      <c r="B31" s="20" t="s">
        <v>559</v>
      </c>
      <c r="C31" s="20" t="s">
        <v>562</v>
      </c>
      <c r="D31" s="150">
        <v>1290000</v>
      </c>
      <c r="E31" s="20" t="s">
        <v>611</v>
      </c>
      <c r="F31" s="20" t="s">
        <v>432</v>
      </c>
      <c r="G31" s="8" t="str">
        <f t="shared" si="0"/>
        <v>COOLAHAN JOHN</v>
      </c>
    </row>
    <row r="32" spans="1:7" x14ac:dyDescent="0.25">
      <c r="A32" s="8">
        <v>42802.185069444444</v>
      </c>
      <c r="B32" s="20" t="s">
        <v>566</v>
      </c>
      <c r="C32" s="20" t="s">
        <v>612</v>
      </c>
      <c r="D32" s="150">
        <v>1140000</v>
      </c>
      <c r="E32" s="20" t="s">
        <v>602</v>
      </c>
      <c r="F32" s="20" t="s">
        <v>603</v>
      </c>
      <c r="G32" s="8" t="str">
        <f t="shared" si="0"/>
        <v>YOUNG ELIZABETH</v>
      </c>
    </row>
    <row r="33" spans="1:7" x14ac:dyDescent="0.25">
      <c r="A33" s="8">
        <v>42802.187337962961</v>
      </c>
      <c r="B33" s="20" t="s">
        <v>595</v>
      </c>
      <c r="C33" s="20" t="s">
        <v>615</v>
      </c>
      <c r="D33" s="150">
        <v>1290000</v>
      </c>
      <c r="E33" s="20" t="s">
        <v>611</v>
      </c>
      <c r="F33" s="20" t="s">
        <v>432</v>
      </c>
      <c r="G33" s="8" t="str">
        <f t="shared" si="0"/>
        <v>COOLAHAN JOHN</v>
      </c>
    </row>
    <row r="34" spans="1:7" x14ac:dyDescent="0.25">
      <c r="A34" s="8">
        <v>42802.190879629627</v>
      </c>
      <c r="B34" s="20" t="s">
        <v>277</v>
      </c>
      <c r="C34" s="20" t="s">
        <v>618</v>
      </c>
      <c r="D34" s="150">
        <v>1260000</v>
      </c>
      <c r="E34" s="20" t="s">
        <v>606</v>
      </c>
      <c r="F34" s="20" t="s">
        <v>607</v>
      </c>
      <c r="G34" s="8" t="str">
        <f t="shared" si="0"/>
        <v>ACKERMAN JARED</v>
      </c>
    </row>
    <row r="35" spans="1:7" x14ac:dyDescent="0.25">
      <c r="A35" s="8">
        <v>42802.191701388889</v>
      </c>
      <c r="B35" s="20" t="s">
        <v>559</v>
      </c>
      <c r="C35" s="20" t="s">
        <v>562</v>
      </c>
      <c r="D35" s="150">
        <v>1290000</v>
      </c>
      <c r="E35" s="20" t="s">
        <v>611</v>
      </c>
      <c r="F35" s="20" t="s">
        <v>432</v>
      </c>
      <c r="G35" s="8" t="str">
        <f t="shared" si="0"/>
        <v>COOLAHAN JOHN</v>
      </c>
    </row>
    <row r="36" spans="1:7" x14ac:dyDescent="0.25">
      <c r="A36" s="8">
        <v>42802.193622685183</v>
      </c>
      <c r="B36" s="20" t="s">
        <v>439</v>
      </c>
      <c r="C36" s="20" t="s">
        <v>619</v>
      </c>
      <c r="D36" s="150">
        <v>1360000</v>
      </c>
      <c r="E36" s="20" t="s">
        <v>444</v>
      </c>
      <c r="F36" s="20" t="s">
        <v>445</v>
      </c>
      <c r="G36" s="8" t="str">
        <f t="shared" si="0"/>
        <v>SANTIZO D. EDY</v>
      </c>
    </row>
    <row r="37" spans="1:7" x14ac:dyDescent="0.25">
      <c r="A37" s="8">
        <v>42802.197268518517</v>
      </c>
      <c r="B37" s="20" t="s">
        <v>595</v>
      </c>
      <c r="C37" s="20" t="s">
        <v>615</v>
      </c>
      <c r="D37" s="150">
        <v>1290000</v>
      </c>
      <c r="E37" s="20" t="s">
        <v>611</v>
      </c>
      <c r="F37" s="20" t="s">
        <v>432</v>
      </c>
      <c r="G37" s="8" t="str">
        <f t="shared" si="0"/>
        <v>COOLAHAN JOHN</v>
      </c>
    </row>
    <row r="38" spans="1:7" x14ac:dyDescent="0.25">
      <c r="A38" s="8">
        <v>42802.201678240737</v>
      </c>
      <c r="B38" s="20" t="s">
        <v>620</v>
      </c>
      <c r="C38" s="20" t="s">
        <v>621</v>
      </c>
      <c r="D38" s="150">
        <v>1830000</v>
      </c>
      <c r="E38" s="20" t="s">
        <v>482</v>
      </c>
      <c r="F38" s="20" t="s">
        <v>483</v>
      </c>
      <c r="G38" s="8" t="str">
        <f t="shared" si="0"/>
        <v>YORK EDGAR</v>
      </c>
    </row>
    <row r="39" spans="1:7" x14ac:dyDescent="0.25">
      <c r="A39" s="8">
        <v>42802.205451388887</v>
      </c>
      <c r="B39" s="20" t="s">
        <v>430</v>
      </c>
      <c r="C39" s="20" t="s">
        <v>563</v>
      </c>
      <c r="D39" s="150">
        <v>1230000</v>
      </c>
      <c r="E39" s="20" t="s">
        <v>622</v>
      </c>
      <c r="F39" s="20" t="s">
        <v>623</v>
      </c>
      <c r="G39" s="8" t="str">
        <f t="shared" si="0"/>
        <v>YANAI IAN</v>
      </c>
    </row>
    <row r="40" spans="1:7" x14ac:dyDescent="0.25">
      <c r="A40" s="8">
        <v>42802.211145833331</v>
      </c>
      <c r="B40" s="25" t="s">
        <v>575</v>
      </c>
      <c r="C40" s="20" t="s">
        <v>624</v>
      </c>
      <c r="D40" s="150">
        <v>1830000</v>
      </c>
      <c r="E40" s="20" t="s">
        <v>482</v>
      </c>
      <c r="F40" s="20" t="s">
        <v>483</v>
      </c>
      <c r="G40" s="8" t="str">
        <f t="shared" si="0"/>
        <v>YORK EDGAR</v>
      </c>
    </row>
    <row r="41" spans="1:7" x14ac:dyDescent="0.25">
      <c r="A41" s="8">
        <v>42802.213530092595</v>
      </c>
      <c r="B41" s="20" t="s">
        <v>211</v>
      </c>
      <c r="C41" s="20" t="s">
        <v>625</v>
      </c>
      <c r="D41" s="150">
        <v>1140000</v>
      </c>
      <c r="E41" s="20" t="s">
        <v>602</v>
      </c>
      <c r="F41" s="20" t="s">
        <v>603</v>
      </c>
      <c r="G41" s="8" t="str">
        <f t="shared" si="0"/>
        <v>YOUNG ELIZABETH</v>
      </c>
    </row>
    <row r="42" spans="1:7" x14ac:dyDescent="0.25">
      <c r="A42" s="8">
        <v>42802.213773148149</v>
      </c>
      <c r="B42" s="20" t="s">
        <v>427</v>
      </c>
      <c r="C42" s="20" t="s">
        <v>626</v>
      </c>
      <c r="D42" s="150">
        <v>1100000</v>
      </c>
      <c r="E42" s="20" t="s">
        <v>609</v>
      </c>
      <c r="F42" s="20" t="s">
        <v>610</v>
      </c>
      <c r="G42" s="8" t="str">
        <f t="shared" si="0"/>
        <v>GEBRETEKLE DAGNEW</v>
      </c>
    </row>
    <row r="43" spans="1:7" x14ac:dyDescent="0.25">
      <c r="A43" s="8">
        <v>42802.221273148149</v>
      </c>
      <c r="B43" s="20" t="s">
        <v>564</v>
      </c>
      <c r="C43" s="20" t="s">
        <v>565</v>
      </c>
      <c r="D43" s="150">
        <v>940000</v>
      </c>
      <c r="E43" s="20" t="s">
        <v>480</v>
      </c>
      <c r="F43" s="20" t="s">
        <v>481</v>
      </c>
      <c r="G43" s="8" t="str">
        <f t="shared" si="0"/>
        <v>BONDS REYNALDO</v>
      </c>
    </row>
    <row r="44" spans="1:7" x14ac:dyDescent="0.25">
      <c r="A44" s="8">
        <v>42802.224641203706</v>
      </c>
      <c r="B44" s="20" t="s">
        <v>568</v>
      </c>
      <c r="C44" s="20" t="s">
        <v>627</v>
      </c>
      <c r="D44" s="150">
        <v>1110000</v>
      </c>
      <c r="E44" s="20" t="s">
        <v>478</v>
      </c>
      <c r="F44" s="20" t="s">
        <v>479</v>
      </c>
      <c r="G44" s="8" t="str">
        <f t="shared" si="0"/>
        <v>STARKS ANGELINA</v>
      </c>
    </row>
    <row r="45" spans="1:7" x14ac:dyDescent="0.25">
      <c r="A45" s="8">
        <v>42802.227152777778</v>
      </c>
      <c r="B45" s="20" t="s">
        <v>620</v>
      </c>
      <c r="C45" s="20" t="s">
        <v>628</v>
      </c>
      <c r="D45" s="150">
        <v>1830000</v>
      </c>
      <c r="E45" s="20" t="s">
        <v>482</v>
      </c>
      <c r="F45" s="20" t="s">
        <v>483</v>
      </c>
      <c r="G45" s="8" t="str">
        <f t="shared" si="0"/>
        <v>YORK EDGAR</v>
      </c>
    </row>
    <row r="46" spans="1:7" x14ac:dyDescent="0.25">
      <c r="A46" s="8">
        <v>42802.227210648147</v>
      </c>
      <c r="B46" s="20" t="s">
        <v>204</v>
      </c>
      <c r="C46" s="20" t="s">
        <v>629</v>
      </c>
      <c r="D46" s="150">
        <v>1360000</v>
      </c>
      <c r="E46" s="20" t="s">
        <v>444</v>
      </c>
      <c r="F46" s="20" t="s">
        <v>445</v>
      </c>
      <c r="G46" s="8" t="str">
        <f t="shared" si="0"/>
        <v>SANTIZO D. EDY</v>
      </c>
    </row>
    <row r="47" spans="1:7" x14ac:dyDescent="0.25">
      <c r="A47" s="8">
        <v>42802.233425925922</v>
      </c>
      <c r="B47" s="20" t="s">
        <v>450</v>
      </c>
      <c r="C47" s="20" t="s">
        <v>630</v>
      </c>
      <c r="D47" s="150">
        <v>2010000</v>
      </c>
      <c r="E47" s="20" t="s">
        <v>446</v>
      </c>
      <c r="F47" s="20" t="s">
        <v>447</v>
      </c>
      <c r="G47" s="8" t="str">
        <f t="shared" si="0"/>
        <v>MAELZER KURT</v>
      </c>
    </row>
    <row r="48" spans="1:7" x14ac:dyDescent="0.25">
      <c r="A48" s="8">
        <v>42802.238240740742</v>
      </c>
      <c r="B48" s="20" t="s">
        <v>429</v>
      </c>
      <c r="C48" s="20" t="s">
        <v>631</v>
      </c>
      <c r="D48" s="150">
        <v>1230000</v>
      </c>
      <c r="E48" s="20" t="s">
        <v>622</v>
      </c>
      <c r="F48" s="20" t="s">
        <v>623</v>
      </c>
      <c r="G48" s="8" t="str">
        <f t="shared" si="0"/>
        <v>YANAI IAN</v>
      </c>
    </row>
    <row r="49" spans="1:7" x14ac:dyDescent="0.25">
      <c r="A49" s="8">
        <v>42802.243321759262</v>
      </c>
      <c r="B49" s="20" t="s">
        <v>429</v>
      </c>
      <c r="C49" s="20" t="s">
        <v>631</v>
      </c>
      <c r="D49" s="150">
        <v>1230000</v>
      </c>
      <c r="E49" s="20" t="s">
        <v>622</v>
      </c>
      <c r="F49" s="20" t="s">
        <v>623</v>
      </c>
      <c r="G49" s="8" t="str">
        <f t="shared" si="0"/>
        <v>YANAI IAN</v>
      </c>
    </row>
    <row r="50" spans="1:7" x14ac:dyDescent="0.25">
      <c r="A50" s="8">
        <v>42802.248414351852</v>
      </c>
      <c r="B50" s="20" t="s">
        <v>276</v>
      </c>
      <c r="C50" s="20" t="s">
        <v>632</v>
      </c>
      <c r="D50" s="150">
        <v>1100000</v>
      </c>
      <c r="E50" s="20" t="s">
        <v>609</v>
      </c>
      <c r="F50" s="20" t="s">
        <v>610</v>
      </c>
      <c r="G50" s="8" t="str">
        <f t="shared" si="0"/>
        <v>GEBRETEKLE DAGNEW</v>
      </c>
    </row>
    <row r="51" spans="1:7" x14ac:dyDescent="0.25">
      <c r="A51" s="8">
        <v>42802.24927083333</v>
      </c>
      <c r="B51" s="20" t="s">
        <v>276</v>
      </c>
      <c r="C51" s="20" t="s">
        <v>632</v>
      </c>
      <c r="D51" s="150">
        <v>1100000</v>
      </c>
      <c r="E51" s="20" t="s">
        <v>609</v>
      </c>
      <c r="F51" s="20" t="s">
        <v>610</v>
      </c>
      <c r="G51" s="8" t="str">
        <f t="shared" si="0"/>
        <v>GEBRETEKLE DAGNEW</v>
      </c>
    </row>
    <row r="52" spans="1:7" x14ac:dyDescent="0.25">
      <c r="A52" s="8">
        <v>42802.249756944446</v>
      </c>
      <c r="B52" s="20" t="s">
        <v>476</v>
      </c>
      <c r="C52" s="20" t="s">
        <v>633</v>
      </c>
      <c r="D52" s="150">
        <v>890000</v>
      </c>
      <c r="E52" s="20" t="s">
        <v>634</v>
      </c>
      <c r="F52" s="20" t="s">
        <v>635</v>
      </c>
      <c r="G52" s="8" t="str">
        <f t="shared" si="0"/>
        <v>LOZA FIDEL</v>
      </c>
    </row>
    <row r="53" spans="1:7" x14ac:dyDescent="0.25">
      <c r="A53" s="8">
        <v>42802.250219907408</v>
      </c>
      <c r="B53" s="20" t="s">
        <v>212</v>
      </c>
      <c r="C53" s="20" t="s">
        <v>636</v>
      </c>
      <c r="D53" s="150">
        <v>1140000</v>
      </c>
      <c r="E53" s="20" t="s">
        <v>602</v>
      </c>
      <c r="F53" s="20" t="s">
        <v>603</v>
      </c>
      <c r="G53" s="8" t="str">
        <f t="shared" si="0"/>
        <v>YOUNG ELIZABETH</v>
      </c>
    </row>
    <row r="54" spans="1:7" x14ac:dyDescent="0.25">
      <c r="A54" s="8">
        <v>42802.25509259259</v>
      </c>
      <c r="B54" s="20" t="s">
        <v>575</v>
      </c>
      <c r="C54" s="20" t="s">
        <v>637</v>
      </c>
      <c r="D54" s="150">
        <v>1830000</v>
      </c>
      <c r="E54" s="20" t="s">
        <v>482</v>
      </c>
      <c r="F54" s="20" t="s">
        <v>483</v>
      </c>
      <c r="G54" s="8" t="str">
        <f t="shared" si="0"/>
        <v>YORK EDGAR</v>
      </c>
    </row>
    <row r="55" spans="1:7" x14ac:dyDescent="0.25">
      <c r="A55" s="8">
        <v>42802.25744212963</v>
      </c>
      <c r="B55" s="20" t="s">
        <v>566</v>
      </c>
      <c r="C55" s="20" t="s">
        <v>567</v>
      </c>
      <c r="D55" s="150">
        <v>1110000</v>
      </c>
      <c r="E55" s="20" t="s">
        <v>478</v>
      </c>
      <c r="F55" s="20" t="s">
        <v>479</v>
      </c>
      <c r="G55" s="8" t="str">
        <f t="shared" si="0"/>
        <v>STARKS ANGELINA</v>
      </c>
    </row>
    <row r="56" spans="1:7" x14ac:dyDescent="0.25">
      <c r="A56" s="8">
        <v>42802.258344907408</v>
      </c>
      <c r="B56" s="20" t="s">
        <v>573</v>
      </c>
      <c r="C56" s="20" t="s">
        <v>638</v>
      </c>
      <c r="D56" s="150">
        <v>940000</v>
      </c>
      <c r="E56" s="20" t="s">
        <v>480</v>
      </c>
      <c r="F56" s="20" t="s">
        <v>481</v>
      </c>
      <c r="G56" s="8" t="str">
        <f t="shared" si="0"/>
        <v>BONDS REYNALDO</v>
      </c>
    </row>
    <row r="57" spans="1:7" x14ac:dyDescent="0.25">
      <c r="A57" s="8">
        <v>42802.261840277781</v>
      </c>
      <c r="B57" s="20" t="s">
        <v>431</v>
      </c>
      <c r="C57" s="20" t="s">
        <v>639</v>
      </c>
      <c r="D57" s="150">
        <v>890000</v>
      </c>
      <c r="E57" s="20" t="s">
        <v>634</v>
      </c>
      <c r="F57" s="20" t="s">
        <v>635</v>
      </c>
      <c r="G57" s="8" t="str">
        <f t="shared" si="0"/>
        <v>LOZA FIDEL</v>
      </c>
    </row>
    <row r="58" spans="1:7" x14ac:dyDescent="0.25">
      <c r="A58" s="8">
        <v>42802.268530092595</v>
      </c>
      <c r="B58" s="20" t="s">
        <v>439</v>
      </c>
      <c r="C58" s="20" t="s">
        <v>640</v>
      </c>
      <c r="D58" s="150">
        <v>1360000</v>
      </c>
      <c r="E58" s="20" t="s">
        <v>444</v>
      </c>
      <c r="F58" s="20" t="s">
        <v>445</v>
      </c>
      <c r="G58" s="8" t="str">
        <f t="shared" si="0"/>
        <v>SANTIZO D. EDY</v>
      </c>
    </row>
    <row r="59" spans="1:7" x14ac:dyDescent="0.25">
      <c r="A59" s="8">
        <v>42802.268530092595</v>
      </c>
      <c r="B59" s="20" t="s">
        <v>620</v>
      </c>
      <c r="C59" s="20" t="s">
        <v>641</v>
      </c>
      <c r="D59" s="150">
        <v>1830000</v>
      </c>
      <c r="E59" s="20" t="s">
        <v>482</v>
      </c>
      <c r="F59" s="20" t="s">
        <v>483</v>
      </c>
      <c r="G59" s="8" t="str">
        <f t="shared" si="0"/>
        <v>YORK EDGAR</v>
      </c>
    </row>
    <row r="60" spans="1:7" x14ac:dyDescent="0.25">
      <c r="A60" s="8">
        <v>42802.275543981479</v>
      </c>
      <c r="B60" s="20" t="s">
        <v>449</v>
      </c>
      <c r="C60" s="20" t="s">
        <v>642</v>
      </c>
      <c r="D60" s="150">
        <v>2010000</v>
      </c>
      <c r="E60" s="20" t="s">
        <v>446</v>
      </c>
      <c r="F60" s="20" t="s">
        <v>447</v>
      </c>
      <c r="G60" s="8" t="str">
        <f t="shared" si="0"/>
        <v>MAELZER KURT</v>
      </c>
    </row>
    <row r="61" spans="1:7" x14ac:dyDescent="0.25">
      <c r="A61" s="8">
        <v>42802.275601851848</v>
      </c>
      <c r="B61" s="20" t="s">
        <v>476</v>
      </c>
      <c r="C61" s="20" t="s">
        <v>643</v>
      </c>
      <c r="D61" s="150">
        <v>890000</v>
      </c>
      <c r="E61" s="20" t="s">
        <v>634</v>
      </c>
      <c r="F61" s="20" t="s">
        <v>635</v>
      </c>
      <c r="G61" s="8" t="str">
        <f t="shared" si="0"/>
        <v>LOZA FIDEL</v>
      </c>
    </row>
    <row r="62" spans="1:7" x14ac:dyDescent="0.25">
      <c r="A62" s="8">
        <v>42802.277280092596</v>
      </c>
      <c r="B62" s="20" t="s">
        <v>430</v>
      </c>
      <c r="C62" s="20" t="s">
        <v>644</v>
      </c>
      <c r="D62" s="150">
        <v>900000</v>
      </c>
      <c r="E62" s="20" t="s">
        <v>484</v>
      </c>
      <c r="F62" s="20" t="s">
        <v>485</v>
      </c>
      <c r="G62" s="8" t="str">
        <f t="shared" si="0"/>
        <v>ROCHA YAOTL</v>
      </c>
    </row>
    <row r="63" spans="1:7" x14ac:dyDescent="0.25">
      <c r="A63" s="8">
        <v>42802.28528935185</v>
      </c>
      <c r="B63" s="20" t="s">
        <v>277</v>
      </c>
      <c r="C63" s="20" t="s">
        <v>645</v>
      </c>
      <c r="D63" s="150">
        <v>1100000</v>
      </c>
      <c r="E63" s="20" t="s">
        <v>609</v>
      </c>
      <c r="F63" s="20" t="s">
        <v>610</v>
      </c>
      <c r="G63" s="8" t="str">
        <f t="shared" si="0"/>
        <v>GEBRETEKLE DAGNEW</v>
      </c>
    </row>
    <row r="64" spans="1:7" x14ac:dyDescent="0.25">
      <c r="A64" s="26">
        <v>42802.288865740738</v>
      </c>
      <c r="B64" s="20" t="s">
        <v>211</v>
      </c>
      <c r="C64" s="20" t="s">
        <v>571</v>
      </c>
      <c r="D64" s="150">
        <v>1140000</v>
      </c>
      <c r="E64" s="20" t="s">
        <v>602</v>
      </c>
      <c r="F64" s="20" t="s">
        <v>603</v>
      </c>
      <c r="G64" s="8" t="str">
        <f t="shared" si="0"/>
        <v>YOUNG ELIZABETH</v>
      </c>
    </row>
    <row r="65" spans="1:7" x14ac:dyDescent="0.25">
      <c r="A65" s="8">
        <v>42802.295347222222</v>
      </c>
      <c r="B65" s="20" t="s">
        <v>575</v>
      </c>
      <c r="C65" s="20" t="s">
        <v>646</v>
      </c>
      <c r="D65" s="150">
        <v>1830000</v>
      </c>
      <c r="E65" s="20" t="s">
        <v>482</v>
      </c>
      <c r="F65" s="20" t="s">
        <v>483</v>
      </c>
      <c r="G65" s="8" t="str">
        <f t="shared" si="0"/>
        <v>YORK EDGAR</v>
      </c>
    </row>
    <row r="66" spans="1:7" x14ac:dyDescent="0.25">
      <c r="A66" s="8">
        <v>42802.296655092592</v>
      </c>
      <c r="B66" s="20" t="s">
        <v>564</v>
      </c>
      <c r="C66" s="20" t="s">
        <v>647</v>
      </c>
      <c r="D66" s="150">
        <v>940000</v>
      </c>
      <c r="E66" s="20" t="s">
        <v>480</v>
      </c>
      <c r="F66" s="20" t="s">
        <v>481</v>
      </c>
      <c r="G66" s="8" t="str">
        <f t="shared" si="0"/>
        <v>BONDS REYNALDO</v>
      </c>
    </row>
    <row r="67" spans="1:7" x14ac:dyDescent="0.25">
      <c r="A67" s="8">
        <v>42802.297708333332</v>
      </c>
      <c r="B67" s="20" t="s">
        <v>204</v>
      </c>
      <c r="C67" s="20" t="s">
        <v>572</v>
      </c>
      <c r="D67" s="150">
        <v>1360000</v>
      </c>
      <c r="E67" s="20" t="s">
        <v>444</v>
      </c>
      <c r="F67" s="20" t="s">
        <v>445</v>
      </c>
      <c r="G67" s="8" t="str">
        <f t="shared" ref="G67:G130" si="1">E67&amp;" "&amp;F67</f>
        <v>SANTIZO D. EDY</v>
      </c>
    </row>
    <row r="68" spans="1:7" x14ac:dyDescent="0.25">
      <c r="A68" s="8">
        <v>42802.299756944441</v>
      </c>
      <c r="B68" s="20" t="s">
        <v>568</v>
      </c>
      <c r="C68" s="20" t="s">
        <v>569</v>
      </c>
      <c r="D68" s="150">
        <v>1110000</v>
      </c>
      <c r="E68" s="20" t="s">
        <v>478</v>
      </c>
      <c r="F68" s="20" t="s">
        <v>479</v>
      </c>
      <c r="G68" s="8" t="str">
        <f t="shared" si="1"/>
        <v>STARKS ANGELINA</v>
      </c>
    </row>
    <row r="69" spans="1:7" x14ac:dyDescent="0.25">
      <c r="A69" s="8">
        <v>42802.305034722223</v>
      </c>
      <c r="B69" s="20" t="s">
        <v>431</v>
      </c>
      <c r="C69" s="20" t="s">
        <v>648</v>
      </c>
      <c r="D69" s="150">
        <v>890000</v>
      </c>
      <c r="E69" s="20" t="s">
        <v>634</v>
      </c>
      <c r="F69" s="20" t="s">
        <v>635</v>
      </c>
      <c r="G69" s="8" t="str">
        <f t="shared" si="1"/>
        <v>LOZA FIDEL</v>
      </c>
    </row>
    <row r="70" spans="1:7" x14ac:dyDescent="0.25">
      <c r="A70" s="8">
        <v>42802.308946759258</v>
      </c>
      <c r="B70" s="20" t="s">
        <v>450</v>
      </c>
      <c r="C70" s="20" t="s">
        <v>570</v>
      </c>
      <c r="D70" s="150">
        <v>2010000</v>
      </c>
      <c r="E70" s="20" t="s">
        <v>446</v>
      </c>
      <c r="F70" s="20" t="s">
        <v>447</v>
      </c>
      <c r="G70" s="8" t="str">
        <f t="shared" si="1"/>
        <v>MAELZER KURT</v>
      </c>
    </row>
    <row r="71" spans="1:7" x14ac:dyDescent="0.25">
      <c r="A71" s="8">
        <v>42802.310428240744</v>
      </c>
      <c r="B71" s="20" t="s">
        <v>620</v>
      </c>
      <c r="C71" s="20" t="s">
        <v>649</v>
      </c>
      <c r="D71" s="150">
        <v>1830000</v>
      </c>
      <c r="E71" s="20" t="s">
        <v>482</v>
      </c>
      <c r="F71" s="20" t="s">
        <v>483</v>
      </c>
      <c r="G71" s="8" t="str">
        <f t="shared" si="1"/>
        <v>YORK EDGAR</v>
      </c>
    </row>
    <row r="72" spans="1:7" x14ac:dyDescent="0.25">
      <c r="A72" s="8">
        <v>42802.317997685182</v>
      </c>
      <c r="B72" s="20" t="s">
        <v>476</v>
      </c>
      <c r="C72" s="20" t="s">
        <v>650</v>
      </c>
      <c r="D72" s="150">
        <v>890000</v>
      </c>
      <c r="E72" s="20" t="s">
        <v>634</v>
      </c>
      <c r="F72" s="20" t="s">
        <v>635</v>
      </c>
      <c r="G72" s="8" t="str">
        <f t="shared" si="1"/>
        <v>LOZA FIDEL</v>
      </c>
    </row>
    <row r="73" spans="1:7" x14ac:dyDescent="0.25">
      <c r="A73" s="8">
        <v>42802.319166666668</v>
      </c>
      <c r="B73" s="20" t="s">
        <v>276</v>
      </c>
      <c r="C73" s="20" t="s">
        <v>651</v>
      </c>
      <c r="D73" s="150">
        <v>1100000</v>
      </c>
      <c r="E73" s="20" t="s">
        <v>609</v>
      </c>
      <c r="F73" s="20" t="s">
        <v>610</v>
      </c>
      <c r="G73" s="8" t="str">
        <f t="shared" si="1"/>
        <v>GEBRETEKLE DAGNEW</v>
      </c>
    </row>
    <row r="74" spans="1:7" x14ac:dyDescent="0.25">
      <c r="A74" s="8">
        <v>42802.319664351853</v>
      </c>
      <c r="B74" s="20" t="s">
        <v>429</v>
      </c>
      <c r="C74" s="20" t="s">
        <v>652</v>
      </c>
      <c r="D74" s="150">
        <v>900000</v>
      </c>
      <c r="E74" s="20" t="s">
        <v>484</v>
      </c>
      <c r="F74" s="20" t="s">
        <v>485</v>
      </c>
      <c r="G74" s="8" t="str">
        <f t="shared" si="1"/>
        <v>ROCHA YAOTL</v>
      </c>
    </row>
    <row r="75" spans="1:7" x14ac:dyDescent="0.25">
      <c r="A75" s="8">
        <v>42802.322905092595</v>
      </c>
      <c r="B75" s="20" t="s">
        <v>212</v>
      </c>
      <c r="C75" s="20" t="s">
        <v>653</v>
      </c>
      <c r="D75" s="150">
        <v>1140000</v>
      </c>
      <c r="E75" s="20" t="s">
        <v>602</v>
      </c>
      <c r="F75" s="20" t="s">
        <v>603</v>
      </c>
      <c r="G75" s="8" t="str">
        <f t="shared" si="1"/>
        <v>YOUNG ELIZABETH</v>
      </c>
    </row>
    <row r="76" spans="1:7" x14ac:dyDescent="0.25">
      <c r="A76" s="8">
        <v>42802.330266203702</v>
      </c>
      <c r="B76" s="20" t="s">
        <v>573</v>
      </c>
      <c r="C76" s="20" t="s">
        <v>574</v>
      </c>
      <c r="D76" s="150">
        <v>940000</v>
      </c>
      <c r="E76" s="20" t="s">
        <v>480</v>
      </c>
      <c r="F76" s="20" t="s">
        <v>481</v>
      </c>
      <c r="G76" s="8" t="str">
        <f t="shared" si="1"/>
        <v>BONDS REYNALDO</v>
      </c>
    </row>
    <row r="77" spans="1:7" x14ac:dyDescent="0.25">
      <c r="A77" s="8">
        <v>42802.338113425925</v>
      </c>
      <c r="B77" s="20" t="s">
        <v>575</v>
      </c>
      <c r="C77" s="20" t="s">
        <v>576</v>
      </c>
      <c r="D77" s="150">
        <v>1830000</v>
      </c>
      <c r="E77" s="20" t="s">
        <v>482</v>
      </c>
      <c r="F77" s="20" t="s">
        <v>483</v>
      </c>
      <c r="G77" s="8" t="str">
        <f t="shared" si="1"/>
        <v>YORK EDGAR</v>
      </c>
    </row>
    <row r="78" spans="1:7" x14ac:dyDescent="0.25">
      <c r="A78" s="8">
        <v>42802.33935185185</v>
      </c>
      <c r="B78" s="20" t="s">
        <v>566</v>
      </c>
      <c r="C78" s="20" t="s">
        <v>654</v>
      </c>
      <c r="D78" s="150">
        <v>1110000</v>
      </c>
      <c r="E78" s="20" t="s">
        <v>478</v>
      </c>
      <c r="F78" s="20" t="s">
        <v>479</v>
      </c>
      <c r="G78" s="8" t="str">
        <f t="shared" si="1"/>
        <v>STARKS ANGELINA</v>
      </c>
    </row>
    <row r="79" spans="1:7" x14ac:dyDescent="0.25">
      <c r="A79" s="8">
        <v>42802.342569444445</v>
      </c>
      <c r="B79" s="20" t="s">
        <v>439</v>
      </c>
      <c r="C79" s="20" t="s">
        <v>655</v>
      </c>
      <c r="D79" s="150">
        <v>1360000</v>
      </c>
      <c r="E79" s="20" t="s">
        <v>444</v>
      </c>
      <c r="F79" s="20" t="s">
        <v>445</v>
      </c>
      <c r="G79" s="8" t="str">
        <f t="shared" si="1"/>
        <v>SANTIZO D. EDY</v>
      </c>
    </row>
    <row r="80" spans="1:7" x14ac:dyDescent="0.25">
      <c r="A80" s="8">
        <v>42802.345682870371</v>
      </c>
      <c r="B80" s="20" t="s">
        <v>449</v>
      </c>
      <c r="C80" s="20" t="s">
        <v>656</v>
      </c>
      <c r="D80" s="150">
        <v>2010000</v>
      </c>
      <c r="E80" s="20" t="s">
        <v>446</v>
      </c>
      <c r="F80" s="20" t="s">
        <v>447</v>
      </c>
      <c r="G80" s="8" t="str">
        <f t="shared" si="1"/>
        <v>MAELZER KURT</v>
      </c>
    </row>
    <row r="81" spans="1:7" x14ac:dyDescent="0.25">
      <c r="A81" s="8">
        <v>42802.34746527778</v>
      </c>
      <c r="B81" s="20" t="s">
        <v>431</v>
      </c>
      <c r="C81" s="20" t="s">
        <v>657</v>
      </c>
      <c r="D81" s="150">
        <v>890000</v>
      </c>
      <c r="E81" s="20" t="s">
        <v>634</v>
      </c>
      <c r="F81" s="20" t="s">
        <v>635</v>
      </c>
      <c r="G81" s="8" t="str">
        <f t="shared" si="1"/>
        <v>LOZA FIDEL</v>
      </c>
    </row>
    <row r="82" spans="1:7" x14ac:dyDescent="0.25">
      <c r="A82" s="8">
        <v>42802.352256944447</v>
      </c>
      <c r="B82" s="20" t="s">
        <v>620</v>
      </c>
      <c r="C82" s="20" t="s">
        <v>658</v>
      </c>
      <c r="D82" s="150">
        <v>1830000</v>
      </c>
      <c r="E82" s="20" t="s">
        <v>482</v>
      </c>
      <c r="F82" s="20" t="s">
        <v>483</v>
      </c>
      <c r="G82" s="8" t="str">
        <f t="shared" si="1"/>
        <v>YORK EDGAR</v>
      </c>
    </row>
    <row r="83" spans="1:7" x14ac:dyDescent="0.25">
      <c r="A83" s="8">
        <v>42802.352256944447</v>
      </c>
      <c r="B83" s="20" t="s">
        <v>430</v>
      </c>
      <c r="C83" s="20" t="s">
        <v>659</v>
      </c>
      <c r="D83" s="150">
        <v>900000</v>
      </c>
      <c r="E83" s="20" t="s">
        <v>484</v>
      </c>
      <c r="F83" s="20" t="s">
        <v>485</v>
      </c>
      <c r="G83" s="8" t="str">
        <f t="shared" si="1"/>
        <v>ROCHA YAOTL</v>
      </c>
    </row>
    <row r="84" spans="1:7" x14ac:dyDescent="0.25">
      <c r="A84" s="8">
        <v>42802.357430555552</v>
      </c>
      <c r="B84" s="20" t="s">
        <v>277</v>
      </c>
      <c r="C84" s="20" t="s">
        <v>660</v>
      </c>
      <c r="D84" s="150">
        <v>1100000</v>
      </c>
      <c r="E84" s="20" t="s">
        <v>609</v>
      </c>
      <c r="F84" s="20" t="s">
        <v>610</v>
      </c>
      <c r="G84" s="8" t="str">
        <f t="shared" si="1"/>
        <v>GEBRETEKLE DAGNEW</v>
      </c>
    </row>
    <row r="85" spans="1:7" x14ac:dyDescent="0.25">
      <c r="A85" s="8">
        <v>42802.358993055554</v>
      </c>
      <c r="B85" s="20" t="s">
        <v>476</v>
      </c>
      <c r="C85" s="20" t="s">
        <v>661</v>
      </c>
      <c r="D85" s="150">
        <v>890000</v>
      </c>
      <c r="E85" s="20" t="s">
        <v>634</v>
      </c>
      <c r="F85" s="20" t="s">
        <v>635</v>
      </c>
      <c r="G85" s="8" t="str">
        <f t="shared" si="1"/>
        <v>LOZA FIDEL</v>
      </c>
    </row>
    <row r="86" spans="1:7" x14ac:dyDescent="0.25">
      <c r="A86" s="8">
        <v>42802.362615740742</v>
      </c>
      <c r="B86" s="20" t="s">
        <v>211</v>
      </c>
      <c r="C86" s="20" t="s">
        <v>577</v>
      </c>
      <c r="D86" s="150">
        <v>1140000</v>
      </c>
      <c r="E86" s="20" t="s">
        <v>602</v>
      </c>
      <c r="F86" s="20" t="s">
        <v>603</v>
      </c>
      <c r="G86" s="8" t="str">
        <f t="shared" si="1"/>
        <v>YOUNG ELIZABETH</v>
      </c>
    </row>
    <row r="87" spans="1:7" x14ac:dyDescent="0.25">
      <c r="A87" s="8">
        <v>42802.370173611111</v>
      </c>
      <c r="B87" s="20" t="s">
        <v>564</v>
      </c>
      <c r="C87" s="20" t="s">
        <v>578</v>
      </c>
      <c r="D87" s="150">
        <v>940000</v>
      </c>
      <c r="E87" s="20" t="s">
        <v>480</v>
      </c>
      <c r="F87" s="20" t="s">
        <v>481</v>
      </c>
      <c r="G87" s="8" t="str">
        <f t="shared" si="1"/>
        <v>BONDS REYNALDO</v>
      </c>
    </row>
    <row r="88" spans="1:7" x14ac:dyDescent="0.25">
      <c r="A88" s="8">
        <v>42802.371828703705</v>
      </c>
      <c r="B88" s="20" t="s">
        <v>204</v>
      </c>
      <c r="C88" s="20" t="s">
        <v>662</v>
      </c>
      <c r="D88" s="150">
        <v>1360000</v>
      </c>
      <c r="E88" s="20" t="s">
        <v>444</v>
      </c>
      <c r="F88" s="20" t="s">
        <v>445</v>
      </c>
      <c r="G88" s="8" t="str">
        <f t="shared" si="1"/>
        <v>SANTIZO D. EDY</v>
      </c>
    </row>
    <row r="89" spans="1:7" x14ac:dyDescent="0.25">
      <c r="A89" s="8">
        <v>42802.372812499998</v>
      </c>
      <c r="B89" s="20" t="s">
        <v>568</v>
      </c>
      <c r="C89" s="20" t="s">
        <v>663</v>
      </c>
      <c r="D89" s="150">
        <v>1110000</v>
      </c>
      <c r="E89" s="20" t="s">
        <v>478</v>
      </c>
      <c r="F89" s="20" t="s">
        <v>479</v>
      </c>
      <c r="G89" s="8" t="str">
        <f t="shared" si="1"/>
        <v>STARKS ANGELINA</v>
      </c>
    </row>
    <row r="90" spans="1:7" x14ac:dyDescent="0.25">
      <c r="A90" s="8">
        <v>42802.382384259261</v>
      </c>
      <c r="B90" s="20" t="s">
        <v>450</v>
      </c>
      <c r="C90" s="20" t="s">
        <v>664</v>
      </c>
      <c r="D90" s="150">
        <v>2010000</v>
      </c>
      <c r="E90" s="20" t="s">
        <v>446</v>
      </c>
      <c r="F90" s="20" t="s">
        <v>447</v>
      </c>
      <c r="G90" s="8" t="str">
        <f t="shared" si="1"/>
        <v>MAELZER KURT</v>
      </c>
    </row>
    <row r="91" spans="1:7" x14ac:dyDescent="0.25">
      <c r="A91" s="8">
        <v>42802.38826388889</v>
      </c>
      <c r="B91" s="20" t="s">
        <v>431</v>
      </c>
      <c r="C91" s="20" t="s">
        <v>665</v>
      </c>
      <c r="D91" s="150">
        <v>890000</v>
      </c>
      <c r="E91" s="20" t="s">
        <v>634</v>
      </c>
      <c r="F91" s="20" t="s">
        <v>635</v>
      </c>
      <c r="G91" s="8" t="str">
        <f t="shared" si="1"/>
        <v>LOZA FIDEL</v>
      </c>
    </row>
    <row r="92" spans="1:7" x14ac:dyDescent="0.25">
      <c r="A92" s="8">
        <v>42802.391458333332</v>
      </c>
      <c r="B92" s="20" t="s">
        <v>276</v>
      </c>
      <c r="C92" s="20" t="s">
        <v>666</v>
      </c>
      <c r="D92" s="150">
        <v>1100000</v>
      </c>
      <c r="E92" s="20" t="s">
        <v>609</v>
      </c>
      <c r="F92" s="20" t="s">
        <v>610</v>
      </c>
      <c r="G92" s="8" t="str">
        <f t="shared" si="1"/>
        <v>GEBRETEKLE DAGNEW</v>
      </c>
    </row>
    <row r="93" spans="1:7" x14ac:dyDescent="0.25">
      <c r="A93" s="8">
        <v>42802.392592592594</v>
      </c>
      <c r="B93" s="20" t="s">
        <v>429</v>
      </c>
      <c r="C93" s="20" t="s">
        <v>579</v>
      </c>
      <c r="D93" s="150">
        <v>900000</v>
      </c>
      <c r="E93" s="20" t="s">
        <v>484</v>
      </c>
      <c r="F93" s="20" t="s">
        <v>485</v>
      </c>
      <c r="G93" s="8" t="str">
        <f t="shared" si="1"/>
        <v>ROCHA YAOTL</v>
      </c>
    </row>
    <row r="94" spans="1:7" x14ac:dyDescent="0.25">
      <c r="A94" s="8">
        <v>42802.393842592595</v>
      </c>
      <c r="B94" s="20" t="s">
        <v>212</v>
      </c>
      <c r="C94" s="20" t="s">
        <v>667</v>
      </c>
      <c r="D94" s="150">
        <v>1140000</v>
      </c>
      <c r="E94" s="20" t="s">
        <v>602</v>
      </c>
      <c r="F94" s="20" t="s">
        <v>603</v>
      </c>
      <c r="G94" s="8" t="str">
        <f t="shared" si="1"/>
        <v>YOUNG ELIZABETH</v>
      </c>
    </row>
    <row r="95" spans="1:7" x14ac:dyDescent="0.25">
      <c r="A95" s="8">
        <v>42802.400451388887</v>
      </c>
      <c r="B95" s="20" t="s">
        <v>476</v>
      </c>
      <c r="C95" s="20" t="s">
        <v>668</v>
      </c>
      <c r="D95" s="150">
        <v>890000</v>
      </c>
      <c r="E95" s="20" t="s">
        <v>634</v>
      </c>
      <c r="F95" s="20" t="s">
        <v>635</v>
      </c>
      <c r="G95" s="8" t="str">
        <f t="shared" si="1"/>
        <v>LOZA FIDEL</v>
      </c>
    </row>
    <row r="96" spans="1:7" x14ac:dyDescent="0.25">
      <c r="A96" s="8">
        <v>42802.403738425928</v>
      </c>
      <c r="B96" s="20" t="s">
        <v>573</v>
      </c>
      <c r="C96" s="20" t="s">
        <v>669</v>
      </c>
      <c r="D96" s="150">
        <v>940000</v>
      </c>
      <c r="E96" s="20" t="s">
        <v>480</v>
      </c>
      <c r="F96" s="20" t="s">
        <v>481</v>
      </c>
      <c r="G96" s="8" t="str">
        <f t="shared" si="1"/>
        <v>BONDS REYNALDO</v>
      </c>
    </row>
    <row r="97" spans="1:7" x14ac:dyDescent="0.25">
      <c r="A97" s="8">
        <v>42802.410937499997</v>
      </c>
      <c r="B97" s="20" t="s">
        <v>566</v>
      </c>
      <c r="C97" s="20" t="s">
        <v>670</v>
      </c>
      <c r="D97" s="150">
        <v>1110000</v>
      </c>
      <c r="E97" s="20" t="s">
        <v>478</v>
      </c>
      <c r="F97" s="20" t="s">
        <v>479</v>
      </c>
      <c r="G97" s="8" t="str">
        <f t="shared" si="1"/>
        <v>STARKS ANGELINA</v>
      </c>
    </row>
    <row r="98" spans="1:7" x14ac:dyDescent="0.25">
      <c r="A98" s="8">
        <v>42802.413402777776</v>
      </c>
      <c r="B98" s="20" t="s">
        <v>439</v>
      </c>
      <c r="C98" s="20" t="s">
        <v>671</v>
      </c>
      <c r="D98" s="150">
        <v>1360000</v>
      </c>
      <c r="E98" s="20" t="s">
        <v>444</v>
      </c>
      <c r="F98" s="20" t="s">
        <v>445</v>
      </c>
      <c r="G98" s="8" t="str">
        <f t="shared" si="1"/>
        <v>SANTIZO D. EDY</v>
      </c>
    </row>
    <row r="99" spans="1:7" x14ac:dyDescent="0.25">
      <c r="A99" s="8">
        <v>42802.41605324074</v>
      </c>
      <c r="B99" s="20" t="s">
        <v>449</v>
      </c>
      <c r="C99" s="20" t="s">
        <v>672</v>
      </c>
      <c r="D99" s="150">
        <v>2010000</v>
      </c>
      <c r="E99" s="20" t="s">
        <v>446</v>
      </c>
      <c r="F99" s="20" t="s">
        <v>447</v>
      </c>
      <c r="G99" s="8" t="str">
        <f t="shared" si="1"/>
        <v>MAELZER KURT</v>
      </c>
    </row>
    <row r="100" spans="1:7" x14ac:dyDescent="0.25">
      <c r="A100" s="8">
        <v>42802.426446759258</v>
      </c>
      <c r="B100" s="20" t="s">
        <v>430</v>
      </c>
      <c r="C100" s="20" t="s">
        <v>673</v>
      </c>
      <c r="D100" s="150">
        <v>900000</v>
      </c>
      <c r="E100" s="20" t="s">
        <v>484</v>
      </c>
      <c r="F100" s="20" t="s">
        <v>485</v>
      </c>
      <c r="G100" s="8" t="str">
        <f t="shared" si="1"/>
        <v>ROCHA YAOTL</v>
      </c>
    </row>
    <row r="101" spans="1:7" x14ac:dyDescent="0.25">
      <c r="A101" s="8">
        <v>42802.428981481484</v>
      </c>
      <c r="B101" s="20" t="s">
        <v>431</v>
      </c>
      <c r="C101" s="20" t="s">
        <v>674</v>
      </c>
      <c r="D101" s="150">
        <v>890000</v>
      </c>
      <c r="E101" s="20" t="s">
        <v>634</v>
      </c>
      <c r="F101" s="20" t="s">
        <v>635</v>
      </c>
      <c r="G101" s="8" t="str">
        <f t="shared" si="1"/>
        <v>LOZA FIDEL</v>
      </c>
    </row>
    <row r="102" spans="1:7" x14ac:dyDescent="0.25">
      <c r="A102" s="8">
        <v>42802.429594907408</v>
      </c>
      <c r="B102" s="20" t="s">
        <v>277</v>
      </c>
      <c r="C102" s="20" t="s">
        <v>675</v>
      </c>
      <c r="D102" s="150">
        <v>1100000</v>
      </c>
      <c r="E102" s="20" t="s">
        <v>609</v>
      </c>
      <c r="F102" s="20" t="s">
        <v>610</v>
      </c>
      <c r="G102" s="8" t="str">
        <f t="shared" si="1"/>
        <v>GEBRETEKLE DAGNEW</v>
      </c>
    </row>
    <row r="103" spans="1:7" x14ac:dyDescent="0.25">
      <c r="A103" s="8">
        <v>42802.430717592593</v>
      </c>
      <c r="B103" s="20" t="s">
        <v>440</v>
      </c>
      <c r="C103" s="20" t="s">
        <v>676</v>
      </c>
      <c r="D103" s="150">
        <v>1340000</v>
      </c>
      <c r="E103" s="20" t="s">
        <v>677</v>
      </c>
      <c r="F103" s="20" t="s">
        <v>678</v>
      </c>
      <c r="G103" s="8" t="str">
        <f t="shared" si="1"/>
        <v>BEAM ROSS</v>
      </c>
    </row>
    <row r="104" spans="1:7" x14ac:dyDescent="0.25">
      <c r="A104" s="8">
        <v>42802.442384259259</v>
      </c>
      <c r="B104" s="20" t="s">
        <v>564</v>
      </c>
      <c r="C104" s="20" t="s">
        <v>679</v>
      </c>
      <c r="D104" s="150">
        <v>940000</v>
      </c>
      <c r="E104" s="20" t="s">
        <v>480</v>
      </c>
      <c r="F104" s="20" t="s">
        <v>481</v>
      </c>
      <c r="G104" s="8" t="str">
        <f t="shared" si="1"/>
        <v>BONDS REYNALDO</v>
      </c>
    </row>
    <row r="105" spans="1:7" x14ac:dyDescent="0.25">
      <c r="A105" s="8">
        <v>42802.442499999997</v>
      </c>
      <c r="B105" s="20" t="s">
        <v>476</v>
      </c>
      <c r="C105" s="20" t="s">
        <v>680</v>
      </c>
      <c r="D105" s="150">
        <v>890000</v>
      </c>
      <c r="E105" s="20" t="s">
        <v>634</v>
      </c>
      <c r="F105" s="20" t="s">
        <v>635</v>
      </c>
      <c r="G105" s="8" t="str">
        <f t="shared" si="1"/>
        <v>LOZA FIDEL</v>
      </c>
    </row>
    <row r="106" spans="1:7" x14ac:dyDescent="0.25">
      <c r="A106" s="8">
        <v>42802.443668981483</v>
      </c>
      <c r="B106" s="20" t="s">
        <v>204</v>
      </c>
      <c r="C106" s="20" t="s">
        <v>681</v>
      </c>
      <c r="D106" s="150">
        <v>1360000</v>
      </c>
      <c r="E106" s="20" t="s">
        <v>444</v>
      </c>
      <c r="F106" s="20" t="s">
        <v>445</v>
      </c>
      <c r="G106" s="8" t="str">
        <f t="shared" si="1"/>
        <v>SANTIZO D. EDY</v>
      </c>
    </row>
    <row r="107" spans="1:7" x14ac:dyDescent="0.25">
      <c r="A107" s="8">
        <v>42802.444652777776</v>
      </c>
      <c r="B107" s="20" t="s">
        <v>568</v>
      </c>
      <c r="C107" s="20" t="s">
        <v>682</v>
      </c>
      <c r="D107" s="150">
        <v>1110000</v>
      </c>
      <c r="E107" s="20" t="s">
        <v>478</v>
      </c>
      <c r="F107" s="20" t="s">
        <v>479</v>
      </c>
      <c r="G107" s="8" t="str">
        <f t="shared" si="1"/>
        <v>STARKS ANGELINA</v>
      </c>
    </row>
    <row r="108" spans="1:7" x14ac:dyDescent="0.25">
      <c r="A108" s="8">
        <v>42802.454155092593</v>
      </c>
      <c r="B108" s="20" t="s">
        <v>450</v>
      </c>
      <c r="C108" s="20" t="s">
        <v>683</v>
      </c>
      <c r="D108" s="150">
        <v>930000</v>
      </c>
      <c r="E108" s="20" t="s">
        <v>486</v>
      </c>
      <c r="F108" s="20" t="s">
        <v>487</v>
      </c>
      <c r="G108" s="8" t="str">
        <f t="shared" si="1"/>
        <v>CLARK KATHLEEN</v>
      </c>
    </row>
    <row r="109" spans="1:7" x14ac:dyDescent="0.25">
      <c r="A109" s="8">
        <v>42802.457256944443</v>
      </c>
      <c r="B109" s="20" t="s">
        <v>431</v>
      </c>
      <c r="C109" s="20" t="s">
        <v>684</v>
      </c>
      <c r="D109" s="150">
        <v>890000</v>
      </c>
      <c r="E109" s="20" t="s">
        <v>634</v>
      </c>
      <c r="F109" s="20" t="s">
        <v>635</v>
      </c>
      <c r="G109" s="8" t="str">
        <f t="shared" si="1"/>
        <v>LOZA FIDEL</v>
      </c>
    </row>
    <row r="110" spans="1:7" x14ac:dyDescent="0.25">
      <c r="A110" s="8">
        <v>42802.458912037036</v>
      </c>
      <c r="B110" s="20" t="s">
        <v>431</v>
      </c>
      <c r="C110" s="20" t="s">
        <v>684</v>
      </c>
      <c r="D110" s="150">
        <v>890000</v>
      </c>
      <c r="E110" s="20" t="s">
        <v>634</v>
      </c>
      <c r="F110" s="20" t="s">
        <v>635</v>
      </c>
      <c r="G110" s="8" t="str">
        <f t="shared" si="1"/>
        <v>LOZA FIDEL</v>
      </c>
    </row>
    <row r="111" spans="1:7" x14ac:dyDescent="0.25">
      <c r="A111" s="8">
        <v>42802.459629629629</v>
      </c>
      <c r="B111" s="20" t="s">
        <v>580</v>
      </c>
      <c r="C111" s="20" t="s">
        <v>581</v>
      </c>
      <c r="D111" s="150">
        <v>1780000</v>
      </c>
      <c r="E111" s="20" t="s">
        <v>685</v>
      </c>
      <c r="F111" s="20" t="s">
        <v>686</v>
      </c>
      <c r="G111" s="8" t="str">
        <f t="shared" si="1"/>
        <v>DE LA ROSA ALEX</v>
      </c>
    </row>
    <row r="112" spans="1:7" x14ac:dyDescent="0.25">
      <c r="A112" s="8">
        <v>42802.46503472222</v>
      </c>
      <c r="B112" s="20" t="s">
        <v>276</v>
      </c>
      <c r="C112" s="20" t="s">
        <v>687</v>
      </c>
      <c r="D112" s="150">
        <v>920000</v>
      </c>
      <c r="E112" s="20" t="s">
        <v>448</v>
      </c>
      <c r="F112" s="20" t="s">
        <v>200</v>
      </c>
      <c r="G112" s="8" t="str">
        <f t="shared" si="1"/>
        <v>DAVIS MICHAEL</v>
      </c>
    </row>
    <row r="113" spans="1:7" x14ac:dyDescent="0.25">
      <c r="A113" s="8">
        <v>42802.465358796297</v>
      </c>
      <c r="B113" s="20" t="s">
        <v>429</v>
      </c>
      <c r="C113" s="20" t="s">
        <v>688</v>
      </c>
      <c r="D113" s="150">
        <v>900000</v>
      </c>
      <c r="E113" s="20" t="s">
        <v>484</v>
      </c>
      <c r="F113" s="20" t="s">
        <v>485</v>
      </c>
      <c r="G113" s="8" t="str">
        <f t="shared" si="1"/>
        <v>ROCHA YAOTL</v>
      </c>
    </row>
    <row r="114" spans="1:7" x14ac:dyDescent="0.25">
      <c r="A114" s="8">
        <v>42802.470902777779</v>
      </c>
      <c r="B114" s="20" t="s">
        <v>431</v>
      </c>
      <c r="C114" s="20" t="s">
        <v>684</v>
      </c>
      <c r="D114" s="150">
        <v>890000</v>
      </c>
      <c r="E114" s="20" t="s">
        <v>634</v>
      </c>
      <c r="F114" s="20" t="s">
        <v>635</v>
      </c>
      <c r="G114" s="8" t="str">
        <f t="shared" si="1"/>
        <v>LOZA FIDEL</v>
      </c>
    </row>
    <row r="115" spans="1:7" x14ac:dyDescent="0.25">
      <c r="A115" s="8">
        <v>42802.472268518519</v>
      </c>
      <c r="B115" s="20" t="s">
        <v>286</v>
      </c>
      <c r="C115" s="20" t="s">
        <v>689</v>
      </c>
      <c r="D115" s="150">
        <v>1340000</v>
      </c>
      <c r="E115" s="20" t="s">
        <v>677</v>
      </c>
      <c r="F115" s="20" t="s">
        <v>678</v>
      </c>
      <c r="G115" s="8" t="str">
        <f t="shared" si="1"/>
        <v>BEAM ROSS</v>
      </c>
    </row>
    <row r="116" spans="1:7" x14ac:dyDescent="0.25">
      <c r="A116" s="8">
        <v>42802.47415509259</v>
      </c>
      <c r="B116" s="20" t="s">
        <v>431</v>
      </c>
      <c r="C116" s="20" t="s">
        <v>684</v>
      </c>
      <c r="D116" s="150">
        <v>890000</v>
      </c>
      <c r="E116" s="20" t="s">
        <v>634</v>
      </c>
      <c r="F116" s="20" t="s">
        <v>635</v>
      </c>
      <c r="G116" s="8" t="str">
        <f t="shared" si="1"/>
        <v>LOZA FIDEL</v>
      </c>
    </row>
    <row r="117" spans="1:7" x14ac:dyDescent="0.25">
      <c r="A117" s="8">
        <v>42802.476145833331</v>
      </c>
      <c r="B117" s="20" t="s">
        <v>566</v>
      </c>
      <c r="C117" s="20" t="s">
        <v>690</v>
      </c>
      <c r="D117" s="150">
        <v>1110000</v>
      </c>
      <c r="E117" s="20" t="s">
        <v>478</v>
      </c>
      <c r="F117" s="20" t="s">
        <v>479</v>
      </c>
      <c r="G117" s="8" t="str">
        <f t="shared" si="1"/>
        <v>STARKS ANGELINA</v>
      </c>
    </row>
    <row r="118" spans="1:7" x14ac:dyDescent="0.25">
      <c r="A118" s="8">
        <v>42802.476365740738</v>
      </c>
      <c r="B118" s="20" t="s">
        <v>573</v>
      </c>
      <c r="C118" s="20" t="s">
        <v>691</v>
      </c>
      <c r="D118" s="150">
        <v>1180000</v>
      </c>
      <c r="E118" s="20" t="s">
        <v>488</v>
      </c>
      <c r="F118" s="20" t="s">
        <v>489</v>
      </c>
      <c r="G118" s="8" t="str">
        <f t="shared" si="1"/>
        <v>LEVERE CRAIG</v>
      </c>
    </row>
    <row r="119" spans="1:7" x14ac:dyDescent="0.25">
      <c r="A119" s="8">
        <v>42802.484722222223</v>
      </c>
      <c r="B119" s="20" t="s">
        <v>476</v>
      </c>
      <c r="C119" s="20" t="s">
        <v>692</v>
      </c>
      <c r="D119" s="150">
        <v>890000</v>
      </c>
      <c r="E119" s="20" t="s">
        <v>634</v>
      </c>
      <c r="F119" s="20" t="s">
        <v>635</v>
      </c>
      <c r="G119" s="8" t="str">
        <f t="shared" si="1"/>
        <v>LOZA FIDEL</v>
      </c>
    </row>
    <row r="120" spans="1:7" x14ac:dyDescent="0.25">
      <c r="A120" s="8">
        <v>42802.485949074071</v>
      </c>
      <c r="B120" s="20" t="s">
        <v>439</v>
      </c>
      <c r="C120" s="20" t="s">
        <v>693</v>
      </c>
      <c r="D120" s="150">
        <v>1540000</v>
      </c>
      <c r="E120" s="20" t="s">
        <v>694</v>
      </c>
      <c r="F120" s="20" t="s">
        <v>695</v>
      </c>
      <c r="G120" s="8" t="str">
        <f t="shared" si="1"/>
        <v>HELVIE ADAM</v>
      </c>
    </row>
    <row r="121" spans="1:7" x14ac:dyDescent="0.25">
      <c r="A121" s="8">
        <v>42802.488310185188</v>
      </c>
      <c r="B121" s="20" t="s">
        <v>696</v>
      </c>
      <c r="C121" s="20" t="s">
        <v>697</v>
      </c>
      <c r="D121" s="150">
        <v>940000</v>
      </c>
      <c r="E121" s="20" t="s">
        <v>480</v>
      </c>
      <c r="F121" s="20" t="s">
        <v>481</v>
      </c>
      <c r="G121" s="8" t="str">
        <f t="shared" si="1"/>
        <v>BONDS REYNALDO</v>
      </c>
    </row>
    <row r="122" spans="1:7" x14ac:dyDescent="0.25">
      <c r="A122" s="8">
        <v>42802.493634259263</v>
      </c>
      <c r="B122" s="25" t="s">
        <v>449</v>
      </c>
      <c r="C122" s="20" t="s">
        <v>698</v>
      </c>
      <c r="D122" s="150">
        <v>930000</v>
      </c>
      <c r="E122" s="20" t="s">
        <v>486</v>
      </c>
      <c r="F122" s="20" t="s">
        <v>487</v>
      </c>
      <c r="G122" s="8" t="str">
        <f t="shared" si="1"/>
        <v>CLARK KATHLEEN</v>
      </c>
    </row>
    <row r="123" spans="1:7" x14ac:dyDescent="0.25">
      <c r="A123" s="8">
        <v>42802.497083333335</v>
      </c>
      <c r="B123" s="20" t="s">
        <v>430</v>
      </c>
      <c r="C123" s="20" t="s">
        <v>699</v>
      </c>
      <c r="D123" s="150">
        <v>1120000</v>
      </c>
      <c r="E123" s="20" t="s">
        <v>270</v>
      </c>
      <c r="F123" s="20" t="s">
        <v>271</v>
      </c>
      <c r="G123" s="8" t="str">
        <f t="shared" si="1"/>
        <v>LOCKLEAR TRAVIS</v>
      </c>
    </row>
    <row r="124" spans="1:7" x14ac:dyDescent="0.25">
      <c r="A124" s="8">
        <v>42802.501701388886</v>
      </c>
      <c r="B124" s="20" t="s">
        <v>431</v>
      </c>
      <c r="C124" s="20" t="s">
        <v>700</v>
      </c>
      <c r="D124" s="150">
        <v>890000</v>
      </c>
      <c r="E124" s="20" t="s">
        <v>634</v>
      </c>
      <c r="F124" s="20" t="s">
        <v>635</v>
      </c>
      <c r="G124" s="8" t="str">
        <f t="shared" si="1"/>
        <v>LOZA FIDEL</v>
      </c>
    </row>
    <row r="125" spans="1:7" x14ac:dyDescent="0.25">
      <c r="A125" s="8">
        <v>42802.50708333333</v>
      </c>
      <c r="B125" s="20" t="s">
        <v>277</v>
      </c>
      <c r="C125" s="20" t="s">
        <v>701</v>
      </c>
      <c r="D125" s="150">
        <v>920000</v>
      </c>
      <c r="E125" s="20" t="s">
        <v>448</v>
      </c>
      <c r="F125" s="20" t="s">
        <v>200</v>
      </c>
      <c r="G125" s="8" t="str">
        <f t="shared" si="1"/>
        <v>DAVIS MICHAEL</v>
      </c>
    </row>
    <row r="126" spans="1:7" x14ac:dyDescent="0.25">
      <c r="A126" s="8">
        <v>42802.508402777778</v>
      </c>
      <c r="B126" s="20" t="s">
        <v>440</v>
      </c>
      <c r="C126" s="20" t="s">
        <v>702</v>
      </c>
      <c r="D126" s="150">
        <v>1300000</v>
      </c>
      <c r="E126" s="20" t="s">
        <v>453</v>
      </c>
      <c r="F126" s="20" t="s">
        <v>454</v>
      </c>
      <c r="G126" s="8" t="str">
        <f t="shared" si="1"/>
        <v>LEVIN SCOTT</v>
      </c>
    </row>
    <row r="127" spans="1:7" x14ac:dyDescent="0.25">
      <c r="A127" s="8">
        <v>42802.51363425926</v>
      </c>
      <c r="B127" s="20" t="s">
        <v>564</v>
      </c>
      <c r="C127" s="20" t="s">
        <v>703</v>
      </c>
      <c r="D127" s="150">
        <v>1180000</v>
      </c>
      <c r="E127" s="20" t="s">
        <v>488</v>
      </c>
      <c r="F127" s="20" t="s">
        <v>489</v>
      </c>
      <c r="G127" s="8" t="str">
        <f t="shared" si="1"/>
        <v>LEVERE CRAIG</v>
      </c>
    </row>
    <row r="128" spans="1:7" x14ac:dyDescent="0.25">
      <c r="A128" s="8">
        <v>42802.518796296295</v>
      </c>
      <c r="B128" s="20" t="s">
        <v>568</v>
      </c>
      <c r="C128" s="20" t="s">
        <v>704</v>
      </c>
      <c r="D128" s="150">
        <v>1190000</v>
      </c>
      <c r="E128" s="20" t="s">
        <v>705</v>
      </c>
      <c r="F128" s="20" t="s">
        <v>706</v>
      </c>
      <c r="G128" s="8" t="str">
        <f t="shared" si="1"/>
        <v>BRANNON JEFFREY</v>
      </c>
    </row>
    <row r="129" spans="1:7" x14ac:dyDescent="0.25">
      <c r="A129" s="8">
        <v>42802.525856481479</v>
      </c>
      <c r="B129" s="20" t="s">
        <v>204</v>
      </c>
      <c r="C129" s="20" t="s">
        <v>707</v>
      </c>
      <c r="D129" s="150">
        <v>1540000</v>
      </c>
      <c r="E129" s="20" t="s">
        <v>694</v>
      </c>
      <c r="F129" s="20" t="s">
        <v>695</v>
      </c>
      <c r="G129" s="8" t="str">
        <f t="shared" si="1"/>
        <v>HELVIE ADAM</v>
      </c>
    </row>
    <row r="130" spans="1:7" x14ac:dyDescent="0.25">
      <c r="A130" s="8">
        <v>42802.526006944441</v>
      </c>
      <c r="B130" s="20" t="s">
        <v>476</v>
      </c>
      <c r="C130" s="20" t="s">
        <v>708</v>
      </c>
      <c r="D130" s="150">
        <v>890000</v>
      </c>
      <c r="E130" s="20" t="s">
        <v>634</v>
      </c>
      <c r="F130" s="20" t="s">
        <v>635</v>
      </c>
      <c r="G130" s="8" t="str">
        <f t="shared" si="1"/>
        <v>LOZA FIDEL</v>
      </c>
    </row>
    <row r="131" spans="1:7" x14ac:dyDescent="0.25">
      <c r="A131" s="8">
        <v>42802.528252314813</v>
      </c>
      <c r="B131" s="20" t="s">
        <v>450</v>
      </c>
      <c r="C131" s="20" t="s">
        <v>582</v>
      </c>
      <c r="D131" s="150">
        <v>1760000</v>
      </c>
      <c r="E131" s="20" t="s">
        <v>709</v>
      </c>
      <c r="F131" s="20" t="s">
        <v>710</v>
      </c>
      <c r="G131" s="8" t="str">
        <f t="shared" ref="G131:G194" si="2">E131&amp;" "&amp;F131</f>
        <v>STRICKLAND EVAN</v>
      </c>
    </row>
    <row r="132" spans="1:7" x14ac:dyDescent="0.25">
      <c r="A132" s="8">
        <v>42802.537499999999</v>
      </c>
      <c r="B132" s="20" t="s">
        <v>429</v>
      </c>
      <c r="C132" s="20" t="s">
        <v>583</v>
      </c>
      <c r="D132" s="150">
        <v>1120000</v>
      </c>
      <c r="E132" s="20" t="s">
        <v>270</v>
      </c>
      <c r="F132" s="20" t="s">
        <v>271</v>
      </c>
      <c r="G132" s="8" t="str">
        <f t="shared" si="2"/>
        <v>LOCKLEAR TRAVIS</v>
      </c>
    </row>
    <row r="133" spans="1:7" x14ac:dyDescent="0.25">
      <c r="A133" s="8">
        <v>42802.538645833331</v>
      </c>
      <c r="B133" s="20" t="s">
        <v>204</v>
      </c>
      <c r="C133" s="20" t="s">
        <v>707</v>
      </c>
      <c r="D133" s="150">
        <v>1540000</v>
      </c>
      <c r="E133" s="20" t="s">
        <v>694</v>
      </c>
      <c r="F133" s="20" t="s">
        <v>695</v>
      </c>
      <c r="G133" s="8" t="str">
        <f t="shared" si="2"/>
        <v>HELVIE ADAM</v>
      </c>
    </row>
    <row r="134" spans="1:7" x14ac:dyDescent="0.25">
      <c r="A134" s="8">
        <v>42802.539664351854</v>
      </c>
      <c r="B134" s="20" t="s">
        <v>276</v>
      </c>
      <c r="C134" s="20" t="s">
        <v>711</v>
      </c>
      <c r="D134" s="150">
        <v>920000</v>
      </c>
      <c r="E134" s="20" t="s">
        <v>448</v>
      </c>
      <c r="F134" s="20" t="s">
        <v>200</v>
      </c>
      <c r="G134" s="8" t="str">
        <f t="shared" si="2"/>
        <v>DAVIS MICHAEL</v>
      </c>
    </row>
    <row r="135" spans="1:7" x14ac:dyDescent="0.25">
      <c r="A135" s="8">
        <v>42802.543553240743</v>
      </c>
      <c r="B135" s="20" t="s">
        <v>286</v>
      </c>
      <c r="C135" s="20" t="s">
        <v>712</v>
      </c>
      <c r="D135" s="150">
        <v>1300000</v>
      </c>
      <c r="E135" s="20" t="s">
        <v>453</v>
      </c>
      <c r="F135" s="20" t="s">
        <v>454</v>
      </c>
      <c r="G135" s="8" t="str">
        <f t="shared" si="2"/>
        <v>LEVIN SCOTT</v>
      </c>
    </row>
    <row r="136" spans="1:7" x14ac:dyDescent="0.25">
      <c r="A136" s="8">
        <v>42802.548171296294</v>
      </c>
      <c r="B136" s="20" t="s">
        <v>431</v>
      </c>
      <c r="C136" s="20" t="s">
        <v>713</v>
      </c>
      <c r="D136" s="150">
        <v>1520000</v>
      </c>
      <c r="E136" s="20" t="s">
        <v>714</v>
      </c>
      <c r="F136" s="20" t="s">
        <v>715</v>
      </c>
      <c r="G136" s="8" t="str">
        <f t="shared" si="2"/>
        <v>MAYBERRY BILL</v>
      </c>
    </row>
    <row r="137" spans="1:7" x14ac:dyDescent="0.25">
      <c r="A137" s="8">
        <v>42802.551018518519</v>
      </c>
      <c r="B137" s="20" t="s">
        <v>211</v>
      </c>
      <c r="C137" s="20" t="s">
        <v>716</v>
      </c>
      <c r="D137" s="150">
        <v>1180000</v>
      </c>
      <c r="E137" s="20" t="s">
        <v>488</v>
      </c>
      <c r="F137" s="20" t="s">
        <v>489</v>
      </c>
      <c r="G137" s="8" t="str">
        <f t="shared" si="2"/>
        <v>LEVERE CRAIG</v>
      </c>
    </row>
    <row r="138" spans="1:7" x14ac:dyDescent="0.25">
      <c r="A138" s="8">
        <v>42802.55364583333</v>
      </c>
      <c r="B138" s="20" t="s">
        <v>566</v>
      </c>
      <c r="C138" s="20" t="s">
        <v>717</v>
      </c>
      <c r="D138" s="150">
        <v>1190000</v>
      </c>
      <c r="E138" s="20" t="s">
        <v>705</v>
      </c>
      <c r="F138" s="20" t="s">
        <v>706</v>
      </c>
      <c r="G138" s="8" t="str">
        <f t="shared" si="2"/>
        <v>BRANNON JEFFREY</v>
      </c>
    </row>
    <row r="139" spans="1:7" x14ac:dyDescent="0.25">
      <c r="A139" s="8">
        <v>42802.560127314813</v>
      </c>
      <c r="B139" s="20" t="s">
        <v>449</v>
      </c>
      <c r="C139" s="20" t="s">
        <v>718</v>
      </c>
      <c r="D139" s="150">
        <v>1760000</v>
      </c>
      <c r="E139" s="20" t="s">
        <v>709</v>
      </c>
      <c r="F139" s="20" t="s">
        <v>710</v>
      </c>
      <c r="G139" s="8" t="str">
        <f t="shared" si="2"/>
        <v>STRICKLAND EVAN</v>
      </c>
    </row>
    <row r="140" spans="1:7" x14ac:dyDescent="0.25">
      <c r="A140" s="8">
        <v>42802.560636574075</v>
      </c>
      <c r="B140" s="20" t="s">
        <v>439</v>
      </c>
      <c r="C140" s="20" t="s">
        <v>719</v>
      </c>
      <c r="D140" s="150">
        <v>2040000</v>
      </c>
      <c r="E140" s="20" t="s">
        <v>287</v>
      </c>
      <c r="F140" s="20" t="s">
        <v>288</v>
      </c>
      <c r="G140" s="8" t="str">
        <f t="shared" si="2"/>
        <v>MOSES BRADLEY</v>
      </c>
    </row>
    <row r="141" spans="1:7" x14ac:dyDescent="0.25">
      <c r="A141" s="8">
        <v>42802.567453703705</v>
      </c>
      <c r="B141" s="20" t="s">
        <v>476</v>
      </c>
      <c r="C141" s="20" t="s">
        <v>720</v>
      </c>
      <c r="D141" s="150">
        <v>1520000</v>
      </c>
      <c r="E141" s="20" t="s">
        <v>714</v>
      </c>
      <c r="F141" s="20" t="s">
        <v>715</v>
      </c>
      <c r="G141" s="8" t="str">
        <f t="shared" si="2"/>
        <v>MAYBERRY BILL</v>
      </c>
    </row>
    <row r="142" spans="1:7" x14ac:dyDescent="0.25">
      <c r="A142" s="8">
        <v>42802.570150462961</v>
      </c>
      <c r="B142" s="20" t="s">
        <v>430</v>
      </c>
      <c r="C142" s="20" t="s">
        <v>721</v>
      </c>
      <c r="D142" s="150">
        <v>1120000</v>
      </c>
      <c r="E142" s="20" t="s">
        <v>270</v>
      </c>
      <c r="F142" s="20" t="s">
        <v>271</v>
      </c>
      <c r="G142" s="8" t="str">
        <f t="shared" si="2"/>
        <v>LOCKLEAR TRAVIS</v>
      </c>
    </row>
    <row r="143" spans="1:7" x14ac:dyDescent="0.25">
      <c r="A143" s="8">
        <v>42802.579398148147</v>
      </c>
      <c r="B143" s="20" t="s">
        <v>277</v>
      </c>
      <c r="C143" s="20" t="s">
        <v>584</v>
      </c>
      <c r="D143" s="150">
        <v>920000</v>
      </c>
      <c r="E143" s="20" t="s">
        <v>448</v>
      </c>
      <c r="F143" s="20" t="s">
        <v>200</v>
      </c>
      <c r="G143" s="8" t="str">
        <f t="shared" si="2"/>
        <v>DAVIS MICHAEL</v>
      </c>
    </row>
    <row r="144" spans="1:7" x14ac:dyDescent="0.25">
      <c r="A144" s="8">
        <v>42802.581712962965</v>
      </c>
      <c r="B144" s="20" t="s">
        <v>440</v>
      </c>
      <c r="C144" s="20" t="s">
        <v>722</v>
      </c>
      <c r="D144" s="150">
        <v>1300000</v>
      </c>
      <c r="E144" s="20" t="s">
        <v>453</v>
      </c>
      <c r="F144" s="20" t="s">
        <v>454</v>
      </c>
      <c r="G144" s="8" t="str">
        <f t="shared" si="2"/>
        <v>LEVIN SCOTT</v>
      </c>
    </row>
    <row r="145" spans="1:7" x14ac:dyDescent="0.25">
      <c r="A145" s="8">
        <v>42802.586261574077</v>
      </c>
      <c r="B145" s="20" t="s">
        <v>212</v>
      </c>
      <c r="C145" s="20" t="s">
        <v>723</v>
      </c>
      <c r="D145" s="150">
        <v>1180000</v>
      </c>
      <c r="E145" s="20" t="s">
        <v>488</v>
      </c>
      <c r="F145" s="20" t="s">
        <v>489</v>
      </c>
      <c r="G145" s="8" t="str">
        <f t="shared" si="2"/>
        <v>LEVERE CRAIG</v>
      </c>
    </row>
    <row r="146" spans="1:7" x14ac:dyDescent="0.25">
      <c r="A146" s="8">
        <v>42802.591828703706</v>
      </c>
      <c r="B146" s="20" t="s">
        <v>568</v>
      </c>
      <c r="C146" s="20" t="s">
        <v>724</v>
      </c>
      <c r="D146" s="150">
        <v>1190000</v>
      </c>
      <c r="E146" s="20" t="s">
        <v>705</v>
      </c>
      <c r="F146" s="20" t="s">
        <v>706</v>
      </c>
      <c r="G146" s="8" t="str">
        <f t="shared" si="2"/>
        <v>BRANNON JEFFREY</v>
      </c>
    </row>
    <row r="147" spans="1:7" x14ac:dyDescent="0.25">
      <c r="A147" s="8">
        <v>42802.59578703704</v>
      </c>
      <c r="B147" s="20" t="s">
        <v>431</v>
      </c>
      <c r="C147" s="20" t="s">
        <v>725</v>
      </c>
      <c r="D147" s="150">
        <v>1770000</v>
      </c>
      <c r="E147" s="20" t="s">
        <v>726</v>
      </c>
      <c r="F147" s="20" t="s">
        <v>727</v>
      </c>
      <c r="G147" s="8" t="str">
        <f t="shared" si="2"/>
        <v>BRUDER RICHARD</v>
      </c>
    </row>
    <row r="148" spans="1:7" x14ac:dyDescent="0.25">
      <c r="A148" s="8">
        <v>42802.597719907404</v>
      </c>
      <c r="B148" s="20" t="s">
        <v>204</v>
      </c>
      <c r="C148" s="20" t="s">
        <v>728</v>
      </c>
      <c r="D148" s="150">
        <v>2040000</v>
      </c>
      <c r="E148" s="20" t="s">
        <v>287</v>
      </c>
      <c r="F148" s="20" t="s">
        <v>288</v>
      </c>
      <c r="G148" s="8" t="str">
        <f t="shared" si="2"/>
        <v>MOSES BRADLEY</v>
      </c>
    </row>
    <row r="149" spans="1:7" x14ac:dyDescent="0.25">
      <c r="A149" s="8">
        <v>42802.60261574074</v>
      </c>
      <c r="B149" s="20" t="s">
        <v>450</v>
      </c>
      <c r="C149" s="20" t="s">
        <v>729</v>
      </c>
      <c r="D149" s="150">
        <v>930000</v>
      </c>
      <c r="E149" s="20" t="s">
        <v>486</v>
      </c>
      <c r="F149" s="20" t="s">
        <v>487</v>
      </c>
      <c r="G149" s="8" t="str">
        <f t="shared" si="2"/>
        <v>CLARK KATHLEEN</v>
      </c>
    </row>
    <row r="150" spans="1:7" x14ac:dyDescent="0.25">
      <c r="A150" s="8">
        <v>42802.610150462962</v>
      </c>
      <c r="B150" s="20" t="s">
        <v>476</v>
      </c>
      <c r="C150" s="20" t="s">
        <v>730</v>
      </c>
      <c r="D150" s="150">
        <v>1770000</v>
      </c>
      <c r="E150" s="20" t="s">
        <v>726</v>
      </c>
      <c r="F150" s="20" t="s">
        <v>727</v>
      </c>
      <c r="G150" s="8" t="str">
        <f t="shared" si="2"/>
        <v>BRUDER RICHARD</v>
      </c>
    </row>
    <row r="151" spans="1:7" x14ac:dyDescent="0.25">
      <c r="A151" s="8">
        <v>42802.610150462962</v>
      </c>
      <c r="B151" s="20" t="s">
        <v>429</v>
      </c>
      <c r="C151" s="20" t="s">
        <v>731</v>
      </c>
      <c r="D151" s="150">
        <v>1120000</v>
      </c>
      <c r="E151" s="20" t="s">
        <v>270</v>
      </c>
      <c r="F151" s="20" t="s">
        <v>271</v>
      </c>
      <c r="G151" s="8" t="str">
        <f t="shared" si="2"/>
        <v>LOCKLEAR TRAVIS</v>
      </c>
    </row>
    <row r="152" spans="1:7" x14ac:dyDescent="0.25">
      <c r="A152" s="8">
        <v>42802.613634259258</v>
      </c>
      <c r="B152" s="20" t="s">
        <v>276</v>
      </c>
      <c r="C152" s="20" t="s">
        <v>732</v>
      </c>
      <c r="D152" s="150">
        <v>920000</v>
      </c>
      <c r="E152" s="20" t="s">
        <v>448</v>
      </c>
      <c r="F152" s="20" t="s">
        <v>200</v>
      </c>
      <c r="G152" s="8" t="str">
        <f t="shared" si="2"/>
        <v>DAVIS MICHAEL</v>
      </c>
    </row>
    <row r="153" spans="1:7" x14ac:dyDescent="0.25">
      <c r="A153" s="8">
        <v>42802.618680555555</v>
      </c>
      <c r="B153" s="20" t="s">
        <v>286</v>
      </c>
      <c r="C153" s="20" t="s">
        <v>733</v>
      </c>
      <c r="D153" s="150">
        <v>1300000</v>
      </c>
      <c r="E153" s="20" t="s">
        <v>453</v>
      </c>
      <c r="F153" s="20" t="s">
        <v>454</v>
      </c>
      <c r="G153" s="8" t="str">
        <f t="shared" si="2"/>
        <v>LEVIN SCOTT</v>
      </c>
    </row>
    <row r="154" spans="1:7" x14ac:dyDescent="0.25">
      <c r="A154" s="8">
        <v>42802.620451388888</v>
      </c>
      <c r="B154" s="20" t="s">
        <v>566</v>
      </c>
      <c r="C154" s="20" t="s">
        <v>734</v>
      </c>
      <c r="D154" s="150">
        <v>1190000</v>
      </c>
      <c r="E154" s="20" t="s">
        <v>705</v>
      </c>
      <c r="F154" s="20" t="s">
        <v>706</v>
      </c>
      <c r="G154" s="8" t="str">
        <f t="shared" si="2"/>
        <v>BRANNON JEFFREY</v>
      </c>
    </row>
    <row r="155" spans="1:7" x14ac:dyDescent="0.25">
      <c r="A155" s="8">
        <v>42802.621145833335</v>
      </c>
      <c r="B155" s="20" t="s">
        <v>211</v>
      </c>
      <c r="C155" s="20" t="s">
        <v>735</v>
      </c>
      <c r="D155" s="150">
        <v>1180000</v>
      </c>
      <c r="E155" s="20" t="s">
        <v>488</v>
      </c>
      <c r="F155" s="20" t="s">
        <v>489</v>
      </c>
      <c r="G155" s="8" t="str">
        <f t="shared" si="2"/>
        <v>LEVERE CRAIG</v>
      </c>
    </row>
    <row r="156" spans="1:7" x14ac:dyDescent="0.25">
      <c r="A156" s="8">
        <v>42802.631828703707</v>
      </c>
      <c r="B156" s="20" t="s">
        <v>439</v>
      </c>
      <c r="C156" s="20" t="s">
        <v>736</v>
      </c>
      <c r="D156" s="150">
        <v>1540000</v>
      </c>
      <c r="E156" s="20" t="s">
        <v>694</v>
      </c>
      <c r="F156" s="20" t="s">
        <v>695</v>
      </c>
      <c r="G156" s="8" t="str">
        <f t="shared" si="2"/>
        <v>HELVIE ADAM</v>
      </c>
    </row>
    <row r="157" spans="1:7" x14ac:dyDescent="0.25">
      <c r="A157" s="8">
        <v>42802.637326388889</v>
      </c>
      <c r="B157" s="20" t="s">
        <v>431</v>
      </c>
      <c r="C157" s="20" t="s">
        <v>737</v>
      </c>
      <c r="D157" s="150">
        <v>1770000</v>
      </c>
      <c r="E157" s="20" t="s">
        <v>726</v>
      </c>
      <c r="F157" s="20" t="s">
        <v>727</v>
      </c>
      <c r="G157" s="8" t="str">
        <f t="shared" si="2"/>
        <v>BRUDER RICHARD</v>
      </c>
    </row>
    <row r="158" spans="1:7" x14ac:dyDescent="0.25">
      <c r="A158" s="8">
        <v>42802.638773148145</v>
      </c>
      <c r="B158" s="20" t="s">
        <v>449</v>
      </c>
      <c r="C158" s="20" t="s">
        <v>738</v>
      </c>
      <c r="D158" s="150">
        <v>930000</v>
      </c>
      <c r="E158" s="20" t="s">
        <v>486</v>
      </c>
      <c r="F158" s="20" t="s">
        <v>487</v>
      </c>
      <c r="G158" s="8" t="str">
        <f t="shared" si="2"/>
        <v>CLARK KATHLEEN</v>
      </c>
    </row>
    <row r="159" spans="1:7" x14ac:dyDescent="0.25">
      <c r="A159" s="8">
        <v>42802.641840277778</v>
      </c>
      <c r="B159" s="20" t="s">
        <v>430</v>
      </c>
      <c r="C159" s="20" t="s">
        <v>739</v>
      </c>
      <c r="D159" s="150">
        <v>1120000</v>
      </c>
      <c r="E159" s="20" t="s">
        <v>270</v>
      </c>
      <c r="F159" s="20" t="s">
        <v>271</v>
      </c>
      <c r="G159" s="8" t="str">
        <f t="shared" si="2"/>
        <v>LOCKLEAR TRAVIS</v>
      </c>
    </row>
    <row r="160" spans="1:7" x14ac:dyDescent="0.25">
      <c r="A160" s="8">
        <v>42802.647141203706</v>
      </c>
      <c r="B160" s="20" t="s">
        <v>575</v>
      </c>
      <c r="C160" s="20" t="s">
        <v>740</v>
      </c>
      <c r="D160" s="150">
        <v>1800000</v>
      </c>
      <c r="E160" s="20" t="s">
        <v>224</v>
      </c>
      <c r="F160" s="20" t="s">
        <v>225</v>
      </c>
      <c r="G160" s="8" t="str">
        <f t="shared" si="2"/>
        <v>CHANDLER KELVIN</v>
      </c>
    </row>
    <row r="161" spans="1:7" x14ac:dyDescent="0.25">
      <c r="A161" s="8">
        <v>42802.652708333335</v>
      </c>
      <c r="B161" s="20" t="s">
        <v>476</v>
      </c>
      <c r="C161" s="20" t="s">
        <v>741</v>
      </c>
      <c r="D161" s="150">
        <v>1770000</v>
      </c>
      <c r="E161" s="20" t="s">
        <v>726</v>
      </c>
      <c r="F161" s="20" t="s">
        <v>727</v>
      </c>
      <c r="G161" s="8" t="str">
        <f t="shared" si="2"/>
        <v>BRUDER RICHARD</v>
      </c>
    </row>
    <row r="162" spans="1:7" x14ac:dyDescent="0.25">
      <c r="A162" s="8">
        <v>42802.652916666666</v>
      </c>
      <c r="B162" s="20" t="s">
        <v>277</v>
      </c>
      <c r="C162" s="20" t="s">
        <v>742</v>
      </c>
      <c r="D162" s="150">
        <v>920000</v>
      </c>
      <c r="E162" s="20" t="s">
        <v>448</v>
      </c>
      <c r="F162" s="20" t="s">
        <v>200</v>
      </c>
      <c r="G162" s="8" t="str">
        <f t="shared" si="2"/>
        <v>DAVIS MICHAEL</v>
      </c>
    </row>
    <row r="163" spans="1:7" x14ac:dyDescent="0.25">
      <c r="A163" s="8">
        <v>42802.652986111112</v>
      </c>
      <c r="B163" s="20" t="s">
        <v>440</v>
      </c>
      <c r="C163" s="20" t="s">
        <v>743</v>
      </c>
      <c r="D163" s="150">
        <v>1300000</v>
      </c>
      <c r="E163" s="20" t="s">
        <v>453</v>
      </c>
      <c r="F163" s="20" t="s">
        <v>454</v>
      </c>
      <c r="G163" s="8" t="str">
        <f t="shared" si="2"/>
        <v>LEVIN SCOTT</v>
      </c>
    </row>
    <row r="164" spans="1:7" x14ac:dyDescent="0.25">
      <c r="A164" s="8">
        <v>42802.659039351849</v>
      </c>
      <c r="B164" s="20" t="s">
        <v>620</v>
      </c>
      <c r="C164" s="20" t="s">
        <v>744</v>
      </c>
      <c r="D164" s="150">
        <v>1800000</v>
      </c>
      <c r="E164" s="20" t="s">
        <v>224</v>
      </c>
      <c r="F164" s="20" t="s">
        <v>225</v>
      </c>
      <c r="G164" s="8" t="str">
        <f t="shared" si="2"/>
        <v>CHANDLER KELVIN</v>
      </c>
    </row>
    <row r="165" spans="1:7" x14ac:dyDescent="0.25">
      <c r="A165" s="8">
        <v>42802.65965277778</v>
      </c>
      <c r="B165" s="20" t="s">
        <v>212</v>
      </c>
      <c r="C165" s="20" t="s">
        <v>745</v>
      </c>
      <c r="D165" s="150">
        <v>1180000</v>
      </c>
      <c r="E165" s="20" t="s">
        <v>488</v>
      </c>
      <c r="F165" s="20" t="s">
        <v>489</v>
      </c>
      <c r="G165" s="8" t="str">
        <f t="shared" si="2"/>
        <v>LEVERE CRAIG</v>
      </c>
    </row>
    <row r="166" spans="1:7" x14ac:dyDescent="0.25">
      <c r="A166" s="8">
        <v>42802.664652777778</v>
      </c>
      <c r="B166" s="20" t="s">
        <v>568</v>
      </c>
      <c r="C166" s="20" t="s">
        <v>746</v>
      </c>
      <c r="D166" s="150">
        <v>1190000</v>
      </c>
      <c r="E166" s="20" t="s">
        <v>705</v>
      </c>
      <c r="F166" s="20" t="s">
        <v>706</v>
      </c>
      <c r="G166" s="8" t="str">
        <f t="shared" si="2"/>
        <v>BRANNON JEFFREY</v>
      </c>
    </row>
    <row r="167" spans="1:7" x14ac:dyDescent="0.25">
      <c r="A167" s="8">
        <v>42802.671284722222</v>
      </c>
      <c r="B167" s="20" t="s">
        <v>204</v>
      </c>
      <c r="C167" s="20" t="s">
        <v>747</v>
      </c>
      <c r="D167" s="150">
        <v>1540000</v>
      </c>
      <c r="E167" s="20" t="s">
        <v>694</v>
      </c>
      <c r="F167" s="20" t="s">
        <v>695</v>
      </c>
      <c r="G167" s="8" t="str">
        <f t="shared" si="2"/>
        <v>HELVIE ADAM</v>
      </c>
    </row>
    <row r="168" spans="1:7" x14ac:dyDescent="0.25">
      <c r="A168" s="8">
        <v>42802.673541666663</v>
      </c>
      <c r="B168" s="20" t="s">
        <v>575</v>
      </c>
      <c r="C168" s="20" t="s">
        <v>748</v>
      </c>
      <c r="D168" s="150">
        <v>1800000</v>
      </c>
      <c r="E168" s="20" t="s">
        <v>224</v>
      </c>
      <c r="F168" s="20" t="s">
        <v>225</v>
      </c>
      <c r="G168" s="8" t="str">
        <f t="shared" si="2"/>
        <v>CHANDLER KELVIN</v>
      </c>
    </row>
    <row r="169" spans="1:7" x14ac:dyDescent="0.25">
      <c r="A169" s="8">
        <v>42802.674004629633</v>
      </c>
      <c r="B169" s="20" t="s">
        <v>450</v>
      </c>
      <c r="C169" s="20" t="s">
        <v>749</v>
      </c>
      <c r="D169" s="150">
        <v>930000</v>
      </c>
      <c r="E169" s="20" t="s">
        <v>486</v>
      </c>
      <c r="F169" s="20" t="s">
        <v>487</v>
      </c>
      <c r="G169" s="8" t="str">
        <f t="shared" si="2"/>
        <v>CLARK KATHLEEN</v>
      </c>
    </row>
    <row r="170" spans="1:7" x14ac:dyDescent="0.25">
      <c r="A170" s="8">
        <v>42802.678090277775</v>
      </c>
      <c r="B170" s="20" t="s">
        <v>431</v>
      </c>
      <c r="C170" s="20" t="s">
        <v>750</v>
      </c>
      <c r="D170" s="150">
        <v>1770000</v>
      </c>
      <c r="E170" s="20" t="s">
        <v>726</v>
      </c>
      <c r="F170" s="20" t="s">
        <v>727</v>
      </c>
      <c r="G170" s="8" t="str">
        <f t="shared" si="2"/>
        <v>BRUDER RICHARD</v>
      </c>
    </row>
    <row r="171" spans="1:7" x14ac:dyDescent="0.25">
      <c r="A171" s="8">
        <v>42802.682604166665</v>
      </c>
      <c r="B171" s="20" t="s">
        <v>429</v>
      </c>
      <c r="C171" s="20" t="s">
        <v>751</v>
      </c>
      <c r="D171" s="150">
        <v>1120000</v>
      </c>
      <c r="E171" s="20" t="s">
        <v>270</v>
      </c>
      <c r="F171" s="20" t="s">
        <v>271</v>
      </c>
      <c r="G171" s="8" t="str">
        <f t="shared" si="2"/>
        <v>LOCKLEAR TRAVIS</v>
      </c>
    </row>
    <row r="172" spans="1:7" x14ac:dyDescent="0.25">
      <c r="A172" s="8">
        <v>42802.687164351853</v>
      </c>
      <c r="B172" s="20" t="s">
        <v>276</v>
      </c>
      <c r="C172" s="20" t="s">
        <v>586</v>
      </c>
      <c r="D172" s="150">
        <v>920000</v>
      </c>
      <c r="E172" s="20" t="s">
        <v>448</v>
      </c>
      <c r="F172" s="20" t="s">
        <v>200</v>
      </c>
      <c r="G172" s="8" t="str">
        <f t="shared" si="2"/>
        <v>DAVIS MICHAEL</v>
      </c>
    </row>
    <row r="173" spans="1:7" x14ac:dyDescent="0.25">
      <c r="A173" s="8">
        <v>42802.692546296297</v>
      </c>
      <c r="B173" s="20" t="s">
        <v>286</v>
      </c>
      <c r="C173" s="20" t="s">
        <v>752</v>
      </c>
      <c r="D173" s="150">
        <v>1300000</v>
      </c>
      <c r="E173" s="20" t="s">
        <v>453</v>
      </c>
      <c r="F173" s="20" t="s">
        <v>454</v>
      </c>
      <c r="G173" s="8" t="str">
        <f t="shared" si="2"/>
        <v>LEVIN SCOTT</v>
      </c>
    </row>
    <row r="174" spans="1:7" x14ac:dyDescent="0.25">
      <c r="A174" s="8">
        <v>42802.693460648145</v>
      </c>
      <c r="B174" s="20" t="s">
        <v>476</v>
      </c>
      <c r="C174" s="20" t="s">
        <v>753</v>
      </c>
      <c r="D174" s="150">
        <v>1770000</v>
      </c>
      <c r="E174" s="20" t="s">
        <v>726</v>
      </c>
      <c r="F174" s="20" t="s">
        <v>727</v>
      </c>
      <c r="G174" s="8" t="str">
        <f t="shared" si="2"/>
        <v>BRUDER RICHARD</v>
      </c>
    </row>
    <row r="175" spans="1:7" x14ac:dyDescent="0.25">
      <c r="A175" s="8">
        <v>42802.693865740737</v>
      </c>
      <c r="B175" s="20" t="s">
        <v>211</v>
      </c>
      <c r="C175" s="20" t="s">
        <v>585</v>
      </c>
      <c r="D175" s="150">
        <v>1180000</v>
      </c>
      <c r="E175" s="20" t="s">
        <v>488</v>
      </c>
      <c r="F175" s="20" t="s">
        <v>489</v>
      </c>
      <c r="G175" s="8" t="str">
        <f t="shared" si="2"/>
        <v>LEVERE CRAIG</v>
      </c>
    </row>
    <row r="176" spans="1:7" x14ac:dyDescent="0.25">
      <c r="A176" s="8">
        <v>42802.698252314818</v>
      </c>
      <c r="B176" s="20" t="s">
        <v>620</v>
      </c>
      <c r="C176" s="20" t="s">
        <v>754</v>
      </c>
      <c r="D176" s="150">
        <v>1800000</v>
      </c>
      <c r="E176" s="20" t="s">
        <v>224</v>
      </c>
      <c r="F176" s="20" t="s">
        <v>225</v>
      </c>
      <c r="G176" s="8" t="str">
        <f t="shared" si="2"/>
        <v>CHANDLER KELVIN</v>
      </c>
    </row>
    <row r="177" spans="1:7" x14ac:dyDescent="0.25">
      <c r="A177" s="8">
        <v>42802.698888888888</v>
      </c>
      <c r="B177" s="20" t="s">
        <v>429</v>
      </c>
      <c r="C177" s="20" t="s">
        <v>751</v>
      </c>
      <c r="D177" s="150">
        <v>1120000</v>
      </c>
      <c r="E177" s="20" t="s">
        <v>270</v>
      </c>
      <c r="F177" s="20" t="s">
        <v>271</v>
      </c>
      <c r="G177" s="8" t="str">
        <f t="shared" si="2"/>
        <v>LOCKLEAR TRAVIS</v>
      </c>
    </row>
    <row r="178" spans="1:7" x14ac:dyDescent="0.25">
      <c r="A178" s="8">
        <v>42802.702037037037</v>
      </c>
      <c r="B178" s="20" t="s">
        <v>566</v>
      </c>
      <c r="C178" s="20" t="s">
        <v>755</v>
      </c>
      <c r="D178" s="150">
        <v>1190000</v>
      </c>
      <c r="E178" s="20" t="s">
        <v>705</v>
      </c>
      <c r="F178" s="20" t="s">
        <v>706</v>
      </c>
      <c r="G178" s="8" t="str">
        <f t="shared" si="2"/>
        <v>BRANNON JEFFREY</v>
      </c>
    </row>
    <row r="179" spans="1:7" x14ac:dyDescent="0.25">
      <c r="A179" s="8">
        <v>42802.705428240741</v>
      </c>
      <c r="B179" s="20" t="s">
        <v>439</v>
      </c>
      <c r="C179" s="20" t="s">
        <v>587</v>
      </c>
      <c r="D179" s="150">
        <v>1540000</v>
      </c>
      <c r="E179" s="20" t="s">
        <v>694</v>
      </c>
      <c r="F179" s="20" t="s">
        <v>695</v>
      </c>
      <c r="G179" s="8" t="str">
        <f t="shared" si="2"/>
        <v>HELVIE ADAM</v>
      </c>
    </row>
    <row r="180" spans="1:7" x14ac:dyDescent="0.25">
      <c r="A180" s="8">
        <v>42802.711701388886</v>
      </c>
      <c r="B180" s="20" t="s">
        <v>449</v>
      </c>
      <c r="C180" s="20" t="s">
        <v>756</v>
      </c>
      <c r="D180" s="150">
        <v>930000</v>
      </c>
      <c r="E180" s="20" t="s">
        <v>486</v>
      </c>
      <c r="F180" s="20" t="s">
        <v>487</v>
      </c>
      <c r="G180" s="8" t="str">
        <f t="shared" si="2"/>
        <v>CLARK KATHLEEN</v>
      </c>
    </row>
    <row r="181" spans="1:7" x14ac:dyDescent="0.25">
      <c r="A181" s="8">
        <v>42802.714791666665</v>
      </c>
      <c r="B181" s="20" t="s">
        <v>475</v>
      </c>
      <c r="C181" s="20" t="s">
        <v>757</v>
      </c>
      <c r="D181" s="150">
        <v>2150000</v>
      </c>
      <c r="E181" s="20" t="s">
        <v>758</v>
      </c>
      <c r="F181" s="20" t="s">
        <v>759</v>
      </c>
      <c r="G181" s="8" t="str">
        <f t="shared" si="2"/>
        <v>SWANSON BRYCE</v>
      </c>
    </row>
    <row r="182" spans="1:7" x14ac:dyDescent="0.25">
      <c r="A182" s="8">
        <v>42802.714965277781</v>
      </c>
      <c r="B182" s="20" t="s">
        <v>575</v>
      </c>
      <c r="C182" s="20" t="s">
        <v>760</v>
      </c>
      <c r="D182" s="150">
        <v>1800000</v>
      </c>
      <c r="E182" s="20" t="s">
        <v>224</v>
      </c>
      <c r="F182" s="20" t="s">
        <v>225</v>
      </c>
      <c r="G182" s="8" t="str">
        <f t="shared" si="2"/>
        <v>CHANDLER KELVIN</v>
      </c>
    </row>
    <row r="183" spans="1:7" x14ac:dyDescent="0.25">
      <c r="A183" s="8">
        <v>42802.721666666665</v>
      </c>
      <c r="B183" s="20" t="s">
        <v>431</v>
      </c>
      <c r="C183" s="20" t="s">
        <v>761</v>
      </c>
      <c r="D183" s="150">
        <v>1770000</v>
      </c>
      <c r="E183" s="20" t="s">
        <v>726</v>
      </c>
      <c r="F183" s="20" t="s">
        <v>727</v>
      </c>
      <c r="G183" s="8" t="str">
        <f t="shared" si="2"/>
        <v>BRUDER RICHARD</v>
      </c>
    </row>
    <row r="184" spans="1:7" x14ac:dyDescent="0.25">
      <c r="A184" s="8">
        <v>42802.725821759261</v>
      </c>
      <c r="B184" s="20" t="s">
        <v>440</v>
      </c>
      <c r="C184" s="20" t="s">
        <v>762</v>
      </c>
      <c r="D184" s="150">
        <v>1120000</v>
      </c>
      <c r="E184" s="20" t="s">
        <v>270</v>
      </c>
      <c r="F184" s="20" t="s">
        <v>271</v>
      </c>
      <c r="G184" s="8" t="str">
        <f t="shared" si="2"/>
        <v>LOCKLEAR TRAVIS</v>
      </c>
    </row>
    <row r="185" spans="1:7" x14ac:dyDescent="0.25">
      <c r="A185" s="8">
        <v>42802.726527777777</v>
      </c>
      <c r="B185" s="20" t="s">
        <v>277</v>
      </c>
      <c r="C185" s="20" t="s">
        <v>763</v>
      </c>
      <c r="D185" s="150">
        <v>920000</v>
      </c>
      <c r="E185" s="20" t="s">
        <v>448</v>
      </c>
      <c r="F185" s="20" t="s">
        <v>200</v>
      </c>
      <c r="G185" s="8" t="str">
        <f t="shared" si="2"/>
        <v>DAVIS MICHAEL</v>
      </c>
    </row>
    <row r="186" spans="1:7" x14ac:dyDescent="0.25">
      <c r="A186" s="8">
        <v>42802.72923611111</v>
      </c>
      <c r="B186" s="20" t="s">
        <v>430</v>
      </c>
      <c r="C186" s="20" t="s">
        <v>764</v>
      </c>
      <c r="D186" s="150">
        <v>2040000</v>
      </c>
      <c r="E186" s="20" t="s">
        <v>287</v>
      </c>
      <c r="F186" s="20" t="s">
        <v>288</v>
      </c>
      <c r="G186" s="8" t="str">
        <f t="shared" si="2"/>
        <v>MOSES BRADLEY</v>
      </c>
    </row>
    <row r="187" spans="1:7" x14ac:dyDescent="0.25">
      <c r="A187" s="8">
        <v>42802.731134259258</v>
      </c>
      <c r="B187" s="20" t="s">
        <v>212</v>
      </c>
      <c r="C187" s="20" t="s">
        <v>765</v>
      </c>
      <c r="D187" s="150">
        <v>1180000</v>
      </c>
      <c r="E187" s="20" t="s">
        <v>488</v>
      </c>
      <c r="F187" s="20" t="s">
        <v>489</v>
      </c>
      <c r="G187" s="8" t="str">
        <f t="shared" si="2"/>
        <v>LEVERE CRAIG</v>
      </c>
    </row>
    <row r="188" spans="1:7" x14ac:dyDescent="0.25">
      <c r="A188" s="8">
        <v>42802.735208333332</v>
      </c>
      <c r="B188" s="20" t="s">
        <v>476</v>
      </c>
      <c r="C188" s="20" t="s">
        <v>766</v>
      </c>
      <c r="D188" s="150">
        <v>1770000</v>
      </c>
      <c r="E188" s="20" t="s">
        <v>726</v>
      </c>
      <c r="F188" s="20" t="s">
        <v>727</v>
      </c>
      <c r="G188" s="8" t="str">
        <f t="shared" si="2"/>
        <v>BRUDER RICHARD</v>
      </c>
    </row>
    <row r="189" spans="1:7" x14ac:dyDescent="0.25">
      <c r="A189" s="8">
        <v>42802.741446759261</v>
      </c>
      <c r="B189" s="20" t="s">
        <v>620</v>
      </c>
      <c r="C189" s="20" t="s">
        <v>767</v>
      </c>
      <c r="D189" s="150">
        <v>1800000</v>
      </c>
      <c r="E189" s="20" t="s">
        <v>224</v>
      </c>
      <c r="F189" s="20" t="s">
        <v>225</v>
      </c>
      <c r="G189" s="8" t="str">
        <f t="shared" si="2"/>
        <v>CHANDLER KELVIN</v>
      </c>
    </row>
    <row r="190" spans="1:7" x14ac:dyDescent="0.25">
      <c r="A190" s="8">
        <v>42802.741759259261</v>
      </c>
      <c r="B190" s="20" t="s">
        <v>568</v>
      </c>
      <c r="C190" s="20" t="s">
        <v>588</v>
      </c>
      <c r="D190" s="150">
        <v>1740000</v>
      </c>
      <c r="E190" s="20" t="s">
        <v>490</v>
      </c>
      <c r="F190" s="20" t="s">
        <v>491</v>
      </c>
      <c r="G190" s="8" t="str">
        <f t="shared" si="2"/>
        <v>STORY SAMANTHA</v>
      </c>
    </row>
    <row r="191" spans="1:7" x14ac:dyDescent="0.25">
      <c r="A191" s="8">
        <v>42802.743136574078</v>
      </c>
      <c r="B191" s="20" t="s">
        <v>204</v>
      </c>
      <c r="C191" s="20" t="s">
        <v>768</v>
      </c>
      <c r="D191" s="150">
        <v>1540000</v>
      </c>
      <c r="E191" s="20" t="s">
        <v>694</v>
      </c>
      <c r="F191" s="20" t="s">
        <v>695</v>
      </c>
      <c r="G191" s="8" t="str">
        <f t="shared" si="2"/>
        <v>HELVIE ADAM</v>
      </c>
    </row>
    <row r="192" spans="1:7" x14ac:dyDescent="0.25">
      <c r="A192" s="8">
        <v>42802.743981481479</v>
      </c>
      <c r="B192" s="20" t="s">
        <v>580</v>
      </c>
      <c r="C192" s="20" t="s">
        <v>769</v>
      </c>
      <c r="D192" s="150">
        <v>2450000</v>
      </c>
      <c r="E192" s="20" t="s">
        <v>770</v>
      </c>
      <c r="F192" s="20" t="s">
        <v>771</v>
      </c>
      <c r="G192" s="8" t="str">
        <f t="shared" si="2"/>
        <v>NELSON ARIANE</v>
      </c>
    </row>
    <row r="193" spans="1:7" x14ac:dyDescent="0.25">
      <c r="A193" s="8">
        <v>42802.748298611114</v>
      </c>
      <c r="B193" s="20" t="s">
        <v>252</v>
      </c>
      <c r="C193" s="20" t="s">
        <v>772</v>
      </c>
      <c r="D193" s="150">
        <v>2540000</v>
      </c>
      <c r="E193" s="20" t="s">
        <v>214</v>
      </c>
      <c r="F193" s="20" t="s">
        <v>215</v>
      </c>
      <c r="G193" s="8" t="str">
        <f t="shared" si="2"/>
        <v>MCREYNOLDS KYLE</v>
      </c>
    </row>
    <row r="194" spans="1:7" x14ac:dyDescent="0.25">
      <c r="A194" s="8">
        <v>42802.749652777777</v>
      </c>
      <c r="B194" s="20" t="s">
        <v>450</v>
      </c>
      <c r="C194" s="20" t="s">
        <v>773</v>
      </c>
      <c r="D194" s="150">
        <v>1190000</v>
      </c>
      <c r="E194" s="20" t="s">
        <v>705</v>
      </c>
      <c r="F194" s="20" t="s">
        <v>706</v>
      </c>
      <c r="G194" s="8" t="str">
        <f t="shared" si="2"/>
        <v>BRANNON JEFFREY</v>
      </c>
    </row>
    <row r="195" spans="1:7" x14ac:dyDescent="0.25">
      <c r="A195" s="8">
        <v>42802.750347222223</v>
      </c>
      <c r="B195" s="20" t="s">
        <v>252</v>
      </c>
      <c r="C195" s="20" t="s">
        <v>772</v>
      </c>
      <c r="D195" s="150">
        <v>2540000</v>
      </c>
      <c r="E195" s="20" t="s">
        <v>214</v>
      </c>
      <c r="F195" s="20" t="s">
        <v>215</v>
      </c>
      <c r="G195" s="8" t="str">
        <f t="shared" ref="G195:G258" si="3">E195&amp;" "&amp;F195</f>
        <v>MCREYNOLDS KYLE</v>
      </c>
    </row>
    <row r="196" spans="1:7" x14ac:dyDescent="0.25">
      <c r="A196" s="8">
        <v>42802.754328703704</v>
      </c>
      <c r="B196" s="20" t="s">
        <v>427</v>
      </c>
      <c r="C196" s="20" t="s">
        <v>774</v>
      </c>
      <c r="D196" s="150">
        <v>2150000</v>
      </c>
      <c r="E196" s="20" t="s">
        <v>758</v>
      </c>
      <c r="F196" s="20" t="s">
        <v>759</v>
      </c>
      <c r="G196" s="8" t="str">
        <f t="shared" si="3"/>
        <v>SWANSON BRYCE</v>
      </c>
    </row>
    <row r="197" spans="1:7" x14ac:dyDescent="0.25">
      <c r="A197" s="8">
        <v>42802.75675925926</v>
      </c>
      <c r="B197" s="20" t="s">
        <v>575</v>
      </c>
      <c r="C197" s="20" t="s">
        <v>589</v>
      </c>
      <c r="D197" s="150">
        <v>1800000</v>
      </c>
      <c r="E197" s="20" t="s">
        <v>224</v>
      </c>
      <c r="F197" s="20" t="s">
        <v>225</v>
      </c>
      <c r="G197" s="8" t="str">
        <f t="shared" si="3"/>
        <v>CHANDLER KELVIN</v>
      </c>
    </row>
    <row r="198" spans="1:7" x14ac:dyDescent="0.25">
      <c r="A198" s="8">
        <v>42802.759942129633</v>
      </c>
      <c r="B198" s="20" t="s">
        <v>431</v>
      </c>
      <c r="C198" s="20" t="s">
        <v>775</v>
      </c>
      <c r="D198" s="150">
        <v>1770000</v>
      </c>
      <c r="E198" s="20" t="s">
        <v>726</v>
      </c>
      <c r="F198" s="20" t="s">
        <v>727</v>
      </c>
      <c r="G198" s="8" t="str">
        <f t="shared" si="3"/>
        <v>BRUDER RICHARD</v>
      </c>
    </row>
    <row r="199" spans="1:7" x14ac:dyDescent="0.25">
      <c r="A199" s="8">
        <v>42802.761365740742</v>
      </c>
      <c r="B199" s="20" t="s">
        <v>276</v>
      </c>
      <c r="C199" s="20" t="s">
        <v>776</v>
      </c>
      <c r="D199" s="150">
        <v>2450000</v>
      </c>
      <c r="E199" s="20" t="s">
        <v>770</v>
      </c>
      <c r="F199" s="20" t="s">
        <v>771</v>
      </c>
      <c r="G199" s="8" t="str">
        <f t="shared" si="3"/>
        <v>NELSON ARIANE</v>
      </c>
    </row>
    <row r="200" spans="1:7" x14ac:dyDescent="0.25">
      <c r="A200" s="8">
        <v>42802.765868055554</v>
      </c>
      <c r="B200" s="20" t="s">
        <v>696</v>
      </c>
      <c r="C200" s="20" t="s">
        <v>777</v>
      </c>
      <c r="D200" s="150">
        <v>920000</v>
      </c>
      <c r="E200" s="20" t="s">
        <v>448</v>
      </c>
      <c r="F200" s="20" t="s">
        <v>200</v>
      </c>
      <c r="G200" s="8" t="str">
        <f t="shared" si="3"/>
        <v>DAVIS MICHAEL</v>
      </c>
    </row>
    <row r="201" spans="1:7" x14ac:dyDescent="0.25">
      <c r="A201" s="8">
        <v>42802.766192129631</v>
      </c>
      <c r="B201" s="20" t="s">
        <v>286</v>
      </c>
      <c r="C201" s="20" t="s">
        <v>778</v>
      </c>
      <c r="D201" s="150">
        <v>1120000</v>
      </c>
      <c r="E201" s="20" t="s">
        <v>270</v>
      </c>
      <c r="F201" s="20" t="s">
        <v>271</v>
      </c>
      <c r="G201" s="8" t="str">
        <f t="shared" si="3"/>
        <v>LOCKLEAR TRAVIS</v>
      </c>
    </row>
    <row r="202" spans="1:7" x14ac:dyDescent="0.25">
      <c r="A202" s="26">
        <v>42802.770520833335</v>
      </c>
      <c r="B202" s="20" t="s">
        <v>211</v>
      </c>
      <c r="C202" s="20" t="s">
        <v>779</v>
      </c>
      <c r="D202" s="150">
        <v>1810000</v>
      </c>
      <c r="E202" s="20" t="s">
        <v>201</v>
      </c>
      <c r="F202" s="20" t="s">
        <v>197</v>
      </c>
      <c r="G202" s="8" t="str">
        <f t="shared" si="3"/>
        <v>NEWELL JAMES</v>
      </c>
    </row>
    <row r="203" spans="1:7" x14ac:dyDescent="0.25">
      <c r="A203" s="8">
        <v>42802.776018518518</v>
      </c>
      <c r="B203" s="20" t="s">
        <v>566</v>
      </c>
      <c r="C203" s="20" t="s">
        <v>780</v>
      </c>
      <c r="D203" s="150">
        <v>1740000</v>
      </c>
      <c r="E203" s="20" t="s">
        <v>490</v>
      </c>
      <c r="F203" s="20" t="s">
        <v>491</v>
      </c>
      <c r="G203" s="8" t="str">
        <f t="shared" si="3"/>
        <v>STORY SAMANTHA</v>
      </c>
    </row>
    <row r="204" spans="1:7" x14ac:dyDescent="0.25">
      <c r="A204" s="8">
        <v>42802.776365740741</v>
      </c>
      <c r="B204" s="20" t="s">
        <v>476</v>
      </c>
      <c r="C204" s="20" t="s">
        <v>781</v>
      </c>
      <c r="D204" s="150">
        <v>1770000</v>
      </c>
      <c r="E204" s="20" t="s">
        <v>726</v>
      </c>
      <c r="F204" s="20" t="s">
        <v>727</v>
      </c>
      <c r="G204" s="8" t="str">
        <f t="shared" si="3"/>
        <v>BRUDER RICHARD</v>
      </c>
    </row>
    <row r="205" spans="1:7" x14ac:dyDescent="0.25">
      <c r="A205" s="8">
        <v>42802.779409722221</v>
      </c>
      <c r="B205" s="20" t="s">
        <v>449</v>
      </c>
      <c r="C205" s="20" t="s">
        <v>590</v>
      </c>
      <c r="D205" s="150">
        <v>1190000</v>
      </c>
      <c r="E205" s="20" t="s">
        <v>705</v>
      </c>
      <c r="F205" s="20" t="s">
        <v>706</v>
      </c>
      <c r="G205" s="8" t="str">
        <f t="shared" si="3"/>
        <v>BRANNON JEFFREY</v>
      </c>
    </row>
    <row r="206" spans="1:7" x14ac:dyDescent="0.25">
      <c r="A206" s="8">
        <v>42802.779942129629</v>
      </c>
      <c r="B206" s="20" t="s">
        <v>439</v>
      </c>
      <c r="C206" s="20" t="s">
        <v>782</v>
      </c>
      <c r="D206" s="150">
        <v>1540000</v>
      </c>
      <c r="E206" s="20" t="s">
        <v>694</v>
      </c>
      <c r="F206" s="20" t="s">
        <v>695</v>
      </c>
      <c r="G206" s="8" t="str">
        <f t="shared" si="3"/>
        <v>HELVIE ADAM</v>
      </c>
    </row>
    <row r="207" spans="1:7" x14ac:dyDescent="0.25">
      <c r="A207" s="8">
        <v>42802.783379629633</v>
      </c>
      <c r="B207" s="20" t="s">
        <v>620</v>
      </c>
      <c r="C207" s="20" t="s">
        <v>783</v>
      </c>
      <c r="D207" s="150">
        <v>1800000</v>
      </c>
      <c r="E207" s="20" t="s">
        <v>224</v>
      </c>
      <c r="F207" s="20" t="s">
        <v>225</v>
      </c>
      <c r="G207" s="8" t="str">
        <f t="shared" si="3"/>
        <v>CHANDLER KELVIN</v>
      </c>
    </row>
    <row r="208" spans="1:7" x14ac:dyDescent="0.25">
      <c r="A208" s="8">
        <v>42802.79409722222</v>
      </c>
      <c r="B208" s="20" t="s">
        <v>475</v>
      </c>
      <c r="C208" s="20" t="s">
        <v>784</v>
      </c>
      <c r="D208" s="150">
        <v>970000</v>
      </c>
      <c r="E208" s="20" t="s">
        <v>785</v>
      </c>
      <c r="F208" s="20" t="s">
        <v>786</v>
      </c>
      <c r="G208" s="8" t="str">
        <f t="shared" si="3"/>
        <v>JACKSON WILLIAM</v>
      </c>
    </row>
    <row r="209" spans="1:7" x14ac:dyDescent="0.25">
      <c r="A209" s="8">
        <v>42802.797523148147</v>
      </c>
      <c r="B209" s="20" t="s">
        <v>575</v>
      </c>
      <c r="C209" s="20" t="s">
        <v>787</v>
      </c>
      <c r="D209" s="150">
        <v>1800000</v>
      </c>
      <c r="E209" s="20" t="s">
        <v>224</v>
      </c>
      <c r="F209" s="20" t="s">
        <v>225</v>
      </c>
      <c r="G209" s="8" t="str">
        <f t="shared" si="3"/>
        <v>CHANDLER KELVIN</v>
      </c>
    </row>
    <row r="210" spans="1:7" x14ac:dyDescent="0.25">
      <c r="A210" s="8">
        <v>42802.798333333332</v>
      </c>
      <c r="B210" s="20" t="s">
        <v>277</v>
      </c>
      <c r="C210" s="20" t="s">
        <v>788</v>
      </c>
      <c r="D210" s="150">
        <v>2450000</v>
      </c>
      <c r="E210" s="20" t="s">
        <v>770</v>
      </c>
      <c r="F210" s="20" t="s">
        <v>771</v>
      </c>
      <c r="G210" s="8" t="str">
        <f t="shared" si="3"/>
        <v>NELSON ARIANE</v>
      </c>
    </row>
    <row r="211" spans="1:7" x14ac:dyDescent="0.25">
      <c r="A211" s="8">
        <v>42802.801307870373</v>
      </c>
      <c r="B211" s="20" t="s">
        <v>440</v>
      </c>
      <c r="C211" s="20" t="s">
        <v>789</v>
      </c>
      <c r="D211" s="150">
        <v>1120000</v>
      </c>
      <c r="E211" s="20" t="s">
        <v>270</v>
      </c>
      <c r="F211" s="20" t="s">
        <v>271</v>
      </c>
      <c r="G211" s="8" t="str">
        <f t="shared" si="3"/>
        <v>LOCKLEAR TRAVIS</v>
      </c>
    </row>
    <row r="212" spans="1:7" x14ac:dyDescent="0.25">
      <c r="A212" s="8">
        <v>42802.802199074074</v>
      </c>
      <c r="B212" s="20" t="s">
        <v>431</v>
      </c>
      <c r="C212" s="20" t="s">
        <v>790</v>
      </c>
      <c r="D212" s="150">
        <v>1770000</v>
      </c>
      <c r="E212" s="20" t="s">
        <v>726</v>
      </c>
      <c r="F212" s="20" t="s">
        <v>727</v>
      </c>
      <c r="G212" s="8" t="str">
        <f t="shared" si="3"/>
        <v>BRUDER RICHARD</v>
      </c>
    </row>
    <row r="213" spans="1:7" x14ac:dyDescent="0.25">
      <c r="A213" s="8">
        <v>42802.806215277778</v>
      </c>
      <c r="B213" s="20" t="s">
        <v>212</v>
      </c>
      <c r="C213" s="20" t="s">
        <v>791</v>
      </c>
      <c r="D213" s="150">
        <v>1810000</v>
      </c>
      <c r="E213" s="20" t="s">
        <v>201</v>
      </c>
      <c r="F213" s="20" t="s">
        <v>197</v>
      </c>
      <c r="G213" s="8" t="str">
        <f t="shared" si="3"/>
        <v>NEWELL JAMES</v>
      </c>
    </row>
    <row r="214" spans="1:7" x14ac:dyDescent="0.25">
      <c r="A214" s="8">
        <v>42802.814247685186</v>
      </c>
      <c r="B214" s="20" t="s">
        <v>568</v>
      </c>
      <c r="C214" s="20" t="s">
        <v>792</v>
      </c>
      <c r="D214" s="150">
        <v>2480000</v>
      </c>
      <c r="E214" s="20" t="s">
        <v>793</v>
      </c>
      <c r="F214" s="20" t="s">
        <v>210</v>
      </c>
      <c r="G214" s="8" t="str">
        <f t="shared" si="3"/>
        <v>WHITED DUSTIN</v>
      </c>
    </row>
    <row r="215" spans="1:7" x14ac:dyDescent="0.25">
      <c r="A215" s="8">
        <v>42802.817789351851</v>
      </c>
      <c r="B215" s="20" t="s">
        <v>476</v>
      </c>
      <c r="C215" s="20" t="s">
        <v>794</v>
      </c>
      <c r="D215" s="150">
        <v>1770000</v>
      </c>
      <c r="E215" s="20" t="s">
        <v>726</v>
      </c>
      <c r="F215" s="20" t="s">
        <v>727</v>
      </c>
      <c r="G215" s="8" t="str">
        <f t="shared" si="3"/>
        <v>BRUDER RICHARD</v>
      </c>
    </row>
    <row r="216" spans="1:7" x14ac:dyDescent="0.25">
      <c r="A216" s="8">
        <v>42802.829328703701</v>
      </c>
      <c r="B216" s="20" t="s">
        <v>427</v>
      </c>
      <c r="C216" s="20" t="s">
        <v>795</v>
      </c>
      <c r="D216" s="150">
        <v>970000</v>
      </c>
      <c r="E216" s="20" t="s">
        <v>785</v>
      </c>
      <c r="F216" s="20" t="s">
        <v>786</v>
      </c>
      <c r="G216" s="8" t="str">
        <f t="shared" si="3"/>
        <v>JACKSON WILLIAM</v>
      </c>
    </row>
    <row r="217" spans="1:7" x14ac:dyDescent="0.25">
      <c r="A217" s="8">
        <v>42802.83734953704</v>
      </c>
      <c r="B217" s="20" t="s">
        <v>254</v>
      </c>
      <c r="C217" s="20" t="s">
        <v>796</v>
      </c>
      <c r="D217" s="150">
        <v>2450000</v>
      </c>
      <c r="E217" s="20" t="s">
        <v>770</v>
      </c>
      <c r="F217" s="20" t="s">
        <v>771</v>
      </c>
      <c r="G217" s="8" t="str">
        <f t="shared" si="3"/>
        <v>NELSON ARIANE</v>
      </c>
    </row>
    <row r="218" spans="1:7" x14ac:dyDescent="0.25">
      <c r="A218" s="8">
        <v>42802.840752314813</v>
      </c>
      <c r="B218" s="20" t="s">
        <v>559</v>
      </c>
      <c r="C218" s="20" t="s">
        <v>797</v>
      </c>
      <c r="D218" s="150">
        <v>2730000</v>
      </c>
      <c r="E218" s="20" t="s">
        <v>240</v>
      </c>
      <c r="F218" s="20" t="s">
        <v>241</v>
      </c>
      <c r="G218" s="8" t="str">
        <f t="shared" si="3"/>
        <v>YANG JAN</v>
      </c>
    </row>
    <row r="219" spans="1:7" x14ac:dyDescent="0.25">
      <c r="A219" s="8">
        <v>42802.841215277775</v>
      </c>
      <c r="B219" s="20" t="s">
        <v>431</v>
      </c>
      <c r="C219" s="20" t="s">
        <v>798</v>
      </c>
      <c r="D219" s="150">
        <v>1770000</v>
      </c>
      <c r="E219" s="20" t="s">
        <v>726</v>
      </c>
      <c r="F219" s="20" t="s">
        <v>727</v>
      </c>
      <c r="G219" s="8" t="str">
        <f t="shared" si="3"/>
        <v>BRUDER RICHARD</v>
      </c>
    </row>
    <row r="220" spans="1:7" x14ac:dyDescent="0.25">
      <c r="A220" s="8">
        <v>42802.841608796298</v>
      </c>
      <c r="B220" s="20" t="s">
        <v>559</v>
      </c>
      <c r="C220" s="20" t="s">
        <v>797</v>
      </c>
      <c r="D220" s="150">
        <v>2730000</v>
      </c>
      <c r="E220" s="20" t="s">
        <v>240</v>
      </c>
      <c r="F220" s="20" t="s">
        <v>241</v>
      </c>
      <c r="G220" s="8" t="str">
        <f t="shared" si="3"/>
        <v>YANG JAN</v>
      </c>
    </row>
    <row r="221" spans="1:7" x14ac:dyDescent="0.25">
      <c r="A221" s="8">
        <v>42802.843032407407</v>
      </c>
      <c r="B221" s="20" t="s">
        <v>559</v>
      </c>
      <c r="C221" s="20" t="s">
        <v>797</v>
      </c>
      <c r="D221" s="150">
        <v>2730000</v>
      </c>
      <c r="E221" s="20" t="s">
        <v>240</v>
      </c>
      <c r="F221" s="20" t="s">
        <v>241</v>
      </c>
      <c r="G221" s="8" t="str">
        <f t="shared" si="3"/>
        <v>YANG JAN</v>
      </c>
    </row>
    <row r="222" spans="1:7" x14ac:dyDescent="0.25">
      <c r="A222" s="8">
        <v>42802.849826388891</v>
      </c>
      <c r="B222" s="20" t="s">
        <v>566</v>
      </c>
      <c r="C222" s="20" t="s">
        <v>799</v>
      </c>
      <c r="D222" s="150">
        <v>2480000</v>
      </c>
      <c r="E222" s="20" t="s">
        <v>793</v>
      </c>
      <c r="F222" s="20" t="s">
        <v>210</v>
      </c>
      <c r="G222" s="8" t="str">
        <f t="shared" si="3"/>
        <v>WHITED DUSTIN</v>
      </c>
    </row>
    <row r="223" spans="1:7" x14ac:dyDescent="0.25">
      <c r="A223" s="8">
        <v>42802.852696759262</v>
      </c>
      <c r="B223" s="20" t="s">
        <v>211</v>
      </c>
      <c r="C223" s="20" t="s">
        <v>800</v>
      </c>
      <c r="D223" s="150">
        <v>1810000</v>
      </c>
      <c r="E223" s="20" t="s">
        <v>201</v>
      </c>
      <c r="F223" s="20" t="s">
        <v>197</v>
      </c>
      <c r="G223" s="8" t="str">
        <f t="shared" si="3"/>
        <v>NEWELL JAMES</v>
      </c>
    </row>
    <row r="224" spans="1:7" x14ac:dyDescent="0.25">
      <c r="A224" s="8">
        <v>42802.856053240743</v>
      </c>
      <c r="B224" t="s">
        <v>595</v>
      </c>
      <c r="C224" t="s">
        <v>801</v>
      </c>
      <c r="D224" s="150">
        <v>2730000</v>
      </c>
      <c r="E224" t="s">
        <v>240</v>
      </c>
      <c r="F224" s="20" t="s">
        <v>241</v>
      </c>
      <c r="G224" s="8" t="str">
        <f t="shared" si="3"/>
        <v>YANG JAN</v>
      </c>
    </row>
    <row r="225" spans="1:7" x14ac:dyDescent="0.25">
      <c r="A225" s="8">
        <v>42802.857534722221</v>
      </c>
      <c r="B225" t="s">
        <v>276</v>
      </c>
      <c r="C225" t="s">
        <v>591</v>
      </c>
      <c r="D225" s="150">
        <v>2530000</v>
      </c>
      <c r="E225" t="s">
        <v>451</v>
      </c>
      <c r="F225" s="20" t="s">
        <v>452</v>
      </c>
      <c r="G225" s="8" t="str">
        <f t="shared" si="3"/>
        <v>LALONDE GREGORY</v>
      </c>
    </row>
    <row r="226" spans="1:7" x14ac:dyDescent="0.25">
      <c r="A226" s="8">
        <v>42802.857662037037</v>
      </c>
      <c r="B226" t="s">
        <v>595</v>
      </c>
      <c r="C226" t="s">
        <v>801</v>
      </c>
      <c r="D226" s="150">
        <v>2730000</v>
      </c>
      <c r="E226" t="s">
        <v>240</v>
      </c>
      <c r="F226" s="20" t="s">
        <v>241</v>
      </c>
      <c r="G226" s="8" t="str">
        <f t="shared" si="3"/>
        <v>YANG JAN</v>
      </c>
    </row>
    <row r="227" spans="1:7" x14ac:dyDescent="0.25">
      <c r="A227" s="8">
        <v>42802.859351851854</v>
      </c>
      <c r="B227" t="s">
        <v>476</v>
      </c>
      <c r="C227" t="s">
        <v>802</v>
      </c>
      <c r="D227" s="150">
        <v>1770000</v>
      </c>
      <c r="E227" t="s">
        <v>726</v>
      </c>
      <c r="F227" s="20" t="s">
        <v>727</v>
      </c>
      <c r="G227" s="8" t="str">
        <f t="shared" si="3"/>
        <v>BRUDER RICHARD</v>
      </c>
    </row>
    <row r="228" spans="1:7" x14ac:dyDescent="0.25">
      <c r="A228" s="8">
        <v>42802.86582175926</v>
      </c>
      <c r="B228" t="s">
        <v>475</v>
      </c>
      <c r="C228" t="s">
        <v>803</v>
      </c>
      <c r="D228" s="150">
        <v>2150000</v>
      </c>
      <c r="E228" t="s">
        <v>758</v>
      </c>
      <c r="F228" s="20" t="s">
        <v>759</v>
      </c>
      <c r="G228" s="8" t="str">
        <f t="shared" si="3"/>
        <v>SWANSON BRYCE</v>
      </c>
    </row>
    <row r="229" spans="1:7" x14ac:dyDescent="0.25">
      <c r="A229" s="8">
        <v>42802.872199074074</v>
      </c>
      <c r="B229" t="s">
        <v>252</v>
      </c>
      <c r="C229" t="s">
        <v>804</v>
      </c>
      <c r="D229" s="150">
        <v>2450000</v>
      </c>
      <c r="E229" t="s">
        <v>770</v>
      </c>
      <c r="F229" s="20" t="s">
        <v>771</v>
      </c>
      <c r="G229" s="8" t="str">
        <f t="shared" si="3"/>
        <v>NELSON ARIANE</v>
      </c>
    </row>
    <row r="230" spans="1:7" x14ac:dyDescent="0.25">
      <c r="A230" s="8">
        <v>42802.884965277779</v>
      </c>
      <c r="B230" t="s">
        <v>212</v>
      </c>
      <c r="C230" t="s">
        <v>805</v>
      </c>
      <c r="D230" s="150">
        <v>1810000</v>
      </c>
      <c r="E230" t="s">
        <v>201</v>
      </c>
      <c r="F230" s="20" t="s">
        <v>197</v>
      </c>
      <c r="G230" s="8" t="str">
        <f t="shared" si="3"/>
        <v>NEWELL JAMES</v>
      </c>
    </row>
    <row r="231" spans="1:7" x14ac:dyDescent="0.25">
      <c r="A231" s="8">
        <v>42802.88758101852</v>
      </c>
      <c r="B231" t="s">
        <v>431</v>
      </c>
      <c r="C231" t="s">
        <v>806</v>
      </c>
      <c r="D231" s="150">
        <v>1800000</v>
      </c>
      <c r="E231" t="s">
        <v>224</v>
      </c>
      <c r="F231" s="20" t="s">
        <v>225</v>
      </c>
      <c r="G231" s="8" t="str">
        <f t="shared" si="3"/>
        <v>CHANDLER KELVIN</v>
      </c>
    </row>
    <row r="232" spans="1:7" x14ac:dyDescent="0.25">
      <c r="A232" s="8">
        <v>42802.895312499997</v>
      </c>
      <c r="B232" t="s">
        <v>450</v>
      </c>
      <c r="C232" t="s">
        <v>592</v>
      </c>
      <c r="D232" s="150">
        <v>1740000</v>
      </c>
      <c r="E232" t="s">
        <v>490</v>
      </c>
      <c r="F232" s="20" t="s">
        <v>491</v>
      </c>
      <c r="G232" s="8" t="str">
        <f t="shared" si="3"/>
        <v>STORY SAMANTHA</v>
      </c>
    </row>
    <row r="233" spans="1:7" x14ac:dyDescent="0.25">
      <c r="A233" s="8">
        <v>42802.903553240743</v>
      </c>
      <c r="B233" t="s">
        <v>476</v>
      </c>
      <c r="C233" t="s">
        <v>807</v>
      </c>
      <c r="D233" s="150">
        <v>1800000</v>
      </c>
      <c r="E233" t="s">
        <v>224</v>
      </c>
      <c r="F233" s="20" t="s">
        <v>225</v>
      </c>
      <c r="G233" s="8" t="str">
        <f t="shared" si="3"/>
        <v>CHANDLER KELVIN</v>
      </c>
    </row>
    <row r="234" spans="1:7" x14ac:dyDescent="0.25">
      <c r="A234" s="8">
        <v>42802.904849537037</v>
      </c>
      <c r="B234" t="s">
        <v>427</v>
      </c>
      <c r="C234" t="s">
        <v>808</v>
      </c>
      <c r="D234" s="150">
        <v>2150000</v>
      </c>
      <c r="E234" t="s">
        <v>758</v>
      </c>
      <c r="F234" s="20" t="s">
        <v>759</v>
      </c>
      <c r="G234" s="8" t="str">
        <f t="shared" si="3"/>
        <v>SWANSON BRYCE</v>
      </c>
    </row>
    <row r="235" spans="1:7" x14ac:dyDescent="0.25">
      <c r="A235" s="8">
        <v>42802.914270833331</v>
      </c>
      <c r="B235" t="s">
        <v>254</v>
      </c>
      <c r="C235" t="s">
        <v>809</v>
      </c>
      <c r="D235" s="150">
        <v>2450000</v>
      </c>
      <c r="E235" t="s">
        <v>770</v>
      </c>
      <c r="F235" s="20" t="s">
        <v>771</v>
      </c>
      <c r="G235" s="8" t="str">
        <f t="shared" si="3"/>
        <v>NELSON ARIANE</v>
      </c>
    </row>
    <row r="236" spans="1:7" x14ac:dyDescent="0.25">
      <c r="A236" s="8">
        <v>42802.928877314815</v>
      </c>
      <c r="B236" t="s">
        <v>431</v>
      </c>
      <c r="C236" t="s">
        <v>810</v>
      </c>
      <c r="D236" s="150">
        <v>1800000</v>
      </c>
      <c r="E236" t="s">
        <v>224</v>
      </c>
      <c r="F236" s="20" t="s">
        <v>225</v>
      </c>
      <c r="G236" s="8" t="str">
        <f t="shared" si="3"/>
        <v>CHANDLER KELVIN</v>
      </c>
    </row>
    <row r="237" spans="1:7" x14ac:dyDescent="0.25">
      <c r="A237" s="8">
        <v>42802.929479166669</v>
      </c>
      <c r="B237" t="s">
        <v>449</v>
      </c>
      <c r="C237" t="s">
        <v>811</v>
      </c>
      <c r="D237" s="150">
        <v>1740000</v>
      </c>
      <c r="E237" t="s">
        <v>490</v>
      </c>
      <c r="F237" s="20" t="s">
        <v>491</v>
      </c>
      <c r="G237" s="8" t="str">
        <f t="shared" si="3"/>
        <v>STORY SAMANTHA</v>
      </c>
    </row>
    <row r="238" spans="1:7" x14ac:dyDescent="0.25">
      <c r="A238" s="8">
        <v>42802.931863425925</v>
      </c>
      <c r="B238" t="s">
        <v>559</v>
      </c>
      <c r="C238" t="s">
        <v>797</v>
      </c>
      <c r="D238" s="150">
        <v>2730000</v>
      </c>
      <c r="E238" t="s">
        <v>240</v>
      </c>
      <c r="F238" s="20" t="s">
        <v>241</v>
      </c>
      <c r="G238" s="8" t="str">
        <f t="shared" si="3"/>
        <v>YANG JAN</v>
      </c>
    </row>
    <row r="239" spans="1:7" x14ac:dyDescent="0.25">
      <c r="A239" s="8">
        <v>42802.935266203705</v>
      </c>
      <c r="B239" t="s">
        <v>211</v>
      </c>
      <c r="C239" t="s">
        <v>812</v>
      </c>
      <c r="D239" s="150">
        <v>2530000</v>
      </c>
      <c r="E239" t="s">
        <v>451</v>
      </c>
      <c r="F239" s="20" t="s">
        <v>452</v>
      </c>
      <c r="G239" s="8" t="str">
        <f t="shared" si="3"/>
        <v>LALONDE GREGORY</v>
      </c>
    </row>
    <row r="240" spans="1:7" x14ac:dyDescent="0.25">
      <c r="A240" s="8">
        <v>42802.943553240744</v>
      </c>
      <c r="B240" t="s">
        <v>476</v>
      </c>
      <c r="C240" t="s">
        <v>813</v>
      </c>
      <c r="D240" s="150">
        <v>1800000</v>
      </c>
      <c r="E240" t="s">
        <v>224</v>
      </c>
      <c r="F240" s="20" t="s">
        <v>225</v>
      </c>
      <c r="G240" s="8" t="str">
        <f t="shared" si="3"/>
        <v>CHANDLER KELVIN</v>
      </c>
    </row>
    <row r="241" spans="1:7" x14ac:dyDescent="0.25">
      <c r="A241" s="8">
        <v>42802.946446759262</v>
      </c>
      <c r="B241" t="s">
        <v>475</v>
      </c>
      <c r="C241" t="s">
        <v>814</v>
      </c>
      <c r="D241" s="150">
        <v>2150000</v>
      </c>
      <c r="E241" t="s">
        <v>758</v>
      </c>
      <c r="F241" s="20" t="s">
        <v>759</v>
      </c>
      <c r="G241" s="8" t="str">
        <f t="shared" si="3"/>
        <v>SWANSON BRYCE</v>
      </c>
    </row>
    <row r="242" spans="1:7" x14ac:dyDescent="0.25">
      <c r="A242" s="8">
        <v>42802.952314814815</v>
      </c>
      <c r="B242" t="s">
        <v>595</v>
      </c>
      <c r="C242" t="s">
        <v>801</v>
      </c>
      <c r="D242" s="150">
        <v>2730000</v>
      </c>
      <c r="E242" t="s">
        <v>240</v>
      </c>
      <c r="F242" s="20" t="s">
        <v>241</v>
      </c>
      <c r="G242" s="8" t="str">
        <f t="shared" si="3"/>
        <v>YANG JAN</v>
      </c>
    </row>
    <row r="243" spans="1:7" x14ac:dyDescent="0.25">
      <c r="A243" s="8">
        <v>42802.954930555556</v>
      </c>
      <c r="B243" t="s">
        <v>252</v>
      </c>
      <c r="C243" t="s">
        <v>593</v>
      </c>
      <c r="D243" s="150">
        <v>2450000</v>
      </c>
      <c r="E243" t="s">
        <v>770</v>
      </c>
      <c r="F243" s="20" t="s">
        <v>771</v>
      </c>
      <c r="G243" s="8" t="str">
        <f t="shared" si="3"/>
        <v>NELSON ARIANE</v>
      </c>
    </row>
    <row r="244" spans="1:7" x14ac:dyDescent="0.25">
      <c r="A244" s="8">
        <v>42802.970324074071</v>
      </c>
      <c r="B244" t="s">
        <v>450</v>
      </c>
      <c r="C244" t="s">
        <v>811</v>
      </c>
      <c r="D244" s="150">
        <v>1740000</v>
      </c>
      <c r="E244" t="s">
        <v>490</v>
      </c>
      <c r="F244" s="20" t="s">
        <v>491</v>
      </c>
      <c r="G244" s="8" t="str">
        <f t="shared" si="3"/>
        <v>STORY SAMANTHA</v>
      </c>
    </row>
    <row r="245" spans="1:7" x14ac:dyDescent="0.25">
      <c r="A245" s="8">
        <v>42802.971805555557</v>
      </c>
      <c r="B245" t="s">
        <v>212</v>
      </c>
      <c r="C245" t="s">
        <v>815</v>
      </c>
      <c r="D245" s="150">
        <v>2530000</v>
      </c>
      <c r="E245" t="s">
        <v>451</v>
      </c>
      <c r="F245" s="20" t="s">
        <v>452</v>
      </c>
      <c r="G245" s="8" t="str">
        <f t="shared" si="3"/>
        <v>LALONDE GREGORY</v>
      </c>
    </row>
    <row r="246" spans="1:7" x14ac:dyDescent="0.25">
      <c r="A246" s="8">
        <v>42802.972210648149</v>
      </c>
      <c r="B246" t="s">
        <v>450</v>
      </c>
      <c r="C246" t="s">
        <v>816</v>
      </c>
      <c r="D246" s="150">
        <v>1740000</v>
      </c>
      <c r="E246" t="s">
        <v>490</v>
      </c>
      <c r="F246" s="20" t="s">
        <v>491</v>
      </c>
      <c r="G246" s="8" t="str">
        <f t="shared" si="3"/>
        <v>STORY SAMANTHA</v>
      </c>
    </row>
    <row r="247" spans="1:7" x14ac:dyDescent="0.25">
      <c r="A247" s="8">
        <v>42802.984884259262</v>
      </c>
      <c r="B247" t="s">
        <v>559</v>
      </c>
      <c r="C247" t="s">
        <v>797</v>
      </c>
      <c r="D247" s="150">
        <v>2730000</v>
      </c>
      <c r="E247" t="s">
        <v>240</v>
      </c>
      <c r="F247" s="20" t="s">
        <v>241</v>
      </c>
      <c r="G247" s="8" t="str">
        <f t="shared" si="3"/>
        <v>YANG JAN</v>
      </c>
    </row>
    <row r="248" spans="1:7" x14ac:dyDescent="0.25">
      <c r="A248" s="8">
        <v>42802.988043981481</v>
      </c>
      <c r="B248" t="s">
        <v>427</v>
      </c>
      <c r="C248" t="s">
        <v>817</v>
      </c>
      <c r="D248" s="150">
        <v>2150000</v>
      </c>
      <c r="E248" t="s">
        <v>758</v>
      </c>
      <c r="F248" s="20" t="s">
        <v>759</v>
      </c>
      <c r="G248" s="8" t="str">
        <f t="shared" si="3"/>
        <v>SWANSON BRYCE</v>
      </c>
    </row>
    <row r="249" spans="1:7" x14ac:dyDescent="0.25">
      <c r="A249" s="8">
        <v>42802.995532407411</v>
      </c>
      <c r="B249" t="s">
        <v>568</v>
      </c>
      <c r="C249" t="s">
        <v>818</v>
      </c>
      <c r="D249" s="150">
        <v>2450000</v>
      </c>
      <c r="E249" t="s">
        <v>770</v>
      </c>
      <c r="F249" s="20" t="s">
        <v>771</v>
      </c>
      <c r="G249" s="8" t="str">
        <f t="shared" si="3"/>
        <v>NELSON ARIANE</v>
      </c>
    </row>
    <row r="250" spans="1:7" x14ac:dyDescent="0.25">
      <c r="A250" s="8">
        <v>42803.01122685185</v>
      </c>
      <c r="B250" t="s">
        <v>449</v>
      </c>
      <c r="C250" t="s">
        <v>594</v>
      </c>
      <c r="D250" s="150">
        <v>1740000</v>
      </c>
      <c r="E250" t="s">
        <v>490</v>
      </c>
      <c r="F250" s="20" t="s">
        <v>491</v>
      </c>
      <c r="G250" s="8" t="str">
        <f t="shared" si="3"/>
        <v>STORY SAMANTHA</v>
      </c>
    </row>
    <row r="251" spans="1:7" x14ac:dyDescent="0.25">
      <c r="A251" s="8">
        <v>42803.018530092595</v>
      </c>
      <c r="B251" t="s">
        <v>211</v>
      </c>
      <c r="C251" t="s">
        <v>819</v>
      </c>
      <c r="D251" s="150">
        <v>1810000</v>
      </c>
      <c r="E251" t="s">
        <v>201</v>
      </c>
      <c r="F251" s="20" t="s">
        <v>197</v>
      </c>
      <c r="G251" s="8" t="str">
        <f t="shared" si="3"/>
        <v>NEWELL JAMES</v>
      </c>
    </row>
    <row r="252" spans="1:7" x14ac:dyDescent="0.25">
      <c r="A252" s="8">
        <v>42803.025787037041</v>
      </c>
      <c r="B252" t="s">
        <v>595</v>
      </c>
      <c r="C252" t="s">
        <v>801</v>
      </c>
      <c r="D252" s="150">
        <v>2730000</v>
      </c>
      <c r="E252" t="s">
        <v>240</v>
      </c>
      <c r="F252" s="20" t="s">
        <v>241</v>
      </c>
      <c r="G252" s="8" t="str">
        <f t="shared" si="3"/>
        <v>YANG JAN</v>
      </c>
    </row>
    <row r="253" spans="1:7" x14ac:dyDescent="0.25">
      <c r="A253" s="8">
        <v>42803.033553240741</v>
      </c>
      <c r="B253" t="s">
        <v>475</v>
      </c>
      <c r="C253" t="s">
        <v>820</v>
      </c>
      <c r="D253" s="150">
        <v>2150000</v>
      </c>
      <c r="E253" t="s">
        <v>758</v>
      </c>
      <c r="F253" s="20" t="s">
        <v>759</v>
      </c>
      <c r="G253" s="8" t="str">
        <f t="shared" si="3"/>
        <v>SWANSON BRYCE</v>
      </c>
    </row>
    <row r="254" spans="1:7" x14ac:dyDescent="0.25">
      <c r="A254" s="8">
        <v>42803.036689814813</v>
      </c>
      <c r="B254" t="s">
        <v>566</v>
      </c>
      <c r="C254" t="s">
        <v>821</v>
      </c>
      <c r="D254" s="150">
        <v>2450000</v>
      </c>
      <c r="E254" t="s">
        <v>770</v>
      </c>
      <c r="F254" s="20" t="s">
        <v>771</v>
      </c>
      <c r="G254" s="8" t="str">
        <f t="shared" si="3"/>
        <v>NELSON ARIANE</v>
      </c>
    </row>
    <row r="255" spans="1:7" x14ac:dyDescent="0.25">
      <c r="A255" s="8">
        <v>42803.048831018517</v>
      </c>
      <c r="B255" t="s">
        <v>559</v>
      </c>
      <c r="C255" t="s">
        <v>797</v>
      </c>
      <c r="D255" s="150">
        <v>2730000</v>
      </c>
      <c r="E255" t="s">
        <v>240</v>
      </c>
      <c r="F255" s="20" t="s">
        <v>241</v>
      </c>
      <c r="G255" s="8" t="str">
        <f t="shared" si="3"/>
        <v>YANG JAN</v>
      </c>
    </row>
    <row r="256" spans="1:7" x14ac:dyDescent="0.25">
      <c r="A256" s="8">
        <v>42803.05740740741</v>
      </c>
      <c r="B256" t="s">
        <v>212</v>
      </c>
      <c r="C256" t="s">
        <v>822</v>
      </c>
      <c r="D256" s="150">
        <v>1810000</v>
      </c>
      <c r="E256" t="s">
        <v>201</v>
      </c>
      <c r="F256" s="20" t="s">
        <v>197</v>
      </c>
      <c r="G256" s="8" t="str">
        <f t="shared" si="3"/>
        <v>NEWELL JAMES</v>
      </c>
    </row>
    <row r="257" spans="1:7" x14ac:dyDescent="0.25">
      <c r="A257" s="8">
        <v>42803.069062499999</v>
      </c>
      <c r="B257" t="s">
        <v>450</v>
      </c>
      <c r="C257" t="s">
        <v>823</v>
      </c>
      <c r="D257" s="150">
        <v>1740000</v>
      </c>
      <c r="E257" t="s">
        <v>490</v>
      </c>
      <c r="F257" s="20" t="s">
        <v>491</v>
      </c>
      <c r="G257" s="8" t="str">
        <f t="shared" si="3"/>
        <v>STORY SAMANTHA</v>
      </c>
    </row>
    <row r="258" spans="1:7" x14ac:dyDescent="0.25">
      <c r="A258" s="8">
        <v>42803.07240740741</v>
      </c>
      <c r="B258" t="s">
        <v>568</v>
      </c>
      <c r="C258" t="s">
        <v>824</v>
      </c>
      <c r="D258" s="150">
        <v>2450000</v>
      </c>
      <c r="E258" t="s">
        <v>770</v>
      </c>
      <c r="F258" s="20" t="s">
        <v>771</v>
      </c>
      <c r="G258" s="8" t="str">
        <f t="shared" si="3"/>
        <v>NELSON ARIANE</v>
      </c>
    </row>
    <row r="259" spans="1:7" x14ac:dyDescent="0.25">
      <c r="A259" s="8">
        <v>42803.076689814814</v>
      </c>
      <c r="B259" t="s">
        <v>595</v>
      </c>
      <c r="C259" t="s">
        <v>801</v>
      </c>
      <c r="D259" s="150">
        <v>2730000</v>
      </c>
      <c r="E259" t="s">
        <v>240</v>
      </c>
      <c r="F259" s="20" t="s">
        <v>241</v>
      </c>
      <c r="G259" s="8" t="str">
        <f t="shared" ref="G259:G322" si="4">E259&amp;" "&amp;F259</f>
        <v>YANG JAN</v>
      </c>
    </row>
    <row r="260" spans="1:7" x14ac:dyDescent="0.25">
      <c r="A260" s="8">
        <v>42803.090300925927</v>
      </c>
      <c r="B260" t="s">
        <v>211</v>
      </c>
      <c r="C260" t="s">
        <v>825</v>
      </c>
      <c r="D260" s="150">
        <v>1810000</v>
      </c>
      <c r="E260" t="s">
        <v>201</v>
      </c>
      <c r="F260" s="20" t="s">
        <v>197</v>
      </c>
      <c r="G260" s="8" t="str">
        <f t="shared" si="4"/>
        <v>NEWELL JAMES</v>
      </c>
    </row>
    <row r="261" spans="1:7" x14ac:dyDescent="0.25">
      <c r="A261" s="8">
        <v>42790.038599537038</v>
      </c>
      <c r="B261" t="s">
        <v>252</v>
      </c>
      <c r="C261" t="s">
        <v>253</v>
      </c>
      <c r="D261" s="150">
        <v>2270000</v>
      </c>
      <c r="E261" t="s">
        <v>219</v>
      </c>
      <c r="F261" s="20" t="s">
        <v>220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245</v>
      </c>
      <c r="C262" t="s">
        <v>255</v>
      </c>
      <c r="D262" s="150">
        <v>2670000</v>
      </c>
      <c r="E262" t="s">
        <v>221</v>
      </c>
      <c r="F262" s="20" t="s">
        <v>222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211</v>
      </c>
      <c r="C263" t="s">
        <v>257</v>
      </c>
      <c r="D263" s="150">
        <v>2540000</v>
      </c>
      <c r="E263" t="s">
        <v>214</v>
      </c>
      <c r="F263" s="20" t="s">
        <v>215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246</v>
      </c>
      <c r="C264" t="s">
        <v>256</v>
      </c>
      <c r="D264" s="150">
        <v>2730000</v>
      </c>
      <c r="E264" t="s">
        <v>240</v>
      </c>
      <c r="F264" s="20" t="s">
        <v>241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231</v>
      </c>
      <c r="C265" t="s">
        <v>258</v>
      </c>
      <c r="D265" s="150">
        <v>2220000</v>
      </c>
      <c r="E265" t="s">
        <v>209</v>
      </c>
      <c r="F265" s="20" t="s">
        <v>210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245</v>
      </c>
      <c r="C266" t="s">
        <v>255</v>
      </c>
      <c r="D266" s="150">
        <v>2670000</v>
      </c>
      <c r="E266" t="s">
        <v>221</v>
      </c>
      <c r="F266" s="20" t="s">
        <v>222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246</v>
      </c>
      <c r="C267" t="s">
        <v>256</v>
      </c>
      <c r="D267" s="150">
        <v>2730000</v>
      </c>
      <c r="E267" t="s">
        <v>240</v>
      </c>
      <c r="F267" s="20" t="s">
        <v>241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254</v>
      </c>
      <c r="C268" t="s">
        <v>259</v>
      </c>
      <c r="D268" s="150">
        <v>2270000</v>
      </c>
      <c r="E268" t="s">
        <v>219</v>
      </c>
      <c r="F268" s="20" t="s">
        <v>220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245</v>
      </c>
      <c r="C269" t="s">
        <v>255</v>
      </c>
      <c r="D269" s="150">
        <v>2670000</v>
      </c>
      <c r="E269" t="s">
        <v>221</v>
      </c>
      <c r="F269" s="20" t="s">
        <v>222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246</v>
      </c>
      <c r="C270" t="s">
        <v>256</v>
      </c>
      <c r="D270" s="150">
        <v>2730000</v>
      </c>
      <c r="E270" t="s">
        <v>240</v>
      </c>
      <c r="F270" s="20" t="s">
        <v>241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190</v>
      </c>
      <c r="C271" t="s">
        <v>260</v>
      </c>
      <c r="D271" s="150">
        <v>2220000</v>
      </c>
      <c r="E271" t="s">
        <v>209</v>
      </c>
      <c r="F271" s="20" t="s">
        <v>210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245</v>
      </c>
      <c r="C272" t="s">
        <v>255</v>
      </c>
      <c r="D272" s="150">
        <v>2670000</v>
      </c>
      <c r="E272" t="s">
        <v>221</v>
      </c>
      <c r="F272" s="20" t="s">
        <v>222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246</v>
      </c>
      <c r="C273" t="s">
        <v>256</v>
      </c>
      <c r="D273" s="150">
        <v>2730000</v>
      </c>
      <c r="E273" t="s">
        <v>240</v>
      </c>
      <c r="F273" s="20" t="s">
        <v>241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37.47</v>
      </c>
      <c r="B2" s="168">
        <v>0.34</v>
      </c>
      <c r="C2" s="168">
        <v>10.9</v>
      </c>
      <c r="D2" s="8">
        <v>42802</v>
      </c>
      <c r="E2" s="168">
        <v>0.33</v>
      </c>
      <c r="F2" s="168" t="s">
        <v>455</v>
      </c>
      <c r="G2" s="168">
        <v>326.89999999999998</v>
      </c>
      <c r="H2" s="168">
        <v>0</v>
      </c>
      <c r="I2" s="168">
        <v>0</v>
      </c>
      <c r="J2" s="168">
        <v>1021.3</v>
      </c>
      <c r="K2" s="168" t="s">
        <v>456</v>
      </c>
      <c r="L2" s="168">
        <v>37.47</v>
      </c>
      <c r="M2" s="168">
        <v>1488956400</v>
      </c>
      <c r="N2" s="168">
        <v>6.47</v>
      </c>
      <c r="O2" s="168">
        <v>215</v>
      </c>
      <c r="P2" s="168">
        <v>1.61</v>
      </c>
      <c r="Q2"/>
      <c r="R2"/>
    </row>
    <row r="3" spans="1:18" x14ac:dyDescent="0.25">
      <c r="A3" s="168">
        <v>39.08</v>
      </c>
      <c r="B3" s="168">
        <v>0.23</v>
      </c>
      <c r="C3" s="168">
        <v>13.91</v>
      </c>
      <c r="D3" s="8">
        <v>42802.041666666664</v>
      </c>
      <c r="E3" s="168">
        <v>0.35</v>
      </c>
      <c r="F3" s="168" t="s">
        <v>278</v>
      </c>
      <c r="G3" s="168">
        <v>328.35</v>
      </c>
      <c r="H3" s="168">
        <v>0</v>
      </c>
      <c r="I3" s="168">
        <v>0</v>
      </c>
      <c r="J3" s="168">
        <v>1021.75</v>
      </c>
      <c r="K3" s="168" t="s">
        <v>279</v>
      </c>
      <c r="L3" s="168">
        <v>39.08</v>
      </c>
      <c r="M3" s="168">
        <v>1488960000</v>
      </c>
      <c r="N3" s="168">
        <v>6.37</v>
      </c>
      <c r="O3" s="168">
        <v>251</v>
      </c>
      <c r="P3" s="168">
        <v>2.12</v>
      </c>
      <c r="Q3"/>
      <c r="R3"/>
    </row>
    <row r="4" spans="1:18" x14ac:dyDescent="0.25">
      <c r="A4" s="168">
        <v>35.590000000000003</v>
      </c>
      <c r="B4" s="168">
        <v>0.13</v>
      </c>
      <c r="C4" s="168">
        <v>14.77</v>
      </c>
      <c r="D4" s="8">
        <v>42802.083333333336</v>
      </c>
      <c r="E4" s="168">
        <v>0.38</v>
      </c>
      <c r="F4" s="168" t="s">
        <v>278</v>
      </c>
      <c r="G4" s="168">
        <v>329.81</v>
      </c>
      <c r="H4" s="168">
        <v>0</v>
      </c>
      <c r="I4" s="168">
        <v>0</v>
      </c>
      <c r="J4" s="168">
        <v>1022.13</v>
      </c>
      <c r="K4" s="168" t="s">
        <v>279</v>
      </c>
      <c r="L4" s="168">
        <v>38.35</v>
      </c>
      <c r="M4" s="168">
        <v>1488963600</v>
      </c>
      <c r="N4" s="168">
        <v>6.08</v>
      </c>
      <c r="O4" s="168">
        <v>265</v>
      </c>
      <c r="P4" s="168">
        <v>3.83</v>
      </c>
      <c r="Q4"/>
      <c r="R4"/>
    </row>
    <row r="5" spans="1:18" x14ac:dyDescent="0.25">
      <c r="A5" s="168">
        <v>35.65</v>
      </c>
      <c r="B5" s="168">
        <v>0.19</v>
      </c>
      <c r="C5" s="168">
        <v>12.36</v>
      </c>
      <c r="D5" s="8">
        <v>42802.125</v>
      </c>
      <c r="E5" s="168">
        <v>0.38</v>
      </c>
      <c r="F5" s="168" t="s">
        <v>278</v>
      </c>
      <c r="G5" s="168">
        <v>329.27</v>
      </c>
      <c r="H5" s="168">
        <v>0</v>
      </c>
      <c r="I5" s="168">
        <v>0</v>
      </c>
      <c r="J5" s="168">
        <v>1021.34</v>
      </c>
      <c r="K5" s="168" t="s">
        <v>279</v>
      </c>
      <c r="L5" s="168">
        <v>35.65</v>
      </c>
      <c r="M5" s="168">
        <v>1488967200</v>
      </c>
      <c r="N5" s="168">
        <v>5.93</v>
      </c>
      <c r="O5" s="168">
        <v>247</v>
      </c>
      <c r="P5" s="168">
        <v>2.5299999999999998</v>
      </c>
      <c r="Q5"/>
      <c r="R5"/>
    </row>
    <row r="6" spans="1:18" x14ac:dyDescent="0.25">
      <c r="A6" s="168">
        <v>35.24</v>
      </c>
      <c r="B6" s="168">
        <v>0.21</v>
      </c>
      <c r="C6" s="168">
        <v>12.23</v>
      </c>
      <c r="D6" s="8">
        <v>42802.166666666664</v>
      </c>
      <c r="E6" s="168">
        <v>0.38</v>
      </c>
      <c r="F6" s="168" t="s">
        <v>278</v>
      </c>
      <c r="G6" s="168">
        <v>327.98</v>
      </c>
      <c r="H6" s="168">
        <v>0</v>
      </c>
      <c r="I6" s="168">
        <v>0</v>
      </c>
      <c r="J6" s="168">
        <v>1020.3</v>
      </c>
      <c r="K6" s="168" t="s">
        <v>279</v>
      </c>
      <c r="L6" s="168">
        <v>35.24</v>
      </c>
      <c r="M6" s="168">
        <v>1488970800</v>
      </c>
      <c r="N6" s="168">
        <v>6.33</v>
      </c>
      <c r="O6" s="168">
        <v>247</v>
      </c>
      <c r="P6" s="168">
        <v>1.93</v>
      </c>
      <c r="Q6"/>
      <c r="R6"/>
    </row>
    <row r="7" spans="1:18" x14ac:dyDescent="0.25">
      <c r="A7" s="168">
        <v>33.53</v>
      </c>
      <c r="B7" s="168">
        <v>0.25</v>
      </c>
      <c r="C7" s="168">
        <v>12.82</v>
      </c>
      <c r="D7" s="8">
        <v>42802.208333333336</v>
      </c>
      <c r="E7" s="168">
        <v>0.37</v>
      </c>
      <c r="F7" s="168" t="s">
        <v>455</v>
      </c>
      <c r="G7" s="168">
        <v>327.52</v>
      </c>
      <c r="H7" s="168">
        <v>0</v>
      </c>
      <c r="I7" s="168">
        <v>0</v>
      </c>
      <c r="J7" s="168">
        <v>1019.87</v>
      </c>
      <c r="K7" s="168" t="s">
        <v>456</v>
      </c>
      <c r="L7" s="168">
        <v>36.57</v>
      </c>
      <c r="M7" s="168">
        <v>1488974400</v>
      </c>
      <c r="N7" s="168">
        <v>10</v>
      </c>
      <c r="O7" s="168">
        <v>199</v>
      </c>
      <c r="P7" s="168">
        <v>3.83</v>
      </c>
      <c r="Q7"/>
      <c r="R7"/>
    </row>
    <row r="8" spans="1:18" x14ac:dyDescent="0.25">
      <c r="A8" s="168">
        <v>36.35</v>
      </c>
      <c r="B8" s="168">
        <v>0.31</v>
      </c>
      <c r="C8" s="168">
        <v>13.67</v>
      </c>
      <c r="D8" s="8">
        <v>42802.25</v>
      </c>
      <c r="E8" s="168">
        <v>0.39</v>
      </c>
      <c r="F8" s="168" t="s">
        <v>455</v>
      </c>
      <c r="G8" s="168">
        <v>329.12</v>
      </c>
      <c r="H8" s="168">
        <v>0</v>
      </c>
      <c r="I8" s="168">
        <v>0</v>
      </c>
      <c r="J8" s="168">
        <v>1019.94</v>
      </c>
      <c r="K8" s="168" t="s">
        <v>456</v>
      </c>
      <c r="L8" s="168">
        <v>36.35</v>
      </c>
      <c r="M8" s="168">
        <v>1488978000</v>
      </c>
      <c r="N8" s="168">
        <v>6.63</v>
      </c>
      <c r="O8" s="168">
        <v>283</v>
      </c>
      <c r="P8" s="168">
        <v>2.14</v>
      </c>
      <c r="Q8"/>
      <c r="R8"/>
    </row>
    <row r="9" spans="1:18" x14ac:dyDescent="0.25">
      <c r="A9" s="168">
        <v>36.119999999999997</v>
      </c>
      <c r="B9" s="168">
        <v>0.31</v>
      </c>
      <c r="C9" s="168">
        <v>15.69</v>
      </c>
      <c r="D9" s="8">
        <v>42802.291666666664</v>
      </c>
      <c r="E9" s="168">
        <v>0.43</v>
      </c>
      <c r="F9" s="168" t="s">
        <v>457</v>
      </c>
      <c r="G9" s="168">
        <v>331.54</v>
      </c>
      <c r="H9" s="168">
        <v>0</v>
      </c>
      <c r="I9" s="168">
        <v>0</v>
      </c>
      <c r="J9" s="168">
        <v>1020.18</v>
      </c>
      <c r="K9" s="168" t="s">
        <v>456</v>
      </c>
      <c r="L9" s="168">
        <v>36.119999999999997</v>
      </c>
      <c r="M9" s="168">
        <v>1488981600</v>
      </c>
      <c r="N9" s="168">
        <v>10</v>
      </c>
      <c r="O9" s="168">
        <v>255</v>
      </c>
      <c r="P9" s="168">
        <v>1.96</v>
      </c>
      <c r="Q9"/>
      <c r="R9"/>
    </row>
    <row r="10" spans="1:18" x14ac:dyDescent="0.25">
      <c r="A10" s="168">
        <v>40.549999999999997</v>
      </c>
      <c r="B10" s="168">
        <v>0.33</v>
      </c>
      <c r="C10" s="168">
        <v>18.75</v>
      </c>
      <c r="D10" s="8">
        <v>42802.333333333336</v>
      </c>
      <c r="E10" s="168">
        <v>0.41</v>
      </c>
      <c r="F10" s="168" t="s">
        <v>457</v>
      </c>
      <c r="G10" s="168">
        <v>332.59</v>
      </c>
      <c r="H10" s="168">
        <v>0</v>
      </c>
      <c r="I10" s="168">
        <v>0</v>
      </c>
      <c r="J10" s="168">
        <v>1020.08</v>
      </c>
      <c r="K10" s="168" t="s">
        <v>456</v>
      </c>
      <c r="L10" s="168">
        <v>40.549999999999997</v>
      </c>
      <c r="M10" s="168">
        <v>1488985200</v>
      </c>
      <c r="N10" s="168">
        <v>5.41</v>
      </c>
      <c r="O10" s="168">
        <v>262</v>
      </c>
      <c r="P10" s="168">
        <v>1.61</v>
      </c>
      <c r="Q10"/>
      <c r="R10"/>
    </row>
    <row r="11" spans="1:18" x14ac:dyDescent="0.25">
      <c r="A11" s="168">
        <v>45.54</v>
      </c>
      <c r="B11" s="168">
        <v>0.36</v>
      </c>
      <c r="C11" s="168">
        <v>22.22</v>
      </c>
      <c r="D11" s="8">
        <v>42802.375</v>
      </c>
      <c r="E11" s="168">
        <v>0.37</v>
      </c>
      <c r="F11" s="168" t="s">
        <v>457</v>
      </c>
      <c r="G11" s="168">
        <v>331</v>
      </c>
      <c r="H11" s="168">
        <v>0</v>
      </c>
      <c r="I11" s="168">
        <v>0</v>
      </c>
      <c r="J11" s="168">
        <v>1018.76</v>
      </c>
      <c r="K11" s="168" t="s">
        <v>456</v>
      </c>
      <c r="L11" s="168">
        <v>46.97</v>
      </c>
      <c r="M11" s="168">
        <v>1488988800</v>
      </c>
      <c r="N11" s="168">
        <v>10</v>
      </c>
      <c r="O11" s="168">
        <v>225</v>
      </c>
      <c r="P11" s="168">
        <v>3.78</v>
      </c>
      <c r="Q11"/>
      <c r="R11"/>
    </row>
    <row r="12" spans="1:18" x14ac:dyDescent="0.25">
      <c r="A12" s="168">
        <v>51.89</v>
      </c>
      <c r="B12" s="168">
        <v>0.43</v>
      </c>
      <c r="C12" s="168">
        <v>20.97</v>
      </c>
      <c r="D12" s="8">
        <v>42802.416666666664</v>
      </c>
      <c r="E12" s="168">
        <v>0.28999999999999998</v>
      </c>
      <c r="F12" s="168" t="s">
        <v>457</v>
      </c>
      <c r="G12" s="168">
        <v>328.05</v>
      </c>
      <c r="H12" s="168">
        <v>0</v>
      </c>
      <c r="I12" s="168">
        <v>0</v>
      </c>
      <c r="J12" s="168">
        <v>1017.16</v>
      </c>
      <c r="K12" s="168" t="s">
        <v>456</v>
      </c>
      <c r="L12" s="168">
        <v>51.89</v>
      </c>
      <c r="M12" s="168">
        <v>1488992400</v>
      </c>
      <c r="N12" s="168">
        <v>5.27</v>
      </c>
      <c r="O12" s="168">
        <v>268</v>
      </c>
      <c r="P12" s="168">
        <v>2.5</v>
      </c>
      <c r="Q12"/>
      <c r="R12"/>
    </row>
    <row r="13" spans="1:18" x14ac:dyDescent="0.25">
      <c r="A13" s="168">
        <v>59.33</v>
      </c>
      <c r="B13" s="168">
        <v>0.43</v>
      </c>
      <c r="C13" s="168">
        <v>18.920000000000002</v>
      </c>
      <c r="D13" s="8">
        <v>42802.458333333336</v>
      </c>
      <c r="E13" s="168">
        <v>0.21</v>
      </c>
      <c r="F13" s="168" t="s">
        <v>457</v>
      </c>
      <c r="G13" s="168">
        <v>325.37</v>
      </c>
      <c r="H13" s="168">
        <v>0</v>
      </c>
      <c r="I13" s="168">
        <v>0</v>
      </c>
      <c r="J13" s="168">
        <v>1016.03</v>
      </c>
      <c r="K13" s="168" t="s">
        <v>456</v>
      </c>
      <c r="L13" s="168">
        <v>59.33</v>
      </c>
      <c r="M13" s="168">
        <v>1488996000</v>
      </c>
      <c r="N13" s="168">
        <v>5.25</v>
      </c>
      <c r="O13" s="168">
        <v>327</v>
      </c>
      <c r="P13" s="168">
        <v>4.2300000000000004</v>
      </c>
      <c r="Q13"/>
      <c r="R13"/>
    </row>
    <row r="14" spans="1:18" x14ac:dyDescent="0.25">
      <c r="A14" s="168">
        <v>60.33</v>
      </c>
      <c r="B14" s="168">
        <v>0.39</v>
      </c>
      <c r="C14" s="168">
        <v>17.39</v>
      </c>
      <c r="D14" s="8">
        <v>42802.5</v>
      </c>
      <c r="E14" s="168">
        <v>0.19</v>
      </c>
      <c r="F14" s="168" t="s">
        <v>457</v>
      </c>
      <c r="G14" s="168">
        <v>323.75</v>
      </c>
      <c r="H14" s="168">
        <v>0</v>
      </c>
      <c r="I14" s="168">
        <v>0</v>
      </c>
      <c r="J14" s="168">
        <v>1015.54</v>
      </c>
      <c r="K14" s="168" t="s">
        <v>456</v>
      </c>
      <c r="L14" s="168">
        <v>60.33</v>
      </c>
      <c r="M14" s="168">
        <v>1488999600</v>
      </c>
      <c r="N14" s="168">
        <v>5.27</v>
      </c>
      <c r="O14" s="168">
        <v>325</v>
      </c>
      <c r="P14" s="168">
        <v>3.28</v>
      </c>
      <c r="Q14"/>
      <c r="R14"/>
    </row>
    <row r="15" spans="1:18" x14ac:dyDescent="0.25">
      <c r="A15" s="168">
        <v>63.91</v>
      </c>
      <c r="B15" s="168">
        <v>0.33</v>
      </c>
      <c r="C15" s="168">
        <v>18.8</v>
      </c>
      <c r="D15" s="8">
        <v>42802.541666666664</v>
      </c>
      <c r="E15" s="168">
        <v>0.17</v>
      </c>
      <c r="F15" s="168" t="s">
        <v>457</v>
      </c>
      <c r="G15" s="168">
        <v>322.41000000000003</v>
      </c>
      <c r="H15" s="168">
        <v>0</v>
      </c>
      <c r="I15" s="168">
        <v>0</v>
      </c>
      <c r="J15" s="168">
        <v>1015.44</v>
      </c>
      <c r="K15" s="168" t="s">
        <v>456</v>
      </c>
      <c r="L15" s="168">
        <v>63.91</v>
      </c>
      <c r="M15" s="168">
        <v>1489003200</v>
      </c>
      <c r="N15" s="168">
        <v>5.25</v>
      </c>
      <c r="O15" s="168">
        <v>316</v>
      </c>
      <c r="P15" s="168">
        <v>7.98</v>
      </c>
      <c r="Q15"/>
      <c r="R15"/>
    </row>
    <row r="16" spans="1:18" x14ac:dyDescent="0.25">
      <c r="A16" s="168">
        <v>65.650000000000006</v>
      </c>
      <c r="B16" s="168">
        <v>0.3</v>
      </c>
      <c r="C16" s="168">
        <v>18.420000000000002</v>
      </c>
      <c r="D16" s="8">
        <v>42802.583333333336</v>
      </c>
      <c r="E16" s="168">
        <v>0.16</v>
      </c>
      <c r="F16" s="168" t="s">
        <v>457</v>
      </c>
      <c r="G16" s="168">
        <v>320.63</v>
      </c>
      <c r="H16" s="168">
        <v>0</v>
      </c>
      <c r="I16" s="168">
        <v>0</v>
      </c>
      <c r="J16" s="168">
        <v>1015.37</v>
      </c>
      <c r="K16" s="168" t="s">
        <v>456</v>
      </c>
      <c r="L16" s="168">
        <v>65.650000000000006</v>
      </c>
      <c r="M16" s="168">
        <v>1489006800</v>
      </c>
      <c r="N16" s="168">
        <v>5.23</v>
      </c>
      <c r="O16" s="168">
        <v>323</v>
      </c>
      <c r="P16" s="168">
        <v>7.89</v>
      </c>
      <c r="Q16"/>
      <c r="R16"/>
    </row>
    <row r="17" spans="1:18" x14ac:dyDescent="0.25">
      <c r="A17" s="168">
        <v>66.19</v>
      </c>
      <c r="B17" s="168">
        <v>0.37</v>
      </c>
      <c r="C17" s="168">
        <v>17.62</v>
      </c>
      <c r="D17" s="8">
        <v>42802.625</v>
      </c>
      <c r="E17" s="168">
        <v>0.15</v>
      </c>
      <c r="F17" s="168" t="s">
        <v>457</v>
      </c>
      <c r="G17" s="168">
        <v>317.64999999999998</v>
      </c>
      <c r="H17" s="168">
        <v>0</v>
      </c>
      <c r="I17" s="168">
        <v>0</v>
      </c>
      <c r="J17" s="168">
        <v>1014.9</v>
      </c>
      <c r="K17" s="168" t="s">
        <v>456</v>
      </c>
      <c r="L17" s="168">
        <v>66.19</v>
      </c>
      <c r="M17" s="168">
        <v>1489010400</v>
      </c>
      <c r="N17" s="168">
        <v>5.28</v>
      </c>
      <c r="O17" s="168">
        <v>310</v>
      </c>
      <c r="P17" s="168">
        <v>7.13</v>
      </c>
      <c r="Q17"/>
      <c r="R17"/>
    </row>
    <row r="18" spans="1:18" x14ac:dyDescent="0.25">
      <c r="A18" s="168">
        <v>63.96</v>
      </c>
      <c r="B18" s="168">
        <v>0.5</v>
      </c>
      <c r="C18" s="168">
        <v>15.85</v>
      </c>
      <c r="D18" s="8">
        <v>42802.666666666664</v>
      </c>
      <c r="E18" s="168">
        <v>0.15</v>
      </c>
      <c r="F18" s="168" t="s">
        <v>457</v>
      </c>
      <c r="G18" s="168">
        <v>314.24</v>
      </c>
      <c r="H18" s="168">
        <v>0</v>
      </c>
      <c r="I18" s="168">
        <v>0</v>
      </c>
      <c r="J18" s="168">
        <v>1014.38</v>
      </c>
      <c r="K18" s="168" t="s">
        <v>456</v>
      </c>
      <c r="L18" s="168">
        <v>63.96</v>
      </c>
      <c r="M18" s="168">
        <v>1489014000</v>
      </c>
      <c r="N18" s="168">
        <v>5.52</v>
      </c>
      <c r="O18" s="168">
        <v>314</v>
      </c>
      <c r="P18" s="168">
        <v>6.61</v>
      </c>
      <c r="Q18"/>
      <c r="R18"/>
    </row>
    <row r="19" spans="1:18" x14ac:dyDescent="0.25">
      <c r="A19" s="168">
        <v>62.6</v>
      </c>
      <c r="B19" s="168">
        <v>0.59</v>
      </c>
      <c r="C19" s="168">
        <v>15.95</v>
      </c>
      <c r="D19" s="8">
        <v>42802.708333333336</v>
      </c>
      <c r="E19" s="168">
        <v>0.16</v>
      </c>
      <c r="F19" s="168" t="s">
        <v>457</v>
      </c>
      <c r="G19" s="168">
        <v>311.95</v>
      </c>
      <c r="H19" s="168">
        <v>0</v>
      </c>
      <c r="I19" s="168">
        <v>0</v>
      </c>
      <c r="J19" s="168">
        <v>1014.28</v>
      </c>
      <c r="K19" s="168" t="s">
        <v>456</v>
      </c>
      <c r="L19" s="168">
        <v>62.6</v>
      </c>
      <c r="M19" s="168">
        <v>1489017600</v>
      </c>
      <c r="N19" s="168">
        <v>5.79</v>
      </c>
      <c r="O19" s="168">
        <v>304</v>
      </c>
      <c r="P19" s="168">
        <v>6.31</v>
      </c>
      <c r="Q19"/>
      <c r="R19"/>
    </row>
    <row r="20" spans="1:18" x14ac:dyDescent="0.25">
      <c r="A20" s="168">
        <v>60.03</v>
      </c>
      <c r="B20" s="168">
        <v>0.56999999999999995</v>
      </c>
      <c r="C20" s="168">
        <v>14.85</v>
      </c>
      <c r="D20" s="8">
        <v>42802.75</v>
      </c>
      <c r="E20" s="168">
        <v>0.17</v>
      </c>
      <c r="F20" s="168" t="s">
        <v>455</v>
      </c>
      <c r="G20" s="168">
        <v>311.66000000000003</v>
      </c>
      <c r="H20" s="168">
        <v>0</v>
      </c>
      <c r="I20" s="168">
        <v>0</v>
      </c>
      <c r="J20" s="168">
        <v>1014.61</v>
      </c>
      <c r="K20" s="168" t="s">
        <v>456</v>
      </c>
      <c r="L20" s="168">
        <v>60.03</v>
      </c>
      <c r="M20" s="168">
        <v>1489021200</v>
      </c>
      <c r="N20" s="168">
        <v>6.52</v>
      </c>
      <c r="O20" s="168">
        <v>309</v>
      </c>
      <c r="P20" s="168">
        <v>7.59</v>
      </c>
      <c r="Q20"/>
      <c r="R20"/>
    </row>
    <row r="21" spans="1:18" x14ac:dyDescent="0.25">
      <c r="A21" s="168">
        <v>57.67</v>
      </c>
      <c r="B21" s="168">
        <v>0.39</v>
      </c>
      <c r="C21" s="168">
        <v>16.25</v>
      </c>
      <c r="D21" s="8">
        <v>42802.791666666664</v>
      </c>
      <c r="E21" s="168">
        <v>0.19</v>
      </c>
      <c r="F21" s="168" t="s">
        <v>455</v>
      </c>
      <c r="G21" s="168">
        <v>312.48</v>
      </c>
      <c r="H21" s="168">
        <v>0</v>
      </c>
      <c r="I21" s="168">
        <v>0</v>
      </c>
      <c r="J21" s="168">
        <v>1015.66</v>
      </c>
      <c r="K21" s="168" t="s">
        <v>456</v>
      </c>
      <c r="L21" s="168">
        <v>57.67</v>
      </c>
      <c r="M21" s="168">
        <v>1489024800</v>
      </c>
      <c r="N21" s="168">
        <v>10</v>
      </c>
      <c r="O21" s="168">
        <v>275</v>
      </c>
      <c r="P21" s="168">
        <v>4.5999999999999996</v>
      </c>
      <c r="Q21"/>
      <c r="R21"/>
    </row>
    <row r="22" spans="1:18" x14ac:dyDescent="0.25">
      <c r="A22" s="168">
        <v>54.75</v>
      </c>
      <c r="B22" s="168">
        <v>0.28999999999999998</v>
      </c>
      <c r="C22" s="168">
        <v>14.92</v>
      </c>
      <c r="D22" s="8">
        <v>42802.833333333336</v>
      </c>
      <c r="E22" s="168">
        <v>0.2</v>
      </c>
      <c r="F22" s="168" t="s">
        <v>455</v>
      </c>
      <c r="G22" s="168">
        <v>313.35000000000002</v>
      </c>
      <c r="H22" s="168">
        <v>0</v>
      </c>
      <c r="I22" s="168">
        <v>0</v>
      </c>
      <c r="J22" s="168">
        <v>1016.58</v>
      </c>
      <c r="K22" s="168" t="s">
        <v>456</v>
      </c>
      <c r="L22" s="168">
        <v>54.75</v>
      </c>
      <c r="M22" s="168">
        <v>1489028400</v>
      </c>
      <c r="N22" s="168">
        <v>10</v>
      </c>
      <c r="O22" s="168">
        <v>221</v>
      </c>
      <c r="P22" s="168">
        <v>3.84</v>
      </c>
      <c r="Q22"/>
      <c r="R22"/>
    </row>
    <row r="23" spans="1:18" x14ac:dyDescent="0.25">
      <c r="A23" s="168">
        <v>54.72</v>
      </c>
      <c r="B23" s="168">
        <v>0.35</v>
      </c>
      <c r="C23" s="168">
        <v>17.190000000000001</v>
      </c>
      <c r="D23" s="8">
        <v>42802.875</v>
      </c>
      <c r="E23" s="168">
        <v>0.23</v>
      </c>
      <c r="F23" s="168" t="s">
        <v>455</v>
      </c>
      <c r="G23" s="168">
        <v>313.99</v>
      </c>
      <c r="H23" s="168">
        <v>0</v>
      </c>
      <c r="I23" s="168">
        <v>0</v>
      </c>
      <c r="J23" s="168">
        <v>1016.72</v>
      </c>
      <c r="K23" s="168" t="s">
        <v>456</v>
      </c>
      <c r="L23" s="168">
        <v>54.72</v>
      </c>
      <c r="M23" s="168">
        <v>1489032000</v>
      </c>
      <c r="N23" s="168">
        <v>5.63</v>
      </c>
      <c r="O23" s="168">
        <v>249</v>
      </c>
      <c r="P23" s="168">
        <v>3.43</v>
      </c>
      <c r="Q23"/>
      <c r="R23"/>
    </row>
    <row r="24" spans="1:18" x14ac:dyDescent="0.25">
      <c r="A24" s="168">
        <v>51.73</v>
      </c>
      <c r="B24" s="168">
        <v>0.4</v>
      </c>
      <c r="C24" s="168">
        <v>16.79</v>
      </c>
      <c r="D24" s="8">
        <v>42802.916666666664</v>
      </c>
      <c r="E24" s="168">
        <v>0.25</v>
      </c>
      <c r="F24" s="168" t="s">
        <v>455</v>
      </c>
      <c r="G24" s="168">
        <v>314.67</v>
      </c>
      <c r="H24" s="168">
        <v>0</v>
      </c>
      <c r="I24" s="168">
        <v>0</v>
      </c>
      <c r="J24" s="168">
        <v>1016.53</v>
      </c>
      <c r="K24" s="168" t="s">
        <v>456</v>
      </c>
      <c r="L24" s="168">
        <v>51.73</v>
      </c>
      <c r="M24" s="168">
        <v>1489035600</v>
      </c>
      <c r="N24" s="168">
        <v>5.43</v>
      </c>
      <c r="O24" s="168">
        <v>237</v>
      </c>
      <c r="P24" s="168">
        <v>3.22</v>
      </c>
      <c r="Q24"/>
      <c r="R24"/>
    </row>
    <row r="25" spans="1:18" x14ac:dyDescent="0.25">
      <c r="A25" s="168">
        <v>48.77</v>
      </c>
      <c r="B25" s="168">
        <v>0.44</v>
      </c>
      <c r="C25" s="168">
        <v>15.26</v>
      </c>
      <c r="D25" s="8">
        <v>42802.958333333336</v>
      </c>
      <c r="E25" s="168">
        <v>0.26</v>
      </c>
      <c r="F25" s="168" t="s">
        <v>455</v>
      </c>
      <c r="G25" s="168">
        <v>315.13</v>
      </c>
      <c r="H25" s="168">
        <v>0</v>
      </c>
      <c r="I25" s="168">
        <v>0</v>
      </c>
      <c r="J25" s="168">
        <v>1016.58</v>
      </c>
      <c r="K25" s="168" t="s">
        <v>456</v>
      </c>
      <c r="L25" s="168">
        <v>48.77</v>
      </c>
      <c r="M25" s="168">
        <v>1489039200</v>
      </c>
      <c r="N25" s="168">
        <v>5.65</v>
      </c>
      <c r="O25" s="168">
        <v>221</v>
      </c>
      <c r="P25" s="168">
        <v>2.87</v>
      </c>
      <c r="Q25"/>
      <c r="R25"/>
    </row>
    <row r="26" spans="1:18" x14ac:dyDescent="0.25">
      <c r="A26" s="168">
        <v>44.04</v>
      </c>
      <c r="B26" s="168">
        <v>0.53</v>
      </c>
      <c r="C26" s="168">
        <v>15.56</v>
      </c>
      <c r="D26" s="8">
        <v>42803</v>
      </c>
      <c r="E26" s="168">
        <v>0.28999999999999998</v>
      </c>
      <c r="F26" s="168" t="s">
        <v>455</v>
      </c>
      <c r="G26" s="168">
        <v>315.08</v>
      </c>
      <c r="H26" s="168">
        <v>0</v>
      </c>
      <c r="I26" s="168">
        <v>0</v>
      </c>
      <c r="J26" s="168">
        <v>1017.43</v>
      </c>
      <c r="K26" s="168" t="s">
        <v>456</v>
      </c>
      <c r="L26" s="168">
        <v>45.84</v>
      </c>
      <c r="M26" s="168">
        <v>1489042800</v>
      </c>
      <c r="N26" s="168">
        <v>5.7</v>
      </c>
      <c r="O26" s="168">
        <v>230</v>
      </c>
      <c r="P26" s="168">
        <v>4.04</v>
      </c>
      <c r="Q26"/>
      <c r="R26"/>
    </row>
    <row r="27" spans="1:18" x14ac:dyDescent="0.25">
      <c r="A27" s="168">
        <v>42.52</v>
      </c>
      <c r="B27" s="168">
        <v>0.46</v>
      </c>
      <c r="C27" s="168">
        <v>15.35</v>
      </c>
      <c r="D27" s="8">
        <v>42803.041666666664</v>
      </c>
      <c r="E27" s="168">
        <v>0.3</v>
      </c>
      <c r="F27" s="168" t="s">
        <v>455</v>
      </c>
      <c r="G27" s="168">
        <v>315.04000000000002</v>
      </c>
      <c r="H27" s="168">
        <v>0</v>
      </c>
      <c r="I27" s="168">
        <v>0</v>
      </c>
      <c r="J27" s="168">
        <v>1018.37</v>
      </c>
      <c r="K27" s="168" t="s">
        <v>456</v>
      </c>
      <c r="L27" s="168">
        <v>44.57</v>
      </c>
      <c r="M27" s="168">
        <v>1489046400</v>
      </c>
      <c r="N27" s="168">
        <v>5.56</v>
      </c>
      <c r="O27" s="168">
        <v>188</v>
      </c>
      <c r="P27" s="168">
        <v>4.09</v>
      </c>
      <c r="Q27"/>
      <c r="R27"/>
    </row>
    <row r="28" spans="1:18" x14ac:dyDescent="0.25">
      <c r="A28" s="168">
        <v>44.47</v>
      </c>
      <c r="B28" s="168">
        <v>0.54</v>
      </c>
      <c r="C28" s="168">
        <v>16.79</v>
      </c>
      <c r="D28" s="8">
        <v>42803.083333333336</v>
      </c>
      <c r="E28" s="168">
        <v>0.32</v>
      </c>
      <c r="F28" s="168" t="s">
        <v>455</v>
      </c>
      <c r="G28" s="168">
        <v>314.99</v>
      </c>
      <c r="H28" s="168">
        <v>0</v>
      </c>
      <c r="I28" s="168">
        <v>0</v>
      </c>
      <c r="J28" s="168">
        <v>1019.24</v>
      </c>
      <c r="K28" s="168" t="s">
        <v>456</v>
      </c>
      <c r="L28" s="168">
        <v>44.47</v>
      </c>
      <c r="M28" s="168">
        <v>1489050000</v>
      </c>
      <c r="N28" s="168">
        <v>3.94</v>
      </c>
      <c r="O28" s="168">
        <v>204</v>
      </c>
      <c r="P28" s="168">
        <v>2.93</v>
      </c>
      <c r="Q28"/>
      <c r="R28"/>
    </row>
    <row r="29" spans="1:18" x14ac:dyDescent="0.25">
      <c r="A29" s="168">
        <v>37.75</v>
      </c>
      <c r="B29" s="168">
        <v>0.57999999999999996</v>
      </c>
      <c r="C29" s="168">
        <v>14.13</v>
      </c>
      <c r="D29" s="8">
        <v>42803.125</v>
      </c>
      <c r="E29" s="168">
        <v>0.34</v>
      </c>
      <c r="F29" s="168" t="s">
        <v>455</v>
      </c>
      <c r="G29" s="168">
        <v>316.49</v>
      </c>
      <c r="H29" s="168">
        <v>0</v>
      </c>
      <c r="I29" s="168">
        <v>0</v>
      </c>
      <c r="J29" s="168">
        <v>1019.79</v>
      </c>
      <c r="K29" s="168" t="s">
        <v>456</v>
      </c>
      <c r="L29" s="168">
        <v>40.32</v>
      </c>
      <c r="M29" s="168">
        <v>1489053600</v>
      </c>
      <c r="N29" s="168">
        <v>6.65</v>
      </c>
      <c r="O29" s="168">
        <v>203</v>
      </c>
      <c r="P29" s="168">
        <v>3.93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8"/>
  <sheetViews>
    <sheetView workbookViewId="0">
      <selection activeCell="A6" sqref="A6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543</v>
      </c>
      <c r="U1" s="219"/>
      <c r="V1" s="219"/>
      <c r="W1" s="219"/>
      <c r="X1" s="219"/>
    </row>
    <row r="2" spans="1:24" ht="15.75" thickBot="1" x14ac:dyDescent="0.3">
      <c r="A2" s="12">
        <v>42802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544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556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557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558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1009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1010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1011</v>
      </c>
      <c r="J20" s="152" t="s">
        <v>87</v>
      </c>
      <c r="M20" s="168" t="s">
        <v>529</v>
      </c>
      <c r="N20" s="168" t="s">
        <v>529</v>
      </c>
      <c r="T20" s="197"/>
      <c r="U20" s="197"/>
      <c r="V20" s="197"/>
      <c r="W20" s="197"/>
      <c r="X20" s="197"/>
    </row>
    <row r="21" spans="3:24" x14ac:dyDescent="0.25">
      <c r="C21" t="s">
        <v>1012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1013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1014</v>
      </c>
      <c r="J23" s="162" t="s">
        <v>95</v>
      </c>
      <c r="M23" s="168" t="str">
        <f>"-07"</f>
        <v>-07</v>
      </c>
      <c r="T23" s="197"/>
      <c r="U23" s="197"/>
      <c r="V23" s="197"/>
      <c r="W23" s="197"/>
      <c r="X23" s="197"/>
    </row>
    <row r="24" spans="3:24" x14ac:dyDescent="0.25">
      <c r="C24" t="s">
        <v>1015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1016</v>
      </c>
      <c r="J25" s="152" t="s">
        <v>150</v>
      </c>
      <c r="M25" s="168" t="b">
        <v>1</v>
      </c>
    </row>
    <row r="26" spans="3:24" x14ac:dyDescent="0.25">
      <c r="C26" t="s">
        <v>1017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C:\Users\stu\Documents\GitHub\eaglep3-reporting\EC\2017-03-08-refined-times.txt</v>
      </c>
    </row>
    <row r="27" spans="3:24" x14ac:dyDescent="0.25">
      <c r="C27" t="s">
        <v>1018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C:\Users\stu\Documents\GitHub\eaglep3-reporting\EC\2017-03-08-Enforcements.txt</v>
      </c>
    </row>
    <row r="28" spans="3:24" x14ac:dyDescent="0.25">
      <c r="C28" t="s">
        <v>1019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C:\Users\stu\Documents\GitHub\eaglep3-reporting\EC\2017-03-08-Runs-refined.txt</v>
      </c>
    </row>
    <row r="29" spans="3:24" x14ac:dyDescent="0.25">
      <c r="C29" t="s">
        <v>1020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C:\Users\stu\Documents\GitHub\eaglep3-reporting\EC\2017-03-08-Trips.txt</v>
      </c>
    </row>
    <row r="30" spans="3:24" x14ac:dyDescent="0.25">
      <c r="C30" t="s">
        <v>1021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C:\Users\stu\Documents\GitHub\eaglep3-reporting\EC\2017-03-08-Weather.txt</v>
      </c>
    </row>
    <row r="31" spans="3:24" x14ac:dyDescent="0.25">
      <c r="C31" t="s">
        <v>1022</v>
      </c>
      <c r="J31" s="152" t="s">
        <v>206</v>
      </c>
      <c r="M31" s="168" t="s">
        <v>207</v>
      </c>
    </row>
    <row r="32" spans="3:24" x14ac:dyDescent="0.25">
      <c r="C32" t="s">
        <v>1023</v>
      </c>
    </row>
    <row r="33" spans="3:3" x14ac:dyDescent="0.25">
      <c r="C33" t="s">
        <v>1024</v>
      </c>
    </row>
    <row r="34" spans="3:3" x14ac:dyDescent="0.25">
      <c r="C34" t="s">
        <v>1025</v>
      </c>
    </row>
    <row r="35" spans="3:3" x14ac:dyDescent="0.25">
      <c r="C35" t="s">
        <v>1026</v>
      </c>
    </row>
    <row r="36" spans="3:3" x14ac:dyDescent="0.25">
      <c r="C36" t="s">
        <v>1027</v>
      </c>
    </row>
    <row r="37" spans="3:3" x14ac:dyDescent="0.25">
      <c r="C37" t="s">
        <v>1028</v>
      </c>
    </row>
    <row r="38" spans="3:3" x14ac:dyDescent="0.25">
      <c r="C38" t="s">
        <v>1029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191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297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298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299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300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301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302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303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304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305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306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307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308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309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310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311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312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313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314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315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316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317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318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319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320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321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322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323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324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325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326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327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328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329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330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331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332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333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334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335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336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337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338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339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340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341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342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343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344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345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346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347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348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349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350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351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352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353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354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355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356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357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358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359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360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361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362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363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364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365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366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367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368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369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370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371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372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373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374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375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376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377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378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379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380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381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382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383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384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385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386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387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388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389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390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391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392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393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394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395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396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397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398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399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400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401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402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403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404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405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406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407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408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409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410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411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412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413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414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415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416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417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418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419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420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421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422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423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424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425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426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2017-03-10T13:56:35Z</dcterms:modified>
</cp:coreProperties>
</file>