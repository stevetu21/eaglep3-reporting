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Enforcements!$A$6:$AC$44</definedName>
    <definedName name="_xlnm._FilterDatabase" localSheetId="2" hidden="1">'Missing Trips'!$A$2:$J$26</definedName>
    <definedName name="_xlnm._FilterDatabase" localSheetId="0" hidden="1">'Train Runs'!$A$12:$AG$313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8" i="1" l="1"/>
  <c r="K167" i="1"/>
  <c r="L167" i="1"/>
  <c r="M167" i="1"/>
  <c r="N167" i="1" s="1"/>
  <c r="V167" i="1"/>
  <c r="S46" i="3" s="1"/>
  <c r="AA167" i="1"/>
  <c r="AB167" i="1"/>
  <c r="AC167" i="1"/>
  <c r="AD167" i="1"/>
  <c r="T167" i="1" s="1"/>
  <c r="AE167" i="1"/>
  <c r="R46" i="3" s="1"/>
  <c r="AF167" i="1"/>
  <c r="AH167" i="1"/>
  <c r="AM167" i="1"/>
  <c r="AN167" i="1"/>
  <c r="AO167" i="1"/>
  <c r="X161" i="1"/>
  <c r="X162" i="1"/>
  <c r="X163" i="1"/>
  <c r="P162" i="1"/>
  <c r="K162" i="1"/>
  <c r="L162" i="1"/>
  <c r="M162" i="1"/>
  <c r="T162" i="1"/>
  <c r="V162" i="1"/>
  <c r="Y162" i="1"/>
  <c r="Z162" i="1"/>
  <c r="AA162" i="1"/>
  <c r="AB162" i="1"/>
  <c r="AC162" i="1"/>
  <c r="AD162" i="1"/>
  <c r="AE162" i="1"/>
  <c r="AF162" i="1"/>
  <c r="AH162" i="1"/>
  <c r="AM162" i="1"/>
  <c r="AN162" i="1"/>
  <c r="AO162" i="1"/>
  <c r="X158" i="1"/>
  <c r="K157" i="1"/>
  <c r="L157" i="1"/>
  <c r="M157" i="1"/>
  <c r="N157" i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P150" i="1"/>
  <c r="X131" i="1"/>
  <c r="K130" i="1"/>
  <c r="L130" i="1"/>
  <c r="M130" i="1"/>
  <c r="N130" i="1"/>
  <c r="V130" i="1"/>
  <c r="AA130" i="1"/>
  <c r="AB130" i="1"/>
  <c r="AC130" i="1"/>
  <c r="AD130" i="1"/>
  <c r="T130" i="1" s="1"/>
  <c r="AE130" i="1"/>
  <c r="AF130" i="1"/>
  <c r="AH130" i="1"/>
  <c r="AM130" i="1"/>
  <c r="AN130" i="1"/>
  <c r="AO130" i="1"/>
  <c r="P127" i="1"/>
  <c r="X102" i="1"/>
  <c r="X103" i="1"/>
  <c r="K102" i="1"/>
  <c r="L102" i="1"/>
  <c r="M102" i="1"/>
  <c r="N102" i="1" s="1"/>
  <c r="T102" i="1"/>
  <c r="V102" i="1"/>
  <c r="AA102" i="1"/>
  <c r="AB102" i="1"/>
  <c r="AC102" i="1"/>
  <c r="AD102" i="1"/>
  <c r="AE102" i="1"/>
  <c r="AF102" i="1"/>
  <c r="AH102" i="1"/>
  <c r="AM102" i="1"/>
  <c r="AN102" i="1"/>
  <c r="AO102" i="1"/>
  <c r="X75" i="1"/>
  <c r="K74" i="1"/>
  <c r="L74" i="1"/>
  <c r="M74" i="1"/>
  <c r="N74" i="1" s="1"/>
  <c r="V74" i="1"/>
  <c r="Y74" i="1"/>
  <c r="Z74" i="1"/>
  <c r="AA74" i="1" s="1"/>
  <c r="AB74" i="1"/>
  <c r="AC74" i="1"/>
  <c r="AD74" i="1"/>
  <c r="T74" i="1" s="1"/>
  <c r="AE74" i="1"/>
  <c r="AF74" i="1"/>
  <c r="AH74" i="1"/>
  <c r="AM74" i="1"/>
  <c r="AN74" i="1"/>
  <c r="AO74" i="1"/>
  <c r="X30" i="1"/>
  <c r="X31" i="1"/>
  <c r="X32" i="1"/>
  <c r="X3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P20" i="1" s="1"/>
  <c r="V20" i="1"/>
  <c r="Y20" i="1"/>
  <c r="Z20" i="1"/>
  <c r="AB20" i="1"/>
  <c r="AC20" i="1"/>
  <c r="AD20" i="1"/>
  <c r="T20" i="1" s="1"/>
  <c r="AE20" i="1"/>
  <c r="R24" i="3" s="1"/>
  <c r="AF20" i="1"/>
  <c r="AH20" i="1"/>
  <c r="AM20" i="1"/>
  <c r="AN20" i="1"/>
  <c r="AO20" i="1"/>
  <c r="K21" i="1"/>
  <c r="L21" i="1"/>
  <c r="M21" i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S16" i="3" s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R28" i="3" s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/>
  <c r="V34" i="1"/>
  <c r="Y34" i="1"/>
  <c r="Z34" i="1"/>
  <c r="AA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S12" i="3" s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S38" i="3" s="1"/>
  <c r="Y38" i="1"/>
  <c r="AA38" i="1" s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AA40" i="1" s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R17" i="3" s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R15" i="3" s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P61" i="1" s="1"/>
  <c r="V61" i="1"/>
  <c r="Y61" i="1"/>
  <c r="Z61" i="1"/>
  <c r="AB61" i="1"/>
  <c r="AC61" i="1"/>
  <c r="AD61" i="1"/>
  <c r="T61" i="1" s="1"/>
  <c r="AE61" i="1"/>
  <c r="R23" i="3" s="1"/>
  <c r="AF61" i="1"/>
  <c r="AH61" i="1"/>
  <c r="AM61" i="1"/>
  <c r="AN61" i="1"/>
  <c r="AO61" i="1"/>
  <c r="K62" i="1"/>
  <c r="L62" i="1"/>
  <c r="M62" i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S25" i="3" s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P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AO78" i="1"/>
  <c r="K79" i="1"/>
  <c r="L79" i="1"/>
  <c r="M79" i="1"/>
  <c r="N79" i="1"/>
  <c r="V79" i="1"/>
  <c r="Y79" i="1"/>
  <c r="AA79" i="1" s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AO81" i="1"/>
  <c r="K82" i="1"/>
  <c r="L82" i="1"/>
  <c r="M82" i="1"/>
  <c r="N82" i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T83" i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T87" i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S9" i="3" s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AO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7" i="1"/>
  <c r="AM97" i="1"/>
  <c r="AN97" i="1"/>
  <c r="AO97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98" i="1"/>
  <c r="AM98" i="1"/>
  <c r="AN98" i="1"/>
  <c r="AO9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99" i="1"/>
  <c r="AM99" i="1"/>
  <c r="AN99" i="1"/>
  <c r="AO99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0" i="1"/>
  <c r="AM100" i="1"/>
  <c r="AN100" i="1"/>
  <c r="AO1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1" i="1"/>
  <c r="AM101" i="1"/>
  <c r="AN101" i="1"/>
  <c r="AO10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3" i="1"/>
  <c r="AM103" i="1"/>
  <c r="AN103" i="1"/>
  <c r="AO103" i="1"/>
  <c r="K171" i="1"/>
  <c r="L171" i="1"/>
  <c r="M171" i="1"/>
  <c r="V171" i="1"/>
  <c r="S40" i="3" s="1"/>
  <c r="Y171" i="1"/>
  <c r="Z171" i="1"/>
  <c r="AA171" i="1" s="1"/>
  <c r="AB171" i="1"/>
  <c r="AC171" i="1"/>
  <c r="AD171" i="1"/>
  <c r="T171" i="1" s="1"/>
  <c r="AE171" i="1"/>
  <c r="AF171" i="1"/>
  <c r="AH104" i="1"/>
  <c r="AM104" i="1"/>
  <c r="AN104" i="1"/>
  <c r="AO104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5" i="1"/>
  <c r="AM105" i="1"/>
  <c r="AN105" i="1"/>
  <c r="AO10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06" i="1"/>
  <c r="AM106" i="1"/>
  <c r="AN106" i="1"/>
  <c r="AO106" i="1"/>
  <c r="K173" i="1"/>
  <c r="L173" i="1"/>
  <c r="M173" i="1"/>
  <c r="N173" i="1" s="1"/>
  <c r="V173" i="1"/>
  <c r="Y173" i="1"/>
  <c r="Z173" i="1"/>
  <c r="AB173" i="1"/>
  <c r="AC173" i="1"/>
  <c r="AD173" i="1"/>
  <c r="AE173" i="1"/>
  <c r="R43" i="3" s="1"/>
  <c r="AF173" i="1"/>
  <c r="AH107" i="1"/>
  <c r="AM107" i="1"/>
  <c r="AN107" i="1"/>
  <c r="AO107" i="1"/>
  <c r="K174" i="1"/>
  <c r="L174" i="1"/>
  <c r="M174" i="1"/>
  <c r="N174" i="1" s="1"/>
  <c r="V174" i="1"/>
  <c r="S47" i="3" s="1"/>
  <c r="Y174" i="1"/>
  <c r="Z174" i="1"/>
  <c r="AA174" i="1" s="1"/>
  <c r="AB174" i="1"/>
  <c r="AC174" i="1"/>
  <c r="AD174" i="1"/>
  <c r="T174" i="1" s="1"/>
  <c r="AE174" i="1"/>
  <c r="AF174" i="1"/>
  <c r="AH108" i="1"/>
  <c r="AM108" i="1"/>
  <c r="AN108" i="1"/>
  <c r="AO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AO10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0" i="1"/>
  <c r="AM110" i="1"/>
  <c r="AN110" i="1"/>
  <c r="AO11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1" i="1"/>
  <c r="AM111" i="1"/>
  <c r="AN111" i="1"/>
  <c r="AO111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2" i="1"/>
  <c r="AM112" i="1"/>
  <c r="AN112" i="1"/>
  <c r="AO1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AN113" i="1"/>
  <c r="AO113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14" i="1"/>
  <c r="AM114" i="1"/>
  <c r="AN114" i="1"/>
  <c r="AO114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15" i="1"/>
  <c r="AM115" i="1"/>
  <c r="AN115" i="1"/>
  <c r="AO115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116" i="1"/>
  <c r="AM116" i="1"/>
  <c r="AN116" i="1"/>
  <c r="AO116" i="1"/>
  <c r="K97" i="1"/>
  <c r="L97" i="1"/>
  <c r="M97" i="1"/>
  <c r="N97" i="1" s="1"/>
  <c r="V97" i="1"/>
  <c r="Y97" i="1"/>
  <c r="AA97" i="1" s="1"/>
  <c r="Z97" i="1"/>
  <c r="AB97" i="1"/>
  <c r="AC97" i="1"/>
  <c r="AD97" i="1"/>
  <c r="AE97" i="1"/>
  <c r="AF97" i="1"/>
  <c r="AH117" i="1"/>
  <c r="AM117" i="1"/>
  <c r="AN117" i="1"/>
  <c r="AO1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8" i="1"/>
  <c r="AM118" i="1"/>
  <c r="AN118" i="1"/>
  <c r="AO118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9" i="1"/>
  <c r="AM119" i="1"/>
  <c r="AN119" i="1"/>
  <c r="AO11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0" i="1"/>
  <c r="AM120" i="1"/>
  <c r="AN120" i="1"/>
  <c r="AO1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1" i="1"/>
  <c r="AM121" i="1"/>
  <c r="AN121" i="1"/>
  <c r="AO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AM122" i="1"/>
  <c r="AN122" i="1"/>
  <c r="AO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AN123" i="1"/>
  <c r="AO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AN124" i="1"/>
  <c r="AO12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5" i="1"/>
  <c r="AM125" i="1"/>
  <c r="AN125" i="1"/>
  <c r="AO12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6" i="1"/>
  <c r="AM126" i="1"/>
  <c r="AN126" i="1"/>
  <c r="AO1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AM127" i="1"/>
  <c r="AN127" i="1"/>
  <c r="AO12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28" i="1"/>
  <c r="AM128" i="1"/>
  <c r="AN128" i="1"/>
  <c r="AO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9" i="1"/>
  <c r="AM129" i="1"/>
  <c r="AN129" i="1"/>
  <c r="AO12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AO13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2" i="1"/>
  <c r="AM132" i="1"/>
  <c r="AN132" i="1"/>
  <c r="AO132" i="1"/>
  <c r="K196" i="1"/>
  <c r="L196" i="1"/>
  <c r="M196" i="1"/>
  <c r="N196" i="1" s="1"/>
  <c r="V196" i="1"/>
  <c r="S48" i="3" s="1"/>
  <c r="Y196" i="1"/>
  <c r="Z196" i="1"/>
  <c r="AB196" i="1"/>
  <c r="AC196" i="1"/>
  <c r="AD196" i="1"/>
  <c r="AE196" i="1"/>
  <c r="R48" i="3" s="1"/>
  <c r="AF196" i="1"/>
  <c r="AH133" i="1"/>
  <c r="AM133" i="1"/>
  <c r="AN133" i="1"/>
  <c r="AO133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4" i="1"/>
  <c r="AM134" i="1"/>
  <c r="AN134" i="1"/>
  <c r="AO134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6" i="1"/>
  <c r="AM136" i="1"/>
  <c r="AN136" i="1"/>
  <c r="AO136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9" i="1"/>
  <c r="AM139" i="1"/>
  <c r="AN139" i="1"/>
  <c r="AO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AM140" i="1"/>
  <c r="AN140" i="1"/>
  <c r="AO140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1" i="1"/>
  <c r="AM141" i="1"/>
  <c r="AN141" i="1"/>
  <c r="AO141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42" i="1"/>
  <c r="AM142" i="1"/>
  <c r="AN142" i="1"/>
  <c r="AO142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43" i="1"/>
  <c r="AM143" i="1"/>
  <c r="AN143" i="1"/>
  <c r="AO143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44" i="1"/>
  <c r="AM144" i="1"/>
  <c r="AN144" i="1"/>
  <c r="AO144" i="1"/>
  <c r="K106" i="1"/>
  <c r="L106" i="1"/>
  <c r="M106" i="1"/>
  <c r="N106" i="1" s="1"/>
  <c r="V106" i="1"/>
  <c r="S10" i="3" s="1"/>
  <c r="Y106" i="1"/>
  <c r="Z106" i="1"/>
  <c r="AB106" i="1"/>
  <c r="AC106" i="1"/>
  <c r="AD106" i="1"/>
  <c r="AE106" i="1"/>
  <c r="AF106" i="1"/>
  <c r="AH145" i="1"/>
  <c r="AM145" i="1"/>
  <c r="AN145" i="1"/>
  <c r="AO145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6" i="1"/>
  <c r="AM146" i="1"/>
  <c r="AN146" i="1"/>
  <c r="AO146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7" i="1"/>
  <c r="AM147" i="1"/>
  <c r="AN147" i="1"/>
  <c r="AO147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8" i="1"/>
  <c r="AM148" i="1"/>
  <c r="AN148" i="1"/>
  <c r="AO148" i="1"/>
  <c r="K110" i="1"/>
  <c r="L110" i="1"/>
  <c r="M110" i="1"/>
  <c r="N110" i="1" s="1"/>
  <c r="V110" i="1"/>
  <c r="Y110" i="1"/>
  <c r="Z110" i="1"/>
  <c r="AA110" i="1" s="1"/>
  <c r="AB110" i="1"/>
  <c r="AC110" i="1"/>
  <c r="AD110" i="1"/>
  <c r="AE110" i="1"/>
  <c r="AF110" i="1"/>
  <c r="AH149" i="1"/>
  <c r="AM149" i="1"/>
  <c r="AN149" i="1"/>
  <c r="AO149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0" i="1"/>
  <c r="AM150" i="1"/>
  <c r="AN150" i="1"/>
  <c r="AO150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51" i="1"/>
  <c r="AM151" i="1"/>
  <c r="AN151" i="1"/>
  <c r="AO151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2" i="1"/>
  <c r="AM152" i="1"/>
  <c r="AN152" i="1"/>
  <c r="AO152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53" i="1"/>
  <c r="AM153" i="1"/>
  <c r="AN153" i="1"/>
  <c r="AO153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4" i="1"/>
  <c r="AM154" i="1"/>
  <c r="AN154" i="1"/>
  <c r="AO154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55" i="1"/>
  <c r="AM155" i="1"/>
  <c r="AN155" i="1"/>
  <c r="AO155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6" i="1"/>
  <c r="AM156" i="1"/>
  <c r="AN156" i="1"/>
  <c r="AO156" i="1"/>
  <c r="K118" i="1"/>
  <c r="L118" i="1"/>
  <c r="M118" i="1"/>
  <c r="N118" i="1" s="1"/>
  <c r="V118" i="1"/>
  <c r="S39" i="3" s="1"/>
  <c r="Y118" i="1"/>
  <c r="Z118" i="1"/>
  <c r="AB118" i="1"/>
  <c r="AC118" i="1"/>
  <c r="AD118" i="1"/>
  <c r="AE118" i="1"/>
  <c r="AF118" i="1"/>
  <c r="AH158" i="1"/>
  <c r="AM158" i="1"/>
  <c r="AN158" i="1"/>
  <c r="AO15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60" i="1"/>
  <c r="AM160" i="1"/>
  <c r="AN160" i="1"/>
  <c r="AO160" i="1"/>
  <c r="K121" i="1"/>
  <c r="L121" i="1"/>
  <c r="M121" i="1"/>
  <c r="N121" i="1"/>
  <c r="V121" i="1"/>
  <c r="Y121" i="1"/>
  <c r="Z121" i="1"/>
  <c r="AB121" i="1"/>
  <c r="AC121" i="1"/>
  <c r="AD121" i="1"/>
  <c r="AE121" i="1"/>
  <c r="AF121" i="1"/>
  <c r="AH161" i="1"/>
  <c r="AM161" i="1"/>
  <c r="AN161" i="1"/>
  <c r="AO161" i="1"/>
  <c r="K122" i="1"/>
  <c r="L122" i="1"/>
  <c r="M122" i="1"/>
  <c r="N122" i="1"/>
  <c r="V122" i="1"/>
  <c r="Y122" i="1"/>
  <c r="AA122" i="1" s="1"/>
  <c r="Z122" i="1"/>
  <c r="AB122" i="1"/>
  <c r="AC122" i="1"/>
  <c r="AD122" i="1"/>
  <c r="AE122" i="1"/>
  <c r="AF122" i="1"/>
  <c r="AH163" i="1"/>
  <c r="AM163" i="1"/>
  <c r="AN163" i="1"/>
  <c r="AO163" i="1"/>
  <c r="K123" i="1"/>
  <c r="L123" i="1"/>
  <c r="M123" i="1"/>
  <c r="N123" i="1" s="1"/>
  <c r="V123" i="1"/>
  <c r="Y123" i="1"/>
  <c r="AA123" i="1" s="1"/>
  <c r="Z123" i="1"/>
  <c r="AB123" i="1"/>
  <c r="AC123" i="1"/>
  <c r="AD123" i="1"/>
  <c r="T123" i="1" s="1"/>
  <c r="AE123" i="1"/>
  <c r="AF123" i="1"/>
  <c r="AH164" i="1"/>
  <c r="AM164" i="1"/>
  <c r="AN164" i="1"/>
  <c r="AO164" i="1"/>
  <c r="K124" i="1"/>
  <c r="L124" i="1"/>
  <c r="M124" i="1"/>
  <c r="N124" i="1"/>
  <c r="V124" i="1"/>
  <c r="Y124" i="1"/>
  <c r="AA124" i="1" s="1"/>
  <c r="Z124" i="1"/>
  <c r="AB124" i="1"/>
  <c r="AC124" i="1"/>
  <c r="AD124" i="1"/>
  <c r="AE124" i="1"/>
  <c r="AF124" i="1"/>
  <c r="AH165" i="1"/>
  <c r="AM165" i="1"/>
  <c r="AN165" i="1"/>
  <c r="AO165" i="1"/>
  <c r="K125" i="1"/>
  <c r="L125" i="1"/>
  <c r="M125" i="1"/>
  <c r="N125" i="1"/>
  <c r="V125" i="1"/>
  <c r="X125" i="1"/>
  <c r="Y125" i="1"/>
  <c r="Z125" i="1"/>
  <c r="AB125" i="1"/>
  <c r="AC125" i="1"/>
  <c r="AD125" i="1"/>
  <c r="T125" i="1" s="1"/>
  <c r="AE125" i="1"/>
  <c r="AF125" i="1"/>
  <c r="AH166" i="1"/>
  <c r="AM166" i="1"/>
  <c r="AN166" i="1"/>
  <c r="AO166" i="1"/>
  <c r="K126" i="1"/>
  <c r="L126" i="1"/>
  <c r="M126" i="1"/>
  <c r="N126" i="1"/>
  <c r="V126" i="1"/>
  <c r="Y126" i="1"/>
  <c r="Z126" i="1"/>
  <c r="AA126" i="1"/>
  <c r="AB126" i="1"/>
  <c r="AC126" i="1"/>
  <c r="AD126" i="1"/>
  <c r="X126" i="1" s="1"/>
  <c r="AE126" i="1"/>
  <c r="AF126" i="1"/>
  <c r="AH168" i="1"/>
  <c r="AM168" i="1"/>
  <c r="AN168" i="1"/>
  <c r="AO168" i="1"/>
  <c r="K127" i="1"/>
  <c r="L127" i="1"/>
  <c r="M127" i="1"/>
  <c r="V127" i="1"/>
  <c r="Y127" i="1"/>
  <c r="Z127" i="1"/>
  <c r="AB127" i="1"/>
  <c r="AC127" i="1"/>
  <c r="AD127" i="1"/>
  <c r="T127" i="1" s="1"/>
  <c r="AE127" i="1"/>
  <c r="R21" i="3" s="1"/>
  <c r="AF127" i="1"/>
  <c r="AH169" i="1"/>
  <c r="AM169" i="1"/>
  <c r="AN169" i="1"/>
  <c r="AO169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70" i="1"/>
  <c r="AM170" i="1"/>
  <c r="AN170" i="1"/>
  <c r="AO170" i="1"/>
  <c r="K129" i="1"/>
  <c r="L129" i="1"/>
  <c r="M129" i="1"/>
  <c r="N129" i="1"/>
  <c r="V129" i="1"/>
  <c r="Y129" i="1"/>
  <c r="Z129" i="1"/>
  <c r="AB129" i="1"/>
  <c r="AC129" i="1"/>
  <c r="AD129" i="1"/>
  <c r="T129" i="1" s="1"/>
  <c r="AE129" i="1"/>
  <c r="AF129" i="1"/>
  <c r="AH171" i="1"/>
  <c r="AM171" i="1"/>
  <c r="AN171" i="1"/>
  <c r="AO171" i="1"/>
  <c r="K131" i="1"/>
  <c r="L131" i="1"/>
  <c r="M131" i="1"/>
  <c r="N131" i="1"/>
  <c r="V131" i="1"/>
  <c r="Y131" i="1"/>
  <c r="Z131" i="1"/>
  <c r="AA131" i="1" s="1"/>
  <c r="AB131" i="1"/>
  <c r="AC131" i="1"/>
  <c r="AD131" i="1"/>
  <c r="AE131" i="1"/>
  <c r="AF131" i="1"/>
  <c r="AH172" i="1"/>
  <c r="AM172" i="1"/>
  <c r="AN172" i="1"/>
  <c r="AO172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73" i="1"/>
  <c r="AM173" i="1"/>
  <c r="AN173" i="1"/>
  <c r="AO173" i="1"/>
  <c r="K133" i="1"/>
  <c r="L133" i="1"/>
  <c r="M133" i="1"/>
  <c r="N133" i="1" s="1"/>
  <c r="V133" i="1"/>
  <c r="Y133" i="1"/>
  <c r="Z133" i="1"/>
  <c r="AB133" i="1"/>
  <c r="AC133" i="1"/>
  <c r="AD133" i="1"/>
  <c r="AE133" i="1"/>
  <c r="R34" i="3" s="1"/>
  <c r="AF133" i="1"/>
  <c r="AH174" i="1"/>
  <c r="AM174" i="1"/>
  <c r="AN174" i="1"/>
  <c r="AO174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75" i="1"/>
  <c r="AM175" i="1"/>
  <c r="AN175" i="1"/>
  <c r="AO175" i="1"/>
  <c r="K135" i="1"/>
  <c r="L135" i="1"/>
  <c r="M135" i="1"/>
  <c r="N135" i="1" s="1"/>
  <c r="T135" i="1"/>
  <c r="V135" i="1"/>
  <c r="Y135" i="1"/>
  <c r="Z135" i="1"/>
  <c r="AB135" i="1"/>
  <c r="AC135" i="1"/>
  <c r="AD135" i="1"/>
  <c r="AE135" i="1"/>
  <c r="R35" i="3" s="1"/>
  <c r="AF135" i="1"/>
  <c r="AH176" i="1"/>
  <c r="AM176" i="1"/>
  <c r="AN176" i="1"/>
  <c r="AO176" i="1"/>
  <c r="K136" i="1"/>
  <c r="L136" i="1"/>
  <c r="M136" i="1"/>
  <c r="N136" i="1"/>
  <c r="V136" i="1"/>
  <c r="Y136" i="1"/>
  <c r="Z136" i="1"/>
  <c r="AA136" i="1" s="1"/>
  <c r="AB136" i="1"/>
  <c r="AC136" i="1"/>
  <c r="AD136" i="1"/>
  <c r="X136" i="1" s="1"/>
  <c r="AE136" i="1"/>
  <c r="AF136" i="1"/>
  <c r="AH177" i="1"/>
  <c r="AM177" i="1"/>
  <c r="AN177" i="1"/>
  <c r="AO177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R36" i="3" s="1"/>
  <c r="AF137" i="1"/>
  <c r="AH178" i="1"/>
  <c r="AM178" i="1"/>
  <c r="AN178" i="1"/>
  <c r="AO178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9" i="1"/>
  <c r="AM179" i="1"/>
  <c r="AN179" i="1"/>
  <c r="AO179" i="1"/>
  <c r="K139" i="1"/>
  <c r="L139" i="1"/>
  <c r="M139" i="1"/>
  <c r="N139" i="1"/>
  <c r="T139" i="1"/>
  <c r="V139" i="1"/>
  <c r="Y139" i="1"/>
  <c r="Z139" i="1"/>
  <c r="AA139" i="1"/>
  <c r="AB139" i="1"/>
  <c r="AC139" i="1"/>
  <c r="AD139" i="1"/>
  <c r="AE139" i="1"/>
  <c r="AF139" i="1"/>
  <c r="AH180" i="1"/>
  <c r="AM180" i="1"/>
  <c r="AN180" i="1"/>
  <c r="AO180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81" i="1"/>
  <c r="AM181" i="1"/>
  <c r="AN181" i="1"/>
  <c r="AO181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82" i="1"/>
  <c r="AM182" i="1"/>
  <c r="AN182" i="1"/>
  <c r="AO182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83" i="1"/>
  <c r="AM183" i="1"/>
  <c r="AN183" i="1"/>
  <c r="AO183" i="1"/>
  <c r="K143" i="1"/>
  <c r="L143" i="1"/>
  <c r="M143" i="1"/>
  <c r="N143" i="1" s="1"/>
  <c r="T143" i="1"/>
  <c r="V143" i="1"/>
  <c r="Y143" i="1"/>
  <c r="Z143" i="1"/>
  <c r="AB143" i="1"/>
  <c r="AC143" i="1"/>
  <c r="AD143" i="1"/>
  <c r="AE143" i="1"/>
  <c r="AF143" i="1"/>
  <c r="AH184" i="1"/>
  <c r="AM184" i="1"/>
  <c r="AN184" i="1"/>
  <c r="AO184" i="1"/>
  <c r="K144" i="1"/>
  <c r="L144" i="1"/>
  <c r="M144" i="1"/>
  <c r="N144" i="1"/>
  <c r="T144" i="1"/>
  <c r="V144" i="1"/>
  <c r="Y144" i="1"/>
  <c r="Z144" i="1"/>
  <c r="AA144" i="1" s="1"/>
  <c r="AB144" i="1"/>
  <c r="AC144" i="1"/>
  <c r="AD144" i="1"/>
  <c r="X144" i="1" s="1"/>
  <c r="AE144" i="1"/>
  <c r="AF144" i="1"/>
  <c r="AH185" i="1"/>
  <c r="AM185" i="1"/>
  <c r="AN185" i="1"/>
  <c r="AO185" i="1"/>
  <c r="K145" i="1"/>
  <c r="L145" i="1"/>
  <c r="M145" i="1"/>
  <c r="N145" i="1"/>
  <c r="V145" i="1"/>
  <c r="Y145" i="1"/>
  <c r="Z145" i="1"/>
  <c r="AA145" i="1" s="1"/>
  <c r="AB145" i="1"/>
  <c r="AC145" i="1"/>
  <c r="AD145" i="1"/>
  <c r="T145" i="1" s="1"/>
  <c r="AE145" i="1"/>
  <c r="AF145" i="1"/>
  <c r="AH186" i="1"/>
  <c r="AM186" i="1"/>
  <c r="AN186" i="1"/>
  <c r="AO186" i="1"/>
  <c r="K146" i="1"/>
  <c r="L146" i="1"/>
  <c r="M146" i="1"/>
  <c r="N146" i="1"/>
  <c r="V146" i="1"/>
  <c r="Y146" i="1"/>
  <c r="Z146" i="1"/>
  <c r="AB146" i="1"/>
  <c r="AC146" i="1"/>
  <c r="AD146" i="1"/>
  <c r="T146" i="1" s="1"/>
  <c r="AE146" i="1"/>
  <c r="AF146" i="1"/>
  <c r="AH187" i="1"/>
  <c r="AM187" i="1"/>
  <c r="AN187" i="1"/>
  <c r="AO187" i="1"/>
  <c r="K147" i="1"/>
  <c r="L147" i="1"/>
  <c r="M147" i="1"/>
  <c r="N147" i="1" s="1"/>
  <c r="V147" i="1"/>
  <c r="Y147" i="1"/>
  <c r="Z147" i="1"/>
  <c r="AA147" i="1" s="1"/>
  <c r="AB147" i="1"/>
  <c r="AC147" i="1"/>
  <c r="AD147" i="1"/>
  <c r="X147" i="1" s="1"/>
  <c r="AE147" i="1"/>
  <c r="AF147" i="1"/>
  <c r="AH188" i="1"/>
  <c r="AM188" i="1"/>
  <c r="AN188" i="1"/>
  <c r="AO188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9" i="1"/>
  <c r="AM189" i="1"/>
  <c r="AN189" i="1"/>
  <c r="AO189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90" i="1"/>
  <c r="AM190" i="1"/>
  <c r="AN190" i="1"/>
  <c r="AO190" i="1"/>
  <c r="K150" i="1"/>
  <c r="L150" i="1"/>
  <c r="M150" i="1"/>
  <c r="V150" i="1"/>
  <c r="Y150" i="1"/>
  <c r="Z150" i="1"/>
  <c r="AB150" i="1"/>
  <c r="AC150" i="1"/>
  <c r="AD150" i="1"/>
  <c r="AE150" i="1"/>
  <c r="R7" i="3" s="1"/>
  <c r="AF150" i="1"/>
  <c r="AH191" i="1"/>
  <c r="AM191" i="1"/>
  <c r="AN191" i="1"/>
  <c r="AO191" i="1"/>
  <c r="K151" i="1"/>
  <c r="L151" i="1"/>
  <c r="M151" i="1"/>
  <c r="N151" i="1" s="1"/>
  <c r="T151" i="1"/>
  <c r="V151" i="1"/>
  <c r="Y151" i="1"/>
  <c r="Z151" i="1"/>
  <c r="AB151" i="1"/>
  <c r="AC151" i="1"/>
  <c r="AD151" i="1"/>
  <c r="AE151" i="1"/>
  <c r="AF151" i="1"/>
  <c r="AH192" i="1"/>
  <c r="AM192" i="1"/>
  <c r="AN192" i="1"/>
  <c r="AO192" i="1"/>
  <c r="K152" i="1"/>
  <c r="L152" i="1"/>
  <c r="M152" i="1"/>
  <c r="N152" i="1"/>
  <c r="V152" i="1"/>
  <c r="Y152" i="1"/>
  <c r="Z152" i="1"/>
  <c r="AA152" i="1" s="1"/>
  <c r="AB152" i="1"/>
  <c r="AC152" i="1"/>
  <c r="AD152" i="1"/>
  <c r="X152" i="1" s="1"/>
  <c r="AE152" i="1"/>
  <c r="AF152" i="1"/>
  <c r="AH193" i="1"/>
  <c r="AM193" i="1"/>
  <c r="AN193" i="1"/>
  <c r="AO193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4" i="1"/>
  <c r="AM194" i="1"/>
  <c r="AN194" i="1"/>
  <c r="AO194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5" i="1"/>
  <c r="AM195" i="1"/>
  <c r="AN195" i="1"/>
  <c r="AO195" i="1"/>
  <c r="K155" i="1"/>
  <c r="L155" i="1"/>
  <c r="M155" i="1"/>
  <c r="N155" i="1"/>
  <c r="V155" i="1"/>
  <c r="Y155" i="1"/>
  <c r="Z155" i="1"/>
  <c r="AA155" i="1" s="1"/>
  <c r="AB155" i="1"/>
  <c r="AC155" i="1"/>
  <c r="AD155" i="1"/>
  <c r="X155" i="1" s="1"/>
  <c r="AE155" i="1"/>
  <c r="AF155" i="1"/>
  <c r="AH196" i="1"/>
  <c r="AM196" i="1"/>
  <c r="AN196" i="1"/>
  <c r="AO196" i="1"/>
  <c r="K156" i="1"/>
  <c r="L156" i="1"/>
  <c r="M156" i="1"/>
  <c r="N156" i="1" s="1"/>
  <c r="V156" i="1"/>
  <c r="Y156" i="1"/>
  <c r="AA156" i="1" s="1"/>
  <c r="Z156" i="1"/>
  <c r="AB156" i="1"/>
  <c r="AC156" i="1"/>
  <c r="AD156" i="1"/>
  <c r="T156" i="1" s="1"/>
  <c r="AE156" i="1"/>
  <c r="AF156" i="1"/>
  <c r="AH197" i="1"/>
  <c r="AM197" i="1"/>
  <c r="AN197" i="1"/>
  <c r="AO197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198" i="1"/>
  <c r="AM198" i="1"/>
  <c r="AN198" i="1"/>
  <c r="AO198" i="1"/>
  <c r="K159" i="1"/>
  <c r="L159" i="1"/>
  <c r="M159" i="1"/>
  <c r="N159" i="1" s="1"/>
  <c r="V159" i="1"/>
  <c r="Y159" i="1"/>
  <c r="Z159" i="1"/>
  <c r="AA159" i="1" s="1"/>
  <c r="AB159" i="1"/>
  <c r="AC159" i="1"/>
  <c r="AD159" i="1"/>
  <c r="AE159" i="1"/>
  <c r="AF159" i="1"/>
  <c r="AH199" i="1"/>
  <c r="AM199" i="1"/>
  <c r="AN199" i="1"/>
  <c r="AO199" i="1"/>
  <c r="K160" i="1"/>
  <c r="L160" i="1"/>
  <c r="M160" i="1"/>
  <c r="N160" i="1" s="1"/>
  <c r="T160" i="1"/>
  <c r="V160" i="1"/>
  <c r="Y160" i="1"/>
  <c r="Z160" i="1"/>
  <c r="AB160" i="1"/>
  <c r="AC160" i="1"/>
  <c r="AD160" i="1"/>
  <c r="AE160" i="1"/>
  <c r="AF160" i="1"/>
  <c r="AH200" i="1"/>
  <c r="AM200" i="1"/>
  <c r="AN200" i="1"/>
  <c r="AO200" i="1"/>
  <c r="K161" i="1"/>
  <c r="L161" i="1"/>
  <c r="M161" i="1"/>
  <c r="N161" i="1"/>
  <c r="V161" i="1"/>
  <c r="Y161" i="1"/>
  <c r="Z161" i="1"/>
  <c r="AA161" i="1" s="1"/>
  <c r="AB161" i="1"/>
  <c r="AC161" i="1"/>
  <c r="AD161" i="1"/>
  <c r="T161" i="1" s="1"/>
  <c r="AE161" i="1"/>
  <c r="AF161" i="1"/>
  <c r="AH201" i="1"/>
  <c r="AM201" i="1"/>
  <c r="AN201" i="1"/>
  <c r="AO201" i="1"/>
  <c r="K199" i="1"/>
  <c r="L199" i="1"/>
  <c r="M199" i="1"/>
  <c r="N199" i="1"/>
  <c r="V199" i="1"/>
  <c r="Y199" i="1"/>
  <c r="Z199" i="1"/>
  <c r="AA199" i="1" s="1"/>
  <c r="AB199" i="1"/>
  <c r="AC199" i="1"/>
  <c r="AD199" i="1"/>
  <c r="AE199" i="1"/>
  <c r="AF199" i="1"/>
  <c r="AH202" i="1"/>
  <c r="AM202" i="1"/>
  <c r="AN202" i="1"/>
  <c r="AO202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3" i="1"/>
  <c r="AM203" i="1"/>
  <c r="AN203" i="1"/>
  <c r="AO203" i="1"/>
  <c r="K201" i="1"/>
  <c r="L201" i="1"/>
  <c r="M201" i="1"/>
  <c r="N201" i="1"/>
  <c r="V201" i="1"/>
  <c r="Y201" i="1"/>
  <c r="Z201" i="1"/>
  <c r="AA201" i="1" s="1"/>
  <c r="AB201" i="1"/>
  <c r="AC201" i="1"/>
  <c r="AD201" i="1"/>
  <c r="X201" i="1" s="1"/>
  <c r="AE201" i="1"/>
  <c r="AF201" i="1"/>
  <c r="AH204" i="1"/>
  <c r="AM204" i="1"/>
  <c r="AN204" i="1"/>
  <c r="AO204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5" i="1"/>
  <c r="AM205" i="1"/>
  <c r="AN205" i="1"/>
  <c r="AO20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6" i="1"/>
  <c r="AM206" i="1"/>
  <c r="AN206" i="1"/>
  <c r="AO206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7" i="1"/>
  <c r="AM207" i="1"/>
  <c r="AN207" i="1"/>
  <c r="AO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AO208" i="1"/>
  <c r="K206" i="1"/>
  <c r="L206" i="1"/>
  <c r="M206" i="1"/>
  <c r="N206" i="1" s="1"/>
  <c r="V206" i="1"/>
  <c r="Y206" i="1"/>
  <c r="AA206" i="1" s="1"/>
  <c r="Z206" i="1"/>
  <c r="AB206" i="1"/>
  <c r="AC206" i="1"/>
  <c r="AD206" i="1"/>
  <c r="T206" i="1" s="1"/>
  <c r="AE206" i="1"/>
  <c r="AF206" i="1"/>
  <c r="AH209" i="1"/>
  <c r="AM209" i="1"/>
  <c r="AN209" i="1"/>
  <c r="AO20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0" i="1"/>
  <c r="AM210" i="1"/>
  <c r="AN210" i="1"/>
  <c r="AO21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1" i="1"/>
  <c r="AM211" i="1"/>
  <c r="AN211" i="1"/>
  <c r="AO21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2" i="1"/>
  <c r="AM212" i="1"/>
  <c r="AN212" i="1"/>
  <c r="AO212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213" i="1"/>
  <c r="AM213" i="1"/>
  <c r="AN213" i="1"/>
  <c r="AO21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4" i="1"/>
  <c r="AM214" i="1"/>
  <c r="AN214" i="1"/>
  <c r="AO21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AA217" i="1" s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AO224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AO226" i="1"/>
  <c r="M37" i="3"/>
  <c r="R37" i="3"/>
  <c r="S37" i="3"/>
  <c r="U37" i="3"/>
  <c r="T37" i="3" s="1"/>
  <c r="V37" i="3"/>
  <c r="X37" i="3"/>
  <c r="M24" i="3"/>
  <c r="S24" i="3"/>
  <c r="U24" i="3"/>
  <c r="V24" i="3"/>
  <c r="X24" i="3"/>
  <c r="AC24" i="3"/>
  <c r="M16" i="3"/>
  <c r="R16" i="3"/>
  <c r="U16" i="3"/>
  <c r="AC16" i="3" s="1"/>
  <c r="V16" i="3"/>
  <c r="X16" i="3"/>
  <c r="M14" i="3"/>
  <c r="R14" i="3"/>
  <c r="U14" i="3"/>
  <c r="AC14" i="3" s="1"/>
  <c r="V14" i="3"/>
  <c r="X14" i="3"/>
  <c r="M45" i="3"/>
  <c r="R45" i="3"/>
  <c r="S45" i="3"/>
  <c r="U45" i="3"/>
  <c r="T45" i="3" s="1"/>
  <c r="V45" i="3"/>
  <c r="X45" i="3"/>
  <c r="M27" i="3"/>
  <c r="R27" i="3"/>
  <c r="U27" i="3"/>
  <c r="AC27" i="3" s="1"/>
  <c r="V27" i="3"/>
  <c r="X27" i="3"/>
  <c r="M28" i="3"/>
  <c r="S28" i="3"/>
  <c r="U28" i="3"/>
  <c r="AC28" i="3" s="1"/>
  <c r="V28" i="3"/>
  <c r="X28" i="3"/>
  <c r="M29" i="3"/>
  <c r="R29" i="3"/>
  <c r="S29" i="3"/>
  <c r="U29" i="3"/>
  <c r="AC29" i="3" s="1"/>
  <c r="V29" i="3"/>
  <c r="X29" i="3"/>
  <c r="M38" i="3"/>
  <c r="R38" i="3"/>
  <c r="T38" i="3"/>
  <c r="U38" i="3"/>
  <c r="V38" i="3"/>
  <c r="X38" i="3"/>
  <c r="AC38" i="3"/>
  <c r="M12" i="3"/>
  <c r="R12" i="3"/>
  <c r="U12" i="3"/>
  <c r="AD12" i="3" s="1"/>
  <c r="V12" i="3"/>
  <c r="X12" i="3"/>
  <c r="M46" i="3"/>
  <c r="U46" i="3"/>
  <c r="AC46" i="3" s="1"/>
  <c r="V46" i="3"/>
  <c r="X46" i="3"/>
  <c r="M17" i="3"/>
  <c r="S17" i="3"/>
  <c r="U17" i="3"/>
  <c r="AC17" i="3" s="1"/>
  <c r="V17" i="3"/>
  <c r="X17" i="3"/>
  <c r="M15" i="3"/>
  <c r="S15" i="3"/>
  <c r="U15" i="3"/>
  <c r="T15" i="3" s="1"/>
  <c r="V15" i="3"/>
  <c r="X15" i="3"/>
  <c r="M42" i="3"/>
  <c r="R42" i="3"/>
  <c r="S42" i="3"/>
  <c r="U42" i="3"/>
  <c r="AC42" i="3" s="1"/>
  <c r="V42" i="3"/>
  <c r="X42" i="3"/>
  <c r="M18" i="3"/>
  <c r="S18" i="3"/>
  <c r="U18" i="3"/>
  <c r="AC18" i="3" s="1"/>
  <c r="V18" i="3"/>
  <c r="X18" i="3"/>
  <c r="M30" i="3"/>
  <c r="S30" i="3"/>
  <c r="U30" i="3"/>
  <c r="AC30" i="3" s="1"/>
  <c r="V30" i="3"/>
  <c r="X30" i="3"/>
  <c r="M31" i="3"/>
  <c r="S31" i="3"/>
  <c r="U31" i="3"/>
  <c r="AC31" i="3" s="1"/>
  <c r="V31" i="3"/>
  <c r="X31" i="3"/>
  <c r="AD24" i="3"/>
  <c r="M40" i="3"/>
  <c r="R40" i="3"/>
  <c r="U40" i="3"/>
  <c r="V40" i="3"/>
  <c r="X40" i="3"/>
  <c r="M41" i="3"/>
  <c r="R41" i="3"/>
  <c r="S41" i="3"/>
  <c r="U41" i="3"/>
  <c r="AC41" i="3" s="1"/>
  <c r="V41" i="3"/>
  <c r="X41" i="3"/>
  <c r="M43" i="3"/>
  <c r="S43" i="3"/>
  <c r="U43" i="3"/>
  <c r="AC43" i="3" s="1"/>
  <c r="V43" i="3"/>
  <c r="X43" i="3"/>
  <c r="M25" i="3"/>
  <c r="R25" i="3"/>
  <c r="U25" i="3"/>
  <c r="T25" i="3" s="1"/>
  <c r="V25" i="3"/>
  <c r="X25" i="3"/>
  <c r="M23" i="3"/>
  <c r="S23" i="3"/>
  <c r="U23" i="3"/>
  <c r="V23" i="3"/>
  <c r="X23" i="3"/>
  <c r="M47" i="3"/>
  <c r="R47" i="3"/>
  <c r="U47" i="3"/>
  <c r="AC47" i="3" s="1"/>
  <c r="V47" i="3"/>
  <c r="X47" i="3"/>
  <c r="M32" i="3"/>
  <c r="R32" i="3"/>
  <c r="S32" i="3"/>
  <c r="U32" i="3"/>
  <c r="AC32" i="3" s="1"/>
  <c r="V32" i="3"/>
  <c r="AE30" i="3" s="1"/>
  <c r="X32" i="3"/>
  <c r="M33" i="3"/>
  <c r="R33" i="3"/>
  <c r="U33" i="3"/>
  <c r="T33" i="3" s="1"/>
  <c r="V33" i="3"/>
  <c r="X33" i="3"/>
  <c r="AD31" i="3"/>
  <c r="M44" i="3"/>
  <c r="R44" i="3"/>
  <c r="S44" i="3"/>
  <c r="U44" i="3"/>
  <c r="V44" i="3"/>
  <c r="X44" i="3"/>
  <c r="M9" i="3"/>
  <c r="R9" i="3"/>
  <c r="U9" i="3"/>
  <c r="AC9" i="3" s="1"/>
  <c r="V9" i="3"/>
  <c r="X9" i="3"/>
  <c r="M10" i="3"/>
  <c r="R10" i="3"/>
  <c r="U10" i="3"/>
  <c r="AC10" i="3" s="1"/>
  <c r="V10" i="3"/>
  <c r="X10" i="3"/>
  <c r="M19" i="3"/>
  <c r="R19" i="3"/>
  <c r="S19" i="3"/>
  <c r="U19" i="3"/>
  <c r="T19" i="3" s="1"/>
  <c r="V19" i="3"/>
  <c r="X19" i="3"/>
  <c r="M13" i="3"/>
  <c r="R13" i="3"/>
  <c r="S13" i="3"/>
  <c r="U13" i="3"/>
  <c r="AC13" i="3" s="1"/>
  <c r="V13" i="3"/>
  <c r="X13" i="3"/>
  <c r="M39" i="3"/>
  <c r="R39" i="3"/>
  <c r="U39" i="3"/>
  <c r="AC39" i="3" s="1"/>
  <c r="V39" i="3"/>
  <c r="X39" i="3"/>
  <c r="M20" i="3"/>
  <c r="R20" i="3"/>
  <c r="S20" i="3"/>
  <c r="U20" i="3"/>
  <c r="AC20" i="3" s="1"/>
  <c r="V20" i="3"/>
  <c r="X20" i="3"/>
  <c r="AD38" i="3"/>
  <c r="M21" i="3"/>
  <c r="S21" i="3"/>
  <c r="U21" i="3"/>
  <c r="T21" i="3" s="1"/>
  <c r="V21" i="3"/>
  <c r="X21" i="3"/>
  <c r="M22" i="3"/>
  <c r="S22" i="3"/>
  <c r="U22" i="3"/>
  <c r="V22" i="3"/>
  <c r="X22" i="3"/>
  <c r="M34" i="3"/>
  <c r="S34" i="3"/>
  <c r="U34" i="3"/>
  <c r="AC34" i="3" s="1"/>
  <c r="V34" i="3"/>
  <c r="X34" i="3"/>
  <c r="M8" i="3"/>
  <c r="S8" i="3"/>
  <c r="U8" i="3"/>
  <c r="AC8" i="3" s="1"/>
  <c r="V8" i="3"/>
  <c r="X8" i="3"/>
  <c r="AE42" i="3"/>
  <c r="M35" i="3"/>
  <c r="S35" i="3"/>
  <c r="U35" i="3"/>
  <c r="T35" i="3" s="1"/>
  <c r="V35" i="3"/>
  <c r="X35" i="3"/>
  <c r="M36" i="3"/>
  <c r="S36" i="3"/>
  <c r="U36" i="3"/>
  <c r="V36" i="3"/>
  <c r="X36" i="3"/>
  <c r="M48" i="3"/>
  <c r="U48" i="3"/>
  <c r="AC48" i="3" s="1"/>
  <c r="V48" i="3"/>
  <c r="X48" i="3"/>
  <c r="M7" i="3"/>
  <c r="S7" i="3"/>
  <c r="U7" i="3"/>
  <c r="AC7" i="3" s="1"/>
  <c r="V7" i="3"/>
  <c r="X7" i="3"/>
  <c r="AD46" i="3"/>
  <c r="M26" i="3"/>
  <c r="U26" i="3"/>
  <c r="T26" i="3" s="1"/>
  <c r="V26" i="3"/>
  <c r="X26" i="3"/>
  <c r="AD47" i="3"/>
  <c r="AG167" i="1"/>
  <c r="AG162" i="1"/>
  <c r="AG157" i="1"/>
  <c r="AG130" i="1"/>
  <c r="AG102" i="1"/>
  <c r="AG74" i="1"/>
  <c r="AG14" i="1"/>
  <c r="AG18" i="1"/>
  <c r="AG22" i="1"/>
  <c r="AG26" i="1"/>
  <c r="AG30" i="1"/>
  <c r="AG33" i="1"/>
  <c r="AG37" i="1"/>
  <c r="AG41" i="1"/>
  <c r="AG45" i="1"/>
  <c r="AG49" i="1"/>
  <c r="AG55" i="1"/>
  <c r="AG59" i="1"/>
  <c r="AG63" i="1"/>
  <c r="AG67" i="1"/>
  <c r="AG71" i="1"/>
  <c r="AG76" i="1"/>
  <c r="AG80" i="1"/>
  <c r="AG84" i="1"/>
  <c r="AG88" i="1"/>
  <c r="AG92" i="1"/>
  <c r="AG163" i="1"/>
  <c r="AG168" i="1"/>
  <c r="AG53" i="1"/>
  <c r="AG173" i="1"/>
  <c r="AG177" i="1"/>
  <c r="AG181" i="1"/>
  <c r="AG184" i="1"/>
  <c r="AG188" i="1"/>
  <c r="AG192" i="1"/>
  <c r="AG195" i="1"/>
  <c r="AG99" i="1"/>
  <c r="AG104" i="1"/>
  <c r="AG215" i="1"/>
  <c r="AG109" i="1"/>
  <c r="AG113" i="1"/>
  <c r="AG117" i="1"/>
  <c r="AG121" i="1"/>
  <c r="AG125" i="1"/>
  <c r="AG129" i="1"/>
  <c r="AG134" i="1"/>
  <c r="AG138" i="1"/>
  <c r="AG142" i="1"/>
  <c r="AG146" i="1"/>
  <c r="AG150" i="1"/>
  <c r="AG154" i="1"/>
  <c r="AG159" i="1"/>
  <c r="AG200" i="1"/>
  <c r="AG204" i="1"/>
  <c r="AG216" i="1"/>
  <c r="AG15" i="1"/>
  <c r="AG20" i="1"/>
  <c r="AG25" i="1"/>
  <c r="AG35" i="1"/>
  <c r="AG40" i="1"/>
  <c r="AG46" i="1"/>
  <c r="AG51" i="1"/>
  <c r="AG58" i="1"/>
  <c r="AG64" i="1"/>
  <c r="AG69" i="1"/>
  <c r="AG75" i="1"/>
  <c r="AG81" i="1"/>
  <c r="AG86" i="1"/>
  <c r="AG91" i="1"/>
  <c r="AG164" i="1"/>
  <c r="AG170" i="1"/>
  <c r="AG96" i="1"/>
  <c r="AG178" i="1"/>
  <c r="AG97" i="1"/>
  <c r="AG187" i="1"/>
  <c r="AG98" i="1"/>
  <c r="AG197" i="1"/>
  <c r="AG103" i="1"/>
  <c r="AG106" i="1"/>
  <c r="AG111" i="1"/>
  <c r="AG116" i="1"/>
  <c r="AG122" i="1"/>
  <c r="AG127" i="1"/>
  <c r="AG133" i="1"/>
  <c r="AG139" i="1"/>
  <c r="AG144" i="1"/>
  <c r="AG149" i="1"/>
  <c r="AG155" i="1"/>
  <c r="AG161" i="1"/>
  <c r="AG203" i="1"/>
  <c r="AG218" i="1"/>
  <c r="AG225" i="1"/>
  <c r="AG210" i="1"/>
  <c r="AG221" i="1"/>
  <c r="AG16" i="1"/>
  <c r="AG21" i="1"/>
  <c r="AG27" i="1"/>
  <c r="AG31" i="1"/>
  <c r="AG36" i="1"/>
  <c r="AG42" i="1"/>
  <c r="AG47" i="1"/>
  <c r="AG52" i="1"/>
  <c r="AG60" i="1"/>
  <c r="AG65" i="1"/>
  <c r="AG70" i="1"/>
  <c r="AG77" i="1"/>
  <c r="AG82" i="1"/>
  <c r="AG87" i="1"/>
  <c r="AG93" i="1"/>
  <c r="AG165" i="1"/>
  <c r="AG54" i="1"/>
  <c r="AG174" i="1"/>
  <c r="AG179" i="1"/>
  <c r="AG183" i="1"/>
  <c r="AG189" i="1"/>
  <c r="AG193" i="1"/>
  <c r="AG198" i="1"/>
  <c r="AG105" i="1"/>
  <c r="AG107" i="1"/>
  <c r="AG112" i="1"/>
  <c r="AG118" i="1"/>
  <c r="AG123" i="1"/>
  <c r="AG128" i="1"/>
  <c r="AG135" i="1"/>
  <c r="AG140" i="1"/>
  <c r="AG145" i="1"/>
  <c r="AG151" i="1"/>
  <c r="AG156" i="1"/>
  <c r="AG199" i="1"/>
  <c r="AG207" i="1"/>
  <c r="AG220" i="1"/>
  <c r="AG205" i="1"/>
  <c r="AG212" i="1"/>
  <c r="AG223" i="1"/>
  <c r="AG17" i="1"/>
  <c r="AG23" i="1"/>
  <c r="AG28" i="1"/>
  <c r="AG32" i="1"/>
  <c r="AG38" i="1"/>
  <c r="AG43" i="1"/>
  <c r="AG48" i="1"/>
  <c r="AG56" i="1"/>
  <c r="AG61" i="1"/>
  <c r="AG66" i="1"/>
  <c r="AG72" i="1"/>
  <c r="AG78" i="1"/>
  <c r="AG83" i="1"/>
  <c r="AG89" i="1"/>
  <c r="AG94" i="1"/>
  <c r="AG166" i="1"/>
  <c r="AG171" i="1"/>
  <c r="AG175" i="1"/>
  <c r="AG180" i="1"/>
  <c r="AG185" i="1"/>
  <c r="AG190" i="1"/>
  <c r="AG194" i="1"/>
  <c r="AG100" i="1"/>
  <c r="AG213" i="1"/>
  <c r="AG108" i="1"/>
  <c r="AG114" i="1"/>
  <c r="AG119" i="1"/>
  <c r="AG124" i="1"/>
  <c r="AG131" i="1"/>
  <c r="AG136" i="1"/>
  <c r="AG141" i="1"/>
  <c r="AG147" i="1"/>
  <c r="AG152" i="1"/>
  <c r="AG158" i="1"/>
  <c r="AG201" i="1"/>
  <c r="AG209" i="1"/>
  <c r="AG222" i="1"/>
  <c r="AG206" i="1"/>
  <c r="AG217" i="1"/>
  <c r="AG226" i="1"/>
  <c r="AG19" i="1"/>
  <c r="AG24" i="1"/>
  <c r="AG29" i="1"/>
  <c r="AG34" i="1"/>
  <c r="AG39" i="1"/>
  <c r="AG44" i="1"/>
  <c r="AG50" i="1"/>
  <c r="AG57" i="1"/>
  <c r="AG62" i="1"/>
  <c r="AG68" i="1"/>
  <c r="AG73" i="1"/>
  <c r="AG79" i="1"/>
  <c r="AG85" i="1"/>
  <c r="AG90" i="1"/>
  <c r="AG95" i="1"/>
  <c r="AG169" i="1"/>
  <c r="AG172" i="1"/>
  <c r="AG176" i="1"/>
  <c r="AG182" i="1"/>
  <c r="AG186" i="1"/>
  <c r="AG191" i="1"/>
  <c r="AG196" i="1"/>
  <c r="AG101" i="1"/>
  <c r="AG214" i="1"/>
  <c r="AG110" i="1"/>
  <c r="AG115" i="1"/>
  <c r="AG120" i="1"/>
  <c r="AG126" i="1"/>
  <c r="AG132" i="1"/>
  <c r="AG137" i="1"/>
  <c r="AG143" i="1"/>
  <c r="AG148" i="1"/>
  <c r="AG153" i="1"/>
  <c r="AG160" i="1"/>
  <c r="AG202" i="1"/>
  <c r="AG211" i="1"/>
  <c r="AG224" i="1"/>
  <c r="AG208" i="1"/>
  <c r="AG219" i="1"/>
  <c r="W24" i="3"/>
  <c r="W40" i="3"/>
  <c r="W22" i="3"/>
  <c r="W16" i="3"/>
  <c r="W41" i="3"/>
  <c r="W34" i="3"/>
  <c r="W15" i="3"/>
  <c r="W14" i="3"/>
  <c r="W10" i="3"/>
  <c r="W21" i="3"/>
  <c r="W38" i="3"/>
  <c r="W27" i="3"/>
  <c r="W23" i="3"/>
  <c r="W36" i="3"/>
  <c r="W28" i="3"/>
  <c r="W47" i="3"/>
  <c r="W48" i="3"/>
  <c r="W31" i="3"/>
  <c r="W29" i="3"/>
  <c r="W20" i="3"/>
  <c r="W35" i="3"/>
  <c r="W19" i="3"/>
  <c r="W12" i="3"/>
  <c r="W44" i="3"/>
  <c r="W46" i="3"/>
  <c r="W9" i="3"/>
  <c r="W43" i="3"/>
  <c r="W25" i="3"/>
  <c r="W17" i="3"/>
  <c r="W8" i="3"/>
  <c r="W37" i="3"/>
  <c r="W42" i="3"/>
  <c r="W13" i="3"/>
  <c r="W33" i="3"/>
  <c r="W18" i="3"/>
  <c r="W39" i="3"/>
  <c r="W32" i="3"/>
  <c r="W26" i="3"/>
  <c r="W30" i="3"/>
  <c r="W7" i="3"/>
  <c r="W45" i="3"/>
  <c r="AI167" i="1" l="1"/>
  <c r="U167" i="1"/>
  <c r="S167" i="1" s="1"/>
  <c r="W167" i="1"/>
  <c r="X167" i="1"/>
  <c r="AI162" i="1"/>
  <c r="U162" i="1"/>
  <c r="S162" i="1" s="1"/>
  <c r="W162" i="1"/>
  <c r="AI157" i="1"/>
  <c r="U157" i="1"/>
  <c r="S157" i="1" s="1"/>
  <c r="W157" i="1"/>
  <c r="X157" i="1"/>
  <c r="X130" i="1"/>
  <c r="AI130" i="1"/>
  <c r="U130" i="1"/>
  <c r="S130" i="1" s="1"/>
  <c r="W130" i="1"/>
  <c r="AI102" i="1"/>
  <c r="U102" i="1"/>
  <c r="S102" i="1" s="1"/>
  <c r="W102" i="1"/>
  <c r="X74" i="1"/>
  <c r="AI74" i="1"/>
  <c r="U74" i="1"/>
  <c r="S74" i="1" s="1"/>
  <c r="W74" i="1"/>
  <c r="AC33" i="3"/>
  <c r="T31" i="3"/>
  <c r="R30" i="3"/>
  <c r="AA119" i="1"/>
  <c r="AA183" i="1"/>
  <c r="X89" i="1"/>
  <c r="X80" i="1"/>
  <c r="X78" i="1"/>
  <c r="AD43" i="3"/>
  <c r="AE16" i="3"/>
  <c r="AA212" i="1"/>
  <c r="X204" i="1"/>
  <c r="X184" i="1"/>
  <c r="X177" i="1"/>
  <c r="X173" i="1"/>
  <c r="AA170" i="1"/>
  <c r="AA94" i="1"/>
  <c r="X90" i="1"/>
  <c r="X70" i="1"/>
  <c r="X66" i="1"/>
  <c r="X62" i="1"/>
  <c r="X58" i="1"/>
  <c r="AA21" i="1"/>
  <c r="AA17" i="1"/>
  <c r="AC21" i="3"/>
  <c r="AC26" i="3"/>
  <c r="S33" i="3"/>
  <c r="AA208" i="1"/>
  <c r="AA200" i="1"/>
  <c r="X199" i="1"/>
  <c r="AA150" i="1"/>
  <c r="X146" i="1"/>
  <c r="X139" i="1"/>
  <c r="R26" i="3"/>
  <c r="AE46" i="3"/>
  <c r="AD44" i="3"/>
  <c r="R22" i="3"/>
  <c r="AE38" i="3"/>
  <c r="AE31" i="3"/>
  <c r="AD28" i="3"/>
  <c r="AD27" i="3"/>
  <c r="AE24" i="3"/>
  <c r="R31" i="3"/>
  <c r="R18" i="3"/>
  <c r="AD16" i="3"/>
  <c r="S27" i="3"/>
  <c r="S14" i="3"/>
  <c r="AC37" i="3"/>
  <c r="AA226" i="1"/>
  <c r="AA225" i="1"/>
  <c r="AA221" i="1"/>
  <c r="T201" i="1"/>
  <c r="X200" i="1"/>
  <c r="AA154" i="1"/>
  <c r="T152" i="1"/>
  <c r="AA142" i="1"/>
  <c r="T136" i="1"/>
  <c r="T131" i="1"/>
  <c r="X129" i="1"/>
  <c r="X128" i="1"/>
  <c r="X122" i="1"/>
  <c r="AA179" i="1"/>
  <c r="AA175" i="1"/>
  <c r="AA172" i="1"/>
  <c r="AA166" i="1"/>
  <c r="AA91" i="1"/>
  <c r="AA88" i="1"/>
  <c r="X87" i="1"/>
  <c r="AA85" i="1"/>
  <c r="AA84" i="1"/>
  <c r="X82" i="1"/>
  <c r="AA81" i="1"/>
  <c r="AA80" i="1"/>
  <c r="AA77" i="1"/>
  <c r="X76" i="1"/>
  <c r="AA68" i="1"/>
  <c r="AA64" i="1"/>
  <c r="AA60" i="1"/>
  <c r="AA56" i="1"/>
  <c r="AA30" i="1"/>
  <c r="AA26" i="1"/>
  <c r="AA22" i="1"/>
  <c r="AA18" i="1"/>
  <c r="AD40" i="3"/>
  <c r="X138" i="1"/>
  <c r="AA223" i="1"/>
  <c r="AA211" i="1"/>
  <c r="AA207" i="1"/>
  <c r="X202" i="1"/>
  <c r="AA160" i="1"/>
  <c r="AA151" i="1"/>
  <c r="AA149" i="1"/>
  <c r="AA146" i="1"/>
  <c r="AA143" i="1"/>
  <c r="AA141" i="1"/>
  <c r="AA138" i="1"/>
  <c r="AA135" i="1"/>
  <c r="W135" i="1" s="1"/>
  <c r="AA133" i="1"/>
  <c r="AA129" i="1"/>
  <c r="AA125" i="1"/>
  <c r="AA113" i="1"/>
  <c r="AA109" i="1"/>
  <c r="T199" i="1"/>
  <c r="T155" i="1"/>
  <c r="X154" i="1"/>
  <c r="T147" i="1"/>
  <c r="T181" i="1"/>
  <c r="X181" i="1"/>
  <c r="AA216" i="1"/>
  <c r="AA209" i="1"/>
  <c r="AA205" i="1"/>
  <c r="AA127" i="1"/>
  <c r="AA115" i="1"/>
  <c r="AA111" i="1"/>
  <c r="X156" i="1"/>
  <c r="X148" i="1"/>
  <c r="X140" i="1"/>
  <c r="X132" i="1"/>
  <c r="X127" i="1"/>
  <c r="X123" i="1"/>
  <c r="T121" i="1"/>
  <c r="X121" i="1"/>
  <c r="AA121" i="1"/>
  <c r="X97" i="1"/>
  <c r="T97" i="1"/>
  <c r="AA177" i="1"/>
  <c r="AA173" i="1"/>
  <c r="AA169" i="1"/>
  <c r="AA168" i="1"/>
  <c r="X165" i="1"/>
  <c r="AA164" i="1"/>
  <c r="AA163" i="1"/>
  <c r="X95" i="1"/>
  <c r="AA93" i="1"/>
  <c r="AA92" i="1"/>
  <c r="AA67" i="1"/>
  <c r="AA63" i="1"/>
  <c r="AA59" i="1"/>
  <c r="AA55" i="1"/>
  <c r="AA47" i="1"/>
  <c r="AA45" i="1"/>
  <c r="X180" i="1"/>
  <c r="AA83" i="1"/>
  <c r="AA69" i="1"/>
  <c r="X68" i="1"/>
  <c r="AA65" i="1"/>
  <c r="X64" i="1"/>
  <c r="AA61" i="1"/>
  <c r="X60" i="1"/>
  <c r="AA57" i="1"/>
  <c r="X56" i="1"/>
  <c r="AA53" i="1"/>
  <c r="AA52" i="1"/>
  <c r="AA39" i="1"/>
  <c r="AA37" i="1"/>
  <c r="AA36" i="1"/>
  <c r="AA27" i="1"/>
  <c r="AA23" i="1"/>
  <c r="AA19" i="1"/>
  <c r="AA15" i="1"/>
  <c r="X124" i="1"/>
  <c r="X120" i="1"/>
  <c r="AA118" i="1"/>
  <c r="X179" i="1"/>
  <c r="AA176" i="1"/>
  <c r="X175" i="1"/>
  <c r="AA96" i="1"/>
  <c r="X172" i="1"/>
  <c r="T95" i="1"/>
  <c r="T92" i="1"/>
  <c r="X88" i="1"/>
  <c r="AA86" i="1"/>
  <c r="AA78" i="1"/>
  <c r="AA70" i="1"/>
  <c r="AA66" i="1"/>
  <c r="AA62" i="1"/>
  <c r="AA58" i="1"/>
  <c r="AA54" i="1"/>
  <c r="AA43" i="1"/>
  <c r="AA41" i="1"/>
  <c r="AA31" i="1"/>
  <c r="AA28" i="1"/>
  <c r="AA24" i="1"/>
  <c r="AA20" i="1"/>
  <c r="AA16" i="1"/>
  <c r="X203" i="1"/>
  <c r="T203" i="1"/>
  <c r="AA224" i="1"/>
  <c r="T204" i="1"/>
  <c r="U204" i="1" s="1"/>
  <c r="S204" i="1" s="1"/>
  <c r="S26" i="3"/>
  <c r="AA220" i="1"/>
  <c r="AA203" i="1"/>
  <c r="X159" i="1"/>
  <c r="X150" i="1"/>
  <c r="X142" i="1"/>
  <c r="X134" i="1"/>
  <c r="T158" i="1"/>
  <c r="X149" i="1"/>
  <c r="T149" i="1"/>
  <c r="X141" i="1"/>
  <c r="T141" i="1"/>
  <c r="X133" i="1"/>
  <c r="T133" i="1"/>
  <c r="T159" i="1"/>
  <c r="U159" i="1" s="1"/>
  <c r="S159" i="1" s="1"/>
  <c r="T150" i="1"/>
  <c r="U150" i="1" s="1"/>
  <c r="S150" i="1" s="1"/>
  <c r="T142" i="1"/>
  <c r="T134" i="1"/>
  <c r="T180" i="1"/>
  <c r="X164" i="1"/>
  <c r="T164" i="1"/>
  <c r="X153" i="1"/>
  <c r="X145" i="1"/>
  <c r="X137" i="1"/>
  <c r="AA107" i="1"/>
  <c r="AA106" i="1"/>
  <c r="AA215" i="1"/>
  <c r="AA214" i="1"/>
  <c r="AA213" i="1"/>
  <c r="AA105" i="1"/>
  <c r="AA104" i="1"/>
  <c r="AA103" i="1"/>
  <c r="AA184" i="1"/>
  <c r="T184" i="1"/>
  <c r="T168" i="1"/>
  <c r="X205" i="1"/>
  <c r="X160" i="1"/>
  <c r="X151" i="1"/>
  <c r="X143" i="1"/>
  <c r="X135" i="1"/>
  <c r="X169" i="1"/>
  <c r="T169" i="1"/>
  <c r="X170" i="1"/>
  <c r="X182" i="1"/>
  <c r="T182" i="1"/>
  <c r="T165" i="1"/>
  <c r="X94" i="1"/>
  <c r="T90" i="1"/>
  <c r="X86" i="1"/>
  <c r="T82" i="1"/>
  <c r="X79" i="1"/>
  <c r="X77" i="1"/>
  <c r="AA76" i="1"/>
  <c r="T76" i="1"/>
  <c r="X73" i="1"/>
  <c r="AA72" i="1"/>
  <c r="AA71" i="1"/>
  <c r="X93" i="1"/>
  <c r="X85" i="1"/>
  <c r="X84" i="1"/>
  <c r="AA14" i="1"/>
  <c r="AA101" i="1"/>
  <c r="AA100" i="1"/>
  <c r="AA99" i="1"/>
  <c r="AA198" i="1"/>
  <c r="AA197" i="1"/>
  <c r="AA196" i="1"/>
  <c r="AA195" i="1"/>
  <c r="AA194" i="1"/>
  <c r="AA193" i="1"/>
  <c r="AA98" i="1"/>
  <c r="AA192" i="1"/>
  <c r="AA191" i="1"/>
  <c r="AA190" i="1"/>
  <c r="AA189" i="1"/>
  <c r="AA188" i="1"/>
  <c r="AA187" i="1"/>
  <c r="AA186" i="1"/>
  <c r="AA185" i="1"/>
  <c r="X183" i="1"/>
  <c r="X166" i="1"/>
  <c r="X91" i="1"/>
  <c r="T89" i="1"/>
  <c r="X83" i="1"/>
  <c r="T81" i="1"/>
  <c r="AA75" i="1"/>
  <c r="AA73" i="1"/>
  <c r="X71" i="1"/>
  <c r="U226" i="1"/>
  <c r="S226" i="1" s="1"/>
  <c r="AI226" i="1"/>
  <c r="U223" i="1"/>
  <c r="S223" i="1" s="1"/>
  <c r="AI223" i="1"/>
  <c r="U221" i="1"/>
  <c r="S221" i="1" s="1"/>
  <c r="W221" i="1"/>
  <c r="AI221" i="1"/>
  <c r="U219" i="1"/>
  <c r="S219" i="1" s="1"/>
  <c r="AI219" i="1"/>
  <c r="U217" i="1"/>
  <c r="S217" i="1" s="1"/>
  <c r="AI217" i="1"/>
  <c r="U212" i="1"/>
  <c r="S212" i="1" s="1"/>
  <c r="AI215" i="1"/>
  <c r="U210" i="1"/>
  <c r="S210" i="1" s="1"/>
  <c r="AI213" i="1"/>
  <c r="U208" i="1"/>
  <c r="S208" i="1" s="1"/>
  <c r="AI211" i="1"/>
  <c r="U206" i="1"/>
  <c r="S206" i="1" s="1"/>
  <c r="AI209" i="1"/>
  <c r="U205" i="1"/>
  <c r="S205" i="1" s="1"/>
  <c r="AI208" i="1"/>
  <c r="U225" i="1"/>
  <c r="S225" i="1" s="1"/>
  <c r="AI225" i="1"/>
  <c r="U224" i="1"/>
  <c r="S224" i="1" s="1"/>
  <c r="AI224" i="1"/>
  <c r="U222" i="1"/>
  <c r="S222" i="1" s="1"/>
  <c r="AI222" i="1"/>
  <c r="U220" i="1"/>
  <c r="S220" i="1" s="1"/>
  <c r="AI220" i="1"/>
  <c r="U218" i="1"/>
  <c r="S218" i="1" s="1"/>
  <c r="AI218" i="1"/>
  <c r="U216" i="1"/>
  <c r="S216" i="1" s="1"/>
  <c r="AI216" i="1"/>
  <c r="U211" i="1"/>
  <c r="S211" i="1" s="1"/>
  <c r="AI214" i="1"/>
  <c r="U209" i="1"/>
  <c r="S209" i="1" s="1"/>
  <c r="AI212" i="1"/>
  <c r="U207" i="1"/>
  <c r="S207" i="1" s="1"/>
  <c r="AI210" i="1"/>
  <c r="AI207" i="1"/>
  <c r="U203" i="1"/>
  <c r="S203" i="1" s="1"/>
  <c r="AI206" i="1"/>
  <c r="U202" i="1"/>
  <c r="S202" i="1" s="1"/>
  <c r="AI205" i="1"/>
  <c r="U201" i="1"/>
  <c r="S201" i="1" s="1"/>
  <c r="AI204" i="1"/>
  <c r="U200" i="1"/>
  <c r="S200" i="1" s="1"/>
  <c r="AI203" i="1"/>
  <c r="U199" i="1"/>
  <c r="S199" i="1" s="1"/>
  <c r="AI202" i="1"/>
  <c r="U161" i="1"/>
  <c r="S161" i="1" s="1"/>
  <c r="AI201" i="1"/>
  <c r="U160" i="1"/>
  <c r="S160" i="1" s="1"/>
  <c r="AI200" i="1"/>
  <c r="AI199" i="1"/>
  <c r="U158" i="1"/>
  <c r="S158" i="1" s="1"/>
  <c r="AI198" i="1"/>
  <c r="U156" i="1"/>
  <c r="S156" i="1" s="1"/>
  <c r="AI197" i="1"/>
  <c r="U155" i="1"/>
  <c r="S155" i="1" s="1"/>
  <c r="AI196" i="1"/>
  <c r="U154" i="1"/>
  <c r="S154" i="1" s="1"/>
  <c r="AI195" i="1"/>
  <c r="U153" i="1"/>
  <c r="S153" i="1" s="1"/>
  <c r="AI194" i="1"/>
  <c r="U152" i="1"/>
  <c r="S152" i="1" s="1"/>
  <c r="AI193" i="1"/>
  <c r="U151" i="1"/>
  <c r="S151" i="1" s="1"/>
  <c r="AI192" i="1"/>
  <c r="AI191" i="1"/>
  <c r="U149" i="1"/>
  <c r="S149" i="1" s="1"/>
  <c r="AI190" i="1"/>
  <c r="U148" i="1"/>
  <c r="S148" i="1" s="1"/>
  <c r="AI189" i="1"/>
  <c r="U147" i="1"/>
  <c r="S147" i="1" s="1"/>
  <c r="AI188" i="1"/>
  <c r="U146" i="1"/>
  <c r="S146" i="1" s="1"/>
  <c r="AI187" i="1"/>
  <c r="U145" i="1"/>
  <c r="S145" i="1" s="1"/>
  <c r="AI186" i="1"/>
  <c r="U144" i="1"/>
  <c r="S144" i="1" s="1"/>
  <c r="AI185" i="1"/>
  <c r="U143" i="1"/>
  <c r="S143" i="1" s="1"/>
  <c r="AI184" i="1"/>
  <c r="U142" i="1"/>
  <c r="S142" i="1" s="1"/>
  <c r="AI183" i="1"/>
  <c r="U141" i="1"/>
  <c r="S141" i="1" s="1"/>
  <c r="AI182" i="1"/>
  <c r="U140" i="1"/>
  <c r="S140" i="1" s="1"/>
  <c r="AI181" i="1"/>
  <c r="U139" i="1"/>
  <c r="S139" i="1" s="1"/>
  <c r="AI180" i="1"/>
  <c r="U138" i="1"/>
  <c r="S138" i="1" s="1"/>
  <c r="AI179" i="1"/>
  <c r="U137" i="1"/>
  <c r="S137" i="1" s="1"/>
  <c r="AI178" i="1"/>
  <c r="U136" i="1"/>
  <c r="S136" i="1" s="1"/>
  <c r="AI177" i="1"/>
  <c r="U135" i="1"/>
  <c r="S135" i="1" s="1"/>
  <c r="AI176" i="1"/>
  <c r="U134" i="1"/>
  <c r="S134" i="1" s="1"/>
  <c r="AI175" i="1"/>
  <c r="U133" i="1"/>
  <c r="S133" i="1" s="1"/>
  <c r="AI174" i="1"/>
  <c r="U132" i="1"/>
  <c r="S132" i="1" s="1"/>
  <c r="AI173" i="1"/>
  <c r="U131" i="1"/>
  <c r="S131" i="1" s="1"/>
  <c r="AI172" i="1"/>
  <c r="U129" i="1"/>
  <c r="S129" i="1" s="1"/>
  <c r="AI171" i="1"/>
  <c r="AI170" i="1"/>
  <c r="U127" i="1"/>
  <c r="S127" i="1" s="1"/>
  <c r="AI169" i="1"/>
  <c r="AI168" i="1"/>
  <c r="U125" i="1"/>
  <c r="S125" i="1" s="1"/>
  <c r="AI166" i="1"/>
  <c r="AI165" i="1"/>
  <c r="U123" i="1"/>
  <c r="S123" i="1" s="1"/>
  <c r="AI164" i="1"/>
  <c r="AI163" i="1"/>
  <c r="U121" i="1"/>
  <c r="S121" i="1" s="1"/>
  <c r="AI161" i="1"/>
  <c r="AI160" i="1"/>
  <c r="AI159" i="1"/>
  <c r="W119" i="1"/>
  <c r="AI158" i="1"/>
  <c r="W118" i="1"/>
  <c r="AI156" i="1"/>
  <c r="W117" i="1"/>
  <c r="AI155" i="1"/>
  <c r="W116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U193" i="1"/>
  <c r="S193" i="1" s="1"/>
  <c r="AI129" i="1"/>
  <c r="U98" i="1"/>
  <c r="S98" i="1" s="1"/>
  <c r="AI128" i="1"/>
  <c r="U192" i="1"/>
  <c r="S192" i="1" s="1"/>
  <c r="AI127" i="1"/>
  <c r="U191" i="1"/>
  <c r="S191" i="1" s="1"/>
  <c r="AI126" i="1"/>
  <c r="U190" i="1"/>
  <c r="S190" i="1" s="1"/>
  <c r="AI125" i="1"/>
  <c r="U189" i="1"/>
  <c r="S189" i="1" s="1"/>
  <c r="AI124" i="1"/>
  <c r="U188" i="1"/>
  <c r="S188" i="1" s="1"/>
  <c r="AI123" i="1"/>
  <c r="U187" i="1"/>
  <c r="S187" i="1" s="1"/>
  <c r="AI122" i="1"/>
  <c r="U186" i="1"/>
  <c r="S186" i="1" s="1"/>
  <c r="AI121" i="1"/>
  <c r="U185" i="1"/>
  <c r="S185" i="1" s="1"/>
  <c r="AI120" i="1"/>
  <c r="U184" i="1"/>
  <c r="S184" i="1" s="1"/>
  <c r="AI119" i="1"/>
  <c r="U183" i="1"/>
  <c r="S183" i="1" s="1"/>
  <c r="AI118" i="1"/>
  <c r="U97" i="1"/>
  <c r="S97" i="1" s="1"/>
  <c r="AI117" i="1"/>
  <c r="U182" i="1"/>
  <c r="S182" i="1" s="1"/>
  <c r="AI116" i="1"/>
  <c r="U181" i="1"/>
  <c r="S181" i="1" s="1"/>
  <c r="AI115" i="1"/>
  <c r="U180" i="1"/>
  <c r="S180" i="1" s="1"/>
  <c r="AI114" i="1"/>
  <c r="U179" i="1"/>
  <c r="S179" i="1" s="1"/>
  <c r="AI113" i="1"/>
  <c r="U178" i="1"/>
  <c r="S178" i="1" s="1"/>
  <c r="AI112" i="1"/>
  <c r="AI111" i="1"/>
  <c r="AI110" i="1"/>
  <c r="U176" i="1"/>
  <c r="S176" i="1" s="1"/>
  <c r="AI109" i="1"/>
  <c r="AI108" i="1"/>
  <c r="U174" i="1"/>
  <c r="S174" i="1" s="1"/>
  <c r="AI107" i="1"/>
  <c r="AI106" i="1"/>
  <c r="U96" i="1"/>
  <c r="S96" i="1" s="1"/>
  <c r="AI105" i="1"/>
  <c r="AI104" i="1"/>
  <c r="U171" i="1"/>
  <c r="AI53" i="1"/>
  <c r="AI54" i="1"/>
  <c r="U170" i="1"/>
  <c r="S170" i="1" s="1"/>
  <c r="AI103" i="1"/>
  <c r="U169" i="1"/>
  <c r="S169" i="1" s="1"/>
  <c r="AI101" i="1"/>
  <c r="W169" i="1"/>
  <c r="U168" i="1"/>
  <c r="S168" i="1" s="1"/>
  <c r="AI100" i="1"/>
  <c r="U166" i="1"/>
  <c r="S166" i="1" s="1"/>
  <c r="AI99" i="1"/>
  <c r="U165" i="1"/>
  <c r="S165" i="1" s="1"/>
  <c r="AI98" i="1"/>
  <c r="U164" i="1"/>
  <c r="S164" i="1" s="1"/>
  <c r="AI97" i="1"/>
  <c r="W164" i="1"/>
  <c r="U163" i="1"/>
  <c r="S163" i="1" s="1"/>
  <c r="AI96" i="1"/>
  <c r="U95" i="1"/>
  <c r="S95" i="1" s="1"/>
  <c r="AI95" i="1"/>
  <c r="U94" i="1"/>
  <c r="S94" i="1" s="1"/>
  <c r="AI94" i="1"/>
  <c r="U93" i="1"/>
  <c r="S93" i="1" s="1"/>
  <c r="AI93" i="1"/>
  <c r="W93" i="1"/>
  <c r="U92" i="1"/>
  <c r="S92" i="1" s="1"/>
  <c r="AI92" i="1"/>
  <c r="U91" i="1"/>
  <c r="S91" i="1" s="1"/>
  <c r="AI91" i="1"/>
  <c r="U90" i="1"/>
  <c r="S90" i="1" s="1"/>
  <c r="AI90" i="1"/>
  <c r="U89" i="1"/>
  <c r="S89" i="1" s="1"/>
  <c r="AI89" i="1"/>
  <c r="W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U80" i="1"/>
  <c r="S80" i="1" s="1"/>
  <c r="AI80" i="1"/>
  <c r="AI79" i="1"/>
  <c r="U78" i="1"/>
  <c r="S78" i="1" s="1"/>
  <c r="AI78" i="1"/>
  <c r="AI77" i="1"/>
  <c r="U76" i="1"/>
  <c r="S76" i="1" s="1"/>
  <c r="AI76" i="1"/>
  <c r="AI75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AI60" i="1"/>
  <c r="U59" i="1"/>
  <c r="S59" i="1" s="1"/>
  <c r="AI59" i="1"/>
  <c r="AI58" i="1"/>
  <c r="U57" i="1"/>
  <c r="S57" i="1" s="1"/>
  <c r="AI57" i="1"/>
  <c r="AI56" i="1"/>
  <c r="U55" i="1"/>
  <c r="S55" i="1" s="1"/>
  <c r="AI55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3" i="1"/>
  <c r="W226" i="1"/>
  <c r="W222" i="1"/>
  <c r="W225" i="1"/>
  <c r="W224" i="1"/>
  <c r="W219" i="1"/>
  <c r="W204" i="1"/>
  <c r="W201" i="1"/>
  <c r="W159" i="1"/>
  <c r="W155" i="1"/>
  <c r="W150" i="1"/>
  <c r="W147" i="1"/>
  <c r="W142" i="1"/>
  <c r="W139" i="1"/>
  <c r="W134" i="1"/>
  <c r="W131" i="1"/>
  <c r="W218" i="1"/>
  <c r="W202" i="1"/>
  <c r="W199" i="1"/>
  <c r="W156" i="1"/>
  <c r="W153" i="1"/>
  <c r="W148" i="1"/>
  <c r="W145" i="1"/>
  <c r="W140" i="1"/>
  <c r="W137" i="1"/>
  <c r="W132" i="1"/>
  <c r="W128" i="1"/>
  <c r="W126" i="1"/>
  <c r="W124" i="1"/>
  <c r="W122" i="1"/>
  <c r="W120" i="1"/>
  <c r="W217" i="1"/>
  <c r="W216" i="1"/>
  <c r="W212" i="1"/>
  <c r="W211" i="1"/>
  <c r="W210" i="1"/>
  <c r="W209" i="1"/>
  <c r="W208" i="1"/>
  <c r="W207" i="1"/>
  <c r="W206" i="1"/>
  <c r="W205" i="1"/>
  <c r="W200" i="1"/>
  <c r="W160" i="1"/>
  <c r="W154" i="1"/>
  <c r="W151" i="1"/>
  <c r="W146" i="1"/>
  <c r="W143" i="1"/>
  <c r="W138" i="1"/>
  <c r="W129" i="1"/>
  <c r="W127" i="1"/>
  <c r="W125" i="1"/>
  <c r="W123" i="1"/>
  <c r="W121" i="1"/>
  <c r="W220" i="1"/>
  <c r="W203" i="1"/>
  <c r="W161" i="1"/>
  <c r="W158" i="1"/>
  <c r="W152" i="1"/>
  <c r="W149" i="1"/>
  <c r="W144" i="1"/>
  <c r="W141" i="1"/>
  <c r="W136" i="1"/>
  <c r="W133" i="1"/>
  <c r="W181" i="1"/>
  <c r="W163" i="1"/>
  <c r="W183" i="1"/>
  <c r="W179" i="1"/>
  <c r="W170" i="1"/>
  <c r="W166" i="1"/>
  <c r="W94" i="1"/>
  <c r="W91" i="1"/>
  <c r="T128" i="1"/>
  <c r="U128" i="1" s="1"/>
  <c r="S128" i="1" s="1"/>
  <c r="T126" i="1"/>
  <c r="U126" i="1" s="1"/>
  <c r="S126" i="1" s="1"/>
  <c r="T124" i="1"/>
  <c r="U124" i="1" s="1"/>
  <c r="S124" i="1" s="1"/>
  <c r="T122" i="1"/>
  <c r="U122" i="1" s="1"/>
  <c r="S122" i="1" s="1"/>
  <c r="T120" i="1"/>
  <c r="U120" i="1" s="1"/>
  <c r="S120" i="1" s="1"/>
  <c r="W115" i="1"/>
  <c r="W114" i="1"/>
  <c r="W113" i="1"/>
  <c r="W112" i="1"/>
  <c r="W111" i="1"/>
  <c r="W110" i="1"/>
  <c r="W109" i="1"/>
  <c r="W108" i="1"/>
  <c r="W107" i="1"/>
  <c r="W106" i="1"/>
  <c r="W215" i="1"/>
  <c r="W214" i="1"/>
  <c r="W213" i="1"/>
  <c r="W105" i="1"/>
  <c r="W104" i="1"/>
  <c r="W103" i="1"/>
  <c r="W101" i="1"/>
  <c r="W100" i="1"/>
  <c r="W99" i="1"/>
  <c r="W198" i="1"/>
  <c r="W197" i="1"/>
  <c r="W196" i="1"/>
  <c r="W195" i="1"/>
  <c r="W194" i="1"/>
  <c r="W193" i="1"/>
  <c r="W98" i="1"/>
  <c r="W192" i="1"/>
  <c r="W191" i="1"/>
  <c r="W190" i="1"/>
  <c r="W189" i="1"/>
  <c r="W188" i="1"/>
  <c r="W187" i="1"/>
  <c r="W186" i="1"/>
  <c r="W185" i="1"/>
  <c r="W184" i="1"/>
  <c r="W182" i="1"/>
  <c r="W168" i="1"/>
  <c r="W92" i="1"/>
  <c r="R8" i="3"/>
  <c r="X226" i="1"/>
  <c r="X225" i="1"/>
  <c r="X224" i="1"/>
  <c r="X223" i="1"/>
  <c r="X222" i="1"/>
  <c r="X221" i="1"/>
  <c r="X220" i="1"/>
  <c r="X219" i="1"/>
  <c r="X218" i="1"/>
  <c r="X217" i="1"/>
  <c r="X216" i="1"/>
  <c r="X212" i="1"/>
  <c r="X211" i="1"/>
  <c r="X210" i="1"/>
  <c r="X209" i="1"/>
  <c r="X208" i="1"/>
  <c r="X207" i="1"/>
  <c r="X206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W97" i="1"/>
  <c r="W180" i="1"/>
  <c r="W165" i="1"/>
  <c r="W95" i="1"/>
  <c r="X178" i="1"/>
  <c r="W177" i="1"/>
  <c r="T177" i="1"/>
  <c r="U177" i="1" s="1"/>
  <c r="S177" i="1" s="1"/>
  <c r="X176" i="1"/>
  <c r="W175" i="1"/>
  <c r="T175" i="1"/>
  <c r="U175" i="1" s="1"/>
  <c r="S175" i="1" s="1"/>
  <c r="X174" i="1"/>
  <c r="W173" i="1"/>
  <c r="T173" i="1"/>
  <c r="U173" i="1" s="1"/>
  <c r="S173" i="1" s="1"/>
  <c r="X96" i="1"/>
  <c r="W172" i="1"/>
  <c r="T172" i="1"/>
  <c r="U172" i="1" s="1"/>
  <c r="S172" i="1" s="1"/>
  <c r="X171" i="1"/>
  <c r="W88" i="1"/>
  <c r="W85" i="1"/>
  <c r="W80" i="1"/>
  <c r="W78" i="1"/>
  <c r="W76" i="1"/>
  <c r="W72" i="1"/>
  <c r="W71" i="1"/>
  <c r="W178" i="1"/>
  <c r="W86" i="1"/>
  <c r="W83" i="1"/>
  <c r="W176" i="1"/>
  <c r="W174" i="1"/>
  <c r="W96" i="1"/>
  <c r="W171" i="1"/>
  <c r="W90" i="1"/>
  <c r="W84" i="1"/>
  <c r="W81" i="1"/>
  <c r="W75" i="1"/>
  <c r="W73" i="1"/>
  <c r="X193" i="1"/>
  <c r="X98" i="1"/>
  <c r="X192" i="1"/>
  <c r="X191" i="1"/>
  <c r="X190" i="1"/>
  <c r="X189" i="1"/>
  <c r="X188" i="1"/>
  <c r="X187" i="1"/>
  <c r="X186" i="1"/>
  <c r="X185" i="1"/>
  <c r="W87" i="1"/>
  <c r="W82" i="1"/>
  <c r="W79" i="1"/>
  <c r="W77" i="1"/>
  <c r="W70" i="1"/>
  <c r="T70" i="1"/>
  <c r="U70" i="1" s="1"/>
  <c r="X69" i="1"/>
  <c r="W68" i="1"/>
  <c r="T68" i="1"/>
  <c r="U68" i="1" s="1"/>
  <c r="S68" i="1" s="1"/>
  <c r="X67" i="1"/>
  <c r="W66" i="1"/>
  <c r="T66" i="1"/>
  <c r="U66" i="1" s="1"/>
  <c r="S66" i="1" s="1"/>
  <c r="X65" i="1"/>
  <c r="W64" i="1"/>
  <c r="T64" i="1"/>
  <c r="U64" i="1" s="1"/>
  <c r="S64" i="1" s="1"/>
  <c r="X63" i="1"/>
  <c r="W62" i="1"/>
  <c r="T62" i="1"/>
  <c r="U62" i="1" s="1"/>
  <c r="X61" i="1"/>
  <c r="W60" i="1"/>
  <c r="T60" i="1"/>
  <c r="U60" i="1" s="1"/>
  <c r="S60" i="1" s="1"/>
  <c r="X59" i="1"/>
  <c r="W58" i="1"/>
  <c r="T58" i="1"/>
  <c r="U58" i="1" s="1"/>
  <c r="S58" i="1" s="1"/>
  <c r="X57" i="1"/>
  <c r="W56" i="1"/>
  <c r="T56" i="1"/>
  <c r="U56" i="1" s="1"/>
  <c r="S56" i="1" s="1"/>
  <c r="X55" i="1"/>
  <c r="W53" i="1"/>
  <c r="W49" i="1"/>
  <c r="W45" i="1"/>
  <c r="W41" i="1"/>
  <c r="W37" i="1"/>
  <c r="W54" i="1"/>
  <c r="W52" i="1"/>
  <c r="W48" i="1"/>
  <c r="W44" i="1"/>
  <c r="W40" i="1"/>
  <c r="W36" i="1"/>
  <c r="T79" i="1"/>
  <c r="U79" i="1" s="1"/>
  <c r="S79" i="1" s="1"/>
  <c r="T77" i="1"/>
  <c r="U77" i="1" s="1"/>
  <c r="S77" i="1" s="1"/>
  <c r="T75" i="1"/>
  <c r="U75" i="1" s="1"/>
  <c r="S75" i="1" s="1"/>
  <c r="T72" i="1"/>
  <c r="U72" i="1" s="1"/>
  <c r="S72" i="1" s="1"/>
  <c r="W69" i="1"/>
  <c r="W67" i="1"/>
  <c r="W65" i="1"/>
  <c r="W63" i="1"/>
  <c r="W61" i="1"/>
  <c r="W59" i="1"/>
  <c r="W57" i="1"/>
  <c r="W55" i="1"/>
  <c r="W51" i="1"/>
  <c r="W47" i="1"/>
  <c r="W43" i="1"/>
  <c r="W39" i="1"/>
  <c r="W50" i="1"/>
  <c r="W46" i="1"/>
  <c r="W42" i="1"/>
  <c r="W38" i="1"/>
  <c r="T54" i="1"/>
  <c r="U54" i="1" s="1"/>
  <c r="S54" i="1" s="1"/>
  <c r="X54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T32" i="1"/>
  <c r="U32" i="1" s="1"/>
  <c r="S32" i="1" s="1"/>
  <c r="T31" i="1"/>
  <c r="U31" i="1" s="1"/>
  <c r="S31" i="1" s="1"/>
  <c r="T30" i="1"/>
  <c r="U30" i="1" s="1"/>
  <c r="S30" i="1" s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D48" i="3"/>
  <c r="T7" i="3"/>
  <c r="T20" i="3"/>
  <c r="AD35" i="3"/>
  <c r="AE34" i="3"/>
  <c r="AD30" i="3"/>
  <c r="T32" i="3"/>
  <c r="AC23" i="3"/>
  <c r="AD23" i="3"/>
  <c r="T30" i="3"/>
  <c r="AD20" i="3"/>
  <c r="AE19" i="3"/>
  <c r="AD15" i="3"/>
  <c r="T29" i="3"/>
  <c r="AD36" i="3"/>
  <c r="AC36" i="3"/>
  <c r="AE47" i="3"/>
  <c r="AE39" i="3"/>
  <c r="AD32" i="3"/>
  <c r="AD25" i="3"/>
  <c r="AD17" i="3"/>
  <c r="AD39" i="3"/>
  <c r="AE23" i="3"/>
  <c r="AE15" i="3"/>
  <c r="AD9" i="3"/>
  <c r="AD21" i="3"/>
  <c r="AD13" i="3"/>
  <c r="AD8" i="3"/>
  <c r="AC35" i="3"/>
  <c r="AE35" i="3"/>
  <c r="AD34" i="3"/>
  <c r="T10" i="3"/>
  <c r="AC44" i="3"/>
  <c r="AC25" i="3"/>
  <c r="AE20" i="3"/>
  <c r="AD19" i="3"/>
  <c r="T17" i="3"/>
  <c r="AC12" i="3"/>
  <c r="AC45" i="3"/>
  <c r="AE43" i="3"/>
  <c r="AD42" i="3"/>
  <c r="T8" i="3"/>
  <c r="AC22" i="3"/>
  <c r="AC19" i="3"/>
  <c r="AE27" i="3"/>
  <c r="T43" i="3"/>
  <c r="AC40" i="3"/>
  <c r="AC15" i="3"/>
  <c r="AE12" i="3"/>
  <c r="T14" i="3"/>
  <c r="Y19" i="3"/>
  <c r="Y38" i="3"/>
  <c r="Y45" i="3"/>
  <c r="Y37" i="3"/>
  <c r="Y35" i="3"/>
  <c r="Y21" i="3"/>
  <c r="Y7" i="3"/>
  <c r="Y8" i="3"/>
  <c r="Y20" i="3"/>
  <c r="Y10" i="3"/>
  <c r="Y30" i="3"/>
  <c r="Y17" i="3"/>
  <c r="Y29" i="3"/>
  <c r="Y14" i="3"/>
  <c r="Y26" i="3"/>
  <c r="Y25" i="3"/>
  <c r="Y31" i="3"/>
  <c r="Y15" i="3"/>
  <c r="Y32" i="3"/>
  <c r="Y43" i="3"/>
  <c r="Y48" i="3"/>
  <c r="Y34" i="3"/>
  <c r="Y39" i="3"/>
  <c r="Y9" i="3"/>
  <c r="Y47" i="3"/>
  <c r="Y41" i="3"/>
  <c r="Y18" i="3"/>
  <c r="Y46" i="3"/>
  <c r="Y28" i="3"/>
  <c r="Y16" i="3"/>
  <c r="Y33" i="3"/>
  <c r="Y36" i="3"/>
  <c r="Y22" i="3"/>
  <c r="Y13" i="3"/>
  <c r="Y44" i="3"/>
  <c r="Y23" i="3"/>
  <c r="Y40" i="3"/>
  <c r="Y42" i="3"/>
  <c r="Y12" i="3"/>
  <c r="Y27" i="3"/>
  <c r="Y24" i="3"/>
  <c r="AE29" i="3"/>
  <c r="T47" i="3"/>
  <c r="AE22" i="3"/>
  <c r="T18" i="3"/>
  <c r="AE18" i="3"/>
  <c r="T46" i="3"/>
  <c r="AE14" i="3"/>
  <c r="T28" i="3"/>
  <c r="AE10" i="3"/>
  <c r="T16" i="3"/>
  <c r="AE45" i="3"/>
  <c r="T48" i="3"/>
  <c r="AE41" i="3"/>
  <c r="T34" i="3"/>
  <c r="AE37" i="3"/>
  <c r="T39" i="3"/>
  <c r="AE33" i="3"/>
  <c r="T9" i="3"/>
  <c r="AE26" i="3"/>
  <c r="T41" i="3"/>
  <c r="AE48" i="3"/>
  <c r="AD45" i="3"/>
  <c r="AE44" i="3"/>
  <c r="T36" i="3"/>
  <c r="AD41" i="3"/>
  <c r="AE40" i="3"/>
  <c r="T22" i="3"/>
  <c r="AD37" i="3"/>
  <c r="AE36" i="3"/>
  <c r="T13" i="3"/>
  <c r="AD33" i="3"/>
  <c r="AE32" i="3"/>
  <c r="T44" i="3"/>
  <c r="AD29" i="3"/>
  <c r="AE28" i="3"/>
  <c r="T23" i="3"/>
  <c r="AD26" i="3"/>
  <c r="AE25" i="3"/>
  <c r="T40" i="3"/>
  <c r="AD22" i="3"/>
  <c r="AE21" i="3"/>
  <c r="T42" i="3"/>
  <c r="AD18" i="3"/>
  <c r="AE17" i="3"/>
  <c r="T12" i="3"/>
  <c r="AD14" i="3"/>
  <c r="AE13" i="3"/>
  <c r="T27" i="3"/>
  <c r="AD10" i="3"/>
  <c r="AE9" i="3"/>
  <c r="T24" i="3"/>
  <c r="AE8" i="3"/>
  <c r="M11" i="3" l="1"/>
  <c r="R11" i="3"/>
  <c r="U11" i="3"/>
  <c r="X11" i="3"/>
  <c r="M30" i="5"/>
  <c r="M29" i="5"/>
  <c r="M28" i="5"/>
  <c r="M27" i="5"/>
  <c r="M26" i="5"/>
  <c r="W11" i="3"/>
  <c r="AD11" i="3" l="1"/>
  <c r="Y11" i="3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11" i="3" l="1"/>
  <c r="V11" i="3"/>
  <c r="AE11" i="3" s="1"/>
  <c r="AC11" i="3"/>
  <c r="AO13" i="1"/>
  <c r="AN13" i="1"/>
  <c r="V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N12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36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4" i="3" l="1"/>
  <c r="N20" i="3"/>
  <c r="N43" i="3"/>
  <c r="N41" i="3"/>
  <c r="N7" i="3"/>
  <c r="N26" i="3"/>
  <c r="N35" i="3"/>
  <c r="N8" i="3"/>
  <c r="N13" i="3"/>
  <c r="N23" i="3"/>
  <c r="N40" i="3"/>
  <c r="N46" i="3"/>
  <c r="N38" i="3"/>
  <c r="N29" i="3"/>
  <c r="N28" i="3"/>
  <c r="N19" i="3"/>
  <c r="N44" i="3"/>
  <c r="N18" i="3"/>
  <c r="N15" i="3"/>
  <c r="N31" i="3"/>
  <c r="N30" i="3"/>
  <c r="N45" i="3"/>
  <c r="N37" i="3"/>
  <c r="N48" i="3"/>
  <c r="N21" i="3"/>
  <c r="N22" i="3"/>
  <c r="N9" i="3"/>
  <c r="N39" i="3"/>
  <c r="N10" i="3"/>
  <c r="N47" i="3"/>
  <c r="N33" i="3"/>
  <c r="N32" i="3"/>
  <c r="N25" i="3"/>
  <c r="N42" i="3"/>
  <c r="N17" i="3"/>
  <c r="N14" i="3"/>
  <c r="N16" i="3"/>
  <c r="N27" i="3"/>
  <c r="N24" i="3"/>
  <c r="N11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11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B3" i="6" l="1"/>
  <c r="D3" i="6" s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<sst xmlns="http://schemas.openxmlformats.org/spreadsheetml/2006/main" count="2757" uniqueCount="1013">
  <si>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</si>
  <si>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</si>
  <si>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</si>
  <si>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</si>
  <si>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</si>
  <si>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</si>
  <si>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</si>
  <si>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</si>
  <si>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</si>
  <si>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</si>
  <si>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</si>
  <si>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</si>
  <si>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</si>
  <si>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</si>
  <si>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</si>
  <si>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</si>
  <si>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</si>
  <si>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</si>
  <si>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</si>
  <si>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</si>
  <si>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</si>
  <si>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</si>
  <si>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</si>
  <si>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</si>
  <si>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</si>
  <si>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</si>
  <si>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</si>
  <si>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</si>
  <si>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</si>
  <si>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</si>
  <si>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</si>
  <si>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</si>
  <si>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</si>
  <si>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</si>
  <si>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</si>
  <si>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</si>
  <si>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</si>
  <si>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</si>
  <si>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</si>
  <si>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</si>
  <si>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</si>
  <si>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</si>
  <si>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</si>
  <si>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</si>
  <si>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</si>
  <si>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</si>
  <si>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</si>
  <si>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</si>
  <si>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</si>
  <si>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</si>
  <si>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</si>
  <si>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</si>
  <si>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</si>
  <si>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</si>
  <si>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</si>
  <si>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</si>
  <si>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</si>
  <si>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</si>
  <si>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</si>
  <si>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</si>
  <si>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</si>
  <si>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</si>
  <si>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</si>
  <si>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</si>
  <si>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</si>
  <si>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</si>
  <si>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</si>
  <si>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</si>
  <si>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</si>
  <si>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</si>
  <si>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</si>
  <si>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</si>
  <si>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</si>
  <si>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</si>
  <si>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</si>
  <si>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</si>
  <si>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</si>
  <si>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</si>
  <si>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</si>
  <si>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</si>
  <si>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</si>
  <si>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</si>
  <si>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</si>
  <si>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</si>
  <si>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</si>
  <si>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</si>
  <si>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</si>
  <si>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</si>
  <si>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</si>
  <si>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</si>
  <si>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</si>
  <si>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</si>
  <si>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</si>
  <si>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</si>
  <si>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</si>
  <si>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</si>
  <si>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</si>
  <si>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</si>
  <si>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</si>
  <si>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</si>
  <si>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</si>
  <si>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</si>
  <si>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</si>
  <si>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</si>
  <si>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</si>
  <si>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</si>
  <si>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</si>
  <si>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</si>
  <si>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</si>
  <si>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</si>
  <si>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</si>
  <si>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</si>
  <si>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</si>
  <si>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</si>
  <si>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</si>
  <si>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</si>
  <si>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</si>
  <si>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</si>
  <si>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</si>
  <si>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</si>
  <si>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</si>
  <si>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</si>
  <si>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</si>
  <si>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</si>
  <si>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</si>
  <si>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</si>
  <si>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</si>
  <si>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</si>
  <si>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</si>
  <si>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</si>
  <si>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</si>
  <si>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</si>
  <si>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</si>
  <si>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</si>
  <si>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</si>
  <si>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</si>
  <si>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</si>
  <si>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</si>
  <si>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</si>
  <si>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</si>
  <si>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</si>
  <si>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</si>
  <si>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</si>
  <si>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</si>
  <si>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</si>
  <si>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</si>
  <si>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</si>
  <si>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</si>
  <si>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</si>
  <si>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</si>
  <si>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</si>
  <si>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</si>
  <si>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</si>
  <si>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</si>
  <si>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</si>
  <si>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</si>
  <si>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</si>
  <si>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</si>
  <si>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</si>
  <si>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</si>
  <si>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</si>
  <si>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</si>
  <si>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</si>
  <si>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</si>
  <si>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</si>
  <si>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</si>
  <si>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</si>
  <si>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</si>
  <si>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</si>
  <si>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</si>
  <si>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</si>
  <si>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</si>
  <si>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</si>
  <si>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</si>
  <si>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</si>
  <si>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</si>
  <si>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</si>
  <si>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</si>
  <si>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</si>
  <si>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</si>
  <si>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</si>
  <si>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</si>
  <si>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</si>
  <si>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</si>
  <si>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</si>
  <si>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</si>
  <si>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</si>
  <si>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</si>
  <si>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</si>
  <si>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</si>
  <si>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</si>
  <si>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</si>
  <si>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</si>
  <si>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</si>
  <si>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</si>
  <si>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</si>
  <si>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</si>
  <si>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</si>
  <si>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</si>
  <si>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</si>
  <si>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</si>
  <si>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</si>
  <si>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</si>
  <si>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</si>
  <si>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</si>
  <si>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</si>
  <si>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</si>
  <si>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</si>
  <si>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</si>
  <si>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</si>
  <si>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</si>
  <si>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</si>
  <si>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</si>
  <si>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</si>
  <si>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</si>
  <si>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</si>
  <si>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</si>
  <si>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</si>
  <si>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</si>
  <si>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</si>
  <si>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</si>
  <si>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</si>
  <si>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</si>
  <si>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</si>
  <si>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</si>
  <si>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</si>
  <si>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</si>
  <si>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</si>
  <si>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</si>
  <si>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</si>
  <si>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</si>
  <si>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</si>
  <si>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</si>
  <si>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</si>
  <si>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</si>
  <si>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</si>
  <si>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</si>
  <si>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</si>
  <si>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</si>
  <si>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</si>
  <si>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</si>
  <si>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</si>
  <si>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</si>
  <si>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</si>
  <si>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</si>
  <si>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</si>
  <si>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</si>
  <si>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</si>
  <si>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</si>
  <si>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</si>
  <si>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</si>
  <si>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</si>
  <si>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</si>
  <si>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</si>
  <si>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</si>
  <si>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</si>
  <si>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</si>
  <si>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</si>
  <si>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</si>
  <si>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</si>
  <si>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</si>
  <si>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</si>
  <si>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</si>
  <si>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</si>
  <si>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</si>
  <si>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</si>
  <si>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</si>
  <si>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</si>
  <si>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</si>
  <si>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</si>
  <si>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</si>
  <si>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</si>
  <si>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</si>
  <si>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</si>
  <si>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</si>
  <si>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</si>
  <si>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</si>
  <si>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</si>
  <si>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</si>
  <si>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</si>
  <si>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</si>
  <si>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</si>
  <si>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</si>
  <si>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</si>
  <si>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</si>
  <si>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</si>
  <si>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</si>
  <si>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</si>
  <si>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</si>
  <si>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</si>
  <si>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</si>
  <si>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</si>
  <si>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</si>
  <si>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</si>
  <si>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</si>
  <si>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</si>
  <si>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</si>
  <si>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</si>
  <si>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</si>
  <si>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</si>
  <si>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</si>
  <si>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</si>
  <si>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</si>
  <si>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</si>
  <si>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</si>
  <si>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</si>
  <si>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</si>
  <si>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</si>
  <si>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</si>
  <si>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</si>
  <si>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</si>
  <si>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</si>
  <si>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</si>
  <si>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</si>
  <si>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</si>
  <si>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</si>
  <si>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</si>
  <si>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</si>
  <si>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</si>
  <si>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</si>
  <si>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</si>
  <si>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</si>
  <si>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</si>
  <si>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</si>
  <si>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</si>
  <si>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</si>
  <si>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</si>
  <si>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</si>
  <si>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</si>
  <si>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</si>
  <si>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</si>
  <si>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</si>
  <si>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</si>
  <si>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</si>
  <si>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</si>
  <si>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</si>
  <si>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</si>
  <si>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</si>
  <si>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</si>
  <si>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</si>
  <si>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</si>
  <si>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</si>
  <si>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</si>
  <si>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</si>
  <si>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</si>
  <si>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</si>
  <si>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</si>
  <si>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</si>
  <si>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</si>
  <si>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</si>
  <si>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</si>
  <si>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</si>
  <si>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</si>
  <si>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</si>
  <si>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</si>
  <si>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</si>
  <si>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</si>
  <si>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</si>
  <si>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</si>
  <si>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</si>
  <si>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</si>
  <si>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</si>
  <si>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</si>
  <si>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</si>
  <si>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</si>
  <si>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</si>
  <si>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</si>
  <si>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</si>
  <si>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</si>
  <si>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</si>
  <si>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</si>
  <si>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</si>
  <si>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</si>
  <si>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</si>
  <si>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</si>
  <si>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</si>
  <si>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</si>
  <si>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</si>
  <si>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</si>
  <si>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</si>
  <si>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204:232994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</si>
  <si>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</si>
  <si>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</si>
  <si>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</si>
  <si>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</si>
  <si>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</si>
  <si>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</si>
  <si>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</si>
  <si>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</si>
  <si>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</si>
  <si>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</si>
  <si>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</si>
  <si>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</si>
  <si>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</si>
  <si>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</si>
  <si>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</si>
  <si>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rtdc.l.rtdc.4029:itc</t>
  </si>
  <si>
    <t>204:233289</t>
  </si>
  <si>
    <t>204:233312</t>
  </si>
  <si>
    <t>204:471</t>
  </si>
  <si>
    <t>204:232998</t>
  </si>
  <si>
    <t>204:233013</t>
  </si>
  <si>
    <t>rtdc.l.rtdc.4058:itc</t>
  </si>
  <si>
    <t>204:154</t>
  </si>
  <si>
    <t>204:232981</t>
  </si>
  <si>
    <t>204:437</t>
  </si>
  <si>
    <t>204:466</t>
  </si>
  <si>
    <t>rtdc.l.rtdc.4028:itc</t>
  </si>
  <si>
    <t>204:447</t>
  </si>
  <si>
    <t>204:233293</t>
  </si>
  <si>
    <t>204:232978</t>
  </si>
  <si>
    <t>204:232991</t>
  </si>
  <si>
    <t>204:433</t>
  </si>
  <si>
    <t>204:685</t>
  </si>
  <si>
    <t>rtdc.l.rtdc.4043:itc</t>
  </si>
  <si>
    <t>YORK</t>
  </si>
  <si>
    <t>EDGAR</t>
  </si>
  <si>
    <t>204:473</t>
  </si>
  <si>
    <t>rtdc.l.rtdc.4057:itc</t>
  </si>
  <si>
    <t>Y</t>
  </si>
  <si>
    <t>204:232982</t>
  </si>
  <si>
    <t>204:475</t>
  </si>
  <si>
    <t>204:232985</t>
  </si>
  <si>
    <t>204:233325</t>
  </si>
  <si>
    <t>rtdc.l.rtdc.4023:itc</t>
  </si>
  <si>
    <t>rtdc.l.rtdc.4024:itc</t>
  </si>
  <si>
    <t>rtdc.l.rtdc.4005:itc</t>
  </si>
  <si>
    <t>204:233310</t>
  </si>
  <si>
    <t>204:232975</t>
  </si>
  <si>
    <t>204:233006</t>
  </si>
  <si>
    <t>204:130</t>
  </si>
  <si>
    <t>204:457</t>
  </si>
  <si>
    <t>Sat - Sun = 36 Trips</t>
  </si>
  <si>
    <t>"Summary View"</t>
  </si>
  <si>
    <t>rtdc.l.rtdc.4039:itc</t>
  </si>
  <si>
    <t>rtdc.l.rtdc.4018:itc</t>
  </si>
  <si>
    <t>rtdc.l.rtdc.4010:itc</t>
  </si>
  <si>
    <t>rtdc.l.rtdc.4040:itc</t>
  </si>
  <si>
    <t>204:233306</t>
  </si>
  <si>
    <t>204:233005</t>
  </si>
  <si>
    <t>204:233295</t>
  </si>
  <si>
    <t>204:232984</t>
  </si>
  <si>
    <t>204:233317</t>
  </si>
  <si>
    <t>204:232992</t>
  </si>
  <si>
    <t>204:232988</t>
  </si>
  <si>
    <t>204:232986</t>
  </si>
  <si>
    <t>204:971</t>
  </si>
  <si>
    <t>300:58965</t>
  </si>
  <si>
    <t>204:233321</t>
  </si>
  <si>
    <t>rtdc.l.rtdc.4027:itc</t>
  </si>
  <si>
    <t>rtdc.l.rtdc.4044:itc</t>
  </si>
  <si>
    <t>YANG</t>
  </si>
  <si>
    <t>JAN</t>
  </si>
  <si>
    <t>FORTUNATO</t>
  </si>
  <si>
    <t>FRANK</t>
  </si>
  <si>
    <t>BRUDER</t>
  </si>
  <si>
    <t>RICHARD</t>
  </si>
  <si>
    <t>MOSES</t>
  </si>
  <si>
    <t>BRADLEY</t>
  </si>
  <si>
    <t>BIRKHOLZ</t>
  </si>
  <si>
    <t>NADINE</t>
  </si>
  <si>
    <t>204:233286</t>
  </si>
  <si>
    <t>204:233008</t>
  </si>
  <si>
    <t>204:232973</t>
  </si>
  <si>
    <t>300:23306</t>
  </si>
  <si>
    <t>300:23346</t>
  </si>
  <si>
    <t>204:689</t>
  </si>
  <si>
    <t>204:691</t>
  </si>
  <si>
    <t>300:58653</t>
  </si>
  <si>
    <t>204:965</t>
  </si>
  <si>
    <t>300:58656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</si>
  <si>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</si>
  <si>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</si>
  <si>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</si>
  <si>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</si>
  <si>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</si>
  <si>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</si>
  <si>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</si>
  <si>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</si>
  <si>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rtdc.l.rtdc.4002:itc</t>
  </si>
  <si>
    <t>GEBRETEKLE</t>
  </si>
  <si>
    <t>DAGNEW</t>
  </si>
  <si>
    <t>PAGE</t>
  </si>
  <si>
    <t>MARCUS</t>
  </si>
  <si>
    <t>HUFFSMITH</t>
  </si>
  <si>
    <t>MONTY</t>
  </si>
  <si>
    <t>DELGADO</t>
  </si>
  <si>
    <t>DIANAH</t>
  </si>
  <si>
    <t>BERLING</t>
  </si>
  <si>
    <t>GARY</t>
  </si>
  <si>
    <t>HOLCOMB</t>
  </si>
  <si>
    <t>KAMDEN</t>
  </si>
  <si>
    <t>DE LA ROSA</t>
  </si>
  <si>
    <t>ALEX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</si>
  <si>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</si>
  <si>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</si>
  <si>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</si>
  <si>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</si>
  <si>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</si>
  <si>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</si>
  <si>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</si>
  <si>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</si>
  <si>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204:233336</t>
  </si>
  <si>
    <t>204:233308</t>
  </si>
  <si>
    <t>204:233305</t>
  </si>
  <si>
    <t>204:167</t>
  </si>
  <si>
    <t>204:233002</t>
  </si>
  <si>
    <t>204:233280</t>
  </si>
  <si>
    <t>204:233011</t>
  </si>
  <si>
    <t>204:233274</t>
  </si>
  <si>
    <t>300:23301</t>
  </si>
  <si>
    <t>204:142</t>
  </si>
  <si>
    <t>300:58641</t>
  </si>
  <si>
    <t>204:668</t>
  </si>
  <si>
    <t>300:58975</t>
  </si>
  <si>
    <t>204:698</t>
  </si>
  <si>
    <t>c:\users\stu\Documents\GitHub\mrs-test-scripts\Headless Mode &amp; Sideloading\WalkAndUnGZ.bat</t>
  </si>
  <si>
    <t>rtdc.l.rtdc.4031:itc</t>
  </si>
  <si>
    <t>rtdc.l.rtdc.4053:itc</t>
  </si>
  <si>
    <t>rtdc.l.rtdc.4009:itc</t>
  </si>
  <si>
    <t>rtdc.l.rtdc.4032:itc</t>
  </si>
  <si>
    <t>rtdc.l.rtdc.4051:itc</t>
  </si>
  <si>
    <t>240-21</t>
  </si>
  <si>
    <t>244-21</t>
  </si>
  <si>
    <t>rtdc.l.rtdc.4006:itc</t>
  </si>
  <si>
    <t>rtdc.l.rtdc.4013:itc</t>
  </si>
  <si>
    <t>WILLIAMS</t>
  </si>
  <si>
    <t>DONTE</t>
  </si>
  <si>
    <t>rtdc.l.rtdc.4014:itc</t>
  </si>
  <si>
    <t>CASSIDY</t>
  </si>
  <si>
    <t>BRANDON</t>
  </si>
  <si>
    <t>BADERTSCHER</t>
  </si>
  <si>
    <t>DIANE</t>
  </si>
  <si>
    <t>NEWELL</t>
  </si>
  <si>
    <t>DAVIDSON</t>
  </si>
  <si>
    <t>DAVID</t>
  </si>
  <si>
    <t>ELBAUM</t>
  </si>
  <si>
    <t>MIKE</t>
  </si>
  <si>
    <t>56-21</t>
  </si>
  <si>
    <t>LOPES</t>
  </si>
  <si>
    <t>KIMBERLY</t>
  </si>
  <si>
    <t>55-21</t>
  </si>
  <si>
    <t>237-21</t>
  </si>
  <si>
    <t>849-21</t>
  </si>
  <si>
    <t>239-21</t>
  </si>
  <si>
    <t>236-21</t>
  </si>
  <si>
    <t>908-21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</si>
  <si>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</si>
  <si>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</si>
  <si>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</si>
  <si>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</si>
  <si>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</si>
  <si>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</si>
  <si>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</si>
  <si>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</si>
  <si>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</si>
  <si>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</si>
  <si>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</si>
  <si>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204:233307</t>
  </si>
  <si>
    <t>204:232974</t>
  </si>
  <si>
    <t>204:233297</t>
  </si>
  <si>
    <t>204:134</t>
  </si>
  <si>
    <t>204:233334</t>
  </si>
  <si>
    <t>204:233300</t>
  </si>
  <si>
    <t>204:233309</t>
  </si>
  <si>
    <t>204:233021</t>
  </si>
  <si>
    <t>204:1477</t>
  </si>
  <si>
    <t>204:232961</t>
  </si>
  <si>
    <t>204:233320</t>
  </si>
  <si>
    <t>204:1158</t>
  </si>
  <si>
    <t>204:1160</t>
  </si>
  <si>
    <t>300:58961</t>
  </si>
  <si>
    <t>300:58645</t>
  </si>
  <si>
    <t>300:58685</t>
  </si>
  <si>
    <t>300:58995</t>
  </si>
  <si>
    <t>204:671</t>
  </si>
  <si>
    <t>300:58630</t>
  </si>
  <si>
    <t>204:974</t>
  </si>
  <si>
    <t>204:677</t>
  </si>
  <si>
    <t>204:684</t>
  </si>
  <si>
    <t>204:233303</t>
  </si>
  <si>
    <t>204:1156</t>
  </si>
  <si>
    <t>109-23</t>
  </si>
  <si>
    <t>107-23</t>
  </si>
  <si>
    <t>108-23</t>
  </si>
  <si>
    <t>112-23</t>
  </si>
  <si>
    <t>1801-23</t>
  </si>
  <si>
    <t>114-23</t>
  </si>
  <si>
    <t>125-23</t>
  </si>
  <si>
    <t>124-23</t>
  </si>
  <si>
    <t>1805-23</t>
  </si>
  <si>
    <t>128-23</t>
  </si>
  <si>
    <t>140-23</t>
  </si>
  <si>
    <t>1808-23</t>
  </si>
  <si>
    <t>1809-23</t>
  </si>
  <si>
    <t>1810-23</t>
  </si>
  <si>
    <t>150-23</t>
  </si>
  <si>
    <t>148-23</t>
  </si>
  <si>
    <t>1811-23</t>
  </si>
  <si>
    <t>1816-23</t>
  </si>
  <si>
    <t>176-23</t>
  </si>
  <si>
    <t>rtdc.l.rtdc.4026:itc</t>
  </si>
  <si>
    <t>191-23</t>
  </si>
  <si>
    <t>189-23</t>
  </si>
  <si>
    <t>186-23</t>
  </si>
  <si>
    <t>203-23</t>
  </si>
  <si>
    <t>202-23</t>
  </si>
  <si>
    <t>212-23</t>
  </si>
  <si>
    <t>218-23</t>
  </si>
  <si>
    <t>rtdc.l.rtdc.4025:itc</t>
  </si>
  <si>
    <t>220-23</t>
  </si>
  <si>
    <t>222-23</t>
  </si>
  <si>
    <t>1833-23</t>
  </si>
  <si>
    <t>235-23</t>
  </si>
  <si>
    <t>245-22</t>
  </si>
  <si>
    <t>244-22</t>
  </si>
  <si>
    <t>307-22</t>
  </si>
  <si>
    <t>309-22</t>
  </si>
  <si>
    <t>246-22</t>
  </si>
  <si>
    <t>311-22</t>
  </si>
  <si>
    <t>300-23</t>
  </si>
  <si>
    <t>THOMPSON</t>
  </si>
  <si>
    <t>LESTER</t>
  </si>
  <si>
    <t>313-22</t>
  </si>
  <si>
    <t>51-23</t>
  </si>
  <si>
    <t>101-23</t>
  </si>
  <si>
    <t>52-23</t>
  </si>
  <si>
    <t>rtdc.l.rtdc.4045:itc</t>
  </si>
  <si>
    <t>302-23</t>
  </si>
  <si>
    <t>rtdc.l.rtdc.4046:itc</t>
  </si>
  <si>
    <t>103-23</t>
  </si>
  <si>
    <t>304-23</t>
  </si>
  <si>
    <t>102-23</t>
  </si>
  <si>
    <t>rtdc.l.rtdc.4041:itc</t>
  </si>
  <si>
    <t>306-23</t>
  </si>
  <si>
    <t>105-23</t>
  </si>
  <si>
    <t>308-23</t>
  </si>
  <si>
    <t>LANGERAK</t>
  </si>
  <si>
    <t>WILLIAM</t>
  </si>
  <si>
    <t>104-23</t>
  </si>
  <si>
    <t>310-23</t>
  </si>
  <si>
    <t>MACDONALD</t>
  </si>
  <si>
    <t>THOMAS</t>
  </si>
  <si>
    <t>111-23</t>
  </si>
  <si>
    <t>106-23</t>
  </si>
  <si>
    <t>113-23</t>
  </si>
  <si>
    <t>60-23</t>
  </si>
  <si>
    <t>312-23</t>
  </si>
  <si>
    <t>1901-23</t>
  </si>
  <si>
    <t>LAMAR</t>
  </si>
  <si>
    <t>NEKESHA</t>
  </si>
  <si>
    <t>110-23</t>
  </si>
  <si>
    <t>115-23</t>
  </si>
  <si>
    <t>117-23</t>
  </si>
  <si>
    <t>BROWN</t>
  </si>
  <si>
    <t>JACOB</t>
  </si>
  <si>
    <t>ROMERO</t>
  </si>
  <si>
    <t>CHAD</t>
  </si>
  <si>
    <t>119-23</t>
  </si>
  <si>
    <t>121-23</t>
  </si>
  <si>
    <t>116-23</t>
  </si>
  <si>
    <t>118-23</t>
  </si>
  <si>
    <t>1802-23</t>
  </si>
  <si>
    <t>123-23</t>
  </si>
  <si>
    <t>rtdc.l.rtdc.4011:itc</t>
  </si>
  <si>
    <t>120-23</t>
  </si>
  <si>
    <t>127-23</t>
  </si>
  <si>
    <t>122-23</t>
  </si>
  <si>
    <t>1803-23</t>
  </si>
  <si>
    <t>129-23</t>
  </si>
  <si>
    <t>131-23</t>
  </si>
  <si>
    <t>1804-23</t>
  </si>
  <si>
    <t>133-23</t>
  </si>
  <si>
    <t>126-23</t>
  </si>
  <si>
    <t>135-23</t>
  </si>
  <si>
    <t>130-23</t>
  </si>
  <si>
    <t>137-23</t>
  </si>
  <si>
    <t>132-23</t>
  </si>
  <si>
    <t>139-23</t>
  </si>
  <si>
    <t>1806-23</t>
  </si>
  <si>
    <t>134-23</t>
  </si>
  <si>
    <t>136-23</t>
  </si>
  <si>
    <t>141-23</t>
  </si>
  <si>
    <t>143-23</t>
  </si>
  <si>
    <t>1807-23</t>
  </si>
  <si>
    <t>138-23</t>
  </si>
  <si>
    <t>145-23</t>
  </si>
  <si>
    <t>147-23</t>
  </si>
  <si>
    <t>149-23</t>
  </si>
  <si>
    <t>155-23</t>
  </si>
  <si>
    <t>142-23</t>
  </si>
  <si>
    <t>144-23</t>
  </si>
  <si>
    <t>151-23</t>
  </si>
  <si>
    <t>67-23</t>
  </si>
  <si>
    <t>BIRENBAUM</t>
  </si>
  <si>
    <t>146-23</t>
  </si>
  <si>
    <t>153-23</t>
  </si>
  <si>
    <t>rtdc.l.rtdc.4012:itc</t>
  </si>
  <si>
    <t>157-23</t>
  </si>
  <si>
    <t>159-23</t>
  </si>
  <si>
    <t>152-23</t>
  </si>
  <si>
    <t>55-23</t>
  </si>
  <si>
    <t>161-23</t>
  </si>
  <si>
    <t>163-23</t>
  </si>
  <si>
    <t>SAFIEF</t>
  </si>
  <si>
    <t>AEIMEN</t>
  </si>
  <si>
    <t>154-23</t>
  </si>
  <si>
    <t>156-23</t>
  </si>
  <si>
    <t>1812-23</t>
  </si>
  <si>
    <t>165-23</t>
  </si>
  <si>
    <t>GUZMAN</t>
  </si>
  <si>
    <t>DANNY</t>
  </si>
  <si>
    <t>158-23</t>
  </si>
  <si>
    <t>167-23</t>
  </si>
  <si>
    <t>160-23</t>
  </si>
  <si>
    <t>169-23</t>
  </si>
  <si>
    <t>1813-23</t>
  </si>
  <si>
    <t>162-23</t>
  </si>
  <si>
    <t>164-23</t>
  </si>
  <si>
    <t>171-23</t>
  </si>
  <si>
    <t>166-23</t>
  </si>
  <si>
    <t>1814-23</t>
  </si>
  <si>
    <t>173-23</t>
  </si>
  <si>
    <t>168-23</t>
  </si>
  <si>
    <t>175-23</t>
  </si>
  <si>
    <t>1815-23</t>
  </si>
  <si>
    <t>170-23</t>
  </si>
  <si>
    <t>177-23</t>
  </si>
  <si>
    <t>172-23</t>
  </si>
  <si>
    <t>179-23</t>
  </si>
  <si>
    <t>174-23</t>
  </si>
  <si>
    <t>181-23</t>
  </si>
  <si>
    <t>183-23</t>
  </si>
  <si>
    <t>178-23</t>
  </si>
  <si>
    <t>1817-23</t>
  </si>
  <si>
    <t>SMITH</t>
  </si>
  <si>
    <t>185-23</t>
  </si>
  <si>
    <t>180-23</t>
  </si>
  <si>
    <t>187-23</t>
  </si>
  <si>
    <t>182-23</t>
  </si>
  <si>
    <t>1818-23</t>
  </si>
  <si>
    <t>184-23</t>
  </si>
  <si>
    <t>1819-23</t>
  </si>
  <si>
    <t>193-23</t>
  </si>
  <si>
    <t>188-23</t>
  </si>
  <si>
    <t>195-23</t>
  </si>
  <si>
    <t>1820-23</t>
  </si>
  <si>
    <t>197-23</t>
  </si>
  <si>
    <t>190-23</t>
  </si>
  <si>
    <t>192-23</t>
  </si>
  <si>
    <t>194-23</t>
  </si>
  <si>
    <t>199-23</t>
  </si>
  <si>
    <t>1821-23</t>
  </si>
  <si>
    <t>201-23</t>
  </si>
  <si>
    <t>196-23</t>
  </si>
  <si>
    <t>1822-23</t>
  </si>
  <si>
    <t>198-23</t>
  </si>
  <si>
    <t>77-23</t>
  </si>
  <si>
    <t>75-23</t>
  </si>
  <si>
    <t>205-23</t>
  </si>
  <si>
    <t>200-23</t>
  </si>
  <si>
    <t>207-23</t>
  </si>
  <si>
    <t>1823-23</t>
  </si>
  <si>
    <t>209-23</t>
  </si>
  <si>
    <t>211-23</t>
  </si>
  <si>
    <t>204-23</t>
  </si>
  <si>
    <t>1824-23</t>
  </si>
  <si>
    <t>206-23</t>
  </si>
  <si>
    <t>213-23</t>
  </si>
  <si>
    <t>208-23</t>
  </si>
  <si>
    <t>215-23</t>
  </si>
  <si>
    <t>1825-23</t>
  </si>
  <si>
    <t>210-23</t>
  </si>
  <si>
    <t>217-23</t>
  </si>
  <si>
    <t>219-23</t>
  </si>
  <si>
    <t>1826-23</t>
  </si>
  <si>
    <t>214-23</t>
  </si>
  <si>
    <t>301-23</t>
  </si>
  <si>
    <t>216-23</t>
  </si>
  <si>
    <t>221-23</t>
  </si>
  <si>
    <t>1827-23</t>
  </si>
  <si>
    <t>303-23</t>
  </si>
  <si>
    <t>223-23</t>
  </si>
  <si>
    <t>1828-23</t>
  </si>
  <si>
    <t>305-23</t>
  </si>
  <si>
    <t>225-23</t>
  </si>
  <si>
    <t>1829-23</t>
  </si>
  <si>
    <t>227-23</t>
  </si>
  <si>
    <t>224-23</t>
  </si>
  <si>
    <t>1830-23</t>
  </si>
  <si>
    <t>226-23</t>
  </si>
  <si>
    <t>229-23</t>
  </si>
  <si>
    <t>1831-23</t>
  </si>
  <si>
    <t>231-23</t>
  </si>
  <si>
    <t>228-23</t>
  </si>
  <si>
    <t>1832-23</t>
  </si>
  <si>
    <t>233-23</t>
  </si>
  <si>
    <t>230-23</t>
  </si>
  <si>
    <t>232-23</t>
  </si>
  <si>
    <t>1834-23</t>
  </si>
  <si>
    <t>234-23</t>
  </si>
  <si>
    <t>237-23</t>
  </si>
  <si>
    <t>1835-23</t>
  </si>
  <si>
    <t>239-23</t>
  </si>
  <si>
    <t>236-23</t>
  </si>
  <si>
    <t>1902-23</t>
  </si>
  <si>
    <t>241-23</t>
  </si>
  <si>
    <t>238-23</t>
  </si>
  <si>
    <t>243-23</t>
  </si>
  <si>
    <t>240-23</t>
  </si>
  <si>
    <t>242-23</t>
  </si>
  <si>
    <t>245-23</t>
  </si>
  <si>
    <t>307-23</t>
  </si>
  <si>
    <t>244-23</t>
  </si>
  <si>
    <t>309-23</t>
  </si>
  <si>
    <t>246-23</t>
  </si>
  <si>
    <t>311-23</t>
  </si>
  <si>
    <t>313-23</t>
  </si>
  <si>
    <t>300-24</t>
  </si>
  <si>
    <t>precipType</t>
  </si>
  <si>
    <t>rain</t>
  </si>
  <si>
    <t>partly-cloudy-night</t>
  </si>
  <si>
    <t>Partly Cloudy</t>
  </si>
  <si>
    <t>partly-cloudy-day</t>
  </si>
  <si>
    <t>Mostly Cloudy</t>
  </si>
  <si>
    <t>cloudy</t>
  </si>
  <si>
    <t>Overcast</t>
  </si>
  <si>
    <t>fog</t>
  </si>
  <si>
    <t>Foggy</t>
  </si>
  <si>
    <t>Light Rain</t>
  </si>
  <si>
    <t>Drizzle</t>
  </si>
  <si>
    <t>Rain</t>
  </si>
  <si>
    <t>204:779</t>
  </si>
  <si>
    <t>204:232967</t>
  </si>
  <si>
    <t>204:232965</t>
  </si>
  <si>
    <t>204:1488</t>
  </si>
  <si>
    <t>204:233449</t>
  </si>
  <si>
    <t>204:232964</t>
  </si>
  <si>
    <t>204:91281</t>
  </si>
  <si>
    <t>204:87486</t>
  </si>
  <si>
    <t>204:83353</t>
  </si>
  <si>
    <t>204:444</t>
  </si>
  <si>
    <t>204:233276</t>
  </si>
  <si>
    <t>204:232963</t>
  </si>
  <si>
    <t>204:232989</t>
  </si>
  <si>
    <t>204:233283</t>
  </si>
  <si>
    <t>204:174</t>
  </si>
  <si>
    <t>204:1165</t>
  </si>
  <si>
    <t>204:233255</t>
  </si>
  <si>
    <t>204:170</t>
  </si>
  <si>
    <t>204:233272</t>
  </si>
  <si>
    <t>204:232949</t>
  </si>
  <si>
    <t>204:498</t>
  </si>
  <si>
    <t>204:233347</t>
  </si>
  <si>
    <t>204:233007</t>
  </si>
  <si>
    <t>204:233017</t>
  </si>
  <si>
    <t>204:169</t>
  </si>
  <si>
    <t>204:233304</t>
  </si>
  <si>
    <t>204:113698</t>
  </si>
  <si>
    <t>204:86352</t>
  </si>
  <si>
    <t>204:86130</t>
  </si>
  <si>
    <t>204:94</t>
  </si>
  <si>
    <t>204:489</t>
  </si>
  <si>
    <t>204:233288</t>
  </si>
  <si>
    <t>204:232955</t>
  </si>
  <si>
    <t>204:125</t>
  </si>
  <si>
    <t>204:107241</t>
  </si>
  <si>
    <t>204:128272</t>
  </si>
  <si>
    <t>204:155235</t>
  </si>
  <si>
    <t>204:1001</t>
  </si>
  <si>
    <t>204:233363</t>
  </si>
  <si>
    <t>204:233010</t>
  </si>
  <si>
    <t>204:233357</t>
  </si>
  <si>
    <t>204:233034</t>
  </si>
  <si>
    <t>204:165</t>
  </si>
  <si>
    <t>204:588</t>
  </si>
  <si>
    <t>204:123</t>
  </si>
  <si>
    <t>204:233314</t>
  </si>
  <si>
    <t>204:477</t>
  </si>
  <si>
    <t>204:233322</t>
  </si>
  <si>
    <t>204:233003</t>
  </si>
  <si>
    <t>204:233340</t>
  </si>
  <si>
    <t>204:950</t>
  </si>
  <si>
    <t>300:58992</t>
  </si>
  <si>
    <t>300:58677</t>
  </si>
  <si>
    <t>204:657</t>
  </si>
  <si>
    <t>204:948</t>
  </si>
  <si>
    <t>300:58976</t>
  </si>
  <si>
    <t>300:58666</t>
  </si>
  <si>
    <t>204:652</t>
  </si>
  <si>
    <t>300:58700</t>
  </si>
  <si>
    <t>204:659</t>
  </si>
  <si>
    <t>204:937</t>
  </si>
  <si>
    <t>204:638</t>
  </si>
  <si>
    <t>204:936</t>
  </si>
  <si>
    <t>204:930</t>
  </si>
  <si>
    <t>204:1317</t>
  </si>
  <si>
    <t>300:58948</t>
  </si>
  <si>
    <t>204:705</t>
  </si>
  <si>
    <t>204:990</t>
  </si>
  <si>
    <t>300:58997</t>
  </si>
  <si>
    <t>300:58672</t>
  </si>
  <si>
    <t>204:654</t>
  </si>
  <si>
    <t>204:946</t>
  </si>
  <si>
    <t>300:58939</t>
  </si>
  <si>
    <t>300:58638</t>
  </si>
  <si>
    <t>204:664</t>
  </si>
  <si>
    <t>204:957</t>
  </si>
  <si>
    <t>300:59007</t>
  </si>
  <si>
    <t>300:58688</t>
  </si>
  <si>
    <t>204:232983</t>
  </si>
  <si>
    <t>204:715</t>
  </si>
  <si>
    <t>204:997</t>
  </si>
  <si>
    <t>300:58971</t>
  </si>
  <si>
    <t>300:58978</t>
  </si>
  <si>
    <t>300:58660</t>
  </si>
  <si>
    <t>300:58954</t>
  </si>
  <si>
    <t>204:694</t>
  </si>
  <si>
    <t>204:960</t>
  </si>
  <si>
    <t>300:58967</t>
  </si>
  <si>
    <t>300:58655</t>
  </si>
  <si>
    <t>204:978</t>
  </si>
  <si>
    <t>204:958</t>
  </si>
  <si>
    <t>300:58969</t>
  </si>
  <si>
    <t>204:673</t>
  </si>
  <si>
    <t>204:953</t>
  </si>
  <si>
    <t>300:58944</t>
  </si>
  <si>
    <t>204:427</t>
  </si>
  <si>
    <t>204:233376</t>
  </si>
  <si>
    <t>204:233032</t>
  </si>
  <si>
    <t>300:23440</t>
  </si>
  <si>
    <t>300:28770</t>
  </si>
  <si>
    <t>204:233337</t>
  </si>
  <si>
    <t>204:232976</t>
  </si>
  <si>
    <t>204:438</t>
  </si>
  <si>
    <t>204:486</t>
  </si>
  <si>
    <t>204:500</t>
  </si>
  <si>
    <t>204:478</t>
  </si>
  <si>
    <t>204:233349</t>
  </si>
  <si>
    <t>204:233043</t>
  </si>
  <si>
    <t>204:233407</t>
  </si>
  <si>
    <t>204:233387</t>
  </si>
  <si>
    <t>204:233066</t>
  </si>
  <si>
    <t>204:36800</t>
  </si>
  <si>
    <t>204:109</t>
  </si>
  <si>
    <t>204:187</t>
  </si>
  <si>
    <t>204:233370</t>
  </si>
  <si>
    <t>204:233057</t>
  </si>
  <si>
    <t>204:99</t>
  </si>
  <si>
    <t>204:233040</t>
  </si>
  <si>
    <t>204:193819</t>
  </si>
  <si>
    <t>204:129</t>
  </si>
  <si>
    <t>204:233025</t>
  </si>
  <si>
    <t>204:232971</t>
  </si>
  <si>
    <t>204:430</t>
  </si>
  <si>
    <t>300:22178</t>
  </si>
  <si>
    <t>204:420</t>
  </si>
  <si>
    <t>300:23218</t>
  </si>
  <si>
    <t>300:23274</t>
  </si>
  <si>
    <t>300:23220</t>
  </si>
  <si>
    <t>204:2096</t>
  </si>
  <si>
    <t>300:23387</t>
  </si>
  <si>
    <t>204:508</t>
  </si>
  <si>
    <t>300:23582</t>
  </si>
  <si>
    <t>300:23610</t>
  </si>
  <si>
    <t>204:935</t>
  </si>
  <si>
    <t>204:2996</t>
  </si>
  <si>
    <t>300:23302</t>
  </si>
  <si>
    <t>204:3368</t>
  </si>
  <si>
    <t>204:1475</t>
  </si>
  <si>
    <t>204:3465</t>
  </si>
  <si>
    <t>204:3186</t>
  </si>
  <si>
    <t>204:3030</t>
  </si>
  <si>
    <t>204:3303</t>
  </si>
  <si>
    <t>204:861</t>
  </si>
  <si>
    <t>300:22322</t>
  </si>
  <si>
    <t>300:5572</t>
  </si>
  <si>
    <t>204:2161</t>
  </si>
  <si>
    <t>300:5823</t>
  </si>
  <si>
    <t>204:1147</t>
  </si>
  <si>
    <t>start /low /b %USERPROFILE%\Documents\GitHub\eaglep3\Utilities\DownloadLogsFromS3.py --loco 4027 --day 2017-09-23</t>
  </si>
  <si>
    <t>start /low /b %USERPROFILE%\Documents\GitHub\eaglep3\Utilities\DownloadLogsFromS3.py --loco 4009 --day 2017-09-23</t>
  </si>
  <si>
    <t>start /low /b %USERPROFILE%\Documents\GitHub\eaglep3\Utilities\DownloadLogsFromS3.py --loco 4002 --day 2017-09-23</t>
  </si>
  <si>
    <t>start /low /b %USERPROFILE%\Documents\GitHub\eaglep3\Utilities\DownloadLogsFromS3.py --loco 4023 --day 2017-09-23</t>
  </si>
  <si>
    <t>start /low /b %USERPROFILE%\Documents\GitHub\eaglep3\Utilities\DownloadLogsFromS3.py --loco 4026 --day 2017-09-23</t>
  </si>
  <si>
    <t>start /low /b %USERPROFILE%\Documents\GitHub\eaglep3\Utilities\DownloadLogsFromS3.py --loco 4014 --day 2017-09-23</t>
  </si>
  <si>
    <t>start /low /b %USERPROFILE%\Documents\GitHub\eaglep3\Utilities\DownloadLogsFromS3.py --loco 4026 --day 2017-09-24</t>
  </si>
  <si>
    <t>start /low /b %USERPROFILE%\Documents\GitHub\eaglep3\Utilities\DownloadLogsFromS3.py --loco 4025 --day 2017-09-24</t>
  </si>
  <si>
    <t>start /low /b %USERPROFILE%\Documents\GitHub\eaglep3\Utilities\DownloadLogsFromS3.py --loco 4057 --day 2017-09-23</t>
  </si>
  <si>
    <t>start /low /b %USERPROFILE%\Documents\GitHub\eaglep3\Utilities\DownloadLogsFromS3.py --loco 4024 --day 2017-09-23</t>
  </si>
  <si>
    <t>start /low /b %USERPROFILE%\Documents\GitHub\eaglep3\Utilities\DownloadLogsFromS3.py --loco 4039 --day 2017-09-23</t>
  </si>
  <si>
    <t>start /low /b %USERPROFILE%\Documents\GitHub\eaglep3\Utilities\DownloadLogsFromS3.py --loco 4001 --day 2017-09-23</t>
  </si>
  <si>
    <t>start /low /b %USERPROFILE%\Documents\GitHub\eaglep3\Utilities\DownloadLogsFromS3.py --loco 4058 --day 2017-09-23</t>
  </si>
  <si>
    <t>start /low /b %USERPROFILE%\Documents\GitHub\eaglep3\Utilities\DownloadLogsFromS3.py --loco 4023 --day 2017-09-24</t>
  </si>
  <si>
    <t>start /low /b %USERPROFILE%\Documents\GitHub\eaglep3\Utilities\DownloadLogsFromS3.py --loco 4057 --day 2017-09-24</t>
  </si>
  <si>
    <t>start /low /b %USERPROFILE%\Documents\GitHub\eaglep3\Utilities\DownloadLogsFromS3.py --loco 4027 --day 2017-09-24</t>
  </si>
  <si>
    <t>start /low /b %USERPROFILE%\Documents\GitHub\eaglep3\Utilities\DownloadLogsFromS3.py --loco 4028 --day 2017-09-23</t>
  </si>
  <si>
    <t>start /low /b %USERPROFILE%\Documents\GitHub\eaglep3\Utilities\DownloadLogsFromS3.py --loco 4040 --day 2017-09-23</t>
  </si>
  <si>
    <t>start /low /b %USERPROFILE%\Documents\GitHub\eaglep3\Utilities\DownloadLogsFromS3.py --loco 4013 --day 2017-09-23</t>
  </si>
  <si>
    <t>start /low /b %USERPROFILE%\Documents\GitHub\eaglep3\Utilities\DownloadLogsFromS3.py --loco 4014 --day 2017-09-24</t>
  </si>
  <si>
    <t>Wheel tach slip / slide</t>
  </si>
  <si>
    <t>Cement truck collision with Chambers crossing</t>
  </si>
  <si>
    <t>Delayed by cement truck collision with Chambers crossing</t>
  </si>
  <si>
    <t>Minor onboard in-route failure caused signal status unknown banner</t>
  </si>
  <si>
    <t>Premature downgrade at Pena 2N</t>
  </si>
  <si>
    <t>23:00:51 - Pena 2N dropped from Proceed Cab to Stop while train was 96 feet in front, anything unusual?</t>
  </si>
  <si>
    <t>1800-23</t>
  </si>
  <si>
    <t>Power outage, did not init</t>
  </si>
  <si>
    <t>Overspeed</t>
  </si>
  <si>
    <t>Wi-MAX data drop</t>
  </si>
  <si>
    <t>STOP aspect</t>
  </si>
  <si>
    <t>Delayed by potential braking system issue on 4054? BPP was 0 during entire incident</t>
  </si>
  <si>
    <t>Wi-MAX data drop caused unhealthy banners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</si>
</sst>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18"/>
  <sheetViews>
    <sheetView tabSelected="1" zoomScaleNormal="100" workbookViewId="0">
      <selection activeCell="AO61" sqref="AO6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43001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43001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COUNTIFS($N$13:$N$9361,"&gt;0",$AG$13:$AG$9361,I1)</f>
        <v>141</v>
      </c>
      <c r="K5" s="39"/>
      <c r="L5" s="172"/>
      <c r="M5" s="40">
        <f>AVERAGEIFS($N$13:$N$9361,$AG$13:$AG$9361,I1)</f>
        <v>38.88191489416095</v>
      </c>
      <c r="N5" s="38">
        <f t="array" ref="N5">MIN(IF($AG$13:$AG$9361=I1,IF(ISNUMBER($N$13:$N$9361),IF($N$13:$N$9361&gt;0,$N$13:$N$9361))))</f>
        <v>33.950000004842877</v>
      </c>
      <c r="O5" s="3">
        <f t="array" ref="O5">MAX(IF($AG$13:$AG$9361=I1,IF(ISNUMBER($N$13:$N$9361),IF($N$13:$N$9361&gt;0,$N$13:$N$9361))))</f>
        <v>63.966666668420658</v>
      </c>
      <c r="P5" s="2"/>
      <c r="R5" s="163" t="s">
        <v>17</v>
      </c>
      <c r="S5" s="207">
        <f>COUNTIFS($N$13:$N$9361,"&gt;0",$AG$13:$AG$9361,R1)</f>
        <v>35</v>
      </c>
      <c r="T5" s="172"/>
      <c r="U5" s="195"/>
      <c r="V5" s="211">
        <f>AVERAGEIFS($N$13:$N$9361,$AG$13:$AG$9361,R1)</f>
        <v>14.79285714362881</v>
      </c>
      <c r="W5" s="212">
        <f t="array" ref="W5">MIN(IF($AG$13:$AG$9361=R1,IF(ISNUMBER($N$13:$N$9361),IF($N$13:$N$9361&gt;0,$N$13:$N$9361))))</f>
        <v>11.366666662506759</v>
      </c>
      <c r="X5" s="200">
        <f t="array" ref="X5">MAX(IF($AG$13:$AG$9361=R1,IF(ISNUMBER($N$13:$N$9361),IF($N$13:$N$9361&gt;0,$N$13:$N$9361))))</f>
        <v>22.383333327015862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COUNT($O$13:$O$150)</f>
        <v>0</v>
      </c>
      <c r="K6" s="39"/>
      <c r="L6" s="172"/>
      <c r="M6" s="40">
        <f>IFERROR(AVERAGE($O$13:$O$150),0)</f>
        <v>0</v>
      </c>
      <c r="N6" s="38">
        <f>MIN($O$13:$O$150)</f>
        <v>0</v>
      </c>
      <c r="O6" s="3">
        <f>MAX($O$13:$O$150)</f>
        <v>0</v>
      </c>
      <c r="P6" s="2"/>
      <c r="R6" s="164" t="s">
        <v>43</v>
      </c>
      <c r="S6" s="207">
        <f>COUNT($O$13:$O$150)</f>
        <v>0</v>
      </c>
      <c r="T6" s="172"/>
      <c r="U6" s="195"/>
      <c r="V6" s="211">
        <f>IFERROR(AVERAGE($O$13:$O$150),0)</f>
        <v>0</v>
      </c>
      <c r="W6" s="212">
        <f>MIN($O$13:$O$150)</f>
        <v>0</v>
      </c>
      <c r="X6" s="200">
        <f>MAX($O$13:$O$150)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COUNTIFS($P$13:$P$9361,"&gt;0",$AG$13:$AG$9361,I1)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COUNTIFS($P$13:$P$9361,"&gt;0",$AG$13:$AG$9361,R1)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38.88191489416095</v>
      </c>
      <c r="N8" s="38">
        <f>N5</f>
        <v>33.950000004842877</v>
      </c>
      <c r="O8" s="3">
        <f>O5</f>
        <v>63.966666668420658</v>
      </c>
      <c r="P8" s="2"/>
      <c r="R8" s="163" t="s">
        <v>16</v>
      </c>
      <c r="S8" s="207">
        <f>S5</f>
        <v>35</v>
      </c>
      <c r="T8" s="172"/>
      <c r="U8" s="195"/>
      <c r="V8" s="211">
        <f>V5</f>
        <v>14.79285714362881</v>
      </c>
      <c r="W8" s="212">
        <f>W5</f>
        <v>11.366666662506759</v>
      </c>
      <c r="X8" s="200">
        <f>X5</f>
        <v>22.383333327015862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0.96575342465753422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0.97222222222222221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- 2017-09-23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AVERAGE(S13:S108)</f>
        <v>0.96863799283154128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433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625</v>
      </c>
      <c r="B13" s="7">
        <v>4040</v>
      </c>
      <c r="C13" s="21" t="s">
        <v>196</v>
      </c>
      <c r="D13" s="21" t="s">
        <v>832</v>
      </c>
      <c r="E13" s="13">
        <v>43001.129571759258</v>
      </c>
      <c r="F13" s="13">
        <v>43001.135717592595</v>
      </c>
      <c r="G13" s="7">
        <v>64</v>
      </c>
      <c r="H13" s="21" t="s">
        <v>558</v>
      </c>
      <c r="I13" s="13">
        <v>43001.160567129627</v>
      </c>
      <c r="J13" s="7">
        <v>0</v>
      </c>
      <c r="K13" s="89" t="str">
        <f t="shared" ref="K13:K76" si="0">IF(ISEVEN(B13),(B13-1)&amp;"/"&amp;B13,B13&amp;"/"&amp;(B13+1))</f>
        <v>4039/4040</v>
      </c>
      <c r="L13" s="185" t="str">
        <f>VLOOKUP(A13,'Trips&amp;Operators'!$C$1:$G$99911,5,FALSE)</f>
        <v>THOMPSON LESTER</v>
      </c>
      <c r="M13" s="6">
        <f t="shared" ref="M13:M76" si="1">I13-F13</f>
        <v>2.4849537032423541E-2</v>
      </c>
      <c r="N13" s="7">
        <f t="shared" ref="N13:N19" si="2">24*60*SUM($M13:$M13)</f>
        <v>35.783333326689899</v>
      </c>
      <c r="O13" s="7"/>
      <c r="P13" s="7"/>
      <c r="Q13" s="22"/>
      <c r="R13" s="167"/>
      <c r="S13" s="221">
        <f t="shared" ref="S13:S20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-23T02:06:35-0600',mode:absolute,to:'2017-09-23T04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204" t="str">
        <f>IF(AA13&lt;VLOOKUP(AG13,Variables!$AC$3:$AD$8,2,FALSE),"Y","N")</f>
        <v>N</v>
      </c>
      <c r="X13" s="204" t="e">
        <f t="shared" ref="X13:X29" si="6">VALUE(LEFT(AD13,4))-VALUE(LEFT(AD12,4))</f>
        <v>#VALUE!</v>
      </c>
      <c r="Y13" s="204">
        <f t="shared" ref="Y13:Y44" si="7">RIGHT(D13,LEN(D13)-4)/10000</f>
        <v>7.7899999999999997E-2</v>
      </c>
      <c r="Z13" s="204">
        <f t="shared" ref="Z13:Z44" si="8">RIGHT(H13,LEN(H13)-4)/10000</f>
        <v>23.3307</v>
      </c>
      <c r="AA13" s="204">
        <f t="shared" ref="AA13:AA76" si="9">ABS(Z13-Y13)</f>
        <v>23.252800000000001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/stypes="app*4040*20170923*"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4040 --swversion DE.1.0.9.0 --startMP 204:779 --initTime 2017-09-23T03:06:35 --startdatetime 2017-09-23T03:15:26 --delay 64 --endMP 204:233307 --enddatetime 2017-09-23T03:51:13 --enforcementcount 0 &gt;&gt;c:\users\stu\Documents\GitHub\eaglep3-reporting\EC\2017-09-23-refined-times.txt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{"issue":{"subject":"","project_id":79,"tracker_id":40,"status_id":1,"priority_id":2,"assigned_to_id":338,"start_date":"2017-09-23","description":"","custom_fields":[{"id":1,"name":"Subdivision","value":"EC"},{"id":4,"name":"Milepost","value":"23.3307"},{"id":17,"name":"Train ID","value":"101-23"},{"id":16,"name":"Locomotive ID","value":"4040"},{"id":130,"name":"Impact","value":""},{"id":150,"name":"Time of Event (Mountain Time)","value":"03:51:13"},{"id":151,"name":"Denver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4040 --day 2017-09-23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-23T02:06:35-0600',mode:absolute,to:'2017-09-23T04:51:13-0600'))&amp;_a=(columns:!('Message%20ID',Summary),filters:!(),index:'emp_*',interval:auto,query:(query_string:(analyze_wildcard:!t,query:'Message%5C+ID:(*)+AND+%22rtdc.l.rtdc.4040%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632</v>
      </c>
      <c r="B14" s="7">
        <v>4039</v>
      </c>
      <c r="C14" s="21" t="s">
        <v>196</v>
      </c>
      <c r="D14" s="21" t="s">
        <v>833</v>
      </c>
      <c r="E14" s="13">
        <v>43001.172118055554</v>
      </c>
      <c r="F14" s="13">
        <v>43001.175196759257</v>
      </c>
      <c r="G14" s="7">
        <v>61</v>
      </c>
      <c r="H14" s="21" t="s">
        <v>379</v>
      </c>
      <c r="I14" s="13">
        <v>43001.202187499999</v>
      </c>
      <c r="J14" s="7">
        <v>0</v>
      </c>
      <c r="K14" s="89" t="str">
        <f t="shared" si="0"/>
        <v>4039/4040</v>
      </c>
      <c r="L14" s="185" t="str">
        <f>VLOOKUP(A14,'Trips&amp;Operators'!$C$1:$G$99911,5,FALSE)</f>
        <v>THOMPSON LESTER</v>
      </c>
      <c r="M14" s="6">
        <f t="shared" si="1"/>
        <v>2.6990740741894115E-2</v>
      </c>
      <c r="N14" s="7">
        <f t="shared" si="2"/>
        <v>38.866666668327525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-23T03:07:51-0600',mode:absolute,to:'2017-09-23T05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23.296700000000001</v>
      </c>
      <c r="Z14" s="204">
        <f t="shared" si="8"/>
        <v>1.5800000000000002E-2</v>
      </c>
      <c r="AA14" s="204">
        <f t="shared" si="9"/>
        <v>23.280900000000003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4" s="74" t="str">
        <f t="shared" si="12"/>
        <v>"C:\Program Files (x86)\AstroGrep\AstroGrep.exe" /e /r /s /spath="%USERPROFILE%\AppData\Local\Temp\OnboardLogs" /stypes="app*4039*20170923*"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4039 --swversion DE.1.0.9.0 --startMP 204:232967 --initTime 2017-09-23T04:07:51 --startdatetime 2017-09-23T04:12:17 --delay 61 --endMP 204:158 --enddatetime 2017-09-23T04:51:09 --enforcementcount 0 &gt;&gt;c:\users\stu\Documents\GitHub\eaglep3-reporting\EC\2017-09-23-refined-times.txt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ID","value":"102-23"},{"id":16,"name":"Locomotive ID","value":"4039"},{"id":130,"name":"Impact","value":""},{"id":150,"name":"Time of Event (Mountain Time)","value":"04:51:09"},{"id":151,"name":"Denver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4039 --day 2017-09-23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-23T03:07:51-0600',mode:absolute,to:'2017-09-23T05:51:09-0600'))&amp;_a=(columns:!('Message%20ID',Summary),filters:!(),index:'emp_*',interval:auto,query:(query_string:(analyze_wildcard:!t,query:'Message%5C+ID:(*)+AND+%22rtdc.l.rtdc.4039%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630</v>
      </c>
      <c r="B15" s="7">
        <v>4046</v>
      </c>
      <c r="C15" s="21" t="s">
        <v>196</v>
      </c>
      <c r="D15" s="21" t="s">
        <v>347</v>
      </c>
      <c r="E15" s="13">
        <v>43001.152557870373</v>
      </c>
      <c r="F15" s="13">
        <v>43001.156481481485</v>
      </c>
      <c r="G15" s="7">
        <v>64</v>
      </c>
      <c r="H15" s="21" t="s">
        <v>397</v>
      </c>
      <c r="I15" s="13">
        <v>43001.182210648149</v>
      </c>
      <c r="J15" s="7">
        <v>0</v>
      </c>
      <c r="K15" s="89" t="str">
        <f t="shared" si="0"/>
        <v>4045/4046</v>
      </c>
      <c r="L15" s="185" t="str">
        <f>VLOOKUP(A15,'Trips&amp;Operators'!$C$1:$G$99911,5,FALSE)</f>
        <v>MOSES BRADLEY</v>
      </c>
      <c r="M15" s="6">
        <f t="shared" si="1"/>
        <v>2.5729166663950309E-2</v>
      </c>
      <c r="N15" s="7">
        <f t="shared" si="2"/>
        <v>37.049999996088445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-23T02:39:41-0600',mode:absolute,to:'2017-09-23T05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4.5499999999999999E-2</v>
      </c>
      <c r="Z15" s="204">
        <f t="shared" si="8"/>
        <v>23.328900000000001</v>
      </c>
      <c r="AA15" s="204">
        <f t="shared" si="9"/>
        <v>23.2834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15" s="74" t="str">
        <f t="shared" si="12"/>
        <v>"C:\Program Files (x86)\AstroGrep\AstroGrep.exe" /e /r /s /spath="%USERPROFILE%\AppData\Local\Temp\OnboardLogs" /stypes="app*4046*20170923*"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103-23 --locoid 4046 --swversion DE.1.0.9.0 --startMP 204:455 --initTime 2017-09-23T03:39:41 --startdatetime 2017-09-23T03:45:20 --delay 64 --endMP 204:233289 --enddatetime 2017-09-23T04:22:23 --enforcementcount 0 &gt;&gt;c:\users\stu\Documents\GitHub\eaglep3-reporting\EC\2017-09-23-refined-times.txt</v>
      </c>
      <c r="AI1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{"issue":{"subject":"","project_id":79,"tracker_id":40,"status_id":1,"priority_id":2,"assigned_to_id":338,"start_date":"2017-09-23","description":"","custom_fields":[{"id":1,"name":"Subdivision","value":"EC"},{"id":4,"name":"Milepost","value":"23.3289"},{"id":17,"name":"Train ID","value":"103-23"},{"id":16,"name":"Locomotive ID","value":"4046"},{"id":130,"name":"Impact","value":""},{"id":150,"name":"Time of Event (Mountain Time)","value":"04:22:23"},{"id":151,"name":"Denver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4046 --day 2017-09-23</v>
      </c>
      <c r="AN1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-23T02:39:41-0600',mode:absolute,to:'2017-09-23T05:22:23-0600'))&amp;_a=(columns:!('Message%20ID',Summary),filters:!(),index:'emp_*',interval:auto,query:(query_string:(analyze_wildcard:!t,query:'Message%5C+ID:(*)+AND+%22rtdc.l.rtdc.4046%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639</v>
      </c>
      <c r="B16" s="7">
        <v>4045</v>
      </c>
      <c r="C16" s="21" t="s">
        <v>196</v>
      </c>
      <c r="D16" s="21" t="s">
        <v>834</v>
      </c>
      <c r="E16" s="13">
        <v>43001.188136574077</v>
      </c>
      <c r="F16" s="13">
        <v>43001.196805555555</v>
      </c>
      <c r="G16" s="7">
        <v>92</v>
      </c>
      <c r="H16" s="21" t="s">
        <v>403</v>
      </c>
      <c r="I16" s="13">
        <v>43001.225266203706</v>
      </c>
      <c r="J16" s="7">
        <v>0</v>
      </c>
      <c r="K16" s="89" t="str">
        <f t="shared" si="0"/>
        <v>4045/4046</v>
      </c>
      <c r="L16" s="185" t="str">
        <f>VLOOKUP(A16,'Trips&amp;Operators'!$C$1:$G$99911,5,FALSE)</f>
        <v>MOSES BRADLEY</v>
      </c>
      <c r="M16" s="6">
        <f t="shared" si="1"/>
        <v>2.846064815093996E-2</v>
      </c>
      <c r="N16" s="7">
        <f t="shared" si="2"/>
        <v>40.983333337353542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-23T03:30:55-0600',mode:absolute,to:'2017-09-23T06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23.296500000000002</v>
      </c>
      <c r="Z16" s="204">
        <f t="shared" si="8"/>
        <v>1.54E-2</v>
      </c>
      <c r="AA16" s="204">
        <f t="shared" si="9"/>
        <v>23.281100000000002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16" s="74" t="str">
        <f t="shared" si="12"/>
        <v>"C:\Program Files (x86)\AstroGrep\AstroGrep.exe" /e /r /s /spath="%USERPROFILE%\AppData\Local\Temp\OnboardLogs" /stypes="app*4045*20170923*"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104-23 --locoid 4045 --swversion DE.1.0.9.0 --startMP 204:232965 --initTime 2017-09-23T04:30:55 --startdatetime 2017-09-23T04:43:24 --delay 92 --endMP 204:154 --enddatetime 2017-09-23T05:24:23 --enforcementcount 0 &gt;&gt;c:\users\stu\Documents\GitHub\eaglep3-reporting\EC\2017-09-23-refined-times.txt</v>
      </c>
      <c r="AI1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ID","value":"104-23"},{"id":16,"name":"Locomotive ID","value":"4045"},{"id":130,"name":"Impact","value":""},{"id":150,"name":"Time of Event (Mountain Time)","value":"05:24:23"},{"id":151,"name":"Denver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4045 --day 2017-09-23</v>
      </c>
      <c r="AN1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-23T03:30:55-0600',mode:absolute,to:'2017-09-23T06:24:23-0600'))&amp;_a=(columns:!('Message%20ID',Summary),filters:!(),index:'emp_*',interval:auto,query:(query_string:(analyze_wildcard:!t,query:'Message%5C+ID:(*)+AND+%22rtdc.l.rtdc.4045%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635</v>
      </c>
      <c r="B17" s="7">
        <v>4010</v>
      </c>
      <c r="C17" s="21" t="s">
        <v>196</v>
      </c>
      <c r="D17" s="21" t="s">
        <v>835</v>
      </c>
      <c r="E17" s="13">
        <v>43001.177673611113</v>
      </c>
      <c r="F17" s="13">
        <v>43001.181296296294</v>
      </c>
      <c r="G17" s="7">
        <v>126</v>
      </c>
      <c r="H17" s="21" t="s">
        <v>568</v>
      </c>
      <c r="I17" s="13">
        <v>43001.204872685186</v>
      </c>
      <c r="J17" s="7">
        <v>0</v>
      </c>
      <c r="K17" s="89" t="str">
        <f t="shared" si="0"/>
        <v>4009/4010</v>
      </c>
      <c r="L17" s="185" t="str">
        <f>VLOOKUP(A17,'Trips&amp;Operators'!$C$1:$G$99911,5,FALSE)</f>
        <v>NEWELL JAMES</v>
      </c>
      <c r="M17" s="6">
        <f t="shared" si="1"/>
        <v>2.3576388892251998E-2</v>
      </c>
      <c r="N17" s="7">
        <f t="shared" si="2"/>
        <v>33.950000004842877</v>
      </c>
      <c r="O17" s="7"/>
      <c r="P17" s="7"/>
      <c r="Q17" s="22"/>
      <c r="R17" s="174" t="s">
        <v>1011</v>
      </c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-23T03:15:51-0600',mode:absolute,to:'2017-09-23T05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0.14879999999999999</v>
      </c>
      <c r="Z17" s="204">
        <f t="shared" si="8"/>
        <v>23.332000000000001</v>
      </c>
      <c r="AA17" s="204">
        <f t="shared" si="9"/>
        <v>23.183199999999999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7" s="74" t="str">
        <f t="shared" si="12"/>
        <v>"C:\Program Files (x86)\AstroGrep\AstroGrep.exe" /e /r /s /spath="%USERPROFILE%\AppData\Local\Temp\OnboardLogs" /stypes="app*4010*20170923*"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105-23 --locoid 4010 --swversion DE.1.0.9.0 --startMP 204:1488 --initTime 2017-09-23T04:15:51 --startdatetime 2017-09-23T04:21:04 --delay 126 --endMP 204:233320 --enddatetime 2017-09-23T04:55:01 --enforcementcount 0 &gt;&gt;c:\users\stu\Documents\GitHub\eaglep3-reporting\EC\2017-09-23-refined-times.txt</v>
      </c>
      <c r="AI17" s="96" t="str">
        <f t="shared" si="20"/>
        <v>echo {"issue":{"subject":"Delayed by potential braking system issue on 4054? BPP was 0 during entire incident","project_id":79,"tracker_id":40,"status_id":1,"priority_id":2,"assigned_to_id":338,"start_date":"2017-09-23","description":"","custom_fields":[{"id":1,"name":"Subdivision","value":"EC"},{"id":4,"name":"Milepost","value":"23.332"},{"id":17,"name":"Train ID","value":"105-23"},{"id":16,"name":"Locomotive ID","value":"4010"},{"id":130,"name":"Impact","value":""},{"id":150,"name":"Time of Event (Mountain Time)","value":"04:55:01"},{"id":151,"name":"Denver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4010 --day 2017-09-23</v>
      </c>
      <c r="AN17" s="151" t="str">
        <f t="shared" si="22"/>
        <v>echo {"issue":{"subject":"Delayed by potential braking system issue on 4054? BPP was 0 during entire incident","project_id":30,"tracker_id":4,"status_id":1,"priority_id":1,"assigned_to_id":10,"start_date":"2017-09-23","description":"","custom_fields":[{"id":30,"name":"Category","value":"Issue"},{"id":3,"name":"Functional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-23T03:15:51-0600',mode:absolute,to:'2017-09-23T05:55:01-0600'))&amp;_a=(columns:!('Message%20ID',Summary),filters:!(),index:'emp_*',interval:auto,query:(query_string:(analyze_wildcard:!t,query:'Message%5C+ID:(*)+AND+%22rtdc.l.rtdc.4010%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644</v>
      </c>
      <c r="B18" s="7">
        <v>4009</v>
      </c>
      <c r="C18" s="21" t="s">
        <v>196</v>
      </c>
      <c r="D18" s="21" t="s">
        <v>394</v>
      </c>
      <c r="E18" s="13">
        <v>43001.207719907405</v>
      </c>
      <c r="F18" s="13">
        <v>43001.216817129629</v>
      </c>
      <c r="G18" s="7">
        <v>74</v>
      </c>
      <c r="H18" s="21" t="s">
        <v>341</v>
      </c>
      <c r="I18" s="13">
        <v>43001.243530092594</v>
      </c>
      <c r="J18" s="7">
        <v>0</v>
      </c>
      <c r="K18" s="89" t="str">
        <f t="shared" si="0"/>
        <v>4009/4010</v>
      </c>
      <c r="L18" s="185" t="str">
        <f>VLOOKUP(A18,'Trips&amp;Operators'!$C$1:$G$99911,5,FALSE)</f>
        <v>NEWELL JAMES</v>
      </c>
      <c r="M18" s="6">
        <f t="shared" si="1"/>
        <v>2.6712962964666076E-2</v>
      </c>
      <c r="N18" s="7">
        <f t="shared" si="2"/>
        <v>38.466666669119149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-23T03:59:07-0600',mode:absolute,to:'2017-09-23T06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23.299600000000002</v>
      </c>
      <c r="Z18" s="204">
        <f t="shared" si="8"/>
        <v>1.47E-2</v>
      </c>
      <c r="AA18" s="204">
        <f t="shared" si="9"/>
        <v>23.2849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18" s="74" t="str">
        <f t="shared" si="12"/>
        <v>"C:\Program Files (x86)\AstroGrep\AstroGrep.exe" /e /r /s /spath="%USERPROFILE%\AppData\Local\Temp\OnboardLogs" /stypes="app*4009*20170923*"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106-23 --locoid 4009 --swversion DE.1.0.9.0 --startMP 204:232996 --initTime 2017-09-23T04:59:07 --startdatetime 2017-09-23T05:12:13 --delay 74 --endMP 204:147 --enddatetime 2017-09-23T05:50:41 --enforcementcount 0 &gt;&gt;c:\users\stu\Documents\GitHub\eaglep3-reporting\EC\2017-09-23-refined-times.txt</v>
      </c>
      <c r="AI1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{"issue":{"subject":"","project_id":79,"tracker_id":40,"status_id":1,"priority_id":2,"assigned_to_id":338,"start_date":"2017-09-23","description":"","custom_fields":[{"id":1,"name":"Subdivision","value":"EC"},{"id":4,"name":"Milepost","value":"0.0147"},{"id":17,"name":"Train ID","value":"106-23"},{"id":16,"name":"Locomotive ID","value":"4009"},{"id":130,"name":"Impact","value":""},{"id":150,"name":"Time of Event (Mountain Time)","value":"05:50:41"},{"id":151,"name":"Denver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4009 --day 2017-09-23</v>
      </c>
      <c r="AN1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-23T03:59:07-0600',mode:absolute,to:'2017-09-23T06:50:41-0600'))&amp;_a=(columns:!('Message%20ID',Summary),filters:!(),index:'emp_*',interval:auto,query:(query_string:(analyze_wildcard:!t,query:'Message%5C+ID:(*)+AND+%22rtdc.l.rtdc.4009%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583</v>
      </c>
      <c r="B19" s="7">
        <v>4028</v>
      </c>
      <c r="C19" s="21" t="s">
        <v>196</v>
      </c>
      <c r="D19" s="21" t="s">
        <v>569</v>
      </c>
      <c r="E19" s="13">
        <v>43001.186261574076</v>
      </c>
      <c r="F19" s="13">
        <v>43001.188287037039</v>
      </c>
      <c r="G19" s="7">
        <v>97</v>
      </c>
      <c r="H19" s="21" t="s">
        <v>836</v>
      </c>
      <c r="I19" s="13">
        <v>43001.214189814818</v>
      </c>
      <c r="J19" s="7">
        <v>0</v>
      </c>
      <c r="K19" s="89" t="str">
        <f t="shared" si="0"/>
        <v>4027/4028</v>
      </c>
      <c r="L19" s="185" t="str">
        <f>VLOOKUP(A19,'Trips&amp;Operators'!$C$1:$G$99911,5,FALSE)</f>
        <v>LANGERAK WILLIAM</v>
      </c>
      <c r="M19" s="6">
        <f t="shared" si="1"/>
        <v>2.5902777779265307E-2</v>
      </c>
      <c r="N19" s="7">
        <f t="shared" si="2"/>
        <v>37.300000002142042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-23T03:28:13-0600',mode:absolute,to:'2017-09-23T06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0.1158</v>
      </c>
      <c r="Z19" s="204">
        <f t="shared" si="8"/>
        <v>23.344899999999999</v>
      </c>
      <c r="AA19" s="204">
        <f t="shared" si="9"/>
        <v>23.229099999999999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9" s="74" t="str">
        <f t="shared" si="12"/>
        <v>"C:\Program Files (x86)\AstroGrep\AstroGrep.exe" /e /r /s /spath="%USERPROFILE%\AppData\Local\Temp\OnboardLogs" /stypes="app*4028*20170923*"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107-23 --locoid 4028 --swversion DE.1.0.9.0 --startMP 204:1158 --initTime 2017-09-23T04:28:13 --startdatetime 2017-09-23T04:31:08 --delay 97 --endMP 204:233449 --enddatetime 2017-09-23T05:08:26 --enforcementcount 0 &gt;&gt;c:\users\stu\Documents\GitHub\eaglep3-reporting\EC\2017-09-23-refined-times.txt</v>
      </c>
      <c r="AI1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{"issue":{"subject":"","project_id":79,"tracker_id":40,"status_id":1,"priority_id":2,"assigned_to_id":338,"start_date":"2017-09-23","description":"","custom_fields":[{"id":1,"name":"Subdivision","value":"EC"},{"id":4,"name":"Milepost","value":"23.3449"},{"id":17,"name":"Train ID","value":"107-23"},{"id":16,"name":"Locomotive ID","value":"4028"},{"id":130,"name":"Impact","value":""},{"id":150,"name":"Time of Event (Mountain Time)","value":"05:08:26"},{"id":151,"name":"Denver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4028 --day 2017-09-23</v>
      </c>
      <c r="AN1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-23T03:28:13-0600',mode:absolute,to:'2017-09-23T06:08:26-0600'))&amp;_a=(columns:!('Message%20ID',Summary),filters:!(),index:'emp_*',interval:auto,query:(query_string:(analyze_wildcard:!t,query:'Message%5C+ID:(*)+AND+%22rtdc.l.rtdc.4028%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584</v>
      </c>
      <c r="B20" s="7">
        <v>4027</v>
      </c>
      <c r="C20" s="21" t="s">
        <v>196</v>
      </c>
      <c r="D20" s="21" t="s">
        <v>837</v>
      </c>
      <c r="E20" s="13">
        <v>43001.215902777774</v>
      </c>
      <c r="F20" s="13">
        <v>43001.227268518516</v>
      </c>
      <c r="G20" s="7">
        <v>67</v>
      </c>
      <c r="H20" s="21" t="s">
        <v>838</v>
      </c>
      <c r="I20" s="13">
        <v>43001.245219907411</v>
      </c>
      <c r="J20" s="7">
        <v>0</v>
      </c>
      <c r="K20" s="89" t="str">
        <f t="shared" si="0"/>
        <v>4027/4028</v>
      </c>
      <c r="L20" s="185" t="str">
        <f>VLOOKUP(A20,'Trips&amp;Operators'!$C$1:$G$99911,5,FALSE)</f>
        <v>LANGERAK WILLIAM</v>
      </c>
      <c r="M20" s="6">
        <f t="shared" si="1"/>
        <v>1.7951388894289266E-2</v>
      </c>
      <c r="N20" s="7"/>
      <c r="O20" s="7"/>
      <c r="P20" s="7">
        <f>24*60*SUM($M20:$M20)</f>
        <v>25.850000007776543</v>
      </c>
      <c r="Q20" s="22"/>
      <c r="R20" s="174" t="s">
        <v>1000</v>
      </c>
      <c r="S20" s="221">
        <f t="shared" si="3"/>
        <v>0.16666666666666666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-23T04:10:54-0600',mode:absolute,to:'2017-09-23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204" t="str">
        <f>IF(AA20&lt;VLOOKUP(AG20,Variables!$AC$3:$AD$8,2,FALSE),"Y","N")</f>
        <v>Y</v>
      </c>
      <c r="X20" s="204">
        <f t="shared" si="6"/>
        <v>1</v>
      </c>
      <c r="Y20" s="204">
        <f t="shared" si="7"/>
        <v>23.296399999999998</v>
      </c>
      <c r="Z20" s="204">
        <f t="shared" si="8"/>
        <v>9.1280999999999999</v>
      </c>
      <c r="AA20" s="204">
        <f t="shared" si="9"/>
        <v>14.168299999999999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20" s="74" t="str">
        <f t="shared" si="12"/>
        <v>"C:\Program Files (x86)\AstroGrep\AstroGrep.exe" /e /r /s /spath="%USERPROFILE%\AppData\Local\Temp\OnboardLogs" /stypes="app*4027*20170923*" /stext=" 11:.+((SYSTEM_STATE.+slice.+state.+changed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108-23 --locoid 4027 --swversion DE.1.0.9.0 --startMP 204:232964 --initTime 2017-09-23T05:10:54 --startdatetime 2017-09-23T05:27:16 --delay 67 --endMP 204:91281 --enddatetime 2017-09-23T05:53:07 --enforcementcount 0 &gt;&gt;c:\users\stu\Documents\GitHub\eaglep3-reporting\EC\2017-09-23-refined-times.txt</v>
      </c>
      <c r="AI20" s="96" t="str">
        <f t="shared" si="20"/>
        <v>echo {"issue":{"subject":"Wheel tach slip / slide","project_id":79,"tracker_id":40,"status_id":1,"priority_id":2,"assigned_to_id":338,"start_date":"2017-09-23","description":"","custom_fields":[{"id":1,"name":"Subdivision","value":"EC"},{"id":4,"name":"Milepost","value":"9.1281"},{"id":17,"name":"Train ID","value":"108-23"},{"id":16,"name":"Locomotive ID","value":"4027"},{"id":130,"name":"Impact","value":""},{"id":150,"name":"Time of Event (Mountain Time)","value":"05:53:07"},{"id":151,"name":"Denver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4027 --day 2017-09-23</v>
      </c>
      <c r="AN20" s="151" t="str">
        <f t="shared" si="22"/>
        <v>echo {"issue":{"subject":"Wheel tach slip / slide","project_id":30,"tracker_id":4,"status_id":1,"priority_id":1,"assigned_to_id":10,"start_date":"2017-09-23","description":"","custom_fields":[{"id":30,"name":"Category","value":"Issue"},{"id":3,"name":"Functional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-23T04:10:54-0600',mode:absolute,to:'2017-09-23T06:53:07-0600'))&amp;_a=(columns:!('Message%20ID',Summary),filters:!(),index:'emp_*',interval:auto,query:(query_string:(analyze_wildcard:!t,query:'Message%5C+ID:(*)+AND+%22rtdc.l.rtdc.4027%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584</v>
      </c>
      <c r="B21" s="7">
        <v>4027</v>
      </c>
      <c r="C21" s="21" t="s">
        <v>196</v>
      </c>
      <c r="D21" s="21" t="s">
        <v>839</v>
      </c>
      <c r="E21" s="13">
        <v>43001.2421412037</v>
      </c>
      <c r="F21" s="13">
        <v>43001.243310185186</v>
      </c>
      <c r="G21" s="7">
        <v>51</v>
      </c>
      <c r="H21" s="21" t="s">
        <v>840</v>
      </c>
      <c r="I21" s="13">
        <v>43001.245219907411</v>
      </c>
      <c r="J21" s="7">
        <v>0</v>
      </c>
      <c r="K21" s="89" t="str">
        <f t="shared" si="0"/>
        <v>4027/4028</v>
      </c>
      <c r="L21" s="185" t="str">
        <f>VLOOKUP(A21,'Trips&amp;Operators'!$C$1:$G$99911,5,FALSE)</f>
        <v>LANGERAK WILLIAM</v>
      </c>
      <c r="M21" s="6">
        <f t="shared" si="1"/>
        <v>1.9097222248092294E-3</v>
      </c>
      <c r="N21" s="7"/>
      <c r="O21" s="7"/>
      <c r="P21" s="7"/>
      <c r="Q21" s="22"/>
      <c r="R21" s="174"/>
      <c r="S21" s="221"/>
      <c r="T21" s="174" t="str">
        <f t="shared" si="4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-23T04:48:41-0600',mode:absolute,to:'2017-09-23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" s="204" t="str">
        <f>IF(AA21&lt;VLOOKUP(AG21,Variables!$AC$3:$AD$8,2,FALSE),"Y","N")</f>
        <v>Y</v>
      </c>
      <c r="X21" s="204">
        <f t="shared" si="6"/>
        <v>0</v>
      </c>
      <c r="Y21" s="204">
        <f t="shared" si="7"/>
        <v>8.7485999999999997</v>
      </c>
      <c r="Z21" s="204">
        <f t="shared" si="8"/>
        <v>8.3353000000000002</v>
      </c>
      <c r="AA21" s="204">
        <f t="shared" si="9"/>
        <v>0.41329999999999956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108</v>
      </c>
      <c r="AE21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21" s="74" t="str">
        <f t="shared" si="12"/>
        <v>"C:\Program Files (x86)\AstroGrep\AstroGrep.exe" /e /r /s /spath="%USERPROFILE%\AppData\Local\Temp\OnboardLogs" /stypes="app*4027*20170923*"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108-23 --locoid 4027 --swversion DE.1.0.9.0 --startMP 204:87486 --initTime 2017-09-23T05:48:41 --startdatetime 2017-09-23T05:50:22 --delay 51 --endMP 204:83353 --enddatetime 2017-09-23T05:53:07 --enforcementcount 0 &gt;&gt;c:\users\stu\Documents\GitHub\eaglep3-reporting\EC\2017-09-23-refined-times.txt</v>
      </c>
      <c r="AI2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{"issue":{"subject":"","project_id":79,"tracker_id":40,"status_id":1,"priority_id":2,"assigned_to_id":338,"start_date":"2017-09-23","description":"","custom_fields":[{"id":1,"name":"Subdivision","value":"EC"},{"id":4,"name":"Milepost","value":"8.3353"},{"id":17,"name":"Train ID","value":"108-23"},{"id":16,"name":"Locomotive ID","value":"4027"},{"id":130,"name":"Impact","value":""},{"id":150,"name":"Time of Event (Mountain Time)","value":"05:53:07"},{"id":151,"name":"Denver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4027 --day 2017-09-23</v>
      </c>
      <c r="AN2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-23T04:48:41-0600',mode:absolute,to:'2017-09-23T06:53:07-0600'))&amp;_a=(columns:!('Message%20ID',Summary),filters:!(),index:'emp_*',interval:auto,query:(query_string:(analyze_wildcard:!t,query:'Message%5C+ID:(*)+AND+%22rtdc.l.rtdc.4027%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582</v>
      </c>
      <c r="B22" s="7">
        <v>4024</v>
      </c>
      <c r="C22" s="21" t="s">
        <v>196</v>
      </c>
      <c r="D22" s="21" t="s">
        <v>841</v>
      </c>
      <c r="E22" s="13">
        <v>43001.193726851852</v>
      </c>
      <c r="F22" s="13">
        <v>43001.198182870372</v>
      </c>
      <c r="G22" s="7">
        <v>85</v>
      </c>
      <c r="H22" s="21" t="s">
        <v>842</v>
      </c>
      <c r="I22" s="13">
        <v>43001.22415509259</v>
      </c>
      <c r="J22" s="7">
        <v>0</v>
      </c>
      <c r="K22" s="89" t="str">
        <f t="shared" si="0"/>
        <v>4023/4024</v>
      </c>
      <c r="L22" s="185" t="str">
        <f>VLOOKUP(A22,'Trips&amp;Operators'!$C$1:$G$99911,5,FALSE)</f>
        <v>HUFFSMITH MONTY</v>
      </c>
      <c r="M22" s="6">
        <f t="shared" si="1"/>
        <v>2.5972222218115348E-2</v>
      </c>
      <c r="N22" s="7">
        <f t="shared" ref="N22:N60" si="24">24*60*SUM($M22:$M22)</f>
        <v>37.399999994086102</v>
      </c>
      <c r="O22" s="7"/>
      <c r="P22" s="7"/>
      <c r="Q22" s="22"/>
      <c r="R22" s="174"/>
      <c r="S22" s="221">
        <f t="shared" ref="S22:S61" si="25">1/IF(AG22="EC",12,1)*SUM(U22:U22)</f>
        <v>1</v>
      </c>
      <c r="T22" s="174" t="str">
        <f t="shared" si="4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-23T03:38:58-0600',mode:absolute,to:'2017-09-23T06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4.4400000000000002E-2</v>
      </c>
      <c r="Z22" s="204">
        <f t="shared" si="8"/>
        <v>23.3276</v>
      </c>
      <c r="AA22" s="204">
        <f t="shared" si="9"/>
        <v>23.283200000000001</v>
      </c>
      <c r="AB22" s="54" t="str">
        <f>VLOOKUP(A22,Enforcements!$C$7:$K$11,8,0)</f>
        <v>Bulletin (2)</v>
      </c>
      <c r="AC22" s="51" t="str">
        <f>VLOOKUP(A22,Enforcements!$C$7:$E$11,3,0)</f>
        <v>GRADE CROSSING</v>
      </c>
      <c r="AD22" s="179">
        <f t="shared" si="10"/>
        <v>109</v>
      </c>
      <c r="AE22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22" s="74" t="str">
        <f t="shared" si="12"/>
        <v>"C:\Program Files (x86)\AstroGrep\AstroGrep.exe" /e /r /s /spath="%USERPROFILE%\AppData\Local\Temp\OnboardLogs" /stypes="app*4024*20170923*" /stext=" 11:.+((SYSTEM_STATE.+slice.+state.+changed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109-23 --locoid 4024 --swversion DE.1.0.9.0 --startMP 204:444 --initTime 2017-09-23T04:38:58 --startdatetime 2017-09-23T04:45:23 --delay 85 --endMP 204:233276 --enddatetime 2017-09-23T05:22:47 --enforcementcount 0 &gt;&gt;c:\users\stu\Documents\GitHub\eaglep3-reporting\EC\2017-09-23-refined-times.txt</v>
      </c>
      <c r="AI2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{"issue":{"subject":"","project_id":79,"tracker_id":40,"status_id":1,"priority_id":2,"assigned_to_id":338,"start_date":"2017-09-23","description":"","custom_fields":[{"id":1,"name":"Subdivision","value":"EC"},{"id":4,"name":"Milepost","value":"23.3276"},{"id":17,"name":"Train ID","value":"109-23"},{"id":16,"name":"Locomotive ID","value":"4024"},{"id":130,"name":"Impact","value":""},{"id":150,"name":"Time of Event (Mountain Time)","value":"05:22:47"},{"id":151,"name":"Denver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4024 --day 2017-09-23</v>
      </c>
      <c r="AN2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-23T03:38:58-0600',mode:absolute,to:'2017-09-23T06:22:47-0600'))&amp;_a=(columns:!('Message%20ID',Summary),filters:!(),index:'emp_*',interval:auto,query:(query_string:(analyze_wildcard:!t,query:'Message%5C+ID:(*)+AND+%22rtdc.l.rtdc.4024%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651</v>
      </c>
      <c r="B23" s="7">
        <v>4023</v>
      </c>
      <c r="C23" s="21" t="s">
        <v>196</v>
      </c>
      <c r="D23" s="21" t="s">
        <v>843</v>
      </c>
      <c r="E23" s="13">
        <v>43001.226435185185</v>
      </c>
      <c r="F23" s="13">
        <v>43001.237708333334</v>
      </c>
      <c r="G23" s="7">
        <v>62</v>
      </c>
      <c r="H23" s="21" t="s">
        <v>388</v>
      </c>
      <c r="I23" s="13">
        <v>43001.265023148146</v>
      </c>
      <c r="J23" s="7">
        <v>0</v>
      </c>
      <c r="K23" s="89" t="str">
        <f t="shared" si="0"/>
        <v>4023/4024</v>
      </c>
      <c r="L23" s="185" t="str">
        <f>VLOOKUP(A23,'Trips&amp;Operators'!$C$1:$G$99911,5,FALSE)</f>
        <v>HUFFSMITH MONTY</v>
      </c>
      <c r="M23" s="6">
        <f t="shared" si="1"/>
        <v>2.7314814811688848E-2</v>
      </c>
      <c r="N23" s="7">
        <f t="shared" si="24"/>
        <v>39.333333328831941</v>
      </c>
      <c r="O23" s="7"/>
      <c r="P23" s="7"/>
      <c r="Q23" s="22"/>
      <c r="R23" s="174"/>
      <c r="S23" s="221">
        <f t="shared" si="25"/>
        <v>1</v>
      </c>
      <c r="T23" s="174" t="str">
        <f t="shared" si="4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-23T04:26:04-0600',mode:absolute,to:'2017-09-23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23.296299999999999</v>
      </c>
      <c r="Z23" s="204">
        <f t="shared" si="8"/>
        <v>1.3899999999999999E-2</v>
      </c>
      <c r="AA23" s="204">
        <f t="shared" si="9"/>
        <v>23.282399999999999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110</v>
      </c>
      <c r="AE23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23" s="74" t="str">
        <f t="shared" si="12"/>
        <v>"C:\Program Files (x86)\AstroGrep\AstroGrep.exe" /e /r /s /spath="%USERPROFILE%\AppData\Local\Temp\OnboardLogs" /stypes="app*4023*20170923*" /stext=" 12:.+((SYSTEM_STATE.+slice.+state.+changed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110-23 --locoid 4023 --swversion DE.1.0.9.0 --startMP 204:232963 --initTime 2017-09-23T05:26:04 --startdatetime 2017-09-23T05:42:18 --delay 62 --endMP 204:139 --enddatetime 2017-09-23T06:21:38 --enforcementcount 0 &gt;&gt;c:\users\stu\Documents\GitHub\eaglep3-reporting\EC\2017-09-23-refined-times.txt</v>
      </c>
      <c r="AI2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{"issue":{"subject":"","project_id":79,"tracker_id":40,"status_id":1,"priority_id":2,"assigned_to_id":338,"start_date":"2017-09-23","description":"","custom_fields":[{"id":1,"name":"Subdivision","value":"EC"},{"id":4,"name":"Milepost","value":"0.0139"},{"id":17,"name":"Train ID","value":"110-23"},{"id":16,"name":"Locomotive ID","value":"4023"},{"id":130,"name":"Impact","value":""},{"id":150,"name":"Time of Event (Mountain Time)","value":"06:21:38"},{"id":151,"name":"Denver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4023 --day 2017-09-23</v>
      </c>
      <c r="AN2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-23T04:26:04-0600',mode:absolute,to:'2017-09-23T07:21:38-0600'))&amp;_a=(columns:!('Message%20ID',Summary),filters:!(),index:'emp_*',interval:auto,query:(query_string:(analyze_wildcard:!t,query:'Message%5C+ID:(*)+AND+%22rtdc.l.rtdc.4023%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643</v>
      </c>
      <c r="B24" s="7">
        <v>4040</v>
      </c>
      <c r="C24" s="21" t="s">
        <v>196</v>
      </c>
      <c r="D24" s="21" t="s">
        <v>393</v>
      </c>
      <c r="E24" s="13">
        <v>43001.205937500003</v>
      </c>
      <c r="F24" s="13">
        <v>43001.208680555559</v>
      </c>
      <c r="G24" s="7">
        <v>57</v>
      </c>
      <c r="H24" s="21" t="s">
        <v>427</v>
      </c>
      <c r="I24" s="13">
        <v>43001.234259259261</v>
      </c>
      <c r="J24" s="7">
        <v>0</v>
      </c>
      <c r="K24" s="89" t="str">
        <f t="shared" si="0"/>
        <v>4039/4040</v>
      </c>
      <c r="L24" s="185" t="str">
        <f>VLOOKUP(A24,'Trips&amp;Operators'!$C$1:$G$99911,5,FALSE)</f>
        <v>THOMPSON LESTER</v>
      </c>
      <c r="M24" s="6">
        <f t="shared" si="1"/>
        <v>2.5578703702194616E-2</v>
      </c>
      <c r="N24" s="7">
        <f t="shared" si="24"/>
        <v>36.833333331160247</v>
      </c>
      <c r="O24" s="7"/>
      <c r="P24" s="7"/>
      <c r="Q24" s="22"/>
      <c r="R24" s="174"/>
      <c r="S24" s="221">
        <f t="shared" si="25"/>
        <v>1</v>
      </c>
      <c r="T24" s="174" t="str">
        <f t="shared" si="4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-23T03:56:33-0600',mode:absolute,to:'2017-09-23T06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4.6199999999999998E-2</v>
      </c>
      <c r="Z24" s="204">
        <f t="shared" si="8"/>
        <v>23.331</v>
      </c>
      <c r="AA24" s="204">
        <f t="shared" si="9"/>
        <v>23.284800000000001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111</v>
      </c>
      <c r="AE24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24" s="74" t="str">
        <f t="shared" si="12"/>
        <v>"C:\Program Files (x86)\AstroGrep\AstroGrep.exe" /e /r /s /spath="%USERPROFILE%\AppData\Local\Temp\OnboardLogs" /stypes="app*4040*20170923*" /stext=" 11:.+((SYSTEM_STATE.+slice.+state.+changed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111-23 --locoid 4040 --swversion DE.1.0.9.0 --startMP 204:462 --initTime 2017-09-23T04:56:33 --startdatetime 2017-09-23T05:00:30 --delay 57 --endMP 204:233310 --enddatetime 2017-09-23T05:37:20 --enforcementcount 0 &gt;&gt;c:\users\stu\Documents\GitHub\eaglep3-reporting\EC\2017-09-23-refined-times.txt</v>
      </c>
      <c r="AI2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{"issue":{"subject":"","project_id":79,"tracker_id":40,"status_id":1,"priority_id":2,"assigned_to_id":338,"start_date":"2017-09-23","description":"","custom_fields":[{"id":1,"name":"Subdivision","value":"EC"},{"id":4,"name":"Milepost","value":"23.331"},{"id":17,"name":"Train ID","value":"111-23"},{"id":16,"name":"Locomotive ID","value":"4040"},{"id":130,"name":"Impact","value":""},{"id":150,"name":"Time of Event (Mountain Time)","value":"05:37:20"},{"id":151,"name":"Denver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4040 --day 2017-09-23</v>
      </c>
      <c r="AN2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-23T03:56:33-0600',mode:absolute,to:'2017-09-23T06:37:20-0600'))&amp;_a=(columns:!('Message%20ID',Summary),filters:!(),index:'emp_*',interval:auto,query:(query_string:(analyze_wildcard:!t,query:'Message%5C+ID:(*)+AND+%22rtdc.l.rtdc.4040%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585</v>
      </c>
      <c r="B25" s="7">
        <v>4039</v>
      </c>
      <c r="C25" s="21" t="s">
        <v>196</v>
      </c>
      <c r="D25" s="21" t="s">
        <v>844</v>
      </c>
      <c r="E25" s="13">
        <v>43001.24590277778</v>
      </c>
      <c r="F25" s="13">
        <v>43001.248159722221</v>
      </c>
      <c r="G25" s="7">
        <v>62</v>
      </c>
      <c r="H25" s="21" t="s">
        <v>403</v>
      </c>
      <c r="I25" s="13">
        <v>43001.277708333335</v>
      </c>
      <c r="J25" s="7">
        <v>0</v>
      </c>
      <c r="K25" s="89" t="str">
        <f t="shared" si="0"/>
        <v>4039/4040</v>
      </c>
      <c r="L25" s="185" t="str">
        <f>VLOOKUP(A25,'Trips&amp;Operators'!$C$1:$G$99911,5,FALSE)</f>
        <v>THOMPSON LESTER</v>
      </c>
      <c r="M25" s="6">
        <f t="shared" si="1"/>
        <v>2.9548611113568768E-2</v>
      </c>
      <c r="N25" s="7">
        <f t="shared" si="24"/>
        <v>42.550000003539026</v>
      </c>
      <c r="O25" s="7"/>
      <c r="P25" s="7"/>
      <c r="Q25" s="22"/>
      <c r="R25" s="174"/>
      <c r="S25" s="221">
        <f t="shared" si="25"/>
        <v>1</v>
      </c>
      <c r="T25" s="174" t="str">
        <f t="shared" si="4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23.2989</v>
      </c>
      <c r="Z25" s="204">
        <f t="shared" si="8"/>
        <v>1.54E-2</v>
      </c>
      <c r="AA25" s="204">
        <f t="shared" si="9"/>
        <v>23.2835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112</v>
      </c>
      <c r="AE25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25" s="74" t="str">
        <f t="shared" si="12"/>
        <v>"C:\Program Files (x86)\AstroGrep\AstroGrep.exe" /e /r /s /spath="%USERPROFILE%\AppData\Local\Temp\OnboardLogs" /stypes="app*4039*20170923*" /stext=" 12:.+((SYSTEM_STATE.+slice.+state.+changed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112-23 --locoid 4039 --swversion DE.1.0.9.0 --startMP 204:232989 --initTime 2017-09-23T05:54:06 --startdatetime 2017-09-23T05:57:21 --delay 62 --endMP 204:154 --enddatetime 2017-09-23T06:39:54 --enforcementcount 0 &gt;&gt;c:\users\stu\Documents\GitHub\eaglep3-reporting\EC\2017-09-23-refined-times.txt</v>
      </c>
      <c r="AI2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ID","value":"112-23"},{"id":16,"name":"Locomotive ID","value":"4039"},{"id":130,"name":"Impact","value":""},{"id":150,"name":"Time of Event (Mountain Time)","value":"06:39:54"},{"id":151,"name":"Denver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4039 --day 2017-09-23</v>
      </c>
      <c r="AN2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Message%20ID',Summary),filters:!(),index:'emp_*',interval:auto,query:(query_string:(analyze_wildcard:!t,query:'Message%5C+ID:(*)+AND+%22rtdc.l.rtdc.4039%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645</v>
      </c>
      <c r="B26" s="7">
        <v>4002</v>
      </c>
      <c r="C26" s="21" t="s">
        <v>196</v>
      </c>
      <c r="D26" s="21" t="s">
        <v>399</v>
      </c>
      <c r="E26" s="13">
        <v>43001.216180555559</v>
      </c>
      <c r="F26" s="13">
        <v>43001.218958333331</v>
      </c>
      <c r="G26" s="7">
        <v>54</v>
      </c>
      <c r="H26" s="21" t="s">
        <v>440</v>
      </c>
      <c r="I26" s="13">
        <v>43001.243726851855</v>
      </c>
      <c r="J26" s="7">
        <v>0</v>
      </c>
      <c r="K26" s="89" t="str">
        <f t="shared" si="0"/>
        <v>4001/4002</v>
      </c>
      <c r="L26" s="185" t="str">
        <f>VLOOKUP(A26,'Trips&amp;Operators'!$C$1:$G$99911,5,FALSE)</f>
        <v>MACDONALD THOMAS</v>
      </c>
      <c r="M26" s="6">
        <f t="shared" si="1"/>
        <v>2.4768518524069805E-2</v>
      </c>
      <c r="N26" s="7">
        <f t="shared" si="24"/>
        <v>35.666666674660519</v>
      </c>
      <c r="O26" s="7"/>
      <c r="P26" s="7"/>
      <c r="Q26" s="22"/>
      <c r="R26" s="174"/>
      <c r="S26" s="221">
        <f t="shared" si="25"/>
        <v>1</v>
      </c>
      <c r="T26" s="174" t="str">
        <f t="shared" si="4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-23T04:11:18-0600',mode:absolute,to:'2017-09-23T06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4.7100000000000003E-2</v>
      </c>
      <c r="Z26" s="204">
        <f t="shared" si="8"/>
        <v>23.329499999999999</v>
      </c>
      <c r="AA26" s="204">
        <f t="shared" si="9"/>
        <v>23.282399999999999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113</v>
      </c>
      <c r="AE26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26" s="74" t="str">
        <f t="shared" si="12"/>
        <v>"C:\Program Files (x86)\AstroGrep\AstroGrep.exe" /e /r /s /spath="%USERPROFILE%\AppData\Local\Temp\OnboardLogs" /stypes="app*4002*20170923*" /stext=" 11:.+((SYSTEM_STATE.+slice.+state.+changed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113-23 --locoid 4002 --swversion DE.1.0.9.0 --startMP 204:471 --initTime 2017-09-23T05:11:18 --startdatetime 2017-09-23T05:15:18 --delay 54 --endMP 204:233295 --enddatetime 2017-09-23T05:50:58 --enforcementcount 0 &gt;&gt;c:\users\stu\Documents\GitHub\eaglep3-reporting\EC\2017-09-23-refined-times.txt</v>
      </c>
      <c r="AI2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{"issue":{"subject":"","project_id":79,"tracker_id":40,"status_id":1,"priority_id":2,"assigned_to_id":338,"start_date":"2017-09-23","description":"","custom_fields":[{"id":1,"name":"Subdivision","value":"EC"},{"id":4,"name":"Milepost","value":"23.3295"},{"id":17,"name":"Train ID","value":"113-23"},{"id":16,"name":"Locomotive ID","value":"4002"},{"id":130,"name":"Impact","value":""},{"id":150,"name":"Time of Event (Mountain Time)","value":"05:50:58"},{"id":151,"name":"Denver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4002 --day 2017-09-23</v>
      </c>
      <c r="AN2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-23T04:11:18-0600',mode:absolute,to:'2017-09-23T06:50:58-0600'))&amp;_a=(columns:!('Message%20ID',Summary),filters:!(),index:'emp_*',interval:auto,query:(query_string:(analyze_wildcard:!t,query:'Message%5C+ID:(*)+AND+%22rtdc.l.rtdc.4002%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587</v>
      </c>
      <c r="B27" s="7">
        <v>4001</v>
      </c>
      <c r="C27" s="21" t="s">
        <v>196</v>
      </c>
      <c r="D27" s="21" t="s">
        <v>428</v>
      </c>
      <c r="E27" s="13">
        <v>43001.255474537036</v>
      </c>
      <c r="F27" s="13">
        <v>43001.258645833332</v>
      </c>
      <c r="G27" s="7">
        <v>77</v>
      </c>
      <c r="H27" s="21" t="s">
        <v>338</v>
      </c>
      <c r="I27" s="13">
        <v>43001.285787037035</v>
      </c>
      <c r="J27" s="7">
        <v>0</v>
      </c>
      <c r="K27" s="89" t="str">
        <f t="shared" si="0"/>
        <v>4001/4002</v>
      </c>
      <c r="L27" s="185" t="str">
        <f>VLOOKUP(A27,'Trips&amp;Operators'!$C$1:$G$99911,5,FALSE)</f>
        <v>MACDONALD THOMAS</v>
      </c>
      <c r="M27" s="6">
        <f t="shared" si="1"/>
        <v>2.7141203703649808E-2</v>
      </c>
      <c r="N27" s="7">
        <f t="shared" si="24"/>
        <v>39.083333333255723</v>
      </c>
      <c r="O27" s="7"/>
      <c r="P27" s="7"/>
      <c r="Q27" s="22"/>
      <c r="R27" s="174"/>
      <c r="S27" s="221">
        <f t="shared" si="25"/>
        <v>1</v>
      </c>
      <c r="T27" s="174" t="str">
        <f t="shared" si="4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23.297499999999999</v>
      </c>
      <c r="Z27" s="204">
        <f t="shared" si="8"/>
        <v>1.43E-2</v>
      </c>
      <c r="AA27" s="204">
        <f t="shared" si="9"/>
        <v>23.283200000000001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114</v>
      </c>
      <c r="AE27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27" s="74" t="str">
        <f t="shared" si="12"/>
        <v>"C:\Program Files (x86)\AstroGrep\AstroGrep.exe" /e /r /s /spath="%USERPROFILE%\AppData\Local\Temp\OnboardLogs" /stypes="app*4001*20170923*"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114-23 --locoid 4001 --swversion DE.1.0.9.0 --startMP 204:232975 --initTime 2017-09-23T06:07:53 --startdatetime 2017-09-23T06:12:27 --delay 77 --endMP 204:143 --enddatetime 2017-09-23T06:51:32 --enforcementcount 0 &gt;&gt;c:\users\stu\Documents\GitHub\eaglep3-reporting\EC\2017-09-23-refined-times.txt</v>
      </c>
      <c r="AI2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{"issue":{"subject":"","project_id":79,"tracker_id":40,"status_id":1,"priority_id":2,"assigned_to_id":338,"start_date":"2017-09-23","description":"","custom_fields":[{"id":1,"name":"Subdivision","value":"EC"},{"id":4,"name":"Milepost","value":"0.0143"},{"id":17,"name":"Train ID","value":"114-23"},{"id":16,"name":"Locomotive ID","value":"4001"},{"id":130,"name":"Impact","value":""},{"id":150,"name":"Time of Event (Mountain Time)","value":"06:51:32"},{"id":151,"name":"Denver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4001 --day 2017-09-23</v>
      </c>
      <c r="AN2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Message%20ID',Summary),filters:!(),index:'emp_*',interval:auto,query:(query_string:(analyze_wildcard:!t,query:'Message%5C+ID:(*)+AND+%22rtdc.l.rtdc.4001%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652</v>
      </c>
      <c r="B28" s="7">
        <v>4046</v>
      </c>
      <c r="C28" s="21" t="s">
        <v>196</v>
      </c>
      <c r="D28" s="21" t="s">
        <v>356</v>
      </c>
      <c r="E28" s="13">
        <v>43001.227256944447</v>
      </c>
      <c r="F28" s="13">
        <v>43001.229421296295</v>
      </c>
      <c r="G28" s="7">
        <v>53</v>
      </c>
      <c r="H28" s="21" t="s">
        <v>845</v>
      </c>
      <c r="I28" s="13">
        <v>43001.256655092591</v>
      </c>
      <c r="J28" s="7">
        <v>0</v>
      </c>
      <c r="K28" s="89" t="str">
        <f t="shared" si="0"/>
        <v>4045/4046</v>
      </c>
      <c r="L28" s="185" t="str">
        <f>VLOOKUP(A28,'Trips&amp;Operators'!$C$1:$G$99911,5,FALSE)</f>
        <v>MOSES BRADLEY</v>
      </c>
      <c r="M28" s="6">
        <f t="shared" si="1"/>
        <v>2.7233796296059154E-2</v>
      </c>
      <c r="N28" s="7">
        <f t="shared" si="24"/>
        <v>39.216666666325182</v>
      </c>
      <c r="O28" s="7"/>
      <c r="P28" s="7"/>
      <c r="Q28" s="22"/>
      <c r="R28" s="174"/>
      <c r="S28" s="221">
        <f t="shared" si="25"/>
        <v>1</v>
      </c>
      <c r="T28" s="174" t="str">
        <f t="shared" si="4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-23T04:27:15-0600',mode:absolute,to:'2017-09-23T07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4.58E-2</v>
      </c>
      <c r="Z28" s="204">
        <f t="shared" si="8"/>
        <v>23.328299999999999</v>
      </c>
      <c r="AA28" s="204">
        <f t="shared" si="9"/>
        <v>23.282499999999999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115</v>
      </c>
      <c r="AE28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28" s="74" t="str">
        <f t="shared" si="12"/>
        <v>"C:\Program Files (x86)\AstroGrep\AstroGrep.exe" /e /r /s /spath="%USERPROFILE%\AppData\Local\Temp\OnboardLogs" /stypes="app*4046*20170923*" /stext=" 12:.+((SYSTEM_STATE.+slice.+state.+changed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115-23 --locoid 4046 --swversion DE.1.0.9.0 --startMP 204:458 --initTime 2017-09-23T05:27:15 --startdatetime 2017-09-23T05:30:22 --delay 53 --endMP 204:233283 --enddatetime 2017-09-23T06:09:35 --enforcementcount 0 &gt;&gt;c:\users\stu\Documents\GitHub\eaglep3-reporting\EC\2017-09-23-refined-times.txt</v>
      </c>
      <c r="AI2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{"issue":{"subject":"","project_id":79,"tracker_id":40,"status_id":1,"priority_id":2,"assigned_to_id":338,"start_date":"2017-09-23","description":"","custom_fields":[{"id":1,"name":"Subdivision","value":"EC"},{"id":4,"name":"Milepost","value":"23.3283"},{"id":17,"name":"Train ID","value":"115-23"},{"id":16,"name":"Locomotive ID","value":"4046"},{"id":130,"name":"Impact","value":""},{"id":150,"name":"Time of Event (Mountain Time)","value":"06:09:35"},{"id":151,"name":"Denver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4046 --day 2017-09-23</v>
      </c>
      <c r="AN2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-23T04:27:15-0600',mode:absolute,to:'2017-09-23T07:09:35-0600'))&amp;_a=(columns:!('Message%20ID',Summary),filters:!(),index:'emp_*',interval:auto,query:(query_string:(analyze_wildcard:!t,query:'Message%5C+ID:(*)+AND+%22rtdc.l.rtdc.4046%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660</v>
      </c>
      <c r="B29" s="7">
        <v>4045</v>
      </c>
      <c r="C29" s="21" t="s">
        <v>196</v>
      </c>
      <c r="D29" s="21" t="s">
        <v>559</v>
      </c>
      <c r="E29" s="13">
        <v>43001.265081018515</v>
      </c>
      <c r="F29" s="13">
        <v>43001.269050925926</v>
      </c>
      <c r="G29" s="7">
        <v>88</v>
      </c>
      <c r="H29" s="21" t="s">
        <v>846</v>
      </c>
      <c r="I29" s="13">
        <v>43001.297083333331</v>
      </c>
      <c r="J29" s="7">
        <v>0</v>
      </c>
      <c r="K29" s="89" t="str">
        <f t="shared" si="0"/>
        <v>4045/4046</v>
      </c>
      <c r="L29" s="185" t="str">
        <f>VLOOKUP(A29,'Trips&amp;Operators'!$C$1:$G$99911,5,FALSE)</f>
        <v>MOSES BRADLEY</v>
      </c>
      <c r="M29" s="6">
        <f t="shared" si="1"/>
        <v>2.8032407404680271E-2</v>
      </c>
      <c r="N29" s="7">
        <f t="shared" si="24"/>
        <v>40.36666666273959</v>
      </c>
      <c r="O29" s="7"/>
      <c r="P29" s="7"/>
      <c r="Q29" s="22"/>
      <c r="R29" s="174"/>
      <c r="S29" s="221">
        <f t="shared" si="25"/>
        <v>1</v>
      </c>
      <c r="T29" s="174" t="str">
        <f t="shared" si="4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-23T05:21:43-0600',mode:absolute,to:'2017-09-23T08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23.2974</v>
      </c>
      <c r="Z29" s="204">
        <f t="shared" si="8"/>
        <v>1.7399999999999999E-2</v>
      </c>
      <c r="AA29" s="204">
        <f t="shared" si="9"/>
        <v>23.28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116</v>
      </c>
      <c r="AE29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29" s="74" t="str">
        <f t="shared" si="12"/>
        <v>"C:\Program Files (x86)\AstroGrep\AstroGrep.exe" /e /r /s /spath="%USERPROFILE%\AppData\Local\Temp\OnboardLogs" /stypes="app*4045*20170923*" /stext=" 13:.+((SYSTEM_STATE.+slice.+state.+changed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116-23 --locoid 4045 --swversion DE.1.0.9.0 --startMP 204:232974 --initTime 2017-09-23T06:21:43 --startdatetime 2017-09-23T06:27:26 --delay 88 --endMP 204:174 --enddatetime 2017-09-23T07:07:48 --enforcementcount 0 &gt;&gt;c:\users\stu\Documents\GitHub\eaglep3-reporting\EC\2017-09-23-refined-times.txt</v>
      </c>
      <c r="AI2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{"issue":{"subject":"","project_id":79,"tracker_id":40,"status_id":1,"priority_id":2,"assigned_to_id":338,"start_date":"2017-09-23","description":"","custom_fields":[{"id":1,"name":"Subdivision","value":"EC"},{"id":4,"name":"Milepost","value":"0.0174"},{"id":17,"name":"Train ID","value":"116-23"},{"id":16,"name":"Locomotive ID","value":"4045"},{"id":130,"name":"Impact","value":""},{"id":150,"name":"Time of Event (Mountain Time)","value":"07:07:48"},{"id":151,"name":"Denver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4045 --day 2017-09-23</v>
      </c>
      <c r="AN2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-23T05:21:43-0600',mode:absolute,to:'2017-09-23T08:07:48-0600'))&amp;_a=(columns:!('Message%20ID',Summary),filters:!(),index:'emp_*',interval:auto,query:(query_string:(analyze_wildcard:!t,query:'Message%5C+ID:(*)+AND+%22rtdc.l.rtdc.4045%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653</v>
      </c>
      <c r="B30" s="7">
        <v>4058</v>
      </c>
      <c r="C30" s="21" t="s">
        <v>196</v>
      </c>
      <c r="D30" s="21" t="s">
        <v>847</v>
      </c>
      <c r="E30" s="13">
        <v>43001.232592592591</v>
      </c>
      <c r="F30" s="13">
        <v>43001.239803240744</v>
      </c>
      <c r="G30" s="7">
        <v>249</v>
      </c>
      <c r="H30" s="21" t="s">
        <v>842</v>
      </c>
      <c r="I30" s="13">
        <v>43001.264432870368</v>
      </c>
      <c r="J30" s="7">
        <v>0</v>
      </c>
      <c r="K30" s="89" t="str">
        <f t="shared" si="0"/>
        <v>4057/4058</v>
      </c>
      <c r="L30" s="185" t="str">
        <f>VLOOKUP(A30,'Trips&amp;Operators'!$C$1:$G$99911,5,FALSE)</f>
        <v>BROWN JACOB</v>
      </c>
      <c r="M30" s="6">
        <f t="shared" si="1"/>
        <v>2.4629629624541849E-2</v>
      </c>
      <c r="N30" s="7">
        <f t="shared" si="24"/>
        <v>35.466666659340262</v>
      </c>
      <c r="O30" s="7"/>
      <c r="P30" s="7"/>
      <c r="Q30" s="22"/>
      <c r="R30" s="174"/>
      <c r="S30" s="221">
        <f t="shared" si="25"/>
        <v>1</v>
      </c>
      <c r="T30" s="174" t="str">
        <f t="shared" si="4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-23T04:34:56-0600',mode:absolute,to:'2017-09-23T07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0" s="204" t="str">
        <f>IF(AA30&lt;VLOOKUP(AG30,Variables!$AC$3:$AD$8,2,FALSE),"Y","N")</f>
        <v>N</v>
      </c>
      <c r="X30" s="204">
        <f t="shared" ref="X30:X33" si="26">VALUE(LEFT(AD30,4))-VALUE(LEFT(AD29,4))</f>
        <v>1</v>
      </c>
      <c r="Y30" s="204">
        <f t="shared" si="7"/>
        <v>0.11650000000000001</v>
      </c>
      <c r="Z30" s="204">
        <f t="shared" si="8"/>
        <v>23.3276</v>
      </c>
      <c r="AA30" s="204">
        <f t="shared" si="9"/>
        <v>23.211100000000002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117</v>
      </c>
      <c r="AE30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30" s="74" t="str">
        <f t="shared" si="12"/>
        <v>"C:\Program Files (x86)\AstroGrep\AstroGrep.exe" /e /r /s /spath="%USERPROFILE%\AppData\Local\Temp\OnboardLogs" /stypes="app*4058*20170923*" /stext=" 12:.+((SYSTEM_STATE.+slice.+state.+changed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117-23 --locoid 4058 --swversion DE.1.0.9.0 --startMP 204:1165 --initTime 2017-09-23T05:34:56 --startdatetime 2017-09-23T05:45:19 --delay 249 --endMP 204:233276 --enddatetime 2017-09-23T06:20:47 --enforcementcount 0 &gt;&gt;c:\users\stu\Documents\GitHub\eaglep3-reporting\EC\2017-09-23-refined-times.txt</v>
      </c>
      <c r="AI3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{"issue":{"subject":"","project_id":79,"tracker_id":40,"status_id":1,"priority_id":2,"assigned_to_id":338,"start_date":"2017-09-23","description":"","custom_fields":[{"id":1,"name":"Subdivision","value":"EC"},{"id":4,"name":"Milepost","value":"23.3276"},{"id":17,"name":"Train ID","value":"117-23"},{"id":16,"name":"Locomotive ID","value":"4058"},{"id":130,"name":"Impact","value":""},{"id":150,"name":"Time of Event (Mountain Time)","value":"06:20:47"},{"id":151,"name":"Denver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4058 --day 2017-09-23</v>
      </c>
      <c r="AN3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-23T04:34:56-0600',mode:absolute,to:'2017-09-23T07:20:47-0600'))&amp;_a=(columns:!('Message%20ID',Summary),filters:!(),index:'emp_*',interval:auto,query:(query_string:(analyze_wildcard:!t,query:'Message%5C+ID:(*)+AND+%22rtdc.l.rtdc.4058%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661</v>
      </c>
      <c r="B31" s="7">
        <v>4057</v>
      </c>
      <c r="C31" s="21" t="s">
        <v>196</v>
      </c>
      <c r="D31" s="21" t="s">
        <v>428</v>
      </c>
      <c r="E31" s="13">
        <v>43001.265833333331</v>
      </c>
      <c r="F31" s="13">
        <v>43001.279467592591</v>
      </c>
      <c r="G31" s="7">
        <v>60</v>
      </c>
      <c r="H31" s="21" t="s">
        <v>367</v>
      </c>
      <c r="I31" s="13">
        <v>43001.306273148148</v>
      </c>
      <c r="J31" s="7">
        <v>0</v>
      </c>
      <c r="K31" s="89" t="str">
        <f t="shared" si="0"/>
        <v>4057/4058</v>
      </c>
      <c r="L31" s="185" t="str">
        <f>VLOOKUP(A31,'Trips&amp;Operators'!$C$1:$G$99911,5,FALSE)</f>
        <v>GEBRETEKLE DAGNEW</v>
      </c>
      <c r="M31" s="6">
        <f t="shared" si="1"/>
        <v>2.6805555557075422E-2</v>
      </c>
      <c r="N31" s="7">
        <f t="shared" si="24"/>
        <v>38.600000002188608</v>
      </c>
      <c r="O31" s="7"/>
      <c r="P31" s="7"/>
      <c r="Q31" s="22"/>
      <c r="R31" s="174"/>
      <c r="S31" s="221">
        <f t="shared" si="25"/>
        <v>1</v>
      </c>
      <c r="T31" s="174" t="str">
        <f t="shared" si="4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-23T05:22:48-0600',mode:absolute,to:'2017-09-23T08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1" s="204" t="str">
        <f>IF(AA31&lt;VLOOKUP(AG31,Variables!$AC$3:$AD$8,2,FALSE),"Y","N")</f>
        <v>N</v>
      </c>
      <c r="X31" s="204">
        <f t="shared" si="26"/>
        <v>1</v>
      </c>
      <c r="Y31" s="204">
        <f t="shared" si="7"/>
        <v>23.297499999999999</v>
      </c>
      <c r="Z31" s="204">
        <f t="shared" si="8"/>
        <v>1.5599999999999999E-2</v>
      </c>
      <c r="AA31" s="204">
        <f t="shared" si="9"/>
        <v>23.2819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118</v>
      </c>
      <c r="AE31" s="77" t="str">
        <f t="shared" si="11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31" s="74" t="str">
        <f t="shared" si="12"/>
        <v>"C:\Program Files (x86)\AstroGrep\AstroGrep.exe" /e /r /s /spath="%USERPROFILE%\AppData\Local\Temp\OnboardLogs" /stypes="app*4057*20170923*" /stext=" 13:.+((SYSTEM_STATE.+slice.+state.+changed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118-23 --locoid 4057 --swversion DE.1.0.9.0 --startMP 204:232975 --initTime 2017-09-23T06:22:48 --startdatetime 2017-09-23T06:42:26 --delay 60 --endMP 204:156 --enddatetime 2017-09-23T07:21:02 --enforcementcount 0 &gt;&gt;c:\users\stu\Documents\GitHub\eaglep3-reporting\EC\2017-09-23-refined-times.txt</v>
      </c>
      <c r="AI3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ID","value":"118-23"},{"id":16,"name":"Locomotive ID","value":"4057"},{"id":130,"name":"Impact","value":""},{"id":150,"name":"Time of Event (Mountain Time)","value":"07:21:02"},{"id":151,"name":"Denver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4057 --day 2017-09-23</v>
      </c>
      <c r="AN3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-23T05:22:48-0600',mode:absolute,to:'2017-09-23T08:21:02-0600'))&amp;_a=(columns:!('Message%20ID',Summary),filters:!(),index:'emp_*',interval:auto,query:(query_string:(analyze_wildcard:!t,query:'Message%5C+ID:(*)+AND+%22rtdc.l.rtdc.4057%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658</v>
      </c>
      <c r="B32" s="7">
        <v>4010</v>
      </c>
      <c r="C32" s="21" t="s">
        <v>196</v>
      </c>
      <c r="D32" s="21" t="s">
        <v>368</v>
      </c>
      <c r="E32" s="13">
        <v>43001.245787037034</v>
      </c>
      <c r="F32" s="13">
        <v>43001.250173611108</v>
      </c>
      <c r="G32" s="7">
        <v>82</v>
      </c>
      <c r="H32" s="21" t="s">
        <v>848</v>
      </c>
      <c r="I32" s="13">
        <v>43001.275335648148</v>
      </c>
      <c r="J32" s="7">
        <v>0</v>
      </c>
      <c r="K32" s="89" t="str">
        <f t="shared" si="0"/>
        <v>4009/4010</v>
      </c>
      <c r="L32" s="185" t="str">
        <f>VLOOKUP(A32,'Trips&amp;Operators'!$C$1:$G$99911,5,FALSE)</f>
        <v>PAGE MARCUS</v>
      </c>
      <c r="M32" s="6">
        <f t="shared" si="1"/>
        <v>2.5162037039990537E-2</v>
      </c>
      <c r="N32" s="7">
        <f t="shared" si="24"/>
        <v>36.233333337586373</v>
      </c>
      <c r="O32" s="7"/>
      <c r="P32" s="7"/>
      <c r="Q32" s="22"/>
      <c r="R32" s="174"/>
      <c r="S32" s="221">
        <f t="shared" si="25"/>
        <v>1</v>
      </c>
      <c r="T32" s="174" t="str">
        <f t="shared" si="4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-23T04:53:56-0600',mode:absolute,to:'2017-09-23T07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2" s="204" t="str">
        <f>IF(AA32&lt;VLOOKUP(AG32,Variables!$AC$3:$AD$8,2,FALSE),"Y","N")</f>
        <v>N</v>
      </c>
      <c r="X32" s="204">
        <f t="shared" si="26"/>
        <v>1</v>
      </c>
      <c r="Y32" s="204">
        <f t="shared" si="7"/>
        <v>4.6699999999999998E-2</v>
      </c>
      <c r="Z32" s="204">
        <f t="shared" si="8"/>
        <v>23.325500000000002</v>
      </c>
      <c r="AA32" s="204">
        <f t="shared" si="9"/>
        <v>23.2788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119</v>
      </c>
      <c r="AE32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32" s="74" t="str">
        <f t="shared" si="12"/>
        <v>"C:\Program Files (x86)\AstroGrep\AstroGrep.exe" /e /r /s /spath="%USERPROFILE%\AppData\Local\Temp\OnboardLogs" /stypes="app*4010*20170923*" /stext=" 12:.+((SYSTEM_STATE.+slice.+state.+changed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119-23 --locoid 4010 --swversion DE.1.0.9.0 --startMP 204:467 --initTime 2017-09-23T05:53:56 --startdatetime 2017-09-23T06:00:15 --delay 82 --endMP 204:233255 --enddatetime 2017-09-23T06:36:29 --enforcementcount 0 &gt;&gt;c:\users\stu\Documents\GitHub\eaglep3-reporting\EC\2017-09-23-refined-times.txt</v>
      </c>
      <c r="AI3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{"issue":{"subject":"","project_id":79,"tracker_id":40,"status_id":1,"priority_id":2,"assigned_to_id":338,"start_date":"2017-09-23","description":"","custom_fields":[{"id":1,"name":"Subdivision","value":"EC"},{"id":4,"name":"Milepost","value":"23.3255"},{"id":17,"name":"Train ID","value":"119-23"},{"id":16,"name":"Locomotive ID","value":"4010"},{"id":130,"name":"Impact","value":""},{"id":150,"name":"Time of Event (Mountain Time)","value":"06:36:29"},{"id":151,"name":"Denver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4010 --day 2017-09-23</v>
      </c>
      <c r="AN3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-23T04:53:56-0600',mode:absolute,to:'2017-09-23T07:36:29-0600'))&amp;_a=(columns:!('Message%20ID',Summary),filters:!(),index:'emp_*',interval:auto,query:(query_string:(analyze_wildcard:!t,query:'Message%5C+ID:(*)+AND+%22rtdc.l.rtdc.4010%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665</v>
      </c>
      <c r="B33" s="7">
        <v>4009</v>
      </c>
      <c r="C33" s="21" t="s">
        <v>196</v>
      </c>
      <c r="D33" s="21" t="s">
        <v>411</v>
      </c>
      <c r="E33" s="13">
        <v>43001.285891203705</v>
      </c>
      <c r="F33" s="13">
        <v>43001.289756944447</v>
      </c>
      <c r="G33" s="7">
        <v>81</v>
      </c>
      <c r="H33" s="21" t="s">
        <v>849</v>
      </c>
      <c r="I33" s="13">
        <v>43001.315000000002</v>
      </c>
      <c r="J33" s="7">
        <v>0</v>
      </c>
      <c r="K33" s="89" t="str">
        <f t="shared" si="0"/>
        <v>4009/4010</v>
      </c>
      <c r="L33" s="185" t="str">
        <f>VLOOKUP(A33,'Trips&amp;Operators'!$C$1:$G$99911,5,FALSE)</f>
        <v>PAGE MARCUS</v>
      </c>
      <c r="M33" s="6">
        <f t="shared" si="1"/>
        <v>2.5243055555620231E-2</v>
      </c>
      <c r="N33" s="7">
        <f t="shared" si="24"/>
        <v>36.350000000093132</v>
      </c>
      <c r="O33" s="7"/>
      <c r="P33" s="7"/>
      <c r="Q33" s="22"/>
      <c r="R33" s="174"/>
      <c r="S33" s="221">
        <f t="shared" si="25"/>
        <v>1</v>
      </c>
      <c r="T33" s="174" t="str">
        <f t="shared" si="4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-23T05:51:41-0600',mode:absolute,to:'2017-09-23T08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204" t="str">
        <f>IF(AA33&lt;VLOOKUP(AG33,Variables!$AC$3:$AD$8,2,FALSE),"Y","N")</f>
        <v>N</v>
      </c>
      <c r="X33" s="204">
        <f t="shared" si="26"/>
        <v>1</v>
      </c>
      <c r="Y33" s="204">
        <f t="shared" si="7"/>
        <v>23.299099999999999</v>
      </c>
      <c r="Z33" s="204">
        <f t="shared" si="8"/>
        <v>1.7000000000000001E-2</v>
      </c>
      <c r="AA33" s="204">
        <f t="shared" si="9"/>
        <v>23.2821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120</v>
      </c>
      <c r="AE33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33" s="74" t="str">
        <f t="shared" si="12"/>
        <v>"C:\Program Files (x86)\AstroGrep\AstroGrep.exe" /e /r /s /spath="%USERPROFILE%\AppData\Local\Temp\OnboardLogs" /stypes="app*4009*20170923*" /stext=" 13:.+((SYSTEM_STATE.+slice.+state.+changed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120-23 --locoid 4009 --swversion DE.1.0.9.0 --startMP 204:232991 --initTime 2017-09-23T06:51:41 --startdatetime 2017-09-23T06:57:15 --delay 81 --endMP 204:170 --enddatetime 2017-09-23T07:33:36 --enforcementcount 0 &gt;&gt;c:\users\stu\Documents\GitHub\eaglep3-reporting\EC\2017-09-23-refined-times.txt</v>
      </c>
      <c r="AI3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{"issue":{"subject":"","project_id":79,"tracker_id":40,"status_id":1,"priority_id":2,"assigned_to_id":338,"start_date":"2017-09-23","description":"","custom_fields":[{"id":1,"name":"Subdivision","value":"EC"},{"id":4,"name":"Milepost","value":"0.017"},{"id":17,"name":"Train ID","value":"120-23"},{"id":16,"name":"Locomotive ID","value":"4009"},{"id":130,"name":"Impact","value":""},{"id":150,"name":"Time of Event (Mountain Time)","value":"07:33:36"},{"id":151,"name":"Denver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4009 --day 2017-09-23</v>
      </c>
      <c r="AN3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-23T05:51:41-0600',mode:absolute,to:'2017-09-23T08:33:36-0600'))&amp;_a=(columns:!('Message%20ID',Summary),filters:!(),index:'emp_*',interval:auto,query:(query_string:(analyze_wildcard:!t,query:'Message%5C+ID:(*)+AND+%22rtdc.l.rtdc.4009%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659</v>
      </c>
      <c r="B34" s="7">
        <v>4028</v>
      </c>
      <c r="C34" s="21" t="s">
        <v>196</v>
      </c>
      <c r="D34" s="21" t="s">
        <v>395</v>
      </c>
      <c r="E34" s="13">
        <v>43001.261400462965</v>
      </c>
      <c r="F34" s="13">
        <v>43001.262916666667</v>
      </c>
      <c r="G34" s="7">
        <v>65</v>
      </c>
      <c r="H34" s="21" t="s">
        <v>850</v>
      </c>
      <c r="I34" s="13">
        <v>43001.287511574075</v>
      </c>
      <c r="J34" s="7">
        <v>0</v>
      </c>
      <c r="K34" s="89" t="str">
        <f t="shared" si="0"/>
        <v>4027/4028</v>
      </c>
      <c r="L34" s="185" t="str">
        <f>VLOOKUP(A34,'Trips&amp;Operators'!$C$1:$G$99911,5,FALSE)</f>
        <v>LANGERAK WILLIAM</v>
      </c>
      <c r="M34" s="6">
        <f t="shared" si="1"/>
        <v>2.4594907408754807E-2</v>
      </c>
      <c r="N34" s="7">
        <f t="shared" si="24"/>
        <v>35.416666668606922</v>
      </c>
      <c r="O34" s="7"/>
      <c r="P34" s="7"/>
      <c r="Q34" s="22"/>
      <c r="R34" s="174"/>
      <c r="S34" s="221">
        <f t="shared" si="25"/>
        <v>1</v>
      </c>
      <c r="T34" s="174" t="str">
        <f t="shared" si="4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-23T05:16:25-0600',mode:absolute,to:'2017-09-23T07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4" s="204" t="str">
        <f>IF(AA34&lt;VLOOKUP(AG34,Variables!$AC$3:$AD$8,2,FALSE),"Y","N")</f>
        <v>N</v>
      </c>
      <c r="X34" s="204">
        <f t="shared" ref="X34:X65" si="27">VALUE(LEFT(AD34,4))-VALUE(LEFT(AD33,4))</f>
        <v>1</v>
      </c>
      <c r="Y34" s="204">
        <f t="shared" si="7"/>
        <v>4.5100000000000001E-2</v>
      </c>
      <c r="Z34" s="204">
        <f t="shared" si="8"/>
        <v>23.327200000000001</v>
      </c>
      <c r="AA34" s="204">
        <f t="shared" si="9"/>
        <v>23.2821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121</v>
      </c>
      <c r="AE34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34" s="74" t="str">
        <f t="shared" si="12"/>
        <v>"C:\Program Files (x86)\AstroGrep\AstroGrep.exe" /e /r /s /spath="%USERPROFILE%\AppData\Local\Temp\OnboardLogs" /stypes="app*4028*20170923*" /stext=" 12:.+((SYSTEM_STATE.+slice.+state.+changed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121-23 --locoid 4028 --swversion DE.1.0.9.0 --startMP 204:451 --initTime 2017-09-23T06:16:25 --startdatetime 2017-09-23T06:18:36 --delay 65 --endMP 204:233272 --enddatetime 2017-09-23T06:54:01 --enforcementcount 0 &gt;&gt;c:\users\stu\Documents\GitHub\eaglep3-reporting\EC\2017-09-23-refined-times.txt</v>
      </c>
      <c r="AI3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{"issue":{"subject":"","project_id":79,"tracker_id":40,"status_id":1,"priority_id":2,"assigned_to_id":338,"start_date":"2017-09-23","description":"","custom_fields":[{"id":1,"name":"Subdivision","value":"EC"},{"id":4,"name":"Milepost","value":"23.3272"},{"id":17,"name":"Train ID","value":"121-23"},{"id":16,"name":"Locomotive ID","value":"4028"},{"id":130,"name":"Impact","value":""},{"id":150,"name":"Time of Event (Mountain Time)","value":"06:54:01"},{"id":151,"name":"Denver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4028 --day 2017-09-23</v>
      </c>
      <c r="AN3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-23T05:16:25-0600',mode:absolute,to:'2017-09-23T07:54:01-0600'))&amp;_a=(columns:!('Message%20ID',Summary),filters:!(),index:'emp_*',interval:auto,query:(query_string:(analyze_wildcard:!t,query:'Message%5C+ID:(*)+AND+%22rtdc.l.rtdc.4028%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667</v>
      </c>
      <c r="B35" s="7">
        <v>4027</v>
      </c>
      <c r="C35" s="21" t="s">
        <v>196</v>
      </c>
      <c r="D35" s="21" t="s">
        <v>567</v>
      </c>
      <c r="E35" s="13">
        <v>43001.289641203701</v>
      </c>
      <c r="F35" s="13">
        <v>43001.300185185188</v>
      </c>
      <c r="G35" s="7">
        <v>185</v>
      </c>
      <c r="H35" s="21" t="s">
        <v>505</v>
      </c>
      <c r="I35" s="13">
        <v>43001.327175925922</v>
      </c>
      <c r="J35" s="7">
        <v>0</v>
      </c>
      <c r="K35" s="89" t="str">
        <f t="shared" si="0"/>
        <v>4027/4028</v>
      </c>
      <c r="L35" s="185" t="str">
        <f>VLOOKUP(A35,'Trips&amp;Operators'!$C$1:$G$99911,5,FALSE)</f>
        <v>LANGERAK WILLIAM</v>
      </c>
      <c r="M35" s="6">
        <f t="shared" si="1"/>
        <v>2.6990740734618157E-2</v>
      </c>
      <c r="N35" s="7">
        <f t="shared" si="24"/>
        <v>38.866666657850146</v>
      </c>
      <c r="O35" s="7"/>
      <c r="P35" s="7"/>
      <c r="Q35" s="22"/>
      <c r="R35" s="174"/>
      <c r="S35" s="221">
        <f t="shared" si="25"/>
        <v>1</v>
      </c>
      <c r="T35" s="174" t="str">
        <f t="shared" si="4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-23T05:57:05-0600',mode:absolute,to:'2017-09-23T08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5" s="204" t="str">
        <f>IF(AA35&lt;VLOOKUP(AG35,Variables!$AC$3:$AD$8,2,FALSE),"Y","N")</f>
        <v>N</v>
      </c>
      <c r="X35" s="204">
        <f t="shared" si="27"/>
        <v>1</v>
      </c>
      <c r="Y35" s="204">
        <f t="shared" si="7"/>
        <v>23.296099999999999</v>
      </c>
      <c r="Z35" s="204">
        <f t="shared" si="8"/>
        <v>1.67E-2</v>
      </c>
      <c r="AA35" s="204">
        <f t="shared" si="9"/>
        <v>23.279399999999999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122</v>
      </c>
      <c r="AE35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35" s="74" t="str">
        <f t="shared" si="12"/>
        <v>"C:\Program Files (x86)\AstroGrep\AstroGrep.exe" /e /r /s /spath="%USERPROFILE%\AppData\Local\Temp\OnboardLogs" /stypes="app*4027*20170923*"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122-23 --locoid 4027 --swversion DE.1.0.9.0 --startMP 204:232961 --initTime 2017-09-23T06:57:05 --startdatetime 2017-09-23T07:12:16 --delay 185 --endMP 204:167 --enddatetime 2017-09-23T07:51:08 --enforcementcount 0 &gt;&gt;c:\users\stu\Documents\GitHub\eaglep3-reporting\EC\2017-09-23-refined-times.txt</v>
      </c>
      <c r="AI3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{"issue":{"subject":"","project_id":79,"tracker_id":40,"status_id":1,"priority_id":2,"assigned_to_id":338,"start_date":"2017-09-23","description":"","custom_fields":[{"id":1,"name":"Subdivision","value":"EC"},{"id":4,"name":"Milepost","value":"0.0167"},{"id":17,"name":"Train ID","value":"122-23"},{"id":16,"name":"Locomotive ID","value":"4027"},{"id":130,"name":"Impact","value":""},{"id":150,"name":"Time of Event (Mountain Time)","value":"07:51:08"},{"id":151,"name":"Denver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4027 --day 2017-09-23</v>
      </c>
      <c r="AN3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-23T05:57:05-0600',mode:absolute,to:'2017-09-23T08:51:08-0600'))&amp;_a=(columns:!('Message%20ID',Summary),filters:!(),index:'emp_*',interval:auto,query:(query_string:(analyze_wildcard:!t,query:'Message%5C+ID:(*)+AND+%22rtdc.l.rtdc.4027%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663</v>
      </c>
      <c r="B36" s="7">
        <v>4024</v>
      </c>
      <c r="C36" s="21" t="s">
        <v>196</v>
      </c>
      <c r="D36" s="21" t="s">
        <v>358</v>
      </c>
      <c r="E36" s="13">
        <v>43001.268136574072</v>
      </c>
      <c r="F36" s="13">
        <v>43001.271041666667</v>
      </c>
      <c r="G36" s="7">
        <v>70</v>
      </c>
      <c r="H36" s="21" t="s">
        <v>440</v>
      </c>
      <c r="I36" s="13">
        <v>43001.295983796299</v>
      </c>
      <c r="J36" s="7">
        <v>0</v>
      </c>
      <c r="K36" s="89" t="str">
        <f t="shared" si="0"/>
        <v>4023/4024</v>
      </c>
      <c r="L36" s="185" t="str">
        <f>VLOOKUP(A36,'Trips&amp;Operators'!$C$1:$G$99911,5,FALSE)</f>
        <v>HUFFSMITH MONTY</v>
      </c>
      <c r="M36" s="6">
        <f t="shared" si="1"/>
        <v>2.4942129632108845E-2</v>
      </c>
      <c r="N36" s="7">
        <f t="shared" si="24"/>
        <v>35.916666670236737</v>
      </c>
      <c r="O36" s="7"/>
      <c r="P36" s="7"/>
      <c r="Q36" s="22"/>
      <c r="R36" s="174"/>
      <c r="S36" s="221">
        <f t="shared" si="25"/>
        <v>1</v>
      </c>
      <c r="T36" s="174" t="str">
        <f t="shared" si="4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-23T05:26:07-0600',mode:absolute,to:'2017-09-23T08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6" s="204" t="str">
        <f>IF(AA36&lt;VLOOKUP(AG36,Variables!$AC$3:$AD$8,2,FALSE),"Y","N")</f>
        <v>N</v>
      </c>
      <c r="X36" s="204">
        <f t="shared" si="27"/>
        <v>1</v>
      </c>
      <c r="Y36" s="204">
        <f t="shared" si="7"/>
        <v>4.4900000000000002E-2</v>
      </c>
      <c r="Z36" s="204">
        <f t="shared" si="8"/>
        <v>23.329499999999999</v>
      </c>
      <c r="AA36" s="204">
        <f t="shared" si="9"/>
        <v>23.284600000000001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123</v>
      </c>
      <c r="AE36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36" s="74" t="str">
        <f t="shared" si="12"/>
        <v>"C:\Program Files (x86)\AstroGrep\AstroGrep.exe" /e /r /s /spath="%USERPROFILE%\AppData\Local\Temp\OnboardLogs" /stypes="app*4024*20170923*"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123-23 --locoid 4024 --swversion DE.1.0.9.0 --startMP 204:449 --initTime 2017-09-23T06:26:07 --startdatetime 2017-09-23T06:30:18 --delay 70 --endMP 204:233295 --enddatetime 2017-09-23T07:06:13 --enforcementcount 0 &gt;&gt;c:\users\stu\Documents\GitHub\eaglep3-reporting\EC\2017-09-23-refined-times.txt</v>
      </c>
      <c r="AI3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{"issue":{"subject":"","project_id":79,"tracker_id":40,"status_id":1,"priority_id":2,"assigned_to_id":338,"start_date":"2017-09-23","description":"","custom_fields":[{"id":1,"name":"Subdivision","value":"EC"},{"id":4,"name":"Milepost","value":"23.3295"},{"id":17,"name":"Train ID","value":"123-23"},{"id":16,"name":"Locomotive ID","value":"4024"},{"id":130,"name":"Impact","value":""},{"id":150,"name":"Time of Event (Mountain Time)","value":"07:06:13"},{"id":151,"name":"Denver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4024 --day 2017-09-23</v>
      </c>
      <c r="AN3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-23T05:26:07-0600',mode:absolute,to:'2017-09-23T08:06:13-0600'))&amp;_a=(columns:!('Message%20ID',Summary),filters:!(),index:'emp_*',interval:auto,query:(query_string:(analyze_wildcard:!t,query:'Message%5C+ID:(*)+AND+%22rtdc.l.rtdc.4024%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589</v>
      </c>
      <c r="B37" s="7">
        <v>4023</v>
      </c>
      <c r="C37" s="21" t="s">
        <v>196</v>
      </c>
      <c r="D37" s="21" t="s">
        <v>411</v>
      </c>
      <c r="E37" s="13">
        <v>43001.304062499999</v>
      </c>
      <c r="F37" s="13">
        <v>43001.310949074075</v>
      </c>
      <c r="G37" s="7">
        <v>50</v>
      </c>
      <c r="H37" s="21" t="s">
        <v>336</v>
      </c>
      <c r="I37" s="13">
        <v>43001.337685185186</v>
      </c>
      <c r="J37" s="7">
        <v>0</v>
      </c>
      <c r="K37" s="89" t="str">
        <f t="shared" si="0"/>
        <v>4023/4024</v>
      </c>
      <c r="L37" s="185" t="str">
        <f>VLOOKUP(A37,'Trips&amp;Operators'!$C$1:$G$99911,5,FALSE)</f>
        <v>HUFFSMITH MONTY</v>
      </c>
      <c r="M37" s="6">
        <f t="shared" si="1"/>
        <v>2.6736111110949423E-2</v>
      </c>
      <c r="N37" s="7">
        <f t="shared" si="24"/>
        <v>38.499999999767169</v>
      </c>
      <c r="O37" s="7"/>
      <c r="P37" s="7"/>
      <c r="Q37" s="22"/>
      <c r="R37" s="174"/>
      <c r="S37" s="221">
        <f t="shared" si="25"/>
        <v>1</v>
      </c>
      <c r="T37" s="174" t="str">
        <f t="shared" si="4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-23T06:17:51-0600',mode:absolute,to:'2017-09-23T09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7" s="204" t="str">
        <f>IF(AA37&lt;VLOOKUP(AG37,Variables!$AC$3:$AD$8,2,FALSE),"Y","N")</f>
        <v>N</v>
      </c>
      <c r="X37" s="204">
        <f t="shared" si="27"/>
        <v>1</v>
      </c>
      <c r="Y37" s="204">
        <f t="shared" si="7"/>
        <v>23.299099999999999</v>
      </c>
      <c r="Z37" s="204">
        <f t="shared" si="8"/>
        <v>1.4999999999999999E-2</v>
      </c>
      <c r="AA37" s="204">
        <f t="shared" si="9"/>
        <v>23.284099999999999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124</v>
      </c>
      <c r="AE37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37" s="74" t="str">
        <f t="shared" si="12"/>
        <v>"C:\Program Files (x86)\AstroGrep\AstroGrep.exe" /e /r /s /spath="%USERPROFILE%\AppData\Local\Temp\OnboardLogs" /stypes="app*4023*20170923*" /stext=" 14:.+((SYSTEM_STATE.+slice.+state.+changed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124-23 --locoid 4023 --swversion DE.1.0.9.0 --startMP 204:232991 --initTime 2017-09-23T07:17:51 --startdatetime 2017-09-23T07:27:46 --delay 50 --endMP 204:150 --enddatetime 2017-09-23T08:06:16 --enforcementcount 0 &gt;&gt;c:\users\stu\Documents\GitHub\eaglep3-reporting\EC\2017-09-23-refined-times.txt</v>
      </c>
      <c r="AI3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{"issue":{"subject":"","project_id":79,"tracker_id":40,"status_id":1,"priority_id":2,"assigned_to_id":338,"start_date":"2017-09-23","description":"","custom_fields":[{"id":1,"name":"Subdivision","value":"EC"},{"id":4,"name":"Milepost","value":"0.015"},{"id":17,"name":"Train ID","value":"124-23"},{"id":16,"name":"Locomotive ID","value":"4023"},{"id":130,"name":"Impact","value":""},{"id":150,"name":"Time of Event (Mountain Time)","value":"08:06:16"},{"id":151,"name":"Denver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4023 --day 2017-09-23</v>
      </c>
      <c r="AN3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-23T06:17:51-0600',mode:absolute,to:'2017-09-23T09:06:16-0600'))&amp;_a=(columns:!('Message%20ID',Summary),filters:!(),index:'emp_*',interval:auto,query:(query_string:(analyze_wildcard:!t,query:'Message%5C+ID:(*)+AND+%22rtdc.l.rtdc.4023%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588</v>
      </c>
      <c r="B38" s="7">
        <v>4040</v>
      </c>
      <c r="C38" s="21" t="s">
        <v>196</v>
      </c>
      <c r="D38" s="21" t="s">
        <v>375</v>
      </c>
      <c r="E38" s="13">
        <v>43001.280462962961</v>
      </c>
      <c r="F38" s="13">
        <v>43001.281712962962</v>
      </c>
      <c r="G38" s="7">
        <v>59</v>
      </c>
      <c r="H38" s="21" t="s">
        <v>440</v>
      </c>
      <c r="I38" s="13">
        <v>43001.306307870371</v>
      </c>
      <c r="J38" s="7">
        <v>0</v>
      </c>
      <c r="K38" s="89" t="str">
        <f t="shared" si="0"/>
        <v>4039/4040</v>
      </c>
      <c r="L38" s="185" t="str">
        <f>VLOOKUP(A38,'Trips&amp;Operators'!$C$1:$G$99911,5,FALSE)</f>
        <v>THOMPSON LESTER</v>
      </c>
      <c r="M38" s="6">
        <f t="shared" si="1"/>
        <v>2.4594907408754807E-2</v>
      </c>
      <c r="N38" s="7">
        <f t="shared" si="24"/>
        <v>35.416666668606922</v>
      </c>
      <c r="O38" s="7"/>
      <c r="P38" s="7"/>
      <c r="Q38" s="22"/>
      <c r="R38" s="174"/>
      <c r="S38" s="221">
        <f t="shared" si="25"/>
        <v>1</v>
      </c>
      <c r="T38" s="174" t="str">
        <f t="shared" si="4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-23T05:43:52-0600',mode:absolute,to:'2017-09-23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8" s="204" t="str">
        <f>IF(AA38&lt;VLOOKUP(AG38,Variables!$AC$3:$AD$8,2,FALSE),"Y","N")</f>
        <v>N</v>
      </c>
      <c r="X38" s="204">
        <f t="shared" si="27"/>
        <v>1</v>
      </c>
      <c r="Y38" s="204">
        <f t="shared" si="7"/>
        <v>4.4200000000000003E-2</v>
      </c>
      <c r="Z38" s="204">
        <f t="shared" si="8"/>
        <v>23.329499999999999</v>
      </c>
      <c r="AA38" s="204">
        <f t="shared" si="9"/>
        <v>23.285299999999999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125</v>
      </c>
      <c r="AE38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38" s="74" t="str">
        <f t="shared" si="12"/>
        <v>"C:\Program Files (x86)\AstroGrep\AstroGrep.exe" /e /r /s /spath="%USERPROFILE%\AppData\Local\Temp\OnboardLogs" /stypes="app*4040*20170923*" /stext=" 13:.+((SYSTEM_STATE.+slice.+state.+changed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125-23 --locoid 4040 --swversion DE.1.0.9.0 --startMP 204:442 --initTime 2017-09-23T06:43:52 --startdatetime 2017-09-23T06:45:40 --delay 59 --endMP 204:233295 --enddatetime 2017-09-23T07:21:05 --enforcementcount 0 &gt;&gt;c:\users\stu\Documents\GitHub\eaglep3-reporting\EC\2017-09-23-refined-times.txt</v>
      </c>
      <c r="AI3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{"issue":{"subject":"","project_id":79,"tracker_id":40,"status_id":1,"priority_id":2,"assigned_to_id":338,"start_date":"2017-09-23","description":"","custom_fields":[{"id":1,"name":"Subdivision","value":"EC"},{"id":4,"name":"Milepost","value":"23.3295"},{"id":17,"name":"Train ID","value":"125-23"},{"id":16,"name":"Locomotive ID","value":"4040"},{"id":130,"name":"Impact","value":""},{"id":150,"name":"Time of Event (Mountain Time)","value":"07:21:05"},{"id":151,"name":"Denver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4040 --day 2017-09-23</v>
      </c>
      <c r="AN3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-23T05:43:52-0600',mode:absolute,to:'2017-09-23T08:21:05-0600'))&amp;_a=(columns:!('Message%20ID',Summary),filters:!(),index:'emp_*',interval:auto,query:(query_string:(analyze_wildcard:!t,query:'Message%5C+ID:(*)+AND+%22rtdc.l.rtdc.4040%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673</v>
      </c>
      <c r="B39" s="7">
        <v>4039</v>
      </c>
      <c r="C39" s="21" t="s">
        <v>196</v>
      </c>
      <c r="D39" s="21" t="s">
        <v>443</v>
      </c>
      <c r="E39" s="13">
        <v>43001.319016203706</v>
      </c>
      <c r="F39" s="13">
        <v>43001.321157407408</v>
      </c>
      <c r="G39" s="7">
        <v>57</v>
      </c>
      <c r="H39" s="21" t="s">
        <v>392</v>
      </c>
      <c r="I39" s="13">
        <v>43001.347951388889</v>
      </c>
      <c r="J39" s="7">
        <v>0</v>
      </c>
      <c r="K39" s="89" t="str">
        <f t="shared" si="0"/>
        <v>4039/4040</v>
      </c>
      <c r="L39" s="185" t="str">
        <f>VLOOKUP(A39,'Trips&amp;Operators'!$C$1:$G$99911,5,FALSE)</f>
        <v>THOMPSON LESTER</v>
      </c>
      <c r="M39" s="6">
        <f t="shared" si="1"/>
        <v>2.679398148029577E-2</v>
      </c>
      <c r="N39" s="7">
        <f t="shared" si="24"/>
        <v>38.583333331625909</v>
      </c>
      <c r="O39" s="7"/>
      <c r="P39" s="7"/>
      <c r="Q39" s="22"/>
      <c r="R39" s="174"/>
      <c r="S39" s="221">
        <f t="shared" si="25"/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-23T06:39:23-0600',mode:absolute,to:'2017-09-23T09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9" s="204" t="str">
        <f>IF(AA39&lt;VLOOKUP(AG39,Variables!$AC$3:$AD$8,2,FALSE),"Y","N")</f>
        <v>N</v>
      </c>
      <c r="X39" s="204">
        <f t="shared" si="27"/>
        <v>1</v>
      </c>
      <c r="Y39" s="204">
        <f t="shared" si="7"/>
        <v>23.299199999999999</v>
      </c>
      <c r="Z39" s="204">
        <f t="shared" si="8"/>
        <v>1.6299999999999999E-2</v>
      </c>
      <c r="AA39" s="204">
        <f t="shared" si="9"/>
        <v>23.282899999999998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126</v>
      </c>
      <c r="AE39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39" s="74" t="str">
        <f t="shared" si="12"/>
        <v>"C:\Program Files (x86)\AstroGrep\AstroGrep.exe" /e /r /s /spath="%USERPROFILE%\AppData\Local\Temp\OnboardLogs" /stypes="app*4039*20170923*"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126-23 --locoid 4039 --swversion DE.1.0.9.0 --startMP 204:232992 --initTime 2017-09-23T07:39:23 --startdatetime 2017-09-23T07:42:28 --delay 57 --endMP 204:163 --enddatetime 2017-09-23T08:21:03 --enforcementcount 0 &gt;&gt;c:\users\stu\Documents\GitHub\eaglep3-reporting\EC\2017-09-23-refined-times.txt</v>
      </c>
      <c r="AI3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{"issue":{"subject":"","project_id":79,"tracker_id":40,"status_id":1,"priority_id":2,"assigned_to_id":338,"start_date":"2017-09-23","description":"","custom_fields":[{"id":1,"name":"Subdivision","value":"EC"},{"id":4,"name":"Milepost","value":"0.0163"},{"id":17,"name":"Train ID","value":"126-23"},{"id":16,"name":"Locomotive ID","value":"4039"},{"id":130,"name":"Impact","value":""},{"id":150,"name":"Time of Event (Mountain Time)","value":"08:21:03"},{"id":151,"name":"Denver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4039 --day 2017-09-23</v>
      </c>
      <c r="AN3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-23T06:39:23-0600',mode:absolute,to:'2017-09-23T09:21:03-0600'))&amp;_a=(columns:!('Message%20ID',Summary),filters:!(),index:'emp_*',interval:auto,query:(query_string:(analyze_wildcard:!t,query:'Message%5C+ID:(*)+AND+%22rtdc.l.rtdc.4039%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666</v>
      </c>
      <c r="B40" s="7">
        <v>4002</v>
      </c>
      <c r="C40" s="21" t="s">
        <v>196</v>
      </c>
      <c r="D40" s="21" t="s">
        <v>408</v>
      </c>
      <c r="E40" s="13">
        <v>43001.28979166667</v>
      </c>
      <c r="F40" s="13">
        <v>43001.291979166665</v>
      </c>
      <c r="G40" s="7">
        <v>61</v>
      </c>
      <c r="H40" s="21" t="s">
        <v>509</v>
      </c>
      <c r="I40" s="13">
        <v>43001.316666666666</v>
      </c>
      <c r="J40" s="7">
        <v>0</v>
      </c>
      <c r="K40" s="89" t="str">
        <f t="shared" si="0"/>
        <v>4001/4002</v>
      </c>
      <c r="L40" s="185" t="str">
        <f>VLOOKUP(A40,'Trips&amp;Operators'!$C$1:$G$99911,5,FALSE)</f>
        <v>MACDONALD THOMAS</v>
      </c>
      <c r="M40" s="6">
        <f t="shared" si="1"/>
        <v>2.4687500001164153E-2</v>
      </c>
      <c r="N40" s="7">
        <f t="shared" si="24"/>
        <v>35.550000001676381</v>
      </c>
      <c r="O40" s="7"/>
      <c r="P40" s="7"/>
      <c r="Q40" s="22"/>
      <c r="R40" s="174"/>
      <c r="S40" s="221">
        <f t="shared" si="25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-23T05:57:18-0600',mode:absolute,to:'2017-09-23T08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0" s="204" t="str">
        <f>IF(AA40&lt;VLOOKUP(AG40,Variables!$AC$3:$AD$8,2,FALSE),"Y","N")</f>
        <v>N</v>
      </c>
      <c r="X40" s="204">
        <f t="shared" si="27"/>
        <v>1</v>
      </c>
      <c r="Y40" s="204">
        <f t="shared" si="7"/>
        <v>4.4699999999999997E-2</v>
      </c>
      <c r="Z40" s="204">
        <f t="shared" si="8"/>
        <v>23.327400000000001</v>
      </c>
      <c r="AA40" s="204">
        <f t="shared" si="9"/>
        <v>23.282700000000002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127</v>
      </c>
      <c r="AE40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40" s="74" t="str">
        <f t="shared" si="12"/>
        <v>"C:\Program Files (x86)\AstroGrep\AstroGrep.exe" /e /r /s /spath="%USERPROFILE%\AppData\Local\Temp\OnboardLogs" /stypes="app*4002*20170923*"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127-23 --locoid 4002 --swversion DE.1.0.9.0 --startMP 204:447 --initTime 2017-09-23T06:57:18 --startdatetime 2017-09-23T07:00:27 --delay 61 --endMP 204:233274 --enddatetime 2017-09-23T07:36:00 --enforcementcount 0 &gt;&gt;c:\users\stu\Documents\GitHub\eaglep3-reporting\EC\2017-09-23-refined-times.txt</v>
      </c>
      <c r="AI4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{"issue":{"subject":"","project_id":79,"tracker_id":40,"status_id":1,"priority_id":2,"assigned_to_id":338,"start_date":"2017-09-23","description":"","custom_fields":[{"id":1,"name":"Subdivision","value":"EC"},{"id":4,"name":"Milepost","value":"23.3274"},{"id":17,"name":"Train ID","value":"127-23"},{"id":16,"name":"Locomotive ID","value":"4002"},{"id":130,"name":"Impact","value":""},{"id":150,"name":"Time of Event (Mountain Time)","value":"07:36:00"},{"id":151,"name":"Denver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4002 --day 2017-09-23</v>
      </c>
      <c r="AN4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-23T05:57:18-0600',mode:absolute,to:'2017-09-23T08:36:00-0600'))&amp;_a=(columns:!('Message%20ID',Summary),filters:!(),index:'emp_*',interval:auto,query:(query_string:(analyze_wildcard:!t,query:'Message%5C+ID:(*)+AND+%22rtdc.l.rtdc.4002%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591</v>
      </c>
      <c r="B41" s="7">
        <v>4001</v>
      </c>
      <c r="C41" s="21" t="s">
        <v>196</v>
      </c>
      <c r="D41" s="21" t="s">
        <v>851</v>
      </c>
      <c r="E41" s="13">
        <v>43001.329594907409</v>
      </c>
      <c r="F41" s="13">
        <v>43001.331701388888</v>
      </c>
      <c r="G41" s="7">
        <v>52</v>
      </c>
      <c r="H41" s="21" t="s">
        <v>367</v>
      </c>
      <c r="I41" s="13">
        <v>43001.358518518522</v>
      </c>
      <c r="J41" s="7">
        <v>0</v>
      </c>
      <c r="K41" s="89" t="str">
        <f t="shared" si="0"/>
        <v>4001/4002</v>
      </c>
      <c r="L41" s="185" t="str">
        <f>VLOOKUP(A41,'Trips&amp;Operators'!$C$1:$G$99911,5,FALSE)</f>
        <v>MACDONALD THOMAS</v>
      </c>
      <c r="M41" s="6">
        <f t="shared" si="1"/>
        <v>2.6817129633855075E-2</v>
      </c>
      <c r="N41" s="7">
        <f t="shared" si="24"/>
        <v>38.616666672751307</v>
      </c>
      <c r="O41" s="7"/>
      <c r="P41" s="7"/>
      <c r="Q41" s="22"/>
      <c r="R41" s="174"/>
      <c r="S41" s="221">
        <f t="shared" si="25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-23T06:54:37-0600',mode:absolute,to:'2017-09-23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1" s="204" t="str">
        <f>IF(AA41&lt;VLOOKUP(AG41,Variables!$AC$3:$AD$8,2,FALSE),"Y","N")</f>
        <v>N</v>
      </c>
      <c r="X41" s="204">
        <f t="shared" si="27"/>
        <v>1</v>
      </c>
      <c r="Y41" s="204">
        <f t="shared" si="7"/>
        <v>23.294899999999998</v>
      </c>
      <c r="Z41" s="204">
        <f t="shared" si="8"/>
        <v>1.5599999999999999E-2</v>
      </c>
      <c r="AA41" s="204">
        <f t="shared" si="9"/>
        <v>23.279299999999999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128</v>
      </c>
      <c r="AE41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41" s="74" t="str">
        <f t="shared" si="12"/>
        <v>"C:\Program Files (x86)\AstroGrep\AstroGrep.exe" /e /r /s /spath="%USERPROFILE%\AppData\Local\Temp\OnboardLogs" /stypes="app*4001*20170923*"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128-23 --locoid 4001 --swversion DE.1.0.9.0 --startMP 204:232949 --initTime 2017-09-23T07:54:37 --startdatetime 2017-09-23T07:57:39 --delay 52 --endMP 204:156 --enddatetime 2017-09-23T08:36:16 --enforcementcount 0 &gt;&gt;c:\users\stu\Documents\GitHub\eaglep3-reporting\EC\2017-09-23-refined-times.txt</v>
      </c>
      <c r="AI4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ID","value":"128-23"},{"id":16,"name":"Locomotive ID","value":"4001"},{"id":130,"name":"Impact","value":""},{"id":150,"name":"Time of Event (Mountain Time)","value":"08:36:16"},{"id":151,"name":"Denver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4001 --day 2017-09-23</v>
      </c>
      <c r="AN4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-23T06:54:37-0600',mode:absolute,to:'2017-09-23T09:36:16-0600'))&amp;_a=(columns:!('Message%20ID',Summary),filters:!(),index:'emp_*',interval:auto,query:(query_string:(analyze_wildcard:!t,query:'Message%5C+ID:(*)+AND+%22rtdc.l.rtdc.4001%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669</v>
      </c>
      <c r="B42" s="7">
        <v>4046</v>
      </c>
      <c r="C42" s="21" t="s">
        <v>196</v>
      </c>
      <c r="D42" s="21" t="s">
        <v>852</v>
      </c>
      <c r="E42" s="13">
        <v>43001.301342592589</v>
      </c>
      <c r="F42" s="13">
        <v>43001.302858796298</v>
      </c>
      <c r="G42" s="7">
        <v>58</v>
      </c>
      <c r="H42" s="21" t="s">
        <v>558</v>
      </c>
      <c r="I42" s="13">
        <v>43001.327662037038</v>
      </c>
      <c r="J42" s="7">
        <v>0</v>
      </c>
      <c r="K42" s="89" t="str">
        <f t="shared" si="0"/>
        <v>4045/4046</v>
      </c>
      <c r="L42" s="185" t="str">
        <f>VLOOKUP(A42,'Trips&amp;Operators'!$C$1:$G$99911,5,FALSE)</f>
        <v>MOSES BRADLEY</v>
      </c>
      <c r="M42" s="6">
        <f t="shared" si="1"/>
        <v>2.4803240739856847E-2</v>
      </c>
      <c r="N42" s="7">
        <f t="shared" si="24"/>
        <v>35.716666665393859</v>
      </c>
      <c r="O42" s="7"/>
      <c r="P42" s="7"/>
      <c r="Q42" s="22"/>
      <c r="R42" s="174"/>
      <c r="S42" s="221">
        <f t="shared" si="25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-23T06:13:56-0600',mode:absolute,to:'2017-09-23T08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204" t="str">
        <f>IF(AA42&lt;VLOOKUP(AG42,Variables!$AC$3:$AD$8,2,FALSE),"Y","N")</f>
        <v>N</v>
      </c>
      <c r="X42" s="204">
        <f t="shared" si="27"/>
        <v>1</v>
      </c>
      <c r="Y42" s="204">
        <f t="shared" si="7"/>
        <v>4.9799999999999997E-2</v>
      </c>
      <c r="Z42" s="204">
        <f t="shared" si="8"/>
        <v>23.3307</v>
      </c>
      <c r="AA42" s="204">
        <f t="shared" si="9"/>
        <v>23.280899999999999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129</v>
      </c>
      <c r="AE42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42" s="74" t="str">
        <f t="shared" si="12"/>
        <v>"C:\Program Files (x86)\AstroGrep\AstroGrep.exe" /e /r /s /spath="%USERPROFILE%\AppData\Local\Temp\OnboardLogs" /stypes="app*4046*20170923*" /stext=" 13:.+((SYSTEM_STATE.+slice.+state.+changed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129-23 --locoid 4046 --swversion DE.1.0.9.0 --startMP 204:498 --initTime 2017-09-23T07:13:56 --startdatetime 2017-09-23T07:16:07 --delay 58 --endMP 204:233307 --enddatetime 2017-09-23T07:51:50 --enforcementcount 0 &gt;&gt;c:\users\stu\Documents\GitHub\eaglep3-reporting\EC\2017-09-23-refined-times.txt</v>
      </c>
      <c r="AI4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{"issue":{"subject":"","project_id":79,"tracker_id":40,"status_id":1,"priority_id":2,"assigned_to_id":338,"start_date":"2017-09-23","description":"","custom_fields":[{"id":1,"name":"Subdivision","value":"EC"},{"id":4,"name":"Milepost","value":"23.3307"},{"id":17,"name":"Train ID","value":"129-23"},{"id":16,"name":"Locomotive ID","value":"4046"},{"id":130,"name":"Impact","value":""},{"id":150,"name":"Time of Event (Mountain Time)","value":"07:51:50"},{"id":151,"name":"Denver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4046 --day 2017-09-23</v>
      </c>
      <c r="AN4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-23T06:13:56-0600',mode:absolute,to:'2017-09-23T08:51:50-0600'))&amp;_a=(columns:!('Message%20ID',Summary),filters:!(),index:'emp_*',interval:auto,query:(query_string:(analyze_wildcard:!t,query:'Message%5C+ID:(*)+AND+%22rtdc.l.rtdc.4046%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675</v>
      </c>
      <c r="B43" s="7">
        <v>4045</v>
      </c>
      <c r="C43" s="21" t="s">
        <v>196</v>
      </c>
      <c r="D43" s="21" t="s">
        <v>833</v>
      </c>
      <c r="E43" s="13">
        <v>43001.336944444447</v>
      </c>
      <c r="F43" s="13">
        <v>43001.341898148145</v>
      </c>
      <c r="G43" s="7">
        <v>59</v>
      </c>
      <c r="H43" s="21" t="s">
        <v>379</v>
      </c>
      <c r="I43" s="13">
        <v>43001.369340277779</v>
      </c>
      <c r="J43" s="7">
        <v>0</v>
      </c>
      <c r="K43" s="89" t="str">
        <f t="shared" si="0"/>
        <v>4045/4046</v>
      </c>
      <c r="L43" s="185" t="str">
        <f>VLOOKUP(A43,'Trips&amp;Operators'!$C$1:$G$99911,5,FALSE)</f>
        <v>MOSES BRADLEY</v>
      </c>
      <c r="M43" s="6">
        <f t="shared" si="1"/>
        <v>2.7442129634437151E-2</v>
      </c>
      <c r="N43" s="7">
        <f t="shared" si="24"/>
        <v>39.516666673589498</v>
      </c>
      <c r="O43" s="7"/>
      <c r="P43" s="7"/>
      <c r="Q43" s="22"/>
      <c r="R43" s="174"/>
      <c r="S43" s="221">
        <f t="shared" si="25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-23T07:05:12-0600',mode:absolute,to:'2017-09-23T09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204" t="str">
        <f>IF(AA43&lt;VLOOKUP(AG43,Variables!$AC$3:$AD$8,2,FALSE),"Y","N")</f>
        <v>N</v>
      </c>
      <c r="X43" s="204">
        <f t="shared" si="27"/>
        <v>1</v>
      </c>
      <c r="Y43" s="204">
        <f t="shared" si="7"/>
        <v>23.296700000000001</v>
      </c>
      <c r="Z43" s="204">
        <f t="shared" si="8"/>
        <v>1.5800000000000002E-2</v>
      </c>
      <c r="AA43" s="204">
        <f t="shared" si="9"/>
        <v>23.280900000000003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130</v>
      </c>
      <c r="AE43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43" s="74" t="str">
        <f t="shared" si="12"/>
        <v>"C:\Program Files (x86)\AstroGrep\AstroGrep.exe" /e /r /s /spath="%USERPROFILE%\AppData\Local\Temp\OnboardLogs" /stypes="app*4045*20170923*"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130-23 --locoid 4045 --swversion DE.1.0.9.0 --startMP 204:232967 --initTime 2017-09-23T08:05:12 --startdatetime 2017-09-23T08:12:20 --delay 59 --endMP 204:158 --enddatetime 2017-09-23T08:51:51 --enforcementcount 0 &gt;&gt;c:\users\stu\Documents\GitHub\eaglep3-reporting\EC\2017-09-23-refined-times.txt</v>
      </c>
      <c r="AI4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ID","value":"130-23"},{"id":16,"name":"Locomotive ID","value":"4045"},{"id":130,"name":"Impact","value":""},{"id":150,"name":"Time of Event (Mountain Time)","value":"08:51:51"},{"id":151,"name":"Denver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4045 --day 2017-09-23</v>
      </c>
      <c r="AN4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-23T07:05:12-0600',mode:absolute,to:'2017-09-23T09:51:51-0600'))&amp;_a=(columns:!('Message%20ID',Summary),filters:!(),index:'emp_*',interval:auto,query:(query_string:(analyze_wildcard:!t,query:'Message%5C+ID:(*)+AND+%22rtdc.l.rtdc.4045%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670</v>
      </c>
      <c r="B44" s="7">
        <v>4058</v>
      </c>
      <c r="C44" s="21" t="s">
        <v>196</v>
      </c>
      <c r="D44" s="21" t="s">
        <v>417</v>
      </c>
      <c r="E44" s="13">
        <v>43001.308958333335</v>
      </c>
      <c r="F44" s="13">
        <v>43001.312662037039</v>
      </c>
      <c r="G44" s="7">
        <v>107</v>
      </c>
      <c r="H44" s="21" t="s">
        <v>442</v>
      </c>
      <c r="I44" s="13">
        <v>43001.337673611109</v>
      </c>
      <c r="J44" s="7">
        <v>0</v>
      </c>
      <c r="K44" s="89" t="str">
        <f t="shared" si="0"/>
        <v>4057/4058</v>
      </c>
      <c r="L44" s="185" t="str">
        <f>VLOOKUP(A44,'Trips&amp;Operators'!$C$1:$G$99911,5,FALSE)</f>
        <v>WILLIAMS DONTE</v>
      </c>
      <c r="M44" s="6">
        <f t="shared" si="1"/>
        <v>2.5011574070958886E-2</v>
      </c>
      <c r="N44" s="7">
        <f t="shared" si="24"/>
        <v>36.016666662180796</v>
      </c>
      <c r="O44" s="7"/>
      <c r="P44" s="7"/>
      <c r="Q44" s="22"/>
      <c r="R44" s="174"/>
      <c r="S44" s="221">
        <f t="shared" si="25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-23T06:24:54-0600',mode:absolute,to:'2017-09-23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4" s="204" t="str">
        <f>IF(AA44&lt;VLOOKUP(AG44,Variables!$AC$3:$AD$8,2,FALSE),"Y","N")</f>
        <v>N</v>
      </c>
      <c r="X44" s="204">
        <f t="shared" si="27"/>
        <v>1</v>
      </c>
      <c r="Y44" s="204">
        <f t="shared" si="7"/>
        <v>4.7300000000000002E-2</v>
      </c>
      <c r="Z44" s="204">
        <f t="shared" si="8"/>
        <v>23.331700000000001</v>
      </c>
      <c r="AA44" s="204">
        <f t="shared" si="9"/>
        <v>23.284400000000002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131</v>
      </c>
      <c r="AE44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44" s="74" t="str">
        <f t="shared" si="12"/>
        <v>"C:\Program Files (x86)\AstroGrep\AstroGrep.exe" /e /r /s /spath="%USERPROFILE%\AppData\Local\Temp\OnboardLogs" /stypes="app*4058*20170923*"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131-23 --locoid 4058 --swversion DE.1.0.9.0 --startMP 204:473 --initTime 2017-09-23T07:24:54 --startdatetime 2017-09-23T07:30:14 --delay 107 --endMP 204:233317 --enddatetime 2017-09-23T08:06:15 --enforcementcount 0 &gt;&gt;c:\users\stu\Documents\GitHub\eaglep3-reporting\EC\2017-09-23-refined-times.txt</v>
      </c>
      <c r="AI4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{"issue":{"subject":"","project_id":79,"tracker_id":40,"status_id":1,"priority_id":2,"assigned_to_id":338,"start_date":"2017-09-23","description":"","custom_fields":[{"id":1,"name":"Subdivision","value":"EC"},{"id":4,"name":"Milepost","value":"23.3317"},{"id":17,"name":"Train ID","value":"131-23"},{"id":16,"name":"Locomotive ID","value":"4058"},{"id":130,"name":"Impact","value":""},{"id":150,"name":"Time of Event (Mountain Time)","value":"08:06:15"},{"id":151,"name":"Denver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4058 --day 2017-09-23</v>
      </c>
      <c r="AN4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-23T06:24:54-0600',mode:absolute,to:'2017-09-23T09:06:15-0600'))&amp;_a=(columns:!('Message%20ID',Summary),filters:!(),index:'emp_*',interval:auto,query:(query_string:(analyze_wildcard:!t,query:'Message%5C+ID:(*)+AND+%22rtdc.l.rtdc.4058%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677</v>
      </c>
      <c r="B45" s="7">
        <v>4057</v>
      </c>
      <c r="C45" s="21" t="s">
        <v>196</v>
      </c>
      <c r="D45" s="21" t="s">
        <v>462</v>
      </c>
      <c r="E45" s="13">
        <v>43001.346458333333</v>
      </c>
      <c r="F45" s="13">
        <v>43001.352268518516</v>
      </c>
      <c r="G45" s="7">
        <v>119</v>
      </c>
      <c r="H45" s="21" t="s">
        <v>367</v>
      </c>
      <c r="I45" s="13">
        <v>43001.378483796296</v>
      </c>
      <c r="J45" s="7">
        <v>0</v>
      </c>
      <c r="K45" s="89" t="str">
        <f t="shared" si="0"/>
        <v>4057/4058</v>
      </c>
      <c r="L45" s="185" t="str">
        <f>VLOOKUP(A45,'Trips&amp;Operators'!$C$1:$G$99911,5,FALSE)</f>
        <v>WILLIAMS DONTE</v>
      </c>
      <c r="M45" s="6">
        <f t="shared" si="1"/>
        <v>2.6215277779556345E-2</v>
      </c>
      <c r="N45" s="7">
        <f t="shared" si="24"/>
        <v>37.750000002561137</v>
      </c>
      <c r="O45" s="7"/>
      <c r="P45" s="7"/>
      <c r="Q45" s="22"/>
      <c r="R45" s="174"/>
      <c r="S45" s="221">
        <f t="shared" si="25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-23T07:18:54-0600',mode:absolute,to:'2017-09-23T10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5" s="204" t="str">
        <f>IF(AA45&lt;VLOOKUP(AG45,Variables!$AC$3:$AD$8,2,FALSE),"Y","N")</f>
        <v>N</v>
      </c>
      <c r="X45" s="204">
        <f t="shared" si="27"/>
        <v>1</v>
      </c>
      <c r="Y45" s="204">
        <f t="shared" ref="Y45:Y76" si="28">RIGHT(D45,LEN(D45)-4)/10000</f>
        <v>23.300799999999999</v>
      </c>
      <c r="Z45" s="204">
        <f t="shared" ref="Z45:Z76" si="29">RIGHT(H45,LEN(H45)-4)/10000</f>
        <v>1.5599999999999999E-2</v>
      </c>
      <c r="AA45" s="204">
        <f t="shared" si="9"/>
        <v>23.2852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132</v>
      </c>
      <c r="AE45" s="77" t="str">
        <f t="shared" si="11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45" s="74" t="str">
        <f t="shared" si="12"/>
        <v>"C:\Program Files (x86)\AstroGrep\AstroGrep.exe" /e /r /s /spath="%USERPROFILE%\AppData\Local\Temp\OnboardLogs" /stypes="app*4057*20170923*"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132-23 --locoid 4057 --swversion DE.1.0.9.0 --startMP 204:233008 --initTime 2017-09-23T08:18:54 --startdatetime 2017-09-23T08:27:16 --delay 119 --endMP 204:156 --enddatetime 2017-09-23T09:05:01 --enforcementcount 0 &gt;&gt;c:\users\stu\Documents\GitHub\eaglep3-reporting\EC\2017-09-23-refined-times.txt</v>
      </c>
      <c r="AI4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ID","value":"132-23"},{"id":16,"name":"Locomotive ID","value":"4057"},{"id":130,"name":"Impact","value":""},{"id":150,"name":"Time of Event (Mountain Time)","value":"09:05:01"},{"id":151,"name":"Denver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4057 --day 2017-09-23</v>
      </c>
      <c r="AN4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-23T07:18:54-0600',mode:absolute,to:'2017-09-23T10:05:01-0600'))&amp;_a=(columns:!('Message%20ID',Summary),filters:!(),index:'emp_*',interval:auto,query:(query_string:(analyze_wildcard:!t,query:'Message%5C+ID:(*)+AND+%22rtdc.l.rtdc.4057%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672</v>
      </c>
      <c r="B46" s="7">
        <v>4010</v>
      </c>
      <c r="C46" s="21" t="s">
        <v>196</v>
      </c>
      <c r="D46" s="21" t="s">
        <v>408</v>
      </c>
      <c r="E46" s="13">
        <v>43001.318124999998</v>
      </c>
      <c r="F46" s="13">
        <v>43001.32309027778</v>
      </c>
      <c r="G46" s="7">
        <v>82</v>
      </c>
      <c r="H46" s="21" t="s">
        <v>461</v>
      </c>
      <c r="I46" s="13">
        <v>43001.347129629627</v>
      </c>
      <c r="J46" s="7">
        <v>0</v>
      </c>
      <c r="K46" s="89" t="str">
        <f t="shared" si="0"/>
        <v>4009/4010</v>
      </c>
      <c r="L46" s="185" t="str">
        <f>VLOOKUP(A46,'Trips&amp;Operators'!$C$1:$G$99911,5,FALSE)</f>
        <v>PAGE MARCUS</v>
      </c>
      <c r="M46" s="6">
        <f t="shared" si="1"/>
        <v>2.4039351847022772E-2</v>
      </c>
      <c r="N46" s="7">
        <f t="shared" si="24"/>
        <v>34.616666659712791</v>
      </c>
      <c r="O46" s="7"/>
      <c r="P46" s="7"/>
      <c r="Q46" s="22"/>
      <c r="R46" s="174"/>
      <c r="S46" s="221">
        <f t="shared" si="25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-23T06:38:06-0600',mode:absolute,to:'2017-09-23T09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6" s="204" t="str">
        <f>IF(AA46&lt;VLOOKUP(AG46,Variables!$AC$3:$AD$8,2,FALSE),"Y","N")</f>
        <v>N</v>
      </c>
      <c r="X46" s="204">
        <f t="shared" si="27"/>
        <v>1</v>
      </c>
      <c r="Y46" s="204">
        <f t="shared" si="28"/>
        <v>4.4699999999999997E-2</v>
      </c>
      <c r="Z46" s="204">
        <f t="shared" si="29"/>
        <v>23.328600000000002</v>
      </c>
      <c r="AA46" s="204">
        <f t="shared" si="9"/>
        <v>23.283900000000003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133</v>
      </c>
      <c r="AE46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46" s="74" t="str">
        <f t="shared" si="12"/>
        <v>"C:\Program Files (x86)\AstroGrep\AstroGrep.exe" /e /r /s /spath="%USERPROFILE%\AppData\Local\Temp\OnboardLogs" /stypes="app*4010*20170923*"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133-23 --locoid 4010 --swversion DE.1.0.9.0 --startMP 204:447 --initTime 2017-09-23T07:38:06 --startdatetime 2017-09-23T07:45:15 --delay 82 --endMP 204:233286 --enddatetime 2017-09-23T08:19:52 --enforcementcount 0 &gt;&gt;c:\users\stu\Documents\GitHub\eaglep3-reporting\EC\2017-09-23-refined-times.txt</v>
      </c>
      <c r="AI4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{"issue":{"subject":"","project_id":79,"tracker_id":40,"status_id":1,"priority_id":2,"assigned_to_id":338,"start_date":"2017-09-23","description":"","custom_fields":[{"id":1,"name":"Subdivision","value":"EC"},{"id":4,"name":"Milepost","value":"23.3286"},{"id":17,"name":"Train ID","value":"133-23"},{"id":16,"name":"Locomotive ID","value":"4010"},{"id":130,"name":"Impact","value":""},{"id":150,"name":"Time of Event (Mountain Time)","value":"08:19:52"},{"id":151,"name":"Denver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4010 --day 2017-09-23</v>
      </c>
      <c r="AN4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-23T06:38:06-0600',mode:absolute,to:'2017-09-23T09:19:52-0600'))&amp;_a=(columns:!('Message%20ID',Summary),filters:!(),index:'emp_*',interval:auto,query:(query_string:(analyze_wildcard:!t,query:'Message%5C+ID:(*)+AND+%22rtdc.l.rtdc.4010%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680</v>
      </c>
      <c r="B47" s="7">
        <v>4009</v>
      </c>
      <c r="C47" s="21" t="s">
        <v>196</v>
      </c>
      <c r="D47" s="21" t="s">
        <v>410</v>
      </c>
      <c r="E47" s="13">
        <v>43001.359085648146</v>
      </c>
      <c r="F47" s="13">
        <v>43001.362685185188</v>
      </c>
      <c r="G47" s="7">
        <v>58</v>
      </c>
      <c r="H47" s="21" t="s">
        <v>363</v>
      </c>
      <c r="I47" s="13">
        <v>43001.388379629629</v>
      </c>
      <c r="J47" s="7">
        <v>0</v>
      </c>
      <c r="K47" s="89" t="str">
        <f t="shared" si="0"/>
        <v>4009/4010</v>
      </c>
      <c r="L47" s="185" t="str">
        <f>VLOOKUP(A47,'Trips&amp;Operators'!$C$1:$G$99911,5,FALSE)</f>
        <v>PAGE MARCUS</v>
      </c>
      <c r="M47" s="6">
        <f t="shared" si="1"/>
        <v>2.569444444088731E-2</v>
      </c>
      <c r="N47" s="7">
        <f t="shared" si="24"/>
        <v>36.999999994877726</v>
      </c>
      <c r="O47" s="7"/>
      <c r="P47" s="7"/>
      <c r="Q47" s="22"/>
      <c r="R47" s="174"/>
      <c r="S47" s="221">
        <f t="shared" si="25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-23T07:37:05-0600',mode:absolute,to:'2017-09-23T10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7" s="204" t="str">
        <f>IF(AA47&lt;VLOOKUP(AG47,Variables!$AC$3:$AD$8,2,FALSE),"Y","N")</f>
        <v>N</v>
      </c>
      <c r="X47" s="204">
        <f t="shared" si="27"/>
        <v>1</v>
      </c>
      <c r="Y47" s="204">
        <f t="shared" si="28"/>
        <v>23.297799999999999</v>
      </c>
      <c r="Z47" s="204">
        <f t="shared" si="29"/>
        <v>1.38E-2</v>
      </c>
      <c r="AA47" s="204">
        <f t="shared" si="9"/>
        <v>23.283999999999999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134</v>
      </c>
      <c r="AE47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47" s="74" t="str">
        <f t="shared" si="12"/>
        <v>"C:\Program Files (x86)\AstroGrep\AstroGrep.exe" /e /r /s /spath="%USERPROFILE%\AppData\Local\Temp\OnboardLogs" /stypes="app*4009*20170923*"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134-23 --locoid 4009 --swversion DE.1.0.9.0 --startMP 204:232978 --initTime 2017-09-23T08:37:05 --startdatetime 2017-09-23T08:42:16 --delay 58 --endMP 204:138 --enddatetime 2017-09-23T09:19:16 --enforcementcount 0 &gt;&gt;c:\users\stu\Documents\GitHub\eaglep3-reporting\EC\2017-09-23-refined-times.txt</v>
      </c>
      <c r="AI4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{"issue":{"subject":"","project_id":79,"tracker_id":40,"status_id":1,"priority_id":2,"assigned_to_id":338,"start_date":"2017-09-23","description":"","custom_fields":[{"id":1,"name":"Subdivision","value":"EC"},{"id":4,"name":"Milepost","value":"0.0138"},{"id":17,"name":"Train ID","value":"134-23"},{"id":16,"name":"Locomotive ID","value":"4009"},{"id":130,"name":"Impact","value":""},{"id":150,"name":"Time of Event (Mountain Time)","value":"09:19:16"},{"id":151,"name":"Denver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4009 --day 2017-09-23</v>
      </c>
      <c r="AN4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-23T07:37:05-0600',mode:absolute,to:'2017-09-23T10:19:16-0600'))&amp;_a=(columns:!('Message%20ID',Summary),filters:!(),index:'emp_*',interval:auto,query:(query_string:(analyze_wildcard:!t,query:'Message%5C+ID:(*)+AND+%22rtdc.l.rtdc.4009%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674</v>
      </c>
      <c r="B48" s="7">
        <v>4028</v>
      </c>
      <c r="C48" s="21" t="s">
        <v>196</v>
      </c>
      <c r="D48" s="21" t="s">
        <v>417</v>
      </c>
      <c r="E48" s="13">
        <v>43001.329340277778</v>
      </c>
      <c r="F48" s="13">
        <v>43001.33353009259</v>
      </c>
      <c r="G48" s="7">
        <v>79</v>
      </c>
      <c r="H48" s="21" t="s">
        <v>562</v>
      </c>
      <c r="I48" s="13">
        <v>43001.358773148146</v>
      </c>
      <c r="J48" s="7">
        <v>0</v>
      </c>
      <c r="K48" s="89" t="str">
        <f t="shared" si="0"/>
        <v>4027/4028</v>
      </c>
      <c r="L48" s="185" t="str">
        <f>VLOOKUP(A48,'Trips&amp;Operators'!$C$1:$G$99911,5,FALSE)</f>
        <v>GEBRETEKLE DAGNEW</v>
      </c>
      <c r="M48" s="6">
        <f t="shared" si="1"/>
        <v>2.5243055555620231E-2</v>
      </c>
      <c r="N48" s="7">
        <f t="shared" si="24"/>
        <v>36.350000000093132</v>
      </c>
      <c r="O48" s="7"/>
      <c r="P48" s="7"/>
      <c r="Q48" s="22"/>
      <c r="R48" s="174"/>
      <c r="S48" s="221">
        <f t="shared" si="25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-23T06:54:15-0600',mode:absolute,to:'2017-09-23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204" t="str">
        <f>IF(AA48&lt;VLOOKUP(AG48,Variables!$AC$3:$AD$8,2,FALSE),"Y","N")</f>
        <v>N</v>
      </c>
      <c r="X48" s="204">
        <f t="shared" si="27"/>
        <v>1</v>
      </c>
      <c r="Y48" s="204">
        <f t="shared" si="28"/>
        <v>4.7300000000000002E-2</v>
      </c>
      <c r="Z48" s="204">
        <f t="shared" si="29"/>
        <v>23.333400000000001</v>
      </c>
      <c r="AA48" s="204">
        <f t="shared" si="9"/>
        <v>23.286100000000001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135</v>
      </c>
      <c r="AE48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48" s="74" t="str">
        <f t="shared" si="12"/>
        <v>"C:\Program Files (x86)\AstroGrep\AstroGrep.exe" /e /r /s /spath="%USERPROFILE%\AppData\Local\Temp\OnboardLogs" /stypes="app*4028*20170923*"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135-23 --locoid 4028 --swversion DE.1.0.9.0 --startMP 204:473 --initTime 2017-09-23T07:54:15 --startdatetime 2017-09-23T08:00:17 --delay 79 --endMP 204:233334 --enddatetime 2017-09-23T08:36:38 --enforcementcount 0 &gt;&gt;c:\users\stu\Documents\GitHub\eaglep3-reporting\EC\2017-09-23-refined-times.txt</v>
      </c>
      <c r="AI4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{"issue":{"subject":"","project_id":79,"tracker_id":40,"status_id":1,"priority_id":2,"assigned_to_id":338,"start_date":"2017-09-23","description":"","custom_fields":[{"id":1,"name":"Subdivision","value":"EC"},{"id":4,"name":"Milepost","value":"23.3334"},{"id":17,"name":"Train ID","value":"135-23"},{"id":16,"name":"Locomotive ID","value":"4028"},{"id":130,"name":"Impact","value":""},{"id":150,"name":"Time of Event (Mountain Time)","value":"08:36:38"},{"id":151,"name":"Denver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4028 --day 2017-09-23</v>
      </c>
      <c r="AN4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-23T06:54:15-0600',mode:absolute,to:'2017-09-23T09:36:38-0600'))&amp;_a=(columns:!('Message%20ID',Summary),filters:!(),index:'emp_*',interval:auto,query:(query_string:(analyze_wildcard:!t,query:'Message%5C+ID:(*)+AND+%22rtdc.l.rtdc.4028%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681</v>
      </c>
      <c r="B49" s="7">
        <v>4027</v>
      </c>
      <c r="C49" s="21" t="s">
        <v>196</v>
      </c>
      <c r="D49" s="21" t="s">
        <v>429</v>
      </c>
      <c r="E49" s="13">
        <v>43001.360289351855</v>
      </c>
      <c r="F49" s="13">
        <v>43001.37327546296</v>
      </c>
      <c r="G49" s="7">
        <v>64</v>
      </c>
      <c r="H49" s="21" t="s">
        <v>379</v>
      </c>
      <c r="I49" s="13">
        <v>43001.399270833332</v>
      </c>
      <c r="J49" s="7">
        <v>0</v>
      </c>
      <c r="K49" s="89" t="str">
        <f t="shared" si="0"/>
        <v>4027/4028</v>
      </c>
      <c r="L49" s="185" t="str">
        <f>VLOOKUP(A49,'Trips&amp;Operators'!$C$1:$G$99911,5,FALSE)</f>
        <v>GEBRETEKLE DAGNEW</v>
      </c>
      <c r="M49" s="6">
        <f t="shared" si="1"/>
        <v>2.5995370371674653E-2</v>
      </c>
      <c r="N49" s="7">
        <f t="shared" si="24"/>
        <v>37.433333335211501</v>
      </c>
      <c r="O49" s="7"/>
      <c r="P49" s="7"/>
      <c r="Q49" s="22"/>
      <c r="R49" s="174"/>
      <c r="S49" s="221">
        <f t="shared" si="25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-23T07:38:49-0600',mode:absolute,to:'2017-09-23T10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9" s="204" t="str">
        <f>IF(AA49&lt;VLOOKUP(AG49,Variables!$AC$3:$AD$8,2,FALSE),"Y","N")</f>
        <v>N</v>
      </c>
      <c r="X49" s="204">
        <f t="shared" si="27"/>
        <v>1</v>
      </c>
      <c r="Y49" s="204">
        <f t="shared" si="28"/>
        <v>23.300599999999999</v>
      </c>
      <c r="Z49" s="204">
        <f t="shared" si="29"/>
        <v>1.5800000000000002E-2</v>
      </c>
      <c r="AA49" s="204">
        <f t="shared" si="9"/>
        <v>23.284800000000001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136</v>
      </c>
      <c r="AE49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49" s="74" t="str">
        <f t="shared" si="12"/>
        <v>"C:\Program Files (x86)\AstroGrep\AstroGrep.exe" /e /r /s /spath="%USERPROFILE%\AppData\Local\Temp\OnboardLogs" /stypes="app*4027*20170923*"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136-23 --locoid 4027 --swversion DE.1.0.9.0 --startMP 204:233006 --initTime 2017-09-23T08:38:49 --startdatetime 2017-09-23T08:57:31 --delay 64 --endMP 204:158 --enddatetime 2017-09-23T09:34:57 --enforcementcount 0 &gt;&gt;c:\users\stu\Documents\GitHub\eaglep3-reporting\EC\2017-09-23-refined-times.txt</v>
      </c>
      <c r="AI49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ID","value":"136-23"},{"id":16,"name":"Locomotive ID","value":"4027"},{"id":130,"name":"Impact","value":""},{"id":150,"name":"Time of Event (Mountain Time)","value":"09:34:57"},{"id":151,"name":"Denver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4027 --day 2017-09-23</v>
      </c>
      <c r="AN49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-23T07:38:49-0600',mode:absolute,to:'2017-09-23T10:34:57-0600'))&amp;_a=(columns:!('Message%20ID',Summary),filters:!(),index:'emp_*',interval:auto,query:(query_string:(analyze_wildcard:!t,query:'Message%5C+ID:(*)+AND+%22rtdc.l.rtdc.4027%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676</v>
      </c>
      <c r="B50" s="7">
        <v>4024</v>
      </c>
      <c r="C50" s="21" t="s">
        <v>196</v>
      </c>
      <c r="D50" s="21" t="s">
        <v>347</v>
      </c>
      <c r="E50" s="13">
        <v>43001.339618055557</v>
      </c>
      <c r="F50" s="13">
        <v>43001.343923611108</v>
      </c>
      <c r="G50" s="7">
        <v>54</v>
      </c>
      <c r="H50" s="21" t="s">
        <v>853</v>
      </c>
      <c r="I50" s="13">
        <v>43001.368703703702</v>
      </c>
      <c r="J50" s="7">
        <v>0</v>
      </c>
      <c r="K50" s="89" t="str">
        <f t="shared" si="0"/>
        <v>4023/4024</v>
      </c>
      <c r="L50" s="185" t="str">
        <f>VLOOKUP(A50,'Trips&amp;Operators'!$C$1:$G$99911,5,FALSE)</f>
        <v>HUFFSMITH MONTY</v>
      </c>
      <c r="M50" s="6">
        <f t="shared" si="1"/>
        <v>2.4780092593573499E-2</v>
      </c>
      <c r="N50" s="7">
        <f t="shared" si="24"/>
        <v>35.683333334745839</v>
      </c>
      <c r="O50" s="7"/>
      <c r="P50" s="7"/>
      <c r="Q50" s="22"/>
      <c r="R50" s="174"/>
      <c r="S50" s="221">
        <f t="shared" si="25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-23T07:09:03-0600',mode:absolute,to:'2017-09-23T09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0" s="204" t="str">
        <f>IF(AA50&lt;VLOOKUP(AG50,Variables!$AC$3:$AD$8,2,FALSE),"Y","N")</f>
        <v>N</v>
      </c>
      <c r="X50" s="204">
        <f t="shared" si="27"/>
        <v>1</v>
      </c>
      <c r="Y50" s="204">
        <f t="shared" si="28"/>
        <v>4.5499999999999999E-2</v>
      </c>
      <c r="Z50" s="204">
        <f t="shared" si="29"/>
        <v>23.334700000000002</v>
      </c>
      <c r="AA50" s="204">
        <f t="shared" si="9"/>
        <v>23.289200000000001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137</v>
      </c>
      <c r="AE50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50" s="74" t="str">
        <f t="shared" si="12"/>
        <v>"C:\Program Files (x86)\AstroGrep\AstroGrep.exe" /e /r /s /spath="%USERPROFILE%\AppData\Local\Temp\OnboardLogs" /stypes="app*4024*20170923*" /stext=" 14:.+((SYSTEM_STATE.+slice.+state.+changed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137-23 --locoid 4024 --swversion DE.1.0.9.0 --startMP 204:455 --initTime 2017-09-23T08:09:03 --startdatetime 2017-09-23T08:15:15 --delay 54 --endMP 204:233347 --enddatetime 2017-09-23T08:50:56 --enforcementcount 0 &gt;&gt;c:\users\stu\Documents\GitHub\eaglep3-reporting\EC\2017-09-23-refined-times.txt</v>
      </c>
      <c r="AI5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{"issue":{"subject":"","project_id":79,"tracker_id":40,"status_id":1,"priority_id":2,"assigned_to_id":338,"start_date":"2017-09-23","description":"","custom_fields":[{"id":1,"name":"Subdivision","value":"EC"},{"id":4,"name":"Milepost","value":"23.3347"},{"id":17,"name":"Train ID","value":"137-23"},{"id":16,"name":"Locomotive ID","value":"4024"},{"id":130,"name":"Impact","value":""},{"id":150,"name":"Time of Event (Mountain Time)","value":"08:50:56"},{"id":151,"name":"Denver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4024 --day 2017-09-23</v>
      </c>
      <c r="AN5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-23T07:09:03-0600',mode:absolute,to:'2017-09-23T09:50:56-0600'))&amp;_a=(columns:!('Message%20ID',Summary),filters:!(),index:'emp_*',interval:auto,query:(query_string:(analyze_wildcard:!t,query:'Message%5C+ID:(*)+AND+%22rtdc.l.rtdc.4024%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685</v>
      </c>
      <c r="B51" s="7">
        <v>4023</v>
      </c>
      <c r="C51" s="21" t="s">
        <v>196</v>
      </c>
      <c r="D51" s="21" t="s">
        <v>854</v>
      </c>
      <c r="E51" s="13">
        <v>43001.379224537035</v>
      </c>
      <c r="F51" s="13">
        <v>43001.38354166667</v>
      </c>
      <c r="G51" s="7">
        <v>51</v>
      </c>
      <c r="H51" s="21" t="s">
        <v>341</v>
      </c>
      <c r="I51" s="13">
        <v>43001.41097222222</v>
      </c>
      <c r="J51" s="7">
        <v>0</v>
      </c>
      <c r="K51" s="89" t="str">
        <f t="shared" si="0"/>
        <v>4023/4024</v>
      </c>
      <c r="L51" s="185" t="str">
        <f>VLOOKUP(A51,'Trips&amp;Operators'!$C$1:$G$99911,5,FALSE)</f>
        <v>HUFFSMITH MONTY</v>
      </c>
      <c r="M51" s="6">
        <f t="shared" si="1"/>
        <v>2.7430555550381541E-2</v>
      </c>
      <c r="N51" s="7">
        <f t="shared" si="24"/>
        <v>39.499999992549419</v>
      </c>
      <c r="O51" s="7"/>
      <c r="P51" s="7"/>
      <c r="Q51" s="22"/>
      <c r="R51" s="174"/>
      <c r="S51" s="221">
        <f t="shared" si="25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-23T08:06:05-0600',mode:absolute,to:'2017-09-23T10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1" s="204" t="str">
        <f>IF(AA51&lt;VLOOKUP(AG51,Variables!$AC$3:$AD$8,2,FALSE),"Y","N")</f>
        <v>N</v>
      </c>
      <c r="X51" s="204">
        <f t="shared" si="27"/>
        <v>1</v>
      </c>
      <c r="Y51" s="204">
        <f t="shared" si="28"/>
        <v>23.300699999999999</v>
      </c>
      <c r="Z51" s="204">
        <f t="shared" si="29"/>
        <v>1.47E-2</v>
      </c>
      <c r="AA51" s="204">
        <f t="shared" si="9"/>
        <v>23.285999999999998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138</v>
      </c>
      <c r="AE51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51" s="74" t="str">
        <f t="shared" si="12"/>
        <v>"C:\Program Files (x86)\AstroGrep\AstroGrep.exe" /e /r /s /spath="%USERPROFILE%\AppData\Local\Temp\OnboardLogs" /stypes="app*4023*20170923*"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138-23 --locoid 4023 --swversion DE.1.0.9.0 --startMP 204:233007 --initTime 2017-09-23T09:06:05 --startdatetime 2017-09-23T09:12:18 --delay 51 --endMP 204:147 --enddatetime 2017-09-23T09:51:48 --enforcementcount 0 &gt;&gt;c:\users\stu\Documents\GitHub\eaglep3-reporting\EC\2017-09-23-refined-times.txt</v>
      </c>
      <c r="AI51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{"issue":{"subject":"","project_id":79,"tracker_id":40,"status_id":1,"priority_id":2,"assigned_to_id":338,"start_date":"2017-09-23","description":"","custom_fields":[{"id":1,"name":"Subdivision","value":"EC"},{"id":4,"name":"Milepost","value":"0.0147"},{"id":17,"name":"Train ID","value":"138-23"},{"id":16,"name":"Locomotive ID","value":"4023"},{"id":130,"name":"Impact","value":""},{"id":150,"name":"Time of Event (Mountain Time)","value":"09:51:48"},{"id":151,"name":"Denver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4023 --day 2017-09-23</v>
      </c>
      <c r="AN51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-23T08:06:05-0600',mode:absolute,to:'2017-09-23T10:51:48-0600'))&amp;_a=(columns:!('Message%20ID',Summary),filters:!(),index:'emp_*',interval:auto,query:(query_string:(analyze_wildcard:!t,query:'Message%5C+ID:(*)+AND+%22rtdc.l.rtdc.4023%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678</v>
      </c>
      <c r="B52" s="7">
        <v>4040</v>
      </c>
      <c r="C52" s="21" t="s">
        <v>196</v>
      </c>
      <c r="D52" s="21" t="s">
        <v>405</v>
      </c>
      <c r="E52" s="13">
        <v>43001.350949074076</v>
      </c>
      <c r="F52" s="13">
        <v>43001.354548611111</v>
      </c>
      <c r="G52" s="7">
        <v>51</v>
      </c>
      <c r="H52" s="21" t="s">
        <v>423</v>
      </c>
      <c r="I52" s="13">
        <v>43001.380196759259</v>
      </c>
      <c r="J52" s="7">
        <v>0</v>
      </c>
      <c r="K52" s="89" t="str">
        <f t="shared" si="0"/>
        <v>4039/4040</v>
      </c>
      <c r="L52" s="185" t="str">
        <f>VLOOKUP(A52,'Trips&amp;Operators'!$C$1:$G$99911,5,FALSE)</f>
        <v>THOMPSON LESTER</v>
      </c>
      <c r="M52" s="6">
        <f t="shared" si="1"/>
        <v>2.5648148148320615E-2</v>
      </c>
      <c r="N52" s="7">
        <f t="shared" si="24"/>
        <v>36.933333333581686</v>
      </c>
      <c r="O52" s="7"/>
      <c r="P52" s="7"/>
      <c r="Q52" s="22"/>
      <c r="R52" s="174"/>
      <c r="S52" s="221">
        <f t="shared" si="25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-23T07:25:22-0600',mode:absolute,to:'2017-09-23T10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2" s="204" t="str">
        <f>IF(AA52&lt;VLOOKUP(AG52,Variables!$AC$3:$AD$8,2,FALSE),"Y","N")</f>
        <v>N</v>
      </c>
      <c r="X52" s="204">
        <f t="shared" si="27"/>
        <v>1</v>
      </c>
      <c r="Y52" s="204">
        <f t="shared" si="28"/>
        <v>4.3700000000000003E-2</v>
      </c>
      <c r="Z52" s="204">
        <f t="shared" si="29"/>
        <v>23.3325</v>
      </c>
      <c r="AA52" s="204">
        <f t="shared" si="9"/>
        <v>23.288799999999998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139</v>
      </c>
      <c r="AE52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52" s="74" t="str">
        <f t="shared" si="12"/>
        <v>"C:\Program Files (x86)\AstroGrep\AstroGrep.exe" /e /r /s /spath="%USERPROFILE%\AppData\Local\Temp\OnboardLogs" /stypes="app*4040*20170923*"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139-23 --locoid 4040 --swversion DE.1.0.9.0 --startMP 204:437 --initTime 2017-09-23T08:25:22 --startdatetime 2017-09-23T08:30:33 --delay 51 --endMP 204:233325 --enddatetime 2017-09-23T09:07:29 --enforcementcount 0 &gt;&gt;c:\users\stu\Documents\GitHub\eaglep3-reporting\EC\2017-09-23-refined-times.txt</v>
      </c>
      <c r="AI5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ID","value":"139-23"},{"id":16,"name":"Locomotive ID","value":"4040"},{"id":130,"name":"Impact","value":""},{"id":150,"name":"Time of Event (Mountain Time)","value":"09:07:29"},{"id":151,"name":"Denver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4040 --day 2017-09-23</v>
      </c>
      <c r="AN5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-23T07:25:22-0600',mode:absolute,to:'2017-09-23T10:07:29-0600'))&amp;_a=(columns:!('Message%20ID',Summary),filters:!(),index:'emp_*',interval:auto,query:(query_string:(analyze_wildcard:!t,query:'Message%5C+ID:(*)+AND+%22rtdc.l.rtdc.4040%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592</v>
      </c>
      <c r="B53" s="7">
        <v>4039</v>
      </c>
      <c r="C53" s="21" t="s">
        <v>196</v>
      </c>
      <c r="D53" s="21" t="s">
        <v>855</v>
      </c>
      <c r="E53" s="13">
        <v>43001.390763888892</v>
      </c>
      <c r="F53" s="13">
        <v>43001.39398148148</v>
      </c>
      <c r="G53" s="7">
        <v>54</v>
      </c>
      <c r="H53" s="21" t="s">
        <v>403</v>
      </c>
      <c r="I53" s="13">
        <v>43001.422164351854</v>
      </c>
      <c r="J53" s="7">
        <v>0</v>
      </c>
      <c r="K53" s="89" t="str">
        <f t="shared" si="0"/>
        <v>4039/4040</v>
      </c>
      <c r="L53" s="185" t="str">
        <f>VLOOKUP(A53,'Trips&amp;Operators'!$C$1:$G$99911,5,FALSE)</f>
        <v>THOMPSON LESTER</v>
      </c>
      <c r="M53" s="6">
        <f t="shared" si="1"/>
        <v>2.8182870373711921E-2</v>
      </c>
      <c r="N53" s="7">
        <f t="shared" si="24"/>
        <v>40.583333338145167</v>
      </c>
      <c r="O53" s="7"/>
      <c r="P53" s="7"/>
      <c r="Q53" s="22"/>
      <c r="R53" s="174"/>
      <c r="S53" s="221">
        <f t="shared" si="25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3" s="204" t="str">
        <f>IF(AA53&lt;VLOOKUP(AG53,Variables!$AC$3:$AD$8,2,FALSE),"Y","N")</f>
        <v>N</v>
      </c>
      <c r="X53" s="204">
        <f t="shared" si="27"/>
        <v>1</v>
      </c>
      <c r="Y53" s="204">
        <f t="shared" si="28"/>
        <v>23.3017</v>
      </c>
      <c r="Z53" s="204">
        <f t="shared" si="29"/>
        <v>1.54E-2</v>
      </c>
      <c r="AA53" s="204">
        <f t="shared" si="9"/>
        <v>23.286300000000001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140</v>
      </c>
      <c r="AE53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53" s="74" t="str">
        <f t="shared" si="12"/>
        <v>"C:\Program Files (x86)\AstroGrep\AstroGrep.exe" /e /r /s /spath="%USERPROFILE%\AppData\Local\Temp\OnboardLogs" /stypes="app*4039*20170923*"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140-23 --locoid 4039 --swversion DE.1.0.9.0 --startMP 204:233017 --initTime 2017-09-23T09:22:42 --startdatetime 2017-09-23T09:27:20 --delay 54 --endMP 204:154 --enddatetime 2017-09-23T10:07:55 --enforcementcount 0 &gt;&gt;c:\users\stu\Documents\GitHub\eaglep3-reporting\EC\2017-09-23-refined-times.txt</v>
      </c>
      <c r="AI53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ID","value":"140-23"},{"id":16,"name":"Locomotive ID","value":"4039"},{"id":130,"name":"Impact","value":""},{"id":150,"name":"Time of Event (Mountain Time)","value":"10:07:55"},{"id":151,"name":"Denver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4039 --day 2017-09-23</v>
      </c>
      <c r="AN53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Message%20ID',Summary),filters:!(),index:'emp_*',interval:auto,query:(query_string:(analyze_wildcard:!t,query:'Message%5C+ID:(*)+AND+%22rtdc.l.rtdc.4039%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682</v>
      </c>
      <c r="B54" s="7">
        <v>4002</v>
      </c>
      <c r="C54" s="21" t="s">
        <v>196</v>
      </c>
      <c r="D54" s="21" t="s">
        <v>375</v>
      </c>
      <c r="E54" s="13">
        <v>43001.361851851849</v>
      </c>
      <c r="F54" s="13">
        <v>43001.364803240744</v>
      </c>
      <c r="G54" s="7">
        <v>49</v>
      </c>
      <c r="H54" s="21" t="s">
        <v>409</v>
      </c>
      <c r="I54" s="13">
        <v>43001.388668981483</v>
      </c>
      <c r="J54" s="7">
        <v>0</v>
      </c>
      <c r="K54" s="89" t="str">
        <f t="shared" si="0"/>
        <v>4001/4002</v>
      </c>
      <c r="L54" s="185" t="str">
        <f>VLOOKUP(A54,'Trips&amp;Operators'!$C$1:$G$99911,5,FALSE)</f>
        <v>MACDONALD THOMAS</v>
      </c>
      <c r="M54" s="6">
        <f t="shared" si="1"/>
        <v>2.3865740738983732E-2</v>
      </c>
      <c r="N54" s="7">
        <f t="shared" si="24"/>
        <v>34.366666664136574</v>
      </c>
      <c r="O54" s="7"/>
      <c r="P54" s="7"/>
      <c r="Q54" s="22"/>
      <c r="R54" s="174"/>
      <c r="S54" s="221">
        <f t="shared" si="25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-23T07:41:04-0600',mode:absolute,to:'2017-09-23T10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204" t="str">
        <f>IF(AA54&lt;VLOOKUP(AG54,Variables!$AC$3:$AD$8,2,FALSE),"Y","N")</f>
        <v>N</v>
      </c>
      <c r="X54" s="204">
        <f t="shared" si="27"/>
        <v>1</v>
      </c>
      <c r="Y54" s="204">
        <f t="shared" si="28"/>
        <v>4.4200000000000003E-2</v>
      </c>
      <c r="Z54" s="204">
        <f t="shared" si="29"/>
        <v>23.3293</v>
      </c>
      <c r="AA54" s="204">
        <f t="shared" si="9"/>
        <v>23.2851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141</v>
      </c>
      <c r="AE54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54" s="74" t="str">
        <f t="shared" si="12"/>
        <v>"C:\Program Files (x86)\AstroGrep\AstroGrep.exe" /e /r /s /spath="%USERPROFILE%\AppData\Local\Temp\OnboardLogs" /stypes="app*4002*20170923*"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141-23 --locoid 4002 --swversion DE.1.0.9.0 --startMP 204:442 --initTime 2017-09-23T08:41:04 --startdatetime 2017-09-23T08:45:19 --delay 49 --endMP 204:233293 --enddatetime 2017-09-23T09:19:41 --enforcementcount 0 &gt;&gt;c:\users\stu\Documents\GitHub\eaglep3-reporting\EC\2017-09-23-refined-times.txt</v>
      </c>
      <c r="AI54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{"issue":{"subject":"","project_id":79,"tracker_id":40,"status_id":1,"priority_id":2,"assigned_to_id":338,"start_date":"2017-09-23","description":"","custom_fields":[{"id":1,"name":"Subdivision","value":"EC"},{"id":4,"name":"Milepost","value":"23.3293"},{"id":17,"name":"Train ID","value":"141-23"},{"id":16,"name":"Locomotive ID","value":"4002"},{"id":130,"name":"Impact","value":""},{"id":150,"name":"Time of Event (Mountain Time)","value":"09:19:41"},{"id":151,"name":"Denver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4002 --day 2017-09-23</v>
      </c>
      <c r="AN54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-23T07:41:04-0600',mode:absolute,to:'2017-09-23T10:19:41-0600'))&amp;_a=(columns:!('Message%20ID',Summary),filters:!(),index:'emp_*',interval:auto,query:(query_string:(analyze_wildcard:!t,query:'Message%5C+ID:(*)+AND+%22rtdc.l.rtdc.4002%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690</v>
      </c>
      <c r="B55" s="7">
        <v>4001</v>
      </c>
      <c r="C55" s="21" t="s">
        <v>196</v>
      </c>
      <c r="D55" s="21" t="s">
        <v>843</v>
      </c>
      <c r="E55" s="13">
        <v>43001.40357638889</v>
      </c>
      <c r="F55" s="13">
        <v>43001.404999999999</v>
      </c>
      <c r="G55" s="7">
        <v>75</v>
      </c>
      <c r="H55" s="21" t="s">
        <v>379</v>
      </c>
      <c r="I55" s="13">
        <v>43001.435613425929</v>
      </c>
      <c r="J55" s="7">
        <v>0</v>
      </c>
      <c r="K55" s="89" t="str">
        <f t="shared" si="0"/>
        <v>4001/4002</v>
      </c>
      <c r="L55" s="185" t="str">
        <f>VLOOKUP(A55,'Trips&amp;Operators'!$C$1:$G$99911,5,FALSE)</f>
        <v>MACDONALD THOMAS</v>
      </c>
      <c r="M55" s="6">
        <f t="shared" si="1"/>
        <v>3.0613425929914229E-2</v>
      </c>
      <c r="N55" s="7">
        <f t="shared" si="24"/>
        <v>44.083333339076489</v>
      </c>
      <c r="O55" s="7"/>
      <c r="P55" s="7"/>
      <c r="Q55" s="22"/>
      <c r="R55" s="174"/>
      <c r="S55" s="221">
        <f t="shared" si="25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-23T08:41:09-0600',mode:absolute,to:'2017-09-23T11:27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204" t="str">
        <f>IF(AA55&lt;VLOOKUP(AG55,Variables!$AC$3:$AD$8,2,FALSE),"Y","N")</f>
        <v>N</v>
      </c>
      <c r="X55" s="204">
        <f t="shared" si="27"/>
        <v>1</v>
      </c>
      <c r="Y55" s="204">
        <f t="shared" si="28"/>
        <v>23.296299999999999</v>
      </c>
      <c r="Z55" s="204">
        <f t="shared" si="29"/>
        <v>1.5800000000000002E-2</v>
      </c>
      <c r="AA55" s="204">
        <f t="shared" si="9"/>
        <v>23.2805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142</v>
      </c>
      <c r="AE55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55" s="74" t="str">
        <f t="shared" si="12"/>
        <v>"C:\Program Files (x86)\AstroGrep\AstroGrep.exe" /e /r /s /spath="%USERPROFILE%\AppData\Local\Temp\OnboardLogs" /stypes="app*4001*20170923*"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142-23 --locoid 4001 --swversion DE.1.0.9.0 --startMP 204:232963 --initTime 2017-09-23T09:41:09 --startdatetime 2017-09-23T09:43:12 --delay 75 --endMP 204:158 --enddatetime 2017-09-23T10:27:17 --enforcementcount 0 &gt;&gt;c:\users\stu\Documents\GitHub\eaglep3-reporting\EC\2017-09-23-refined-times.txt</v>
      </c>
      <c r="AI55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{"issue":{"subject":"","project_id":79,"tracker_id":40,"status_id":1,"priority_id":2,"assigned_to_id":338,"start_date":"2017-09-23","description":"","custom_fields":[{"id":1,"name":"Subdivision","value":"EC"},{"id":4,"name":"Milepost","value":"0.0158"},{"id":17,"name":"Train ID","value":"142-23"},{"id":16,"name":"Locomotive ID","value":"4001"},{"id":130,"name":"Impact","value":""},{"id":150,"name":"Time of Event (Mountain Time)","value":"10:27:17"},{"id":151,"name":"Denver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4001 --day 2017-09-23</v>
      </c>
      <c r="AN55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16:27:17"},{"id":29,"name":"Sharepoint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-23T08:41:09-0600',mode:absolute,to:'2017-09-23T11:27:17-0600'))&amp;_a=(columns:!('Message%20ID',Summary),filters:!(),index:'emp_*',interval:auto,query:(query_string:(analyze_wildcard:!t,query:'Message%5C+ID:(*)+AND+%22rtdc.l.rtdc.4001%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683</v>
      </c>
      <c r="B56" s="7">
        <v>4046</v>
      </c>
      <c r="C56" s="21" t="s">
        <v>196</v>
      </c>
      <c r="D56" s="21" t="s">
        <v>417</v>
      </c>
      <c r="E56" s="13">
        <v>43001.371481481481</v>
      </c>
      <c r="F56" s="13">
        <v>43001.3753125</v>
      </c>
      <c r="G56" s="7">
        <v>77</v>
      </c>
      <c r="H56" s="21" t="s">
        <v>438</v>
      </c>
      <c r="I56" s="13">
        <v>43001.401435185187</v>
      </c>
      <c r="J56" s="7">
        <v>0</v>
      </c>
      <c r="K56" s="89" t="str">
        <f t="shared" si="0"/>
        <v>4045/4046</v>
      </c>
      <c r="L56" s="185" t="str">
        <f>VLOOKUP(A56,'Trips&amp;Operators'!$C$1:$G$99911,5,FALSE)</f>
        <v>MOSES BRADLEY</v>
      </c>
      <c r="M56" s="6">
        <f t="shared" si="1"/>
        <v>2.6122685187146999E-2</v>
      </c>
      <c r="N56" s="7">
        <f t="shared" si="24"/>
        <v>37.616666669491678</v>
      </c>
      <c r="O56" s="7"/>
      <c r="P56" s="7"/>
      <c r="Q56" s="22"/>
      <c r="R56" s="174"/>
      <c r="S56" s="221">
        <f t="shared" si="25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-23T07:54:56-0600',mode:absolute,to:'2017-09-23T10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204" t="str">
        <f>IF(AA56&lt;VLOOKUP(AG56,Variables!$AC$3:$AD$8,2,FALSE),"Y","N")</f>
        <v>N</v>
      </c>
      <c r="X56" s="204">
        <f t="shared" si="27"/>
        <v>1</v>
      </c>
      <c r="Y56" s="204">
        <f t="shared" si="28"/>
        <v>4.7300000000000002E-2</v>
      </c>
      <c r="Z56" s="204">
        <f t="shared" si="29"/>
        <v>23.3306</v>
      </c>
      <c r="AA56" s="204">
        <f t="shared" si="9"/>
        <v>23.283300000000001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143</v>
      </c>
      <c r="AE56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56" s="74" t="str">
        <f t="shared" si="12"/>
        <v>"C:\Program Files (x86)\AstroGrep\AstroGrep.exe" /e /r /s /spath="%USERPROFILE%\AppData\Local\Temp\OnboardLogs" /stypes="app*4046*20170923*"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143-23 --locoid 4046 --swversion DE.1.0.9.0 --startMP 204:473 --initTime 2017-09-23T08:54:56 --startdatetime 2017-09-23T09:00:27 --delay 77 --endMP 204:233306 --enddatetime 2017-09-23T09:38:04 --enforcementcount 0 &gt;&gt;c:\users\stu\Documents\GitHub\eaglep3-reporting\EC\2017-09-23-refined-times.txt</v>
      </c>
      <c r="AI56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{"issue":{"subject":"","project_id":79,"tracker_id":40,"status_id":1,"priority_id":2,"assigned_to_id":338,"start_date":"2017-09-23","description":"","custom_fields":[{"id":1,"name":"Subdivision","value":"EC"},{"id":4,"name":"Milepost","value":"23.3306"},{"id":17,"name":"Train ID","value":"143-23"},{"id":16,"name":"Locomotive ID","value":"4046"},{"id":130,"name":"Impact","value":""},{"id":150,"name":"Time of Event (Mountain Time)","value":"09:38:04"},{"id":151,"name":"Denver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4046 --day 2017-09-23</v>
      </c>
      <c r="AN56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-23T07:54:56-0600',mode:absolute,to:'2017-09-23T10:38:04-0600'))&amp;_a=(columns:!('Message%20ID',Summary),filters:!(),index:'emp_*',interval:auto,query:(query_string:(analyze_wildcard:!t,query:'Message%5C+ID:(*)+AND+%22rtdc.l.rtdc.4046%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691</v>
      </c>
      <c r="B57" s="7">
        <v>4045</v>
      </c>
      <c r="C57" s="21" t="s">
        <v>196</v>
      </c>
      <c r="D57" s="21" t="s">
        <v>422</v>
      </c>
      <c r="E57" s="13">
        <v>43001.41128472222</v>
      </c>
      <c r="F57" s="13">
        <v>43001.414872685185</v>
      </c>
      <c r="G57" s="7">
        <v>71</v>
      </c>
      <c r="H57" s="21" t="s">
        <v>856</v>
      </c>
      <c r="I57" s="13">
        <v>43001.446458333332</v>
      </c>
      <c r="J57" s="7">
        <v>0</v>
      </c>
      <c r="K57" s="89" t="str">
        <f t="shared" si="0"/>
        <v>4045/4046</v>
      </c>
      <c r="L57" s="185" t="str">
        <f>VLOOKUP(A57,'Trips&amp;Operators'!$C$1:$G$99911,5,FALSE)</f>
        <v>MOSES BRADLEY</v>
      </c>
      <c r="M57" s="6">
        <f t="shared" si="1"/>
        <v>3.1585648146574385E-2</v>
      </c>
      <c r="N57" s="7">
        <f t="shared" si="24"/>
        <v>45.483333331067115</v>
      </c>
      <c r="O57" s="7"/>
      <c r="P57" s="7"/>
      <c r="Q57" s="22"/>
      <c r="R57" s="174"/>
      <c r="S57" s="221">
        <f t="shared" si="25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-23T08:52:15-0600',mode:absolute,to:'2017-09-23T11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204" t="str">
        <f>IF(AA57&lt;VLOOKUP(AG57,Variables!$AC$3:$AD$8,2,FALSE),"Y","N")</f>
        <v>N</v>
      </c>
      <c r="X57" s="204">
        <f t="shared" si="27"/>
        <v>1</v>
      </c>
      <c r="Y57" s="204">
        <f t="shared" si="28"/>
        <v>23.298500000000001</v>
      </c>
      <c r="Z57" s="204">
        <f t="shared" si="29"/>
        <v>1.6899999999999998E-2</v>
      </c>
      <c r="AA57" s="204">
        <f t="shared" si="9"/>
        <v>23.281600000000001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144</v>
      </c>
      <c r="AE57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57" s="74" t="str">
        <f t="shared" si="12"/>
        <v>"C:\Program Files (x86)\AstroGrep\AstroGrep.exe" /e /r /s /spath="%USERPROFILE%\AppData\Local\Temp\OnboardLogs" /stypes="app*4045*20170923*"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144-23 --locoid 4045 --swversion DE.1.0.9.0 --startMP 204:232985 --initTime 2017-09-23T09:52:15 --startdatetime 2017-09-23T09:57:25 --delay 71 --endMP 204:169 --enddatetime 2017-09-23T10:42:54 --enforcementcount 0 &gt;&gt;c:\users\stu\Documents\GitHub\eaglep3-reporting\EC\2017-09-23-refined-times.txt</v>
      </c>
      <c r="AI5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{"issue":{"subject":"","project_id":79,"tracker_id":40,"status_id":1,"priority_id":2,"assigned_to_id":338,"start_date":"2017-09-23","description":"","custom_fields":[{"id":1,"name":"Subdivision","value":"EC"},{"id":4,"name":"Milepost","value":"0.0169"},{"id":17,"name":"Train ID","value":"144-23"},{"id":16,"name":"Locomotive ID","value":"4045"},{"id":130,"name":"Impact","value":""},{"id":150,"name":"Time of Event (Mountain Time)","value":"10:42:54"},{"id":151,"name":"Denver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4045 --day 2017-09-23</v>
      </c>
      <c r="AN5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-23T08:52:15-0600',mode:absolute,to:'2017-09-23T11:42:54-0600'))&amp;_a=(columns:!('Message%20ID',Summary),filters:!(),index:'emp_*',interval:auto,query:(query_string:(analyze_wildcard:!t,query:'Message%5C+ID:(*)+AND+%22rtdc.l.rtdc.4045%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686</v>
      </c>
      <c r="B58" s="7">
        <v>4058</v>
      </c>
      <c r="C58" s="21" t="s">
        <v>196</v>
      </c>
      <c r="D58" s="21" t="s">
        <v>378</v>
      </c>
      <c r="E58" s="13">
        <v>43001.380185185182</v>
      </c>
      <c r="F58" s="13">
        <v>43001.385578703703</v>
      </c>
      <c r="G58" s="7">
        <v>90</v>
      </c>
      <c r="H58" s="21" t="s">
        <v>397</v>
      </c>
      <c r="I58" s="13">
        <v>43001.410428240742</v>
      </c>
      <c r="J58" s="7">
        <v>0</v>
      </c>
      <c r="K58" s="89" t="str">
        <f t="shared" si="0"/>
        <v>4057/4058</v>
      </c>
      <c r="L58" s="185" t="str">
        <f>VLOOKUP(A58,'Trips&amp;Operators'!$C$1:$G$99911,5,FALSE)</f>
        <v>WILLIAMS DONTE</v>
      </c>
      <c r="M58" s="6">
        <f t="shared" si="1"/>
        <v>2.4849537039699499E-2</v>
      </c>
      <c r="N58" s="7">
        <f t="shared" si="24"/>
        <v>35.783333337167278</v>
      </c>
      <c r="O58" s="7"/>
      <c r="P58" s="7"/>
      <c r="Q58" s="22"/>
      <c r="R58" s="174"/>
      <c r="S58" s="221">
        <f t="shared" si="25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-23T08:07:28-0600',mode:absolute,to:'2017-09-23T10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8" s="204" t="str">
        <f>IF(AA58&lt;VLOOKUP(AG58,Variables!$AC$3:$AD$8,2,FALSE),"Y","N")</f>
        <v>N</v>
      </c>
      <c r="X58" s="204">
        <f t="shared" si="27"/>
        <v>1</v>
      </c>
      <c r="Y58" s="204">
        <f t="shared" si="28"/>
        <v>4.5999999999999999E-2</v>
      </c>
      <c r="Z58" s="204">
        <f t="shared" si="29"/>
        <v>23.328900000000001</v>
      </c>
      <c r="AA58" s="204">
        <f t="shared" si="9"/>
        <v>23.282900000000001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145</v>
      </c>
      <c r="AE58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58" s="74" t="str">
        <f t="shared" si="12"/>
        <v>"C:\Program Files (x86)\AstroGrep\AstroGrep.exe" /e /r /s /spath="%USERPROFILE%\AppData\Local\Temp\OnboardLogs" /stypes="app*4058*20170923*"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145-23 --locoid 4058 --swversion DE.1.0.9.0 --startMP 204:460 --initTime 2017-09-23T09:07:28 --startdatetime 2017-09-23T09:15:14 --delay 90 --endMP 204:233289 --enddatetime 2017-09-23T09:51:01 --enforcementcount 0 &gt;&gt;c:\users\stu\Documents\GitHub\eaglep3-reporting\EC\2017-09-23-refined-times.txt</v>
      </c>
      <c r="AI58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{"issue":{"subject":"","project_id":79,"tracker_id":40,"status_id":1,"priority_id":2,"assigned_to_id":338,"start_date":"2017-09-23","description":"","custom_fields":[{"id":1,"name":"Subdivision","value":"EC"},{"id":4,"name":"Milepost","value":"23.3289"},{"id":17,"name":"Train ID","value":"145-23"},{"id":16,"name":"Locomotive ID","value":"4058"},{"id":130,"name":"Impact","value":""},{"id":150,"name":"Time of Event (Mountain Time)","value":"09:51:01"},{"id":151,"name":"Denver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4058 --day 2017-09-23</v>
      </c>
      <c r="AN58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-23T08:07:28-0600',mode:absolute,to:'2017-09-23T10:51:01-0600'))&amp;_a=(columns:!('Message%20ID',Summary),filters:!(),index:'emp_*',interval:auto,query:(query_string:(analyze_wildcard:!t,query:'Message%5C+ID:(*)+AND+%22rtdc.l.rtdc.4058%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695</v>
      </c>
      <c r="B59" s="7">
        <v>4057</v>
      </c>
      <c r="C59" s="21" t="s">
        <v>196</v>
      </c>
      <c r="D59" s="21" t="s">
        <v>463</v>
      </c>
      <c r="E59" s="13">
        <v>43001.420520833337</v>
      </c>
      <c r="F59" s="13">
        <v>43001.425173611111</v>
      </c>
      <c r="G59" s="7">
        <v>95</v>
      </c>
      <c r="H59" s="21" t="s">
        <v>379</v>
      </c>
      <c r="I59" s="13">
        <v>43001.460625</v>
      </c>
      <c r="J59" s="7">
        <v>0</v>
      </c>
      <c r="K59" s="89" t="str">
        <f t="shared" si="0"/>
        <v>4057/4058</v>
      </c>
      <c r="L59" s="185" t="str">
        <f>VLOOKUP(A59,'Trips&amp;Operators'!$C$1:$G$99911,5,FALSE)</f>
        <v>WILLIAMS DONTE</v>
      </c>
      <c r="M59" s="6">
        <f t="shared" si="1"/>
        <v>3.5451388888759539E-2</v>
      </c>
      <c r="N59" s="7">
        <f t="shared" si="24"/>
        <v>51.049999999813735</v>
      </c>
      <c r="O59" s="7"/>
      <c r="P59" s="7"/>
      <c r="Q59" s="22"/>
      <c r="R59" s="174" t="s">
        <v>1002</v>
      </c>
      <c r="S59" s="221">
        <f t="shared" si="25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-23T09:05:33-0600',mode:absolute,to:'2017-09-23T12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9" s="204" t="str">
        <f>IF(AA59&lt;VLOOKUP(AG59,Variables!$AC$3:$AD$8,2,FALSE),"Y","N")</f>
        <v>N</v>
      </c>
      <c r="X59" s="204">
        <f t="shared" si="27"/>
        <v>1</v>
      </c>
      <c r="Y59" s="204">
        <f t="shared" si="28"/>
        <v>23.2973</v>
      </c>
      <c r="Z59" s="204">
        <f t="shared" si="29"/>
        <v>1.5800000000000002E-2</v>
      </c>
      <c r="AA59" s="204">
        <f t="shared" si="9"/>
        <v>23.281500000000001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146</v>
      </c>
      <c r="AE59" s="77" t="str">
        <f t="shared" si="11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59" s="74" t="str">
        <f t="shared" si="12"/>
        <v>"C:\Program Files (x86)\AstroGrep\AstroGrep.exe" /e /r /s /spath="%USERPROFILE%\AppData\Local\Temp\OnboardLogs" /stypes="app*4057*20170923*" /stext=" 17:.+((SYSTEM_STATE.+slice.+state.+changed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146-23 --locoid 4057 --swversion DE.1.0.9.0 --startMP 204:232973 --initTime 2017-09-23T10:05:33 --startdatetime 2017-09-23T10:12:15 --delay 95 --endMP 204:158 --enddatetime 2017-09-23T11:03:18 --enforcementcount 0 &gt;&gt;c:\users\stu\Documents\GitHub\eaglep3-reporting\EC\2017-09-23-refined-times.txt</v>
      </c>
      <c r="AI59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crossing","project_id":79,"tracker_id":40,"status_id":1,"priority_id":2,"assigned_to_id":338,"start_date":"2017-09-23","description":"","custom_fields":[{"id":1,"name":"Subdivision","value":"EC"},{"id":4,"name":"Milepost","value":"0.0158"},{"id":17,"name":"Train ID","value":"146-23"},{"id":16,"name":"Locomotive ID","value":"4057"},{"id":130,"name":"Impact","value":""},{"id":150,"name":"Time of Event (Mountain Time)","value":"11:03:18"},{"id":151,"name":"Denver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4057 --day 2017-09-23</v>
      </c>
      <c r="AN59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-23T09:05:33-0600',mode:absolute,to:'2017-09-23T12:03:18-0600'))&amp;_a=(columns:!('Message%20ID',Summary),filters:!(),index:'emp_*',interval:auto,query:(query_string:(analyze_wildcard:!t,query:'Message%5C+ID:(*)+AND+%22rtdc.l.rtdc.4057%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687</v>
      </c>
      <c r="B60" s="7">
        <v>4010</v>
      </c>
      <c r="C60" s="21" t="s">
        <v>196</v>
      </c>
      <c r="D60" s="21" t="s">
        <v>412</v>
      </c>
      <c r="E60" s="13">
        <v>43001.390856481485</v>
      </c>
      <c r="F60" s="13">
        <v>43001.396006944444</v>
      </c>
      <c r="G60" s="7">
        <v>55</v>
      </c>
      <c r="H60" s="21" t="s">
        <v>857</v>
      </c>
      <c r="I60" s="13">
        <v>43001.420740740738</v>
      </c>
      <c r="J60" s="7">
        <v>0</v>
      </c>
      <c r="K60" s="89" t="str">
        <f t="shared" si="0"/>
        <v>4009/4010</v>
      </c>
      <c r="L60" s="185" t="str">
        <f>VLOOKUP(A60,'Trips&amp;Operators'!$C$1:$G$99911,5,FALSE)</f>
        <v>PAGE MARCUS</v>
      </c>
      <c r="M60" s="6">
        <f t="shared" si="1"/>
        <v>2.4733796293730848E-2</v>
      </c>
      <c r="N60" s="7">
        <f t="shared" si="24"/>
        <v>35.61666666297242</v>
      </c>
      <c r="O60" s="7"/>
      <c r="P60" s="7"/>
      <c r="Q60" s="22"/>
      <c r="R60" s="174"/>
      <c r="S60" s="221">
        <f t="shared" si="25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-23T08:22:50-0600',mode:absolute,to:'2017-09-23T11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0" s="204" t="str">
        <f>IF(AA60&lt;VLOOKUP(AG60,Variables!$AC$3:$AD$8,2,FALSE),"Y","N")</f>
        <v>N</v>
      </c>
      <c r="X60" s="204">
        <f t="shared" si="27"/>
        <v>1</v>
      </c>
      <c r="Y60" s="204">
        <f t="shared" si="28"/>
        <v>4.3299999999999998E-2</v>
      </c>
      <c r="Z60" s="204">
        <f t="shared" si="29"/>
        <v>23.330400000000001</v>
      </c>
      <c r="AA60" s="204">
        <f t="shared" si="9"/>
        <v>23.287100000000002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147</v>
      </c>
      <c r="AE60" s="77" t="str">
        <f t="shared" si="11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60" s="74" t="str">
        <f t="shared" si="12"/>
        <v>"C:\Program Files (x86)\AstroGrep\AstroGrep.exe" /e /r /s /spath="%USERPROFILE%\AppData\Local\Temp\OnboardLogs" /stypes="app*4010*20170923*"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147-23 --locoid 4010 --swversion DE.1.0.9.0 --startMP 204:433 --initTime 2017-09-23T09:22:50 --startdatetime 2017-09-23T09:30:15 --delay 55 --endMP 204:233304 --enddatetime 2017-09-23T10:05:52 --enforcementcount 0 &gt;&gt;c:\users\stu\Documents\GitHub\eaglep3-reporting\EC\2017-09-23-refined-times.txt</v>
      </c>
      <c r="AI6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{"issue":{"subject":"","project_id":79,"tracker_id":40,"status_id":1,"priority_id":2,"assigned_to_id":338,"start_date":"2017-09-23","description":"","custom_fields":[{"id":1,"name":"Subdivision","value":"EC"},{"id":4,"name":"Milepost","value":"23.3304"},{"id":17,"name":"Train ID","value":"147-23"},{"id":16,"name":"Locomotive ID","value":"4010"},{"id":130,"name":"Impact","value":""},{"id":150,"name":"Time of Event (Mountain Time)","value":"10:05:52"},{"id":151,"name":"Denver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4010 --day 2017-09-23</v>
      </c>
      <c r="AN6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-23T08:22:50-0600',mode:absolute,to:'2017-09-23T11:05:52-0600'))&amp;_a=(columns:!('Message%20ID',Summary),filters:!(),index:'emp_*',interval:auto,query:(query_string:(analyze_wildcard:!t,query:'Message%5C+ID:(*)+AND+%22rtdc.l.rtdc.4010%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597</v>
      </c>
      <c r="B61" s="7">
        <v>4009</v>
      </c>
      <c r="C61" s="21" t="s">
        <v>196</v>
      </c>
      <c r="D61" s="21" t="s">
        <v>380</v>
      </c>
      <c r="E61" s="13">
        <v>43001.425659722219</v>
      </c>
      <c r="F61" s="13">
        <v>43001.435578703706</v>
      </c>
      <c r="G61" s="7">
        <v>65</v>
      </c>
      <c r="H61" s="21" t="s">
        <v>858</v>
      </c>
      <c r="I61" s="13">
        <v>43001.470486111109</v>
      </c>
      <c r="J61" s="7">
        <v>0</v>
      </c>
      <c r="K61" s="89" t="str">
        <f t="shared" si="0"/>
        <v>4009/4010</v>
      </c>
      <c r="L61" s="185" t="str">
        <f>VLOOKUP(A61,'Trips&amp;Operators'!$C$1:$G$99911,5,FALSE)</f>
        <v>PAGE MARCUS</v>
      </c>
      <c r="M61" s="6">
        <f t="shared" si="1"/>
        <v>3.4907407403807156E-2</v>
      </c>
      <c r="N61" s="7"/>
      <c r="O61" s="7"/>
      <c r="P61" s="7">
        <f>24*60*SUM($M61:$M61)</f>
        <v>50.266666661482304</v>
      </c>
      <c r="Q61" s="22"/>
      <c r="R61" s="174" t="s">
        <v>1001</v>
      </c>
      <c r="S61" s="221">
        <f t="shared" si="25"/>
        <v>0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-23T09:12:57-0600',mode:absolute,to:'2017-09-23T12:17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204" t="str">
        <f>IF(AA61&lt;VLOOKUP(AG61,Variables!$AC$3:$AD$8,2,FALSE),"Y","N")</f>
        <v>Y</v>
      </c>
      <c r="X61" s="204">
        <f t="shared" si="27"/>
        <v>1</v>
      </c>
      <c r="Y61" s="204">
        <f t="shared" si="28"/>
        <v>23.299399999999999</v>
      </c>
      <c r="Z61" s="204">
        <f t="shared" si="29"/>
        <v>11.3698</v>
      </c>
      <c r="AA61" s="204">
        <f t="shared" si="9"/>
        <v>11.929599999999999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61" s="74" t="str">
        <f t="shared" si="12"/>
        <v>"C:\Program Files (x86)\AstroGrep\AstroGrep.exe" /e /r /s /spath="%USERPROFILE%\AppData\Local\Temp\OnboardLogs" /stypes="app*4009*20170923*"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148-23 --locoid 4009 --swversion DE.1.0.9.0 --startMP 204:232994 --initTime 2017-09-23T10:12:57 --startdatetime 2017-09-23T10:27:14 --delay 65 --endMP 204:113698 --enddatetime 2017-09-23T11:17:30 --enforcementcount 0 &gt;&gt;c:\users\stu\Documents\GitHub\eaglep3-reporting\EC\2017-09-23-refined-times.txt</v>
      </c>
      <c r="AI61" s="96" t="str">
        <f t="shared" si="20"/>
        <v>echo {"issue":{"subject":"Cement truck collision with Chambers crossing","project_id":79,"tracker_id":40,"status_id":1,"priority_id":2,"assigned_to_id":338,"start_date":"2017-09-23","description":"","custom_fields":[{"id":1,"name":"Subdivision","value":"EC"},{"id":4,"name":"Milepost","value":"11.3698"},{"id":17,"name":"Train ID","value":"148-23"},{"id":16,"name":"Locomotive ID","value":"4009"},{"id":130,"name":"Impact","value":""},{"id":150,"name":"Time of Event (Mountain Time)","value":"11:17:30"},{"id":151,"name":"Denver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4009 --day 2017-09-23</v>
      </c>
      <c r="AN61" s="151" t="str">
        <f t="shared" si="22"/>
        <v>echo {"issue":{"subject":"Cement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-23T09:12:57-0600',mode:absolute,to:'2017-09-23T12:17:30-0600'))&amp;_a=(columns:!('Message%20ID',Summary),filters:!(),index:'emp_*',interval:auto,query:(query_string:(analyze_wildcard:!t,query:'Message%5C+ID:(*)+AND+%22rtdc.l.rtdc.4009%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597</v>
      </c>
      <c r="B62" s="7">
        <v>4009</v>
      </c>
      <c r="C62" s="21" t="s">
        <v>196</v>
      </c>
      <c r="D62" s="21" t="s">
        <v>859</v>
      </c>
      <c r="E62" s="13">
        <v>43001.468912037039</v>
      </c>
      <c r="F62" s="13">
        <v>43001.470300925925</v>
      </c>
      <c r="G62" s="7">
        <v>38</v>
      </c>
      <c r="H62" s="21" t="s">
        <v>860</v>
      </c>
      <c r="I62" s="13">
        <v>43001.47042824074</v>
      </c>
      <c r="J62" s="7">
        <v>0</v>
      </c>
      <c r="K62" s="89" t="str">
        <f t="shared" si="0"/>
        <v>4009/4010</v>
      </c>
      <c r="L62" s="185" t="str">
        <f>VLOOKUP(A62,'Trips&amp;Operators'!$C$1:$G$99911,5,FALSE)</f>
        <v>PAGE MARCUS</v>
      </c>
      <c r="M62" s="6">
        <f t="shared" si="1"/>
        <v>1.273148154723458E-4</v>
      </c>
      <c r="N62" s="7"/>
      <c r="O62" s="7"/>
      <c r="P62" s="7"/>
      <c r="Q62" s="22"/>
      <c r="R62" s="174"/>
      <c r="S62" s="221"/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-23T10:15:14-0600',mode:absolute,to:'2017-09-23T12:17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204" t="str">
        <f>IF(AA62&lt;VLOOKUP(AG62,Variables!$AC$3:$AD$8,2,FALSE),"Y","N")</f>
        <v>Y</v>
      </c>
      <c r="X62" s="204">
        <f t="shared" si="27"/>
        <v>0</v>
      </c>
      <c r="Y62" s="204">
        <f t="shared" si="28"/>
        <v>8.6351999999999993</v>
      </c>
      <c r="Z62" s="204">
        <f t="shared" si="29"/>
        <v>8.6129999999999995</v>
      </c>
      <c r="AA62" s="204">
        <f t="shared" si="9"/>
        <v>2.2199999999999775E-2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148</v>
      </c>
      <c r="AE62" s="77" t="str">
        <f t="shared" si="11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62" s="74" t="str">
        <f t="shared" si="12"/>
        <v>"C:\Program Files (x86)\AstroGrep\AstroGrep.exe" /e /r /s /spath="%USERPROFILE%\AppData\Local\Temp\OnboardLogs" /stypes="app*4009*20170923*"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148-23 --locoid 4009 --swversion DE.1.0.9.0 --startMP 204:86352 --initTime 2017-09-23T11:15:14 --startdatetime 2017-09-23T11:17:14 --delay 38 --endMP 204:86130 --enddatetime 2017-09-23T11:17:25 --enforcementcount 0 &gt;&gt;c:\users\stu\Documents\GitHub\eaglep3-reporting\EC\2017-09-23-refined-times.txt</v>
      </c>
      <c r="AI62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{"issue":{"subject":"","project_id":79,"tracker_id":40,"status_id":1,"priority_id":2,"assigned_to_id":338,"start_date":"2017-09-23","description":"","custom_fields":[{"id":1,"name":"Subdivision","value":"EC"},{"id":4,"name":"Milepost","value":"8.613"},{"id":17,"name":"Train ID","value":"148-23"},{"id":16,"name":"Locomotive ID","value":"4009"},{"id":130,"name":"Impact","value":""},{"id":150,"name":"Time of Event (Mountain Time)","value":"11:17:25"},{"id":151,"name":"Denver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4009 --day 2017-09-23</v>
      </c>
      <c r="AN62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-23T10:15:14-0600',mode:absolute,to:'2017-09-23T12:17:25-0600'))&amp;_a=(columns:!('Message%20ID',Summary),filters:!(),index:'emp_*',interval:auto,query:(query_string:(analyze_wildcard:!t,query:'Message%5C+ID:(*)+AND+%22rtdc.l.rtdc.4009%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688</v>
      </c>
      <c r="B63" s="7">
        <v>4028</v>
      </c>
      <c r="C63" s="21" t="s">
        <v>196</v>
      </c>
      <c r="D63" s="21" t="s">
        <v>339</v>
      </c>
      <c r="E63" s="13">
        <v>43001.401712962965</v>
      </c>
      <c r="F63" s="13">
        <v>43001.406412037039</v>
      </c>
      <c r="G63" s="7">
        <v>66</v>
      </c>
      <c r="H63" s="21" t="s">
        <v>409</v>
      </c>
      <c r="I63" s="13">
        <v>43001.445914351854</v>
      </c>
      <c r="J63" s="7">
        <v>0</v>
      </c>
      <c r="K63" s="89" t="str">
        <f t="shared" si="0"/>
        <v>4027/4028</v>
      </c>
      <c r="L63" s="185" t="str">
        <f>VLOOKUP(A63,'Trips&amp;Operators'!$C$1:$G$99911,5,FALSE)</f>
        <v>GEBRETEKLE DAGNEW</v>
      </c>
      <c r="M63" s="6">
        <f t="shared" si="1"/>
        <v>3.9502314815763384E-2</v>
      </c>
      <c r="N63" s="7">
        <f t="shared" ref="N63:N68" si="30">24*60*SUM($M63:$M63)</f>
        <v>56.883333334699273</v>
      </c>
      <c r="O63" s="7"/>
      <c r="P63" s="7"/>
      <c r="Q63" s="22"/>
      <c r="R63" s="174" t="s">
        <v>1002</v>
      </c>
      <c r="S63" s="221">
        <f t="shared" ref="S63:S69" si="31">1/IF(AG63="EC",12,1)*SUM(U63:U63)</f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-23T08:38:28-0600',mode:absolute,to:'2017-09-23T11:42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204" t="str">
        <f>IF(AA63&lt;VLOOKUP(AG63,Variables!$AC$3:$AD$8,2,FALSE),"Y","N")</f>
        <v>N</v>
      </c>
      <c r="X63" s="204">
        <f t="shared" si="27"/>
        <v>1</v>
      </c>
      <c r="Y63" s="204">
        <f t="shared" si="28"/>
        <v>4.53E-2</v>
      </c>
      <c r="Z63" s="204">
        <f t="shared" si="29"/>
        <v>23.3293</v>
      </c>
      <c r="AA63" s="204">
        <f t="shared" si="9"/>
        <v>23.283999999999999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149</v>
      </c>
      <c r="AE63" s="77" t="str">
        <f t="shared" si="11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63" s="74" t="str">
        <f t="shared" si="12"/>
        <v>"C:\Program Files (x86)\AstroGrep\AstroGrep.exe" /e /r /s /spath="%USERPROFILE%\AppData\Local\Temp\OnboardLogs" /stypes="app*4028*20170923*"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149-23 --locoid 4028 --swversion DE.1.0.9.0 --startMP 204:453 --initTime 2017-09-23T09:38:28 --startdatetime 2017-09-23T09:45:14 --delay 66 --endMP 204:233293 --enddatetime 2017-09-23T10:42:07 --enforcementcount 0 &gt;&gt;c:\users\stu\Documents\GitHub\eaglep3-reporting\EC\2017-09-23-refined-times.txt</v>
      </c>
      <c r="AI63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crossing","project_id":79,"tracker_id":40,"status_id":1,"priority_id":2,"assigned_to_id":338,"start_date":"2017-09-23","description":"","custom_fields":[{"id":1,"name":"Subdivision","value":"EC"},{"id":4,"name":"Milepost","value":"23.3293"},{"id":17,"name":"Train ID","value":"149-23"},{"id":16,"name":"Locomotive ID","value":"4028"},{"id":130,"name":"Impact","value":""},{"id":150,"name":"Time of Event (Mountain Time)","value":"10:42:07"},{"id":151,"name":"Denver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4028 --day 2017-09-23</v>
      </c>
      <c r="AN63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16:42:07"},{"id":29,"name":"Sharepoint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-23T08:38:28-0600',mode:absolute,to:'2017-09-23T11:42:07-0600'))&amp;_a=(columns:!('Message%20ID',Summary),filters:!(),index:'emp_*',interval:auto,query:(query_string:(analyze_wildcard:!t,query:'Message%5C+ID:(*)+AND+%22rtdc.l.rtdc.4028%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596</v>
      </c>
      <c r="B64" s="7">
        <v>4027</v>
      </c>
      <c r="C64" s="21" t="s">
        <v>196</v>
      </c>
      <c r="D64" s="21" t="s">
        <v>420</v>
      </c>
      <c r="E64" s="13">
        <v>43001.446400462963</v>
      </c>
      <c r="F64" s="13">
        <v>43001.448240740741</v>
      </c>
      <c r="G64" s="7">
        <v>70</v>
      </c>
      <c r="H64" s="21" t="s">
        <v>861</v>
      </c>
      <c r="I64" s="13">
        <v>43001.490034722221</v>
      </c>
      <c r="J64" s="7">
        <v>0</v>
      </c>
      <c r="K64" s="89" t="str">
        <f t="shared" si="0"/>
        <v>4027/4028</v>
      </c>
      <c r="L64" s="185" t="str">
        <f>VLOOKUP(A64,'Trips&amp;Operators'!$C$1:$G$99911,5,FALSE)</f>
        <v>GEBRETEKLE DAGNEW</v>
      </c>
      <c r="M64" s="6">
        <f t="shared" si="1"/>
        <v>4.1793981479713693E-2</v>
      </c>
      <c r="N64" s="7">
        <f t="shared" si="30"/>
        <v>60.183333330787718</v>
      </c>
      <c r="O64" s="7"/>
      <c r="P64" s="7"/>
      <c r="Q64" s="22"/>
      <c r="R64" s="174" t="s">
        <v>1002</v>
      </c>
      <c r="S64" s="221">
        <f t="shared" si="31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4" s="204" t="str">
        <f>IF(AA64&lt;VLOOKUP(AG64,Variables!$AC$3:$AD$8,2,FALSE),"Y","N")</f>
        <v>N</v>
      </c>
      <c r="X64" s="204">
        <f t="shared" si="27"/>
        <v>1</v>
      </c>
      <c r="Y64" s="204">
        <f t="shared" si="28"/>
        <v>23.298200000000001</v>
      </c>
      <c r="Z64" s="204">
        <f t="shared" si="29"/>
        <v>9.4000000000000004E-3</v>
      </c>
      <c r="AA64" s="204">
        <f t="shared" si="9"/>
        <v>23.288800000000002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150</v>
      </c>
      <c r="AE64" s="77" t="str">
        <f t="shared" si="11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64" s="74" t="str">
        <f t="shared" si="12"/>
        <v>"C:\Program Files (x86)\AstroGrep\AstroGrep.exe" /e /r /s /spath="%USERPROFILE%\AppData\Local\Temp\OnboardLogs" /stypes="app*4027*20170923*"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150-23 --locoid 4027 --swversion DE.1.0.9.0 --startMP 204:232982 --initTime 2017-09-23T10:42:49 --startdatetime 2017-09-23T10:45:28 --delay 70 --endMP 204:94 --enddatetime 2017-09-23T11:45:39 --enforcementcount 0 &gt;&gt;c:\users\stu\Documents\GitHub\eaglep3-reporting\EC\2017-09-23-refined-times.txt</v>
      </c>
      <c r="AI64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crossing","project_id":79,"tracker_id":40,"status_id":1,"priority_id":2,"assigned_to_id":338,"start_date":"2017-09-23","description":"","custom_fields":[{"id":1,"name":"Subdivision","value":"EC"},{"id":4,"name":"Milepost","value":"0.0094"},{"id":17,"name":"Train ID","value":"150-23"},{"id":16,"name":"Locomotive ID","value":"4027"},{"id":130,"name":"Impact","value":""},{"id":150,"name":"Time of Event (Mountain Time)","value":"11:45:39"},{"id":151,"name":"Denver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4027 --day 2017-09-23</v>
      </c>
      <c r="AN64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17:45:39"},{"id":29,"name":"Sharepoint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Message%20ID',Summary),filters:!(),index:'emp_*',interval:auto,query:(query_string:(analyze_wildcard:!t,query:'Message%5C+ID:(*)+AND+%22rtdc.l.rtdc.4027%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692</v>
      </c>
      <c r="B65" s="7">
        <v>4024</v>
      </c>
      <c r="C65" s="21" t="s">
        <v>196</v>
      </c>
      <c r="D65" s="21" t="s">
        <v>395</v>
      </c>
      <c r="E65" s="13">
        <v>43001.413055555553</v>
      </c>
      <c r="F65" s="13">
        <v>43001.417025462964</v>
      </c>
      <c r="G65" s="7">
        <v>45</v>
      </c>
      <c r="H65" s="21" t="s">
        <v>398</v>
      </c>
      <c r="I65" s="13">
        <v>43001.453159722223</v>
      </c>
      <c r="J65" s="7">
        <v>0</v>
      </c>
      <c r="K65" s="89" t="str">
        <f t="shared" si="0"/>
        <v>4023/4024</v>
      </c>
      <c r="L65" s="185" t="str">
        <f>VLOOKUP(A65,'Trips&amp;Operators'!$C$1:$G$99911,5,FALSE)</f>
        <v>HUFFSMITH MONTY</v>
      </c>
      <c r="M65" s="6">
        <f t="shared" si="1"/>
        <v>3.6134259258687962E-2</v>
      </c>
      <c r="N65" s="7">
        <f t="shared" si="30"/>
        <v>52.033333332510665</v>
      </c>
      <c r="O65" s="7"/>
      <c r="P65" s="7"/>
      <c r="Q65" s="22"/>
      <c r="R65" s="174" t="s">
        <v>1002</v>
      </c>
      <c r="S65" s="221">
        <f t="shared" si="31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-23T08:54:48-0600',mode:absolute,to:'2017-09-23T11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5" s="204" t="str">
        <f>IF(AA65&lt;VLOOKUP(AG65,Variables!$AC$3:$AD$8,2,FALSE),"Y","N")</f>
        <v>N</v>
      </c>
      <c r="X65" s="204">
        <f t="shared" si="27"/>
        <v>1</v>
      </c>
      <c r="Y65" s="204">
        <f t="shared" si="28"/>
        <v>4.5100000000000001E-2</v>
      </c>
      <c r="Z65" s="204">
        <f t="shared" si="29"/>
        <v>23.331199999999999</v>
      </c>
      <c r="AA65" s="204">
        <f t="shared" si="9"/>
        <v>23.286099999999998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151</v>
      </c>
      <c r="AE65" s="77" t="str">
        <f t="shared" si="11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65" s="74" t="str">
        <f t="shared" si="12"/>
        <v>"C:\Program Files (x86)\AstroGrep\AstroGrep.exe" /e /r /s /spath="%USERPROFILE%\AppData\Local\Temp\OnboardLogs" /stypes="app*4024*20170923*"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151-23 --locoid 4024 --swversion DE.1.0.9.0 --startMP 204:451 --initTime 2017-09-23T09:54:48 --startdatetime 2017-09-23T10:00:31 --delay 45 --endMP 204:233312 --enddatetime 2017-09-23T10:52:33 --enforcementcount 0 &gt;&gt;c:\users\stu\Documents\GitHub\eaglep3-reporting\EC\2017-09-23-refined-times.txt</v>
      </c>
      <c r="AI65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crossing","project_id":79,"tracker_id":40,"status_id":1,"priority_id":2,"assigned_to_id":338,"start_date":"2017-09-23","description":"","custom_fields":[{"id":1,"name":"Subdivision","value":"EC"},{"id":4,"name":"Milepost","value":"23.3312"},{"id":17,"name":"Train ID","value":"151-23"},{"id":16,"name":"Locomotive ID","value":"4024"},{"id":130,"name":"Impact","value":""},{"id":150,"name":"Time of Event (Mountain Time)","value":"10:52:33"},{"id":151,"name":"Denver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4024 --day 2017-09-23</v>
      </c>
      <c r="AN65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-23T08:54:48-0600',mode:absolute,to:'2017-09-23T11:52:33-0600'))&amp;_a=(columns:!('Message%20ID',Summary),filters:!(),index:'emp_*',interval:auto,query:(query_string:(analyze_wildcard:!t,query:'Message%5C+ID:(*)+AND+%22rtdc.l.rtdc.4024%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700</v>
      </c>
      <c r="B66" s="7">
        <v>4023</v>
      </c>
      <c r="C66" s="21" t="s">
        <v>196</v>
      </c>
      <c r="D66" s="21" t="s">
        <v>404</v>
      </c>
      <c r="E66" s="13">
        <v>43001.453657407408</v>
      </c>
      <c r="F66" s="13">
        <v>43001.45826388889</v>
      </c>
      <c r="G66" s="7">
        <v>226</v>
      </c>
      <c r="H66" s="21" t="s">
        <v>388</v>
      </c>
      <c r="I66" s="13">
        <v>43001.49858796296</v>
      </c>
      <c r="J66" s="7">
        <v>0</v>
      </c>
      <c r="K66" s="89" t="str">
        <f t="shared" si="0"/>
        <v>4023/4024</v>
      </c>
      <c r="L66" s="185" t="str">
        <f>VLOOKUP(A66,'Trips&amp;Operators'!$C$1:$G$99911,5,FALSE)</f>
        <v>HUFFSMITH MONTY</v>
      </c>
      <c r="M66" s="6">
        <f t="shared" si="1"/>
        <v>4.0324074070667848E-2</v>
      </c>
      <c r="N66" s="7">
        <f t="shared" si="30"/>
        <v>58.066666661761701</v>
      </c>
      <c r="O66" s="7"/>
      <c r="P66" s="7"/>
      <c r="Q66" s="22"/>
      <c r="R66" s="174" t="s">
        <v>1002</v>
      </c>
      <c r="S66" s="221">
        <f t="shared" si="31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-23T09:53:16-0600',mode:absolute,to:'2017-09-23T12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6" s="204" t="str">
        <f>IF(AA66&lt;VLOOKUP(AG66,Variables!$AC$3:$AD$8,2,FALSE),"Y","N")</f>
        <v>N</v>
      </c>
      <c r="X66" s="204">
        <f t="shared" ref="X66:X101" si="32">VALUE(LEFT(AD66,4))-VALUE(LEFT(AD65,4))</f>
        <v>1</v>
      </c>
      <c r="Y66" s="204">
        <f t="shared" si="28"/>
        <v>23.298100000000002</v>
      </c>
      <c r="Z66" s="204">
        <f t="shared" si="29"/>
        <v>1.3899999999999999E-2</v>
      </c>
      <c r="AA66" s="204">
        <f t="shared" si="9"/>
        <v>23.284200000000002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152</v>
      </c>
      <c r="AE66" s="77" t="str">
        <f t="shared" si="11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66" s="74" t="str">
        <f t="shared" si="12"/>
        <v>"C:\Program Files (x86)\AstroGrep\AstroGrep.exe" /e /r /s /spath="%USERPROFILE%\AppData\Local\Temp\OnboardLogs" /stypes="app*4023*20170923*"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152-23 --locoid 4023 --swversion DE.1.0.9.0 --startMP 204:232981 --initTime 2017-09-23T10:53:16 --startdatetime 2017-09-23T10:59:54 --delay 226 --endMP 204:139 --enddatetime 2017-09-23T11:57:58 --enforcementcount 0 &gt;&gt;c:\users\stu\Documents\GitHub\eaglep3-reporting\EC\2017-09-23-refined-times.txt</v>
      </c>
      <c r="AI66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crossing","project_id":79,"tracker_id":40,"status_id":1,"priority_id":2,"assigned_to_id":338,"start_date":"2017-09-23","description":"","custom_fields":[{"id":1,"name":"Subdivision","value":"EC"},{"id":4,"name":"Milepost","value":"0.0139"},{"id":17,"name":"Train ID","value":"152-23"},{"id":16,"name":"Locomotive ID","value":"4023"},{"id":130,"name":"Impact","value":""},{"id":150,"name":"Time of Event (Mountain Time)","value":"11:57:58"},{"id":151,"name":"Denver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4023 --day 2017-09-23</v>
      </c>
      <c r="AN66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-23T09:53:16-0600',mode:absolute,to:'2017-09-23T12:57:58-0600'))&amp;_a=(columns:!('Message%20ID',Summary),filters:!(),index:'emp_*',interval:auto,query:(query_string:(analyze_wildcard:!t,query:'Message%5C+ID:(*)+AND+%22rtdc.l.rtdc.4023%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696</v>
      </c>
      <c r="B67" s="7">
        <v>4040</v>
      </c>
      <c r="C67" s="21" t="s">
        <v>196</v>
      </c>
      <c r="D67" s="21" t="s">
        <v>862</v>
      </c>
      <c r="E67" s="13">
        <v>43001.424027777779</v>
      </c>
      <c r="F67" s="13">
        <v>43001.427337962959</v>
      </c>
      <c r="G67" s="7">
        <v>83</v>
      </c>
      <c r="H67" s="21" t="s">
        <v>863</v>
      </c>
      <c r="I67" s="13">
        <v>43001.471759259257</v>
      </c>
      <c r="J67" s="7">
        <v>0</v>
      </c>
      <c r="K67" s="89" t="str">
        <f t="shared" si="0"/>
        <v>4039/4040</v>
      </c>
      <c r="L67" s="185" t="str">
        <f>VLOOKUP(A67,'Trips&amp;Operators'!$C$1:$G$99911,5,FALSE)</f>
        <v>BADERTSCHER DIANE</v>
      </c>
      <c r="M67" s="6">
        <f t="shared" si="1"/>
        <v>4.4421296297514345E-2</v>
      </c>
      <c r="N67" s="7">
        <f t="shared" si="30"/>
        <v>63.966666668420658</v>
      </c>
      <c r="O67" s="7"/>
      <c r="P67" s="7"/>
      <c r="Q67" s="22"/>
      <c r="R67" s="174" t="s">
        <v>1002</v>
      </c>
      <c r="S67" s="221">
        <f t="shared" si="31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-23T09:10:36-0600',mode:absolute,to:'2017-09-23T12:19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204" t="str">
        <f>IF(AA67&lt;VLOOKUP(AG67,Variables!$AC$3:$AD$8,2,FALSE),"Y","N")</f>
        <v>N</v>
      </c>
      <c r="X67" s="204">
        <f t="shared" si="32"/>
        <v>1</v>
      </c>
      <c r="Y67" s="204">
        <f t="shared" si="28"/>
        <v>4.8899999999999999E-2</v>
      </c>
      <c r="Z67" s="204">
        <f t="shared" si="29"/>
        <v>23.328800000000001</v>
      </c>
      <c r="AA67" s="204">
        <f t="shared" si="9"/>
        <v>23.279900000000001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153</v>
      </c>
      <c r="AE67" s="77" t="str">
        <f t="shared" si="11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67" s="74" t="str">
        <f t="shared" si="12"/>
        <v>"C:\Program Files (x86)\AstroGrep\AstroGrep.exe" /e /r /s /spath="%USERPROFILE%\AppData\Local\Temp\OnboardLogs" /stypes="app*4040*20170923*"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153-23 --locoid 4040 --swversion DE.1.0.9.0 --startMP 204:489 --initTime 2017-09-23T10:10:36 --startdatetime 2017-09-23T10:15:22 --delay 83 --endMP 204:233288 --enddatetime 2017-09-23T11:19:20 --enforcementcount 0 &gt;&gt;c:\users\stu\Documents\GitHub\eaglep3-reporting\EC\2017-09-23-refined-times.txt</v>
      </c>
      <c r="AI67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crossing","project_id":79,"tracker_id":40,"status_id":1,"priority_id":2,"assigned_to_id":338,"start_date":"2017-09-23","description":"","custom_fields":[{"id":1,"name":"Subdivision","value":"EC"},{"id":4,"name":"Milepost","value":"23.3288"},{"id":17,"name":"Train ID","value":"153-23"},{"id":16,"name":"Locomotive ID","value":"4040"},{"id":130,"name":"Impact","value":""},{"id":150,"name":"Time of Event (Mountain Time)","value":"11:19:20"},{"id":151,"name":"Denver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4040 --day 2017-09-23</v>
      </c>
      <c r="AN67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-23T09:10:36-0600',mode:absolute,to:'2017-09-23T12:19:20-0600'))&amp;_a=(columns:!('Message%20ID',Summary),filters:!(),index:'emp_*',interval:auto,query:(query_string:(analyze_wildcard:!t,query:'Message%5C+ID:(*)+AND+%22rtdc.l.rtdc.4040%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4039</v>
      </c>
      <c r="C68" s="21" t="s">
        <v>196</v>
      </c>
      <c r="D68" s="21" t="s">
        <v>864</v>
      </c>
      <c r="E68" s="13">
        <v>43001.474733796298</v>
      </c>
      <c r="F68" s="13">
        <v>43001.479618055557</v>
      </c>
      <c r="G68" s="7">
        <v>331</v>
      </c>
      <c r="H68" s="21" t="s">
        <v>865</v>
      </c>
      <c r="I68" s="13">
        <v>43001.512962962966</v>
      </c>
      <c r="J68" s="7">
        <v>0</v>
      </c>
      <c r="K68" s="89" t="str">
        <f t="shared" si="0"/>
        <v>4039/4040</v>
      </c>
      <c r="L68" s="185" t="str">
        <f>VLOOKUP(A68,'Trips&amp;Operators'!$C$1:$G$99911,5,FALSE)</f>
        <v>BADERTSCHER DIANE</v>
      </c>
      <c r="M68" s="6">
        <f t="shared" si="1"/>
        <v>3.3344907409627922E-2</v>
      </c>
      <c r="N68" s="7">
        <f t="shared" si="30"/>
        <v>48.016666669864208</v>
      </c>
      <c r="O68" s="7"/>
      <c r="P68" s="7"/>
      <c r="Q68" s="22"/>
      <c r="R68" s="174" t="s">
        <v>1002</v>
      </c>
      <c r="S68" s="221">
        <f t="shared" si="31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-23T10:23:37-0600',mode:absolute,to:'2017-09-23T13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204" t="str">
        <f>IF(AA68&lt;VLOOKUP(AG68,Variables!$AC$3:$AD$8,2,FALSE),"Y","N")</f>
        <v>N</v>
      </c>
      <c r="X68" s="204">
        <f t="shared" si="32"/>
        <v>1</v>
      </c>
      <c r="Y68" s="204">
        <f t="shared" si="28"/>
        <v>23.295500000000001</v>
      </c>
      <c r="Z68" s="204">
        <f t="shared" si="29"/>
        <v>1.2500000000000001E-2</v>
      </c>
      <c r="AA68" s="204">
        <f t="shared" si="9"/>
        <v>23.283000000000001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154</v>
      </c>
      <c r="AE68" s="77" t="str">
        <f t="shared" si="11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68" s="74" t="str">
        <f t="shared" si="12"/>
        <v>"C:\Program Files (x86)\AstroGrep\AstroGrep.exe" /e /r /s /spath="%USERPROFILE%\AppData\Local\Temp\OnboardLogs" /stypes="app*4039*20170923*"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154-23 --locoid 4039 --swversion DE.1.0.9.0 --startMP 204:232955 --initTime 2017-09-23T11:23:37 --startdatetime 2017-09-23T11:30:39 --delay 331 --endMP 204:125 --enddatetime 2017-09-23T12:18:40 --enforcementcount 0 &gt;&gt;c:\users\stu\Documents\GitHub\eaglep3-reporting\EC\2017-09-23-refined-times.txt</v>
      </c>
      <c r="AI68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crossing","project_id":79,"tracker_id":40,"status_id":1,"priority_id":2,"assigned_to_id":338,"start_date":"2017-09-23","description":"","custom_fields":[{"id":1,"name":"Subdivision","value":"EC"},{"id":4,"name":"Milepost","value":"0.0125"},{"id":17,"name":"Train ID","value":"154-23"},{"id":16,"name":"Locomotive ID","value":"4039"},{"id":130,"name":"Impact","value":""},{"id":150,"name":"Time of Event (Mountain Time)","value":"12:18:40"},{"id":151,"name":"Denver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4039 --day 2017-09-23</v>
      </c>
      <c r="AN68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-23T10:23:37-0600',mode:absolute,to:'2017-09-23T13:18:40-0600'))&amp;_a=(columns:!('Message%20ID',Summary),filters:!(),index:'emp_*',interval:auto,query:(query_string:(analyze_wildcard:!t,query:'Message%5C+ID:(*)+AND+%22rtdc.l.rtdc.4039%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689</v>
      </c>
      <c r="B69" s="7">
        <v>4002</v>
      </c>
      <c r="C69" s="21" t="s">
        <v>196</v>
      </c>
      <c r="D69" s="21" t="s">
        <v>421</v>
      </c>
      <c r="E69" s="13">
        <v>43001.43681712963</v>
      </c>
      <c r="F69" s="13">
        <v>43001.438043981485</v>
      </c>
      <c r="G69" s="7">
        <v>69</v>
      </c>
      <c r="H69" s="21" t="s">
        <v>866</v>
      </c>
      <c r="I69" s="13">
        <v>43001.475578703707</v>
      </c>
      <c r="J69" s="7">
        <v>0</v>
      </c>
      <c r="K69" s="89" t="str">
        <f t="shared" si="0"/>
        <v>4001/4002</v>
      </c>
      <c r="L69" s="185" t="str">
        <f>VLOOKUP(A69,'Trips&amp;Operators'!$C$1:$G$99911,5,FALSE)</f>
        <v>MACDONALD THOMAS</v>
      </c>
      <c r="M69" s="6">
        <f t="shared" si="1"/>
        <v>3.7534722221607808E-2</v>
      </c>
      <c r="N69" s="7"/>
      <c r="O69" s="7"/>
      <c r="P69" s="7">
        <f>24*60*SUM($M69:$M69)</f>
        <v>54.049999999115244</v>
      </c>
      <c r="Q69" s="22"/>
      <c r="R69" s="174" t="s">
        <v>1001</v>
      </c>
      <c r="S69" s="221">
        <f t="shared" si="31"/>
        <v>0.91666666666666663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11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-23T09:29:01-0600',mode:absolute,to:'2017-09-23T12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04" t="str">
        <f>IF(AA69&lt;VLOOKUP(AG69,Variables!$AC$3:$AD$8,2,FALSE),"Y","N")</f>
        <v>Y</v>
      </c>
      <c r="X69" s="204">
        <f t="shared" si="32"/>
        <v>1</v>
      </c>
      <c r="Y69" s="204">
        <f t="shared" si="28"/>
        <v>4.7500000000000001E-2</v>
      </c>
      <c r="Z69" s="204">
        <f t="shared" si="29"/>
        <v>10.7241</v>
      </c>
      <c r="AA69" s="204">
        <f t="shared" si="9"/>
        <v>10.676600000000001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155</v>
      </c>
      <c r="AE69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69" s="74" t="str">
        <f t="shared" si="12"/>
        <v>"C:\Program Files (x86)\AstroGrep\AstroGrep.exe" /e /r /s /spath="%USERPROFILE%\AppData\Local\Temp\OnboardLogs" /stypes="app*4002*20170923*"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155-23 --locoid 4002 --swversion DE.1.0.9.0 --startMP 204:475 --initTime 2017-09-23T10:29:01 --startdatetime 2017-09-23T10:30:47 --delay 69 --endMP 204:107241 --enddatetime 2017-09-23T11:24:50 --enforcementcount 0 &gt;&gt;c:\users\stu\Documents\GitHub\eaglep3-reporting\EC\2017-09-23-refined-times.txt</v>
      </c>
      <c r="AI69" s="96" t="str">
        <f t="shared" si="20"/>
        <v>echo {"issue":{"subject":"Cement truck collision with Chambers crossing","project_id":79,"tracker_id":40,"status_id":1,"priority_id":2,"assigned_to_id":338,"start_date":"2017-09-23","description":"","custom_fields":[{"id":1,"name":"Subdivision","value":"EC"},{"id":4,"name":"Milepost","value":"10.7241"},{"id":17,"name":"Train ID","value":"155-23"},{"id":16,"name":"Locomotive ID","value":"4002"},{"id":130,"name":"Impact","value":""},{"id":150,"name":"Time of Event (Mountain Time)","value":"11:24:50"},{"id":151,"name":"Denver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4002 --day 2017-09-23</v>
      </c>
      <c r="AN69" s="151" t="str">
        <f t="shared" si="22"/>
        <v>echo {"issue":{"subject":"Cement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-23T09:29:01-0600',mode:absolute,to:'2017-09-23T12:24:50-0600'))&amp;_a=(columns:!('Message%20ID',Summary),filters:!(),index:'emp_*',interval:auto,query:(query_string:(analyze_wildcard:!t,query:'Message%5C+ID:(*)+AND+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689</v>
      </c>
      <c r="B70" s="7">
        <v>4002</v>
      </c>
      <c r="C70" s="21" t="s">
        <v>196</v>
      </c>
      <c r="D70" s="21" t="s">
        <v>867</v>
      </c>
      <c r="E70" s="13">
        <v>43001.471944444442</v>
      </c>
      <c r="F70" s="13">
        <v>43001.472870370373</v>
      </c>
      <c r="G70" s="7">
        <v>51</v>
      </c>
      <c r="H70" s="21" t="s">
        <v>868</v>
      </c>
      <c r="I70" s="13">
        <v>43001.475578703707</v>
      </c>
      <c r="J70" s="7">
        <v>0</v>
      </c>
      <c r="K70" s="89" t="str">
        <f t="shared" si="0"/>
        <v>4001/4002</v>
      </c>
      <c r="L70" s="185" t="str">
        <f>VLOOKUP(A70,'Trips&amp;Operators'!$C$1:$G$99911,5,FALSE)</f>
        <v>MACDONALD THOMAS</v>
      </c>
      <c r="M70" s="6">
        <f t="shared" si="1"/>
        <v>2.7083333334303461E-3</v>
      </c>
      <c r="N70" s="7"/>
      <c r="O70" s="7"/>
      <c r="P70" s="7"/>
      <c r="Q70" s="22"/>
      <c r="R70" s="174"/>
      <c r="S70" s="221"/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-23T10:19:36-0600',mode:absolute,to:'2017-09-23T12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0" s="204" t="str">
        <f>IF(AA70&lt;VLOOKUP(AG70,Variables!$AC$3:$AD$8,2,FALSE),"Y","N")</f>
        <v>Y</v>
      </c>
      <c r="X70" s="204">
        <f t="shared" si="32"/>
        <v>0</v>
      </c>
      <c r="Y70" s="204">
        <f t="shared" si="28"/>
        <v>12.827199999999999</v>
      </c>
      <c r="Z70" s="204">
        <f t="shared" si="29"/>
        <v>15.5235</v>
      </c>
      <c r="AA70" s="204">
        <f t="shared" si="9"/>
        <v>2.6963000000000008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155</v>
      </c>
      <c r="AE70" s="77" t="str">
        <f t="shared" si="11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70" s="74" t="str">
        <f t="shared" si="12"/>
        <v>"C:\Program Files (x86)\AstroGrep\AstroGrep.exe" /e /r /s /spath="%USERPROFILE%\AppData\Local\Temp\OnboardLogs" /stypes="app*4002*20170923*"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155-23 --locoid 4002 --swversion DE.1.0.9.0 --startMP 204:128272 --initTime 2017-09-23T11:19:36 --startdatetime 2017-09-23T11:20:56 --delay 51 --endMP 204:155235 --enddatetime 2017-09-23T11:24:50 --enforcementcount 0 &gt;&gt;c:\users\stu\Documents\GitHub\eaglep3-reporting\EC\2017-09-23-refined-times.txt</v>
      </c>
      <c r="AI70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{"issue":{"subject":"","project_id":79,"tracker_id":40,"status_id":1,"priority_id":2,"assigned_to_id":338,"start_date":"2017-09-23","description":"","custom_fields":[{"id":1,"name":"Subdivision","value":"EC"},{"id":4,"name":"Milepost","value":"15.5235"},{"id":17,"name":"Train ID","value":"155-23"},{"id":16,"name":"Locomotive ID","value":"4002"},{"id":130,"name":"Impact","value":""},{"id":150,"name":"Time of Event (Mountain Time)","value":"11:24:50"},{"id":151,"name":"Denver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4002 --day 2017-09-23</v>
      </c>
      <c r="AN70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-23T10:19:36-0600',mode:absolute,to:'2017-09-23T12:24:50-0600'))&amp;_a=(columns:!('Message%20ID',Summary),filters:!(),index:'emp_*',interval:auto,query:(query_string:(analyze_wildcard:!t,query:'Message%5C+ID:(*)+AND+%22rtdc.l.rtdc.4002%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707</v>
      </c>
      <c r="B71" s="7">
        <v>4001</v>
      </c>
      <c r="C71" s="21" t="s">
        <v>196</v>
      </c>
      <c r="D71" s="21" t="s">
        <v>394</v>
      </c>
      <c r="E71" s="13">
        <v>43001.492638888885</v>
      </c>
      <c r="F71" s="13">
        <v>43001.494074074071</v>
      </c>
      <c r="G71" s="7">
        <v>43</v>
      </c>
      <c r="H71" s="21" t="s">
        <v>379</v>
      </c>
      <c r="I71" s="13">
        <v>43001.524421296293</v>
      </c>
      <c r="J71" s="7">
        <v>0</v>
      </c>
      <c r="K71" s="89" t="str">
        <f t="shared" si="0"/>
        <v>4001/4002</v>
      </c>
      <c r="L71" s="185" t="str">
        <f>VLOOKUP(A71,'Trips&amp;Operators'!$C$1:$G$99911,5,FALSE)</f>
        <v>MACDONALD THOMAS</v>
      </c>
      <c r="M71" s="6">
        <f t="shared" si="1"/>
        <v>3.0347222222189885E-2</v>
      </c>
      <c r="N71" s="7">
        <f t="shared" ref="N71:N102" si="33">24*60*SUM($M71:$M71)</f>
        <v>43.699999999953434</v>
      </c>
      <c r="O71" s="7"/>
      <c r="P71" s="7"/>
      <c r="Q71" s="22"/>
      <c r="R71" s="174" t="s">
        <v>1002</v>
      </c>
      <c r="S71" s="221">
        <f t="shared" ref="S71:S102" si="34">1/IF(AG71="EC",12,1)*SUM(U71:U71)</f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-23T10:49:24-0600',mode:absolute,to:'2017-09-23T13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1" s="204" t="str">
        <f>IF(AA71&lt;VLOOKUP(AG71,Variables!$AC$3:$AD$8,2,FALSE),"Y","N")</f>
        <v>N</v>
      </c>
      <c r="X71" s="204">
        <f t="shared" si="32"/>
        <v>1</v>
      </c>
      <c r="Y71" s="204">
        <f t="shared" si="28"/>
        <v>23.299600000000002</v>
      </c>
      <c r="Z71" s="204">
        <f t="shared" si="29"/>
        <v>1.5800000000000002E-2</v>
      </c>
      <c r="AA71" s="204">
        <f t="shared" si="9"/>
        <v>23.283800000000003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156</v>
      </c>
      <c r="AE71" s="77" t="str">
        <f t="shared" si="11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71" s="74" t="str">
        <f t="shared" si="12"/>
        <v>"C:\Program Files (x86)\AstroGrep\AstroGrep.exe" /e /r /s /spath="%USERPROFILE%\AppData\Local\Temp\OnboardLogs" /stypes="app*4001*20170923*"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156-23 --locoid 4001 --swversion DE.1.0.9.0 --startMP 204:232996 --initTime 2017-09-23T11:49:24 --startdatetime 2017-09-23T11:51:28 --delay 43 --endMP 204:158 --enddatetime 2017-09-23T12:35:10 --enforcementcount 0 &gt;&gt;c:\users\stu\Documents\GitHub\eaglep3-reporting\EC\2017-09-23-refined-times.txt</v>
      </c>
      <c r="AI71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crossing","project_id":79,"tracker_id":40,"status_id":1,"priority_id":2,"assigned_to_id":338,"start_date":"2017-09-23","description":"","custom_fields":[{"id":1,"name":"Subdivision","value":"EC"},{"id":4,"name":"Milepost","value":"0.0158"},{"id":17,"name":"Train ID","value":"156-23"},{"id":16,"name":"Locomotive ID","value":"4001"},{"id":130,"name":"Impact","value":""},{"id":150,"name":"Time of Event (Mountain Time)","value":"12:35:10"},{"id":151,"name":"Denver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4001 --day 2017-09-23</v>
      </c>
      <c r="AN71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-23T10:49:24-0600',mode:absolute,to:'2017-09-23T13:35:10-0600'))&amp;_a=(columns:!('Message%20ID',Summary),filters:!(),index:'emp_*',interval:auto,query:(query_string:(analyze_wildcard:!t,query:'Message%5C+ID:(*)+AND+%22rtdc.l.rtdc.4001%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698</v>
      </c>
      <c r="B72" s="7">
        <v>4046</v>
      </c>
      <c r="C72" s="21" t="s">
        <v>196</v>
      </c>
      <c r="D72" s="21" t="s">
        <v>361</v>
      </c>
      <c r="E72" s="13">
        <v>43001.449224537035</v>
      </c>
      <c r="F72" s="13">
        <v>43001.451435185183</v>
      </c>
      <c r="G72" s="7">
        <v>77</v>
      </c>
      <c r="H72" s="21" t="s">
        <v>580</v>
      </c>
      <c r="I72" s="13">
        <v>43001.491585648146</v>
      </c>
      <c r="J72" s="7">
        <v>0</v>
      </c>
      <c r="K72" s="89" t="str">
        <f t="shared" si="0"/>
        <v>4045/4046</v>
      </c>
      <c r="L72" s="185" t="str">
        <f>VLOOKUP(A72,'Trips&amp;Operators'!$C$1:$G$99911,5,FALSE)</f>
        <v>BRUDER RICHARD</v>
      </c>
      <c r="M72" s="6">
        <f t="shared" si="1"/>
        <v>4.0150462962628808E-2</v>
      </c>
      <c r="N72" s="7">
        <f t="shared" si="33"/>
        <v>57.816666666185483</v>
      </c>
      <c r="O72" s="7"/>
      <c r="P72" s="7"/>
      <c r="Q72" s="22"/>
      <c r="R72" s="174" t="s">
        <v>1002</v>
      </c>
      <c r="S72" s="221">
        <f t="shared" si="34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-23T09:46:53-0600',mode:absolute,to:'2017-09-23T12:47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2" s="204" t="str">
        <f>IF(AA72&lt;VLOOKUP(AG72,Variables!$AC$3:$AD$8,2,FALSE),"Y","N")</f>
        <v>N</v>
      </c>
      <c r="X72" s="204">
        <f t="shared" si="32"/>
        <v>1</v>
      </c>
      <c r="Y72" s="204">
        <f t="shared" si="28"/>
        <v>4.6399999999999997E-2</v>
      </c>
      <c r="Z72" s="204">
        <f t="shared" si="29"/>
        <v>23.330300000000001</v>
      </c>
      <c r="AA72" s="204">
        <f t="shared" si="9"/>
        <v>23.283900000000003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157</v>
      </c>
      <c r="AE72" s="77" t="str">
        <f t="shared" si="11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72" s="74" t="str">
        <f t="shared" si="12"/>
        <v>"C:\Program Files (x86)\AstroGrep\AstroGrep.exe" /e /r /s /spath="%USERPROFILE%\AppData\Local\Temp\OnboardLogs" /stypes="app*4046*20170923*"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157-23 --locoid 4046 --swversion DE.1.0.9.0 --startMP 204:464 --initTime 2017-09-23T10:46:53 --startdatetime 2017-09-23T10:50:04 --delay 77 --endMP 204:233303 --enddatetime 2017-09-23T11:47:53 --enforcementcount 0 &gt;&gt;c:\users\stu\Documents\GitHub\eaglep3-reporting\EC\2017-09-23-refined-times.txt</v>
      </c>
      <c r="AI72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crossing","project_id":79,"tracker_id":40,"status_id":1,"priority_id":2,"assigned_to_id":338,"start_date":"2017-09-23","description":"","custom_fields":[{"id":1,"name":"Subdivision","value":"EC"},{"id":4,"name":"Milepost","value":"23.3303"},{"id":17,"name":"Train ID","value":"157-23"},{"id":16,"name":"Locomotive ID","value":"4046"},{"id":130,"name":"Impact","value":""},{"id":150,"name":"Time of Event (Mountain Time)","value":"11:47:53"},{"id":151,"name":"Denver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4046 --day 2017-09-23</v>
      </c>
      <c r="AN72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17:47:53"},{"id":29,"name":"Sharepoint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-23T09:46:53-0600',mode:absolute,to:'2017-09-23T12:47:53-0600'))&amp;_a=(columns:!('Message%20ID',Summary),filters:!(),index:'emp_*',interval:auto,query:(query_string:(analyze_wildcard:!t,query:'Message%5C+ID:(*)+AND+%22rtdc.l.rtdc.4046%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712</v>
      </c>
      <c r="B73" s="7">
        <v>4045</v>
      </c>
      <c r="C73" s="21" t="s">
        <v>196</v>
      </c>
      <c r="D73" s="21" t="s">
        <v>441</v>
      </c>
      <c r="E73" s="13">
        <v>43001.493344907409</v>
      </c>
      <c r="F73" s="13">
        <v>43001.496099537035</v>
      </c>
      <c r="G73" s="7">
        <v>67</v>
      </c>
      <c r="H73" s="21" t="s">
        <v>869</v>
      </c>
      <c r="I73" s="13">
        <v>43001.527696759258</v>
      </c>
      <c r="J73" s="7">
        <v>0</v>
      </c>
      <c r="K73" s="89" t="str">
        <f t="shared" si="0"/>
        <v>4045/4046</v>
      </c>
      <c r="L73" s="185" t="str">
        <f>VLOOKUP(A73,'Trips&amp;Operators'!$C$1:$G$99911,5,FALSE)</f>
        <v>BRUDER RICHARD</v>
      </c>
      <c r="M73" s="6">
        <f t="shared" si="1"/>
        <v>3.1597222223354038E-2</v>
      </c>
      <c r="N73" s="7">
        <f t="shared" si="33"/>
        <v>45.500000001629815</v>
      </c>
      <c r="O73" s="7"/>
      <c r="P73" s="7"/>
      <c r="Q73" s="22"/>
      <c r="R73" s="174" t="s">
        <v>1002</v>
      </c>
      <c r="S73" s="221">
        <f t="shared" si="34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-23T10:50:25-0600',mode:absolute,to:'2017-09-23T13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3" s="204" t="str">
        <f>IF(AA73&lt;VLOOKUP(AG73,Variables!$AC$3:$AD$8,2,FALSE),"Y","N")</f>
        <v>N</v>
      </c>
      <c r="X73" s="204">
        <f t="shared" si="32"/>
        <v>1</v>
      </c>
      <c r="Y73" s="204">
        <f t="shared" si="28"/>
        <v>23.298400000000001</v>
      </c>
      <c r="Z73" s="204">
        <f t="shared" si="29"/>
        <v>0.10009999999999999</v>
      </c>
      <c r="AA73" s="204">
        <f t="shared" si="9"/>
        <v>23.1983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158</v>
      </c>
      <c r="AE73" s="77" t="str">
        <f t="shared" si="11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73" s="74" t="str">
        <f t="shared" si="12"/>
        <v>"C:\Program Files (x86)\AstroGrep\AstroGrep.exe" /e /r /s /spath="%USERPROFILE%\AppData\Local\Temp\OnboardLogs" /stypes="app*4045*20170923*"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158-23 --locoid 4045 --swversion DE.1.0.9.0 --startMP 204:232984 --initTime 2017-09-23T11:50:25 --startdatetime 2017-09-23T11:54:23 --delay 67 --endMP 204:1001 --enddatetime 2017-09-23T12:39:53 --enforcementcount 0 &gt;&gt;c:\users\stu\Documents\GitHub\eaglep3-reporting\EC\2017-09-23-refined-times.txt</v>
      </c>
      <c r="AI73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crossing","project_id":79,"tracker_id":40,"status_id":1,"priority_id":2,"assigned_to_id":338,"start_date":"2017-09-23","description":"","custom_fields":[{"id":1,"name":"Subdivision","value":"EC"},{"id":4,"name":"Milepost","value":"0.1001"},{"id":17,"name":"Train ID","value":"158-23"},{"id":16,"name":"Locomotive ID","value":"4045"},{"id":130,"name":"Impact","value":""},{"id":150,"name":"Time of Event (Mountain Time)","value":"12:39:53"},{"id":151,"name":"Denver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4045 --day 2017-09-23</v>
      </c>
      <c r="AN73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-23T10:50:25-0600',mode:absolute,to:'2017-09-23T13:39:53-0600'))&amp;_a=(columns:!('Message%20ID',Summary),filters:!(),index:'emp_*',interval:auto,query:(query_string:(analyze_wildcard:!t,query:'Message%5C+ID:(*)+AND+%22rtdc.l.rtdc.4045%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699</v>
      </c>
      <c r="B74" s="7">
        <v>4012</v>
      </c>
      <c r="C74" s="21" t="s">
        <v>196</v>
      </c>
      <c r="D74" s="21" t="s">
        <v>441</v>
      </c>
      <c r="E74" s="13">
        <v>43001.493344907409</v>
      </c>
      <c r="F74" s="13">
        <v>43001.458506944444</v>
      </c>
      <c r="G74" s="7">
        <v>67</v>
      </c>
      <c r="H74" s="21" t="s">
        <v>869</v>
      </c>
      <c r="I74" s="13">
        <v>43001.499490740738</v>
      </c>
      <c r="J74" s="7">
        <v>0</v>
      </c>
      <c r="K74" s="89" t="str">
        <f t="shared" si="0"/>
        <v>4011/4012</v>
      </c>
      <c r="L74" s="185" t="str">
        <f>VLOOKUP(A74,'Trips&amp;Operators'!$C$1:$G$99911,5,FALSE)</f>
        <v>LOPES KIMBERLY</v>
      </c>
      <c r="M74" s="6">
        <f t="shared" si="1"/>
        <v>4.0983796294312924E-2</v>
      </c>
      <c r="N74" s="7">
        <f t="shared" si="33"/>
        <v>59.016666663810611</v>
      </c>
      <c r="O74" s="7"/>
      <c r="P74" s="7"/>
      <c r="Q74" s="22"/>
      <c r="R74" s="174" t="s">
        <v>1002</v>
      </c>
      <c r="S74" s="221">
        <f t="shared" si="34"/>
        <v>0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-23T10:50:25-0600',mode:absolute,to:'2017-09-23T12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204" t="str">
        <f>IF(AA74&lt;VLOOKUP(AG74,Variables!$AC$3:$AD$8,2,FALSE),"Y","N")</f>
        <v>N</v>
      </c>
      <c r="X74" s="204">
        <f t="shared" si="32"/>
        <v>1</v>
      </c>
      <c r="Y74" s="204">
        <f t="shared" si="28"/>
        <v>23.298400000000001</v>
      </c>
      <c r="Z74" s="204">
        <f t="shared" si="29"/>
        <v>0.10009999999999999</v>
      </c>
      <c r="AA74" s="204">
        <f t="shared" si="9"/>
        <v>23.1983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159</v>
      </c>
      <c r="AE74" s="77" t="str">
        <f t="shared" si="11"/>
        <v>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 &amp; aws s3 cp s3://rtdc.mdm.uploadarchive.raw/RTDC4012/ "%USERPROFILE%\AppData\Local\Temp\OnboardLogs"\RTDC4012\2017-09-24 --exclude "*" --recursive --include "*20170924*" &amp; "%USERPROFILE%\Documents\GitHub\mrs-test-scripts\Headless Mode &amp; Sideloading\WalkAndUnGZ.bat" "%USERPROFILE%\AppData\Local\Temp\OnboardLogs"\RTDC4012\2017-09-24</v>
      </c>
      <c r="AF74" s="74" t="str">
        <f t="shared" si="12"/>
        <v>"C:\Program Files (x86)\AstroGrep\AstroGrep.exe" /e /r /s /spath="%USERPROFILE%\AppData\Local\Temp\OnboardLogs" /stypes="app*4012*20170923*"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ref="AH74" si="35"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159-23 --locoid 4012 --swversion DE.1.0.9.0 --startMP 204:232984 --initTime 2017-09-23T11:50:25 --startdatetime 2017-09-23T11:00:15 --delay 67 --endMP 204:1001 --enddatetime 2017-09-23T11:59:16 --enforcementcount 0 &gt;&gt;c:\users\stu\Documents\GitHub\eaglep3-reporting\EC\2017-09-23-refined-times.txt</v>
      </c>
      <c r="AI74" s="96" t="str">
        <f t="shared" ref="AI74" si="36"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--insecure -X POST -H ""Content-Type: application/json"" -H ""X-Redmine-API-Key: "&amp;redm_api_key&amp;""" "&amp;redm_url&amp;" --data @-"</f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crossing","project_id":79,"tracker_id":40,"status_id":1,"priority_id":2,"assigned_to_id":338,"start_date":"2017-09-23","description":"","custom_fields":[{"id":1,"name":"Subdivision","value":"EC"},{"id":4,"name":"Milepost","value":"0.1001"},{"id":17,"name":"Train ID","value":"159-23"},{"id":16,"name":"Locomotive ID","value":"4012"},{"id":130,"name":"Impact","value":""},{"id":150,"name":"Time of Event (Mountain Time)","value":"11:59:16"},{"id":151,"name":"Denver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ref="AM74" si="37">"start /low /b "&amp;dls3logs&amp;" --loco "&amp;B74&amp;" --day "&amp;TEXT(F74,"YYYY-MM-DD")</f>
        <v>start /low /b %USERPROFILE%\Documents\GitHub\eaglep3\Utilities\DownloadLogsFromS3.py --loco 4012 --day 2017-09-23</v>
      </c>
      <c r="AN74" s="151" t="str">
        <f t="shared" ref="AN74" si="38">"echo {""issue"":{""subject"":"""&amp;R74&amp;""",""project_id"":30,""tracker_id"":4,""status_id"":"&amp;redmine_status_wcr&amp;",""priority_id"":"&amp;redmine_priority_wcr&amp;",""assigned_to_id"":"&amp;redmine_assignee_wcr&amp;",""start_date"":"""&amp;TEXT(I74-utc_offset/24,"YYYY-mm-dd")&amp;""",""description"":"""&amp;AJ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ref="AO74" si="39"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Message%20ID',Summary),filters:!(),index:'emp_*',interval:auto,query:"&amp;"(query_string:(analyze_wildcard:!t,query:'Message%5C+ID:(*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-23T10:50:25-0600',mode:absolute,to:'2017-09-23T12:59:16-0600'))&amp;_a=(columns:!('Message%20ID',Summary),filters:!(),index:'emp_*',interval:auto,query:(query_string:(analyze_wildcard:!t,query:'Message%5C+ID:(*)+AND+%22rtdc.l.rtdc.4012%22')),sort:!(Time.ISO8601,asc))</v>
      </c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</row>
    <row r="75" spans="1:91" s="1" customFormat="1" x14ac:dyDescent="0.25">
      <c r="A75" s="32" t="s">
        <v>714</v>
      </c>
      <c r="B75" s="7">
        <v>4011</v>
      </c>
      <c r="C75" s="21" t="s">
        <v>196</v>
      </c>
      <c r="D75" s="21" t="s">
        <v>444</v>
      </c>
      <c r="E75" s="13">
        <v>43001.500520833331</v>
      </c>
      <c r="F75" s="13">
        <v>43001.502199074072</v>
      </c>
      <c r="G75" s="7">
        <v>50</v>
      </c>
      <c r="H75" s="21" t="s">
        <v>847</v>
      </c>
      <c r="I75" s="13">
        <v>43001.533425925925</v>
      </c>
      <c r="J75" s="7">
        <v>0</v>
      </c>
      <c r="K75" s="89" t="str">
        <f t="shared" si="0"/>
        <v>4011/4012</v>
      </c>
      <c r="L75" s="185" t="str">
        <f>VLOOKUP(A75,'Trips&amp;Operators'!$C$1:$G$99911,5,FALSE)</f>
        <v>LOPES KIMBERLY</v>
      </c>
      <c r="M75" s="6">
        <f t="shared" si="1"/>
        <v>3.1226851853716653E-2</v>
      </c>
      <c r="N75" s="7">
        <f t="shared" si="33"/>
        <v>44.96666666935198</v>
      </c>
      <c r="O75" s="7"/>
      <c r="P75" s="7"/>
      <c r="Q75" s="22"/>
      <c r="R75" s="174" t="s">
        <v>1002</v>
      </c>
      <c r="S75" s="221">
        <f t="shared" si="34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-23T11:00:45-0600',mode:absolute,to:'2017-09-23T13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204" t="str">
        <f>IF(AA75&lt;VLOOKUP(AG75,Variables!$AC$3:$AD$8,2,FALSE),"Y","N")</f>
        <v>N</v>
      </c>
      <c r="X75" s="204">
        <f t="shared" si="32"/>
        <v>1</v>
      </c>
      <c r="Y75" s="204">
        <f t="shared" si="28"/>
        <v>23.2988</v>
      </c>
      <c r="Z75" s="204">
        <f t="shared" si="29"/>
        <v>0.11650000000000001</v>
      </c>
      <c r="AA75" s="204">
        <f t="shared" si="9"/>
        <v>23.182300000000001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160</v>
      </c>
      <c r="AE75" s="77" t="str">
        <f t="shared" si="11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75" s="74" t="str">
        <f t="shared" si="12"/>
        <v>"C:\Program Files (x86)\AstroGrep\AstroGrep.exe" /e /r /s /spath="%USERPROFILE%\AppData\Local\Temp\OnboardLogs" /stypes="app*4011*20170923*"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160-23 --locoid 4011 --swversion DE.1.0.9.0 --startMP 204:232988 --initTime 2017-09-23T12:00:45 --startdatetime 2017-09-23T12:03:10 --delay 50 --endMP 204:1165 --enddatetime 2017-09-23T12:48:08 --enforcementcount 0 &gt;&gt;c:\users\stu\Documents\GitHub\eaglep3-reporting\EC\2017-09-23-refined-times.txt</v>
      </c>
      <c r="AI75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crossing","project_id":79,"tracker_id":40,"status_id":1,"priority_id":2,"assigned_to_id":338,"start_date":"2017-09-23","description":"","custom_fields":[{"id":1,"name":"Subdivision","value":"EC"},{"id":4,"name":"Milepost","value":"0.1165"},{"id":17,"name":"Train ID","value":"160-23"},{"id":16,"name":"Locomotive ID","value":"4011"},{"id":130,"name":"Impact","value":""},{"id":150,"name":"Time of Event (Mountain Time)","value":"12:48:08"},{"id":151,"name":"Denver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4011 --day 2017-09-23</v>
      </c>
      <c r="AN75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-23T11:00:45-0600',mode:absolute,to:'2017-09-23T13:48:08-0600'))&amp;_a=(columns:!('Message%20ID',Summary),filters:!(),index:'emp_*',interval:auto,query:(query_string:(analyze_wildcard:!t,query:'Message%5C+ID:(*)+AND+%22rtdc.l.rtdc.4011%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702</v>
      </c>
      <c r="B76" s="7">
        <v>4058</v>
      </c>
      <c r="C76" s="21" t="s">
        <v>196</v>
      </c>
      <c r="D76" s="21" t="s">
        <v>378</v>
      </c>
      <c r="E76" s="13">
        <v>43001.463159722225</v>
      </c>
      <c r="F76" s="13">
        <v>43001.469050925924</v>
      </c>
      <c r="G76" s="7">
        <v>231</v>
      </c>
      <c r="H76" s="21" t="s">
        <v>870</v>
      </c>
      <c r="I76" s="13">
        <v>43001.502129629633</v>
      </c>
      <c r="J76" s="7">
        <v>0</v>
      </c>
      <c r="K76" s="89" t="str">
        <f t="shared" si="0"/>
        <v>4057/4058</v>
      </c>
      <c r="L76" s="185" t="str">
        <f>VLOOKUP(A76,'Trips&amp;Operators'!$C$1:$G$99911,5,FALSE)</f>
        <v>DAVIS MICHAEL</v>
      </c>
      <c r="M76" s="6">
        <f t="shared" si="1"/>
        <v>3.3078703709179536E-2</v>
      </c>
      <c r="N76" s="7">
        <f t="shared" si="33"/>
        <v>47.633333341218531</v>
      </c>
      <c r="O76" s="7"/>
      <c r="P76" s="7"/>
      <c r="Q76" s="22"/>
      <c r="R76" s="174" t="s">
        <v>1002</v>
      </c>
      <c r="S76" s="221">
        <f t="shared" si="34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-23T10:06:57-0600',mode:absolute,to:'2017-09-23T13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6" s="204" t="str">
        <f>IF(AA76&lt;VLOOKUP(AG76,Variables!$AC$3:$AD$8,2,FALSE),"Y","N")</f>
        <v>N</v>
      </c>
      <c r="X76" s="204">
        <f t="shared" si="32"/>
        <v>1</v>
      </c>
      <c r="Y76" s="204">
        <f t="shared" si="28"/>
        <v>4.5999999999999999E-2</v>
      </c>
      <c r="Z76" s="204">
        <f t="shared" si="29"/>
        <v>23.336300000000001</v>
      </c>
      <c r="AA76" s="204">
        <f t="shared" si="9"/>
        <v>23.290300000000002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161</v>
      </c>
      <c r="AE76" s="77" t="str">
        <f t="shared" si="11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76" s="74" t="str">
        <f t="shared" si="12"/>
        <v>"C:\Program Files (x86)\AstroGrep\AstroGrep.exe" /e /r /s /spath="%USERPROFILE%\AppData\Local\Temp\OnboardLogs" /stypes="app*4058*20170923*"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161-23 --locoid 4058 --swversion DE.1.0.9.0 --startMP 204:460 --initTime 2017-09-23T11:06:57 --startdatetime 2017-09-23T11:15:26 --delay 231 --endMP 204:233363 --enddatetime 2017-09-23T12:03:04 --enforcementcount 0 &gt;&gt;c:\users\stu\Documents\GitHub\eaglep3-reporting\EC\2017-09-23-refined-times.txt</v>
      </c>
      <c r="AI76" s="96" t="str">
        <f t="shared" si="20"/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crossing","project_id":79,"tracker_id":40,"status_id":1,"priority_id":2,"assigned_to_id":338,"start_date":"2017-09-23","description":"","custom_fields":[{"id":1,"name":"Subdivision","value":"EC"},{"id":4,"name":"Milepost","value":"23.3363"},{"id":17,"name":"Train ID","value":"161-23"},{"id":16,"name":"Locomotive ID","value":"4058"},{"id":130,"name":"Impact","value":""},{"id":150,"name":"Time of Event (Mountain Time)","value":"12:03:04"},{"id":151,"name":"Denver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4058 --day 2017-09-23</v>
      </c>
      <c r="AN76" s="151" t="str">
        <f t="shared" si="22"/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-09-23T10:06:57-0600',mode:absolute,to:'2017-09-23T13:03:04-0600'))&amp;_a=(columns:!('Message%20ID',Summary),filters:!(),index:'emp_*',interval:auto,query:(query_string:(analyze_wildcard:!t,query:'Message%5C+ID:(*)+AND+%22rtdc.l.rtdc.4058%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717</v>
      </c>
      <c r="B77" s="7">
        <v>4057</v>
      </c>
      <c r="C77" s="21" t="s">
        <v>196</v>
      </c>
      <c r="D77" s="21" t="s">
        <v>871</v>
      </c>
      <c r="E77" s="13">
        <v>43001.506631944445</v>
      </c>
      <c r="F77" s="13">
        <v>43001.509166666663</v>
      </c>
      <c r="G77" s="7">
        <v>71</v>
      </c>
      <c r="H77" s="21" t="s">
        <v>357</v>
      </c>
      <c r="I77" s="13">
        <v>43001.537453703706</v>
      </c>
      <c r="J77" s="7">
        <v>0</v>
      </c>
      <c r="K77" s="89" t="str">
        <f t="shared" ref="K77:K140" si="40">IF(ISEVEN(B77),(B77-1)&amp;"/"&amp;B77,B77&amp;"/"&amp;(B77+1))</f>
        <v>4057/4058</v>
      </c>
      <c r="L77" s="185" t="str">
        <f>VLOOKUP(A77,'Trips&amp;Operators'!$C$1:$G$99911,5,FALSE)</f>
        <v>DAVIS MICHAEL</v>
      </c>
      <c r="M77" s="6">
        <f t="shared" ref="M77:M140" si="41">I77-F77</f>
        <v>2.828703704290092E-2</v>
      </c>
      <c r="N77" s="7">
        <f t="shared" si="33"/>
        <v>40.733333341777325</v>
      </c>
      <c r="O77" s="7"/>
      <c r="P77" s="7"/>
      <c r="Q77" s="22"/>
      <c r="R77" s="174"/>
      <c r="S77" s="221">
        <f t="shared" si="34"/>
        <v>1</v>
      </c>
      <c r="T77" s="174" t="str">
        <f t="shared" ref="T77:T140" si="42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-23T11:09:33-0600',mode:absolute,to:'2017-09-23T13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7" s="204" t="str">
        <f>IF(AA77&lt;VLOOKUP(AG77,Variables!$AC$3:$AD$8,2,FALSE),"Y","N")</f>
        <v>N</v>
      </c>
      <c r="X77" s="204">
        <f t="shared" si="32"/>
        <v>1</v>
      </c>
      <c r="Y77" s="204">
        <f t="shared" ref="Y77:Y101" si="44">RIGHT(D77,LEN(D77)-4)/10000</f>
        <v>23.300999999999998</v>
      </c>
      <c r="Z77" s="204">
        <f t="shared" ref="Z77:Z101" si="45">RIGHT(H77,LEN(H77)-4)/10000</f>
        <v>1.52E-2</v>
      </c>
      <c r="AA77" s="204">
        <f t="shared" ref="AA77:AA140" si="46">ABS(Z77-Y77)</f>
        <v>23.285799999999998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7">VALUE(LEFT(A77,LEN(A77)-3))</f>
        <v>162</v>
      </c>
      <c r="AE77" s="77" t="str">
        <f t="shared" ref="AE77:AE140" si="4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77" s="74" t="str">
        <f t="shared" ref="AF77:AF140" si="4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/stypes="app*4057*20170923*"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50">DetSubdiv(A77)</f>
        <v>EC</v>
      </c>
      <c r="AH77" s="78" t="str">
        <f t="shared" si="19"/>
        <v>"%USERPROFILE%\Documents\GitHub\eaglep3\Utilities\RefineRTDCRunTimes.py" --tripid 162-23 --locoid 4057 --swversion DE.1.0.9.0 --startMP 204:233010 --initTime 2017-09-23T12:09:33 --startdatetime 2017-09-23T12:13:12 --delay 71 --endMP 204:152 --enddatetime 2017-09-23T12:53:56 --enforcementcount 0 &gt;&gt;c:\users\stu\Documents\GitHub\eaglep3-reporting\EC\2017-09-23-refined-times.txt</v>
      </c>
      <c r="AI77" s="96" t="str">
        <f t="shared" si="20"/>
        <v>echo {"issue":{"subject":"","project_id":79,"tracker_id":40,"status_id":1,"priority_id":2,"assigned_to_id":338,"start_date":"2017-09-23","description":"","custom_fields":[{"id":1,"name":"Subdivision","value":"EC"},{"id":4,"name":"Milepost","value":"0.0152"},{"id":17,"name":"Train ID","value":"162-23"},{"id":16,"name":"Locomotive ID","value":"4057"},{"id":130,"name":"Impact","value":""},{"id":150,"name":"Time of Event (Mountain Time)","value":"12:53:56"},{"id":151,"name":"Denver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4057 --day 2017-09-23</v>
      </c>
      <c r="AN77" s="151" t="str">
        <f t="shared" si="22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-09-23T11:09:33-0600',mode:absolute,to:'2017-09-23T13:53:56-0600'))&amp;_a=(columns:!('Message%20ID',Summary),filters:!(),index:'emp_*',interval:auto,query:(query_string:(analyze_wildcard:!t,query:'Message%5C+ID:(*)+AND+%22rtdc.l.rtdc.4057%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703</v>
      </c>
      <c r="B78" s="7">
        <v>4026</v>
      </c>
      <c r="C78" s="21" t="s">
        <v>196</v>
      </c>
      <c r="D78" s="21" t="s">
        <v>339</v>
      </c>
      <c r="E78" s="13">
        <v>43001.471689814818</v>
      </c>
      <c r="F78" s="13">
        <v>43001.479432870372</v>
      </c>
      <c r="G78" s="7">
        <v>361</v>
      </c>
      <c r="H78" s="21" t="s">
        <v>872</v>
      </c>
      <c r="I78" s="13">
        <v>43001.510393518518</v>
      </c>
      <c r="J78" s="7">
        <v>0</v>
      </c>
      <c r="K78" s="89" t="str">
        <f t="shared" si="40"/>
        <v>4025/4026</v>
      </c>
      <c r="L78" s="185" t="str">
        <f>VLOOKUP(A78,'Trips&amp;Operators'!$C$1:$G$99911,5,FALSE)</f>
        <v>SAFIEF AEIMEN</v>
      </c>
      <c r="M78" s="6">
        <f t="shared" si="41"/>
        <v>3.0960648145992309E-2</v>
      </c>
      <c r="N78" s="7">
        <f t="shared" si="33"/>
        <v>44.583333330228925</v>
      </c>
      <c r="O78" s="7"/>
      <c r="P78" s="7"/>
      <c r="Q78" s="22"/>
      <c r="R78" s="174" t="s">
        <v>1002</v>
      </c>
      <c r="S78" s="221">
        <f t="shared" si="34"/>
        <v>1</v>
      </c>
      <c r="T78" s="174" t="str">
        <f t="shared" si="42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3"/>
        <v>https://d0f6bd738d7f1b3e5a7ca70fe4ff75f0.us-east-1.aws.found.io/app/kibana#/discover/Steve-Slow-Train-Analysis-(2080s-and-2083s)?_g=(refreshInterval:(display:Off,pause:!f,section:0,value:0),time:(from:'2017-09-23T10:19:14-0600',mode:absolute,to:'2017-09-23T13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8" s="204" t="str">
        <f>IF(AA78&lt;VLOOKUP(AG78,Variables!$AC$3:$AD$8,2,FALSE),"Y","N")</f>
        <v>N</v>
      </c>
      <c r="X78" s="204">
        <f t="shared" si="32"/>
        <v>1</v>
      </c>
      <c r="Y78" s="204">
        <f t="shared" si="44"/>
        <v>4.53E-2</v>
      </c>
      <c r="Z78" s="204">
        <f t="shared" si="45"/>
        <v>23.335699999999999</v>
      </c>
      <c r="AA78" s="204">
        <f t="shared" si="46"/>
        <v>23.290399999999998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7"/>
        <v>163</v>
      </c>
      <c r="AE78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78" s="74" t="str">
        <f t="shared" si="49"/>
        <v>"C:\Program Files (x86)\AstroGrep\AstroGrep.exe" /e /r /s /spath="%USERPROFILE%\AppData\Local\Temp\OnboardLogs" /stypes="app*4026*20170923*" /stext=" 18:.+((SYSTEM_STATE.+slice.+state.+changed )|(ment ac)|(multiple cpu faults)|(system.+state.+changed )|(\[timeout)|(PRM\|1\|D)|(kpr)|(kdp)|(train st.+moving)|(\|lc)|(penalty))"</v>
      </c>
      <c r="AG78" s="182" t="str">
        <f t="shared" si="50"/>
        <v>EC</v>
      </c>
      <c r="AH78" s="78" t="str">
        <f t="shared" ref="AH78:AH143" si="5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163-23 --locoid 4026 --swversion DE.1.0.9.0 --startMP 204:453 --initTime 2017-09-23T11:19:14 --startdatetime 2017-09-23T11:30:23 --delay 361 --endMP 204:233357 --enddatetime 2017-09-23T12:14:58 --enforcementcount 0 &gt;&gt;c:\users\stu\Documents\GitHub\eaglep3-reporting\EC\2017-09-23-refined-times.txt</v>
      </c>
      <c r="AI78" s="96" t="str">
        <f t="shared" ref="AI78:AI143" si="5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{"issue":{"subject":"Delayed by cement truck collision with Chambers crossing","project_id":79,"tracker_id":40,"status_id":1,"priority_id":2,"assigned_to_id":338,"start_date":"2017-09-23","description":"","custom_fields":[{"id":1,"name":"Subdivision","value":"EC"},{"id":4,"name":"Milepost","value":"23.3357"},{"id":17,"name":"Train ID","value":"163-23"},{"id":16,"name":"Locomotive ID","value":"4026"},{"id":130,"name":"Impact","value":""},{"id":150,"name":"Time of Event (Mountain Time)","value":"12:14:58"},{"id":151,"name":"Denver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53">"start /low /b "&amp;dls3logs&amp;" --loco "&amp;B78&amp;" --day "&amp;TEXT(F78,"YYYY-MM-DD")</f>
        <v>start /low /b %USERPROFILE%\Documents\GitHub\eaglep3\Utilities\DownloadLogsFromS3.py --loco 4026 --day 2017-09-23</v>
      </c>
      <c r="AN78" s="151" t="str">
        <f t="shared" ref="AN78:AN143" si="5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cement truck collision with Chambers crossing","project_id":30,"tracker_id":4,"status_id":1,"priority_id":1,"assigned_to_id":10,"start_date":"2017-09-23","description":"","custom_fields":[{"id":30,"name":"Category","value":"Issue"},{"id":3,"name":"Functional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55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Message%5C+ID:(*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-23T10:19:14-0600',mode:absolute,to:'2017-09-23T13:14:58-0600'))&amp;_a=(columns:!('Message%20ID',Summary),filters:!(),index:'emp_*',interval:auto,query:(query_string:(analyze_wildcard:!t,query:'Message%5C+ID:(*)+AND+%22rtdc.l.rtdc.4026%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718</v>
      </c>
      <c r="B79" s="7">
        <v>4025</v>
      </c>
      <c r="C79" s="21" t="s">
        <v>196</v>
      </c>
      <c r="D79" s="21" t="s">
        <v>873</v>
      </c>
      <c r="E79" s="13">
        <v>43001.51457175926</v>
      </c>
      <c r="F79" s="13">
        <v>43001.519166666665</v>
      </c>
      <c r="G79" s="7">
        <v>102</v>
      </c>
      <c r="H79" s="21" t="s">
        <v>856</v>
      </c>
      <c r="I79" s="13">
        <v>43001.545810185184</v>
      </c>
      <c r="J79" s="7">
        <v>0</v>
      </c>
      <c r="K79" s="89" t="str">
        <f t="shared" si="40"/>
        <v>4025/4026</v>
      </c>
      <c r="L79" s="185" t="str">
        <f>VLOOKUP(A79,'Trips&amp;Operators'!$C$1:$G$99911,5,FALSE)</f>
        <v>SAFIEF AEIMEN</v>
      </c>
      <c r="M79" s="6">
        <f t="shared" si="41"/>
        <v>2.6643518518540077E-2</v>
      </c>
      <c r="N79" s="7">
        <f t="shared" si="33"/>
        <v>38.366666666697711</v>
      </c>
      <c r="O79" s="7"/>
      <c r="P79" s="7"/>
      <c r="Q79" s="22"/>
      <c r="R79" s="174"/>
      <c r="S79" s="221">
        <f t="shared" si="34"/>
        <v>1</v>
      </c>
      <c r="T79" s="174" t="str">
        <f t="shared" si="42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3"/>
        <v>https://d0f6bd738d7f1b3e5a7ca70fe4ff75f0.us-east-1.aws.found.io/app/kibana#/discover/Steve-Slow-Train-Analysis-(2080s-and-2083s)?_g=(refreshInterval:(display:Off,pause:!f,section:0,value:0),time:(from:'2017-09-23T11:20:59-0600',mode:absolute,to:'2017-09-23T14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204" t="str">
        <f>IF(AA79&lt;VLOOKUP(AG79,Variables!$AC$3:$AD$8,2,FALSE),"Y","N")</f>
        <v>N</v>
      </c>
      <c r="X79" s="204">
        <f t="shared" si="32"/>
        <v>1</v>
      </c>
      <c r="Y79" s="204">
        <f t="shared" si="44"/>
        <v>23.3034</v>
      </c>
      <c r="Z79" s="204">
        <f t="shared" si="45"/>
        <v>1.6899999999999998E-2</v>
      </c>
      <c r="AA79" s="204">
        <f t="shared" si="46"/>
        <v>23.2865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7"/>
        <v>164</v>
      </c>
      <c r="AE79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79" s="74" t="str">
        <f t="shared" si="49"/>
        <v>"C:\Program Files (x86)\AstroGrep\AstroGrep.exe" /e /r /s /spath="%USERPROFILE%\AppData\Local\Temp\OnboardLogs" /stypes="app*4025*20170923*" /stext=" 19:.+((SYSTEM_STATE.+slice.+state.+changed )|(ment ac)|(multiple cpu faults)|(system.+state.+changed )|(\[timeout)|(PRM\|1\|D)|(kpr)|(kdp)|(train st.+moving)|(\|lc)|(penalty))"</v>
      </c>
      <c r="AG79" s="182" t="str">
        <f t="shared" si="50"/>
        <v>EC</v>
      </c>
      <c r="AH79" s="78" t="str">
        <f t="shared" si="51"/>
        <v>"%USERPROFILE%\Documents\GitHub\eaglep3\Utilities\RefineRTDCRunTimes.py" --tripid 164-23 --locoid 4025 --swversion DE.1.0.9.0 --startMP 204:233034 --initTime 2017-09-23T12:20:59 --startdatetime 2017-09-23T12:27:36 --delay 102 --endMP 204:169 --enddatetime 2017-09-23T13:05:58 --enforcementcount 0 &gt;&gt;c:\users\stu\Documents\GitHub\eaglep3-reporting\EC\2017-09-23-refined-times.txt</v>
      </c>
      <c r="AI7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{"issue":{"subject":"","project_id":79,"tracker_id":40,"status_id":1,"priority_id":2,"assigned_to_id":338,"start_date":"2017-09-23","description":"","custom_fields":[{"id":1,"name":"Subdivision","value":"EC"},{"id":4,"name":"Milepost","value":"0.0169"},{"id":17,"name":"Train ID","value":"164-23"},{"id":16,"name":"Locomotive ID","value":"4025"},{"id":130,"name":"Impact","value":""},{"id":150,"name":"Time of Event (Mountain Time)","value":"13:05:58"},{"id":151,"name":"Denver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53"/>
        <v>start /low /b %USERPROFILE%\Documents\GitHub\eaglep3\Utilities\DownloadLogsFromS3.py --loco 4025 --day 2017-09-23</v>
      </c>
      <c r="AN7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5"/>
        <v>https://d0f6bd738d7f1b3e5a7ca70fe4ff75f0.us-east-1.aws.found.io/app/kibana#/discover/Steve-Slow-Train-Analysis-(2080s-and-2083s)?_g=(refreshInterval:(display:Off,pause:!f,section:0,value:0),time:(from:'2017-09-23T11:20:59-0600',mode:absolute,to:'2017-09-23T14:05:58-0600'))&amp;_a=(columns:!('Message%20ID',Summary),filters:!(),index:'emp_*',interval:auto,query:(query_string:(analyze_wildcard:!t,query:'Message%5C+ID:(*)+AND+%22rtdc.l.rtdc.4025%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709</v>
      </c>
      <c r="B80" s="7">
        <v>4010</v>
      </c>
      <c r="C80" s="21" t="s">
        <v>196</v>
      </c>
      <c r="D80" s="21" t="s">
        <v>395</v>
      </c>
      <c r="E80" s="13">
        <v>43001.485023148147</v>
      </c>
      <c r="F80" s="13">
        <v>43001.489756944444</v>
      </c>
      <c r="G80" s="7">
        <v>76</v>
      </c>
      <c r="H80" s="21" t="s">
        <v>438</v>
      </c>
      <c r="I80" s="13">
        <v>43001.51734953704</v>
      </c>
      <c r="J80" s="7">
        <v>0</v>
      </c>
      <c r="K80" s="89" t="str">
        <f t="shared" si="40"/>
        <v>4009/4010</v>
      </c>
      <c r="L80" s="185" t="str">
        <f>VLOOKUP(A80,'Trips&amp;Operators'!$C$1:$G$99911,5,FALSE)</f>
        <v>GUZMAN DANNY</v>
      </c>
      <c r="M80" s="6">
        <f t="shared" si="41"/>
        <v>2.7592592596192844E-2</v>
      </c>
      <c r="N80" s="7">
        <f t="shared" si="33"/>
        <v>39.733333338517696</v>
      </c>
      <c r="O80" s="7"/>
      <c r="P80" s="7"/>
      <c r="Q80" s="22"/>
      <c r="R80" s="174"/>
      <c r="S80" s="221">
        <f t="shared" si="34"/>
        <v>1</v>
      </c>
      <c r="T80" s="174" t="str">
        <f t="shared" si="42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3"/>
        <v>https://d0f6bd738d7f1b3e5a7ca70fe4ff75f0.us-east-1.aws.found.io/app/kibana#/discover/Steve-Slow-Train-Analysis-(2080s-and-2083s)?_g=(refreshInterval:(display:Off,pause:!f,section:0,value:0),time:(from:'2017-09-23T10:38:26-0600',mode:absolute,to:'2017-09-23T13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204" t="str">
        <f>IF(AA80&lt;VLOOKUP(AG80,Variables!$AC$3:$AD$8,2,FALSE),"Y","N")</f>
        <v>N</v>
      </c>
      <c r="X80" s="204">
        <f t="shared" si="32"/>
        <v>1</v>
      </c>
      <c r="Y80" s="204">
        <f t="shared" si="44"/>
        <v>4.5100000000000001E-2</v>
      </c>
      <c r="Z80" s="204">
        <f t="shared" si="45"/>
        <v>23.3306</v>
      </c>
      <c r="AA80" s="204">
        <f t="shared" si="46"/>
        <v>23.285499999999999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7"/>
        <v>165</v>
      </c>
      <c r="AE80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80" s="74" t="str">
        <f t="shared" si="49"/>
        <v>"C:\Program Files (x86)\AstroGrep\AstroGrep.exe" /e /r /s /spath="%USERPROFILE%\AppData\Local\Temp\OnboardLogs" /stypes="app*4010*20170923*" /stext=" 18:.+((SYSTEM_STATE.+slice.+state.+changed )|(ment ac)|(multiple cpu faults)|(system.+state.+changed )|(\[timeout)|(PRM\|1\|D)|(kpr)|(kdp)|(train st.+moving)|(\|lc)|(penalty))"</v>
      </c>
      <c r="AG80" s="182" t="str">
        <f t="shared" si="50"/>
        <v>EC</v>
      </c>
      <c r="AH80" s="78" t="str">
        <f t="shared" si="51"/>
        <v>"%USERPROFILE%\Documents\GitHub\eaglep3\Utilities\RefineRTDCRunTimes.py" --tripid 165-23 --locoid 4010 --swversion DE.1.0.9.0 --startMP 204:451 --initTime 2017-09-23T11:38:26 --startdatetime 2017-09-23T11:45:15 --delay 76 --endMP 204:233306 --enddatetime 2017-09-23T12:24:59 --enforcementcount 0 &gt;&gt;c:\users\stu\Documents\GitHub\eaglep3-reporting\EC\2017-09-23-refined-times.txt</v>
      </c>
      <c r="AI8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{"issue":{"subject":"","project_id":79,"tracker_id":40,"status_id":1,"priority_id":2,"assigned_to_id":338,"start_date":"2017-09-23","description":"","custom_fields":[{"id":1,"name":"Subdivision","value":"EC"},{"id":4,"name":"Milepost","value":"23.3306"},{"id":17,"name":"Train ID","value":"165-23"},{"id":16,"name":"Locomotive ID","value":"4010"},{"id":130,"name":"Impact","value":""},{"id":150,"name":"Time of Event (Mountain Time)","value":"12:24:59"},{"id":151,"name":"Denver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53"/>
        <v>start /low /b %USERPROFILE%\Documents\GitHub\eaglep3\Utilities\DownloadLogsFromS3.py --loco 4010 --day 2017-09-23</v>
      </c>
      <c r="AN8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5"/>
        <v>https://d0f6bd738d7f1b3e5a7ca70fe4ff75f0.us-east-1.aws.found.io/app/kibana#/discover/Steve-Slow-Train-Analysis-(2080s-and-2083s)?_g=(refreshInterval:(display:Off,pause:!f,section:0,value:0),time:(from:'2017-09-23T10:38:26-0600',mode:absolute,to:'2017-09-23T13:24:59-0600'))&amp;_a=(columns:!('Message%20ID',Summary),filters:!(),index:'emp_*',interval:auto,query:(query_string:(analyze_wildcard:!t,query:'Message%5C+ID:(*)+AND+%22rtdc.l.rtdc.4010%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720</v>
      </c>
      <c r="B81" s="7">
        <v>4009</v>
      </c>
      <c r="C81" s="21" t="s">
        <v>196</v>
      </c>
      <c r="D81" s="21" t="s">
        <v>422</v>
      </c>
      <c r="E81" s="13">
        <v>43001.525219907409</v>
      </c>
      <c r="F81" s="13">
        <v>43001.529328703706</v>
      </c>
      <c r="G81" s="7">
        <v>85</v>
      </c>
      <c r="H81" s="21" t="s">
        <v>874</v>
      </c>
      <c r="I81" s="13">
        <v>43001.555613425924</v>
      </c>
      <c r="J81" s="7">
        <v>0</v>
      </c>
      <c r="K81" s="89" t="str">
        <f t="shared" si="40"/>
        <v>4009/4010</v>
      </c>
      <c r="L81" s="185" t="str">
        <f>VLOOKUP(A81,'Trips&amp;Operators'!$C$1:$G$99911,5,FALSE)</f>
        <v>GUZMAN DANNY</v>
      </c>
      <c r="M81" s="6">
        <f t="shared" si="41"/>
        <v>2.6284722218406387E-2</v>
      </c>
      <c r="N81" s="7">
        <f t="shared" si="33"/>
        <v>37.849999994505197</v>
      </c>
      <c r="O81" s="7"/>
      <c r="P81" s="7"/>
      <c r="Q81" s="22"/>
      <c r="R81" s="174"/>
      <c r="S81" s="221">
        <f t="shared" si="34"/>
        <v>1</v>
      </c>
      <c r="T81" s="174" t="str">
        <f t="shared" si="42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3"/>
        <v>https://d0f6bd738d7f1b3e5a7ca70fe4ff75f0.us-east-1.aws.found.io/app/kibana#/discover/Steve-Slow-Train-Analysis-(2080s-and-2083s)?_g=(refreshInterval:(display:Off,pause:!f,section:0,value:0),time:(from:'2017-09-23T11:36:19-0600',mode:absolute,to:'2017-09-23T14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204" t="str">
        <f>IF(AA81&lt;VLOOKUP(AG81,Variables!$AC$3:$AD$8,2,FALSE),"Y","N")</f>
        <v>N</v>
      </c>
      <c r="X81" s="204">
        <f t="shared" si="32"/>
        <v>1</v>
      </c>
      <c r="Y81" s="204">
        <f t="shared" si="44"/>
        <v>23.298500000000001</v>
      </c>
      <c r="Z81" s="204">
        <f t="shared" si="45"/>
        <v>1.6500000000000001E-2</v>
      </c>
      <c r="AA81" s="204">
        <f t="shared" si="46"/>
        <v>23.282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7"/>
        <v>166</v>
      </c>
      <c r="AE81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81" s="74" t="str">
        <f t="shared" si="49"/>
        <v>"C:\Program Files (x86)\AstroGrep\AstroGrep.exe" /e /r /s /spath="%USERPROFILE%\AppData\Local\Temp\OnboardLogs" /stypes="app*4009*20170923*" /stext=" 19:.+((SYSTEM_STATE.+slice.+state.+changed )|(ment ac)|(multiple cpu faults)|(system.+state.+changed )|(\[timeout)|(PRM\|1\|D)|(kpr)|(kdp)|(train st.+moving)|(\|lc)|(penalty))"</v>
      </c>
      <c r="AG81" s="182" t="str">
        <f t="shared" si="50"/>
        <v>EC</v>
      </c>
      <c r="AH81" s="78" t="str">
        <f t="shared" si="51"/>
        <v>"%USERPROFILE%\Documents\GitHub\eaglep3\Utilities\RefineRTDCRunTimes.py" --tripid 166-23 --locoid 4009 --swversion DE.1.0.9.0 --startMP 204:232985 --initTime 2017-09-23T12:36:19 --startdatetime 2017-09-23T12:42:14 --delay 85 --endMP 204:165 --enddatetime 2017-09-23T13:20:05 --enforcementcount 0 &gt;&gt;c:\users\stu\Documents\GitHub\eaglep3-reporting\EC\2017-09-23-refined-times.txt</v>
      </c>
      <c r="AI8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{"issue":{"subject":"","project_id":79,"tracker_id":40,"status_id":1,"priority_id":2,"assigned_to_id":338,"start_date":"2017-09-23","description":"","custom_fields":[{"id":1,"name":"Subdivision","value":"EC"},{"id":4,"name":"Milepost","value":"0.0165"},{"id":17,"name":"Train ID","value":"166-23"},{"id":16,"name":"Locomotive ID","value":"4009"},{"id":130,"name":"Impact","value":""},{"id":150,"name":"Time of Event (Mountain Time)","value":"13:20:05"},{"id":151,"name":"Denver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53"/>
        <v>start /low /b %USERPROFILE%\Documents\GitHub\eaglep3\Utilities\DownloadLogsFromS3.py --loco 4009 --day 2017-09-23</v>
      </c>
      <c r="AN81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5"/>
        <v>https://d0f6bd738d7f1b3e5a7ca70fe4ff75f0.us-east-1.aws.found.io/app/kibana#/discover/Steve-Slow-Train-Analysis-(2080s-and-2083s)?_g=(refreshInterval:(display:Off,pause:!f,section:0,value:0),time:(from:'2017-09-23T11:36:19-0600',mode:absolute,to:'2017-09-23T14:20:05-0600'))&amp;_a=(columns:!('Message%20ID',Summary),filters:!(),index:'emp_*',interval:auto,query:(query_string:(analyze_wildcard:!t,query:'Message%5C+ID:(*)+AND+%22rtdc.l.rtdc.4009%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713</v>
      </c>
      <c r="B82" s="7">
        <v>4028</v>
      </c>
      <c r="C82" s="21" t="s">
        <v>196</v>
      </c>
      <c r="D82" s="21" t="s">
        <v>875</v>
      </c>
      <c r="E82" s="13">
        <v>43001.494120370371</v>
      </c>
      <c r="F82" s="13">
        <v>43001.500185185185</v>
      </c>
      <c r="G82" s="7">
        <v>69</v>
      </c>
      <c r="H82" s="21" t="s">
        <v>568</v>
      </c>
      <c r="I82" s="13">
        <v>43001.526354166665</v>
      </c>
      <c r="J82" s="7">
        <v>0</v>
      </c>
      <c r="K82" s="89" t="str">
        <f t="shared" si="40"/>
        <v>4027/4028</v>
      </c>
      <c r="L82" s="185" t="str">
        <f>VLOOKUP(A82,'Trips&amp;Operators'!$C$1:$G$99911,5,FALSE)</f>
        <v>DAVIDSON DAVID</v>
      </c>
      <c r="M82" s="6">
        <f t="shared" si="41"/>
        <v>2.6168981479713693E-2</v>
      </c>
      <c r="N82" s="7">
        <f t="shared" si="33"/>
        <v>37.683333330787718</v>
      </c>
      <c r="O82" s="7"/>
      <c r="P82" s="7"/>
      <c r="Q82" s="22"/>
      <c r="R82" s="174"/>
      <c r="S82" s="221">
        <f t="shared" si="34"/>
        <v>1</v>
      </c>
      <c r="T82" s="174" t="str">
        <f t="shared" si="42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3"/>
        <v>https://d0f6bd738d7f1b3e5a7ca70fe4ff75f0.us-east-1.aws.found.io/app/kibana#/discover/Steve-Slow-Train-Analysis-(2080s-and-2083s)?_g=(refreshInterval:(display:Off,pause:!f,section:0,value:0),time:(from:'2017-09-23T10:51:32-0600',mode:absolute,to:'2017-09-23T13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2" s="204" t="str">
        <f>IF(AA82&lt;VLOOKUP(AG82,Variables!$AC$3:$AD$8,2,FALSE),"Y","N")</f>
        <v>N</v>
      </c>
      <c r="X82" s="204">
        <f t="shared" si="32"/>
        <v>1</v>
      </c>
      <c r="Y82" s="204">
        <f t="shared" si="44"/>
        <v>5.8799999999999998E-2</v>
      </c>
      <c r="Z82" s="204">
        <f t="shared" si="45"/>
        <v>23.332000000000001</v>
      </c>
      <c r="AA82" s="204">
        <f t="shared" si="46"/>
        <v>23.273199999999999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7"/>
        <v>167</v>
      </c>
      <c r="AE82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82" s="74" t="str">
        <f t="shared" si="49"/>
        <v>"C:\Program Files (x86)\AstroGrep\AstroGrep.exe" /e /r /s /spath="%USERPROFILE%\AppData\Local\Temp\OnboardLogs" /stypes="app*4028*20170923*" /stext=" 18:.+((SYSTEM_STATE.+slice.+state.+changed )|(ment ac)|(multiple cpu faults)|(system.+state.+changed )|(\[timeout)|(PRM\|1\|D)|(kpr)|(kdp)|(train st.+moving)|(\|lc)|(penalty))"</v>
      </c>
      <c r="AG82" s="182" t="str">
        <f t="shared" si="50"/>
        <v>EC</v>
      </c>
      <c r="AH82" s="78" t="str">
        <f t="shared" si="51"/>
        <v>"%USERPROFILE%\Documents\GitHub\eaglep3\Utilities\RefineRTDCRunTimes.py" --tripid 167-23 --locoid 4028 --swversion DE.1.0.9.0 --startMP 204:588 --initTime 2017-09-23T11:51:32 --startdatetime 2017-09-23T12:00:16 --delay 69 --endMP 204:233320 --enddatetime 2017-09-23T12:37:57 --enforcementcount 0 &gt;&gt;c:\users\stu\Documents\GitHub\eaglep3-reporting\EC\2017-09-23-refined-times.txt</v>
      </c>
      <c r="AI8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{"issue":{"subject":"","project_id":79,"tracker_id":40,"status_id":1,"priority_id":2,"assigned_to_id":338,"start_date":"2017-09-23","description":"","custom_fields":[{"id":1,"name":"Subdivision","value":"EC"},{"id":4,"name":"Milepost","value":"23.332"},{"id":17,"name":"Train ID","value":"167-23"},{"id":16,"name":"Locomotive ID","value":"4028"},{"id":130,"name":"Impact","value":""},{"id":150,"name":"Time of Event (Mountain Time)","value":"12:37:57"},{"id":151,"name":"Denver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3"/>
        <v>start /low /b %USERPROFILE%\Documents\GitHub\eaglep3\Utilities\DownloadLogsFromS3.py --loco 4028 --day 2017-09-23</v>
      </c>
      <c r="AN8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5"/>
        <v>https://d0f6bd738d7f1b3e5a7ca70fe4ff75f0.us-east-1.aws.found.io/app/kibana#/discover/Steve-Slow-Train-Analysis-(2080s-and-2083s)?_g=(refreshInterval:(display:Off,pause:!f,section:0,value:0),time:(from:'2017-09-23T10:51:32-0600',mode:absolute,to:'2017-09-23T13:37:57-0600'))&amp;_a=(columns:!('Message%20ID',Summary),filters:!(),index:'emp_*',interval:auto,query:(query_string:(analyze_wildcard:!t,query:'Message%5C+ID:(*)+AND+%22rtdc.l.rtdc.4028%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723</v>
      </c>
      <c r="B83" s="7">
        <v>4027</v>
      </c>
      <c r="C83" s="21" t="s">
        <v>196</v>
      </c>
      <c r="D83" s="21" t="s">
        <v>428</v>
      </c>
      <c r="E83" s="13">
        <v>43001.527696759258</v>
      </c>
      <c r="F83" s="13">
        <v>43001.539780092593</v>
      </c>
      <c r="G83" s="7">
        <v>183</v>
      </c>
      <c r="H83" s="21" t="s">
        <v>876</v>
      </c>
      <c r="I83" s="13">
        <v>43001.56722222222</v>
      </c>
      <c r="J83" s="7">
        <v>0</v>
      </c>
      <c r="K83" s="89" t="str">
        <f t="shared" si="40"/>
        <v>4027/4028</v>
      </c>
      <c r="L83" s="185" t="str">
        <f>VLOOKUP(A83,'Trips&amp;Operators'!$C$1:$G$99911,5,FALSE)</f>
        <v>DAVIDSON DAVID</v>
      </c>
      <c r="M83" s="6">
        <f t="shared" si="41"/>
        <v>2.7442129627161194E-2</v>
      </c>
      <c r="N83" s="7">
        <f t="shared" si="33"/>
        <v>39.516666663112119</v>
      </c>
      <c r="O83" s="7"/>
      <c r="P83" s="7"/>
      <c r="Q83" s="22"/>
      <c r="R83" s="174"/>
      <c r="S83" s="221">
        <f t="shared" si="34"/>
        <v>1</v>
      </c>
      <c r="T83" s="174" t="str">
        <f t="shared" si="42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3"/>
        <v>https://d0f6bd738d7f1b3e5a7ca70fe4ff75f0.us-east-1.aws.found.io/app/kibana#/discover/Steve-Slow-Train-Analysis-(2080s-and-2083s)?_g=(refreshInterval:(display:Off,pause:!f,section:0,value:0),time:(from:'2017-09-23T11:39:53-0600',mode:absolute,to:'2017-09-23T14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204" t="str">
        <f>IF(AA83&lt;VLOOKUP(AG83,Variables!$AC$3:$AD$8,2,FALSE),"Y","N")</f>
        <v>N</v>
      </c>
      <c r="X83" s="204">
        <f t="shared" si="32"/>
        <v>1</v>
      </c>
      <c r="Y83" s="204">
        <f t="shared" si="44"/>
        <v>23.297499999999999</v>
      </c>
      <c r="Z83" s="204">
        <f t="shared" si="45"/>
        <v>1.23E-2</v>
      </c>
      <c r="AA83" s="204">
        <f t="shared" si="46"/>
        <v>23.2852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7"/>
        <v>168</v>
      </c>
      <c r="AE83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83" s="74" t="str">
        <f t="shared" si="49"/>
        <v>"C:\Program Files (x86)\AstroGrep\AstroGrep.exe" /e /r /s /spath="%USERPROFILE%\AppData\Local\Temp\OnboardLogs" /stypes="app*4027*20170923*" /stext=" 19:.+((SYSTEM_STATE.+slice.+state.+changed )|(ment ac)|(multiple cpu faults)|(system.+state.+changed )|(\[timeout)|(PRM\|1\|D)|(kpr)|(kdp)|(train st.+moving)|(\|lc)|(penalty))"</v>
      </c>
      <c r="AG83" s="182" t="str">
        <f t="shared" si="50"/>
        <v>EC</v>
      </c>
      <c r="AH83" s="78" t="str">
        <f t="shared" si="51"/>
        <v>"%USERPROFILE%\Documents\GitHub\eaglep3\Utilities\RefineRTDCRunTimes.py" --tripid 168-23 --locoid 4027 --swversion DE.1.0.9.0 --startMP 204:232975 --initTime 2017-09-23T12:39:53 --startdatetime 2017-09-23T12:57:17 --delay 183 --endMP 204:123 --enddatetime 2017-09-23T13:36:48 --enforcementcount 0 &gt;&gt;c:\users\stu\Documents\GitHub\eaglep3-reporting\EC\2017-09-23-refined-times.txt</v>
      </c>
      <c r="AI8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{"issue":{"subject":"","project_id":79,"tracker_id":40,"status_id":1,"priority_id":2,"assigned_to_id":338,"start_date":"2017-09-23","description":"","custom_fields":[{"id":1,"name":"Subdivision","value":"EC"},{"id":4,"name":"Milepost","value":"0.0123"},{"id":17,"name":"Train ID","value":"168-23"},{"id":16,"name":"Locomotive ID","value":"4027"},{"id":130,"name":"Impact","value":""},{"id":150,"name":"Time of Event (Mountain Time)","value":"13:36:48"},{"id":151,"name":"Denver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3"/>
        <v>start /low /b %USERPROFILE%\Documents\GitHub\eaglep3\Utilities\DownloadLogsFromS3.py --loco 4027 --day 2017-09-23</v>
      </c>
      <c r="AN8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5"/>
        <v>https://d0f6bd738d7f1b3e5a7ca70fe4ff75f0.us-east-1.aws.found.io/app/kibana#/discover/Steve-Slow-Train-Analysis-(2080s-and-2083s)?_g=(refreshInterval:(display:Off,pause:!f,section:0,value:0),time:(from:'2017-09-23T11:39:53-0600',mode:absolute,to:'2017-09-23T14:36:48-0600'))&amp;_a=(columns:!('Message%20ID',Summary),filters:!(),index:'emp_*',interval:auto,query:(query_string:(analyze_wildcard:!t,query:'Message%5C+ID:(*)+AND+%22rtdc.l.rtdc.4027%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715</v>
      </c>
      <c r="B84" s="7">
        <v>4024</v>
      </c>
      <c r="C84" s="21" t="s">
        <v>196</v>
      </c>
      <c r="D84" s="21" t="s">
        <v>395</v>
      </c>
      <c r="E84" s="13">
        <v>43001.502129629633</v>
      </c>
      <c r="F84" s="13">
        <v>43001.510636574072</v>
      </c>
      <c r="G84" s="7">
        <v>75</v>
      </c>
      <c r="H84" s="21" t="s">
        <v>398</v>
      </c>
      <c r="I84" s="13">
        <v>43001.535810185182</v>
      </c>
      <c r="J84" s="7">
        <v>0</v>
      </c>
      <c r="K84" s="89" t="str">
        <f t="shared" si="40"/>
        <v>4023/4024</v>
      </c>
      <c r="L84" s="185" t="str">
        <f>VLOOKUP(A84,'Trips&amp;Operators'!$C$1:$G$99911,5,FALSE)</f>
        <v>BERLING GARY</v>
      </c>
      <c r="M84" s="6">
        <f t="shared" si="41"/>
        <v>2.5173611109494232E-2</v>
      </c>
      <c r="N84" s="7">
        <f t="shared" si="33"/>
        <v>36.249999997671694</v>
      </c>
      <c r="O84" s="7"/>
      <c r="P84" s="7"/>
      <c r="Q84" s="22"/>
      <c r="R84" s="174"/>
      <c r="S84" s="221">
        <f t="shared" si="34"/>
        <v>1</v>
      </c>
      <c r="T84" s="174" t="str">
        <f t="shared" si="42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3"/>
        <v>https://d0f6bd738d7f1b3e5a7ca70fe4ff75f0.us-east-1.aws.found.io/app/kibana#/discover/Steve-Slow-Train-Analysis-(2080s-and-2083s)?_g=(refreshInterval:(display:Off,pause:!f,section:0,value:0),time:(from:'2017-09-23T11:03:04-0600',mode:absolute,to:'2017-09-23T13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4" s="204" t="str">
        <f>IF(AA84&lt;VLOOKUP(AG84,Variables!$AC$3:$AD$8,2,FALSE),"Y","N")</f>
        <v>N</v>
      </c>
      <c r="X84" s="204">
        <f t="shared" si="32"/>
        <v>1</v>
      </c>
      <c r="Y84" s="204">
        <f t="shared" si="44"/>
        <v>4.5100000000000001E-2</v>
      </c>
      <c r="Z84" s="204">
        <f t="shared" si="45"/>
        <v>23.331199999999999</v>
      </c>
      <c r="AA84" s="204">
        <f t="shared" si="46"/>
        <v>23.286099999999998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7"/>
        <v>169</v>
      </c>
      <c r="AE84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84" s="74" t="str">
        <f t="shared" si="49"/>
        <v>"C:\Program Files (x86)\AstroGrep\AstroGrep.exe" /e /r /s /spath="%USERPROFILE%\AppData\Local\Temp\OnboardLogs" /stypes="app*4024*20170923*" /stext=" 18:.+((SYSTEM_STATE.+slice.+state.+changed )|(ment ac)|(multiple cpu faults)|(system.+state.+changed )|(\[timeout)|(PRM\|1\|D)|(kpr)|(kdp)|(train st.+moving)|(\|lc)|(penalty))"</v>
      </c>
      <c r="AG84" s="182" t="str">
        <f t="shared" si="50"/>
        <v>EC</v>
      </c>
      <c r="AH84" s="78" t="str">
        <f t="shared" si="51"/>
        <v>"%USERPROFILE%\Documents\GitHub\eaglep3\Utilities\RefineRTDCRunTimes.py" --tripid 169-23 --locoid 4024 --swversion DE.1.0.9.0 --startMP 204:451 --initTime 2017-09-23T12:03:04 --startdatetime 2017-09-23T12:15:19 --delay 75 --endMP 204:233312 --enddatetime 2017-09-23T12:51:34 --enforcementcount 0 &gt;&gt;c:\users\stu\Documents\GitHub\eaglep3-reporting\EC\2017-09-23-refined-times.txt</v>
      </c>
      <c r="AI8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{"issue":{"subject":"","project_id":79,"tracker_id":40,"status_id":1,"priority_id":2,"assigned_to_id":338,"start_date":"2017-09-23","description":"","custom_fields":[{"id":1,"name":"Subdivision","value":"EC"},{"id":4,"name":"Milepost","value":"23.3312"},{"id":17,"name":"Train ID","value":"169-23"},{"id":16,"name":"Locomotive ID","value":"4024"},{"id":130,"name":"Impact","value":""},{"id":150,"name":"Time of Event (Mountain Time)","value":"12:51:34"},{"id":151,"name":"Denver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3"/>
        <v>start /low /b %USERPROFILE%\Documents\GitHub\eaglep3\Utilities\DownloadLogsFromS3.py --loco 4024 --day 2017-09-23</v>
      </c>
      <c r="AN8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5"/>
        <v>https://d0f6bd738d7f1b3e5a7ca70fe4ff75f0.us-east-1.aws.found.io/app/kibana#/discover/Steve-Slow-Train-Analysis-(2080s-and-2083s)?_g=(refreshInterval:(display:Off,pause:!f,section:0,value:0),time:(from:'2017-09-23T11:03:04-0600',mode:absolute,to:'2017-09-23T13:51:34-0600'))&amp;_a=(columns:!('Message%20ID',Summary),filters:!(),index:'emp_*',interval:auto,query:(query_string:(analyze_wildcard:!t,query:'Message%5C+ID:(*)+AND+%22rtdc.l.rtdc.4024%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726</v>
      </c>
      <c r="B85" s="7">
        <v>4023</v>
      </c>
      <c r="C85" s="21" t="s">
        <v>196</v>
      </c>
      <c r="D85" s="21" t="s">
        <v>462</v>
      </c>
      <c r="E85" s="13">
        <v>43001.545370370368</v>
      </c>
      <c r="F85" s="13">
        <v>43001.550254629627</v>
      </c>
      <c r="G85" s="7">
        <v>84</v>
      </c>
      <c r="H85" s="21" t="s">
        <v>391</v>
      </c>
      <c r="I85" s="13">
        <v>43001.576828703706</v>
      </c>
      <c r="J85" s="7">
        <v>0</v>
      </c>
      <c r="K85" s="89" t="str">
        <f t="shared" si="40"/>
        <v>4023/4024</v>
      </c>
      <c r="L85" s="185" t="str">
        <f>VLOOKUP(A85,'Trips&amp;Operators'!$C$1:$G$99911,5,FALSE)</f>
        <v>BERLING GARY</v>
      </c>
      <c r="M85" s="6">
        <f t="shared" si="41"/>
        <v>2.6574074079690035E-2</v>
      </c>
      <c r="N85" s="7">
        <f t="shared" si="33"/>
        <v>38.266666674753651</v>
      </c>
      <c r="O85" s="7"/>
      <c r="P85" s="7"/>
      <c r="Q85" s="22"/>
      <c r="R85" s="174"/>
      <c r="S85" s="221">
        <f t="shared" si="34"/>
        <v>1</v>
      </c>
      <c r="T85" s="174" t="str">
        <f t="shared" si="42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3"/>
        <v>https://d0f6bd738d7f1b3e5a7ca70fe4ff75f0.us-east-1.aws.found.io/app/kibana#/discover/Steve-Slow-Train-Analysis-(2080s-and-2083s)?_g=(refreshInterval:(display:Off,pause:!f,section:0,value:0),time:(from:'2017-09-23T12:05:20-0600',mode:absolute,to:'2017-09-23T14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5" s="204" t="str">
        <f>IF(AA85&lt;VLOOKUP(AG85,Variables!$AC$3:$AD$8,2,FALSE),"Y","N")</f>
        <v>N</v>
      </c>
      <c r="X85" s="204">
        <f t="shared" si="32"/>
        <v>1</v>
      </c>
      <c r="Y85" s="204">
        <f t="shared" si="44"/>
        <v>23.300799999999999</v>
      </c>
      <c r="Z85" s="204">
        <f t="shared" si="45"/>
        <v>1.3599999999999999E-2</v>
      </c>
      <c r="AA85" s="204">
        <f t="shared" si="46"/>
        <v>23.287199999999999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7"/>
        <v>170</v>
      </c>
      <c r="AE85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85" s="74" t="str">
        <f t="shared" si="49"/>
        <v>"C:\Program Files (x86)\AstroGrep\AstroGrep.exe" /e /r /s /spath="%USERPROFILE%\AppData\Local\Temp\OnboardLogs" /stypes="app*4023*20170923*" /stext=" 19:.+((SYSTEM_STATE.+slice.+state.+changed )|(ment ac)|(multiple cpu faults)|(system.+state.+changed )|(\[timeout)|(PRM\|1\|D)|(kpr)|(kdp)|(train st.+moving)|(\|lc)|(penalty))"</v>
      </c>
      <c r="AG85" s="182" t="str">
        <f t="shared" si="50"/>
        <v>EC</v>
      </c>
      <c r="AH85" s="78" t="str">
        <f t="shared" si="51"/>
        <v>"%USERPROFILE%\Documents\GitHub\eaglep3\Utilities\RefineRTDCRunTimes.py" --tripid 170-23 --locoid 4023 --swversion DE.1.0.9.0 --startMP 204:233008 --initTime 2017-09-23T13:05:20 --startdatetime 2017-09-23T13:12:22 --delay 84 --endMP 204:136 --enddatetime 2017-09-23T13:50:38 --enforcementcount 0 &gt;&gt;c:\users\stu\Documents\GitHub\eaglep3-reporting\EC\2017-09-23-refined-times.txt</v>
      </c>
      <c r="AI8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{"issue":{"subject":"","project_id":79,"tracker_id":40,"status_id":1,"priority_id":2,"assigned_to_id":338,"start_date":"2017-09-23","description":"","custom_fields":[{"id":1,"name":"Subdivision","value":"EC"},{"id":4,"name":"Milepost","value":"0.0136"},{"id":17,"name":"Train ID","value":"170-23"},{"id":16,"name":"Locomotive ID","value":"4023"},{"id":130,"name":"Impact","value":""},{"id":150,"name":"Time of Event (Mountain Time)","value":"13:50:38"},{"id":151,"name":"Denver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3"/>
        <v>start /low /b %USERPROFILE%\Documents\GitHub\eaglep3\Utilities\DownloadLogsFromS3.py --loco 4023 --day 2017-09-23</v>
      </c>
      <c r="AN8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5"/>
        <v>https://d0f6bd738d7f1b3e5a7ca70fe4ff75f0.us-east-1.aws.found.io/app/kibana#/discover/Steve-Slow-Train-Analysis-(2080s-and-2083s)?_g=(refreshInterval:(display:Off,pause:!f,section:0,value:0),time:(from:'2017-09-23T12:05:20-0600',mode:absolute,to:'2017-09-23T14:50:38-0600'))&amp;_a=(columns:!('Message%20ID',Summary),filters:!(),index:'emp_*',interval:auto,query:(query_string:(analyze_wildcard:!t,query:'Message%5C+ID:(*)+AND+%22rtdc.l.rtdc.4023%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719</v>
      </c>
      <c r="B86" s="7">
        <v>4040</v>
      </c>
      <c r="C86" s="21" t="s">
        <v>196</v>
      </c>
      <c r="D86" s="21" t="s">
        <v>405</v>
      </c>
      <c r="E86" s="13">
        <v>43001.515659722223</v>
      </c>
      <c r="F86" s="13">
        <v>43001.520995370367</v>
      </c>
      <c r="G86" s="7">
        <v>70</v>
      </c>
      <c r="H86" s="21" t="s">
        <v>397</v>
      </c>
      <c r="I86" s="13">
        <v>43001.546064814815</v>
      </c>
      <c r="J86" s="7">
        <v>0</v>
      </c>
      <c r="K86" s="89" t="str">
        <f t="shared" si="40"/>
        <v>4039/4040</v>
      </c>
      <c r="L86" s="185" t="str">
        <f>VLOOKUP(A86,'Trips&amp;Operators'!$C$1:$G$99911,5,FALSE)</f>
        <v>BADERTSCHER DIANE</v>
      </c>
      <c r="M86" s="6">
        <f t="shared" si="41"/>
        <v>2.5069444447581191E-2</v>
      </c>
      <c r="N86" s="7">
        <f t="shared" si="33"/>
        <v>36.100000004516914</v>
      </c>
      <c r="O86" s="7"/>
      <c r="P86" s="7"/>
      <c r="Q86" s="22"/>
      <c r="R86" s="174"/>
      <c r="S86" s="221">
        <f t="shared" si="34"/>
        <v>1</v>
      </c>
      <c r="T86" s="174" t="str">
        <f t="shared" si="42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3"/>
        <v>https://d0f6bd738d7f1b3e5a7ca70fe4ff75f0.us-east-1.aws.found.io/app/kibana#/discover/Steve-Slow-Train-Analysis-(2080s-and-2083s)?_g=(refreshInterval:(display:Off,pause:!f,section:0,value:0),time:(from:'2017-09-23T11:22:33-0600',mode:absolute,to:'2017-09-23T14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204" t="str">
        <f>IF(AA86&lt;VLOOKUP(AG86,Variables!$AC$3:$AD$8,2,FALSE),"Y","N")</f>
        <v>N</v>
      </c>
      <c r="X86" s="204">
        <f t="shared" si="32"/>
        <v>1</v>
      </c>
      <c r="Y86" s="204">
        <f t="shared" si="44"/>
        <v>4.3700000000000003E-2</v>
      </c>
      <c r="Z86" s="204">
        <f t="shared" si="45"/>
        <v>23.328900000000001</v>
      </c>
      <c r="AA86" s="204">
        <f t="shared" si="46"/>
        <v>23.2852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7"/>
        <v>171</v>
      </c>
      <c r="AE86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86" s="74" t="str">
        <f t="shared" si="49"/>
        <v>"C:\Program Files (x86)\AstroGrep\AstroGrep.exe" /e /r /s /spath="%USERPROFILE%\AppData\Local\Temp\OnboardLogs" /stypes="app*4040*20170923*" /stext=" 19:.+((SYSTEM_STATE.+slice.+state.+changed )|(ment ac)|(multiple cpu faults)|(system.+state.+changed )|(\[timeout)|(PRM\|1\|D)|(kpr)|(kdp)|(train st.+moving)|(\|lc)|(penalty))"</v>
      </c>
      <c r="AG86" s="182" t="str">
        <f t="shared" si="50"/>
        <v>EC</v>
      </c>
      <c r="AH86" s="78" t="str">
        <f t="shared" si="51"/>
        <v>"%USERPROFILE%\Documents\GitHub\eaglep3\Utilities\RefineRTDCRunTimes.py" --tripid 171-23 --locoid 4040 --swversion DE.1.0.9.0 --startMP 204:437 --initTime 2017-09-23T12:22:33 --startdatetime 2017-09-23T12:30:14 --delay 70 --endMP 204:233289 --enddatetime 2017-09-23T13:06:20 --enforcementcount 0 &gt;&gt;c:\users\stu\Documents\GitHub\eaglep3-reporting\EC\2017-09-23-refined-times.txt</v>
      </c>
      <c r="AI8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{"issue":{"subject":"","project_id":79,"tracker_id":40,"status_id":1,"priority_id":2,"assigned_to_id":338,"start_date":"2017-09-23","description":"","custom_fields":[{"id":1,"name":"Subdivision","value":"EC"},{"id":4,"name":"Milepost","value":"23.3289"},{"id":17,"name":"Train ID","value":"171-23"},{"id":16,"name":"Locomotive ID","value":"4040"},{"id":130,"name":"Impact","value":""},{"id":150,"name":"Time of Event (Mountain Time)","value":"13:06:20"},{"id":151,"name":"Denver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3"/>
        <v>start /low /b %USERPROFILE%\Documents\GitHub\eaglep3\Utilities\DownloadLogsFromS3.py --loco 4040 --day 2017-09-23</v>
      </c>
      <c r="AN8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5"/>
        <v>https://d0f6bd738d7f1b3e5a7ca70fe4ff75f0.us-east-1.aws.found.io/app/kibana#/discover/Steve-Slow-Train-Analysis-(2080s-and-2083s)?_g=(refreshInterval:(display:Off,pause:!f,section:0,value:0),time:(from:'2017-09-23T11:22:33-0600',mode:absolute,to:'2017-09-23T14:06:20-0600'))&amp;_a=(columns:!('Message%20ID',Summary),filters:!(),index:'emp_*',interval:auto,query:(query_string:(analyze_wildcard:!t,query:'Message%5C+ID:(*)+AND+%22rtdc.l.rtdc.4040%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728</v>
      </c>
      <c r="B87" s="7">
        <v>4039</v>
      </c>
      <c r="C87" s="21" t="s">
        <v>196</v>
      </c>
      <c r="D87" s="21" t="s">
        <v>380</v>
      </c>
      <c r="E87" s="13">
        <v>43001.553356481483</v>
      </c>
      <c r="F87" s="13">
        <v>43001.560601851852</v>
      </c>
      <c r="G87" s="7">
        <v>86</v>
      </c>
      <c r="H87" s="21" t="s">
        <v>388</v>
      </c>
      <c r="I87" s="13">
        <v>43001.588055555556</v>
      </c>
      <c r="J87" s="7">
        <v>0</v>
      </c>
      <c r="K87" s="89" t="str">
        <f t="shared" si="40"/>
        <v>4039/4040</v>
      </c>
      <c r="L87" s="185" t="str">
        <f>VLOOKUP(A87,'Trips&amp;Operators'!$C$1:$G$99911,5,FALSE)</f>
        <v>BADERTSCHER DIANE</v>
      </c>
      <c r="M87" s="6">
        <f t="shared" si="41"/>
        <v>2.7453703703940846E-2</v>
      </c>
      <c r="N87" s="7">
        <f t="shared" si="33"/>
        <v>39.533333333674818</v>
      </c>
      <c r="O87" s="7"/>
      <c r="P87" s="7"/>
      <c r="Q87" s="22"/>
      <c r="R87" s="174"/>
      <c r="S87" s="221">
        <f t="shared" si="34"/>
        <v>1</v>
      </c>
      <c r="T87" s="174" t="str">
        <f t="shared" si="42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3"/>
        <v>https://d0f6bd738d7f1b3e5a7ca70fe4ff75f0.us-east-1.aws.found.io/app/kibana#/discover/Steve-Slow-Train-Analysis-(2080s-and-2083s)?_g=(refreshInterval:(display:Off,pause:!f,section:0,value:0),time:(from:'2017-09-23T12:16:50-0600',mode:absolute,to:'2017-09-23T15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204" t="str">
        <f>IF(AA87&lt;VLOOKUP(AG87,Variables!$AC$3:$AD$8,2,FALSE),"Y","N")</f>
        <v>N</v>
      </c>
      <c r="X87" s="204">
        <f t="shared" si="32"/>
        <v>1</v>
      </c>
      <c r="Y87" s="204">
        <f t="shared" si="44"/>
        <v>23.299399999999999</v>
      </c>
      <c r="Z87" s="204">
        <f t="shared" si="45"/>
        <v>1.3899999999999999E-2</v>
      </c>
      <c r="AA87" s="204">
        <f t="shared" si="46"/>
        <v>23.285499999999999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7"/>
        <v>172</v>
      </c>
      <c r="AE87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87" s="74" t="str">
        <f t="shared" si="49"/>
        <v>"C:\Program Files (x86)\AstroGrep\AstroGrep.exe" /e /r /s /spath="%USERPROFILE%\AppData\Local\Temp\OnboardLogs" /stypes="app*4039*20170923*" /stext=" 20:.+((SYSTEM_STATE.+slice.+state.+changed )|(ment ac)|(multiple cpu faults)|(system.+state.+changed )|(\[timeout)|(PRM\|1\|D)|(kpr)|(kdp)|(train st.+moving)|(\|lc)|(penalty))"</v>
      </c>
      <c r="AG87" s="182" t="str">
        <f t="shared" si="50"/>
        <v>EC</v>
      </c>
      <c r="AH87" s="78" t="str">
        <f t="shared" si="51"/>
        <v>"%USERPROFILE%\Documents\GitHub\eaglep3\Utilities\RefineRTDCRunTimes.py" --tripid 172-23 --locoid 4039 --swversion DE.1.0.9.0 --startMP 204:232994 --initTime 2017-09-23T13:16:50 --startdatetime 2017-09-23T13:27:16 --delay 86 --endMP 204:139 --enddatetime 2017-09-23T14:06:48 --enforcementcount 0 &gt;&gt;c:\users\stu\Documents\GitHub\eaglep3-reporting\EC\2017-09-23-refined-times.txt</v>
      </c>
      <c r="AI8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{"issue":{"subject":"","project_id":79,"tracker_id":40,"status_id":1,"priority_id":2,"assigned_to_id":338,"start_date":"2017-09-23","description":"","custom_fields":[{"id":1,"name":"Subdivision","value":"EC"},{"id":4,"name":"Milepost","value":"0.0139"},{"id":17,"name":"Train ID","value":"172-23"},{"id":16,"name":"Locomotive ID","value":"4039"},{"id":130,"name":"Impact","value":""},{"id":150,"name":"Time of Event (Mountain Time)","value":"14:06:48"},{"id":151,"name":"Denver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3"/>
        <v>start /low /b %USERPROFILE%\Documents\GitHub\eaglep3\Utilities\DownloadLogsFromS3.py --loco 4039 --day 2017-09-23</v>
      </c>
      <c r="AN8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5"/>
        <v>https://d0f6bd738d7f1b3e5a7ca70fe4ff75f0.us-east-1.aws.found.io/app/kibana#/discover/Steve-Slow-Train-Analysis-(2080s-and-2083s)?_g=(refreshInterval:(display:Off,pause:!f,section:0,value:0),time:(from:'2017-09-23T12:16:50-0600',mode:absolute,to:'2017-09-23T15:06:48-0600'))&amp;_a=(columns:!('Message%20ID',Summary),filters:!(),index:'emp_*',interval:auto,query:(query_string:(analyze_wildcard:!t,query:'Message%5C+ID:(*)+AND+%22rtdc.l.rtdc.4039%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722</v>
      </c>
      <c r="B88" s="7">
        <v>4002</v>
      </c>
      <c r="C88" s="21" t="s">
        <v>196</v>
      </c>
      <c r="D88" s="21" t="s">
        <v>421</v>
      </c>
      <c r="E88" s="13">
        <v>43001.526631944442</v>
      </c>
      <c r="F88" s="13">
        <v>43001.531539351854</v>
      </c>
      <c r="G88" s="7">
        <v>57</v>
      </c>
      <c r="H88" s="21" t="s">
        <v>877</v>
      </c>
      <c r="I88" s="13">
        <v>43001.556620370371</v>
      </c>
      <c r="J88" s="7">
        <v>0</v>
      </c>
      <c r="K88" s="89" t="str">
        <f t="shared" si="40"/>
        <v>4001/4002</v>
      </c>
      <c r="L88" s="185" t="str">
        <f>VLOOKUP(A88,'Trips&amp;Operators'!$C$1:$G$99911,5,FALSE)</f>
        <v>HOLCOMB KAMDEN</v>
      </c>
      <c r="M88" s="6">
        <f t="shared" si="41"/>
        <v>2.5081018517084885E-2</v>
      </c>
      <c r="N88" s="7">
        <f t="shared" si="33"/>
        <v>36.116666664602235</v>
      </c>
      <c r="O88" s="7"/>
      <c r="P88" s="7"/>
      <c r="Q88" s="22"/>
      <c r="R88" s="174"/>
      <c r="S88" s="221">
        <f t="shared" si="34"/>
        <v>1</v>
      </c>
      <c r="T88" s="174" t="str">
        <f t="shared" si="42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3"/>
        <v>https://d0f6bd738d7f1b3e5a7ca70fe4ff75f0.us-east-1.aws.found.io/app/kibana#/discover/Steve-Slow-Train-Analysis-(2080s-and-2083s)?_g=(refreshInterval:(display:Off,pause:!f,section:0,value:0),time:(from:'2017-09-23T11:38:21-0600',mode:absolute,to:'2017-09-23T14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8" s="204" t="str">
        <f>IF(AA88&lt;VLOOKUP(AG88,Variables!$AC$3:$AD$8,2,FALSE),"Y","N")</f>
        <v>N</v>
      </c>
      <c r="X88" s="204">
        <f t="shared" si="32"/>
        <v>1</v>
      </c>
      <c r="Y88" s="204">
        <f t="shared" si="44"/>
        <v>4.7500000000000001E-2</v>
      </c>
      <c r="Z88" s="204">
        <f t="shared" si="45"/>
        <v>23.331399999999999</v>
      </c>
      <c r="AA88" s="204">
        <f t="shared" si="46"/>
        <v>23.283899999999999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7"/>
        <v>173</v>
      </c>
      <c r="AE88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88" s="74" t="str">
        <f t="shared" si="49"/>
        <v>"C:\Program Files (x86)\AstroGrep\AstroGrep.exe" /e /r /s /spath="%USERPROFILE%\AppData\Local\Temp\OnboardLogs" /stypes="app*4002*20170923*" /stext=" 19:.+((SYSTEM_STATE.+slice.+state.+changed )|(ment ac)|(multiple cpu faults)|(system.+state.+changed )|(\[timeout)|(PRM\|1\|D)|(kpr)|(kdp)|(train st.+moving)|(\|lc)|(penalty))"</v>
      </c>
      <c r="AG88" s="182" t="str">
        <f t="shared" si="50"/>
        <v>EC</v>
      </c>
      <c r="AH88" s="78" t="str">
        <f t="shared" si="51"/>
        <v>"%USERPROFILE%\Documents\GitHub\eaglep3\Utilities\RefineRTDCRunTimes.py" --tripid 173-23 --locoid 4002 --swversion DE.1.0.9.0 --startMP 204:475 --initTime 2017-09-23T12:38:21 --startdatetime 2017-09-23T12:45:25 --delay 57 --endMP 204:233314 --enddatetime 2017-09-23T13:21:32 --enforcementcount 0 &gt;&gt;c:\users\stu\Documents\GitHub\eaglep3-reporting\EC\2017-09-23-refined-times.txt</v>
      </c>
      <c r="AI8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{"issue":{"subject":"","project_id":79,"tracker_id":40,"status_id":1,"priority_id":2,"assigned_to_id":338,"start_date":"2017-09-23","description":"","custom_fields":[{"id":1,"name":"Subdivision","value":"EC"},{"id":4,"name":"Milepost","value":"23.3314"},{"id":17,"name":"Train ID","value":"173-23"},{"id":16,"name":"Locomotive ID","value":"4002"},{"id":130,"name":"Impact","value":""},{"id":150,"name":"Time of Event (Mountain Time)","value":"13:21:32"},{"id":151,"name":"Denver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3"/>
        <v>start /low /b %USERPROFILE%\Documents\GitHub\eaglep3\Utilities\DownloadLogsFromS3.py --loco 4002 --day 2017-09-23</v>
      </c>
      <c r="AN8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5"/>
        <v>https://d0f6bd738d7f1b3e5a7ca70fe4ff75f0.us-east-1.aws.found.io/app/kibana#/discover/Steve-Slow-Train-Analysis-(2080s-and-2083s)?_g=(refreshInterval:(display:Off,pause:!f,section:0,value:0),time:(from:'2017-09-23T11:38:21-0600',mode:absolute,to:'2017-09-23T14:21:32-0600'))&amp;_a=(columns:!('Message%20ID',Summary),filters:!(),index:'emp_*',interval:auto,query:(query_string:(analyze_wildcard:!t,query:'Message%5C+ID:(*)+AND+%22rtdc.l.rtdc.4002%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730</v>
      </c>
      <c r="B89" s="7">
        <v>4001</v>
      </c>
      <c r="C89" s="21" t="s">
        <v>196</v>
      </c>
      <c r="D89" s="21" t="s">
        <v>380</v>
      </c>
      <c r="E89" s="13">
        <v>43001.567546296297</v>
      </c>
      <c r="F89" s="13">
        <v>43001.571168981478</v>
      </c>
      <c r="G89" s="7">
        <v>50</v>
      </c>
      <c r="H89" s="21" t="s">
        <v>430</v>
      </c>
      <c r="I89" s="13">
        <v>43001.597581018519</v>
      </c>
      <c r="J89" s="7">
        <v>0</v>
      </c>
      <c r="K89" s="89" t="str">
        <f t="shared" si="40"/>
        <v>4001/4002</v>
      </c>
      <c r="L89" s="185" t="str">
        <f>VLOOKUP(A89,'Trips&amp;Operators'!$C$1:$G$99911,5,FALSE)</f>
        <v>HOLCOMB KAMDEN</v>
      </c>
      <c r="M89" s="6">
        <f t="shared" si="41"/>
        <v>2.641203704115469E-2</v>
      </c>
      <c r="N89" s="7">
        <f t="shared" si="33"/>
        <v>38.033333339262754</v>
      </c>
      <c r="O89" s="7"/>
      <c r="P89" s="7"/>
      <c r="Q89" s="22"/>
      <c r="R89" s="174"/>
      <c r="S89" s="221">
        <f t="shared" si="34"/>
        <v>1</v>
      </c>
      <c r="T89" s="174" t="str">
        <f t="shared" si="42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3"/>
        <v>https://d0f6bd738d7f1b3e5a7ca70fe4ff75f0.us-east-1.aws.found.io/app/kibana#/discover/Steve-Slow-Train-Analysis-(2080s-and-2083s)?_g=(refreshInterval:(display:Off,pause:!f,section:0,value:0),time:(from:'2017-09-23T12:37:16-0600',mode:absolute,to:'2017-09-23T15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9" s="204" t="str">
        <f>IF(AA89&lt;VLOOKUP(AG89,Variables!$AC$3:$AD$8,2,FALSE),"Y","N")</f>
        <v>N</v>
      </c>
      <c r="X89" s="204">
        <f t="shared" si="32"/>
        <v>1</v>
      </c>
      <c r="Y89" s="204">
        <f t="shared" si="44"/>
        <v>23.299399999999999</v>
      </c>
      <c r="Z89" s="204">
        <f t="shared" si="45"/>
        <v>1.2999999999999999E-2</v>
      </c>
      <c r="AA89" s="204">
        <f t="shared" si="46"/>
        <v>23.286399999999997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7"/>
        <v>174</v>
      </c>
      <c r="AE89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89" s="74" t="str">
        <f t="shared" si="49"/>
        <v>"C:\Program Files (x86)\AstroGrep\AstroGrep.exe" /e /r /s /spath="%USERPROFILE%\AppData\Local\Temp\OnboardLogs" /stypes="app*4001*20170923*" /stext=" 20:.+((SYSTEM_STATE.+slice.+state.+changed )|(ment ac)|(multiple cpu faults)|(system.+state.+changed )|(\[timeout)|(PRM\|1\|D)|(kpr)|(kdp)|(train st.+moving)|(\|lc)|(penalty))"</v>
      </c>
      <c r="AG89" s="182" t="str">
        <f t="shared" si="50"/>
        <v>EC</v>
      </c>
      <c r="AH89" s="78" t="str">
        <f t="shared" si="51"/>
        <v>"%USERPROFILE%\Documents\GitHub\eaglep3\Utilities\RefineRTDCRunTimes.py" --tripid 174-23 --locoid 4001 --swversion DE.1.0.9.0 --startMP 204:232994 --initTime 2017-09-23T13:37:16 --startdatetime 2017-09-23T13:42:29 --delay 50 --endMP 204:130 --enddatetime 2017-09-23T14:20:31 --enforcementcount 0 &gt;&gt;c:\users\stu\Documents\GitHub\eaglep3-reporting\EC\2017-09-23-refined-times.txt</v>
      </c>
      <c r="AI8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{"issue":{"subject":"","project_id":79,"tracker_id":40,"status_id":1,"priority_id":2,"assigned_to_id":338,"start_date":"2017-09-23","description":"","custom_fields":[{"id":1,"name":"Subdivision","value":"EC"},{"id":4,"name":"Milepost","value":"0.013"},{"id":17,"name":"Train ID","value":"174-23"},{"id":16,"name":"Locomotive ID","value":"4001"},{"id":130,"name":"Impact","value":""},{"id":150,"name":"Time of Event (Mountain Time)","value":"14:20:31"},{"id":151,"name":"Denver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3"/>
        <v>start /low /b %USERPROFILE%\Documents\GitHub\eaglep3\Utilities\DownloadLogsFromS3.py --loco 4001 --day 2017-09-23</v>
      </c>
      <c r="AN8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5"/>
        <v>https://d0f6bd738d7f1b3e5a7ca70fe4ff75f0.us-east-1.aws.found.io/app/kibana#/discover/Steve-Slow-Train-Analysis-(2080s-and-2083s)?_g=(refreshInterval:(display:Off,pause:!f,section:0,value:0),time:(from:'2017-09-23T12:37:16-0600',mode:absolute,to:'2017-09-23T15:20:31-0600'))&amp;_a=(columns:!('Message%20ID',Summary),filters:!(),index:'emp_*',interval:auto,query:(query_string:(analyze_wildcard:!t,query:'Message%5C+ID:(*)+AND+%22rtdc.l.rtdc.4001%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724</v>
      </c>
      <c r="B90" s="7">
        <v>4058</v>
      </c>
      <c r="C90" s="21" t="s">
        <v>196</v>
      </c>
      <c r="D90" s="21" t="s">
        <v>878</v>
      </c>
      <c r="E90" s="13">
        <v>43001.538935185185</v>
      </c>
      <c r="F90" s="13">
        <v>43001.541956018518</v>
      </c>
      <c r="G90" s="7">
        <v>56</v>
      </c>
      <c r="H90" s="21" t="s">
        <v>879</v>
      </c>
      <c r="I90" s="13">
        <v>43001.567071759258</v>
      </c>
      <c r="J90" s="7">
        <v>0</v>
      </c>
      <c r="K90" s="89" t="str">
        <f t="shared" si="40"/>
        <v>4057/4058</v>
      </c>
      <c r="L90" s="185" t="str">
        <f>VLOOKUP(A90,'Trips&amp;Operators'!$C$1:$G$99911,5,FALSE)</f>
        <v>DAVIS MICHAEL</v>
      </c>
      <c r="M90" s="6">
        <f t="shared" si="41"/>
        <v>2.5115740740147885E-2</v>
      </c>
      <c r="N90" s="7">
        <f t="shared" si="33"/>
        <v>36.166666665812954</v>
      </c>
      <c r="O90" s="7"/>
      <c r="P90" s="7"/>
      <c r="Q90" s="22"/>
      <c r="R90" s="174"/>
      <c r="S90" s="221">
        <f t="shared" si="34"/>
        <v>1</v>
      </c>
      <c r="T90" s="174" t="str">
        <f t="shared" si="42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3"/>
        <v>https://d0f6bd738d7f1b3e5a7ca70fe4ff75f0.us-east-1.aws.found.io/app/kibana#/discover/Steve-Slow-Train-Analysis-(2080s-and-2083s)?_g=(refreshInterval:(display:Off,pause:!f,section:0,value:0),time:(from:'2017-09-23T11:56:04-0600',mode:absolute,to:'2017-09-23T14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0" s="204" t="str">
        <f>IF(AA90&lt;VLOOKUP(AG90,Variables!$AC$3:$AD$8,2,FALSE),"Y","N")</f>
        <v>N</v>
      </c>
      <c r="X90" s="204">
        <f t="shared" si="32"/>
        <v>1</v>
      </c>
      <c r="Y90" s="204">
        <f t="shared" si="44"/>
        <v>4.7699999999999999E-2</v>
      </c>
      <c r="Z90" s="204">
        <f t="shared" si="45"/>
        <v>23.3322</v>
      </c>
      <c r="AA90" s="204">
        <f t="shared" si="46"/>
        <v>23.284500000000001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7"/>
        <v>175</v>
      </c>
      <c r="AE90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90" s="74" t="str">
        <f t="shared" si="49"/>
        <v>"C:\Program Files (x86)\AstroGrep\AstroGrep.exe" /e /r /s /spath="%USERPROFILE%\AppData\Local\Temp\OnboardLogs" /stypes="app*4058*20170923*" /stext=" 19:.+((SYSTEM_STATE.+slice.+state.+changed )|(ment ac)|(multiple cpu faults)|(system.+state.+changed )|(\[timeout)|(PRM\|1\|D)|(kpr)|(kdp)|(train st.+moving)|(\|lc)|(penalty))"</v>
      </c>
      <c r="AG90" s="182" t="str">
        <f t="shared" si="50"/>
        <v>EC</v>
      </c>
      <c r="AH90" s="78" t="str">
        <f t="shared" si="51"/>
        <v>"%USERPROFILE%\Documents\GitHub\eaglep3\Utilities\RefineRTDCRunTimes.py" --tripid 175-23 --locoid 4058 --swversion DE.1.0.9.0 --startMP 204:477 --initTime 2017-09-23T12:56:04 --startdatetime 2017-09-23T13:00:25 --delay 56 --endMP 204:233322 --enddatetime 2017-09-23T13:36:35 --enforcementcount 0 &gt;&gt;c:\users\stu\Documents\GitHub\eaglep3-reporting\EC\2017-09-23-refined-times.txt</v>
      </c>
      <c r="AI9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{"issue":{"subject":"","project_id":79,"tracker_id":40,"status_id":1,"priority_id":2,"assigned_to_id":338,"start_date":"2017-09-23","description":"","custom_fields":[{"id":1,"name":"Subdivision","value":"EC"},{"id":4,"name":"Milepost","value":"23.3322"},{"id":17,"name":"Train ID","value":"175-23"},{"id":16,"name":"Locomotive ID","value":"4058"},{"id":130,"name":"Impact","value":""},{"id":150,"name":"Time of Event (Mountain Time)","value":"13:36:35"},{"id":151,"name":"Denver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3"/>
        <v>start /low /b %USERPROFILE%\Documents\GitHub\eaglep3\Utilities\DownloadLogsFromS3.py --loco 4058 --day 2017-09-23</v>
      </c>
      <c r="AN9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5"/>
        <v>https://d0f6bd738d7f1b3e5a7ca70fe4ff75f0.us-east-1.aws.found.io/app/kibana#/discover/Steve-Slow-Train-Analysis-(2080s-and-2083s)?_g=(refreshInterval:(display:Off,pause:!f,section:0,value:0),time:(from:'2017-09-23T11:56:04-0600',mode:absolute,to:'2017-09-23T14:36:35-0600'))&amp;_a=(columns:!('Message%20ID',Summary),filters:!(),index:'emp_*',interval:auto,query:(query_string:(analyze_wildcard:!t,query:'Message%5C+ID:(*)+AND+%22rtdc.l.rtdc.4058%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600</v>
      </c>
      <c r="B91" s="7">
        <v>4057</v>
      </c>
      <c r="C91" s="21" t="s">
        <v>196</v>
      </c>
      <c r="D91" s="21" t="s">
        <v>880</v>
      </c>
      <c r="E91" s="13">
        <v>43001.578738425924</v>
      </c>
      <c r="F91" s="13">
        <v>43001.581805555557</v>
      </c>
      <c r="G91" s="7">
        <v>112</v>
      </c>
      <c r="H91" s="21" t="s">
        <v>362</v>
      </c>
      <c r="I91" s="13">
        <v>43001.610208333332</v>
      </c>
      <c r="J91" s="7">
        <v>0</v>
      </c>
      <c r="K91" s="89" t="str">
        <f t="shared" si="40"/>
        <v>4057/4058</v>
      </c>
      <c r="L91" s="185" t="str">
        <f>VLOOKUP(A91,'Trips&amp;Operators'!$C$1:$G$99911,5,FALSE)</f>
        <v>DAVIS MICHAEL</v>
      </c>
      <c r="M91" s="6">
        <f t="shared" si="41"/>
        <v>2.8402777774317656E-2</v>
      </c>
      <c r="N91" s="7">
        <f t="shared" si="33"/>
        <v>40.899999995017424</v>
      </c>
      <c r="O91" s="7"/>
      <c r="P91" s="7"/>
      <c r="Q91" s="22"/>
      <c r="R91" s="174"/>
      <c r="S91" s="221">
        <f t="shared" si="34"/>
        <v>1</v>
      </c>
      <c r="T91" s="174" t="str">
        <f t="shared" si="42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3"/>
        <v>https://d0f6bd738d7f1b3e5a7ca70fe4ff75f0.us-east-1.aws.found.io/app/kibana#/discover/Steve-Slow-Train-Analysis-(2080s-and-2083s)?_g=(refreshInterval:(display:Off,pause:!f,section:0,value:0),time:(from:'2017-09-23T12:53:23-0600',mode:absolute,to:'2017-09-23T15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1" s="204" t="str">
        <f>IF(AA91&lt;VLOOKUP(AG91,Variables!$AC$3:$AD$8,2,FALSE),"Y","N")</f>
        <v>N</v>
      </c>
      <c r="X91" s="204">
        <f t="shared" si="32"/>
        <v>1</v>
      </c>
      <c r="Y91" s="204">
        <f t="shared" si="44"/>
        <v>23.3003</v>
      </c>
      <c r="Z91" s="204">
        <f t="shared" si="45"/>
        <v>1.4500000000000001E-2</v>
      </c>
      <c r="AA91" s="204">
        <f t="shared" si="46"/>
        <v>23.285799999999998</v>
      </c>
      <c r="AB91" s="54" t="str">
        <f>VLOOKUP(A91,Enforcements!$C$7:$K$11,8,0)</f>
        <v>Bulletin (2)</v>
      </c>
      <c r="AC91" s="51" t="str">
        <f>VLOOKUP(A91,Enforcements!$C$7:$E$11,3,0)</f>
        <v>GRADE CROSSING</v>
      </c>
      <c r="AD91" s="179">
        <f t="shared" si="47"/>
        <v>176</v>
      </c>
      <c r="AE91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91" s="74" t="str">
        <f t="shared" si="49"/>
        <v>"C:\Program Files (x86)\AstroGrep\AstroGrep.exe" /e /r /s /spath="%USERPROFILE%\AppData\Local\Temp\OnboardLogs" /stypes="app*4057*20170923*" /stext=" 20:.+((SYSTEM_STATE.+slice.+state.+changed )|(ment ac)|(multiple cpu faults)|(system.+state.+changed )|(\[timeout)|(PRM\|1\|D)|(kpr)|(kdp)|(train st.+moving)|(\|lc)|(penalty))"</v>
      </c>
      <c r="AG91" s="182" t="str">
        <f t="shared" si="50"/>
        <v>EC</v>
      </c>
      <c r="AH91" s="78" t="str">
        <f t="shared" si="51"/>
        <v>"%USERPROFILE%\Documents\GitHub\eaglep3\Utilities\RefineRTDCRunTimes.py" --tripid 176-23 --locoid 4057 --swversion DE.1.0.9.0 --startMP 204:233003 --initTime 2017-09-23T13:53:23 --startdatetime 2017-09-23T13:57:48 --delay 112 --endMP 204:145 --enddatetime 2017-09-23T14:38:42 --enforcementcount 0 &gt;&gt;c:\users\stu\Documents\GitHub\eaglep3-reporting\EC\2017-09-23-refined-times.txt</v>
      </c>
      <c r="AI9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{"issue":{"subject":"","project_id":79,"tracker_id":40,"status_id":1,"priority_id":2,"assigned_to_id":338,"start_date":"2017-09-23","description":"","custom_fields":[{"id":1,"name":"Subdivision","value":"EC"},{"id":4,"name":"Milepost","value":"0.0145"},{"id":17,"name":"Train ID","value":"176-23"},{"id":16,"name":"Locomotive ID","value":"4057"},{"id":130,"name":"Impact","value":""},{"id":150,"name":"Time of Event (Mountain Time)","value":"14:38:42"},{"id":151,"name":"Denver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3"/>
        <v>start /low /b %USERPROFILE%\Documents\GitHub\eaglep3\Utilities\DownloadLogsFromS3.py --loco 4057 --day 2017-09-23</v>
      </c>
      <c r="AN91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5"/>
        <v>https://d0f6bd738d7f1b3e5a7ca70fe4ff75f0.us-east-1.aws.found.io/app/kibana#/discover/Steve-Slow-Train-Analysis-(2080s-and-2083s)?_g=(refreshInterval:(display:Off,pause:!f,section:0,value:0),time:(from:'2017-09-23T12:53:23-0600',mode:absolute,to:'2017-09-23T15:38:42-0600'))&amp;_a=(columns:!('Message%20ID',Summary),filters:!(),index:'emp_*',interval:auto,query:(query_string:(analyze_wildcard:!t,query:'Message%5C+ID:(*)+AND+%22rtdc.l.rtdc.4057%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727</v>
      </c>
      <c r="B92" s="7">
        <v>4026</v>
      </c>
      <c r="C92" s="21" t="s">
        <v>196</v>
      </c>
      <c r="D92" s="21" t="s">
        <v>393</v>
      </c>
      <c r="E92" s="13">
        <v>43001.548159722224</v>
      </c>
      <c r="F92" s="13">
        <v>43001.552291666667</v>
      </c>
      <c r="G92" s="7">
        <v>70</v>
      </c>
      <c r="H92" s="21" t="s">
        <v>881</v>
      </c>
      <c r="I92" s="13">
        <v>43001.577013888891</v>
      </c>
      <c r="J92" s="7">
        <v>0</v>
      </c>
      <c r="K92" s="89" t="str">
        <f t="shared" si="40"/>
        <v>4025/4026</v>
      </c>
      <c r="L92" s="185" t="str">
        <f>VLOOKUP(A92,'Trips&amp;Operators'!$C$1:$G$99911,5,FALSE)</f>
        <v>SAFIEF AEIMEN</v>
      </c>
      <c r="M92" s="6">
        <f t="shared" si="41"/>
        <v>2.4722222224227153E-2</v>
      </c>
      <c r="N92" s="7">
        <f t="shared" si="33"/>
        <v>35.6000000028871</v>
      </c>
      <c r="O92" s="7"/>
      <c r="P92" s="7"/>
      <c r="Q92" s="22"/>
      <c r="R92" s="174"/>
      <c r="S92" s="221">
        <f t="shared" si="34"/>
        <v>1</v>
      </c>
      <c r="T92" s="174" t="str">
        <f t="shared" si="42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3"/>
        <v>https://d0f6bd738d7f1b3e5a7ca70fe4ff75f0.us-east-1.aws.found.io/app/kibana#/discover/Steve-Slow-Train-Analysis-(2080s-and-2083s)?_g=(refreshInterval:(display:Off,pause:!f,section:0,value:0),time:(from:'2017-09-23T12:09:21-0600',mode:absolute,to:'2017-09-23T14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204" t="str">
        <f>IF(AA92&lt;VLOOKUP(AG92,Variables!$AC$3:$AD$8,2,FALSE),"Y","N")</f>
        <v>N</v>
      </c>
      <c r="X92" s="204">
        <f t="shared" si="32"/>
        <v>1</v>
      </c>
      <c r="Y92" s="204">
        <f t="shared" si="44"/>
        <v>4.6199999999999998E-2</v>
      </c>
      <c r="Z92" s="204">
        <f t="shared" si="45"/>
        <v>23.334</v>
      </c>
      <c r="AA92" s="204">
        <f t="shared" si="46"/>
        <v>23.287800000000001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7"/>
        <v>177</v>
      </c>
      <c r="AE92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92" s="74" t="str">
        <f t="shared" si="49"/>
        <v>"C:\Program Files (x86)\AstroGrep\AstroGrep.exe" /e /r /s /spath="%USERPROFILE%\AppData\Local\Temp\OnboardLogs" /stypes="app*4026*20170923*" /stext=" 19:.+((SYSTEM_STATE.+slice.+state.+changed )|(ment ac)|(multiple cpu faults)|(system.+state.+changed )|(\[timeout)|(PRM\|1\|D)|(kpr)|(kdp)|(train st.+moving)|(\|lc)|(penalty))"</v>
      </c>
      <c r="AG92" s="182" t="str">
        <f t="shared" si="50"/>
        <v>EC</v>
      </c>
      <c r="AH92" s="78" t="str">
        <f t="shared" si="51"/>
        <v>"%USERPROFILE%\Documents\GitHub\eaglep3\Utilities\RefineRTDCRunTimes.py" --tripid 177-23 --locoid 4026 --swversion DE.1.0.9.0 --startMP 204:462 --initTime 2017-09-23T13:09:21 --startdatetime 2017-09-23T13:15:18 --delay 70 --endMP 204:233340 --enddatetime 2017-09-23T13:50:54 --enforcementcount 0 &gt;&gt;c:\users\stu\Documents\GitHub\eaglep3-reporting\EC\2017-09-23-refined-times.txt</v>
      </c>
      <c r="AI9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{"issue":{"subject":"","project_id":79,"tracker_id":40,"status_id":1,"priority_id":2,"assigned_to_id":338,"start_date":"2017-09-23","description":"","custom_fields":[{"id":1,"name":"Subdivision","value":"EC"},{"id":4,"name":"Milepost","value":"23.334"},{"id":17,"name":"Train ID","value":"177-23"},{"id":16,"name":"Locomotive ID","value":"4026"},{"id":130,"name":"Impact","value":""},{"id":150,"name":"Time of Event (Mountain Time)","value":"13:50:54"},{"id":151,"name":"Denver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3"/>
        <v>start /low /b %USERPROFILE%\Documents\GitHub\eaglep3\Utilities\DownloadLogsFromS3.py --loco 4026 --day 2017-09-23</v>
      </c>
      <c r="AN9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5"/>
        <v>https://d0f6bd738d7f1b3e5a7ca70fe4ff75f0.us-east-1.aws.found.io/app/kibana#/discover/Steve-Slow-Train-Analysis-(2080s-and-2083s)?_g=(refreshInterval:(display:Off,pause:!f,section:0,value:0),time:(from:'2017-09-23T12:09:21-0600',mode:absolute,to:'2017-09-23T14:50:54-0600'))&amp;_a=(columns:!('Message%20ID',Summary),filters:!(),index:'emp_*',interval:auto,query:(query_string:(analyze_wildcard:!t,query:'Message%5C+ID:(*)+AND+%22rtdc.l.rtdc.4026%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733</v>
      </c>
      <c r="B93" s="7">
        <v>4025</v>
      </c>
      <c r="C93" s="21" t="s">
        <v>196</v>
      </c>
      <c r="D93" s="21" t="s">
        <v>565</v>
      </c>
      <c r="E93" s="13">
        <v>43001.580555555556</v>
      </c>
      <c r="F93" s="13">
        <v>43001.591932870368</v>
      </c>
      <c r="G93" s="7">
        <v>103</v>
      </c>
      <c r="H93" s="21" t="s">
        <v>561</v>
      </c>
      <c r="I93" s="13">
        <v>43001.617824074077</v>
      </c>
      <c r="J93" s="7">
        <v>0</v>
      </c>
      <c r="K93" s="89" t="str">
        <f t="shared" si="40"/>
        <v>4025/4026</v>
      </c>
      <c r="L93" s="185" t="str">
        <f>VLOOKUP(A93,'Trips&amp;Operators'!$C$1:$G$99911,5,FALSE)</f>
        <v>SAFIEF AEIMEN</v>
      </c>
      <c r="M93" s="6">
        <f t="shared" si="41"/>
        <v>2.5891203709761612E-2</v>
      </c>
      <c r="N93" s="7">
        <f t="shared" si="33"/>
        <v>37.283333342056721</v>
      </c>
      <c r="O93" s="7"/>
      <c r="P93" s="7"/>
      <c r="Q93" s="22"/>
      <c r="R93" s="174"/>
      <c r="S93" s="221">
        <f t="shared" si="34"/>
        <v>1</v>
      </c>
      <c r="T93" s="174" t="str">
        <f t="shared" si="42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3"/>
        <v>https://d0f6bd738d7f1b3e5a7ca70fe4ff75f0.us-east-1.aws.found.io/app/kibana#/discover/Steve-Slow-Train-Analysis-(2080s-and-2083s)?_g=(refreshInterval:(display:Off,pause:!f,section:0,value:0),time:(from:'2017-09-23T12:56:00-0600',mode:absolute,to:'2017-09-23T15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204" t="str">
        <f>IF(AA93&lt;VLOOKUP(AG93,Variables!$AC$3:$AD$8,2,FALSE),"Y","N")</f>
        <v>N</v>
      </c>
      <c r="X93" s="204">
        <f t="shared" si="32"/>
        <v>1</v>
      </c>
      <c r="Y93" s="204">
        <f t="shared" si="44"/>
        <v>23.302099999999999</v>
      </c>
      <c r="Z93" s="204">
        <f t="shared" si="45"/>
        <v>1.34E-2</v>
      </c>
      <c r="AA93" s="204">
        <f t="shared" si="46"/>
        <v>23.288699999999999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7"/>
        <v>178</v>
      </c>
      <c r="AE93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93" s="74" t="str">
        <f t="shared" si="49"/>
        <v>"C:\Program Files (x86)\AstroGrep\AstroGrep.exe" /e /r /s /spath="%USERPROFILE%\AppData\Local\Temp\OnboardLogs" /stypes="app*4025*20170923*" /stext=" 20:.+((SYSTEM_STATE.+slice.+state.+changed )|(ment ac)|(multiple cpu faults)|(system.+state.+changed )|(\[timeout)|(PRM\|1\|D)|(kpr)|(kdp)|(train st.+moving)|(\|lc)|(penalty))"</v>
      </c>
      <c r="AG93" s="182" t="str">
        <f t="shared" si="50"/>
        <v>EC</v>
      </c>
      <c r="AH93" s="78" t="str">
        <f t="shared" si="51"/>
        <v>"%USERPROFILE%\Documents\GitHub\eaglep3\Utilities\RefineRTDCRunTimes.py" --tripid 178-23 --locoid 4025 --swversion DE.1.0.9.0 --startMP 204:233021 --initTime 2017-09-23T13:56:00 --startdatetime 2017-09-23T14:12:23 --delay 103 --endMP 204:134 --enddatetime 2017-09-23T14:49:40 --enforcementcount 0 &gt;&gt;c:\users\stu\Documents\GitHub\eaglep3-reporting\EC\2017-09-23-refined-times.txt</v>
      </c>
      <c r="AI9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{"issue":{"subject":"","project_id":79,"tracker_id":40,"status_id":1,"priority_id":2,"assigned_to_id":338,"start_date":"2017-09-23","description":"","custom_fields":[{"id":1,"name":"Subdivision","value":"EC"},{"id":4,"name":"Milepost","value":"0.0134"},{"id":17,"name":"Train ID","value":"178-23"},{"id":16,"name":"Locomotive ID","value":"4025"},{"id":130,"name":"Impact","value":""},{"id":150,"name":"Time of Event (Mountain Time)","value":"14:49:40"},{"id":151,"name":"Denver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3"/>
        <v>start /low /b %USERPROFILE%\Documents\GitHub\eaglep3\Utilities\DownloadLogsFromS3.py --loco 4025 --day 2017-09-23</v>
      </c>
      <c r="AN9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5"/>
        <v>https://d0f6bd738d7f1b3e5a7ca70fe4ff75f0.us-east-1.aws.found.io/app/kibana#/discover/Steve-Slow-Train-Analysis-(2080s-and-2083s)?_g=(refreshInterval:(display:Off,pause:!f,section:0,value:0),time:(from:'2017-09-23T12:56:00-0600',mode:absolute,to:'2017-09-23T15:49:40-0600'))&amp;_a=(columns:!('Message%20ID',Summary),filters:!(),index:'emp_*',interval:auto,query:(query_string:(analyze_wildcard:!t,query:'Message%5C+ID:(*)+AND+%22rtdc.l.rtdc.4025%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729</v>
      </c>
      <c r="B94" s="7">
        <v>4010</v>
      </c>
      <c r="C94" s="21" t="s">
        <v>196</v>
      </c>
      <c r="D94" s="21" t="s">
        <v>373</v>
      </c>
      <c r="E94" s="13">
        <v>43001.557766203703</v>
      </c>
      <c r="F94" s="13">
        <v>43001.562685185185</v>
      </c>
      <c r="G94" s="7">
        <v>52</v>
      </c>
      <c r="H94" s="21" t="s">
        <v>560</v>
      </c>
      <c r="I94" s="13">
        <v>43001.587152777778</v>
      </c>
      <c r="J94" s="7">
        <v>0</v>
      </c>
      <c r="K94" s="89" t="str">
        <f t="shared" si="40"/>
        <v>4009/4010</v>
      </c>
      <c r="L94" s="185" t="str">
        <f>VLOOKUP(A94,'Trips&amp;Operators'!$C$1:$G$99911,5,FALSE)</f>
        <v>GUZMAN DANNY</v>
      </c>
      <c r="M94" s="6">
        <f t="shared" si="41"/>
        <v>2.4467592593282461E-2</v>
      </c>
      <c r="N94" s="7">
        <f t="shared" si="33"/>
        <v>35.233333334326744</v>
      </c>
      <c r="O94" s="7"/>
      <c r="P94" s="7"/>
      <c r="Q94" s="22"/>
      <c r="R94" s="174"/>
      <c r="S94" s="221">
        <f t="shared" si="34"/>
        <v>1</v>
      </c>
      <c r="T94" s="174" t="str">
        <f t="shared" si="42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3"/>
        <v>https://d0f6bd738d7f1b3e5a7ca70fe4ff75f0.us-east-1.aws.found.io/app/kibana#/discover/Steve-Slow-Train-Analysis-(2080s-and-2083s)?_g=(refreshInterval:(display:Off,pause:!f,section:0,value:0),time:(from:'2017-09-23T12:23:11-0600',mode:absolute,to:'2017-09-23T15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204" t="str">
        <f>IF(AA94&lt;VLOOKUP(AG94,Variables!$AC$3:$AD$8,2,FALSE),"Y","N")</f>
        <v>N</v>
      </c>
      <c r="X94" s="204">
        <f t="shared" si="32"/>
        <v>1</v>
      </c>
      <c r="Y94" s="204">
        <f t="shared" si="44"/>
        <v>4.6899999999999997E-2</v>
      </c>
      <c r="Z94" s="204">
        <f t="shared" si="45"/>
        <v>23.329699999999999</v>
      </c>
      <c r="AA94" s="204">
        <f t="shared" si="46"/>
        <v>23.282799999999998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7"/>
        <v>179</v>
      </c>
      <c r="AE94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94" s="74" t="str">
        <f t="shared" si="49"/>
        <v>"C:\Program Files (x86)\AstroGrep\AstroGrep.exe" /e /r /s /spath="%USERPROFILE%\AppData\Local\Temp\OnboardLogs" /stypes="app*4010*20170923*" /stext=" 20:.+((SYSTEM_STATE.+slice.+state.+changed )|(ment ac)|(multiple cpu faults)|(system.+state.+changed )|(\[timeout)|(PRM\|1\|D)|(kpr)|(kdp)|(train st.+moving)|(\|lc)|(penalty))"</v>
      </c>
      <c r="AG94" s="182" t="str">
        <f t="shared" si="50"/>
        <v>EC</v>
      </c>
      <c r="AH94" s="78" t="str">
        <f t="shared" si="51"/>
        <v>"%USERPROFILE%\Documents\GitHub\eaglep3\Utilities\RefineRTDCRunTimes.py" --tripid 179-23 --locoid 4010 --swversion DE.1.0.9.0 --startMP 204:469 --initTime 2017-09-23T13:23:11 --startdatetime 2017-09-23T13:30:16 --delay 52 --endMP 204:233297 --enddatetime 2017-09-23T14:05:30 --enforcementcount 0 &gt;&gt;c:\users\stu\Documents\GitHub\eaglep3-reporting\EC\2017-09-23-refined-times.txt</v>
      </c>
      <c r="AI9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{"issue":{"subject":"","project_id":79,"tracker_id":40,"status_id":1,"priority_id":2,"assigned_to_id":338,"start_date":"2017-09-23","description":"","custom_fields":[{"id":1,"name":"Subdivision","value":"EC"},{"id":4,"name":"Milepost","value":"23.3297"},{"id":17,"name":"Train ID","value":"179-23"},{"id":16,"name":"Locomotive ID","value":"4010"},{"id":130,"name":"Impact","value":""},{"id":150,"name":"Time of Event (Mountain Time)","value":"14:05:30"},{"id":151,"name":"Denver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3"/>
        <v>start /low /b %USERPROFILE%\Documents\GitHub\eaglep3\Utilities\DownloadLogsFromS3.py --loco 4010 --day 2017-09-23</v>
      </c>
      <c r="AN9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5"/>
        <v>https://d0f6bd738d7f1b3e5a7ca70fe4ff75f0.us-east-1.aws.found.io/app/kibana#/discover/Steve-Slow-Train-Analysis-(2080s-and-2083s)?_g=(refreshInterval:(display:Off,pause:!f,section:0,value:0),time:(from:'2017-09-23T12:23:11-0600',mode:absolute,to:'2017-09-23T15:05:30-0600'))&amp;_a=(columns:!('Message%20ID',Summary),filters:!(),index:'emp_*',interval:auto,query:(query_string:(analyze_wildcard:!t,query:'Message%5C+ID:(*)+AND+%22rtdc.l.rtdc.4010%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737</v>
      </c>
      <c r="B95" s="7">
        <v>4009</v>
      </c>
      <c r="C95" s="21" t="s">
        <v>196</v>
      </c>
      <c r="D95" s="21" t="s">
        <v>420</v>
      </c>
      <c r="E95" s="13">
        <v>43001.591261574074</v>
      </c>
      <c r="F95" s="13">
        <v>43001.602395833332</v>
      </c>
      <c r="G95" s="7">
        <v>51</v>
      </c>
      <c r="H95" s="21" t="s">
        <v>337</v>
      </c>
      <c r="I95" s="13">
        <v>43001.628148148149</v>
      </c>
      <c r="J95" s="7">
        <v>0</v>
      </c>
      <c r="K95" s="89" t="str">
        <f t="shared" si="40"/>
        <v>4009/4010</v>
      </c>
      <c r="L95" s="185" t="str">
        <f>VLOOKUP(A95,'Trips&amp;Operators'!$C$1:$G$99911,5,FALSE)</f>
        <v>GUZMAN DANNY</v>
      </c>
      <c r="M95" s="6">
        <f t="shared" si="41"/>
        <v>2.5752314817509614E-2</v>
      </c>
      <c r="N95" s="7">
        <f t="shared" si="33"/>
        <v>37.083333337213844</v>
      </c>
      <c r="O95" s="7"/>
      <c r="P95" s="7"/>
      <c r="Q95" s="22"/>
      <c r="R95" s="174"/>
      <c r="S95" s="221">
        <f t="shared" si="34"/>
        <v>1</v>
      </c>
      <c r="T95" s="174" t="str">
        <f t="shared" si="42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3"/>
        <v>https://d0f6bd738d7f1b3e5a7ca70fe4ff75f0.us-east-1.aws.found.io/app/kibana#/discover/Steve-Slow-Train-Analysis-(2080s-and-2083s)?_g=(refreshInterval:(display:Off,pause:!f,section:0,value:0),time:(from:'2017-09-23T13:11:25-0600',mode:absolute,to:'2017-09-23T16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204" t="str">
        <f>IF(AA95&lt;VLOOKUP(AG95,Variables!$AC$3:$AD$8,2,FALSE),"Y","N")</f>
        <v>N</v>
      </c>
      <c r="X95" s="204">
        <f t="shared" si="32"/>
        <v>1</v>
      </c>
      <c r="Y95" s="204">
        <f t="shared" si="44"/>
        <v>23.298200000000001</v>
      </c>
      <c r="Z95" s="204">
        <f t="shared" si="45"/>
        <v>1.49E-2</v>
      </c>
      <c r="AA95" s="204">
        <f t="shared" si="46"/>
        <v>23.283300000000001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7"/>
        <v>180</v>
      </c>
      <c r="AE95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95" s="74" t="str">
        <f t="shared" si="49"/>
        <v>"C:\Program Files (x86)\AstroGrep\AstroGrep.exe" /e /r /s /spath="%USERPROFILE%\AppData\Local\Temp\OnboardLogs" /stypes="app*4009*20170923*" /stext=" 21:.+((SYSTEM_STATE.+slice.+state.+changed )|(ment ac)|(multiple cpu faults)|(system.+state.+changed )|(\[timeout)|(PRM\|1\|D)|(kpr)|(kdp)|(train st.+moving)|(\|lc)|(penalty))"</v>
      </c>
      <c r="AG95" s="182" t="str">
        <f t="shared" si="50"/>
        <v>EC</v>
      </c>
      <c r="AH95" s="78" t="str">
        <f t="shared" si="51"/>
        <v>"%USERPROFILE%\Documents\GitHub\eaglep3\Utilities\RefineRTDCRunTimes.py" --tripid 180-23 --locoid 4009 --swversion DE.1.0.9.0 --startMP 204:232982 --initTime 2017-09-23T14:11:25 --startdatetime 2017-09-23T14:27:27 --delay 51 --endMP 204:149 --enddatetime 2017-09-23T15:04:32 --enforcementcount 0 &gt;&gt;c:\users\stu\Documents\GitHub\eaglep3-reporting\EC\2017-09-23-refined-times.txt</v>
      </c>
      <c r="AI9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{"issue":{"subject":"","project_id":79,"tracker_id":40,"status_id":1,"priority_id":2,"assigned_to_id":338,"start_date":"2017-09-23","description":"","custom_fields":[{"id":1,"name":"Subdivision","value":"EC"},{"id":4,"name":"Milepost","value":"0.0149"},{"id":17,"name":"Train ID","value":"180-23"},{"id":16,"name":"Locomotive ID","value":"4009"},{"id":130,"name":"Impact","value":""},{"id":150,"name":"Time of Event (Mountain Time)","value":"15:04:32"},{"id":151,"name":"Denver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3"/>
        <v>start /low /b %USERPROFILE%\Documents\GitHub\eaglep3\Utilities\DownloadLogsFromS3.py --loco 4009 --day 2017-09-23</v>
      </c>
      <c r="AN9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5"/>
        <v>https://d0f6bd738d7f1b3e5a7ca70fe4ff75f0.us-east-1.aws.found.io/app/kibana#/discover/Steve-Slow-Train-Analysis-(2080s-and-2083s)?_g=(refreshInterval:(display:Off,pause:!f,section:0,value:0),time:(from:'2017-09-23T13:11:25-0600',mode:absolute,to:'2017-09-23T16:04:32-0600'))&amp;_a=(columns:!('Message%20ID',Summary),filters:!(),index:'emp_*',interval:auto,query:(query_string:(analyze_wildcard:!t,query:'Message%5C+ID:(*)+AND+%22rtdc.l.rtdc.4009%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731</v>
      </c>
      <c r="B96" s="7">
        <v>4028</v>
      </c>
      <c r="C96" s="21" t="s">
        <v>196</v>
      </c>
      <c r="D96" s="21" t="s">
        <v>399</v>
      </c>
      <c r="E96" s="13">
        <v>43001.568668981483</v>
      </c>
      <c r="F96" s="13">
        <v>43001.573472222219</v>
      </c>
      <c r="G96" s="7">
        <v>50</v>
      </c>
      <c r="H96" s="21" t="s">
        <v>563</v>
      </c>
      <c r="I96" s="13">
        <v>43001.598506944443</v>
      </c>
      <c r="J96" s="7">
        <v>0</v>
      </c>
      <c r="K96" s="89" t="str">
        <f t="shared" si="40"/>
        <v>4027/4028</v>
      </c>
      <c r="L96" s="185" t="str">
        <f>VLOOKUP(A96,'Trips&amp;Operators'!$C$1:$G$99911,5,FALSE)</f>
        <v>DAVIDSON DAVID</v>
      </c>
      <c r="M96" s="6">
        <f t="shared" si="41"/>
        <v>2.5034722224518191E-2</v>
      </c>
      <c r="N96" s="7">
        <f t="shared" si="33"/>
        <v>36.050000003306195</v>
      </c>
      <c r="O96" s="7"/>
      <c r="P96" s="7"/>
      <c r="Q96" s="22"/>
      <c r="R96" s="174"/>
      <c r="S96" s="221">
        <f t="shared" si="34"/>
        <v>1</v>
      </c>
      <c r="T96" s="174" t="str">
        <f t="shared" si="42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3"/>
        <v>https://d0f6bd738d7f1b3e5a7ca70fe4ff75f0.us-east-1.aws.found.io/app/kibana#/discover/Steve-Slow-Train-Analysis-(2080s-and-2083s)?_g=(refreshInterval:(display:Off,pause:!f,section:0,value:0),time:(from:'2017-09-23T12:38:53-0600',mode:absolute,to:'2017-09-23T15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6" s="204" t="str">
        <f>IF(AA96&lt;VLOOKUP(AG96,Variables!$AC$3:$AD$8,2,FALSE),"Y","N")</f>
        <v>N</v>
      </c>
      <c r="X96" s="204">
        <f t="shared" si="32"/>
        <v>1</v>
      </c>
      <c r="Y96" s="204">
        <f t="shared" si="44"/>
        <v>4.7100000000000003E-2</v>
      </c>
      <c r="Z96" s="204">
        <f t="shared" si="45"/>
        <v>23.33</v>
      </c>
      <c r="AA96" s="204">
        <f t="shared" si="46"/>
        <v>23.282899999999998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7"/>
        <v>181</v>
      </c>
      <c r="AE96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96" s="74" t="str">
        <f t="shared" si="49"/>
        <v>"C:\Program Files (x86)\AstroGrep\AstroGrep.exe" /e /r /s /spath="%USERPROFILE%\AppData\Local\Temp\OnboardLogs" /stypes="app*4028*20170923*" /stext=" 20:.+((SYSTEM_STATE.+slice.+state.+changed )|(ment ac)|(multiple cpu faults)|(system.+state.+changed )|(\[timeout)|(PRM\|1\|D)|(kpr)|(kdp)|(train st.+moving)|(\|lc)|(penalty))"</v>
      </c>
      <c r="AG96" s="182" t="str">
        <f t="shared" si="50"/>
        <v>EC</v>
      </c>
      <c r="AH96" s="78" t="str">
        <f t="shared" si="51"/>
        <v>"%USERPROFILE%\Documents\GitHub\eaglep3\Utilities\RefineRTDCRunTimes.py" --tripid 181-23 --locoid 4028 --swversion DE.1.0.9.0 --startMP 204:471 --initTime 2017-09-23T13:38:53 --startdatetime 2017-09-23T13:45:48 --delay 50 --endMP 204:233300 --enddatetime 2017-09-23T14:21:51 --enforcementcount 0 &gt;&gt;c:\users\stu\Documents\GitHub\eaglep3-reporting\EC\2017-09-23-refined-times.txt</v>
      </c>
      <c r="AI9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{"issue":{"subject":"","project_id":79,"tracker_id":40,"status_id":1,"priority_id":2,"assigned_to_id":338,"start_date":"2017-09-23","description":"","custom_fields":[{"id":1,"name":"Subdivision","value":"EC"},{"id":4,"name":"Milepost","value":"23.33"},{"id":17,"name":"Train ID","value":"181-23"},{"id":16,"name":"Locomotive ID","value":"4028"},{"id":130,"name":"Impact","value":""},{"id":150,"name":"Time of Event (Mountain Time)","value":"14:21:51"},{"id":151,"name":"Denver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3"/>
        <v>start /low /b %USERPROFILE%\Documents\GitHub\eaglep3\Utilities\DownloadLogsFromS3.py --loco 4028 --day 2017-09-23</v>
      </c>
      <c r="AN9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5"/>
        <v>https://d0f6bd738d7f1b3e5a7ca70fe4ff75f0.us-east-1.aws.found.io/app/kibana#/discover/Steve-Slow-Train-Analysis-(2080s-and-2083s)?_g=(refreshInterval:(display:Off,pause:!f,section:0,value:0),time:(from:'2017-09-23T12:38:53-0600',mode:absolute,to:'2017-09-23T15:21:51-0600'))&amp;_a=(columns:!('Message%20ID',Summary),filters:!(),index:'emp_*',interval:auto,query:(query_string:(analyze_wildcard:!t,query:'Message%5C+ID:(*)+AND+%22rtdc.l.rtdc.4028%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739</v>
      </c>
      <c r="B97" s="7">
        <v>4027</v>
      </c>
      <c r="C97" s="21" t="s">
        <v>196</v>
      </c>
      <c r="D97" s="21" t="s">
        <v>910</v>
      </c>
      <c r="E97" s="13">
        <v>43001.600648148145</v>
      </c>
      <c r="F97" s="13">
        <v>43001.61273148148</v>
      </c>
      <c r="G97" s="7">
        <v>54</v>
      </c>
      <c r="H97" s="21" t="s">
        <v>357</v>
      </c>
      <c r="I97" s="13">
        <v>43001.639699074076</v>
      </c>
      <c r="J97" s="7">
        <v>0</v>
      </c>
      <c r="K97" s="89" t="str">
        <f t="shared" si="40"/>
        <v>4027/4028</v>
      </c>
      <c r="L97" s="185" t="str">
        <f>VLOOKUP(A97,'Trips&amp;Operators'!$C$1:$G$99911,5,FALSE)</f>
        <v>DAVIDSON DAVID</v>
      </c>
      <c r="M97" s="6">
        <f t="shared" si="41"/>
        <v>2.6967592595610768E-2</v>
      </c>
      <c r="N97" s="7">
        <f t="shared" si="33"/>
        <v>38.833333337679505</v>
      </c>
      <c r="O97" s="7"/>
      <c r="P97" s="7"/>
      <c r="Q97" s="22"/>
      <c r="R97" s="174"/>
      <c r="S97" s="221">
        <f t="shared" si="34"/>
        <v>1</v>
      </c>
      <c r="T97" s="174" t="str">
        <f t="shared" si="42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3"/>
        <v>https://d0f6bd738d7f1b3e5a7ca70fe4ff75f0.us-east-1.aws.found.io/app/kibana#/discover/Steve-Slow-Train-Analysis-(2080s-and-2083s)?_g=(refreshInterval:(display:Off,pause:!f,section:0,value:0),time:(from:'2017-09-23T13:24:56-0600',mode:absolute,to:'2017-09-23T16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204" t="str">
        <f>IF(AA97&lt;VLOOKUP(AG97,Variables!$AC$3:$AD$8,2,FALSE),"Y","N")</f>
        <v>N</v>
      </c>
      <c r="X97" s="204">
        <f t="shared" si="32"/>
        <v>1</v>
      </c>
      <c r="Y97" s="204">
        <f t="shared" si="44"/>
        <v>23.298300000000001</v>
      </c>
      <c r="Z97" s="204">
        <f t="shared" si="45"/>
        <v>1.52E-2</v>
      </c>
      <c r="AA97" s="204">
        <f t="shared" si="46"/>
        <v>23.283100000000001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7"/>
        <v>182</v>
      </c>
      <c r="AE97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97" s="74" t="str">
        <f t="shared" si="49"/>
        <v>"C:\Program Files (x86)\AstroGrep\AstroGrep.exe" /e /r /s /spath="%USERPROFILE%\AppData\Local\Temp\OnboardLogs" /stypes="app*4027*20170923*" /stext=" 21:.+((SYSTEM_STATE.+slice.+state.+changed )|(ment ac)|(multiple cpu faults)|(system.+state.+changed )|(\[timeout)|(PRM\|1\|D)|(kpr)|(kdp)|(train st.+moving)|(\|lc)|(penalty))"</v>
      </c>
      <c r="AG97" s="182" t="str">
        <f t="shared" si="50"/>
        <v>EC</v>
      </c>
      <c r="AH97" s="78" t="str">
        <f t="shared" si="51"/>
        <v>"%USERPROFILE%\Documents\GitHub\eaglep3\Utilities\RefineRTDCRunTimes.py" --tripid 182-23 --locoid 4027 --swversion DE.1.0.9.0 --startMP 204:232983 --initTime 2017-09-23T14:24:56 --startdatetime 2017-09-23T14:42:20 --delay 54 --endMP 204:152 --enddatetime 2017-09-23T15:21:10 --enforcementcount 0 &gt;&gt;c:\users\stu\Documents\GitHub\eaglep3-reporting\EC\2017-09-23-refined-times.txt</v>
      </c>
      <c r="AI9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{"issue":{"subject":"","project_id":79,"tracker_id":40,"status_id":1,"priority_id":2,"assigned_to_id":338,"start_date":"2017-09-23","description":"","custom_fields":[{"id":1,"name":"Subdivision","value":"EC"},{"id":4,"name":"Milepost","value":"0.0152"},{"id":17,"name":"Train ID","value":"182-23"},{"id":16,"name":"Locomotive ID","value":"4027"},{"id":130,"name":"Impact","value":""},{"id":150,"name":"Time of Event (Mountain Time)","value":"15:21:10"},{"id":151,"name":"Denver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3"/>
        <v>start /low /b %USERPROFILE%\Documents\GitHub\eaglep3\Utilities\DownloadLogsFromS3.py --loco 4027 --day 2017-09-23</v>
      </c>
      <c r="AN9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5"/>
        <v>https://d0f6bd738d7f1b3e5a7ca70fe4ff75f0.us-east-1.aws.found.io/app/kibana#/discover/Steve-Slow-Train-Analysis-(2080s-and-2083s)?_g=(refreshInterval:(display:Off,pause:!f,section:0,value:0),time:(from:'2017-09-23T13:24:56-0600',mode:absolute,to:'2017-09-23T16:21:10-0600'))&amp;_a=(columns:!('Message%20ID',Summary),filters:!(),index:'emp_*',interval:auto,query:(query_string:(analyze_wildcard:!t,query:'Message%5C+ID:(*)+AND+%22rtdc.l.rtdc.4027%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732</v>
      </c>
      <c r="B98" s="7">
        <v>4024</v>
      </c>
      <c r="C98" s="21" t="s">
        <v>196</v>
      </c>
      <c r="D98" s="21" t="s">
        <v>358</v>
      </c>
      <c r="E98" s="13">
        <v>43001.579479166663</v>
      </c>
      <c r="F98" s="13">
        <v>43001.583483796298</v>
      </c>
      <c r="G98" s="7">
        <v>78</v>
      </c>
      <c r="H98" s="21" t="s">
        <v>879</v>
      </c>
      <c r="I98" s="13">
        <v>43001.608657407407</v>
      </c>
      <c r="J98" s="7">
        <v>0</v>
      </c>
      <c r="K98" s="89" t="str">
        <f t="shared" si="40"/>
        <v>4023/4024</v>
      </c>
      <c r="L98" s="185" t="str">
        <f>VLOOKUP(A98,'Trips&amp;Operators'!$C$1:$G$99911,5,FALSE)</f>
        <v>BERLING GARY</v>
      </c>
      <c r="M98" s="6">
        <f t="shared" si="41"/>
        <v>2.5173611109494232E-2</v>
      </c>
      <c r="N98" s="7">
        <f t="shared" si="33"/>
        <v>36.249999997671694</v>
      </c>
      <c r="O98" s="7"/>
      <c r="P98" s="7"/>
      <c r="Q98" s="22"/>
      <c r="R98" s="174"/>
      <c r="S98" s="221">
        <f t="shared" si="34"/>
        <v>1</v>
      </c>
      <c r="T98" s="174" t="str">
        <f t="shared" si="42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3"/>
        <v>https://d0f6bd738d7f1b3e5a7ca70fe4ff75f0.us-east-1.aws.found.io/app/kibana#/discover/Steve-Slow-Train-Analysis-(2080s-and-2083s)?_g=(refreshInterval:(display:Off,pause:!f,section:0,value:0),time:(from:'2017-09-23T12:54:27-0600',mode:absolute,to:'2017-09-23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8" s="204" t="str">
        <f>IF(AA98&lt;VLOOKUP(AG98,Variables!$AC$3:$AD$8,2,FALSE),"Y","N")</f>
        <v>N</v>
      </c>
      <c r="X98" s="204">
        <f t="shared" si="32"/>
        <v>1</v>
      </c>
      <c r="Y98" s="204">
        <f t="shared" si="44"/>
        <v>4.4900000000000002E-2</v>
      </c>
      <c r="Z98" s="204">
        <f t="shared" si="45"/>
        <v>23.3322</v>
      </c>
      <c r="AA98" s="204">
        <f t="shared" si="46"/>
        <v>23.287300000000002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7"/>
        <v>183</v>
      </c>
      <c r="AE98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98" s="74" t="str">
        <f t="shared" si="49"/>
        <v>"C:\Program Files (x86)\AstroGrep\AstroGrep.exe" /e /r /s /spath="%USERPROFILE%\AppData\Local\Temp\OnboardLogs" /stypes="app*4024*20170923*" /stext=" 20:.+((SYSTEM_STATE.+slice.+state.+changed )|(ment ac)|(multiple cpu faults)|(system.+state.+changed )|(\[timeout)|(PRM\|1\|D)|(kpr)|(kdp)|(train st.+moving)|(\|lc)|(penalty))"</v>
      </c>
      <c r="AG98" s="182" t="str">
        <f t="shared" si="50"/>
        <v>EC</v>
      </c>
      <c r="AH98" s="78" t="str">
        <f t="shared" si="51"/>
        <v>"%USERPROFILE%\Documents\GitHub\eaglep3\Utilities\RefineRTDCRunTimes.py" --tripid 183-23 --locoid 4024 --swversion DE.1.0.9.0 --startMP 204:449 --initTime 2017-09-23T13:54:27 --startdatetime 2017-09-23T14:00:13 --delay 78 --endMP 204:233322 --enddatetime 2017-09-23T14:36:28 --enforcementcount 0 &gt;&gt;c:\users\stu\Documents\GitHub\eaglep3-reporting\EC\2017-09-23-refined-times.txt</v>
      </c>
      <c r="AI9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{"issue":{"subject":"","project_id":79,"tracker_id":40,"status_id":1,"priority_id":2,"assigned_to_id":338,"start_date":"2017-09-23","description":"","custom_fields":[{"id":1,"name":"Subdivision","value":"EC"},{"id":4,"name":"Milepost","value":"23.3322"},{"id":17,"name":"Train ID","value":"183-23"},{"id":16,"name":"Locomotive ID","value":"4024"},{"id":130,"name":"Impact","value":""},{"id":150,"name":"Time of Event (Mountain Time)","value":"14:36:28"},{"id":151,"name":"Denver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53"/>
        <v>start /low /b %USERPROFILE%\Documents\GitHub\eaglep3\Utilities\DownloadLogsFromS3.py --loco 4024 --day 2017-09-23</v>
      </c>
      <c r="AN9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5"/>
        <v>https://d0f6bd738d7f1b3e5a7ca70fe4ff75f0.us-east-1.aws.found.io/app/kibana#/discover/Steve-Slow-Train-Analysis-(2080s-and-2083s)?_g=(refreshInterval:(display:Off,pause:!f,section:0,value:0),time:(from:'2017-09-23T12:54:27-0600',mode:absolute,to:'2017-09-23T15:36:28-0600'))&amp;_a=(columns:!('Message%20ID',Summary),filters:!(),index:'emp_*',interval:auto,query:(query_string:(analyze_wildcard:!t,query:'Message%5C+ID:(*)+AND+%22rtdc.l.rtdc.4024%22')),sort:!(Time.ISO8601,asc))</v>
      </c>
    </row>
    <row r="99" spans="1:91" s="20" customFormat="1" x14ac:dyDescent="0.25">
      <c r="A99" s="32" t="s">
        <v>741</v>
      </c>
      <c r="B99" s="7">
        <v>4023</v>
      </c>
      <c r="C99" s="21" t="s">
        <v>196</v>
      </c>
      <c r="D99" s="21" t="s">
        <v>380</v>
      </c>
      <c r="E99" s="13">
        <v>43001.618252314816</v>
      </c>
      <c r="F99" s="13">
        <v>43001.623136574075</v>
      </c>
      <c r="G99" s="7">
        <v>102</v>
      </c>
      <c r="H99" s="21" t="s">
        <v>338</v>
      </c>
      <c r="I99" s="13">
        <v>43001.649594907409</v>
      </c>
      <c r="J99" s="7">
        <v>0</v>
      </c>
      <c r="K99" s="89" t="str">
        <f t="shared" si="40"/>
        <v>4023/4024</v>
      </c>
      <c r="L99" s="185" t="str">
        <f>VLOOKUP(A99,'Trips&amp;Operators'!$C$1:$G$99911,5,FALSE)</f>
        <v>BERLING GARY</v>
      </c>
      <c r="M99" s="6">
        <f t="shared" si="41"/>
        <v>2.6458333333721384E-2</v>
      </c>
      <c r="N99" s="7">
        <f t="shared" si="33"/>
        <v>38.100000000558794</v>
      </c>
      <c r="O99" s="7"/>
      <c r="P99" s="7"/>
      <c r="Q99" s="22"/>
      <c r="R99" s="174"/>
      <c r="S99" s="221">
        <f t="shared" si="34"/>
        <v>1</v>
      </c>
      <c r="T99" s="174" t="str">
        <f t="shared" si="42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3"/>
        <v>https://d0f6bd738d7f1b3e5a7ca70fe4ff75f0.us-east-1.aws.found.io/app/kibana#/discover/Steve-Slow-Train-Analysis-(2080s-and-2083s)?_g=(refreshInterval:(display:Off,pause:!f,section:0,value:0),time:(from:'2017-09-23T13:50:17-0600',mode:absolute,to:'2017-09-23T16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9" s="204" t="str">
        <f>IF(AA99&lt;VLOOKUP(AG99,Variables!$AC$3:$AD$8,2,FALSE),"Y","N")</f>
        <v>N</v>
      </c>
      <c r="X99" s="204">
        <f t="shared" si="32"/>
        <v>1</v>
      </c>
      <c r="Y99" s="204">
        <f t="shared" si="44"/>
        <v>23.299399999999999</v>
      </c>
      <c r="Z99" s="204">
        <f t="shared" si="45"/>
        <v>1.43E-2</v>
      </c>
      <c r="AA99" s="204">
        <f t="shared" si="46"/>
        <v>23.2851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7"/>
        <v>184</v>
      </c>
      <c r="AE99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99" s="74" t="str">
        <f t="shared" si="49"/>
        <v>"C:\Program Files (x86)\AstroGrep\AstroGrep.exe" /e /r /s /spath="%USERPROFILE%\AppData\Local\Temp\OnboardLogs" /stypes="app*4023*20170923*" /stext=" 21:.+((SYSTEM_STATE.+slice.+state.+changed )|(ment ac)|(multiple cpu faults)|(system.+state.+changed )|(\[timeout)|(PRM\|1\|D)|(kpr)|(kdp)|(train st.+moving)|(\|lc)|(penalty))"</v>
      </c>
      <c r="AG99" s="182" t="str">
        <f t="shared" si="50"/>
        <v>EC</v>
      </c>
      <c r="AH99" s="78" t="str">
        <f t="shared" si="51"/>
        <v>"%USERPROFILE%\Documents\GitHub\eaglep3\Utilities\RefineRTDCRunTimes.py" --tripid 184-23 --locoid 4023 --swversion DE.1.0.9.0 --startMP 204:232994 --initTime 2017-09-23T14:50:17 --startdatetime 2017-09-23T14:57:19 --delay 102 --endMP 204:143 --enddatetime 2017-09-23T15:35:25 --enforcementcount 0 &gt;&gt;c:\users\stu\Documents\GitHub\eaglep3-reporting\EC\2017-09-23-refined-times.txt</v>
      </c>
      <c r="AI9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{"issue":{"subject":"","project_id":79,"tracker_id":40,"status_id":1,"priority_id":2,"assigned_to_id":338,"start_date":"2017-09-23","description":"","custom_fields":[{"id":1,"name":"Subdivision","value":"EC"},{"id":4,"name":"Milepost","value":"0.0143"},{"id":17,"name":"Train ID","value":"184-23"},{"id":16,"name":"Locomotive ID","value":"4023"},{"id":130,"name":"Impact","value":""},{"id":150,"name":"Time of Event (Mountain Time)","value":"15:35:25"},{"id":151,"name":"Denver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3"/>
        <v>start /low /b %USERPROFILE%\Documents\GitHub\eaglep3\Utilities\DownloadLogsFromS3.py --loco 4023 --day 2017-09-23</v>
      </c>
      <c r="AN9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5"/>
        <v>https://d0f6bd738d7f1b3e5a7ca70fe4ff75f0.us-east-1.aws.found.io/app/kibana#/discover/Steve-Slow-Train-Analysis-(2080s-and-2083s)?_g=(refreshInterval:(display:Off,pause:!f,section:0,value:0),time:(from:'2017-09-23T13:50:17-0600',mode:absolute,to:'2017-09-23T16:35:25-0600'))&amp;_a=(columns:!('Message%20ID',Summary),filters:!(),index:'emp_*',interval:auto,query:(query_string:(analyze_wildcard:!t,query:'Message%5C+ID:(*)+AND+%22rtdc.l.rtdc.4023%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736</v>
      </c>
      <c r="B100" s="7">
        <v>4040</v>
      </c>
      <c r="C100" s="21" t="s">
        <v>196</v>
      </c>
      <c r="D100" s="21" t="s">
        <v>927</v>
      </c>
      <c r="E100" s="13">
        <v>43001.590879629628</v>
      </c>
      <c r="F100" s="13">
        <v>43001.593923611108</v>
      </c>
      <c r="G100" s="7">
        <v>84</v>
      </c>
      <c r="H100" s="21" t="s">
        <v>503</v>
      </c>
      <c r="I100" s="13">
        <v>43001.618587962963</v>
      </c>
      <c r="J100" s="7">
        <v>0</v>
      </c>
      <c r="K100" s="89" t="str">
        <f t="shared" si="40"/>
        <v>4039/4040</v>
      </c>
      <c r="L100" s="185" t="str">
        <f>VLOOKUP(A100,'Trips&amp;Operators'!$C$1:$G$99911,5,FALSE)</f>
        <v>BRUDER RICHARD</v>
      </c>
      <c r="M100" s="6">
        <f t="shared" si="41"/>
        <v>2.4664351854880806E-2</v>
      </c>
      <c r="N100" s="7">
        <f t="shared" si="33"/>
        <v>35.516666671028361</v>
      </c>
      <c r="O100" s="7"/>
      <c r="P100" s="7"/>
      <c r="Q100" s="22"/>
      <c r="R100" s="174"/>
      <c r="S100" s="221">
        <f t="shared" si="34"/>
        <v>1</v>
      </c>
      <c r="T100" s="174" t="str">
        <f t="shared" si="42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3"/>
        <v>https://d0f6bd738d7f1b3e5a7ca70fe4ff75f0.us-east-1.aws.found.io/app/kibana#/discover/Steve-Slow-Train-Analysis-(2080s-and-2083s)?_g=(refreshInterval:(display:Off,pause:!f,section:0,value:0),time:(from:'2017-09-23T13:10:52-0600',mode:absolute,to:'2017-09-23T15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204" t="str">
        <f>IF(AA100&lt;VLOOKUP(AG100,Variables!$AC$3:$AD$8,2,FALSE),"Y","N")</f>
        <v>N</v>
      </c>
      <c r="X100" s="204">
        <f t="shared" si="32"/>
        <v>1</v>
      </c>
      <c r="Y100" s="204">
        <f t="shared" si="44"/>
        <v>4.2700000000000002E-2</v>
      </c>
      <c r="Z100" s="204">
        <f t="shared" si="45"/>
        <v>23.3308</v>
      </c>
      <c r="AA100" s="204">
        <f t="shared" si="46"/>
        <v>23.2881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7"/>
        <v>185</v>
      </c>
      <c r="AE100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00" s="74" t="str">
        <f t="shared" si="49"/>
        <v>"C:\Program Files (x86)\AstroGrep\AstroGrep.exe" /e /r /s /spath="%USERPROFILE%\AppData\Local\Temp\OnboardLogs" /stypes="app*4040*20170923*" /stext=" 20:.+((SYSTEM_STATE.+slice.+state.+changed )|(ment ac)|(multiple cpu faults)|(system.+state.+changed )|(\[timeout)|(PRM\|1\|D)|(kpr)|(kdp)|(train st.+moving)|(\|lc)|(penalty))"</v>
      </c>
      <c r="AG100" s="182" t="str">
        <f t="shared" si="50"/>
        <v>EC</v>
      </c>
      <c r="AH100" s="78" t="str">
        <f t="shared" si="51"/>
        <v>"%USERPROFILE%\Documents\GitHub\eaglep3\Utilities\RefineRTDCRunTimes.py" --tripid 185-23 --locoid 4040 --swversion DE.1.0.9.0 --startMP 204:427 --initTime 2017-09-23T14:10:52 --startdatetime 2017-09-23T14:15:15 --delay 84 --endMP 204:233308 --enddatetime 2017-09-23T14:50:46 --enforcementcount 0 &gt;&gt;c:\users\stu\Documents\GitHub\eaglep3-reporting\EC\2017-09-23-refined-times.txt</v>
      </c>
      <c r="AI10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ID","value":"185-23"},{"id":16,"name":"Locomotive ID","value":"4040"},{"id":130,"name":"Impact","value":""},{"id":150,"name":"Time of Event (Mountain Time)","value":"14:50:46"},{"id":151,"name":"Denver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3"/>
        <v>start /low /b %USERPROFILE%\Documents\GitHub\eaglep3\Utilities\DownloadLogsFromS3.py --loco 4040 --day 2017-09-23</v>
      </c>
      <c r="AN10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5"/>
        <v>https://d0f6bd738d7f1b3e5a7ca70fe4ff75f0.us-east-1.aws.found.io/app/kibana#/discover/Steve-Slow-Train-Analysis-(2080s-and-2083s)?_g=(refreshInterval:(display:Off,pause:!f,section:0,value:0),time:(from:'2017-09-23T13:10:52-0600',mode:absolute,to:'2017-09-23T15:50:46-0600'))&amp;_a=(columns:!('Message%20ID',Summary),filters:!(),index:'emp_*',interval:auto,query:(query_string:(analyze_wildcard:!t,query:'Message%5C+ID:(*)+AND+%22rtdc.l.rtdc.4040%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604</v>
      </c>
      <c r="B101" s="7">
        <v>4039</v>
      </c>
      <c r="C101" s="21" t="s">
        <v>196</v>
      </c>
      <c r="D101" s="21" t="s">
        <v>506</v>
      </c>
      <c r="E101" s="13">
        <v>43001.63</v>
      </c>
      <c r="F101" s="13">
        <v>43001.633657407408</v>
      </c>
      <c r="G101" s="7">
        <v>118</v>
      </c>
      <c r="H101" s="21" t="s">
        <v>336</v>
      </c>
      <c r="I101" s="13">
        <v>43001.661064814813</v>
      </c>
      <c r="J101" s="7">
        <v>0</v>
      </c>
      <c r="K101" s="89" t="str">
        <f t="shared" si="40"/>
        <v>4039/4040</v>
      </c>
      <c r="L101" s="185" t="str">
        <f>VLOOKUP(A101,'Trips&amp;Operators'!$C$1:$G$99911,5,FALSE)</f>
        <v>BRUDER RICHARD</v>
      </c>
      <c r="M101" s="6">
        <f t="shared" si="41"/>
        <v>2.7407407404098194E-2</v>
      </c>
      <c r="N101" s="7">
        <f t="shared" si="33"/>
        <v>39.466666661901399</v>
      </c>
      <c r="O101" s="7"/>
      <c r="P101" s="7"/>
      <c r="Q101" s="22"/>
      <c r="R101" s="174" t="s">
        <v>1012</v>
      </c>
      <c r="S101" s="221">
        <f t="shared" si="34"/>
        <v>1</v>
      </c>
      <c r="T101" s="174" t="str">
        <f t="shared" si="42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3"/>
        <v>https://d0f6bd738d7f1b3e5a7ca70fe4ff75f0.us-east-1.aws.found.io/app/kibana#/discover/Steve-Slow-Train-Analysis-(2080s-and-2083s)?_g=(refreshInterval:(display:Off,pause:!f,section:0,value:0),time:(from:'2017-09-23T14:07:12-0600',mode:absolute,to:'2017-09-23T16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204" t="str">
        <f>IF(AA101&lt;VLOOKUP(AG101,Variables!$AC$3:$AD$8,2,FALSE),"Y","N")</f>
        <v>N</v>
      </c>
      <c r="X101" s="204">
        <f t="shared" si="32"/>
        <v>1</v>
      </c>
      <c r="Y101" s="204">
        <f t="shared" si="44"/>
        <v>23.3002</v>
      </c>
      <c r="Z101" s="204">
        <f t="shared" si="45"/>
        <v>1.4999999999999999E-2</v>
      </c>
      <c r="AA101" s="204">
        <f t="shared" si="46"/>
        <v>23.2852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7"/>
        <v>186</v>
      </c>
      <c r="AE101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01" s="74" t="str">
        <f t="shared" si="49"/>
        <v>"C:\Program Files (x86)\AstroGrep\AstroGrep.exe" /e /r /s /spath="%USERPROFILE%\AppData\Local\Temp\OnboardLogs" /stypes="app*4039*20170923*" /stext=" 21:.+((SYSTEM_STATE.+slice.+state.+changed )|(ment ac)|(multiple cpu faults)|(system.+state.+changed )|(\[timeout)|(PRM\|1\|D)|(kpr)|(kdp)|(train st.+moving)|(\|lc)|(penalty))"</v>
      </c>
      <c r="AG101" s="182" t="str">
        <f t="shared" si="50"/>
        <v>EC</v>
      </c>
      <c r="AH101" s="78" t="str">
        <f t="shared" si="51"/>
        <v>"%USERPROFILE%\Documents\GitHub\eaglep3\Utilities\RefineRTDCRunTimes.py" --tripid 186-23 --locoid 4039 --swversion DE.1.0.9.0 --startMP 204:233002 --initTime 2017-09-23T15:07:12 --startdatetime 2017-09-23T15:12:28 --delay 118 --endMP 204:150 --enddatetime 2017-09-23T15:51:56 --enforcementcount 0 &gt;&gt;c:\users\stu\Documents\GitHub\eaglep3-reporting\EC\2017-09-23-refined-times.txt</v>
      </c>
      <c r="AI101" s="96" t="str">
        <f t="shared" si="52"/>
        <v>echo {"issue":{"subject":"Wi-MAX data drop caused unhealthy banners","project_id":79,"tracker_id":40,"status_id":1,"priority_id":2,"assigned_to_id":338,"start_date":"2017-09-23","description":"","custom_fields":[{"id":1,"name":"Subdivision","value":"EC"},{"id":4,"name":"Milepost","value":"0.015"},{"id":17,"name":"Train ID","value":"186-23"},{"id":16,"name":"Locomotive ID","value":"4039"},{"id":130,"name":"Impact","value":""},{"id":150,"name":"Time of Event (Mountain Time)","value":"15:51:56"},{"id":151,"name":"Denver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3"/>
        <v>start /low /b %USERPROFILE%\Documents\GitHub\eaglep3\Utilities\DownloadLogsFromS3.py --loco 4039 --day 2017-09-23</v>
      </c>
      <c r="AN101" s="151" t="str">
        <f t="shared" si="54"/>
        <v>echo {"issue":{"subject":"Wi-MAX data drop caused unhealthy banners","project_id":30,"tracker_id":4,"status_id":1,"priority_id":1,"assigned_to_id":10,"start_date":"2017-09-23","description":"","custom_fields":[{"id":30,"name":"Category","value":"Issue"},{"id":3,"name":"Functional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5"/>
        <v>https://d0f6bd738d7f1b3e5a7ca70fe4ff75f0.us-east-1.aws.found.io/app/kibana#/discover/Steve-Slow-Train-Analysis-(2080s-and-2083s)?_g=(refreshInterval:(display:Off,pause:!f,section:0,value:0),time:(from:'2017-09-23T14:07:12-0600',mode:absolute,to:'2017-09-23T16:51:56-0600'))&amp;_a=(columns:!('Message%20ID',Summary),filters:!(),index:'emp_*',interval:auto,query:(query_string:(analyze_wildcard:!t,query:'Message%5C+ID:(*)+AND+%22rtdc.l.rtdc.4039%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738</v>
      </c>
      <c r="B102" s="7">
        <v>4002</v>
      </c>
      <c r="C102" s="21" t="s">
        <v>196</v>
      </c>
      <c r="D102" s="21" t="s">
        <v>506</v>
      </c>
      <c r="E102" s="13">
        <v>43001.63</v>
      </c>
      <c r="F102" s="13">
        <v>43001.604386574072</v>
      </c>
      <c r="G102" s="7">
        <v>118</v>
      </c>
      <c r="H102" s="21" t="s">
        <v>336</v>
      </c>
      <c r="I102" s="13">
        <v>43001.629282407404</v>
      </c>
      <c r="J102" s="7">
        <v>0</v>
      </c>
      <c r="K102" s="89" t="str">
        <f t="shared" si="40"/>
        <v>4001/4002</v>
      </c>
      <c r="L102" s="185" t="str">
        <f>VLOOKUP(A102,'Trips&amp;Operators'!$C$1:$G$99911,5,FALSE)</f>
        <v>HOLCOMB KAMDEN</v>
      </c>
      <c r="M102" s="6">
        <f t="shared" si="41"/>
        <v>2.4895833332266193E-2</v>
      </c>
      <c r="N102" s="7">
        <f t="shared" si="33"/>
        <v>35.849999998463318</v>
      </c>
      <c r="O102" s="7"/>
      <c r="P102" s="7"/>
      <c r="Q102" s="22"/>
      <c r="R102" s="174"/>
      <c r="S102" s="221">
        <f t="shared" si="34"/>
        <v>1</v>
      </c>
      <c r="T102" s="174" t="str">
        <f t="shared" si="42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3"/>
        <v>https://d0f6bd738d7f1b3e5a7ca70fe4ff75f0.us-east-1.aws.found.io/app/kibana#/discover/Steve-Slow-Train-Analysis-(2080s-and-2083s)?_g=(refreshInterval:(display:Off,pause:!f,section:0,value:0),time:(from:'2017-09-23T14:07:12-0600',mode:absolute,to:'2017-09-23T16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204" t="str">
        <f>IF(AA102&lt;VLOOKUP(AG102,Variables!$AC$3:$AD$8,2,FALSE),"Y","N")</f>
        <v>N</v>
      </c>
      <c r="X102" s="204">
        <f t="shared" ref="X102:X103" si="56">VALUE(LEFT(AD102,4))-VALUE(LEFT(AD101,4))</f>
        <v>1</v>
      </c>
      <c r="Y102" s="204">
        <v>4.2700000000000002E-2</v>
      </c>
      <c r="Z102" s="204">
        <v>23.3308</v>
      </c>
      <c r="AA102" s="204">
        <f t="shared" si="46"/>
        <v>23.2881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7"/>
        <v>187</v>
      </c>
      <c r="AE102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102" s="74" t="str">
        <f t="shared" si="49"/>
        <v>"C:\Program Files (x86)\AstroGrep\AstroGrep.exe" /e /r /s /spath="%USERPROFILE%\AppData\Local\Temp\OnboardLogs" /stypes="app*4002*20170923*" /stext=" 21:.+((SYSTEM_STATE.+slice.+state.+changed )|(ment ac)|(multiple cpu faults)|(system.+state.+changed )|(\[timeout)|(PRM\|1\|D)|(kpr)|(kdp)|(train st.+moving)|(\|lc)|(penalty))"</v>
      </c>
      <c r="AG102" s="182" t="str">
        <f t="shared" si="50"/>
        <v>EC</v>
      </c>
      <c r="AH102" s="78" t="str">
        <f t="shared" ref="AH102" si="57"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187-23 --locoid 4002 --swversion DE.1.0.9.0 --startMP 204:233002 --initTime 2017-09-23T15:07:12 --startdatetime 2017-09-23T14:30:19 --delay 118 --endMP 204:150 --enddatetime 2017-09-23T15:06:10 --enforcementcount 0 &gt;&gt;c:\users\stu\Documents\GitHub\eaglep3-reporting\EC\2017-09-23-refined-times.txt</v>
      </c>
      <c r="AI102" s="96" t="str">
        <f t="shared" ref="AI102" si="58"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ID","value":"187-23"},{"id":16,"name":"Locomotive ID","value":"4002"},{"id":130,"name":"Impact","value":""},{"id":150,"name":"Time of Event (Mountain Time)","value":"15:06:10"},{"id":151,"name":"Denver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ref="AM102" si="59">"start /low /b "&amp;dls3logs&amp;" --loco "&amp;B102&amp;" --day "&amp;TEXT(F102,"YYYY-MM-DD")</f>
        <v>start /low /b %USERPROFILE%\Documents\GitHub\eaglep3\Utilities\DownloadLogsFromS3.py --loco 4002 --day 2017-09-23</v>
      </c>
      <c r="AN102" s="151" t="str">
        <f t="shared" ref="AN102" si="60"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ref="AO102" si="61"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Message%5C+ID:(*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-23T14:07:12-0600',mode:absolute,to:'2017-09-23T16:06:10-0600'))&amp;_a=(columns:!('Message%20ID',Summary),filters:!(),index:'emp_*',interval:auto,query:(query_string:(analyze_wildcard:!t,query:'Message%5C+ID:(*)+AND+%22rtdc.l.rtdc.4002%22')),sort:!(Time.ISO8601,asc))</v>
      </c>
    </row>
    <row r="103" spans="1:91" s="20" customFormat="1" x14ac:dyDescent="0.25">
      <c r="A103" s="32" t="s">
        <v>744</v>
      </c>
      <c r="B103" s="7">
        <v>4001</v>
      </c>
      <c r="C103" s="21" t="s">
        <v>196</v>
      </c>
      <c r="D103" s="21" t="s">
        <v>371</v>
      </c>
      <c r="E103" s="13">
        <v>43001.640393518515</v>
      </c>
      <c r="F103" s="13">
        <v>43001.643923611111</v>
      </c>
      <c r="G103" s="7">
        <v>59</v>
      </c>
      <c r="H103" s="21" t="s">
        <v>363</v>
      </c>
      <c r="I103" s="13">
        <v>43001.670115740744</v>
      </c>
      <c r="J103" s="7">
        <v>0</v>
      </c>
      <c r="K103" s="89" t="str">
        <f t="shared" si="40"/>
        <v>4001/4002</v>
      </c>
      <c r="L103" s="185" t="str">
        <f>VLOOKUP(A103,'Trips&amp;Operators'!$C$1:$G$99911,5,FALSE)</f>
        <v>HOLCOMB KAMDEN</v>
      </c>
      <c r="M103" s="6">
        <f t="shared" si="41"/>
        <v>2.6192129633272998E-2</v>
      </c>
      <c r="N103" s="7">
        <f t="shared" ref="N103:N126" si="62">24*60*SUM($M103:$M103)</f>
        <v>37.716666671913117</v>
      </c>
      <c r="O103" s="7"/>
      <c r="P103" s="7"/>
      <c r="Q103" s="22"/>
      <c r="R103" s="174"/>
      <c r="S103" s="221">
        <f t="shared" ref="S103:S134" si="63">1/IF(AG103="EC",12,1)*SUM(U103:U103)</f>
        <v>1</v>
      </c>
      <c r="T103" s="174" t="str">
        <f t="shared" si="42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43"/>
        <v>https://d0f6bd738d7f1b3e5a7ca70fe4ff75f0.us-east-1.aws.found.io/app/kibana#/discover/Steve-Slow-Train-Analysis-(2080s-and-2083s)?_g=(refreshInterval:(display:Off,pause:!f,section:0,value:0),time:(from:'2017-09-23T14:22:10-0600',mode:absolute,to:'2017-09-23T17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204" t="str">
        <f>IF(AA103&lt;VLOOKUP(AG103,Variables!$AC$3:$AD$8,2,FALSE),"Y","N")</f>
        <v>N</v>
      </c>
      <c r="X103" s="204">
        <f t="shared" si="56"/>
        <v>1</v>
      </c>
      <c r="Y103" s="204">
        <f t="shared" ref="Y103:Y129" si="64">RIGHT(D103,LEN(D103)-4)/10000</f>
        <v>23.297699999999999</v>
      </c>
      <c r="Z103" s="204">
        <f t="shared" ref="Z103:Z129" si="65">RIGHT(H103,LEN(H103)-4)/10000</f>
        <v>1.38E-2</v>
      </c>
      <c r="AA103" s="204">
        <f t="shared" si="46"/>
        <v>23.283899999999999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7"/>
        <v>188</v>
      </c>
      <c r="AE103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103" s="74" t="str">
        <f t="shared" si="49"/>
        <v>"C:\Program Files (x86)\AstroGrep\AstroGrep.exe" /e /r /s /spath="%USERPROFILE%\AppData\Local\Temp\OnboardLogs" /stypes="app*4001*20170923*" /stext=" 22:.+((SYSTEM_STATE.+slice.+state.+changed )|(ment ac)|(multiple cpu faults)|(system.+state.+changed )|(\[timeout)|(PRM\|1\|D)|(kpr)|(kdp)|(train st.+moving)|(\|lc)|(penalty))"</v>
      </c>
      <c r="AG103" s="182" t="str">
        <f t="shared" si="50"/>
        <v>EC</v>
      </c>
      <c r="AH103" s="78" t="str">
        <f t="shared" si="51"/>
        <v>"%USERPROFILE%\Documents\GitHub\eaglep3\Utilities\RefineRTDCRunTimes.py" --tripid 188-23 --locoid 4001 --swversion DE.1.0.9.0 --startMP 204:232977 --initTime 2017-09-23T15:22:10 --startdatetime 2017-09-23T15:27:15 --delay 59 --endMP 204:138 --enddatetime 2017-09-23T16:04:58 --enforcementcount 0 &gt;&gt;c:\users\stu\Documents\GitHub\eaglep3-reporting\EC\2017-09-23-refined-times.txt</v>
      </c>
      <c r="AI10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{"issue":{"subject":"","project_id":79,"tracker_id":40,"status_id":1,"priority_id":2,"assigned_to_id":338,"start_date":"2017-09-23","description":"","custom_fields":[{"id":1,"name":"Subdivision","value":"EC"},{"id":4,"name":"Milepost","value":"0.0138"},{"id":17,"name":"Train ID","value":"188-23"},{"id":16,"name":"Locomotive ID","value":"4001"},{"id":130,"name":"Impact","value":""},{"id":150,"name":"Time of Event (Mountain Time)","value":"16:04:58"},{"id":151,"name":"Denver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3"/>
        <v>start /low /b %USERPROFILE%\Documents\GitHub\eaglep3\Utilities\DownloadLogsFromS3.py --loco 4001 --day 2017-09-23</v>
      </c>
      <c r="AN10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5"/>
        <v>https://d0f6bd738d7f1b3e5a7ca70fe4ff75f0.us-east-1.aws.found.io/app/kibana#/discover/Steve-Slow-Train-Analysis-(2080s-and-2083s)?_g=(refreshInterval:(display:Off,pause:!f,section:0,value:0),time:(from:'2017-09-23T14:22:10-0600',mode:absolute,to:'2017-09-23T17:04:58-0600'))&amp;_a=(columns:!('Message%20ID',Summary),filters:!(),index:'emp_*',interval:auto,query:(query_string:(analyze_wildcard:!t,query:'Message%5C+ID:(*)+AND+%22rtdc.l.rtdc.4001%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603</v>
      </c>
      <c r="B104" s="7">
        <v>4058</v>
      </c>
      <c r="C104" s="21" t="s">
        <v>196</v>
      </c>
      <c r="D104" s="21" t="s">
        <v>387</v>
      </c>
      <c r="E104" s="13">
        <v>43001.61178240741</v>
      </c>
      <c r="F104" s="13">
        <v>43001.614999999998</v>
      </c>
      <c r="G104" s="7">
        <v>59</v>
      </c>
      <c r="H104" s="21" t="s">
        <v>928</v>
      </c>
      <c r="I104" s="13">
        <v>43001.641145833331</v>
      </c>
      <c r="J104" s="7">
        <v>0</v>
      </c>
      <c r="K104" s="89" t="str">
        <f t="shared" si="40"/>
        <v>4057/4058</v>
      </c>
      <c r="L104" s="185" t="str">
        <f>VLOOKUP(A104,'Trips&amp;Operators'!$C$1:$G$99911,5,FALSE)</f>
        <v>DAVIS MICHAEL</v>
      </c>
      <c r="M104" s="6">
        <f t="shared" si="41"/>
        <v>2.6145833333430346E-2</v>
      </c>
      <c r="N104" s="7">
        <f t="shared" si="62"/>
        <v>37.650000000139698</v>
      </c>
      <c r="O104" s="7"/>
      <c r="P104" s="7"/>
      <c r="Q104" s="22"/>
      <c r="R104" s="174"/>
      <c r="S104" s="221">
        <f t="shared" si="63"/>
        <v>1</v>
      </c>
      <c r="T104" s="174" t="str">
        <f t="shared" si="42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43"/>
        <v>https://d0f6bd738d7f1b3e5a7ca70fe4ff75f0.us-east-1.aws.found.io/app/kibana#/discover/Steve-Slow-Train-Analysis-(2080s-and-2083s)?_g=(refreshInterval:(display:Off,pause:!f,section:0,value:0),time:(from:'2017-09-23T13:40:58-0600',mode:absolute,to:'2017-09-23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4" s="204" t="str">
        <f>IF(AA104&lt;VLOOKUP(AG104,Variables!$AC$3:$AD$8,2,FALSE),"Y","N")</f>
        <v>N</v>
      </c>
      <c r="X104" s="204">
        <f t="shared" ref="X104:X135" si="66">VALUE(LEFT(AD104,4))-VALUE(LEFT(AD103,4))</f>
        <v>1</v>
      </c>
      <c r="Y104" s="204">
        <f t="shared" si="64"/>
        <v>4.3999999999999997E-2</v>
      </c>
      <c r="Z104" s="204">
        <f t="shared" si="65"/>
        <v>23.337599999999998</v>
      </c>
      <c r="AA104" s="204">
        <f t="shared" si="46"/>
        <v>23.293599999999998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7"/>
        <v>189</v>
      </c>
      <c r="AE104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04" s="74" t="str">
        <f t="shared" si="49"/>
        <v>"C:\Program Files (x86)\AstroGrep\AstroGrep.exe" /e /r /s /spath="%USERPROFILE%\AppData\Local\Temp\OnboardLogs" /stypes="app*4058*20170923*" /stext=" 21:.+((SYSTEM_STATE.+slice.+state.+changed )|(ment ac)|(multiple cpu faults)|(system.+state.+changed )|(\[timeout)|(PRM\|1\|D)|(kpr)|(kdp)|(train st.+moving)|(\|lc)|(penalty))"</v>
      </c>
      <c r="AG104" s="182" t="str">
        <f t="shared" si="50"/>
        <v>EC</v>
      </c>
      <c r="AH104" s="78" t="str">
        <f t="shared" si="51"/>
        <v>"%USERPROFILE%\Documents\GitHub\eaglep3\Utilities\RefineRTDCRunTimes.py" --tripid 189-23 --locoid 4058 --swversion DE.1.0.9.0 --startMP 204:440 --initTime 2017-09-23T14:40:58 --startdatetime 2017-09-23T14:45:36 --delay 59 --endMP 204:233376 --enddatetime 2017-09-23T15:23:15 --enforcementcount 0 &gt;&gt;c:\users\stu\Documents\GitHub\eaglep3-reporting\EC\2017-09-23-refined-times.txt</v>
      </c>
      <c r="AI10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{"issue":{"subject":"","project_id":79,"tracker_id":40,"status_id":1,"priority_id":2,"assigned_to_id":338,"start_date":"2017-09-23","description":"","custom_fields":[{"id":1,"name":"Subdivision","value":"EC"},{"id":4,"name":"Milepost","value":"23.3376"},{"id":17,"name":"Train ID","value":"189-23"},{"id":16,"name":"Locomotive ID","value":"4058"},{"id":130,"name":"Impact","value":""},{"id":150,"name":"Time of Event (Mountain Time)","value":"15:23:15"},{"id":151,"name":"Denver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3"/>
        <v>start /low /b %USERPROFILE%\Documents\GitHub\eaglep3\Utilities\DownloadLogsFromS3.py --loco 4058 --day 2017-09-23</v>
      </c>
      <c r="AN10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5"/>
        <v>https://d0f6bd738d7f1b3e5a7ca70fe4ff75f0.us-east-1.aws.found.io/app/kibana#/discover/Steve-Slow-Train-Analysis-(2080s-and-2083s)?_g=(refreshInterval:(display:Off,pause:!f,section:0,value:0),time:(from:'2017-09-23T13:40:58-0600',mode:absolute,to:'2017-09-23T16:23:15-0600'))&amp;_a=(columns:!('Message%20ID',Summary),filters:!(),index:'emp_*',interval:auto,query:(query_string:(analyze_wildcard:!t,query:'Message%5C+ID:(*)+AND+%22rtdc.l.rtdc.4058%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748</v>
      </c>
      <c r="B105" s="7">
        <v>4057</v>
      </c>
      <c r="C105" s="21" t="s">
        <v>196</v>
      </c>
      <c r="D105" s="21" t="s">
        <v>929</v>
      </c>
      <c r="E105" s="13">
        <v>43001.652696759258</v>
      </c>
      <c r="F105" s="13">
        <v>43001.654641203706</v>
      </c>
      <c r="G105" s="7">
        <v>72</v>
      </c>
      <c r="H105" s="21" t="s">
        <v>341</v>
      </c>
      <c r="I105" s="13">
        <v>43001.681620370371</v>
      </c>
      <c r="J105" s="7">
        <v>0</v>
      </c>
      <c r="K105" s="89" t="str">
        <f t="shared" si="40"/>
        <v>4057/4058</v>
      </c>
      <c r="L105" s="185" t="str">
        <f>VLOOKUP(A105,'Trips&amp;Operators'!$C$1:$G$99911,5,FALSE)</f>
        <v>DAVIS MICHAEL</v>
      </c>
      <c r="M105" s="6">
        <f t="shared" si="41"/>
        <v>2.6979166665114462E-2</v>
      </c>
      <c r="N105" s="7">
        <f t="shared" si="62"/>
        <v>38.849999997764826</v>
      </c>
      <c r="O105" s="7"/>
      <c r="P105" s="7"/>
      <c r="Q105" s="22"/>
      <c r="R105" s="174"/>
      <c r="S105" s="221">
        <f t="shared" si="63"/>
        <v>1</v>
      </c>
      <c r="T105" s="174" t="str">
        <f t="shared" si="42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3"/>
        <v>https://d0f6bd738d7f1b3e5a7ca70fe4ff75f0.us-east-1.aws.found.io/app/kibana#/discover/Steve-Slow-Train-Analysis-(2080s-and-2083s)?_g=(refreshInterval:(display:Off,pause:!f,section:0,value:0),time:(from:'2017-09-23T14:39:53-0600',mode:absolute,to:'2017-09-23T17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5" s="204" t="str">
        <f>IF(AA105&lt;VLOOKUP(AG105,Variables!$AC$3:$AD$8,2,FALSE),"Y","N")</f>
        <v>N</v>
      </c>
      <c r="X105" s="204">
        <f t="shared" si="66"/>
        <v>1</v>
      </c>
      <c r="Y105" s="204">
        <f t="shared" si="64"/>
        <v>23.3032</v>
      </c>
      <c r="Z105" s="204">
        <f t="shared" si="65"/>
        <v>1.47E-2</v>
      </c>
      <c r="AA105" s="204">
        <f t="shared" si="46"/>
        <v>23.288499999999999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7"/>
        <v>190</v>
      </c>
      <c r="AE105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05" s="74" t="str">
        <f t="shared" si="49"/>
        <v>"C:\Program Files (x86)\AstroGrep\AstroGrep.exe" /e /r /s /spath="%USERPROFILE%\AppData\Local\Temp\OnboardLogs" /stypes="app*4057*20170923*" /stext=" 22:.+((SYSTEM_STATE.+slice.+state.+changed )|(ment ac)|(multiple cpu faults)|(system.+state.+changed )|(\[timeout)|(PRM\|1\|D)|(kpr)|(kdp)|(train st.+moving)|(\|lc)|(penalty))"</v>
      </c>
      <c r="AG105" s="182" t="str">
        <f t="shared" si="50"/>
        <v>EC</v>
      </c>
      <c r="AH105" s="78" t="str">
        <f t="shared" si="51"/>
        <v>"%USERPROFILE%\Documents\GitHub\eaglep3\Utilities\RefineRTDCRunTimes.py" --tripid 190-23 --locoid 4057 --swversion DE.1.0.9.0 --startMP 204:233032 --initTime 2017-09-23T15:39:53 --startdatetime 2017-09-23T15:42:41 --delay 72 --endMP 204:147 --enddatetime 2017-09-23T16:21:32 --enforcementcount 0 &gt;&gt;c:\users\stu\Documents\GitHub\eaglep3-reporting\EC\2017-09-23-refined-times.txt</v>
      </c>
      <c r="AI10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{"issue":{"subject":"","project_id":79,"tracker_id":40,"status_id":1,"priority_id":2,"assigned_to_id":338,"start_date":"2017-09-23","description":"","custom_fields":[{"id":1,"name":"Subdivision","value":"EC"},{"id":4,"name":"Milepost","value":"0.0147"},{"id":17,"name":"Train ID","value":"190-23"},{"id":16,"name":"Locomotive ID","value":"4057"},{"id":130,"name":"Impact","value":""},{"id":150,"name":"Time of Event (Mountain Time)","value":"16:21:32"},{"id":151,"name":"Denver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3"/>
        <v>start /low /b %USERPROFILE%\Documents\GitHub\eaglep3\Utilities\DownloadLogsFromS3.py --loco 4057 --day 2017-09-23</v>
      </c>
      <c r="AN10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5"/>
        <v>https://d0f6bd738d7f1b3e5a7ca70fe4ff75f0.us-east-1.aws.found.io/app/kibana#/discover/Steve-Slow-Train-Analysis-(2080s-and-2083s)?_g=(refreshInterval:(display:Off,pause:!f,section:0,value:0),time:(from:'2017-09-23T14:39:53-0600',mode:absolute,to:'2017-09-23T17:21:32-0600'))&amp;_a=(columns:!('Message%20ID',Summary),filters:!(),index:'emp_*',interval:auto,query:(query_string:(analyze_wildcard:!t,query:'Message%5C+ID:(*)+AND+%22rtdc.l.rtdc.4057%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602</v>
      </c>
      <c r="B106" s="7">
        <v>4026</v>
      </c>
      <c r="C106" s="21" t="s">
        <v>196</v>
      </c>
      <c r="D106" s="21" t="s">
        <v>408</v>
      </c>
      <c r="E106" s="13">
        <v>43001.62122685185</v>
      </c>
      <c r="F106" s="13">
        <v>43001.625196759262</v>
      </c>
      <c r="G106" s="7">
        <v>117</v>
      </c>
      <c r="H106" s="21" t="s">
        <v>932</v>
      </c>
      <c r="I106" s="13">
        <v>43001.650972222225</v>
      </c>
      <c r="J106" s="7">
        <v>0</v>
      </c>
      <c r="K106" s="89" t="str">
        <f t="shared" si="40"/>
        <v>4025/4026</v>
      </c>
      <c r="L106" s="185" t="str">
        <f>VLOOKUP(A106,'Trips&amp;Operators'!$C$1:$G$99911,5,FALSE)</f>
        <v>SAFIEF AEIMEN</v>
      </c>
      <c r="M106" s="6">
        <f t="shared" si="41"/>
        <v>2.5775462963792961E-2</v>
      </c>
      <c r="N106" s="7">
        <f t="shared" si="62"/>
        <v>37.116666667861864</v>
      </c>
      <c r="O106" s="7"/>
      <c r="P106" s="7"/>
      <c r="Q106" s="22"/>
      <c r="R106" s="174"/>
      <c r="S106" s="221">
        <f t="shared" si="63"/>
        <v>1</v>
      </c>
      <c r="T106" s="174" t="str">
        <f t="shared" si="42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3"/>
        <v>https://d0f6bd738d7f1b3e5a7ca70fe4ff75f0.us-east-1.aws.found.io/app/kibana#/discover/Steve-Slow-Train-Analysis-(2080s-and-2083s)?_g=(refreshInterval:(display:Off,pause:!f,section:0,value:0),time:(from:'2017-09-23T13:54:34-0600',mode:absolute,to:'2017-09-23T16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6" s="204" t="str">
        <f>IF(AA106&lt;VLOOKUP(AG106,Variables!$AC$3:$AD$8,2,FALSE),"Y","N")</f>
        <v>N</v>
      </c>
      <c r="X106" s="204">
        <f t="shared" si="66"/>
        <v>1</v>
      </c>
      <c r="Y106" s="204">
        <f t="shared" si="64"/>
        <v>4.4699999999999997E-2</v>
      </c>
      <c r="Z106" s="204">
        <f t="shared" si="65"/>
        <v>23.3337</v>
      </c>
      <c r="AA106" s="204">
        <f t="shared" si="46"/>
        <v>23.289000000000001</v>
      </c>
      <c r="AB106" s="54" t="str">
        <f>VLOOKUP(A106,Enforcements!$C$7:$K$11,8,0)</f>
        <v>Bulletin (2)</v>
      </c>
      <c r="AC106" s="51" t="str">
        <f>VLOOKUP(A106,Enforcements!$C$7:$E$11,3,0)</f>
        <v>GRADE CROSSING</v>
      </c>
      <c r="AD106" s="179">
        <f t="shared" si="47"/>
        <v>191</v>
      </c>
      <c r="AE106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06" s="74" t="str">
        <f t="shared" si="49"/>
        <v>"C:\Program Files (x86)\AstroGrep\AstroGrep.exe" /e /r /s /spath="%USERPROFILE%\AppData\Local\Temp\OnboardLogs" /stypes="app*4026*20170923*" /stext=" 21:.+((SYSTEM_STATE.+slice.+state.+changed )|(ment ac)|(multiple cpu faults)|(system.+state.+changed )|(\[timeout)|(PRM\|1\|D)|(kpr)|(kdp)|(train st.+moving)|(\|lc)|(penalty))"</v>
      </c>
      <c r="AG106" s="182" t="str">
        <f t="shared" si="50"/>
        <v>EC</v>
      </c>
      <c r="AH106" s="78" t="str">
        <f t="shared" si="51"/>
        <v>"%USERPROFILE%\Documents\GitHub\eaglep3\Utilities\RefineRTDCRunTimes.py" --tripid 191-23 --locoid 4026 --swversion DE.1.0.9.0 --startMP 204:447 --initTime 2017-09-23T14:54:34 --startdatetime 2017-09-23T15:00:17 --delay 117 --endMP 204:233337 --enddatetime 2017-09-23T15:37:24 --enforcementcount 0 &gt;&gt;c:\users\stu\Documents\GitHub\eaglep3-reporting\EC\2017-09-23-refined-times.txt</v>
      </c>
      <c r="AI10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{"issue":{"subject":"","project_id":79,"tracker_id":40,"status_id":1,"priority_id":2,"assigned_to_id":338,"start_date":"2017-09-23","description":"","custom_fields":[{"id":1,"name":"Subdivision","value":"EC"},{"id":4,"name":"Milepost","value":"23.3337"},{"id":17,"name":"Train ID","value":"191-23"},{"id":16,"name":"Locomotive ID","value":"4026"},{"id":130,"name":"Impact","value":""},{"id":150,"name":"Time of Event (Mountain Time)","value":"15:37:24"},{"id":151,"name":"Denver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3"/>
        <v>start /low /b %USERPROFILE%\Documents\GitHub\eaglep3\Utilities\DownloadLogsFromS3.py --loco 4026 --day 2017-09-23</v>
      </c>
      <c r="AN10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5"/>
        <v>https://d0f6bd738d7f1b3e5a7ca70fe4ff75f0.us-east-1.aws.found.io/app/kibana#/discover/Steve-Slow-Train-Analysis-(2080s-and-2083s)?_g=(refreshInterval:(display:Off,pause:!f,section:0,value:0),time:(from:'2017-09-23T13:54:34-0600',mode:absolute,to:'2017-09-23T16:37:24-0600'))&amp;_a=(columns:!('Message%20ID',Summary),filters:!(),index:'emp_*',interval:auto,query:(query_string:(analyze_wildcard:!t,query:'Message%5C+ID:(*)+AND+%22rtdc.l.rtdc.4026%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749</v>
      </c>
      <c r="B107" s="7">
        <v>4025</v>
      </c>
      <c r="C107" s="21" t="s">
        <v>196</v>
      </c>
      <c r="D107" s="21" t="s">
        <v>508</v>
      </c>
      <c r="E107" s="13">
        <v>43001.654282407406</v>
      </c>
      <c r="F107" s="13">
        <v>43001.664826388886</v>
      </c>
      <c r="G107" s="7">
        <v>59</v>
      </c>
      <c r="H107" s="21" t="s">
        <v>403</v>
      </c>
      <c r="I107" s="13">
        <v>43001.690763888888</v>
      </c>
      <c r="J107" s="7">
        <v>0</v>
      </c>
      <c r="K107" s="89" t="str">
        <f t="shared" si="40"/>
        <v>4025/4026</v>
      </c>
      <c r="L107" s="185" t="str">
        <f>VLOOKUP(A107,'Trips&amp;Operators'!$C$1:$G$99911,5,FALSE)</f>
        <v>SAFIEF AEIMEN</v>
      </c>
      <c r="M107" s="6">
        <f t="shared" si="41"/>
        <v>2.5937500002328306E-2</v>
      </c>
      <c r="N107" s="7">
        <f t="shared" si="62"/>
        <v>37.350000003352761</v>
      </c>
      <c r="O107" s="7"/>
      <c r="P107" s="7"/>
      <c r="Q107" s="22"/>
      <c r="R107" s="174"/>
      <c r="S107" s="221">
        <f t="shared" si="63"/>
        <v>1</v>
      </c>
      <c r="T107" s="174" t="str">
        <f t="shared" si="42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3"/>
        <v>https://d0f6bd738d7f1b3e5a7ca70fe4ff75f0.us-east-1.aws.found.io/app/kibana#/discover/Steve-Slow-Train-Analysis-(2080s-and-2083s)?_g=(refreshInterval:(display:Off,pause:!f,section:0,value:0),time:(from:'2017-09-23T14:42:10-0600',mode:absolute,to:'2017-09-23T17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204" t="str">
        <f>IF(AA107&lt;VLOOKUP(AG107,Variables!$AC$3:$AD$8,2,FALSE),"Y","N")</f>
        <v>N</v>
      </c>
      <c r="X107" s="204">
        <f t="shared" si="66"/>
        <v>1</v>
      </c>
      <c r="Y107" s="204">
        <f t="shared" si="64"/>
        <v>23.301100000000002</v>
      </c>
      <c r="Z107" s="204">
        <f t="shared" si="65"/>
        <v>1.54E-2</v>
      </c>
      <c r="AA107" s="204">
        <f t="shared" si="46"/>
        <v>23.285700000000002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7"/>
        <v>192</v>
      </c>
      <c r="AE107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07" s="74" t="str">
        <f t="shared" si="49"/>
        <v>"C:\Program Files (x86)\AstroGrep\AstroGrep.exe" /e /r /s /spath="%USERPROFILE%\AppData\Local\Temp\OnboardLogs" /stypes="app*4025*20170923*" /stext=" 22:.+((SYSTEM_STATE.+slice.+state.+changed )|(ment ac)|(multiple cpu faults)|(system.+state.+changed )|(\[timeout)|(PRM\|1\|D)|(kpr)|(kdp)|(train st.+moving)|(\|lc)|(penalty))"</v>
      </c>
      <c r="AG107" s="182" t="str">
        <f t="shared" si="50"/>
        <v>EC</v>
      </c>
      <c r="AH107" s="78" t="str">
        <f t="shared" si="51"/>
        <v>"%USERPROFILE%\Documents\GitHub\eaglep3\Utilities\RefineRTDCRunTimes.py" --tripid 192-23 --locoid 4025 --swversion DE.1.0.9.0 --startMP 204:233011 --initTime 2017-09-23T15:42:10 --startdatetime 2017-09-23T15:57:21 --delay 59 --endMP 204:154 --enddatetime 2017-09-23T16:34:42 --enforcementcount 0 &gt;&gt;c:\users\stu\Documents\GitHub\eaglep3-reporting\EC\2017-09-23-refined-times.txt</v>
      </c>
      <c r="AI10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ID","value":"192-23"},{"id":16,"name":"Locomotive ID","value":"4025"},{"id":130,"name":"Impact","value":""},{"id":150,"name":"Time of Event (Mountain Time)","value":"16:34:42"},{"id":151,"name":"Denver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3"/>
        <v>start /low /b %USERPROFILE%\Documents\GitHub\eaglep3\Utilities\DownloadLogsFromS3.py --loco 4025 --day 2017-09-23</v>
      </c>
      <c r="AN10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5"/>
        <v>https://d0f6bd738d7f1b3e5a7ca70fe4ff75f0.us-east-1.aws.found.io/app/kibana#/discover/Steve-Slow-Train-Analysis-(2080s-and-2083s)?_g=(refreshInterval:(display:Off,pause:!f,section:0,value:0),time:(from:'2017-09-23T14:42:10-0600',mode:absolute,to:'2017-09-23T17:34:42-0600'))&amp;_a=(columns:!('Message%20ID',Summary),filters:!(),index:'emp_*',interval:auto,query:(query_string:(analyze_wildcard:!t,query:'Message%5C+ID:(*)+AND+%22rtdc.l.rtdc.4025%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743</v>
      </c>
      <c r="B108" s="7">
        <v>4010</v>
      </c>
      <c r="C108" s="21" t="s">
        <v>196</v>
      </c>
      <c r="D108" s="21" t="s">
        <v>339</v>
      </c>
      <c r="E108" s="13">
        <v>43001.62976851852</v>
      </c>
      <c r="F108" s="13">
        <v>43001.635601851849</v>
      </c>
      <c r="G108" s="7">
        <v>104</v>
      </c>
      <c r="H108" s="21" t="s">
        <v>507</v>
      </c>
      <c r="I108" s="13">
        <v>43001.660624999997</v>
      </c>
      <c r="J108" s="7">
        <v>0</v>
      </c>
      <c r="K108" s="89" t="str">
        <f t="shared" si="40"/>
        <v>4009/4010</v>
      </c>
      <c r="L108" s="185" t="str">
        <f>VLOOKUP(A108,'Trips&amp;Operators'!$C$1:$G$99911,5,FALSE)</f>
        <v>GUZMAN DANNY</v>
      </c>
      <c r="M108" s="6">
        <f t="shared" si="41"/>
        <v>2.5023148147738539E-2</v>
      </c>
      <c r="N108" s="7">
        <f t="shared" si="62"/>
        <v>36.033333332743496</v>
      </c>
      <c r="O108" s="7"/>
      <c r="P108" s="7"/>
      <c r="Q108" s="22"/>
      <c r="R108" s="174"/>
      <c r="S108" s="221">
        <f t="shared" si="63"/>
        <v>1</v>
      </c>
      <c r="T108" s="174" t="str">
        <f t="shared" si="42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3"/>
        <v>https://d0f6bd738d7f1b3e5a7ca70fe4ff75f0.us-east-1.aws.found.io/app/kibana#/discover/Steve-Slow-Train-Analysis-(2080s-and-2083s)?_g=(refreshInterval:(display:Off,pause:!f,section:0,value:0),time:(from:'2017-09-23T14:06:52-0600',mode:absolute,to:'2017-09-23T16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204" t="str">
        <f>IF(AA108&lt;VLOOKUP(AG108,Variables!$AC$3:$AD$8,2,FALSE),"Y","N")</f>
        <v>N</v>
      </c>
      <c r="X108" s="204">
        <f t="shared" si="66"/>
        <v>1</v>
      </c>
      <c r="Y108" s="204">
        <f t="shared" si="64"/>
        <v>4.53E-2</v>
      </c>
      <c r="Z108" s="204">
        <f t="shared" si="65"/>
        <v>23.327999999999999</v>
      </c>
      <c r="AA108" s="204">
        <f t="shared" si="46"/>
        <v>23.282699999999998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7"/>
        <v>193</v>
      </c>
      <c r="AE108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08" s="74" t="str">
        <f t="shared" si="49"/>
        <v>"C:\Program Files (x86)\AstroGrep\AstroGrep.exe" /e /r /s /spath="%USERPROFILE%\AppData\Local\Temp\OnboardLogs" /stypes="app*4010*20170923*" /stext=" 21:.+((SYSTEM_STATE.+slice.+state.+changed )|(ment ac)|(multiple cpu faults)|(system.+state.+changed )|(\[timeout)|(PRM\|1\|D)|(kpr)|(kdp)|(train st.+moving)|(\|lc)|(penalty))"</v>
      </c>
      <c r="AG108" s="182" t="str">
        <f t="shared" si="50"/>
        <v>EC</v>
      </c>
      <c r="AH108" s="78" t="str">
        <f t="shared" si="51"/>
        <v>"%USERPROFILE%\Documents\GitHub\eaglep3\Utilities\RefineRTDCRunTimes.py" --tripid 193-23 --locoid 4010 --swversion DE.1.0.9.0 --startMP 204:453 --initTime 2017-09-23T15:06:52 --startdatetime 2017-09-23T15:15:16 --delay 104 --endMP 204:233280 --enddatetime 2017-09-23T15:51:18 --enforcementcount 0 &gt;&gt;c:\users\stu\Documents\GitHub\eaglep3-reporting\EC\2017-09-23-refined-times.txt</v>
      </c>
      <c r="AI10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{"issue":{"subject":"","project_id":79,"tracker_id":40,"status_id":1,"priority_id":2,"assigned_to_id":338,"start_date":"2017-09-23","description":"","custom_fields":[{"id":1,"name":"Subdivision","value":"EC"},{"id":4,"name":"Milepost","value":"23.328"},{"id":17,"name":"Train ID","value":"193-23"},{"id":16,"name":"Locomotive ID","value":"4010"},{"id":130,"name":"Impact","value":""},{"id":150,"name":"Time of Event (Mountain Time)","value":"15:51:18"},{"id":151,"name":"Denver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3"/>
        <v>start /low /b %USERPROFILE%\Documents\GitHub\eaglep3\Utilities\DownloadLogsFromS3.py --loco 4010 --day 2017-09-23</v>
      </c>
      <c r="AN10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5"/>
        <v>https://d0f6bd738d7f1b3e5a7ca70fe4ff75f0.us-east-1.aws.found.io/app/kibana#/discover/Steve-Slow-Train-Analysis-(2080s-and-2083s)?_g=(refreshInterval:(display:Off,pause:!f,section:0,value:0),time:(from:'2017-09-23T14:06:52-0600',mode:absolute,to:'2017-09-23T16:51:18-0600'))&amp;_a=(columns:!('Message%20ID',Summary),filters:!(),index:'emp_*',interval:auto,query:(query_string:(analyze_wildcard:!t,query:'Message%5C+ID:(*)+AND+%22rtdc.l.rtdc.4010%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750</v>
      </c>
      <c r="B109" s="7">
        <v>4009</v>
      </c>
      <c r="C109" s="21" t="s">
        <v>196</v>
      </c>
      <c r="D109" s="21" t="s">
        <v>933</v>
      </c>
      <c r="E109" s="13">
        <v>43001.663483796299</v>
      </c>
      <c r="F109" s="13">
        <v>43001.675196759257</v>
      </c>
      <c r="G109" s="7">
        <v>69</v>
      </c>
      <c r="H109" s="21" t="s">
        <v>362</v>
      </c>
      <c r="I109" s="13">
        <v>43001.701620370368</v>
      </c>
      <c r="J109" s="7">
        <v>0</v>
      </c>
      <c r="K109" s="89" t="str">
        <f t="shared" si="40"/>
        <v>4009/4010</v>
      </c>
      <c r="L109" s="185" t="str">
        <f>VLOOKUP(A109,'Trips&amp;Operators'!$C$1:$G$99911,5,FALSE)</f>
        <v>GUZMAN DANNY</v>
      </c>
      <c r="M109" s="6">
        <f t="shared" si="41"/>
        <v>2.6423611110658385E-2</v>
      </c>
      <c r="N109" s="7">
        <f t="shared" si="62"/>
        <v>38.049999999348074</v>
      </c>
      <c r="O109" s="7"/>
      <c r="P109" s="7"/>
      <c r="Q109" s="22"/>
      <c r="R109" s="174"/>
      <c r="S109" s="221">
        <f t="shared" si="63"/>
        <v>1</v>
      </c>
      <c r="T109" s="174" t="str">
        <f t="shared" si="42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3"/>
        <v>https://d0f6bd738d7f1b3e5a7ca70fe4ff75f0.us-east-1.aws.found.io/app/kibana#/discover/Steve-Slow-Train-Analysis-(2080s-and-2083s)?_g=(refreshInterval:(display:Off,pause:!f,section:0,value:0),time:(from:'2017-09-23T14:55:25-0600',mode:absolute,to:'2017-09-23T17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204" t="str">
        <f>IF(AA109&lt;VLOOKUP(AG109,Variables!$AC$3:$AD$8,2,FALSE),"Y","N")</f>
        <v>N</v>
      </c>
      <c r="X109" s="204">
        <f t="shared" si="66"/>
        <v>1</v>
      </c>
      <c r="Y109" s="204">
        <f t="shared" si="64"/>
        <v>23.297599999999999</v>
      </c>
      <c r="Z109" s="204">
        <f t="shared" si="65"/>
        <v>1.4500000000000001E-2</v>
      </c>
      <c r="AA109" s="204">
        <f t="shared" si="46"/>
        <v>23.283099999999997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7"/>
        <v>194</v>
      </c>
      <c r="AE109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109" s="74" t="str">
        <f t="shared" si="49"/>
        <v>"C:\Program Files (x86)\AstroGrep\AstroGrep.exe" /e /r /s /spath="%USERPROFILE%\AppData\Local\Temp\OnboardLogs" /stypes="app*4009*20170923*" /stext=" 22:.+((SYSTEM_STATE.+slice.+state.+changed )|(ment ac)|(multiple cpu faults)|(system.+state.+changed )|(\[timeout)|(PRM\|1\|D)|(kpr)|(kdp)|(train st.+moving)|(\|lc)|(penalty))"</v>
      </c>
      <c r="AG109" s="182" t="str">
        <f t="shared" si="50"/>
        <v>EC</v>
      </c>
      <c r="AH109" s="78" t="str">
        <f t="shared" si="51"/>
        <v>"%USERPROFILE%\Documents\GitHub\eaglep3\Utilities\RefineRTDCRunTimes.py" --tripid 194-23 --locoid 4009 --swversion DE.1.0.9.0 --startMP 204:232976 --initTime 2017-09-23T15:55:25 --startdatetime 2017-09-23T16:12:17 --delay 69 --endMP 204:145 --enddatetime 2017-09-23T16:50:20 --enforcementcount 0 &gt;&gt;c:\users\stu\Documents\GitHub\eaglep3-reporting\EC\2017-09-23-refined-times.txt</v>
      </c>
      <c r="AI10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{"issue":{"subject":"","project_id":79,"tracker_id":40,"status_id":1,"priority_id":2,"assigned_to_id":338,"start_date":"2017-09-23","description":"","custom_fields":[{"id":1,"name":"Subdivision","value":"EC"},{"id":4,"name":"Milepost","value":"0.0145"},{"id":17,"name":"Train ID","value":"194-23"},{"id":16,"name":"Locomotive ID","value":"4009"},{"id":130,"name":"Impact","value":""},{"id":150,"name":"Time of Event (Mountain Time)","value":"16:50:20"},{"id":151,"name":"Denver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3"/>
        <v>start /low /b %USERPROFILE%\Documents\GitHub\eaglep3\Utilities\DownloadLogsFromS3.py --loco 4009 --day 2017-09-23</v>
      </c>
      <c r="AN109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5"/>
        <v>https://d0f6bd738d7f1b3e5a7ca70fe4ff75f0.us-east-1.aws.found.io/app/kibana#/discover/Steve-Slow-Train-Analysis-(2080s-and-2083s)?_g=(refreshInterval:(display:Off,pause:!f,section:0,value:0),time:(from:'2017-09-23T14:55:25-0600',mode:absolute,to:'2017-09-23T17:50:20-0600'))&amp;_a=(columns:!('Message%20ID',Summary),filters:!(),index:'emp_*',interval:auto,query:(query_string:(analyze_wildcard:!t,query:'Message%5C+ID:(*)+AND+%22rtdc.l.rtdc.4009%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745</v>
      </c>
      <c r="B110" s="7">
        <v>4028</v>
      </c>
      <c r="C110" s="21" t="s">
        <v>196</v>
      </c>
      <c r="D110" s="21" t="s">
        <v>934</v>
      </c>
      <c r="E110" s="13">
        <v>43001.641875000001</v>
      </c>
      <c r="F110" s="13">
        <v>43001.64603009259</v>
      </c>
      <c r="G110" s="7">
        <v>84</v>
      </c>
      <c r="H110" s="21" t="s">
        <v>558</v>
      </c>
      <c r="I110" s="13">
        <v>43001.671886574077</v>
      </c>
      <c r="J110" s="7">
        <v>0</v>
      </c>
      <c r="K110" s="89" t="str">
        <f t="shared" si="40"/>
        <v>4027/4028</v>
      </c>
      <c r="L110" s="185" t="str">
        <f>VLOOKUP(A110,'Trips&amp;Operators'!$C$1:$G$99911,5,FALSE)</f>
        <v>BADERTSCHER DIANE</v>
      </c>
      <c r="M110" s="6">
        <f t="shared" si="41"/>
        <v>2.5856481486698613E-2</v>
      </c>
      <c r="N110" s="7">
        <f t="shared" si="62"/>
        <v>37.233333340846002</v>
      </c>
      <c r="O110" s="7"/>
      <c r="P110" s="7"/>
      <c r="Q110" s="22"/>
      <c r="R110" s="174"/>
      <c r="S110" s="221">
        <f t="shared" si="63"/>
        <v>1</v>
      </c>
      <c r="T110" s="174" t="str">
        <f t="shared" si="42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3"/>
        <v>https://d0f6bd738d7f1b3e5a7ca70fe4ff75f0.us-east-1.aws.found.io/app/kibana#/discover/Steve-Slow-Train-Analysis-(2080s-and-2083s)?_g=(refreshInterval:(display:Off,pause:!f,section:0,value:0),time:(from:'2017-09-23T14:24:18-0600',mode:absolute,to:'2017-09-23T17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204" t="str">
        <f>IF(AA110&lt;VLOOKUP(AG110,Variables!$AC$3:$AD$8,2,FALSE),"Y","N")</f>
        <v>N</v>
      </c>
      <c r="X110" s="204">
        <f t="shared" si="66"/>
        <v>1</v>
      </c>
      <c r="Y110" s="204">
        <f t="shared" si="64"/>
        <v>4.3799999999999999E-2</v>
      </c>
      <c r="Z110" s="204">
        <f t="shared" si="65"/>
        <v>23.3307</v>
      </c>
      <c r="AA110" s="204">
        <f t="shared" si="46"/>
        <v>23.286899999999999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7"/>
        <v>195</v>
      </c>
      <c r="AE110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10" s="74" t="str">
        <f t="shared" si="49"/>
        <v>"C:\Program Files (x86)\AstroGrep\AstroGrep.exe" /e /r /s /spath="%USERPROFILE%\AppData\Local\Temp\OnboardLogs" /stypes="app*4028*20170923*" /stext=" 22:.+((SYSTEM_STATE.+slice.+state.+changed )|(ment ac)|(multiple cpu faults)|(system.+state.+changed )|(\[timeout)|(PRM\|1\|D)|(kpr)|(kdp)|(train st.+moving)|(\|lc)|(penalty))"</v>
      </c>
      <c r="AG110" s="182" t="str">
        <f t="shared" si="50"/>
        <v>EC</v>
      </c>
      <c r="AH110" s="78" t="str">
        <f t="shared" si="51"/>
        <v>"%USERPROFILE%\Documents\GitHub\eaglep3\Utilities\RefineRTDCRunTimes.py" --tripid 195-23 --locoid 4028 --swversion DE.1.0.9.0 --startMP 204:438 --initTime 2017-09-23T15:24:18 --startdatetime 2017-09-23T15:30:17 --delay 84 --endMP 204:233307 --enddatetime 2017-09-23T16:07:31 --enforcementcount 0 &gt;&gt;c:\users\stu\Documents\GitHub\eaglep3-reporting\EC\2017-09-23-refined-times.txt</v>
      </c>
      <c r="AI11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{"issue":{"subject":"","project_id":79,"tracker_id":40,"status_id":1,"priority_id":2,"assigned_to_id":338,"start_date":"2017-09-23","description":"","custom_fields":[{"id":1,"name":"Subdivision","value":"EC"},{"id":4,"name":"Milepost","value":"23.3307"},{"id":17,"name":"Train ID","value":"195-23"},{"id":16,"name":"Locomotive ID","value":"4028"},{"id":130,"name":"Impact","value":""},{"id":150,"name":"Time of Event (Mountain Time)","value":"16:07:31"},{"id":151,"name":"Denver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3"/>
        <v>start /low /b %USERPROFILE%\Documents\GitHub\eaglep3\Utilities\DownloadLogsFromS3.py --loco 4028 --day 2017-09-23</v>
      </c>
      <c r="AN11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5"/>
        <v>https://d0f6bd738d7f1b3e5a7ca70fe4ff75f0.us-east-1.aws.found.io/app/kibana#/discover/Steve-Slow-Train-Analysis-(2080s-and-2083s)?_g=(refreshInterval:(display:Off,pause:!f,section:0,value:0),time:(from:'2017-09-23T14:24:18-0600',mode:absolute,to:'2017-09-23T17:07:31-0600'))&amp;_a=(columns:!('Message%20ID',Summary),filters:!(),index:'emp_*',interval:auto,query:(query_string:(analyze_wildcard:!t,query:'Message%5C+ID:(*)+AND+%22rtdc.l.rtdc.4028%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754</v>
      </c>
      <c r="B111" s="7">
        <v>4027</v>
      </c>
      <c r="C111" s="21" t="s">
        <v>196</v>
      </c>
      <c r="D111" s="21" t="s">
        <v>394</v>
      </c>
      <c r="E111" s="13">
        <v>43001.680567129632</v>
      </c>
      <c r="F111" s="13">
        <v>43001.685578703706</v>
      </c>
      <c r="G111" s="7">
        <v>90</v>
      </c>
      <c r="H111" s="21" t="s">
        <v>367</v>
      </c>
      <c r="I111" s="13">
        <v>43001.713206018518</v>
      </c>
      <c r="J111" s="7">
        <v>0</v>
      </c>
      <c r="K111" s="89" t="str">
        <f t="shared" si="40"/>
        <v>4027/4028</v>
      </c>
      <c r="L111" s="185" t="str">
        <f>VLOOKUP(A111,'Trips&amp;Operators'!$C$1:$G$99911,5,FALSE)</f>
        <v>BADERTSCHER DIANE</v>
      </c>
      <c r="M111" s="6">
        <f t="shared" si="41"/>
        <v>2.7627314811979886E-2</v>
      </c>
      <c r="N111" s="7">
        <f t="shared" si="62"/>
        <v>39.783333329251036</v>
      </c>
      <c r="O111" s="7"/>
      <c r="P111" s="7"/>
      <c r="Q111" s="22"/>
      <c r="R111" s="174"/>
      <c r="S111" s="221">
        <f t="shared" si="63"/>
        <v>1</v>
      </c>
      <c r="T111" s="174" t="str">
        <f t="shared" si="42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3"/>
        <v>https://d0f6bd738d7f1b3e5a7ca70fe4ff75f0.us-east-1.aws.found.io/app/kibana#/discover/Steve-Slow-Train-Analysis-(2080s-and-2083s)?_g=(refreshInterval:(display:Off,pause:!f,section:0,value:0),time:(from:'2017-09-23T15:20:01-0600',mode:absolute,to:'2017-09-23T18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204" t="str">
        <f>IF(AA111&lt;VLOOKUP(AG111,Variables!$AC$3:$AD$8,2,FALSE),"Y","N")</f>
        <v>N</v>
      </c>
      <c r="X111" s="204">
        <f t="shared" si="66"/>
        <v>1</v>
      </c>
      <c r="Y111" s="204">
        <f t="shared" si="64"/>
        <v>23.299600000000002</v>
      </c>
      <c r="Z111" s="204">
        <f t="shared" si="65"/>
        <v>1.5599999999999999E-2</v>
      </c>
      <c r="AA111" s="204">
        <f t="shared" si="46"/>
        <v>23.284000000000002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7"/>
        <v>196</v>
      </c>
      <c r="AE111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11" s="74" t="str">
        <f t="shared" si="49"/>
        <v>"C:\Program Files (x86)\AstroGrep\AstroGrep.exe" /e /r /s /spath="%USERPROFILE%\AppData\Local\Temp\OnboardLogs" /stypes="app*4027*20170923*" /stext=" 23:.+((SYSTEM_STATE.+slice.+state.+changed )|(ment ac)|(multiple cpu faults)|(system.+state.+changed )|(\[timeout)|(PRM\|1\|D)|(kpr)|(kdp)|(train st.+moving)|(\|lc)|(penalty))"</v>
      </c>
      <c r="AG111" s="182" t="str">
        <f t="shared" si="50"/>
        <v>EC</v>
      </c>
      <c r="AH111" s="78" t="str">
        <f t="shared" si="51"/>
        <v>"%USERPROFILE%\Documents\GitHub\eaglep3\Utilities\RefineRTDCRunTimes.py" --tripid 196-23 --locoid 4027 --swversion DE.1.0.9.0 --startMP 204:232996 --initTime 2017-09-23T16:20:01 --startdatetime 2017-09-23T16:27:14 --delay 90 --endMP 204:156 --enddatetime 2017-09-23T17:07:01 --enforcementcount 0 &gt;&gt;c:\users\stu\Documents\GitHub\eaglep3-reporting\EC\2017-09-23-refined-times.txt</v>
      </c>
      <c r="AI11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ID","value":"196-23"},{"id":16,"name":"Locomotive ID","value":"4027"},{"id":130,"name":"Impact","value":""},{"id":150,"name":"Time of Event (Mountain Time)","value":"17:07:01"},{"id":151,"name":"Denver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3"/>
        <v>start /low /b %USERPROFILE%\Documents\GitHub\eaglep3\Utilities\DownloadLogsFromS3.py --loco 4027 --day 2017-09-23</v>
      </c>
      <c r="AN111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5"/>
        <v>https://d0f6bd738d7f1b3e5a7ca70fe4ff75f0.us-east-1.aws.found.io/app/kibana#/discover/Steve-Slow-Train-Analysis-(2080s-and-2083s)?_g=(refreshInterval:(display:Off,pause:!f,section:0,value:0),time:(from:'2017-09-23T15:20:01-0600',mode:absolute,to:'2017-09-23T18:07:01-0600'))&amp;_a=(columns:!('Message%20ID',Summary),filters:!(),index:'emp_*',interval:auto,query:(query_string:(analyze_wildcard:!t,query:'Message%5C+ID:(*)+AND+%22rtdc.l.rtdc.4027%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747</v>
      </c>
      <c r="B112" s="7">
        <v>4024</v>
      </c>
      <c r="C112" s="21" t="s">
        <v>196</v>
      </c>
      <c r="D112" s="21" t="s">
        <v>935</v>
      </c>
      <c r="E112" s="13">
        <v>43001.652083333334</v>
      </c>
      <c r="F112" s="13">
        <v>43001.656423611108</v>
      </c>
      <c r="G112" s="7">
        <v>87</v>
      </c>
      <c r="H112" s="21" t="s">
        <v>448</v>
      </c>
      <c r="I112" s="13">
        <v>43001.681168981479</v>
      </c>
      <c r="J112" s="7">
        <v>0</v>
      </c>
      <c r="K112" s="89" t="str">
        <f t="shared" si="40"/>
        <v>4023/4024</v>
      </c>
      <c r="L112" s="185" t="str">
        <f>VLOOKUP(A112,'Trips&amp;Operators'!$C$1:$G$99911,5,FALSE)</f>
        <v>BERLING GARY</v>
      </c>
      <c r="M112" s="6">
        <f t="shared" si="41"/>
        <v>2.47453703705105E-2</v>
      </c>
      <c r="N112" s="7">
        <f t="shared" si="62"/>
        <v>35.63333333353512</v>
      </c>
      <c r="O112" s="7"/>
      <c r="P112" s="7"/>
      <c r="Q112" s="22"/>
      <c r="R112" s="174"/>
      <c r="S112" s="221">
        <f t="shared" si="63"/>
        <v>1</v>
      </c>
      <c r="T112" s="174" t="str">
        <f t="shared" si="42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3"/>
        <v>https://d0f6bd738d7f1b3e5a7ca70fe4ff75f0.us-east-1.aws.found.io/app/kibana#/discover/Steve-Slow-Train-Analysis-(2080s-and-2083s)?_g=(refreshInterval:(display:Off,pause:!f,section:0,value:0),time:(from:'2017-09-23T14:39:00-0600',mode:absolute,to:'2017-09-23T17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2" s="204" t="str">
        <f>IF(AA112&lt;VLOOKUP(AG112,Variables!$AC$3:$AD$8,2,FALSE),"Y","N")</f>
        <v>N</v>
      </c>
      <c r="X112" s="204">
        <f t="shared" si="66"/>
        <v>1</v>
      </c>
      <c r="Y112" s="204">
        <f t="shared" si="64"/>
        <v>4.8599999999999997E-2</v>
      </c>
      <c r="Z112" s="204">
        <f t="shared" si="65"/>
        <v>23.332100000000001</v>
      </c>
      <c r="AA112" s="204">
        <f t="shared" si="46"/>
        <v>23.2835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7"/>
        <v>197</v>
      </c>
      <c r="AE112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112" s="74" t="str">
        <f t="shared" si="49"/>
        <v>"C:\Program Files (x86)\AstroGrep\AstroGrep.exe" /e /r /s /spath="%USERPROFILE%\AppData\Local\Temp\OnboardLogs" /stypes="app*4024*20170923*" /stext=" 22:.+((SYSTEM_STATE.+slice.+state.+changed )|(ment ac)|(multiple cpu faults)|(system.+state.+changed )|(\[timeout)|(PRM\|1\|D)|(kpr)|(kdp)|(train st.+moving)|(\|lc)|(penalty))"</v>
      </c>
      <c r="AG112" s="182" t="str">
        <f t="shared" si="50"/>
        <v>EC</v>
      </c>
      <c r="AH112" s="78" t="str">
        <f t="shared" si="51"/>
        <v>"%USERPROFILE%\Documents\GitHub\eaglep3\Utilities\RefineRTDCRunTimes.py" --tripid 197-23 --locoid 4024 --swversion DE.1.0.9.0 --startMP 204:486 --initTime 2017-09-23T15:39:00 --startdatetime 2017-09-23T15:45:15 --delay 87 --endMP 204:233321 --enddatetime 2017-09-23T16:20:53 --enforcementcount 0 &gt;&gt;c:\users\stu\Documents\GitHub\eaglep3-reporting\EC\2017-09-23-refined-times.txt</v>
      </c>
      <c r="AI11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{"issue":{"subject":"","project_id":79,"tracker_id":40,"status_id":1,"priority_id":2,"assigned_to_id":338,"start_date":"2017-09-23","description":"","custom_fields":[{"id":1,"name":"Subdivision","value":"EC"},{"id":4,"name":"Milepost","value":"23.3321"},{"id":17,"name":"Train ID","value":"197-23"},{"id":16,"name":"Locomotive ID","value":"4024"},{"id":130,"name":"Impact","value":""},{"id":150,"name":"Time of Event (Mountain Time)","value":"16:20:53"},{"id":151,"name":"Denver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3"/>
        <v>start /low /b %USERPROFILE%\Documents\GitHub\eaglep3\Utilities\DownloadLogsFromS3.py --loco 4024 --day 2017-09-23</v>
      </c>
      <c r="AN11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5"/>
        <v>https://d0f6bd738d7f1b3e5a7ca70fe4ff75f0.us-east-1.aws.found.io/app/kibana#/discover/Steve-Slow-Train-Analysis-(2080s-and-2083s)?_g=(refreshInterval:(display:Off,pause:!f,section:0,value:0),time:(from:'2017-09-23T14:39:00-0600',mode:absolute,to:'2017-09-23T17:20:53-0600'))&amp;_a=(columns:!('Message%20ID',Summary),filters:!(),index:'emp_*',interval:auto,query:(query_string:(analyze_wildcard:!t,query:'Message%5C+ID:(*)+AND+%22rtdc.l.rtdc.4024%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756</v>
      </c>
      <c r="B113" s="7">
        <v>4023</v>
      </c>
      <c r="C113" s="21" t="s">
        <v>196</v>
      </c>
      <c r="D113" s="21" t="s">
        <v>871</v>
      </c>
      <c r="E113" s="13">
        <v>43001.690972222219</v>
      </c>
      <c r="F113" s="13">
        <v>43001.69604166667</v>
      </c>
      <c r="G113" s="7">
        <v>68</v>
      </c>
      <c r="H113" s="21" t="s">
        <v>391</v>
      </c>
      <c r="I113" s="13">
        <v>43001.722453703704</v>
      </c>
      <c r="J113" s="7">
        <v>0</v>
      </c>
      <c r="K113" s="89" t="str">
        <f t="shared" si="40"/>
        <v>4023/4024</v>
      </c>
      <c r="L113" s="185" t="str">
        <f>VLOOKUP(A113,'Trips&amp;Operators'!$C$1:$G$99911,5,FALSE)</f>
        <v>BERLING GARY</v>
      </c>
      <c r="M113" s="6">
        <f t="shared" si="41"/>
        <v>2.6412037033878732E-2</v>
      </c>
      <c r="N113" s="7">
        <f t="shared" si="62"/>
        <v>38.033333328785375</v>
      </c>
      <c r="O113" s="7"/>
      <c r="P113" s="7"/>
      <c r="Q113" s="22"/>
      <c r="R113" s="174"/>
      <c r="S113" s="221">
        <f t="shared" si="63"/>
        <v>1</v>
      </c>
      <c r="T113" s="174" t="str">
        <f t="shared" si="42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3"/>
        <v>https://d0f6bd738d7f1b3e5a7ca70fe4ff75f0.us-east-1.aws.found.io/app/kibana#/discover/Steve-Slow-Train-Analysis-(2080s-and-2083s)?_g=(refreshInterval:(display:Off,pause:!f,section:0,value:0),time:(from:'2017-09-23T15:35:00-0600',mode:absolute,to:'2017-09-23T18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3" s="204" t="str">
        <f>IF(AA113&lt;VLOOKUP(AG113,Variables!$AC$3:$AD$8,2,FALSE),"Y","N")</f>
        <v>N</v>
      </c>
      <c r="X113" s="204">
        <f t="shared" si="66"/>
        <v>1</v>
      </c>
      <c r="Y113" s="204">
        <f t="shared" si="64"/>
        <v>23.300999999999998</v>
      </c>
      <c r="Z113" s="204">
        <f t="shared" si="65"/>
        <v>1.3599999999999999E-2</v>
      </c>
      <c r="AA113" s="204">
        <f t="shared" si="46"/>
        <v>23.287399999999998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7"/>
        <v>198</v>
      </c>
      <c r="AE113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113" s="74" t="str">
        <f t="shared" si="49"/>
        <v>"C:\Program Files (x86)\AstroGrep\AstroGrep.exe" /e /r /s /spath="%USERPROFILE%\AppData\Local\Temp\OnboardLogs" /stypes="app*4023*20170923*" /stext=" 23:.+((SYSTEM_STATE.+slice.+state.+changed )|(ment ac)|(multiple cpu faults)|(system.+state.+changed )|(\[timeout)|(PRM\|1\|D)|(kpr)|(kdp)|(train st.+moving)|(\|lc)|(penalty))"</v>
      </c>
      <c r="AG113" s="182" t="str">
        <f t="shared" si="50"/>
        <v>EC</v>
      </c>
      <c r="AH113" s="78" t="str">
        <f t="shared" si="51"/>
        <v>"%USERPROFILE%\Documents\GitHub\eaglep3\Utilities\RefineRTDCRunTimes.py" --tripid 198-23 --locoid 4023 --swversion DE.1.0.9.0 --startMP 204:233010 --initTime 2017-09-23T16:35:00 --startdatetime 2017-09-23T16:42:18 --delay 68 --endMP 204:136 --enddatetime 2017-09-23T17:20:20 --enforcementcount 0 &gt;&gt;c:\users\stu\Documents\GitHub\eaglep3-reporting\EC\2017-09-23-refined-times.txt</v>
      </c>
      <c r="AI11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{"issue":{"subject":"","project_id":79,"tracker_id":40,"status_id":1,"priority_id":2,"assigned_to_id":338,"start_date":"2017-09-23","description":"","custom_fields":[{"id":1,"name":"Subdivision","value":"EC"},{"id":4,"name":"Milepost","value":"0.0136"},{"id":17,"name":"Train ID","value":"198-23"},{"id":16,"name":"Locomotive ID","value":"4023"},{"id":130,"name":"Impact","value":""},{"id":150,"name":"Time of Event (Mountain Time)","value":"17:20:20"},{"id":151,"name":"Denver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3"/>
        <v>start /low /b %USERPROFILE%\Documents\GitHub\eaglep3\Utilities\DownloadLogsFromS3.py --loco 4023 --day 2017-09-23</v>
      </c>
      <c r="AN113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5"/>
        <v>https://d0f6bd738d7f1b3e5a7ca70fe4ff75f0.us-east-1.aws.found.io/app/kibana#/discover/Steve-Slow-Train-Analysis-(2080s-and-2083s)?_g=(refreshInterval:(display:Off,pause:!f,section:0,value:0),time:(from:'2017-09-23T15:35:00-0600',mode:absolute,to:'2017-09-23T18:20:20-0600'))&amp;_a=(columns:!('Message%20ID',Summary),filters:!(),index:'emp_*',interval:auto,query:(query_string:(analyze_wildcard:!t,query:'Message%5C+ID:(*)+AND+%22rtdc.l.rtdc.4023%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751</v>
      </c>
      <c r="B114" s="7">
        <v>4040</v>
      </c>
      <c r="C114" s="21" t="s">
        <v>196</v>
      </c>
      <c r="D114" s="21" t="s">
        <v>936</v>
      </c>
      <c r="E114" s="13">
        <v>43001.663611111115</v>
      </c>
      <c r="F114" s="13">
        <v>43001.666875000003</v>
      </c>
      <c r="G114" s="7">
        <v>61</v>
      </c>
      <c r="H114" s="21" t="s">
        <v>560</v>
      </c>
      <c r="I114" s="13">
        <v>43001.692106481481</v>
      </c>
      <c r="J114" s="7">
        <v>0</v>
      </c>
      <c r="K114" s="89" t="str">
        <f t="shared" si="40"/>
        <v>4039/4040</v>
      </c>
      <c r="L114" s="185" t="str">
        <f>VLOOKUP(A114,'Trips&amp;Operators'!$C$1:$G$99911,5,FALSE)</f>
        <v>BRUDER RICHARD</v>
      </c>
      <c r="M114" s="6">
        <f t="shared" si="41"/>
        <v>2.5231481478840578E-2</v>
      </c>
      <c r="N114" s="7">
        <f t="shared" si="62"/>
        <v>36.333333329530433</v>
      </c>
      <c r="O114" s="7"/>
      <c r="P114" s="7"/>
      <c r="Q114" s="22"/>
      <c r="R114" s="174"/>
      <c r="S114" s="221">
        <f t="shared" si="63"/>
        <v>1</v>
      </c>
      <c r="T114" s="174" t="str">
        <f t="shared" si="42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3"/>
        <v>https://d0f6bd738d7f1b3e5a7ca70fe4ff75f0.us-east-1.aws.found.io/app/kibana#/discover/Steve-Slow-Train-Analysis-(2080s-and-2083s)?_g=(refreshInterval:(display:Off,pause:!f,section:0,value:0),time:(from:'2017-09-23T14:55:36-0600',mode:absolute,to:'2017-09-23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204" t="str">
        <f>IF(AA114&lt;VLOOKUP(AG114,Variables!$AC$3:$AD$8,2,FALSE),"Y","N")</f>
        <v>N</v>
      </c>
      <c r="X114" s="204">
        <f t="shared" si="66"/>
        <v>1</v>
      </c>
      <c r="Y114" s="204">
        <f t="shared" si="64"/>
        <v>0.05</v>
      </c>
      <c r="Z114" s="204">
        <f t="shared" si="65"/>
        <v>23.329699999999999</v>
      </c>
      <c r="AA114" s="204">
        <f t="shared" si="46"/>
        <v>23.279699999999998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7"/>
        <v>199</v>
      </c>
      <c r="AE114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14" s="74" t="str">
        <f t="shared" si="49"/>
        <v>"C:\Program Files (x86)\AstroGrep\AstroGrep.exe" /e /r /s /spath="%USERPROFILE%\AppData\Local\Temp\OnboardLogs" /stypes="app*4040*20170923*" /stext=" 22:.+((SYSTEM_STATE.+slice.+state.+changed )|(ment ac)|(multiple cpu faults)|(system.+state.+changed )|(\[timeout)|(PRM\|1\|D)|(kpr)|(kdp)|(train st.+moving)|(\|lc)|(penalty))"</v>
      </c>
      <c r="AG114" s="182" t="str">
        <f t="shared" si="50"/>
        <v>EC</v>
      </c>
      <c r="AH114" s="78" t="str">
        <f t="shared" si="51"/>
        <v>"%USERPROFILE%\Documents\GitHub\eaglep3\Utilities\RefineRTDCRunTimes.py" --tripid 199-23 --locoid 4040 --swversion DE.1.0.9.0 --startMP 204:500 --initTime 2017-09-23T15:55:36 --startdatetime 2017-09-23T16:00:18 --delay 61 --endMP 204:233297 --enddatetime 2017-09-23T16:36:38 --enforcementcount 0 &gt;&gt;c:\users\stu\Documents\GitHub\eaglep3-reporting\EC\2017-09-23-refined-times.txt</v>
      </c>
      <c r="AI11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{"issue":{"subject":"","project_id":79,"tracker_id":40,"status_id":1,"priority_id":2,"assigned_to_id":338,"start_date":"2017-09-23","description":"","custom_fields":[{"id":1,"name":"Subdivision","value":"EC"},{"id":4,"name":"Milepost","value":"23.3297"},{"id":17,"name":"Train ID","value":"199-23"},{"id":16,"name":"Locomotive ID","value":"4040"},{"id":130,"name":"Impact","value":""},{"id":150,"name":"Time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3"/>
        <v>start /low /b %USERPROFILE%\Documents\GitHub\eaglep3\Utilities\DownloadLogsFromS3.py --loco 4040 --day 2017-09-23</v>
      </c>
      <c r="AN11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5"/>
        <v>https://d0f6bd738d7f1b3e5a7ca70fe4ff75f0.us-east-1.aws.found.io/app/kibana#/discover/Steve-Slow-Train-Analysis-(2080s-and-2083s)?_g=(refreshInterval:(display:Off,pause:!f,section:0,value:0),time:(from:'2017-09-23T14:55:36-0600',mode:absolute,to:'2017-09-23T17:36:38-0600'))&amp;_a=(columns:!('Message%20ID',Summary),filters:!(),index:'emp_*',interval:auto,query:(query_string:(analyze_wildcard:!t,query:'Message%5C+ID:(*)+AND+%22rtdc.l.rtdc.4040%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760</v>
      </c>
      <c r="B115" s="7">
        <v>4039</v>
      </c>
      <c r="C115" s="21" t="s">
        <v>196</v>
      </c>
      <c r="D115" s="21" t="s">
        <v>445</v>
      </c>
      <c r="E115" s="13">
        <v>43001.702939814815</v>
      </c>
      <c r="F115" s="13">
        <v>43001.706412037034</v>
      </c>
      <c r="G115" s="7">
        <v>74</v>
      </c>
      <c r="H115" s="21" t="s">
        <v>337</v>
      </c>
      <c r="I115" s="13">
        <v>43001.73300925926</v>
      </c>
      <c r="J115" s="7">
        <v>0</v>
      </c>
      <c r="K115" s="89" t="str">
        <f t="shared" si="40"/>
        <v>4039/4040</v>
      </c>
      <c r="L115" s="185" t="str">
        <f>VLOOKUP(A115,'Trips&amp;Operators'!$C$1:$G$99911,5,FALSE)</f>
        <v>BRUDER RICHARD</v>
      </c>
      <c r="M115" s="6">
        <f t="shared" si="41"/>
        <v>2.6597222225973383E-2</v>
      </c>
      <c r="N115" s="7">
        <f t="shared" si="62"/>
        <v>38.300000005401671</v>
      </c>
      <c r="O115" s="7"/>
      <c r="P115" s="7"/>
      <c r="Q115" s="22"/>
      <c r="R115" s="174"/>
      <c r="S115" s="221">
        <f t="shared" si="63"/>
        <v>1</v>
      </c>
      <c r="T115" s="174" t="str">
        <f t="shared" si="42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3"/>
        <v>https://d0f6bd738d7f1b3e5a7ca70fe4ff75f0.us-east-1.aws.found.io/app/kibana#/discover/Steve-Slow-Train-Analysis-(2080s-and-2083s)?_g=(refreshInterval:(display:Off,pause:!f,section:0,value:0),time:(from:'2017-09-23T15:52:14-0600',mode:absolute,to:'2017-09-23T18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204" t="str">
        <f>IF(AA115&lt;VLOOKUP(AG115,Variables!$AC$3:$AD$8,2,FALSE),"Y","N")</f>
        <v>N</v>
      </c>
      <c r="X115" s="204">
        <f t="shared" si="66"/>
        <v>1</v>
      </c>
      <c r="Y115" s="204">
        <f t="shared" si="64"/>
        <v>23.2986</v>
      </c>
      <c r="Z115" s="204">
        <f t="shared" si="65"/>
        <v>1.49E-2</v>
      </c>
      <c r="AA115" s="204">
        <f t="shared" si="46"/>
        <v>23.2837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7"/>
        <v>200</v>
      </c>
      <c r="AE115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15" s="74" t="str">
        <f t="shared" si="49"/>
        <v>"C:\Program Files (x86)\AstroGrep\AstroGrep.exe" /e /r /s /spath="%USERPROFILE%\AppData\Local\Temp\OnboardLogs" /stypes="app*4039*20170923*" /stext=" 23:.+((SYSTEM_STATE.+slice.+state.+changed )|(ment ac)|(multiple cpu faults)|(system.+state.+changed )|(\[timeout)|(PRM\|1\|D)|(kpr)|(kdp)|(train st.+moving)|(\|lc)|(penalty))"</v>
      </c>
      <c r="AG115" s="182" t="str">
        <f t="shared" si="50"/>
        <v>EC</v>
      </c>
      <c r="AH115" s="78" t="str">
        <f t="shared" si="51"/>
        <v>"%USERPROFILE%\Documents\GitHub\eaglep3\Utilities\RefineRTDCRunTimes.py" --tripid 200-23 --locoid 4039 --swversion DE.1.0.9.0 --startMP 204:232986 --initTime 2017-09-23T16:52:14 --startdatetime 2017-09-23T16:57:14 --delay 74 --endMP 204:149 --enddatetime 2017-09-23T17:35:32 --enforcementcount 0 &gt;&gt;c:\users\stu\Documents\GitHub\eaglep3-reporting\EC\2017-09-23-refined-times.txt</v>
      </c>
      <c r="AI11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{"issue":{"subject":"","project_id":79,"tracker_id":40,"status_id":1,"priority_id":2,"assigned_to_id":338,"start_date":"2017-09-23","description":"","custom_fields":[{"id":1,"name":"Subdivision","value":"EC"},{"id":4,"name":"Milepost","value":"0.0149"},{"id":17,"name":"Train ID","value":"200-23"},{"id":16,"name":"Locomotive ID","value":"4039"},{"id":130,"name":"Impact","value":""},{"id":150,"name":"Time of Event (Mountain Time)","value":"17:35:32"},{"id":151,"name":"Denver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3"/>
        <v>start /low /b %USERPROFILE%\Documents\GitHub\eaglep3\Utilities\DownloadLogsFromS3.py --loco 4039 --day 2017-09-23</v>
      </c>
      <c r="AN115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5"/>
        <v>https://d0f6bd738d7f1b3e5a7ca70fe4ff75f0.us-east-1.aws.found.io/app/kibana#/discover/Steve-Slow-Train-Analysis-(2080s-and-2083s)?_g=(refreshInterval:(display:Off,pause:!f,section:0,value:0),time:(from:'2017-09-23T15:52:14-0600',mode:absolute,to:'2017-09-23T18:35:32-0600'))&amp;_a=(columns:!('Message%20ID',Summary),filters:!(),index:'emp_*',interval:auto,query:(query_string:(analyze_wildcard:!t,query:'Message%5C+ID:(*)+AND+%22rtdc.l.rtdc.4039%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753</v>
      </c>
      <c r="B116" s="7">
        <v>4002</v>
      </c>
      <c r="C116" s="21" t="s">
        <v>196</v>
      </c>
      <c r="D116" s="21" t="s">
        <v>339</v>
      </c>
      <c r="E116" s="13">
        <v>43001.676030092596</v>
      </c>
      <c r="F116" s="13">
        <v>43001.67759259259</v>
      </c>
      <c r="G116" s="7">
        <v>53</v>
      </c>
      <c r="H116" s="21" t="s">
        <v>503</v>
      </c>
      <c r="I116" s="13">
        <v>43001.702002314814</v>
      </c>
      <c r="J116" s="7">
        <v>0</v>
      </c>
      <c r="K116" s="89" t="str">
        <f t="shared" si="40"/>
        <v>4001/4002</v>
      </c>
      <c r="L116" s="185" t="str">
        <f>VLOOKUP(A116,'Trips&amp;Operators'!$C$1:$G$99911,5,FALSE)</f>
        <v>HOLCOMB KAMDEN</v>
      </c>
      <c r="M116" s="6">
        <f t="shared" si="41"/>
        <v>2.4409722223936114E-2</v>
      </c>
      <c r="N116" s="7">
        <f t="shared" si="62"/>
        <v>35.150000002468005</v>
      </c>
      <c r="O116" s="7"/>
      <c r="P116" s="7"/>
      <c r="Q116" s="22"/>
      <c r="R116" s="174"/>
      <c r="S116" s="221">
        <f t="shared" si="63"/>
        <v>1</v>
      </c>
      <c r="T116" s="174" t="str">
        <f t="shared" si="42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3"/>
        <v>https://d0f6bd738d7f1b3e5a7ca70fe4ff75f0.us-east-1.aws.found.io/app/kibana#/discover/Steve-Slow-Train-Analysis-(2080s-and-2083s)?_g=(refreshInterval:(display:Off,pause:!f,section:0,value:0),time:(from:'2017-09-23T15:13:29-0600',mode:absolute,to:'2017-09-23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204" t="str">
        <f>IF(AA116&lt;VLOOKUP(AG116,Variables!$AC$3:$AD$8,2,FALSE),"Y","N")</f>
        <v>N</v>
      </c>
      <c r="X116" s="204">
        <f t="shared" si="66"/>
        <v>1</v>
      </c>
      <c r="Y116" s="204">
        <f t="shared" si="64"/>
        <v>4.53E-2</v>
      </c>
      <c r="Z116" s="204">
        <f t="shared" si="65"/>
        <v>23.3308</v>
      </c>
      <c r="AA116" s="204">
        <f t="shared" si="46"/>
        <v>23.285499999999999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7"/>
        <v>201</v>
      </c>
      <c r="AE116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116" s="74" t="str">
        <f t="shared" si="49"/>
        <v>"C:\Program Files (x86)\AstroGrep\AstroGrep.exe" /e /r /s /spath="%USERPROFILE%\AppData\Local\Temp\OnboardLogs" /stypes="app*4002*20170923*" /stext=" 22:.+((SYSTEM_STATE.+slice.+state.+changed )|(ment ac)|(multiple cpu faults)|(system.+state.+changed )|(\[timeout)|(PRM\|1\|D)|(kpr)|(kdp)|(train st.+moving)|(\|lc)|(penalty))"</v>
      </c>
      <c r="AG116" s="182" t="str">
        <f t="shared" si="50"/>
        <v>EC</v>
      </c>
      <c r="AH116" s="78" t="str">
        <f t="shared" si="51"/>
        <v>"%USERPROFILE%\Documents\GitHub\eaglep3\Utilities\RefineRTDCRunTimes.py" --tripid 201-23 --locoid 4002 --swversion DE.1.0.9.0 --startMP 204:453 --initTime 2017-09-23T16:13:29 --startdatetime 2017-09-23T16:15:44 --delay 53 --endMP 204:233308 --enddatetime 2017-09-23T16:50:53 --enforcementcount 0 &gt;&gt;c:\users\stu\Documents\GitHub\eaglep3-reporting\EC\2017-09-23-refined-times.txt</v>
      </c>
      <c r="AI11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ID","value":"201-23"},{"id":16,"name":"Locomotive ID","value":"4002"},{"id":130,"name":"Impact","value":""},{"id":150,"name":"Time of Event (Mountain Time)","value":"16:50:53"},{"id":151,"name":"Denver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3"/>
        <v>start /low /b %USERPROFILE%\Documents\GitHub\eaglep3\Utilities\DownloadLogsFromS3.py --loco 4002 --day 2017-09-23</v>
      </c>
      <c r="AN116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5"/>
        <v>https://d0f6bd738d7f1b3e5a7ca70fe4ff75f0.us-east-1.aws.found.io/app/kibana#/discover/Steve-Slow-Train-Analysis-(2080s-and-2083s)?_g=(refreshInterval:(display:Off,pause:!f,section:0,value:0),time:(from:'2017-09-23T15:13:29-0600',mode:absolute,to:'2017-09-23T17:50:53-0600'))&amp;_a=(columns:!('Message%20ID',Summary),filters:!(),index:'emp_*',interval:auto,query:(query_string:(analyze_wildcard:!t,query:'Message%5C+ID:(*)+AND+%22rtdc.l.rtdc.4002%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606</v>
      </c>
      <c r="B117" s="7">
        <v>4001</v>
      </c>
      <c r="C117" s="21" t="s">
        <v>196</v>
      </c>
      <c r="D117" s="21" t="s">
        <v>411</v>
      </c>
      <c r="E117" s="13">
        <v>43001.714560185188</v>
      </c>
      <c r="F117" s="13">
        <v>43001.716921296298</v>
      </c>
      <c r="G117" s="7">
        <v>82</v>
      </c>
      <c r="H117" s="21" t="s">
        <v>430</v>
      </c>
      <c r="I117" s="13">
        <v>43001.743483796294</v>
      </c>
      <c r="J117" s="7">
        <v>0</v>
      </c>
      <c r="K117" s="89" t="str">
        <f t="shared" si="40"/>
        <v>4001/4002</v>
      </c>
      <c r="L117" s="185" t="str">
        <f>VLOOKUP(A117,'Trips&amp;Operators'!$C$1:$G$99911,5,FALSE)</f>
        <v>HOLCOMB KAMDEN</v>
      </c>
      <c r="M117" s="6">
        <f t="shared" si="41"/>
        <v>2.6562499995634425E-2</v>
      </c>
      <c r="N117" s="7">
        <f t="shared" si="62"/>
        <v>38.249999993713573</v>
      </c>
      <c r="O117" s="7"/>
      <c r="P117" s="7"/>
      <c r="Q117" s="22"/>
      <c r="R117" s="174"/>
      <c r="S117" s="221">
        <f t="shared" si="63"/>
        <v>1</v>
      </c>
      <c r="T117" s="174" t="str">
        <f t="shared" si="42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3"/>
        <v>https://d0f6bd738d7f1b3e5a7ca70fe4ff75f0.us-east-1.aws.found.io/app/kibana#/discover/Steve-Slow-Train-Analysis-(2080s-and-2083s)?_g=(refreshInterval:(display:Off,pause:!f,section:0,value:0),time:(from:'2017-09-23T16:08:58-0600',mode:absolute,to:'2017-09-23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204" t="str">
        <f>IF(AA117&lt;VLOOKUP(AG117,Variables!$AC$3:$AD$8,2,FALSE),"Y","N")</f>
        <v>N</v>
      </c>
      <c r="X117" s="204">
        <f t="shared" si="66"/>
        <v>1</v>
      </c>
      <c r="Y117" s="204">
        <f t="shared" si="64"/>
        <v>23.299099999999999</v>
      </c>
      <c r="Z117" s="204">
        <f t="shared" si="65"/>
        <v>1.2999999999999999E-2</v>
      </c>
      <c r="AA117" s="204">
        <f t="shared" si="46"/>
        <v>23.286099999999998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7"/>
        <v>202</v>
      </c>
      <c r="AE117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117" s="74" t="str">
        <f t="shared" si="49"/>
        <v>"C:\Program Files (x86)\AstroGrep\AstroGrep.exe" /e /r /s /spath="%USERPROFILE%\AppData\Local\Temp\OnboardLogs" /stypes="app*4001*20170923*" /stext=" 23:.+((SYSTEM_STATE.+slice.+state.+changed )|(ment ac)|(multiple cpu faults)|(system.+state.+changed )|(\[timeout)|(PRM\|1\|D)|(kpr)|(kdp)|(train st.+moving)|(\|lc)|(penalty))"</v>
      </c>
      <c r="AG117" s="182" t="str">
        <f t="shared" si="50"/>
        <v>EC</v>
      </c>
      <c r="AH117" s="78" t="str">
        <f t="shared" si="51"/>
        <v>"%USERPROFILE%\Documents\GitHub\eaglep3\Utilities\RefineRTDCRunTimes.py" --tripid 202-23 --locoid 4001 --swversion DE.1.0.9.0 --startMP 204:232991 --initTime 2017-09-23T17:08:58 --startdatetime 2017-09-23T17:12:22 --delay 82 --endMP 204:130 --enddatetime 2017-09-23T17:50:37 --enforcementcount 0 &gt;&gt;c:\users\stu\Documents\GitHub\eaglep3-reporting\EC\2017-09-23-refined-times.txt</v>
      </c>
      <c r="AI11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{"issue":{"subject":"","project_id":79,"tracker_id":40,"status_id":1,"priority_id":2,"assigned_to_id":338,"start_date":"2017-09-23","description":"","custom_fields":[{"id":1,"name":"Subdivision","value":"EC"},{"id":4,"name":"Milepost","value":"0.013"},{"id":17,"name":"Train ID","value":"202-23"},{"id":16,"name":"Locomotive ID","value":"4001"},{"id":130,"name":"Impact","value":""},{"id":150,"name":"Time of Event (Mountain Time)","value":"17:50:37"},{"id":151,"name":"Denver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3"/>
        <v>start /low /b %USERPROFILE%\Documents\GitHub\eaglep3\Utilities\DownloadLogsFromS3.py --loco 4001 --day 2017-09-23</v>
      </c>
      <c r="AN117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5"/>
        <v>https://d0f6bd738d7f1b3e5a7ca70fe4ff75f0.us-east-1.aws.found.io/app/kibana#/discover/Steve-Slow-Train-Analysis-(2080s-and-2083s)?_g=(refreshInterval:(display:Off,pause:!f,section:0,value:0),time:(from:'2017-09-23T16:08:58-0600',mode:absolute,to:'2017-09-23T18:50:37-0600'))&amp;_a=(columns:!('Message%20ID',Summary),filters:!(),index:'emp_*',interval:auto,query:(query_string:(analyze_wildcard:!t,query:'Message%5C+ID:(*)+AND+%22rtdc.l.rtdc.4001%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605</v>
      </c>
      <c r="B118" s="7">
        <v>4058</v>
      </c>
      <c r="C118" s="21" t="s">
        <v>196</v>
      </c>
      <c r="D118" s="21" t="s">
        <v>358</v>
      </c>
      <c r="E118" s="13">
        <v>43001.684942129628</v>
      </c>
      <c r="F118" s="13">
        <v>43001.687847222223</v>
      </c>
      <c r="G118" s="7">
        <v>74</v>
      </c>
      <c r="H118" s="21" t="s">
        <v>504</v>
      </c>
      <c r="I118" s="13">
        <v>43001.714606481481</v>
      </c>
      <c r="J118" s="7">
        <v>0</v>
      </c>
      <c r="K118" s="89" t="str">
        <f t="shared" si="40"/>
        <v>4057/4058</v>
      </c>
      <c r="L118" s="185" t="str">
        <f>VLOOKUP(A118,'Trips&amp;Operators'!$C$1:$G$99911,5,FALSE)</f>
        <v>DAVIS MICHAEL</v>
      </c>
      <c r="M118" s="6">
        <f t="shared" si="41"/>
        <v>2.675925925723277E-2</v>
      </c>
      <c r="N118" s="7">
        <f t="shared" si="62"/>
        <v>38.533333330415189</v>
      </c>
      <c r="O118" s="7"/>
      <c r="P118" s="7"/>
      <c r="Q118" s="22"/>
      <c r="R118" s="174"/>
      <c r="S118" s="221">
        <f t="shared" si="63"/>
        <v>1</v>
      </c>
      <c r="T118" s="174" t="str">
        <f t="shared" si="42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3"/>
        <v>https://d0f6bd738d7f1b3e5a7ca70fe4ff75f0.us-east-1.aws.found.io/app/kibana#/discover/Steve-Slow-Train-Analysis-(2080s-and-2083s)?_g=(refreshInterval:(display:Off,pause:!f,section:0,value:0),time:(from:'2017-09-23T15:26:19-0600',mode:absolute,to:'2017-09-23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8" s="204" t="str">
        <f>IF(AA118&lt;VLOOKUP(AG118,Variables!$AC$3:$AD$8,2,FALSE),"Y","N")</f>
        <v>N</v>
      </c>
      <c r="X118" s="204">
        <f t="shared" si="66"/>
        <v>1</v>
      </c>
      <c r="Y118" s="204">
        <f t="shared" si="64"/>
        <v>4.4900000000000002E-2</v>
      </c>
      <c r="Z118" s="204">
        <f t="shared" si="65"/>
        <v>23.330500000000001</v>
      </c>
      <c r="AA118" s="204">
        <f t="shared" si="46"/>
        <v>23.285600000000002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7"/>
        <v>203</v>
      </c>
      <c r="AE118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18" s="74" t="str">
        <f t="shared" si="49"/>
        <v>"C:\Program Files (x86)\AstroGrep\AstroGrep.exe" /e /r /s /spath="%USERPROFILE%\AppData\Local\Temp\OnboardLogs" /stypes="app*4058*20170923*" /stext=" 23:.+((SYSTEM_STATE.+slice.+state.+changed )|(ment ac)|(multiple cpu faults)|(system.+state.+changed )|(\[timeout)|(PRM\|1\|D)|(kpr)|(kdp)|(train st.+moving)|(\|lc)|(penalty))"</v>
      </c>
      <c r="AG118" s="182" t="str">
        <f t="shared" si="50"/>
        <v>EC</v>
      </c>
      <c r="AH118" s="78" t="str">
        <f t="shared" si="51"/>
        <v>"%USERPROFILE%\Documents\GitHub\eaglep3\Utilities\RefineRTDCRunTimes.py" --tripid 203-23 --locoid 4058 --swversion DE.1.0.9.0 --startMP 204:449 --initTime 2017-09-23T16:26:19 --startdatetime 2017-09-23T16:30:30 --delay 74 --endMP 204:233305 --enddatetime 2017-09-23T17:09:02 --enforcementcount 0 &gt;&gt;c:\users\stu\Documents\GitHub\eaglep3-reporting\EC\2017-09-23-refined-times.txt</v>
      </c>
      <c r="AI11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{"issue":{"subject":"","project_id":79,"tracker_id":40,"status_id":1,"priority_id":2,"assigned_to_id":338,"start_date":"2017-09-23","description":"","custom_fields":[{"id":1,"name":"Subdivision","value":"EC"},{"id":4,"name":"Milepost","value":"23.3305"},{"id":17,"name":"Train ID","value":"203-23"},{"id":16,"name":"Locomotive ID","value":"4058"},{"id":130,"name":"Impact","value":""},{"id":150,"name":"Time of Event (Mountain Time)","value":"17:09:02"},{"id":151,"name":"Denver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3"/>
        <v>start /low /b %USERPROFILE%\Documents\GitHub\eaglep3\Utilities\DownloadLogsFromS3.py --loco 4058 --day 2017-09-23</v>
      </c>
      <c r="AN118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55"/>
        <v>https://d0f6bd738d7f1b3e5a7ca70fe4ff75f0.us-east-1.aws.found.io/app/kibana#/discover/Steve-Slow-Train-Analysis-(2080s-and-2083s)?_g=(refreshInterval:(display:Off,pause:!f,section:0,value:0),time:(from:'2017-09-23T15:26:19-0600',mode:absolute,to:'2017-09-23T18:09:02-0600'))&amp;_a=(columns:!('Message%20ID',Summary),filters:!(),index:'emp_*',interval:auto,query:(query_string:(analyze_wildcard:!t,query:'Message%5C+ID:(*)+AND+%22rtdc.l.rtdc.4058%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765</v>
      </c>
      <c r="B119" s="7">
        <v>4057</v>
      </c>
      <c r="C119" s="21" t="s">
        <v>196</v>
      </c>
      <c r="D119" s="21" t="s">
        <v>441</v>
      </c>
      <c r="E119" s="13">
        <v>43001.725289351853</v>
      </c>
      <c r="F119" s="13">
        <v>43001.727534722224</v>
      </c>
      <c r="G119" s="7">
        <v>62</v>
      </c>
      <c r="H119" s="21" t="s">
        <v>367</v>
      </c>
      <c r="I119" s="13">
        <v>43001.756203703706</v>
      </c>
      <c r="J119" s="7">
        <v>0</v>
      </c>
      <c r="K119" s="89" t="str">
        <f t="shared" si="40"/>
        <v>4057/4058</v>
      </c>
      <c r="L119" s="185" t="str">
        <f>VLOOKUP(A119,'Trips&amp;Operators'!$C$1:$G$99911,5,FALSE)</f>
        <v>DAVIS MICHAEL</v>
      </c>
      <c r="M119" s="6">
        <f t="shared" si="41"/>
        <v>2.8668981482042E-2</v>
      </c>
      <c r="N119" s="7">
        <f t="shared" si="62"/>
        <v>41.28333333414048</v>
      </c>
      <c r="O119" s="7"/>
      <c r="P119" s="7"/>
      <c r="Q119" s="22"/>
      <c r="R119" s="174"/>
      <c r="S119" s="221">
        <f t="shared" si="63"/>
        <v>1</v>
      </c>
      <c r="T119" s="174" t="str">
        <f t="shared" si="42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3"/>
        <v>https://d0f6bd738d7f1b3e5a7ca70fe4ff75f0.us-east-1.aws.found.io/app/kibana#/discover/Steve-Slow-Train-Analysis-(2080s-and-2083s)?_g=(refreshInterval:(display:Off,pause:!f,section:0,value:0),time:(from:'2017-09-23T16:24:25-0600',mode:absolute,to:'2017-09-23T19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9" s="204" t="str">
        <f>IF(AA119&lt;VLOOKUP(AG119,Variables!$AC$3:$AD$8,2,FALSE),"Y","N")</f>
        <v>N</v>
      </c>
      <c r="X119" s="204">
        <f t="shared" si="66"/>
        <v>1</v>
      </c>
      <c r="Y119" s="204">
        <f t="shared" si="64"/>
        <v>23.298400000000001</v>
      </c>
      <c r="Z119" s="204">
        <f t="shared" si="65"/>
        <v>1.5599999999999999E-2</v>
      </c>
      <c r="AA119" s="204">
        <f t="shared" si="46"/>
        <v>23.282800000000002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7"/>
        <v>204</v>
      </c>
      <c r="AE119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19" s="74" t="str">
        <f t="shared" si="49"/>
        <v>"C:\Program Files (x86)\AstroGrep\AstroGrep.exe" /e /r /s /spath="%USERPROFILE%\AppData\Local\Temp\OnboardLogs" /stypes="app*4057*20170924*" /stext=" 00:.+((SYSTEM_STATE.+slice.+state.+changed )|(ment ac)|(multiple cpu faults)|(system.+state.+changed )|(\[timeout)|(PRM\|1\|D)|(kpr)|(kdp)|(train st.+moving)|(\|lc)|(penalty))"</v>
      </c>
      <c r="AG119" s="182" t="str">
        <f t="shared" si="50"/>
        <v>EC</v>
      </c>
      <c r="AH119" s="78" t="str">
        <f t="shared" si="51"/>
        <v>"%USERPROFILE%\Documents\GitHub\eaglep3\Utilities\RefineRTDCRunTimes.py" --tripid 204-23 --locoid 4057 --swversion DE.1.0.9.0 --startMP 204:232984 --initTime 2017-09-23T17:24:25 --startdatetime 2017-09-23T17:27:39 --delay 62 --endMP 204:156 --enddatetime 2017-09-23T18:08:56 --enforcementcount 0 &gt;&gt;c:\users\stu\Documents\GitHub\eaglep3-reporting\EC\2017-09-23-refined-times.txt</v>
      </c>
      <c r="AI11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ID","value":"204-23"},{"id":16,"name":"Locomotive ID","value":"4057"},{"id":130,"name":"Impact","value":""},{"id":150,"name":"Time of Event (Mountain Time)","value":"18:08:56"},{"id":151,"name":"Denver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3"/>
        <v>start /low /b %USERPROFILE%\Documents\GitHub\eaglep3\Utilities\DownloadLogsFromS3.py --loco 4057 --day 2017-09-23</v>
      </c>
      <c r="AN119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5"/>
        <v>https://d0f6bd738d7f1b3e5a7ca70fe4ff75f0.us-east-1.aws.found.io/app/kibana#/discover/Steve-Slow-Train-Analysis-(2080s-and-2083s)?_g=(refreshInterval:(display:Off,pause:!f,section:0,value:0),time:(from:'2017-09-23T16:24:25-0600',mode:absolute,to:'2017-09-23T19:08:56-0600'))&amp;_a=(columns:!('Message%20ID',Summary),filters:!(),index:'emp_*',interval:auto,query:(query_string:(analyze_wildcard:!t,query:'Message%5C+ID:(*)+AND+%22rtdc.l.rtdc.4057%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759</v>
      </c>
      <c r="B120" s="7">
        <v>4026</v>
      </c>
      <c r="C120" s="21" t="s">
        <v>196</v>
      </c>
      <c r="D120" s="21" t="s">
        <v>937</v>
      </c>
      <c r="E120" s="13">
        <v>43001.695451388892</v>
      </c>
      <c r="F120" s="13">
        <v>43001.698101851849</v>
      </c>
      <c r="G120" s="7">
        <v>73</v>
      </c>
      <c r="H120" s="21" t="s">
        <v>938</v>
      </c>
      <c r="I120" s="13">
        <v>43001.722881944443</v>
      </c>
      <c r="J120" s="7">
        <v>0</v>
      </c>
      <c r="K120" s="89" t="str">
        <f t="shared" si="40"/>
        <v>4025/4026</v>
      </c>
      <c r="L120" s="185" t="str">
        <f>VLOOKUP(A120,'Trips&amp;Operators'!$C$1:$G$99911,5,FALSE)</f>
        <v>SAFIEF AEIMEN</v>
      </c>
      <c r="M120" s="6">
        <f t="shared" si="41"/>
        <v>2.4780092593573499E-2</v>
      </c>
      <c r="N120" s="7">
        <f t="shared" si="62"/>
        <v>35.683333334745839</v>
      </c>
      <c r="O120" s="7"/>
      <c r="P120" s="7"/>
      <c r="Q120" s="22"/>
      <c r="R120" s="174"/>
      <c r="S120" s="221">
        <f t="shared" si="63"/>
        <v>1</v>
      </c>
      <c r="T120" s="174" t="str">
        <f t="shared" si="42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3"/>
        <v>https://d0f6bd738d7f1b3e5a7ca70fe4ff75f0.us-east-1.aws.found.io/app/kibana#/discover/Steve-Slow-Train-Analysis-(2080s-and-2083s)?_g=(refreshInterval:(display:Off,pause:!f,section:0,value:0),time:(from:'2017-09-23T15:41:27-0600',mode:absolute,to:'2017-09-23T18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0" s="204" t="str">
        <f>IF(AA120&lt;VLOOKUP(AG120,Variables!$AC$3:$AD$8,2,FALSE),"Y","N")</f>
        <v>N</v>
      </c>
      <c r="X120" s="204">
        <f t="shared" si="66"/>
        <v>1</v>
      </c>
      <c r="Y120" s="204">
        <f t="shared" si="64"/>
        <v>4.7800000000000002E-2</v>
      </c>
      <c r="Z120" s="204">
        <f t="shared" si="65"/>
        <v>23.334900000000001</v>
      </c>
      <c r="AA120" s="204">
        <f t="shared" si="46"/>
        <v>23.287100000000002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7"/>
        <v>205</v>
      </c>
      <c r="AE120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20" s="74" t="str">
        <f t="shared" si="49"/>
        <v>"C:\Program Files (x86)\AstroGrep\AstroGrep.exe" /e /r /s /spath="%USERPROFILE%\AppData\Local\Temp\OnboardLogs" /stypes="app*4026*20170923*" /stext=" 23:.+((SYSTEM_STATE.+slice.+state.+changed )|(ment ac)|(multiple cpu faults)|(system.+state.+changed )|(\[timeout)|(PRM\|1\|D)|(kpr)|(kdp)|(train st.+moving)|(\|lc)|(penalty))"</v>
      </c>
      <c r="AG120" s="182" t="str">
        <f t="shared" si="50"/>
        <v>EC</v>
      </c>
      <c r="AH120" s="78" t="str">
        <f t="shared" si="51"/>
        <v>"%USERPROFILE%\Documents\GitHub\eaglep3\Utilities\RefineRTDCRunTimes.py" --tripid 205-23 --locoid 4026 --swversion DE.1.0.9.0 --startMP 204:478 --initTime 2017-09-23T16:41:27 --startdatetime 2017-09-23T16:45:16 --delay 73 --endMP 204:233349 --enddatetime 2017-09-23T17:20:57 --enforcementcount 0 &gt;&gt;c:\users\stu\Documents\GitHub\eaglep3-reporting\EC\2017-09-23-refined-times.txt</v>
      </c>
      <c r="AI12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{"issue":{"subject":"","project_id":79,"tracker_id":40,"status_id":1,"priority_id":2,"assigned_to_id":338,"start_date":"2017-09-23","description":"","custom_fields":[{"id":1,"name":"Subdivision","value":"EC"},{"id":4,"name":"Milepost","value":"23.3349"},{"id":17,"name":"Train ID","value":"205-23"},{"id":16,"name":"Locomotive ID","value":"4026"},{"id":130,"name":"Impact","value":""},{"id":150,"name":"Time of Event (Mountain Time)","value":"17:20:57"},{"id":151,"name":"Denver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3"/>
        <v>start /low /b %USERPROFILE%\Documents\GitHub\eaglep3\Utilities\DownloadLogsFromS3.py --loco 4026 --day 2017-09-23</v>
      </c>
      <c r="AN120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5"/>
        <v>https://d0f6bd738d7f1b3e5a7ca70fe4ff75f0.us-east-1.aws.found.io/app/kibana#/discover/Steve-Slow-Train-Analysis-(2080s-and-2083s)?_g=(refreshInterval:(display:Off,pause:!f,section:0,value:0),time:(from:'2017-09-23T15:41:27-0600',mode:absolute,to:'2017-09-23T18:20:57-0600'))&amp;_a=(columns:!('Message%20ID',Summary),filters:!(),index:'emp_*',interval:auto,query:(query_string:(analyze_wildcard:!t,query:'Message%5C+ID:(*)+AND+%22rtdc.l.rtdc.4026%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767</v>
      </c>
      <c r="B121" s="7">
        <v>4025</v>
      </c>
      <c r="C121" s="21" t="s">
        <v>196</v>
      </c>
      <c r="D121" s="21" t="s">
        <v>939</v>
      </c>
      <c r="E121" s="13">
        <v>43001.734560185185</v>
      </c>
      <c r="F121" s="13">
        <v>43001.737847222219</v>
      </c>
      <c r="G121" s="7">
        <v>58</v>
      </c>
      <c r="H121" s="21" t="s">
        <v>391</v>
      </c>
      <c r="I121" s="13">
        <v>43001.763981481483</v>
      </c>
      <c r="J121" s="7">
        <v>0</v>
      </c>
      <c r="K121" s="89" t="str">
        <f t="shared" si="40"/>
        <v>4025/4026</v>
      </c>
      <c r="L121" s="185" t="str">
        <f>VLOOKUP(A121,'Trips&amp;Operators'!$C$1:$G$99911,5,FALSE)</f>
        <v>SAFIEF AEIMEN</v>
      </c>
      <c r="M121" s="6">
        <f t="shared" si="41"/>
        <v>2.6134259263926651E-2</v>
      </c>
      <c r="N121" s="7">
        <f t="shared" si="62"/>
        <v>37.633333340054378</v>
      </c>
      <c r="O121" s="7"/>
      <c r="P121" s="7"/>
      <c r="Q121" s="22"/>
      <c r="R121" s="174"/>
      <c r="S121" s="221">
        <f t="shared" si="63"/>
        <v>1</v>
      </c>
      <c r="T121" s="174" t="str">
        <f t="shared" si="42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3"/>
        <v>https://d0f6bd738d7f1b3e5a7ca70fe4ff75f0.us-east-1.aws.found.io/app/kibana#/discover/Steve-Slow-Train-Analysis-(2080s-and-2083s)?_g=(refreshInterval:(display:Off,pause:!f,section:0,value:0),time:(from:'2017-09-23T16:37:46-0600',mode:absolute,to:'2017-09-23T19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204" t="str">
        <f>IF(AA121&lt;VLOOKUP(AG121,Variables!$AC$3:$AD$8,2,FALSE),"Y","N")</f>
        <v>N</v>
      </c>
      <c r="X121" s="204">
        <f t="shared" si="66"/>
        <v>1</v>
      </c>
      <c r="Y121" s="204">
        <f t="shared" si="64"/>
        <v>23.304300000000001</v>
      </c>
      <c r="Z121" s="204">
        <f t="shared" si="65"/>
        <v>1.3599999999999999E-2</v>
      </c>
      <c r="AA121" s="204">
        <f t="shared" si="46"/>
        <v>23.290700000000001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7"/>
        <v>206</v>
      </c>
      <c r="AE121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21" s="74" t="str">
        <f t="shared" si="49"/>
        <v>"C:\Program Files (x86)\AstroGrep\AstroGrep.exe" /e /r /s /spath="%USERPROFILE%\AppData\Local\Temp\OnboardLogs" /stypes="app*4025*20170924*" /stext=" 00:.+((SYSTEM_STATE.+slice.+state.+changed )|(ment ac)|(multiple cpu faults)|(system.+state.+changed )|(\[timeout)|(PRM\|1\|D)|(kpr)|(kdp)|(train st.+moving)|(\|lc)|(penalty))"</v>
      </c>
      <c r="AG121" s="182" t="str">
        <f t="shared" si="50"/>
        <v>EC</v>
      </c>
      <c r="AH121" s="78" t="str">
        <f t="shared" si="51"/>
        <v>"%USERPROFILE%\Documents\GitHub\eaglep3\Utilities\RefineRTDCRunTimes.py" --tripid 206-23 --locoid 4025 --swversion DE.1.0.9.0 --startMP 204:233043 --initTime 2017-09-23T17:37:46 --startdatetime 2017-09-23T17:42:30 --delay 58 --endMP 204:136 --enddatetime 2017-09-23T18:20:08 --enforcementcount 0 &gt;&gt;c:\users\stu\Documents\GitHub\eaglep3-reporting\EC\2017-09-23-refined-times.txt</v>
      </c>
      <c r="AI12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{"issue":{"subject":"","project_id":79,"tracker_id":40,"status_id":1,"priority_id":2,"assigned_to_id":338,"start_date":"2017-09-23","description":"","custom_fields":[{"id":1,"name":"Subdivision","value":"EC"},{"id":4,"name":"Milepost","value":"0.0136"},{"id":17,"name":"Train ID","value":"206-23"},{"id":16,"name":"Locomotive ID","value":"4025"},{"id":130,"name":"Impact","value":""},{"id":150,"name":"Time of Event (Mountain Time)","value":"18:20:08"},{"id":151,"name":"Denver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3"/>
        <v>start /low /b %USERPROFILE%\Documents\GitHub\eaglep3\Utilities\DownloadLogsFromS3.py --loco 4025 --day 2017-09-23</v>
      </c>
      <c r="AN121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5"/>
        <v>https://d0f6bd738d7f1b3e5a7ca70fe4ff75f0.us-east-1.aws.found.io/app/kibana#/discover/Steve-Slow-Train-Analysis-(2080s-and-2083s)?_g=(refreshInterval:(display:Off,pause:!f,section:0,value:0),time:(from:'2017-09-23T16:37:46-0600',mode:absolute,to:'2017-09-23T19:20:08-0600'))&amp;_a=(columns:!('Message%20ID',Summary),filters:!(),index:'emp_*',interval:auto,query:(query_string:(analyze_wildcard:!t,query:'Message%5C+ID:(*)+AND+%22rtdc.l.rtdc.4025%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761</v>
      </c>
      <c r="B122" s="7">
        <v>4010</v>
      </c>
      <c r="C122" s="21" t="s">
        <v>196</v>
      </c>
      <c r="D122" s="21" t="s">
        <v>431</v>
      </c>
      <c r="E122" s="13">
        <v>43001.703159722223</v>
      </c>
      <c r="F122" s="13">
        <v>43001.708761574075</v>
      </c>
      <c r="G122" s="7">
        <v>56</v>
      </c>
      <c r="H122" s="21" t="s">
        <v>940</v>
      </c>
      <c r="I122" s="13">
        <v>43001.7344212963</v>
      </c>
      <c r="J122" s="7">
        <v>0</v>
      </c>
      <c r="K122" s="89" t="str">
        <f t="shared" si="40"/>
        <v>4009/4010</v>
      </c>
      <c r="L122" s="185" t="str">
        <f>VLOOKUP(A122,'Trips&amp;Operators'!$C$1:$G$99911,5,FALSE)</f>
        <v>GUZMAN DANNY</v>
      </c>
      <c r="M122" s="6">
        <f t="shared" si="41"/>
        <v>2.5659722225100268E-2</v>
      </c>
      <c r="N122" s="7">
        <f t="shared" si="62"/>
        <v>36.950000004144385</v>
      </c>
      <c r="O122" s="7"/>
      <c r="P122" s="7"/>
      <c r="Q122" s="22"/>
      <c r="R122" s="174"/>
      <c r="S122" s="221">
        <f t="shared" si="63"/>
        <v>1</v>
      </c>
      <c r="T122" s="174" t="str">
        <f t="shared" si="42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3"/>
        <v>https://d0f6bd738d7f1b3e5a7ca70fe4ff75f0.us-east-1.aws.found.io/app/kibana#/discover/Steve-Slow-Train-Analysis-(2080s-and-2083s)?_g=(refreshInterval:(display:Off,pause:!f,section:0,value:0),time:(from:'2017-09-23T15:52:33-0600',mode:absolute,to:'2017-09-23T18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204" t="str">
        <f>IF(AA122&lt;VLOOKUP(AG122,Variables!$AC$3:$AD$8,2,FALSE),"Y","N")</f>
        <v>N</v>
      </c>
      <c r="X122" s="204">
        <f t="shared" si="66"/>
        <v>1</v>
      </c>
      <c r="Y122" s="204">
        <f t="shared" si="64"/>
        <v>4.5699999999999998E-2</v>
      </c>
      <c r="Z122" s="204">
        <f t="shared" si="65"/>
        <v>23.340699999999998</v>
      </c>
      <c r="AA122" s="204">
        <f t="shared" si="46"/>
        <v>23.294999999999998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7"/>
        <v>207</v>
      </c>
      <c r="AE122" s="77" t="str">
        <f t="shared" si="48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22" s="74" t="str">
        <f t="shared" si="49"/>
        <v>"C:\Program Files (x86)\AstroGrep\AstroGrep.exe" /e /r /s /spath="%USERPROFILE%\AppData\Local\Temp\OnboardLogs" /stypes="app*4010*20170923*" /stext=" 23:.+((SYSTEM_STATE.+slice.+state.+changed )|(ment ac)|(multiple cpu faults)|(system.+state.+changed )|(\[timeout)|(PRM\|1\|D)|(kpr)|(kdp)|(train st.+moving)|(\|lc)|(penalty))"</v>
      </c>
      <c r="AG122" s="182" t="str">
        <f t="shared" si="50"/>
        <v>EC</v>
      </c>
      <c r="AH122" s="78" t="str">
        <f t="shared" si="51"/>
        <v>"%USERPROFILE%\Documents\GitHub\eaglep3\Utilities\RefineRTDCRunTimes.py" --tripid 207-23 --locoid 4010 --swversion DE.1.0.9.0 --startMP 204:457 --initTime 2017-09-23T16:52:33 --startdatetime 2017-09-23T17:00:37 --delay 56 --endMP 204:233407 --enddatetime 2017-09-23T17:37:34 --enforcementcount 0 &gt;&gt;c:\users\stu\Documents\GitHub\eaglep3-reporting\EC\2017-09-23-refined-times.txt</v>
      </c>
      <c r="AI12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{"issue":{"subject":"","project_id":79,"tracker_id":40,"status_id":1,"priority_id":2,"assigned_to_id":338,"start_date":"2017-09-23","description":"","custom_fields":[{"id":1,"name":"Subdivision","value":"EC"},{"id":4,"name":"Milepost","value":"23.3407"},{"id":17,"name":"Train ID","value":"207-23"},{"id":16,"name":"Locomotive ID","value":"4010"},{"id":130,"name":"Impact","value":""},{"id":150,"name":"Time of Event (Mountain Time)","value":"17:37:34"},{"id":151,"name":"Denver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3"/>
        <v>start /low /b %USERPROFILE%\Documents\GitHub\eaglep3\Utilities\DownloadLogsFromS3.py --loco 4010 --day 2017-09-23</v>
      </c>
      <c r="AN122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5"/>
        <v>https://d0f6bd738d7f1b3e5a7ca70fe4ff75f0.us-east-1.aws.found.io/app/kibana#/discover/Steve-Slow-Train-Analysis-(2080s-and-2083s)?_g=(refreshInterval:(display:Off,pause:!f,section:0,value:0),time:(from:'2017-09-23T15:52:33-0600',mode:absolute,to:'2017-09-23T18:37:34-0600'))&amp;_a=(columns:!('Message%20ID',Summary),filters:!(),index:'emp_*',interval:auto,query:(query_string:(analyze_wildcard:!t,query:'Message%5C+ID:(*)+AND+%22rtdc.l.rtdc.4010%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769</v>
      </c>
      <c r="B123" s="7">
        <v>4009</v>
      </c>
      <c r="C123" s="21" t="s">
        <v>196</v>
      </c>
      <c r="D123" s="21" t="s">
        <v>439</v>
      </c>
      <c r="E123" s="13">
        <v>43001.736817129633</v>
      </c>
      <c r="F123" s="13">
        <v>43001.74827546296</v>
      </c>
      <c r="G123" s="7">
        <v>55</v>
      </c>
      <c r="H123" s="21" t="s">
        <v>511</v>
      </c>
      <c r="I123" s="13">
        <v>43001.774629629632</v>
      </c>
      <c r="J123" s="7">
        <v>0</v>
      </c>
      <c r="K123" s="89" t="str">
        <f t="shared" si="40"/>
        <v>4009/4010</v>
      </c>
      <c r="L123" s="185" t="str">
        <f>VLOOKUP(A123,'Trips&amp;Operators'!$C$1:$G$99911,5,FALSE)</f>
        <v>GUZMAN DANNY</v>
      </c>
      <c r="M123" s="6">
        <f t="shared" si="41"/>
        <v>2.6354166671808343E-2</v>
      </c>
      <c r="N123" s="7">
        <f t="shared" si="62"/>
        <v>37.950000007404014</v>
      </c>
      <c r="O123" s="7"/>
      <c r="P123" s="7"/>
      <c r="Q123" s="22"/>
      <c r="R123" s="174"/>
      <c r="S123" s="221">
        <f t="shared" si="63"/>
        <v>1</v>
      </c>
      <c r="T123" s="174" t="str">
        <f t="shared" si="42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3"/>
        <v>https://d0f6bd738d7f1b3e5a7ca70fe4ff75f0.us-east-1.aws.found.io/app/kibana#/discover/Steve-Slow-Train-Analysis-(2080s-and-2083s)?_g=(refreshInterval:(display:Off,pause:!f,section:0,value:0),time:(from:'2017-09-23T16:41:01-0600',mode:absolute,to:'2017-09-23T19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204" t="str">
        <f>IF(AA123&lt;VLOOKUP(AG123,Variables!$AC$3:$AD$8,2,FALSE),"Y","N")</f>
        <v>N</v>
      </c>
      <c r="X123" s="204">
        <f t="shared" si="66"/>
        <v>1</v>
      </c>
      <c r="Y123" s="204">
        <f t="shared" si="64"/>
        <v>23.3005</v>
      </c>
      <c r="Z123" s="204">
        <f t="shared" si="65"/>
        <v>1.4200000000000001E-2</v>
      </c>
      <c r="AA123" s="204">
        <f t="shared" si="46"/>
        <v>23.286300000000001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7"/>
        <v>208</v>
      </c>
      <c r="AE123" s="77" t="str">
        <f t="shared" si="48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123" s="74" t="str">
        <f t="shared" si="49"/>
        <v>"C:\Program Files (x86)\AstroGrep\AstroGrep.exe" /e /r /s /spath="%USERPROFILE%\AppData\Local\Temp\OnboardLogs" /stypes="app*4009*20170924*" /stext=" 00:.+((SYSTEM_STATE.+slice.+state.+changed )|(ment ac)|(multiple cpu faults)|(system.+state.+changed )|(\[timeout)|(PRM\|1\|D)|(kpr)|(kdp)|(train st.+moving)|(\|lc)|(penalty))"</v>
      </c>
      <c r="AG123" s="182" t="str">
        <f t="shared" si="50"/>
        <v>EC</v>
      </c>
      <c r="AH123" s="78" t="str">
        <f t="shared" si="51"/>
        <v>"%USERPROFILE%\Documents\GitHub\eaglep3\Utilities\RefineRTDCRunTimes.py" --tripid 208-23 --locoid 4009 --swversion DE.1.0.9.0 --startMP 204:233005 --initTime 2017-09-23T17:41:01 --startdatetime 2017-09-23T17:57:31 --delay 55 --endMP 204:142 --enddatetime 2017-09-23T18:35:28 --enforcementcount 0 &gt;&gt;c:\users\stu\Documents\GitHub\eaglep3-reporting\EC\2017-09-23-refined-times.txt</v>
      </c>
      <c r="AI12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{"issue":{"subject":"","project_id":79,"tracker_id":40,"status_id":1,"priority_id":2,"assigned_to_id":338,"start_date":"2017-09-23","description":"","custom_fields":[{"id":1,"name":"Subdivision","value":"EC"},{"id":4,"name":"Milepost","value":"0.0142"},{"id":17,"name":"Train ID","value":"208-23"},{"id":16,"name":"Locomotive ID","value":"4009"},{"id":130,"name":"Impact","value":""},{"id":150,"name":"Time of Event (Mountain Time)","value":"18:35:28"},{"id":151,"name":"Denver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3"/>
        <v>start /low /b %USERPROFILE%\Documents\GitHub\eaglep3\Utilities\DownloadLogsFromS3.py --loco 4009 --day 2017-09-23</v>
      </c>
      <c r="AN123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5"/>
        <v>https://d0f6bd738d7f1b3e5a7ca70fe4ff75f0.us-east-1.aws.found.io/app/kibana#/discover/Steve-Slow-Train-Analysis-(2080s-and-2083s)?_g=(refreshInterval:(display:Off,pause:!f,section:0,value:0),time:(from:'2017-09-23T16:41:01-0600',mode:absolute,to:'2017-09-23T19:35:28-0600'))&amp;_a=(columns:!('Message%20ID',Summary),filters:!(),index:'emp_*',interval:auto,query:(query_string:(analyze_wildcard:!t,query:'Message%5C+ID:(*)+AND+%22rtdc.l.rtdc.4009%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763</v>
      </c>
      <c r="B124" s="7">
        <v>4028</v>
      </c>
      <c r="C124" s="21" t="s">
        <v>196</v>
      </c>
      <c r="D124" s="21" t="s">
        <v>412</v>
      </c>
      <c r="E124" s="13">
        <v>43001.715300925927</v>
      </c>
      <c r="F124" s="13">
        <v>43001.719039351854</v>
      </c>
      <c r="G124" s="7">
        <v>62</v>
      </c>
      <c r="H124" s="21" t="s">
        <v>941</v>
      </c>
      <c r="I124" s="13">
        <v>43001.74486111111</v>
      </c>
      <c r="J124" s="7">
        <v>0</v>
      </c>
      <c r="K124" s="89" t="str">
        <f t="shared" si="40"/>
        <v>4027/4028</v>
      </c>
      <c r="L124" s="185" t="str">
        <f>VLOOKUP(A124,'Trips&amp;Operators'!$C$1:$G$99911,5,FALSE)</f>
        <v>BADERTSCHER DIANE</v>
      </c>
      <c r="M124" s="6">
        <f t="shared" si="41"/>
        <v>2.5821759256359655E-2</v>
      </c>
      <c r="N124" s="7">
        <f t="shared" si="62"/>
        <v>37.183333329157904</v>
      </c>
      <c r="O124" s="7"/>
      <c r="P124" s="7"/>
      <c r="Q124" s="22"/>
      <c r="R124" s="174"/>
      <c r="S124" s="221">
        <f t="shared" si="63"/>
        <v>1</v>
      </c>
      <c r="T124" s="174" t="str">
        <f t="shared" si="42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3"/>
        <v>https://d0f6bd738d7f1b3e5a7ca70fe4ff75f0.us-east-1.aws.found.io/app/kibana#/discover/Steve-Slow-Train-Analysis-(2080s-and-2083s)?_g=(refreshInterval:(display:Off,pause:!f,section:0,value:0),time:(from:'2017-09-23T16:10:02-0600',mode:absolute,to:'2017-09-23T18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204" t="str">
        <f>IF(AA124&lt;VLOOKUP(AG124,Variables!$AC$3:$AD$8,2,FALSE),"Y","N")</f>
        <v>N</v>
      </c>
      <c r="X124" s="204">
        <f t="shared" si="66"/>
        <v>1</v>
      </c>
      <c r="Y124" s="204">
        <f t="shared" si="64"/>
        <v>4.3299999999999998E-2</v>
      </c>
      <c r="Z124" s="204">
        <f t="shared" si="65"/>
        <v>23.338699999999999</v>
      </c>
      <c r="AA124" s="204">
        <f t="shared" si="46"/>
        <v>23.295400000000001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7"/>
        <v>209</v>
      </c>
      <c r="AE124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24" s="74" t="str">
        <f t="shared" si="49"/>
        <v>"C:\Program Files (x86)\AstroGrep\AstroGrep.exe" /e /r /s /spath="%USERPROFILE%\AppData\Local\Temp\OnboardLogs" /stypes="app*4028*20170923*" /stext=" 23:.+((SYSTEM_STATE.+slice.+state.+changed )|(ment ac)|(multiple cpu faults)|(system.+state.+changed )|(\[timeout)|(PRM\|1\|D)|(kpr)|(kdp)|(train st.+moving)|(\|lc)|(penalty))"</v>
      </c>
      <c r="AG124" s="182" t="str">
        <f t="shared" si="50"/>
        <v>EC</v>
      </c>
      <c r="AH124" s="78" t="str">
        <f t="shared" si="51"/>
        <v>"%USERPROFILE%\Documents\GitHub\eaglep3\Utilities\RefineRTDCRunTimes.py" --tripid 209-23 --locoid 4028 --swversion DE.1.0.9.0 --startMP 204:433 --initTime 2017-09-23T17:10:02 --startdatetime 2017-09-23T17:15:25 --delay 62 --endMP 204:233387 --enddatetime 2017-09-23T17:52:36 --enforcementcount 0 &gt;&gt;c:\users\stu\Documents\GitHub\eaglep3-reporting\EC\2017-09-23-refined-times.txt</v>
      </c>
      <c r="AI12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{"issue":{"subject":"","project_id":79,"tracker_id":40,"status_id":1,"priority_id":2,"assigned_to_id":338,"start_date":"2017-09-23","description":"","custom_fields":[{"id":1,"name":"Subdivision","value":"EC"},{"id":4,"name":"Milepost","value":"23.3387"},{"id":17,"name":"Train ID","value":"209-23"},{"id":16,"name":"Locomotive ID","value":"4028"},{"id":130,"name":"Impact","value":""},{"id":150,"name":"Time of Event (Mountain Time)","value":"17:52:36"},{"id":151,"name":"Denver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3"/>
        <v>start /low /b %USERPROFILE%\Documents\GitHub\eaglep3\Utilities\DownloadLogsFromS3.py --loco 4028 --day 2017-09-23</v>
      </c>
      <c r="AN124" s="151" t="str">
        <f t="shared" si="54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5"/>
        <v>https://d0f6bd738d7f1b3e5a7ca70fe4ff75f0.us-east-1.aws.found.io/app/kibana#/discover/Steve-Slow-Train-Analysis-(2080s-and-2083s)?_g=(refreshInterval:(display:Off,pause:!f,section:0,value:0),time:(from:'2017-09-23T16:10:02-0600',mode:absolute,to:'2017-09-23T18:52:36-0600'))&amp;_a=(columns:!('Message%20ID',Summary),filters:!(),index:'emp_*',interval:auto,query:(query_string:(analyze_wildcard:!t,query:'Message%5C+ID:(*)+AND+%22rtdc.l.rtdc.4028%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772</v>
      </c>
      <c r="B125" s="7">
        <v>4027</v>
      </c>
      <c r="C125" s="21" t="s">
        <v>196</v>
      </c>
      <c r="D125" s="21" t="s">
        <v>942</v>
      </c>
      <c r="E125" s="13">
        <v>43001.75267361111</v>
      </c>
      <c r="F125" s="13">
        <v>43001.75849537037</v>
      </c>
      <c r="G125" s="7">
        <v>69</v>
      </c>
      <c r="H125" s="21" t="s">
        <v>561</v>
      </c>
      <c r="I125" s="13">
        <v>43001.786307870374</v>
      </c>
      <c r="J125" s="7">
        <v>0</v>
      </c>
      <c r="K125" s="89" t="str">
        <f t="shared" si="40"/>
        <v>4027/4028</v>
      </c>
      <c r="L125" s="185" t="str">
        <f>VLOOKUP(A125,'Trips&amp;Operators'!$C$1:$G$99911,5,FALSE)</f>
        <v>BADERTSCHER DIANE</v>
      </c>
      <c r="M125" s="6">
        <f t="shared" si="41"/>
        <v>2.7812500004074536E-2</v>
      </c>
      <c r="N125" s="7">
        <f t="shared" si="62"/>
        <v>40.050000005867332</v>
      </c>
      <c r="O125" s="7"/>
      <c r="P125" s="7"/>
      <c r="Q125" s="22"/>
      <c r="R125" s="174"/>
      <c r="S125" s="221">
        <f t="shared" si="63"/>
        <v>1</v>
      </c>
      <c r="T125" s="174" t="str">
        <f t="shared" si="42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3"/>
        <v>https://d0f6bd738d7f1b3e5a7ca70fe4ff75f0.us-east-1.aws.found.io/app/kibana#/discover/Steve-Slow-Train-Analysis-(2080s-and-2083s)?_g=(refreshInterval:(display:Off,pause:!f,section:0,value:0),time:(from:'2017-09-23T17:03:51-0600',mode:absolute,to:'2017-09-23T19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204" t="str">
        <f>IF(AA125&lt;VLOOKUP(AG125,Variables!$AC$3:$AD$8,2,FALSE),"Y","N")</f>
        <v>N</v>
      </c>
      <c r="X125" s="204">
        <f t="shared" si="66"/>
        <v>1</v>
      </c>
      <c r="Y125" s="204">
        <f t="shared" si="64"/>
        <v>23.3066</v>
      </c>
      <c r="Z125" s="204">
        <f t="shared" si="65"/>
        <v>1.34E-2</v>
      </c>
      <c r="AA125" s="204">
        <f t="shared" si="46"/>
        <v>23.293199999999999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7"/>
        <v>210</v>
      </c>
      <c r="AE125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25" s="74" t="str">
        <f t="shared" si="49"/>
        <v>"C:\Program Files (x86)\AstroGrep\AstroGrep.exe" /e /r /s /spath="%USERPROFILE%\AppData\Local\Temp\OnboardLogs" /stypes="app*4027*20170924*" /stext=" 00:.+((SYSTEM_STATE.+slice.+state.+changed )|(ment ac)|(multiple cpu faults)|(system.+state.+changed )|(\[timeout)|(PRM\|1\|D)|(kpr)|(kdp)|(train st.+moving)|(\|lc)|(penalty))"</v>
      </c>
      <c r="AG125" s="182" t="str">
        <f t="shared" si="50"/>
        <v>EC</v>
      </c>
      <c r="AH125" s="78" t="str">
        <f t="shared" si="51"/>
        <v>"%USERPROFILE%\Documents\GitHub\eaglep3\Utilities\RefineRTDCRunTimes.py" --tripid 210-23 --locoid 4027 --swversion DE.1.0.9.0 --startMP 204:233066 --initTime 2017-09-23T18:03:51 --startdatetime 2017-09-23T18:12:14 --delay 69 --endMP 204:134 --enddatetime 2017-09-23T18:52:17 --enforcementcount 0 &gt;&gt;c:\users\stu\Documents\GitHub\eaglep3-reporting\EC\2017-09-23-refined-times.txt</v>
      </c>
      <c r="AI12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{"issue":{"subject":"","project_id":79,"tracker_id":40,"status_id":1,"priority_id":2,"assigned_to_id":338,"start_date":"2017-09-23","description":"","custom_fields":[{"id":1,"name":"Subdivision","value":"EC"},{"id":4,"name":"Milepost","value":"0.0134"},{"id":17,"name":"Train ID","value":"210-23"},{"id":16,"name":"Locomotive ID","value":"4027"},{"id":130,"name":"Impact","value":""},{"id":150,"name":"Time of Event (Mountain Time)","value":"18:52:17"},{"id":151,"name":"Denver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3"/>
        <v>start /low /b %USERPROFILE%\Documents\GitHub\eaglep3\Utilities\DownloadLogsFromS3.py --loco 4027 --day 2017-09-23</v>
      </c>
      <c r="AN125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5"/>
        <v>https://d0f6bd738d7f1b3e5a7ca70fe4ff75f0.us-east-1.aws.found.io/app/kibana#/discover/Steve-Slow-Train-Analysis-(2080s-and-2083s)?_g=(refreshInterval:(display:Off,pause:!f,section:0,value:0),time:(from:'2017-09-23T17:03:51-0600',mode:absolute,to:'2017-09-23T19:52:17-0600'))&amp;_a=(columns:!('Message%20ID',Summary),filters:!(),index:'emp_*',interval:auto,query:(query_string:(analyze_wildcard:!t,query:'Message%5C+ID:(*)+AND+%22rtdc.l.rtdc.4027%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764</v>
      </c>
      <c r="B126" s="7">
        <v>4024</v>
      </c>
      <c r="C126" s="21" t="s">
        <v>196</v>
      </c>
      <c r="D126" s="21" t="s">
        <v>841</v>
      </c>
      <c r="E126" s="13">
        <v>43001.723414351851</v>
      </c>
      <c r="F126" s="13">
        <v>43001.729317129626</v>
      </c>
      <c r="G126" s="7">
        <v>79</v>
      </c>
      <c r="H126" s="21" t="s">
        <v>932</v>
      </c>
      <c r="I126" s="13">
        <v>43001.754791666666</v>
      </c>
      <c r="J126" s="7">
        <v>0</v>
      </c>
      <c r="K126" s="89" t="str">
        <f t="shared" si="40"/>
        <v>4023/4024</v>
      </c>
      <c r="L126" s="185" t="str">
        <f>VLOOKUP(A126,'Trips&amp;Operators'!$C$1:$G$99911,5,FALSE)</f>
        <v>BERLING GARY</v>
      </c>
      <c r="M126" s="6">
        <f t="shared" si="41"/>
        <v>2.5474537040281575E-2</v>
      </c>
      <c r="N126" s="7">
        <f t="shared" si="62"/>
        <v>36.683333338005468</v>
      </c>
      <c r="O126" s="7"/>
      <c r="P126" s="7"/>
      <c r="Q126" s="22"/>
      <c r="R126" s="174"/>
      <c r="S126" s="221">
        <f t="shared" si="63"/>
        <v>1</v>
      </c>
      <c r="T126" s="174" t="str">
        <f t="shared" si="42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3"/>
        <v>https://d0f6bd738d7f1b3e5a7ca70fe4ff75f0.us-east-1.aws.found.io/app/kibana#/discover/Steve-Slow-Train-Analysis-(2080s-and-2083s)?_g=(refreshInterval:(display:Off,pause:!f,section:0,value:0),time:(from:'2017-09-23T16:21:43-0600',mode:absolute,to:'2017-09-23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6" s="204" t="str">
        <f>IF(AA126&lt;VLOOKUP(AG126,Variables!$AC$3:$AD$8,2,FALSE),"Y","N")</f>
        <v>N</v>
      </c>
      <c r="X126" s="204">
        <f t="shared" si="66"/>
        <v>1</v>
      </c>
      <c r="Y126" s="204">
        <f t="shared" si="64"/>
        <v>4.4400000000000002E-2</v>
      </c>
      <c r="Z126" s="204">
        <f t="shared" si="65"/>
        <v>23.3337</v>
      </c>
      <c r="AA126" s="204">
        <f t="shared" si="46"/>
        <v>23.289300000000001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7"/>
        <v>211</v>
      </c>
      <c r="AE126" s="77" t="str">
        <f t="shared" si="48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126" s="74" t="str">
        <f t="shared" si="49"/>
        <v>"C:\Program Files (x86)\AstroGrep\AstroGrep.exe" /e /r /s /spath="%USERPROFILE%\AppData\Local\Temp\OnboardLogs" /stypes="app*4024*20170924*" /stext=" 00:.+((SYSTEM_STATE.+slice.+state.+changed )|(ment ac)|(multiple cpu faults)|(system.+state.+changed )|(\[timeout)|(PRM\|1\|D)|(kpr)|(kdp)|(train st.+moving)|(\|lc)|(penalty))"</v>
      </c>
      <c r="AG126" s="182" t="str">
        <f t="shared" si="50"/>
        <v>EC</v>
      </c>
      <c r="AH126" s="78" t="str">
        <f t="shared" si="51"/>
        <v>"%USERPROFILE%\Documents\GitHub\eaglep3\Utilities\RefineRTDCRunTimes.py" --tripid 211-23 --locoid 4024 --swversion DE.1.0.9.0 --startMP 204:444 --initTime 2017-09-23T17:21:43 --startdatetime 2017-09-23T17:30:13 --delay 79 --endMP 204:233337 --enddatetime 2017-09-23T18:06:54 --enforcementcount 0 &gt;&gt;c:\users\stu\Documents\GitHub\eaglep3-reporting\EC\2017-09-23-refined-times.txt</v>
      </c>
      <c r="AI12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{"issue":{"subject":"","project_id":79,"tracker_id":40,"status_id":1,"priority_id":2,"assigned_to_id":338,"start_date":"2017-09-23","description":"","custom_fields":[{"id":1,"name":"Subdivision","value":"EC"},{"id":4,"name":"Milepost","value":"23.3337"},{"id":17,"name":"Train ID","value":"211-23"},{"id":16,"name":"Locomotive ID","value":"4024"},{"id":130,"name":"Impact","value":""},{"id":150,"name":"Time of Event (Mountain Time)","value":"18:06:54"},{"id":151,"name":"Denver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3"/>
        <v>start /low /b %USERPROFILE%\Documents\GitHub\eaglep3\Utilities\DownloadLogsFromS3.py --loco 4024 --day 2017-09-23</v>
      </c>
      <c r="AN126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5"/>
        <v>https://d0f6bd738d7f1b3e5a7ca70fe4ff75f0.us-east-1.aws.found.io/app/kibana#/discover/Steve-Slow-Train-Analysis-(2080s-and-2083s)?_g=(refreshInterval:(display:Off,pause:!f,section:0,value:0),time:(from:'2017-09-23T16:21:43-0600',mode:absolute,to:'2017-09-23T19:06:54-0600'))&amp;_a=(columns:!('Message%20ID',Summary),filters:!(),index:'emp_*',interval:auto,query:(query_string:(analyze_wildcard:!t,query:'Message%5C+ID:(*)+AND+%22rtdc.l.rtdc.4024%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607</v>
      </c>
      <c r="B127" s="7">
        <v>4023</v>
      </c>
      <c r="C127" s="21" t="s">
        <v>196</v>
      </c>
      <c r="D127" s="21" t="s">
        <v>855</v>
      </c>
      <c r="E127" s="13">
        <v>43001.76326388889</v>
      </c>
      <c r="F127" s="13">
        <v>43001.768935185188</v>
      </c>
      <c r="G127" s="7">
        <v>92</v>
      </c>
      <c r="H127" s="21" t="s">
        <v>943</v>
      </c>
      <c r="I127" s="13">
        <v>43001.790254629632</v>
      </c>
      <c r="J127" s="7">
        <v>0</v>
      </c>
      <c r="K127" s="89" t="str">
        <f t="shared" si="40"/>
        <v>4023/4024</v>
      </c>
      <c r="L127" s="185" t="str">
        <f>VLOOKUP(A127,'Trips&amp;Operators'!$C$1:$G$99911,5,FALSE)</f>
        <v>BERLING GARY</v>
      </c>
      <c r="M127" s="6">
        <f t="shared" si="41"/>
        <v>2.1319444444088731E-2</v>
      </c>
      <c r="N127" s="7"/>
      <c r="O127" s="7"/>
      <c r="P127" s="7">
        <f>24*60*SUM($M127:$M127)</f>
        <v>30.699999999487773</v>
      </c>
      <c r="Q127" s="22"/>
      <c r="R127" s="174" t="s">
        <v>1003</v>
      </c>
      <c r="S127" s="221">
        <f t="shared" si="63"/>
        <v>0.75</v>
      </c>
      <c r="T127" s="174" t="str">
        <f t="shared" si="42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9</v>
      </c>
      <c r="V127" s="216" t="str">
        <f t="shared" si="43"/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7" s="204" t="str">
        <f>IF(AA127&lt;VLOOKUP(AG127,Variables!$AC$3:$AD$8,2,FALSE),"Y","N")</f>
        <v>Y</v>
      </c>
      <c r="X127" s="204">
        <f t="shared" si="66"/>
        <v>1</v>
      </c>
      <c r="Y127" s="204">
        <f t="shared" si="64"/>
        <v>23.3017</v>
      </c>
      <c r="Z127" s="204">
        <f t="shared" si="65"/>
        <v>3.68</v>
      </c>
      <c r="AA127" s="204">
        <f t="shared" si="46"/>
        <v>19.621700000000001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7"/>
        <v>212</v>
      </c>
      <c r="AE127" s="77" t="str">
        <f t="shared" si="48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127" s="74" t="str">
        <f t="shared" si="49"/>
        <v>"C:\Program Files (x86)\AstroGrep\AstroGrep.exe" /e /r /s /spath="%USERPROFILE%\AppData\Local\Temp\OnboardLogs" /stypes="app*4023*20170924*" /stext=" 00:.+((SYSTEM_STATE.+slice.+state.+changed )|(ment ac)|(multiple cpu faults)|(system.+state.+changed )|(\[timeout)|(PRM\|1\|D)|(kpr)|(kdp)|(train st.+moving)|(\|lc)|(penalty))"</v>
      </c>
      <c r="AG127" s="182" t="str">
        <f t="shared" si="50"/>
        <v>EC</v>
      </c>
      <c r="AH127" s="78" t="str">
        <f t="shared" si="51"/>
        <v>"%USERPROFILE%\Documents\GitHub\eaglep3\Utilities\RefineRTDCRunTimes.py" --tripid 212-23 --locoid 4023 --swversion DE.1.0.9.0 --startMP 204:233017 --initTime 2017-09-23T18:19:06 --startdatetime 2017-09-23T18:27:16 --delay 92 --endMP 204:36800 --enddatetime 2017-09-23T18:57:58 --enforcementcount 0 &gt;&gt;c:\users\stu\Documents\GitHub\eaglep3-reporting\EC\2017-09-23-refined-times.txt</v>
      </c>
      <c r="AI127" s="96" t="str">
        <f t="shared" si="52"/>
        <v>echo {"issue":{"subject":"Minor onboard in-route failure caused signal status unknown banner","project_id":79,"tracker_id":40,"status_id":1,"priority_id":2,"assigned_to_id":338,"start_date":"2017-09-23","description":"","custom_fields":[{"id":1,"name":"Subdivision","value":"EC"},{"id":4,"name":"Milepost","value":"3.68"},{"id":17,"name":"Train ID","value":"212-23"},{"id":16,"name":"Locomotive ID","value":"4023"},{"id":130,"name":"Impact","value":""},{"id":150,"name":"Time of Event (Mountain Time)","value":"18:57:58"},{"id":151,"name":"Denver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3"/>
        <v>start /low /b %USERPROFILE%\Documents\GitHub\eaglep3\Utilities\DownloadLogsFromS3.py --loco 4023 --day 2017-09-23</v>
      </c>
      <c r="AN127" s="151" t="str">
        <f t="shared" si="54"/>
        <v>echo {"issue":{"subject":"Minor onboard in-route failure caused signal status unknown banner","project_id":30,"tracker_id":4,"status_id":1,"priority_id":1,"assigned_to_id":10,"start_date":"2017-09-24","description":"","custom_fields":[{"id":30,"name":"Category","value":"Issue"},{"id":3,"name":"Functional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5"/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Message%20ID',Summary),filters:!(),index:'emp_*',interval:auto,query:(query_string:(analyze_wildcard:!t,query:'Message%5C+ID:(*)+AND+%22rtdc.l.rtdc.4023%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768</v>
      </c>
      <c r="B128" s="7">
        <v>4040</v>
      </c>
      <c r="C128" s="21" t="s">
        <v>196</v>
      </c>
      <c r="D128" s="21" t="s">
        <v>361</v>
      </c>
      <c r="E128" s="13">
        <v>43001.735300925924</v>
      </c>
      <c r="F128" s="13">
        <v>43001.739976851852</v>
      </c>
      <c r="G128" s="7">
        <v>79</v>
      </c>
      <c r="H128" s="21" t="s">
        <v>423</v>
      </c>
      <c r="I128" s="13">
        <v>43001.765208333331</v>
      </c>
      <c r="J128" s="7">
        <v>0</v>
      </c>
      <c r="K128" s="89" t="str">
        <f t="shared" si="40"/>
        <v>4039/4040</v>
      </c>
      <c r="L128" s="185" t="str">
        <f>VLOOKUP(A128,'Trips&amp;Operators'!$C$1:$G$99911,5,FALSE)</f>
        <v>FORTUNATO FRANK</v>
      </c>
      <c r="M128" s="6">
        <f t="shared" si="41"/>
        <v>2.5231481478840578E-2</v>
      </c>
      <c r="N128" s="7">
        <f t="shared" ref="N128:N149" si="67">24*60*SUM($M128:$M128)</f>
        <v>36.333333329530433</v>
      </c>
      <c r="O128" s="7"/>
      <c r="P128" s="7"/>
      <c r="Q128" s="22"/>
      <c r="R128" s="174"/>
      <c r="S128" s="221">
        <f t="shared" si="63"/>
        <v>1</v>
      </c>
      <c r="T128" s="174" t="str">
        <f t="shared" si="42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3"/>
        <v>https://d0f6bd738d7f1b3e5a7ca70fe4ff75f0.us-east-1.aws.found.io/app/kibana#/discover/Steve-Slow-Train-Analysis-(2080s-and-2083s)?_g=(refreshInterval:(display:Off,pause:!f,section:0,value:0),time:(from:'2017-09-23T16:38:50-0600',mode:absolute,to:'2017-09-23T19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204" t="str">
        <f>IF(AA128&lt;VLOOKUP(AG128,Variables!$AC$3:$AD$8,2,FALSE),"Y","N")</f>
        <v>N</v>
      </c>
      <c r="X128" s="204">
        <f t="shared" si="66"/>
        <v>1</v>
      </c>
      <c r="Y128" s="204">
        <f t="shared" si="64"/>
        <v>4.6399999999999997E-2</v>
      </c>
      <c r="Z128" s="204">
        <f t="shared" si="65"/>
        <v>23.3325</v>
      </c>
      <c r="AA128" s="204">
        <f t="shared" si="46"/>
        <v>23.286100000000001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7"/>
        <v>213</v>
      </c>
      <c r="AE128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28" s="74" t="str">
        <f t="shared" si="49"/>
        <v>"C:\Program Files (x86)\AstroGrep\AstroGrep.exe" /e /r /s /spath="%USERPROFILE%\AppData\Local\Temp\OnboardLogs" /stypes="app*4040*20170924*" /stext=" 00:.+((SYSTEM_STATE.+slice.+state.+changed )|(ment ac)|(multiple cpu faults)|(system.+state.+changed )|(\[timeout)|(PRM\|1\|D)|(kpr)|(kdp)|(train st.+moving)|(\|lc)|(penalty))"</v>
      </c>
      <c r="AG128" s="182" t="str">
        <f t="shared" si="50"/>
        <v>EC</v>
      </c>
      <c r="AH128" s="78" t="str">
        <f t="shared" si="51"/>
        <v>"%USERPROFILE%\Documents\GitHub\eaglep3\Utilities\RefineRTDCRunTimes.py" --tripid 213-23 --locoid 4040 --swversion DE.1.0.9.0 --startMP 204:464 --initTime 2017-09-23T17:38:50 --startdatetime 2017-09-23T17:45:34 --delay 79 --endMP 204:233325 --enddatetime 2017-09-23T18:21:54 --enforcementcount 0 &gt;&gt;c:\users\stu\Documents\GitHub\eaglep3-reporting\EC\2017-09-23-refined-times.txt</v>
      </c>
      <c r="AI12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ID","value":"213-23"},{"id":16,"name":"Locomotive ID","value":"4040"},{"id":130,"name":"Impact","value":""},{"id":150,"name":"Time of Event (Mountain Time)","value":"18:21:54"},{"id":151,"name":"Denver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3"/>
        <v>start /low /b %USERPROFILE%\Documents\GitHub\eaglep3\Utilities\DownloadLogsFromS3.py --loco 4040 --day 2017-09-23</v>
      </c>
      <c r="AN128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5"/>
        <v>https://d0f6bd738d7f1b3e5a7ca70fe4ff75f0.us-east-1.aws.found.io/app/kibana#/discover/Steve-Slow-Train-Analysis-(2080s-and-2083s)?_g=(refreshInterval:(display:Off,pause:!f,section:0,value:0),time:(from:'2017-09-23T16:38:50-0600',mode:absolute,to:'2017-09-23T19:21:54-0600'))&amp;_a=(columns:!('Message%20ID',Summary),filters:!(),index:'emp_*',interval:auto,query:(query_string:(analyze_wildcard:!t,query:'Message%5C+ID:(*)+AND+%22rtdc.l.rtdc.4040%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776</v>
      </c>
      <c r="B129" s="7">
        <v>4039</v>
      </c>
      <c r="C129" s="21" t="s">
        <v>196</v>
      </c>
      <c r="D129" s="21" t="s">
        <v>929</v>
      </c>
      <c r="E129" s="13">
        <v>43001.769097222219</v>
      </c>
      <c r="F129" s="13">
        <v>43001.779363425929</v>
      </c>
      <c r="G129" s="7">
        <v>59</v>
      </c>
      <c r="H129" s="21" t="s">
        <v>944</v>
      </c>
      <c r="I129" s="13">
        <v>43001.805486111109</v>
      </c>
      <c r="J129" s="7">
        <v>0</v>
      </c>
      <c r="K129" s="89" t="str">
        <f t="shared" si="40"/>
        <v>4039/4040</v>
      </c>
      <c r="L129" s="185" t="str">
        <f>VLOOKUP(A129,'Trips&amp;Operators'!$C$1:$G$99911,5,FALSE)</f>
        <v>FORTUNATO FRANK</v>
      </c>
      <c r="M129" s="6">
        <f t="shared" si="41"/>
        <v>2.6122685179871041E-2</v>
      </c>
      <c r="N129" s="7">
        <f t="shared" si="67"/>
        <v>37.6166666590143</v>
      </c>
      <c r="O129" s="7"/>
      <c r="P129" s="7"/>
      <c r="Q129" s="22"/>
      <c r="R129" s="174"/>
      <c r="S129" s="221">
        <f t="shared" si="63"/>
        <v>1</v>
      </c>
      <c r="T129" s="174" t="str">
        <f t="shared" si="42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3"/>
        <v>https://d0f6bd738d7f1b3e5a7ca70fe4ff75f0.us-east-1.aws.found.io/app/kibana#/discover/Steve-Slow-Train-Analysis-(2080s-and-2083s)?_g=(refreshInterval:(display:Off,pause:!f,section:0,value:0),time:(from:'2017-09-23T17:27:30-0600',mode:absolute,to:'2017-09-23T20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204" t="str">
        <f>IF(AA129&lt;VLOOKUP(AG129,Variables!$AC$3:$AD$8,2,FALSE),"Y","N")</f>
        <v>N</v>
      </c>
      <c r="X129" s="204">
        <f t="shared" si="66"/>
        <v>1</v>
      </c>
      <c r="Y129" s="204">
        <f t="shared" si="64"/>
        <v>23.3032</v>
      </c>
      <c r="Z129" s="204">
        <f t="shared" si="65"/>
        <v>1.09E-2</v>
      </c>
      <c r="AA129" s="204">
        <f t="shared" si="46"/>
        <v>23.292300000000001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7"/>
        <v>214</v>
      </c>
      <c r="AE129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29" s="74" t="str">
        <f t="shared" si="49"/>
        <v>"C:\Program Files (x86)\AstroGrep\AstroGrep.exe" /e /r /s /spath="%USERPROFILE%\AppData\Local\Temp\OnboardLogs" /stypes="app*4039*20170924*" /stext=" 01:.+((SYSTEM_STATE.+slice.+state.+changed )|(ment ac)|(multiple cpu faults)|(system.+state.+changed )|(\[timeout)|(PRM\|1\|D)|(kpr)|(kdp)|(train st.+moving)|(\|lc)|(penalty))"</v>
      </c>
      <c r="AG129" s="182" t="str">
        <f t="shared" si="50"/>
        <v>EC</v>
      </c>
      <c r="AH129" s="78" t="str">
        <f t="shared" si="51"/>
        <v>"%USERPROFILE%\Documents\GitHub\eaglep3\Utilities\RefineRTDCRunTimes.py" --tripid 214-23 --locoid 4039 --swversion DE.1.0.9.0 --startMP 204:233032 --initTime 2017-09-23T18:27:30 --startdatetime 2017-09-23T18:42:17 --delay 59 --endMP 204:109 --enddatetime 2017-09-23T19:19:54 --enforcementcount 0 &gt;&gt;c:\users\stu\Documents\GitHub\eaglep3-reporting\EC\2017-09-23-refined-times.txt</v>
      </c>
      <c r="AI12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{"issue":{"subject":"","project_id":79,"tracker_id":40,"status_id":1,"priority_id":2,"assigned_to_id":338,"start_date":"2017-09-23","description":"","custom_fields":[{"id":1,"name":"Subdivision","value":"EC"},{"id":4,"name":"Milepost","value":"0.0109"},{"id":17,"name":"Train ID","value":"214-23"},{"id":16,"name":"Locomotive ID","value":"4039"},{"id":130,"name":"Impact","value":""},{"id":150,"name":"Time of Event (Mountain Time)","value":"19:19:54"},{"id":151,"name":"Denver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3"/>
        <v>start /low /b %USERPROFILE%\Documents\GitHub\eaglep3\Utilities\DownloadLogsFromS3.py --loco 4039 --day 2017-09-23</v>
      </c>
      <c r="AN129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5"/>
        <v>https://d0f6bd738d7f1b3e5a7ca70fe4ff75f0.us-east-1.aws.found.io/app/kibana#/discover/Steve-Slow-Train-Analysis-(2080s-and-2083s)?_g=(refreshInterval:(display:Off,pause:!f,section:0,value:0),time:(from:'2017-09-23T17:27:30-0600',mode:absolute,to:'2017-09-23T20:19:54-0600'))&amp;_a=(columns:!('Message%20ID',Summary),filters:!(),index:'emp_*',interval:auto,query:(query_string:(analyze_wildcard:!t,query:'Message%5C+ID:(*)+AND+%22rtdc.l.rtdc.4039%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770</v>
      </c>
      <c r="B130" s="7">
        <v>4002</v>
      </c>
      <c r="C130" s="21" t="s">
        <v>196</v>
      </c>
      <c r="D130" s="21" t="s">
        <v>929</v>
      </c>
      <c r="E130" s="13">
        <v>43001.769097222219</v>
      </c>
      <c r="F130" s="13">
        <v>43001.750196759262</v>
      </c>
      <c r="G130" s="7">
        <v>59</v>
      </c>
      <c r="H130" s="21" t="s">
        <v>944</v>
      </c>
      <c r="I130" s="13">
        <v>43001.775231481479</v>
      </c>
      <c r="J130" s="7">
        <v>0</v>
      </c>
      <c r="K130" s="89" t="str">
        <f t="shared" si="40"/>
        <v>4001/4002</v>
      </c>
      <c r="L130" s="185" t="str">
        <f>VLOOKUP(A130,'Trips&amp;Operators'!$C$1:$G$99911,5,FALSE)</f>
        <v>HOLCOMB KAMDEN</v>
      </c>
      <c r="M130" s="6">
        <f t="shared" si="41"/>
        <v>2.5034722217242233E-2</v>
      </c>
      <c r="N130" s="7">
        <f t="shared" si="67"/>
        <v>36.049999992828816</v>
      </c>
      <c r="O130" s="7"/>
      <c r="P130" s="7"/>
      <c r="Q130" s="22"/>
      <c r="R130" s="174"/>
      <c r="S130" s="221">
        <f t="shared" si="63"/>
        <v>1</v>
      </c>
      <c r="T130" s="174" t="str">
        <f t="shared" si="42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3"/>
        <v>https://d0f6bd738d7f1b3e5a7ca70fe4ff75f0.us-east-1.aws.found.io/app/kibana#/discover/Steve-Slow-Train-Analysis-(2080s-and-2083s)?_g=(refreshInterval:(display:Off,pause:!f,section:0,value:0),time:(from:'2017-09-23T17:27:30-0600',mode:absolute,to:'2017-09-23T19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204" t="str">
        <f>IF(AA130&lt;VLOOKUP(AG130,Variables!$AC$3:$AD$8,2,FALSE),"Y","N")</f>
        <v>N</v>
      </c>
      <c r="X130" s="204">
        <f t="shared" si="66"/>
        <v>1</v>
      </c>
      <c r="Y130" s="204">
        <v>4.6399999999999997E-2</v>
      </c>
      <c r="Z130" s="204">
        <v>23.3325</v>
      </c>
      <c r="AA130" s="204">
        <f t="shared" si="46"/>
        <v>23.286100000000001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7"/>
        <v>215</v>
      </c>
      <c r="AE130" s="77" t="str">
        <f t="shared" si="48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130" s="74" t="str">
        <f t="shared" si="49"/>
        <v>"C:\Program Files (x86)\AstroGrep\AstroGrep.exe" /e /r /s /spath="%USERPROFILE%\AppData\Local\Temp\OnboardLogs" /stypes="app*4002*20170924*" /stext=" 00:.+((SYSTEM_STATE.+slice.+state.+changed )|(ment ac)|(multiple cpu faults)|(system.+state.+changed )|(\[timeout)|(PRM\|1\|D)|(kpr)|(kdp)|(train st.+moving)|(\|lc)|(penalty))"</v>
      </c>
      <c r="AG130" s="182" t="str">
        <f t="shared" si="50"/>
        <v>EC</v>
      </c>
      <c r="AH130" s="78" t="str">
        <f t="shared" ref="AH130" si="68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215-23 --locoid 4002 --swversion DE.1.0.9.0 --startMP 204:233032 --initTime 2017-09-23T18:27:30 --startdatetime 2017-09-23T18:00:17 --delay 59 --endMP 204:109 --enddatetime 2017-09-23T18:36:20 --enforcementcount 0 &gt;&gt;c:\users\stu\Documents\GitHub\eaglep3-reporting\EC\2017-09-23-refined-times.txt</v>
      </c>
      <c r="AI130" s="96" t="str">
        <f t="shared" ref="AI130" si="69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ID","value":"215-23"},{"id":16,"name":"Locomotive ID","value":"4002"},{"id":130,"name":"Impact","value":""},{"id":150,"name":"Time of Event (Mountain Time)","value":"18:36:20"},{"id":151,"name":"Denver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ref="AM130" si="70">"start /low /b "&amp;dls3logs&amp;" --loco "&amp;B130&amp;" --day "&amp;TEXT(F130,"YYYY-MM-DD")</f>
        <v>start /low /b %USERPROFILE%\Documents\GitHub\eaglep3\Utilities\DownloadLogsFromS3.py --loco 4002 --day 2017-09-23</v>
      </c>
      <c r="AN130" s="151" t="str">
        <f t="shared" ref="AN130" si="71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ref="AO130" si="72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Message%5C+ID:(*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-23T17:27:30-0600',mode:absolute,to:'2017-09-23T19:36:20-0600'))&amp;_a=(columns:!('Message%20ID',Summary),filters:!(),index:'emp_*',interval:auto,query:(query_string:(analyze_wildcard:!t,query:'Message%5C+ID:(*)+AND+%22rtdc.l.rtdc.4002%22')),sort:!(Time.ISO8601,asc))</v>
      </c>
    </row>
    <row r="131" spans="1:91" s="20" customFormat="1" x14ac:dyDescent="0.25">
      <c r="A131" s="32" t="s">
        <v>778</v>
      </c>
      <c r="B131" s="7">
        <v>4001</v>
      </c>
      <c r="C131" s="21" t="s">
        <v>196</v>
      </c>
      <c r="D131" s="21" t="s">
        <v>401</v>
      </c>
      <c r="E131" s="13">
        <v>43001.787187499998</v>
      </c>
      <c r="F131" s="13">
        <v>43001.789861111109</v>
      </c>
      <c r="G131" s="7">
        <v>51</v>
      </c>
      <c r="H131" s="21" t="s">
        <v>357</v>
      </c>
      <c r="I131" s="13">
        <v>43001.815358796295</v>
      </c>
      <c r="J131" s="7">
        <v>0</v>
      </c>
      <c r="K131" s="89" t="str">
        <f t="shared" si="40"/>
        <v>4001/4002</v>
      </c>
      <c r="L131" s="185" t="str">
        <f>VLOOKUP(A131,'Trips&amp;Operators'!$C$1:$G$99911,5,FALSE)</f>
        <v>HOLCOMB KAMDEN</v>
      </c>
      <c r="M131" s="6">
        <f t="shared" si="41"/>
        <v>2.5497685186564922E-2</v>
      </c>
      <c r="N131" s="7">
        <f t="shared" si="67"/>
        <v>36.716666668653488</v>
      </c>
      <c r="O131" s="7"/>
      <c r="P131" s="7"/>
      <c r="Q131" s="22"/>
      <c r="R131" s="174"/>
      <c r="S131" s="221">
        <f t="shared" si="63"/>
        <v>1</v>
      </c>
      <c r="T131" s="174" t="str">
        <f t="shared" si="42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3"/>
        <v>https://d0f6bd738d7f1b3e5a7ca70fe4ff75f0.us-east-1.aws.found.io/app/kibana#/discover/Steve-Slow-Train-Analysis-(2080s-and-2083s)?_g=(refreshInterval:(display:Off,pause:!f,section:0,value:0),time:(from:'2017-09-23T17:53:33-0600',mode:absolute,to:'2017-09-23T20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204" t="str">
        <f>IF(AA131&lt;VLOOKUP(AG131,Variables!$AC$3:$AD$8,2,FALSE),"Y","N")</f>
        <v>N</v>
      </c>
      <c r="X131" s="204">
        <f t="shared" si="66"/>
        <v>1</v>
      </c>
      <c r="Y131" s="204">
        <f t="shared" ref="Y131:Y156" si="73">RIGHT(D131,LEN(D131)-4)/10000</f>
        <v>23.301300000000001</v>
      </c>
      <c r="Z131" s="204">
        <f t="shared" ref="Z131:Z156" si="74">RIGHT(H131,LEN(H131)-4)/10000</f>
        <v>1.52E-2</v>
      </c>
      <c r="AA131" s="204">
        <f t="shared" si="46"/>
        <v>23.286100000000001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7"/>
        <v>216</v>
      </c>
      <c r="AE131" s="77" t="str">
        <f t="shared" si="48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131" s="74" t="str">
        <f t="shared" si="49"/>
        <v>"C:\Program Files (x86)\AstroGrep\AstroGrep.exe" /e /r /s /spath="%USERPROFILE%\AppData\Local\Temp\OnboardLogs" /stypes="app*4001*20170924*" /stext=" 01:.+((SYSTEM_STATE.+slice.+state.+changed )|(ment ac)|(multiple cpu faults)|(system.+state.+changed )|(\[timeout)|(PRM\|1\|D)|(kpr)|(kdp)|(train st.+moving)|(\|lc)|(penalty))"</v>
      </c>
      <c r="AG131" s="182" t="str">
        <f t="shared" si="50"/>
        <v>EC</v>
      </c>
      <c r="AH131" s="78" t="str">
        <f t="shared" si="51"/>
        <v>"%USERPROFILE%\Documents\GitHub\eaglep3\Utilities\RefineRTDCRunTimes.py" --tripid 216-23 --locoid 4001 --swversion DE.1.0.9.0 --startMP 204:233013 --initTime 2017-09-23T18:53:33 --startdatetime 2017-09-23T18:57:24 --delay 51 --endMP 204:152 --enddatetime 2017-09-23T19:34:07 --enforcementcount 0 &gt;&gt;c:\users\stu\Documents\GitHub\eaglep3-reporting\EC\2017-09-23-refined-times.txt</v>
      </c>
      <c r="AI13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{"issue":{"subject":"","project_id":79,"tracker_id":40,"status_id":1,"priority_id":2,"assigned_to_id":338,"start_date":"2017-09-23","description":"","custom_fields":[{"id":1,"name":"Subdivision","value":"EC"},{"id":4,"name":"Milepost","value":"0.0152"},{"id":17,"name":"Train ID","value":"216-23"},{"id":16,"name":"Locomotive ID","value":"4001"},{"id":130,"name":"Impact","value":""},{"id":150,"name":"Time of Event (Mountain Time)","value":"19:34:07"},{"id":151,"name":"Denver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3"/>
        <v>start /low /b %USERPROFILE%\Documents\GitHub\eaglep3\Utilities\DownloadLogsFromS3.py --loco 4001 --day 2017-09-23</v>
      </c>
      <c r="AN131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5"/>
        <v>https://d0f6bd738d7f1b3e5a7ca70fe4ff75f0.us-east-1.aws.found.io/app/kibana#/discover/Steve-Slow-Train-Analysis-(2080s-and-2083s)?_g=(refreshInterval:(display:Off,pause:!f,section:0,value:0),time:(from:'2017-09-23T17:53:33-0600',mode:absolute,to:'2017-09-23T20:34:07-0600'))&amp;_a=(columns:!('Message%20ID',Summary),filters:!(),index:'emp_*',interval:auto,query:(query_string:(analyze_wildcard:!t,query:'Message%5C+ID:(*)+AND+%22rtdc.l.rtdc.4001%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773</v>
      </c>
      <c r="B132" s="7">
        <v>4058</v>
      </c>
      <c r="C132" s="21" t="s">
        <v>196</v>
      </c>
      <c r="D132" s="21" t="s">
        <v>399</v>
      </c>
      <c r="E132" s="13">
        <v>43001.757557870369</v>
      </c>
      <c r="F132" s="13">
        <v>43001.760601851849</v>
      </c>
      <c r="G132" s="7">
        <v>99</v>
      </c>
      <c r="H132" s="21" t="s">
        <v>850</v>
      </c>
      <c r="I132" s="13">
        <v>43001.78497685185</v>
      </c>
      <c r="J132" s="7">
        <v>0</v>
      </c>
      <c r="K132" s="89" t="str">
        <f t="shared" si="40"/>
        <v>4057/4058</v>
      </c>
      <c r="L132" s="185" t="str">
        <f>VLOOKUP(A132,'Trips&amp;Operators'!$C$1:$G$99911,5,FALSE)</f>
        <v>ELBAUM MIKE</v>
      </c>
      <c r="M132" s="6">
        <f t="shared" si="41"/>
        <v>2.4375000000873115E-2</v>
      </c>
      <c r="N132" s="7">
        <f t="shared" si="67"/>
        <v>35.100000001257285</v>
      </c>
      <c r="O132" s="7"/>
      <c r="P132" s="7"/>
      <c r="Q132" s="22"/>
      <c r="R132" s="174"/>
      <c r="S132" s="221">
        <f t="shared" si="63"/>
        <v>1</v>
      </c>
      <c r="T132" s="174" t="str">
        <f t="shared" si="42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3"/>
        <v>https://d0f6bd738d7f1b3e5a7ca70fe4ff75f0.us-east-1.aws.found.io/app/kibana#/discover/Steve-Slow-Train-Analysis-(2080s-and-2083s)?_g=(refreshInterval:(display:Off,pause:!f,section:0,value:0),time:(from:'2017-09-23T17:10:53-0600',mode:absolute,to:'2017-09-23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2" s="204" t="str">
        <f>IF(AA132&lt;VLOOKUP(AG132,Variables!$AC$3:$AD$8,2,FALSE),"Y","N")</f>
        <v>N</v>
      </c>
      <c r="X132" s="204">
        <f t="shared" si="66"/>
        <v>1</v>
      </c>
      <c r="Y132" s="204">
        <f t="shared" si="73"/>
        <v>4.7100000000000003E-2</v>
      </c>
      <c r="Z132" s="204">
        <f t="shared" si="74"/>
        <v>23.327200000000001</v>
      </c>
      <c r="AA132" s="204">
        <f t="shared" si="46"/>
        <v>23.280100000000001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7"/>
        <v>217</v>
      </c>
      <c r="AE132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32" s="74" t="str">
        <f t="shared" si="49"/>
        <v>"C:\Program Files (x86)\AstroGrep\AstroGrep.exe" /e /r /s /spath="%USERPROFILE%\AppData\Local\Temp\OnboardLogs" /stypes="app*4058*20170924*" /stext=" 00:.+((SYSTEM_STATE.+slice.+state.+changed )|(ment ac)|(multiple cpu faults)|(system.+state.+changed )|(\[timeout)|(PRM\|1\|D)|(kpr)|(kdp)|(train st.+moving)|(\|lc)|(penalty))"</v>
      </c>
      <c r="AG132" s="182" t="str">
        <f t="shared" si="50"/>
        <v>EC</v>
      </c>
      <c r="AH132" s="78" t="str">
        <f t="shared" si="51"/>
        <v>"%USERPROFILE%\Documents\GitHub\eaglep3\Utilities\RefineRTDCRunTimes.py" --tripid 217-23 --locoid 4058 --swversion DE.1.0.9.0 --startMP 204:471 --initTime 2017-09-23T18:10:53 --startdatetime 2017-09-23T18:15:16 --delay 99 --endMP 204:233272 --enddatetime 2017-09-23T18:50:22 --enforcementcount 0 &gt;&gt;c:\users\stu\Documents\GitHub\eaglep3-reporting\EC\2017-09-23-refined-times.txt</v>
      </c>
      <c r="AI13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{"issue":{"subject":"","project_id":79,"tracker_id":40,"status_id":1,"priority_id":2,"assigned_to_id":338,"start_date":"2017-09-23","description":"","custom_fields":[{"id":1,"name":"Subdivision","value":"EC"},{"id":4,"name":"Milepost","value":"23.3272"},{"id":17,"name":"Train ID","value":"217-23"},{"id":16,"name":"Locomotive ID","value":"4058"},{"id":130,"name":"Impact","value":""},{"id":150,"name":"Time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3"/>
        <v>start /low /b %USERPROFILE%\Documents\GitHub\eaglep3\Utilities\DownloadLogsFromS3.py --loco 4058 --day 2017-09-23</v>
      </c>
      <c r="AN132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5"/>
        <v>https://d0f6bd738d7f1b3e5a7ca70fe4ff75f0.us-east-1.aws.found.io/app/kibana#/discover/Steve-Slow-Train-Analysis-(2080s-and-2083s)?_g=(refreshInterval:(display:Off,pause:!f,section:0,value:0),time:(from:'2017-09-23T17:10:53-0600',mode:absolute,to:'2017-09-23T19:50:22-0600'))&amp;_a=(columns:!('Message%20ID',Summary),filters:!(),index:'emp_*',interval:auto,query:(query_string:(analyze_wildcard:!t,query:'Message%5C+ID:(*)+AND+%22rtdc.l.rtdc.4058%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608</v>
      </c>
      <c r="B133" s="7">
        <v>4057</v>
      </c>
      <c r="C133" s="21" t="s">
        <v>196</v>
      </c>
      <c r="D133" s="21" t="s">
        <v>871</v>
      </c>
      <c r="E133" s="13">
        <v>43001.793564814812</v>
      </c>
      <c r="F133" s="13">
        <v>43001.800405092596</v>
      </c>
      <c r="G133" s="7">
        <v>69</v>
      </c>
      <c r="H133" s="21" t="s">
        <v>367</v>
      </c>
      <c r="I133" s="13">
        <v>43001.825578703705</v>
      </c>
      <c r="J133" s="7">
        <v>0</v>
      </c>
      <c r="K133" s="89" t="str">
        <f t="shared" si="40"/>
        <v>4057/4058</v>
      </c>
      <c r="L133" s="185" t="str">
        <f>VLOOKUP(A133,'Trips&amp;Operators'!$C$1:$G$99911,5,FALSE)</f>
        <v>ELBAUM MIKE</v>
      </c>
      <c r="M133" s="6">
        <f t="shared" si="41"/>
        <v>2.5173611109494232E-2</v>
      </c>
      <c r="N133" s="7">
        <f t="shared" si="67"/>
        <v>36.249999997671694</v>
      </c>
      <c r="O133" s="7"/>
      <c r="P133" s="7"/>
      <c r="Q133" s="22"/>
      <c r="R133" s="174"/>
      <c r="S133" s="221">
        <f t="shared" si="63"/>
        <v>1</v>
      </c>
      <c r="T133" s="174" t="str">
        <f t="shared" si="42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3"/>
        <v>https://d0f6bd738d7f1b3e5a7ca70fe4ff75f0.us-east-1.aws.found.io/app/kibana#/discover/Steve-Slow-Train-Analysis-(2080s-and-2083s)?_g=(refreshInterval:(display:Off,pause:!f,section:0,value:0),time:(from:'2017-09-23T18:02:44-0600',mode:absolute,to:'2017-09-23T20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3" s="204" t="str">
        <f>IF(AA133&lt;VLOOKUP(AG133,Variables!$AC$3:$AD$8,2,FALSE),"Y","N")</f>
        <v>N</v>
      </c>
      <c r="X133" s="204">
        <f t="shared" si="66"/>
        <v>1</v>
      </c>
      <c r="Y133" s="204">
        <f t="shared" si="73"/>
        <v>23.300999999999998</v>
      </c>
      <c r="Z133" s="204">
        <f t="shared" si="74"/>
        <v>1.5599999999999999E-2</v>
      </c>
      <c r="AA133" s="204">
        <f t="shared" si="46"/>
        <v>23.285399999999999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7"/>
        <v>218</v>
      </c>
      <c r="AE133" s="77" t="str">
        <f t="shared" si="48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33" s="74" t="str">
        <f t="shared" si="49"/>
        <v>"C:\Program Files (x86)\AstroGrep\AstroGrep.exe" /e /r /s /spath="%USERPROFILE%\AppData\Local\Temp\OnboardLogs" /stypes="app*4057*20170924*" /stext=" 01:.+((SYSTEM_STATE.+slice.+state.+changed )|(ment ac)|(multiple cpu faults)|(system.+state.+changed )|(\[timeout)|(PRM\|1\|D)|(kpr)|(kdp)|(train st.+moving)|(\|lc)|(penalty))"</v>
      </c>
      <c r="AG133" s="182" t="str">
        <f t="shared" si="50"/>
        <v>EC</v>
      </c>
      <c r="AH133" s="78" t="str">
        <f t="shared" si="51"/>
        <v>"%USERPROFILE%\Documents\GitHub\eaglep3\Utilities\RefineRTDCRunTimes.py" --tripid 218-23 --locoid 4057 --swversion DE.1.0.9.0 --startMP 204:233010 --initTime 2017-09-23T19:02:44 --startdatetime 2017-09-23T19:12:35 --delay 69 --endMP 204:156 --enddatetime 2017-09-23T19:48:50 --enforcementcount 0 &gt;&gt;c:\users\stu\Documents\GitHub\eaglep3-reporting\EC\2017-09-23-refined-times.txt</v>
      </c>
      <c r="AI13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{"issue":{"subject":"","project_id":79,"tracker_id":40,"status_id":1,"priority_id":2,"assigned_to_id":338,"start_date":"2017-09-23","description":"","custom_fields":[{"id":1,"name":"Subdivision","value":"EC"},{"id":4,"name":"Milepost","value":"0.0156"},{"id":17,"name":"Train ID","value":"218-23"},{"id":16,"name":"Locomotive ID","value":"4057"},{"id":130,"name":"Impact","value":""},{"id":150,"name":"Time of Event (Mountain Time)","value":"19:48:50"},{"id":151,"name":"Denver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3"/>
        <v>start /low /b %USERPROFILE%\Documents\GitHub\eaglep3\Utilities\DownloadLogsFromS3.py --loco 4057 --day 2017-09-23</v>
      </c>
      <c r="AN133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5"/>
        <v>https://d0f6bd738d7f1b3e5a7ca70fe4ff75f0.us-east-1.aws.found.io/app/kibana#/discover/Steve-Slow-Train-Analysis-(2080s-and-2083s)?_g=(refreshInterval:(display:Off,pause:!f,section:0,value:0),time:(from:'2017-09-23T18:02:44-0600',mode:absolute,to:'2017-09-23T20:48:50-0600'))&amp;_a=(columns:!('Message%20ID',Summary),filters:!(),index:'emp_*',interval:auto,query:(query_string:(analyze_wildcard:!t,query:'Message%5C+ID:(*)+AND+%22rtdc.l.rtdc.4057%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774</v>
      </c>
      <c r="B134" s="7">
        <v>4026</v>
      </c>
      <c r="C134" s="21" t="s">
        <v>196</v>
      </c>
      <c r="D134" s="21" t="s">
        <v>373</v>
      </c>
      <c r="E134" s="13">
        <v>43001.765659722223</v>
      </c>
      <c r="F134" s="13">
        <v>43001.771180555559</v>
      </c>
      <c r="G134" s="7">
        <v>70</v>
      </c>
      <c r="H134" s="21" t="s">
        <v>850</v>
      </c>
      <c r="I134" s="13">
        <v>43001.796041666668</v>
      </c>
      <c r="J134" s="7">
        <v>0</v>
      </c>
      <c r="K134" s="89" t="str">
        <f t="shared" si="40"/>
        <v>4025/4026</v>
      </c>
      <c r="L134" s="185" t="str">
        <f>VLOOKUP(A134,'Trips&amp;Operators'!$C$1:$G$99911,5,FALSE)</f>
        <v>PERKINS DARREN</v>
      </c>
      <c r="M134" s="6">
        <f t="shared" si="41"/>
        <v>2.4861111109203193E-2</v>
      </c>
      <c r="N134" s="7">
        <f t="shared" si="67"/>
        <v>35.799999997252598</v>
      </c>
      <c r="O134" s="7"/>
      <c r="P134" s="7"/>
      <c r="Q134" s="22"/>
      <c r="R134" s="174"/>
      <c r="S134" s="221">
        <f t="shared" si="63"/>
        <v>1</v>
      </c>
      <c r="T134" s="174" t="str">
        <f t="shared" si="42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3"/>
        <v>https://d0f6bd738d7f1b3e5a7ca70fe4ff75f0.us-east-1.aws.found.io/app/kibana#/discover/Steve-Slow-Train-Analysis-(2080s-and-2083s)?_g=(refreshInterval:(display:Off,pause:!f,section:0,value:0),time:(from:'2017-09-23T17:22:33-0600',mode:absolute,to:'2017-09-23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4" s="204" t="str">
        <f>IF(AA134&lt;VLOOKUP(AG134,Variables!$AC$3:$AD$8,2,FALSE),"Y","N")</f>
        <v>N</v>
      </c>
      <c r="X134" s="204">
        <f t="shared" si="66"/>
        <v>1</v>
      </c>
      <c r="Y134" s="204">
        <f t="shared" si="73"/>
        <v>4.6899999999999997E-2</v>
      </c>
      <c r="Z134" s="204">
        <f t="shared" si="74"/>
        <v>23.327200000000001</v>
      </c>
      <c r="AA134" s="204">
        <f t="shared" si="46"/>
        <v>23.2803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7"/>
        <v>219</v>
      </c>
      <c r="AE134" s="77" t="str">
        <f t="shared" si="48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34" s="74" t="str">
        <f t="shared" si="49"/>
        <v>"C:\Program Files (x86)\AstroGrep\AstroGrep.exe" /e /r /s /spath="%USERPROFILE%\AppData\Local\Temp\OnboardLogs" /stypes="app*4026*20170924*" /stext=" 01:.+((SYSTEM_STATE.+slice.+state.+changed )|(ment ac)|(multiple cpu faults)|(system.+state.+changed )|(\[timeout)|(PRM\|1\|D)|(kpr)|(kdp)|(train st.+moving)|(\|lc)|(penalty))"</v>
      </c>
      <c r="AG134" s="182" t="str">
        <f t="shared" si="50"/>
        <v>EC</v>
      </c>
      <c r="AH134" s="78" t="str">
        <f t="shared" si="51"/>
        <v>"%USERPROFILE%\Documents\GitHub\eaglep3\Utilities\RefineRTDCRunTimes.py" --tripid 219-23 --locoid 4026 --swversion DE.1.0.9.0 --startMP 204:469 --initTime 2017-09-23T18:22:33 --startdatetime 2017-09-23T18:30:30 --delay 70 --endMP 204:233272 --enddatetime 2017-09-23T19:06:18 --enforcementcount 0 &gt;&gt;c:\users\stu\Documents\GitHub\eaglep3-reporting\EC\2017-09-23-refined-times.txt</v>
      </c>
      <c r="AI134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{"issue":{"subject":"","project_id":79,"tracker_id":40,"status_id":1,"priority_id":2,"assigned_to_id":338,"start_date":"2017-09-23","description":"","custom_fields":[{"id":1,"name":"Subdivision","value":"EC"},{"id":4,"name":"Milepost","value":"23.3272"},{"id":17,"name":"Train ID","value":"219-23"},{"id":16,"name":"Locomotive ID","value":"4026"},{"id":130,"name":"Impact","value":""},{"id":150,"name":"Time of Event (Mountain Time)","value":"19:06:18"},{"id":151,"name":"Denver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3"/>
        <v>start /low /b %USERPROFILE%\Documents\GitHub\eaglep3\Utilities\DownloadLogsFromS3.py --loco 4026 --day 2017-09-23</v>
      </c>
      <c r="AN134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5"/>
        <v>https://d0f6bd738d7f1b3e5a7ca70fe4ff75f0.us-east-1.aws.found.io/app/kibana#/discover/Steve-Slow-Train-Analysis-(2080s-and-2083s)?_g=(refreshInterval:(display:Off,pause:!f,section:0,value:0),time:(from:'2017-09-23T17:22:33-0600',mode:absolute,to:'2017-09-23T20:06:18-0600'))&amp;_a=(columns:!('Message%20ID',Summary),filters:!(),index:'emp_*',interval:auto,query:(query_string:(analyze_wildcard:!t,query:'Message%5C+ID:(*)+AND+%22rtdc.l.rtdc.4026%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610</v>
      </c>
      <c r="B135" s="7">
        <v>4025</v>
      </c>
      <c r="C135" s="21" t="s">
        <v>196</v>
      </c>
      <c r="D135" s="21" t="s">
        <v>371</v>
      </c>
      <c r="E135" s="13">
        <v>43001.800902777781</v>
      </c>
      <c r="F135" s="13">
        <v>43001.810590277775</v>
      </c>
      <c r="G135" s="7">
        <v>81</v>
      </c>
      <c r="H135" s="21" t="s">
        <v>945</v>
      </c>
      <c r="I135" s="13">
        <v>43001.836759259262</v>
      </c>
      <c r="J135" s="7">
        <v>0</v>
      </c>
      <c r="K135" s="89" t="str">
        <f t="shared" si="40"/>
        <v>4025/4026</v>
      </c>
      <c r="L135" s="185" t="str">
        <f>VLOOKUP(A135,'Trips&amp;Operators'!$C$1:$G$99911,5,FALSE)</f>
        <v>PERKINS DARREN</v>
      </c>
      <c r="M135" s="6">
        <f t="shared" si="41"/>
        <v>2.6168981486989651E-2</v>
      </c>
      <c r="N135" s="7">
        <f t="shared" si="67"/>
        <v>37.683333341265097</v>
      </c>
      <c r="O135" s="7"/>
      <c r="P135" s="7"/>
      <c r="Q135" s="22"/>
      <c r="R135" s="174"/>
      <c r="S135" s="221">
        <f t="shared" ref="S135:S170" si="75">1/IF(AG135="EC",12,1)*SUM(U135:U135)</f>
        <v>1</v>
      </c>
      <c r="T135" s="174" t="str">
        <f t="shared" si="42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3"/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5" s="204" t="str">
        <f>IF(AA135&lt;VLOOKUP(AG135,Variables!$AC$3:$AD$8,2,FALSE),"Y","N")</f>
        <v>N</v>
      </c>
      <c r="X135" s="204">
        <f t="shared" si="66"/>
        <v>1</v>
      </c>
      <c r="Y135" s="204">
        <f t="shared" si="73"/>
        <v>23.297699999999999</v>
      </c>
      <c r="Z135" s="204">
        <f t="shared" si="74"/>
        <v>1.8700000000000001E-2</v>
      </c>
      <c r="AA135" s="204">
        <f t="shared" si="46"/>
        <v>23.279</v>
      </c>
      <c r="AB135" s="54" t="str">
        <f>VLOOKUP(A135,Enforcements!$C$7:$K$11,8,0)</f>
        <v>Bulletin (2)</v>
      </c>
      <c r="AC135" s="51" t="str">
        <f>VLOOKUP(A135,Enforcements!$C$7:$E$11,3,0)</f>
        <v>GRADE CROSSING</v>
      </c>
      <c r="AD135" s="179">
        <f t="shared" si="47"/>
        <v>220</v>
      </c>
      <c r="AE135" s="77" t="str">
        <f t="shared" si="48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35" s="74" t="str">
        <f t="shared" si="49"/>
        <v>"C:\Program Files (x86)\AstroGrep\AstroGrep.exe" /e /r /s /spath="%USERPROFILE%\AppData\Local\Temp\OnboardLogs" /stypes="app*4025*20170924*" /stext=" 02:.+((SYSTEM_STATE.+slice.+state.+changed )|(ment ac)|(multiple cpu faults)|(system.+state.+changed )|(\[timeout)|(PRM\|1\|D)|(kpr)|(kdp)|(train st.+moving)|(\|lc)|(penalty))"</v>
      </c>
      <c r="AG135" s="182" t="str">
        <f t="shared" si="50"/>
        <v>EC</v>
      </c>
      <c r="AH135" s="78" t="str">
        <f t="shared" si="51"/>
        <v>"%USERPROFILE%\Documents\GitHub\eaglep3\Utilities\RefineRTDCRunTimes.py" --tripid 220-23 --locoid 4025 --swversion DE.1.0.9.0 --startMP 204:232977 --initTime 2017-09-23T19:13:18 --startdatetime 2017-09-23T19:27:15 --delay 81 --endMP 204:187 --enddatetime 2017-09-23T20:04:56 --enforcementcount 0 &gt;&gt;c:\users\stu\Documents\GitHub\eaglep3-reporting\EC\2017-09-23-refined-times.txt</v>
      </c>
      <c r="AI135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{"issue":{"subject":"","project_id":79,"tracker_id":40,"status_id":1,"priority_id":2,"assigned_to_id":338,"start_date":"2017-09-23","description":"","custom_fields":[{"id":1,"name":"Subdivision","value":"EC"},{"id":4,"name":"Milepost","value":"0.0187"},{"id":17,"name":"Train ID","value":"220-23"},{"id":16,"name":"Locomotive ID","value":"4025"},{"id":130,"name":"Impact","value":""},{"id":150,"name":"Time of Event (Mountain Time)","value":"20:04:56"},{"id":151,"name":"Denver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3"/>
        <v>start /low /b %USERPROFILE%\Documents\GitHub\eaglep3\Utilities\DownloadLogsFromS3.py --loco 4025 --day 2017-09-23</v>
      </c>
      <c r="AN135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5"/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Message%20ID',Summary),filters:!(),index:'emp_*',interval:auto,query:(query_string:(analyze_wildcard:!t,query:'Message%5C+ID:(*)+AND+%22rtdc.l.rtdc.4025%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779</v>
      </c>
      <c r="B136" s="7">
        <v>4028</v>
      </c>
      <c r="C136" s="21" t="s">
        <v>196</v>
      </c>
      <c r="D136" s="21" t="s">
        <v>406</v>
      </c>
      <c r="E136" s="13">
        <v>43001.789664351854</v>
      </c>
      <c r="F136" s="13">
        <v>43001.792395833334</v>
      </c>
      <c r="G136" s="7">
        <v>122</v>
      </c>
      <c r="H136" s="21" t="s">
        <v>502</v>
      </c>
      <c r="I136" s="13">
        <v>43001.816655092596</v>
      </c>
      <c r="J136" s="7">
        <v>0</v>
      </c>
      <c r="K136" s="89" t="str">
        <f t="shared" si="40"/>
        <v>4027/4028</v>
      </c>
      <c r="L136" s="185" t="str">
        <f>VLOOKUP(A136,'Trips&amp;Operators'!$C$1:$G$99911,5,FALSE)</f>
        <v>HART KEVIN</v>
      </c>
      <c r="M136" s="6">
        <f t="shared" si="41"/>
        <v>2.4259259262180422E-2</v>
      </c>
      <c r="N136" s="7">
        <f t="shared" si="67"/>
        <v>34.933333337539807</v>
      </c>
      <c r="O136" s="7"/>
      <c r="P136" s="7"/>
      <c r="Q136" s="22"/>
      <c r="R136" s="174"/>
      <c r="S136" s="221">
        <f t="shared" si="75"/>
        <v>1</v>
      </c>
      <c r="T136" s="174" t="str">
        <f t="shared" si="42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3"/>
        <v>https://d0f6bd738d7f1b3e5a7ca70fe4ff75f0.us-east-1.aws.found.io/app/kibana#/discover/Steve-Slow-Train-Analysis-(2080s-and-2083s)?_g=(refreshInterval:(display:Off,pause:!f,section:0,value:0),time:(from:'2017-09-23T17:57:07-0600',mode:absolute,to:'2017-09-23T20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>IF(AA136&lt;VLOOKUP(AG136,Variables!$AC$3:$AD$8,2,FALSE),"Y","N")</f>
        <v>N</v>
      </c>
      <c r="X136" s="204">
        <f t="shared" ref="X136:X160" si="76">VALUE(LEFT(AD136,4))-VALUE(LEFT(AD135,4))</f>
        <v>1</v>
      </c>
      <c r="Y136" s="204">
        <f t="shared" si="73"/>
        <v>4.6600000000000003E-2</v>
      </c>
      <c r="Z136" s="204">
        <f t="shared" si="74"/>
        <v>23.333600000000001</v>
      </c>
      <c r="AA136" s="204">
        <f t="shared" si="46"/>
        <v>23.286999999999999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7"/>
        <v>221</v>
      </c>
      <c r="AE136" s="77" t="str">
        <f t="shared" si="48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36" s="74" t="str">
        <f t="shared" si="49"/>
        <v>"C:\Program Files (x86)\AstroGrep\AstroGrep.exe" /e /r /s /spath="%USERPROFILE%\AppData\Local\Temp\OnboardLogs" /stypes="app*4028*20170924*" /stext=" 01:.+((SYSTEM_STATE.+slice.+state.+changed )|(ment ac)|(multiple cpu faults)|(system.+state.+changed )|(\[timeout)|(PRM\|1\|D)|(kpr)|(kdp)|(train st.+moving)|(\|lc)|(penalty))"</v>
      </c>
      <c r="AG136" s="182" t="str">
        <f t="shared" si="50"/>
        <v>EC</v>
      </c>
      <c r="AH136" s="78" t="str">
        <f t="shared" si="51"/>
        <v>"%USERPROFILE%\Documents\GitHub\eaglep3\Utilities\RefineRTDCRunTimes.py" --tripid 221-23 --locoid 4028 --swversion DE.1.0.9.0 --startMP 204:466 --initTime 2017-09-23T18:57:07 --startdatetime 2017-09-23T19:01:03 --delay 122 --endMP 204:233336 --enddatetime 2017-09-23T19:35:59 --enforcementcount 0 &gt;&gt;c:\users\stu\Documents\GitHub\eaglep3-reporting\EC\2017-09-23-refined-times.txt</v>
      </c>
      <c r="AI136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{"issue":{"subject":"","project_id":79,"tracker_id":40,"status_id":1,"priority_id":2,"assigned_to_id":338,"start_date":"2017-09-23","description":"","custom_fields":[{"id":1,"name":"Subdivision","value":"EC"},{"id":4,"name":"Milepost","value":"23.3336"},{"id":17,"name":"Train ID","value":"221-23"},{"id":16,"name":"Locomotive ID","value":"4028"},{"id":130,"name":"Impact","value":""},{"id":150,"name":"Time of Event (Mountain Time)","value":"19:35:59"},{"id":151,"name":"Denver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3"/>
        <v>start /low /b %USERPROFILE%\Documents\GitHub\eaglep3\Utilities\DownloadLogsFromS3.py --loco 4028 --day 2017-09-23</v>
      </c>
      <c r="AN136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5"/>
        <v>https://d0f6bd738d7f1b3e5a7ca70fe4ff75f0.us-east-1.aws.found.io/app/kibana#/discover/Steve-Slow-Train-Analysis-(2080s-and-2083s)?_g=(refreshInterval:(display:Off,pause:!f,section:0,value:0),time:(from:'2017-09-23T17:57:07-0600',mode:absolute,to:'2017-09-23T20:35:59-0600'))&amp;_a=(columns:!('Message%20ID',Summary),filters:!(),index:'emp_*',interval:auto,query:(query_string:(analyze_wildcard:!t,query:'Message%5C+ID:(*)+AND+%22rtdc.l.rtdc.4028%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611</v>
      </c>
      <c r="B137" s="7">
        <v>4027</v>
      </c>
      <c r="C137" s="21" t="s">
        <v>196</v>
      </c>
      <c r="D137" s="21" t="s">
        <v>910</v>
      </c>
      <c r="E137" s="13">
        <v>43001.828310185185</v>
      </c>
      <c r="F137" s="13">
        <v>43001.831446759257</v>
      </c>
      <c r="G137" s="7">
        <v>69</v>
      </c>
      <c r="H137" s="21" t="s">
        <v>374</v>
      </c>
      <c r="I137" s="13">
        <v>43001.857083333336</v>
      </c>
      <c r="J137" s="7">
        <v>0</v>
      </c>
      <c r="K137" s="89" t="str">
        <f t="shared" si="40"/>
        <v>4027/4028</v>
      </c>
      <c r="L137" s="185" t="str">
        <f>VLOOKUP(A137,'Trips&amp;Operators'!$C$1:$G$99911,5,FALSE)</f>
        <v>HART KEVIN</v>
      </c>
      <c r="M137" s="6">
        <f t="shared" si="41"/>
        <v>2.5636574078816921E-2</v>
      </c>
      <c r="N137" s="7">
        <f t="shared" si="67"/>
        <v>36.916666673496366</v>
      </c>
      <c r="O137" s="7"/>
      <c r="P137" s="7"/>
      <c r="Q137" s="22"/>
      <c r="R137" s="174"/>
      <c r="S137" s="221">
        <f t="shared" si="75"/>
        <v>1</v>
      </c>
      <c r="T137" s="174" t="str">
        <f t="shared" si="42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3"/>
        <v>https://d0f6bd738d7f1b3e5a7ca70fe4ff75f0.us-east-1.aws.found.io/app/kibana#/discover/Steve-Slow-Train-Analysis-(2080s-and-2083s)?_g=(refreshInterval:(display:Off,pause:!f,section:0,value:0),time:(from:'2017-09-23T18:52:46-0600',mode:absolute,to:'2017-09-23T21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>IF(AA137&lt;VLOOKUP(AG137,Variables!$AC$3:$AD$8,2,FALSE),"Y","N")</f>
        <v>N</v>
      </c>
      <c r="X137" s="204">
        <f t="shared" si="76"/>
        <v>1</v>
      </c>
      <c r="Y137" s="204">
        <f t="shared" si="73"/>
        <v>23.298300000000001</v>
      </c>
      <c r="Z137" s="204">
        <f t="shared" si="74"/>
        <v>1.61E-2</v>
      </c>
      <c r="AA137" s="204">
        <f t="shared" si="46"/>
        <v>23.2822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7"/>
        <v>222</v>
      </c>
      <c r="AE137" s="77" t="str">
        <f t="shared" si="48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37" s="74" t="str">
        <f t="shared" si="49"/>
        <v>"C:\Program Files (x86)\AstroGrep\AstroGrep.exe" /e /r /s /spath="%USERPROFILE%\AppData\Local\Temp\OnboardLogs" /stypes="app*4027*20170924*" /stext=" 02:.+((SYSTEM_STATE.+slice.+state.+changed )|(ment ac)|(multiple cpu faults)|(system.+state.+changed )|(\[timeout)|(PRM\|1\|D)|(kpr)|(kdp)|(train st.+moving)|(\|lc)|(penalty))"</v>
      </c>
      <c r="AG137" s="182" t="str">
        <f t="shared" si="50"/>
        <v>EC</v>
      </c>
      <c r="AH137" s="78" t="str">
        <f t="shared" si="51"/>
        <v>"%USERPROFILE%\Documents\GitHub\eaglep3\Utilities\RefineRTDCRunTimes.py" --tripid 222-23 --locoid 4027 --swversion DE.1.0.9.0 --startMP 204:232983 --initTime 2017-09-23T19:52:46 --startdatetime 2017-09-23T19:57:17 --delay 69 --endMP 204:161 --enddatetime 2017-09-23T20:34:12 --enforcementcount 0 &gt;&gt;c:\users\stu\Documents\GitHub\eaglep3-reporting\EC\2017-09-23-refined-times.txt</v>
      </c>
      <c r="AI137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{"issue":{"subject":"","project_id":79,"tracker_id":40,"status_id":1,"priority_id":2,"assigned_to_id":338,"start_date":"2017-09-23","description":"","custom_fields":[{"id":1,"name":"Subdivision","value":"EC"},{"id":4,"name":"Milepost","value":"0.0161"},{"id":17,"name":"Train ID","value":"222-23"},{"id":16,"name":"Locomotive ID","value":"4027"},{"id":130,"name":"Impact","value":""},{"id":150,"name":"Time of Event (Mountain Time)","value":"20:34:12"},{"id":151,"name":"Denver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3"/>
        <v>start /low /b %USERPROFILE%\Documents\GitHub\eaglep3\Utilities\DownloadLogsFromS3.py --loco 4027 --day 2017-09-23</v>
      </c>
      <c r="AN137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5"/>
        <v>https://d0f6bd738d7f1b3e5a7ca70fe4ff75f0.us-east-1.aws.found.io/app/kibana#/discover/Steve-Slow-Train-Analysis-(2080s-and-2083s)?_g=(refreshInterval:(display:Off,pause:!f,section:0,value:0),time:(from:'2017-09-23T18:52:46-0600',mode:absolute,to:'2017-09-23T21:34:12-0600'))&amp;_a=(columns:!('Message%20ID',Summary),filters:!(),index:'emp_*',interval:auto,query:(query_string:(analyze_wildcard:!t,query:'Message%5C+ID:(*)+AND+%22rtdc.l.rtdc.4027%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782</v>
      </c>
      <c r="B138" s="7">
        <v>4040</v>
      </c>
      <c r="C138" s="21" t="s">
        <v>196</v>
      </c>
      <c r="D138" s="21" t="s">
        <v>393</v>
      </c>
      <c r="E138" s="13">
        <v>43001.808796296296</v>
      </c>
      <c r="F138" s="13">
        <v>43001.812743055554</v>
      </c>
      <c r="G138" s="7">
        <v>59</v>
      </c>
      <c r="H138" s="21" t="s">
        <v>946</v>
      </c>
      <c r="I138" s="13">
        <v>43001.837905092594</v>
      </c>
      <c r="J138" s="7">
        <v>0</v>
      </c>
      <c r="K138" s="89" t="str">
        <f t="shared" si="40"/>
        <v>4039/4040</v>
      </c>
      <c r="L138" s="185" t="str">
        <f>VLOOKUP(A138,'Trips&amp;Operators'!$C$1:$G$99911,5,FALSE)</f>
        <v>FORTUNATO FRANK</v>
      </c>
      <c r="M138" s="6">
        <f t="shared" si="41"/>
        <v>2.5162037039990537E-2</v>
      </c>
      <c r="N138" s="7">
        <f t="shared" si="67"/>
        <v>36.233333337586373</v>
      </c>
      <c r="O138" s="7"/>
      <c r="P138" s="7"/>
      <c r="Q138" s="22"/>
      <c r="R138" s="174"/>
      <c r="S138" s="221">
        <f t="shared" si="75"/>
        <v>1</v>
      </c>
      <c r="T138" s="174" t="str">
        <f t="shared" si="42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3"/>
        <v>https://d0f6bd738d7f1b3e5a7ca70fe4ff75f0.us-east-1.aws.found.io/app/kibana#/discover/Steve-Slow-Train-Analysis-(2080s-and-2083s)?_g=(refreshInterval:(display:Off,pause:!f,section:0,value:0),time:(from:'2017-09-23T18:24:40-0600',mode:absolute,to:'2017-09-23T21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8" s="204" t="str">
        <f>IF(AA138&lt;VLOOKUP(AG138,Variables!$AC$3:$AD$8,2,FALSE),"Y","N")</f>
        <v>N</v>
      </c>
      <c r="X138" s="204">
        <f t="shared" si="76"/>
        <v>1</v>
      </c>
      <c r="Y138" s="204">
        <f t="shared" si="73"/>
        <v>4.6199999999999998E-2</v>
      </c>
      <c r="Z138" s="204">
        <f t="shared" si="74"/>
        <v>23.337</v>
      </c>
      <c r="AA138" s="204">
        <f t="shared" si="46"/>
        <v>23.290800000000001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7"/>
        <v>223</v>
      </c>
      <c r="AE138" s="77" t="str">
        <f t="shared" si="48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38" s="74" t="str">
        <f t="shared" si="49"/>
        <v>"C:\Program Files (x86)\AstroGrep\AstroGrep.exe" /e /r /s /spath="%USERPROFILE%\AppData\Local\Temp\OnboardLogs" /stypes="app*4040*20170924*" /stext=" 02:.+((SYSTEM_STATE.+slice.+state.+changed )|(ment ac)|(multiple cpu faults)|(system.+state.+changed )|(\[timeout)|(PRM\|1\|D)|(kpr)|(kdp)|(train st.+moving)|(\|lc)|(penalty))"</v>
      </c>
      <c r="AG138" s="182" t="str">
        <f t="shared" si="50"/>
        <v>EC</v>
      </c>
      <c r="AH138" s="78" t="str">
        <f t="shared" si="51"/>
        <v>"%USERPROFILE%\Documents\GitHub\eaglep3\Utilities\RefineRTDCRunTimes.py" --tripid 223-23 --locoid 4040 --swversion DE.1.0.9.0 --startMP 204:462 --initTime 2017-09-23T19:24:40 --startdatetime 2017-09-23T19:30:21 --delay 59 --endMP 204:233370 --enddatetime 2017-09-23T20:06:35 --enforcementcount 0 &gt;&gt;c:\users\stu\Documents\GitHub\eaglep3-reporting\EC\2017-09-23-refined-times.txt</v>
      </c>
      <c r="AI138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{"issue":{"subject":"","project_id":79,"tracker_id":40,"status_id":1,"priority_id":2,"assigned_to_id":338,"start_date":"2017-09-23","description":"","custom_fields":[{"id":1,"name":"Subdivision","value":"EC"},{"id":4,"name":"Milepost","value":"23.337"},{"id":17,"name":"Train ID","value":"223-23"},{"id":16,"name":"Locomotive ID","value":"4040"},{"id":130,"name":"Impact","value":""},{"id":150,"name":"Time of Event (Mountain Time)","value":"20:06:35"},{"id":151,"name":"Denver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3"/>
        <v>start /low /b %USERPROFILE%\Documents\GitHub\eaglep3\Utilities\DownloadLogsFromS3.py --loco 4040 --day 2017-09-23</v>
      </c>
      <c r="AN138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5"/>
        <v>https://d0f6bd738d7f1b3e5a7ca70fe4ff75f0.us-east-1.aws.found.io/app/kibana#/discover/Steve-Slow-Train-Analysis-(2080s-and-2083s)?_g=(refreshInterval:(display:Off,pause:!f,section:0,value:0),time:(from:'2017-09-23T18:24:40-0600',mode:absolute,to:'2017-09-23T21:06:35-0600'))&amp;_a=(columns:!('Message%20ID',Summary),filters:!(),index:'emp_*',interval:auto,query:(query_string:(analyze_wildcard:!t,query:'Message%5C+ID:(*)+AND+%22rtdc.l.rtdc.4040%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788</v>
      </c>
      <c r="B139" s="7">
        <v>4039</v>
      </c>
      <c r="C139" s="21" t="s">
        <v>196</v>
      </c>
      <c r="D139" s="21" t="s">
        <v>947</v>
      </c>
      <c r="E139" s="13">
        <v>43001.839386574073</v>
      </c>
      <c r="F139" s="13">
        <v>43001.852222222224</v>
      </c>
      <c r="G139" s="7">
        <v>55</v>
      </c>
      <c r="H139" s="21" t="s">
        <v>403</v>
      </c>
      <c r="I139" s="13">
        <v>43001.879201388889</v>
      </c>
      <c r="J139" s="7">
        <v>0</v>
      </c>
      <c r="K139" s="89" t="str">
        <f t="shared" si="40"/>
        <v>4039/4040</v>
      </c>
      <c r="L139" s="185" t="str">
        <f>VLOOKUP(A139,'Trips&amp;Operators'!$C$1:$G$99911,5,FALSE)</f>
        <v>FORTUNATO FRANK</v>
      </c>
      <c r="M139" s="6">
        <f t="shared" si="41"/>
        <v>2.6979166665114462E-2</v>
      </c>
      <c r="N139" s="7">
        <f t="shared" si="67"/>
        <v>38.849999997764826</v>
      </c>
      <c r="O139" s="7"/>
      <c r="P139" s="7"/>
      <c r="Q139" s="22"/>
      <c r="R139" s="174"/>
      <c r="S139" s="221">
        <f t="shared" si="75"/>
        <v>1</v>
      </c>
      <c r="T139" s="174" t="str">
        <f t="shared" si="42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3"/>
        <v>https://d0f6bd738d7f1b3e5a7ca70fe4ff75f0.us-east-1.aws.found.io/app/kibana#/discover/Steve-Slow-Train-Analysis-(2080s-and-2083s)?_g=(refreshInterval:(display:Off,pause:!f,section:0,value:0),time:(from:'2017-09-23T19:08:43-0600',mode:absolute,to:'2017-09-23T22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9" s="204" t="str">
        <f>IF(AA139&lt;VLOOKUP(AG139,Variables!$AC$3:$AD$8,2,FALSE),"Y","N")</f>
        <v>N</v>
      </c>
      <c r="X139" s="204">
        <f t="shared" si="76"/>
        <v>1</v>
      </c>
      <c r="Y139" s="204">
        <f t="shared" si="73"/>
        <v>23.305700000000002</v>
      </c>
      <c r="Z139" s="204">
        <f t="shared" si="74"/>
        <v>1.54E-2</v>
      </c>
      <c r="AA139" s="204">
        <f t="shared" si="46"/>
        <v>23.290300000000002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7"/>
        <v>224</v>
      </c>
      <c r="AE139" s="77" t="str">
        <f t="shared" si="48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39" s="74" t="str">
        <f t="shared" si="49"/>
        <v>"C:\Program Files (x86)\AstroGrep\AstroGrep.exe" /e /r /s /spath="%USERPROFILE%\AppData\Local\Temp\OnboardLogs" /stypes="app*4039*20170924*" /stext=" 03:.+((SYSTEM_STATE.+slice.+state.+changed )|(ment ac)|(multiple cpu faults)|(system.+state.+changed )|(\[timeout)|(PRM\|1\|D)|(kpr)|(kdp)|(train st.+moving)|(\|lc)|(penalty))"</v>
      </c>
      <c r="AG139" s="182" t="str">
        <f t="shared" si="50"/>
        <v>EC</v>
      </c>
      <c r="AH139" s="78" t="str">
        <f t="shared" si="51"/>
        <v>"%USERPROFILE%\Documents\GitHub\eaglep3\Utilities\RefineRTDCRunTimes.py" --tripid 224-23 --locoid 4039 --swversion DE.1.0.9.0 --startMP 204:233057 --initTime 2017-09-23T20:08:43 --startdatetime 2017-09-23T20:27:12 --delay 55 --endMP 204:154 --enddatetime 2017-09-23T21:06:03 --enforcementcount 0 &gt;&gt;c:\users\stu\Documents\GitHub\eaglep3-reporting\EC\2017-09-23-refined-times.txt</v>
      </c>
      <c r="AI139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{"issue":{"subject":"","project_id":79,"tracker_id":40,"status_id":1,"priority_id":2,"assigned_to_id":338,"start_date":"2017-09-23","description":"","custom_fields":[{"id":1,"name":"Subdivision","value":"EC"},{"id":4,"name":"Milepost","value":"0.0154"},{"id":17,"name":"Train ID","value":"224-23"},{"id":16,"name":"Locomotive ID","value":"4039"},{"id":130,"name":"Impact","value":""},{"id":150,"name":"Time of Event (Mountain Time)","value":"21:06:03"},{"id":151,"name":"Denver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3"/>
        <v>start /low /b %USERPROFILE%\Documents\GitHub\eaglep3\Utilities\DownloadLogsFromS3.py --loco 4039 --day 2017-09-23</v>
      </c>
      <c r="AN139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5"/>
        <v>https://d0f6bd738d7f1b3e5a7ca70fe4ff75f0.us-east-1.aws.found.io/app/kibana#/discover/Steve-Slow-Train-Analysis-(2080s-and-2083s)?_g=(refreshInterval:(display:Off,pause:!f,section:0,value:0),time:(from:'2017-09-23T19:08:43-0600',mode:absolute,to:'2017-09-23T22:06:03-0600'))&amp;_a=(columns:!('Message%20ID',Summary),filters:!(),index:'emp_*',interval:auto,query:(query_string:(analyze_wildcard:!t,query:'Message%5C+ID:(*)+AND+%22rtdc.l.rtdc.4039%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785</v>
      </c>
      <c r="B140" s="7">
        <v>4058</v>
      </c>
      <c r="C140" s="21" t="s">
        <v>196</v>
      </c>
      <c r="D140" s="21" t="s">
        <v>878</v>
      </c>
      <c r="E140" s="13">
        <v>43001.826643518521</v>
      </c>
      <c r="F140" s="13">
        <v>43001.833483796298</v>
      </c>
      <c r="G140" s="7">
        <v>60</v>
      </c>
      <c r="H140" s="21" t="s">
        <v>423</v>
      </c>
      <c r="I140" s="13">
        <v>43001.857511574075</v>
      </c>
      <c r="J140" s="7">
        <v>0</v>
      </c>
      <c r="K140" s="89" t="str">
        <f t="shared" si="40"/>
        <v>4057/4058</v>
      </c>
      <c r="L140" s="185" t="str">
        <f>VLOOKUP(A140,'Trips&amp;Operators'!$C$1:$G$99911,5,FALSE)</f>
        <v>ELBAUM MIKE</v>
      </c>
      <c r="M140" s="6">
        <f t="shared" si="41"/>
        <v>2.4027777777519077E-2</v>
      </c>
      <c r="N140" s="7">
        <f t="shared" si="67"/>
        <v>34.599999999627471</v>
      </c>
      <c r="O140" s="7"/>
      <c r="P140" s="7"/>
      <c r="Q140" s="22"/>
      <c r="R140" s="174"/>
      <c r="S140" s="221">
        <f t="shared" si="75"/>
        <v>1</v>
      </c>
      <c r="T140" s="174" t="str">
        <f t="shared" si="42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3"/>
        <v>https://d0f6bd738d7f1b3e5a7ca70fe4ff75f0.us-east-1.aws.found.io/app/kibana#/discover/Steve-Slow-Train-Analysis-(2080s-and-2083s)?_g=(refreshInterval:(display:Off,pause:!f,section:0,value:0),time:(from:'2017-09-23T18:50:22-0600',mode:absolute,to:'2017-09-23T21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0" s="204" t="str">
        <f>IF(AA140&lt;VLOOKUP(AG140,Variables!$AC$3:$AD$8,2,FALSE),"Y","N")</f>
        <v>N</v>
      </c>
      <c r="X140" s="204">
        <f t="shared" si="76"/>
        <v>1</v>
      </c>
      <c r="Y140" s="204">
        <f t="shared" si="73"/>
        <v>4.7699999999999999E-2</v>
      </c>
      <c r="Z140" s="204">
        <f t="shared" si="74"/>
        <v>23.3325</v>
      </c>
      <c r="AA140" s="204">
        <f t="shared" si="46"/>
        <v>23.284800000000001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7"/>
        <v>225</v>
      </c>
      <c r="AE140" s="77" t="str">
        <f t="shared" si="48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40" s="74" t="str">
        <f t="shared" si="49"/>
        <v>"C:\Program Files (x86)\AstroGrep\AstroGrep.exe" /e /r /s /spath="%USERPROFILE%\AppData\Local\Temp\OnboardLogs" /stypes="app*4058*20170924*" /stext=" 02:.+((SYSTEM_STATE.+slice.+state.+changed )|(ment ac)|(multiple cpu faults)|(system.+state.+changed )|(\[timeout)|(PRM\|1\|D)|(kpr)|(kdp)|(train st.+moving)|(\|lc)|(penalty))"</v>
      </c>
      <c r="AG140" s="182" t="str">
        <f t="shared" si="50"/>
        <v>EC</v>
      </c>
      <c r="AH140" s="78" t="str">
        <f t="shared" si="51"/>
        <v>"%USERPROFILE%\Documents\GitHub\eaglep3\Utilities\RefineRTDCRunTimes.py" --tripid 225-23 --locoid 4058 --swversion DE.1.0.9.0 --startMP 204:477 --initTime 2017-09-23T19:50:22 --startdatetime 2017-09-23T20:00:13 --delay 60 --endMP 204:233325 --enddatetime 2017-09-23T20:34:49 --enforcementcount 0 &gt;&gt;c:\users\stu\Documents\GitHub\eaglep3-reporting\EC\2017-09-23-refined-times.txt</v>
      </c>
      <c r="AI140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{"issue":{"subject":"","project_id":79,"tracker_id":40,"status_id":1,"priority_id":2,"assigned_to_id":338,"start_date":"2017-09-23","description":"","custom_fields":[{"id":1,"name":"Subdivision","value":"EC"},{"id":4,"name":"Milepost","value":"23.3325"},{"id":17,"name":"Train ID","value":"225-23"},{"id":16,"name":"Locomotive ID","value":"4058"},{"id":130,"name":"Impact","value":""},{"id":150,"name":"Time of Event (Mountain Time)","value":"20:34:49"},{"id":151,"name":"Denver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3"/>
        <v>start /low /b %USERPROFILE%\Documents\GitHub\eaglep3\Utilities\DownloadLogsFromS3.py --loco 4058 --day 2017-09-23</v>
      </c>
      <c r="AN140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55"/>
        <v>https://d0f6bd738d7f1b3e5a7ca70fe4ff75f0.us-east-1.aws.found.io/app/kibana#/discover/Steve-Slow-Train-Analysis-(2080s-and-2083s)?_g=(refreshInterval:(display:Off,pause:!f,section:0,value:0),time:(from:'2017-09-23T18:50:22-0600',mode:absolute,to:'2017-09-23T21:34:49-0600'))&amp;_a=(columns:!('Message%20ID',Summary),filters:!(),index:'emp_*',interval:auto,query:(query_string:(analyze_wildcard:!t,query:'Message%5C+ID:(*)+AND+%22rtdc.l.rtdc.4058%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790</v>
      </c>
      <c r="B141" s="7">
        <v>4057</v>
      </c>
      <c r="C141" s="21" t="s">
        <v>196</v>
      </c>
      <c r="D141" s="21" t="s">
        <v>855</v>
      </c>
      <c r="E141" s="13">
        <v>43001.858472222222</v>
      </c>
      <c r="F141" s="13">
        <v>43001.873078703706</v>
      </c>
      <c r="G141" s="7">
        <v>72</v>
      </c>
      <c r="H141" s="21" t="s">
        <v>340</v>
      </c>
      <c r="I141" s="13">
        <v>43001.898773148147</v>
      </c>
      <c r="J141" s="7">
        <v>0</v>
      </c>
      <c r="K141" s="89" t="str">
        <f t="shared" ref="K141:K204" si="77">IF(ISEVEN(B141),(B141-1)&amp;"/"&amp;B141,B141&amp;"/"&amp;(B141+1))</f>
        <v>4057/4058</v>
      </c>
      <c r="L141" s="185" t="str">
        <f>VLOOKUP(A141,'Trips&amp;Operators'!$C$1:$G$99911,5,FALSE)</f>
        <v>ELBAUM MIKE</v>
      </c>
      <c r="M141" s="6">
        <f t="shared" ref="M141:M204" si="78">I141-F141</f>
        <v>2.569444444088731E-2</v>
      </c>
      <c r="N141" s="7">
        <f t="shared" si="67"/>
        <v>36.999999994877726</v>
      </c>
      <c r="O141" s="7"/>
      <c r="P141" s="7"/>
      <c r="Q141" s="22"/>
      <c r="R141" s="174"/>
      <c r="S141" s="221">
        <f t="shared" si="75"/>
        <v>1</v>
      </c>
      <c r="T141" s="174" t="str">
        <f t="shared" ref="T141:T204" si="79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8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-23T19:36:12-0600',mode:absolute,to:'2017-09-23T22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1" s="204" t="str">
        <f>IF(AA141&lt;VLOOKUP(AG141,Variables!$AC$3:$AD$8,2,FALSE),"Y","N")</f>
        <v>N</v>
      </c>
      <c r="X141" s="204">
        <f t="shared" si="76"/>
        <v>1</v>
      </c>
      <c r="Y141" s="204">
        <f t="shared" si="73"/>
        <v>23.3017</v>
      </c>
      <c r="Z141" s="204">
        <f t="shared" si="74"/>
        <v>1.41E-2</v>
      </c>
      <c r="AA141" s="204">
        <f t="shared" ref="AA141:AA204" si="81">ABS(Z141-Y141)</f>
        <v>23.287600000000001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82">VALUE(LEFT(A141,LEN(A141)-3))</f>
        <v>226</v>
      </c>
      <c r="AE141" s="77" t="str">
        <f t="shared" ref="AE141:AE204" si="8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41" s="74" t="str">
        <f t="shared" ref="AF141:AF204" si="8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/stypes="app*4057*20170924*"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85">DetSubdiv(A141)</f>
        <v>EC</v>
      </c>
      <c r="AH141" s="78" t="str">
        <f t="shared" si="51"/>
        <v>"%USERPROFILE%\Documents\GitHub\eaglep3\Utilities\RefineRTDCRunTimes.py" --tripid 226-23 --locoid 4057 --swversion DE.1.0.9.0 --startMP 204:233017 --initTime 2017-09-23T20:36:12 --startdatetime 2017-09-23T20:57:14 --delay 72 --endMP 204:141 --enddatetime 2017-09-23T21:34:14 --enforcementcount 0 &gt;&gt;c:\users\stu\Documents\GitHub\eaglep3-reporting\EC\2017-09-23-refined-times.txt</v>
      </c>
      <c r="AI141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{"issue":{"subject":"","project_id":79,"tracker_id":40,"status_id":1,"priority_id":2,"assigned_to_id":338,"start_date":"2017-09-23","description":"","custom_fields":[{"id":1,"name":"Subdivision","value":"EC"},{"id":4,"name":"Milepost","value":"0.0141"},{"id":17,"name":"Train ID","value":"226-23"},{"id":16,"name":"Locomotive ID","value":"4057"},{"id":130,"name":"Impact","value":""},{"id":150,"name":"Time of Event (Mountain Time)","value":"21:34:14"},{"id":151,"name":"Denver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3"/>
        <v>start /low /b %USERPROFILE%\Documents\GitHub\eaglep3\Utilities\DownloadLogsFromS3.py --loco 4057 --day 2017-09-23</v>
      </c>
      <c r="AN141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5"/>
        <v>https://d0f6bd738d7f1b3e5a7ca70fe4ff75f0.us-east-1.aws.found.io/app/kibana#/discover/Steve-Slow-Train-Analysis-(2080s-and-2083s)?_g=(refreshInterval:(display:Off,pause:!f,section:0,value:0),time:(from:'2017-09-23T19:36:12-0600',mode:absolute,to:'2017-09-23T22:34:14-0600'))&amp;_a=(columns:!('Message%20ID',Summary),filters:!(),index:'emp_*',interval:auto,query:(query_string:(analyze_wildcard:!t,query:'Message%5C+ID:(*)+AND+%22rtdc.l.rtdc.4057%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787</v>
      </c>
      <c r="B142" s="7">
        <v>4026</v>
      </c>
      <c r="C142" s="21" t="s">
        <v>196</v>
      </c>
      <c r="D142" s="21" t="s">
        <v>862</v>
      </c>
      <c r="E142" s="13">
        <v>43001.838495370372</v>
      </c>
      <c r="F142" s="13">
        <v>43001.854594907411</v>
      </c>
      <c r="G142" s="7">
        <v>54</v>
      </c>
      <c r="H142" s="21" t="s">
        <v>442</v>
      </c>
      <c r="I142" s="13">
        <v>43001.879027777781</v>
      </c>
      <c r="J142" s="7">
        <v>0</v>
      </c>
      <c r="K142" s="89" t="str">
        <f t="shared" si="77"/>
        <v>4025/4026</v>
      </c>
      <c r="L142" s="185" t="str">
        <f>VLOOKUP(A142,'Trips&amp;Operators'!$C$1:$G$99911,5,FALSE)</f>
        <v>PERKINS DARREN</v>
      </c>
      <c r="M142" s="6">
        <f t="shared" si="78"/>
        <v>2.4432870370219462E-2</v>
      </c>
      <c r="N142" s="7">
        <f t="shared" si="67"/>
        <v>35.183333333116025</v>
      </c>
      <c r="O142" s="7"/>
      <c r="P142" s="7"/>
      <c r="Q142" s="22"/>
      <c r="R142" s="174"/>
      <c r="S142" s="221">
        <f t="shared" si="75"/>
        <v>1</v>
      </c>
      <c r="T142" s="174" t="str">
        <f t="shared" si="79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80"/>
        <v>https://d0f6bd738d7f1b3e5a7ca70fe4ff75f0.us-east-1.aws.found.io/app/kibana#/discover/Steve-Slow-Train-Analysis-(2080s-and-2083s)?_g=(refreshInterval:(display:Off,pause:!f,section:0,value:0),time:(from:'2017-09-23T19:07:26-0600',mode:absolute,to:'2017-09-23T22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2" s="204" t="str">
        <f>IF(AA142&lt;VLOOKUP(AG142,Variables!$AC$3:$AD$8,2,FALSE),"Y","N")</f>
        <v>N</v>
      </c>
      <c r="X142" s="204">
        <f t="shared" si="76"/>
        <v>1</v>
      </c>
      <c r="Y142" s="204">
        <f t="shared" si="73"/>
        <v>4.8899999999999999E-2</v>
      </c>
      <c r="Z142" s="204">
        <f t="shared" si="74"/>
        <v>23.331700000000001</v>
      </c>
      <c r="AA142" s="204">
        <f t="shared" si="81"/>
        <v>23.282800000000002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2"/>
        <v>227</v>
      </c>
      <c r="AE142" s="77" t="str">
        <f t="shared" si="83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42" s="74" t="str">
        <f t="shared" si="84"/>
        <v>"C:\Program Files (x86)\AstroGrep\AstroGrep.exe" /e /r /s /spath="%USERPROFILE%\AppData\Local\Temp\OnboardLogs" /stypes="app*4026*20170924*" /stext=" 03:.+((SYSTEM_STATE.+slice.+state.+changed )|(ment ac)|(multiple cpu faults)|(system.+state.+changed )|(\[timeout)|(PRM\|1\|D)|(kpr)|(kdp)|(train st.+moving)|(\|lc)|(penalty))"</v>
      </c>
      <c r="AG142" s="182" t="str">
        <f t="shared" si="85"/>
        <v>EC</v>
      </c>
      <c r="AH142" s="78" t="str">
        <f t="shared" si="51"/>
        <v>"%USERPROFILE%\Documents\GitHub\eaglep3\Utilities\RefineRTDCRunTimes.py" --tripid 227-23 --locoid 4026 --swversion DE.1.0.9.0 --startMP 204:489 --initTime 2017-09-23T20:07:26 --startdatetime 2017-09-23T20:30:37 --delay 54 --endMP 204:233317 --enddatetime 2017-09-23T21:05:48 --enforcementcount 0 &gt;&gt;c:\users\stu\Documents\GitHub\eaglep3-reporting\EC\2017-09-23-refined-times.txt</v>
      </c>
      <c r="AI142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{"issue":{"subject":"","project_id":79,"tracker_id":40,"status_id":1,"priority_id":2,"assigned_to_id":338,"start_date":"2017-09-23","description":"","custom_fields":[{"id":1,"name":"Subdivision","value":"EC"},{"id":4,"name":"Milepost","value":"23.3317"},{"id":17,"name":"Train ID","value":"227-23"},{"id":16,"name":"Locomotive ID","value":"4026"},{"id":130,"name":"Impact","value":""},{"id":150,"name":"Time of Event (Mountain Time)","value":"21:05:48"},{"id":151,"name":"Denver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3"/>
        <v>start /low /b %USERPROFILE%\Documents\GitHub\eaglep3\Utilities\DownloadLogsFromS3.py --loco 4026 --day 2017-09-23</v>
      </c>
      <c r="AN142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5"/>
        <v>https://d0f6bd738d7f1b3e5a7ca70fe4ff75f0.us-east-1.aws.found.io/app/kibana#/discover/Steve-Slow-Train-Analysis-(2080s-and-2083s)?_g=(refreshInterval:(display:Off,pause:!f,section:0,value:0),time:(from:'2017-09-23T19:07:26-0600',mode:absolute,to:'2017-09-23T22:05:48-0600'))&amp;_a=(columns:!('Message%20ID',Summary),filters:!(),index:'emp_*',interval:auto,query:(query_string:(analyze_wildcard:!t,query:'Message%5C+ID:(*)+AND+%22rtdc.l.rtdc.4026%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794</v>
      </c>
      <c r="B143" s="7">
        <v>4025</v>
      </c>
      <c r="C143" s="21" t="s">
        <v>196</v>
      </c>
      <c r="D143" s="21" t="s">
        <v>401</v>
      </c>
      <c r="E143" s="13">
        <v>43001.882453703707</v>
      </c>
      <c r="F143" s="13">
        <v>43001.893923611111</v>
      </c>
      <c r="G143" s="7">
        <v>62</v>
      </c>
      <c r="H143" s="21" t="s">
        <v>948</v>
      </c>
      <c r="I143" s="13">
        <v>43001.92083333333</v>
      </c>
      <c r="J143" s="7">
        <v>0</v>
      </c>
      <c r="K143" s="89" t="str">
        <f t="shared" si="77"/>
        <v>4025/4026</v>
      </c>
      <c r="L143" s="185" t="str">
        <f>VLOOKUP(A143,'Trips&amp;Operators'!$C$1:$G$99911,5,FALSE)</f>
        <v>PERKINS DARREN</v>
      </c>
      <c r="M143" s="6">
        <f t="shared" si="78"/>
        <v>2.6909722218988463E-2</v>
      </c>
      <c r="N143" s="7">
        <f t="shared" si="67"/>
        <v>38.749999995343387</v>
      </c>
      <c r="O143" s="7"/>
      <c r="P143" s="7"/>
      <c r="Q143" s="22"/>
      <c r="R143" s="174"/>
      <c r="S143" s="221">
        <f t="shared" si="75"/>
        <v>1</v>
      </c>
      <c r="T143" s="174" t="str">
        <f t="shared" si="79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80"/>
        <v>https://d0f6bd738d7f1b3e5a7ca70fe4ff75f0.us-east-1.aws.found.io/app/kibana#/discover/Steve-Slow-Train-Analysis-(2080s-and-2083s)?_g=(refreshInterval:(display:Off,pause:!f,section:0,value:0),time:(from:'2017-09-23T20:10:44-0600',mode:absolute,to:'2017-09-23T23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3" s="204" t="str">
        <f>IF(AA143&lt;VLOOKUP(AG143,Variables!$AC$3:$AD$8,2,FALSE),"Y","N")</f>
        <v>N</v>
      </c>
      <c r="X143" s="204">
        <f t="shared" si="76"/>
        <v>1</v>
      </c>
      <c r="Y143" s="204">
        <f t="shared" si="73"/>
        <v>23.301300000000001</v>
      </c>
      <c r="Z143" s="204">
        <f t="shared" si="74"/>
        <v>9.9000000000000008E-3</v>
      </c>
      <c r="AA143" s="204">
        <f t="shared" si="81"/>
        <v>23.291400000000003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2"/>
        <v>228</v>
      </c>
      <c r="AE143" s="77" t="str">
        <f t="shared" si="83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43" s="74" t="str">
        <f t="shared" si="84"/>
        <v>"C:\Program Files (x86)\AstroGrep\AstroGrep.exe" /e /r /s /spath="%USERPROFILE%\AppData\Local\Temp\OnboardLogs" /stypes="app*4025*20170924*" /stext=" 04:.+((SYSTEM_STATE.+slice.+state.+changed )|(ment ac)|(multiple cpu faults)|(system.+state.+changed )|(\[timeout)|(PRM\|1\|D)|(kpr)|(kdp)|(train st.+moving)|(\|lc)|(penalty))"</v>
      </c>
      <c r="AG143" s="182" t="str">
        <f t="shared" si="85"/>
        <v>EC</v>
      </c>
      <c r="AH143" s="78" t="str">
        <f t="shared" si="51"/>
        <v>"%USERPROFILE%\Documents\GitHub\eaglep3\Utilities\RefineRTDCRunTimes.py" --tripid 228-23 --locoid 4025 --swversion DE.1.0.9.0 --startMP 204:233013 --initTime 2017-09-23T21:10:44 --startdatetime 2017-09-23T21:27:15 --delay 62 --endMP 204:99 --enddatetime 2017-09-23T22:06:00 --enforcementcount 0 &gt;&gt;c:\users\stu\Documents\GitHub\eaglep3-reporting\EC\2017-09-23-refined-times.txt</v>
      </c>
      <c r="AI143" s="96" t="str">
        <f t="shared" si="52"/>
        <v>echo {"issue":{"subject":"","project_id":79,"tracker_id":40,"status_id":1,"priority_id":2,"assigned_to_id":338,"start_date":"2017-09-23","description":"","custom_fields":[{"id":1,"name":"Subdivision","value":"EC"},{"id":4,"name":"Milepost","value":"0.0099"},{"id":17,"name":"Train ID","value":"228-23"},{"id":16,"name":"Locomotive ID","value":"4025"},{"id":130,"name":"Impact","value":""},{"id":150,"name":"Time of Event (Mountain Time)","value":"22:06:00"},{"id":151,"name":"Denver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3"/>
        <v>start /low /b %USERPROFILE%\Documents\GitHub\eaglep3\Utilities\DownloadLogsFromS3.py --loco 4025 --day 2017-09-23</v>
      </c>
      <c r="AN143" s="151" t="str">
        <f t="shared" si="5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55"/>
        <v>https://d0f6bd738d7f1b3e5a7ca70fe4ff75f0.us-east-1.aws.found.io/app/kibana#/discover/Steve-Slow-Train-Analysis-(2080s-and-2083s)?_g=(refreshInterval:(display:Off,pause:!f,section:0,value:0),time:(from:'2017-09-23T20:10:44-0600',mode:absolute,to:'2017-09-23T23:06:00-0600'))&amp;_a=(columns:!('Message%20ID',Summary),filters:!(),index:'emp_*',interval:auto,query:(query_string:(analyze_wildcard:!t,query:'Message%5C+ID:(*)+AND+%22rtdc.l.rtdc.4025%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791</v>
      </c>
      <c r="B144" s="7">
        <v>4028</v>
      </c>
      <c r="C144" s="21" t="s">
        <v>196</v>
      </c>
      <c r="D144" s="21" t="s">
        <v>841</v>
      </c>
      <c r="E144" s="13">
        <v>43001.864895833336</v>
      </c>
      <c r="F144" s="13">
        <v>43001.875335648147</v>
      </c>
      <c r="G144" s="7">
        <v>108</v>
      </c>
      <c r="H144" s="21" t="s">
        <v>503</v>
      </c>
      <c r="I144" s="13">
        <v>43001.900868055556</v>
      </c>
      <c r="J144" s="7">
        <v>0</v>
      </c>
      <c r="K144" s="89" t="str">
        <f t="shared" si="77"/>
        <v>4027/4028</v>
      </c>
      <c r="L144" s="185" t="str">
        <f>VLOOKUP(A144,'Trips&amp;Operators'!$C$1:$G$99911,5,FALSE)</f>
        <v>NICHOLSON WESLEY</v>
      </c>
      <c r="M144" s="6">
        <f t="shared" si="78"/>
        <v>2.5532407409627922E-2</v>
      </c>
      <c r="N144" s="7">
        <f t="shared" si="67"/>
        <v>36.766666669864208</v>
      </c>
      <c r="O144" s="7"/>
      <c r="P144" s="7"/>
      <c r="Q144" s="22"/>
      <c r="R144" s="174"/>
      <c r="S144" s="221">
        <f t="shared" si="75"/>
        <v>1</v>
      </c>
      <c r="T144" s="174" t="str">
        <f t="shared" si="79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0"/>
        <v>https://d0f6bd738d7f1b3e5a7ca70fe4ff75f0.us-east-1.aws.found.io/app/kibana#/discover/Steve-Slow-Train-Analysis-(2080s-and-2083s)?_g=(refreshInterval:(display:Off,pause:!f,section:0,value:0),time:(from:'2017-09-23T19:45:27-0600',mode:absolute,to:'2017-09-23T22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4" t="str">
        <f>IF(AA144&lt;VLOOKUP(AG144,Variables!$AC$3:$AD$8,2,FALSE),"Y","N")</f>
        <v>N</v>
      </c>
      <c r="X144" s="204">
        <f t="shared" si="76"/>
        <v>1</v>
      </c>
      <c r="Y144" s="204">
        <f t="shared" si="73"/>
        <v>4.4400000000000002E-2</v>
      </c>
      <c r="Z144" s="204">
        <f t="shared" si="74"/>
        <v>23.3308</v>
      </c>
      <c r="AA144" s="204">
        <f t="shared" si="81"/>
        <v>23.2864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2"/>
        <v>229</v>
      </c>
      <c r="AE144" s="77" t="str">
        <f t="shared" si="83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44" s="74" t="str">
        <f t="shared" si="84"/>
        <v>"C:\Program Files (x86)\AstroGrep\AstroGrep.exe" /e /r /s /spath="%USERPROFILE%\AppData\Local\Temp\OnboardLogs" /stypes="app*4028*20170924*" /stext=" 03:.+((SYSTEM_STATE.+slice.+state.+changed )|(ment ac)|(multiple cpu faults)|(system.+state.+changed )|(\[timeout)|(PRM\|1\|D)|(kpr)|(kdp)|(train st.+moving)|(\|lc)|(penalty))"</v>
      </c>
      <c r="AG144" s="182" t="str">
        <f t="shared" si="85"/>
        <v>EC</v>
      </c>
      <c r="AH144" s="78" t="str">
        <f t="shared" ref="AH144:AH210" si="8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229-23 --locoid 4028 --swversion DE.1.0.9.0 --startMP 204:444 --initTime 2017-09-23T20:45:27 --startdatetime 2017-09-23T21:00:29 --delay 108 --endMP 204:233308 --enddatetime 2017-09-23T21:37:15 --enforcementcount 0 &gt;&gt;c:\users\stu\Documents\GitHub\eaglep3-reporting\EC\2017-09-23-refined-times.txt</v>
      </c>
      <c r="AI144" s="96" t="str">
        <f t="shared" ref="AI144:AI210" si="8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{"issue":{"subject":"","project_id":79,"tracker_id":40,"status_id":1,"priority_id":2,"assigned_to_id":338,"start_date":"2017-09-23","description":"","custom_fields":[{"id":1,"name":"Subdivision","value":"EC"},{"id":4,"name":"Milepost","value":"23.3308"},{"id":17,"name":"Train ID","value":"229-23"},{"id":16,"name":"Locomotive ID","value":"4028"},{"id":130,"name":"Impact","value":""},{"id":150,"name":"Time of Event (Mountain Time)","value":"21:37:15"},{"id":151,"name":"Denver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10" si="88">"start /low /b "&amp;dls3logs&amp;" --loco "&amp;B144&amp;" --day "&amp;TEXT(F144,"YYYY-MM-DD")</f>
        <v>start /low /b %USERPROFILE%\Documents\GitHub\eaglep3\Utilities\DownloadLogsFromS3.py --loco 4028 --day 2017-09-23</v>
      </c>
      <c r="AN144" s="151" t="str">
        <f t="shared" ref="AN144:AN210" si="8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0" si="90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Message%5C+ID:(*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-23T19:45:27-0600',mode:absolute,to:'2017-09-23T22:37:15-0600'))&amp;_a=(columns:!('Message%20ID',Summary),filters:!(),index:'emp_*',interval:auto,query:(query_string:(analyze_wildcard:!t,query:'Message%5C+ID:(*)+AND+%22rtdc.l.rtdc.4028%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797</v>
      </c>
      <c r="B145" s="7">
        <v>4027</v>
      </c>
      <c r="C145" s="21" t="s">
        <v>196</v>
      </c>
      <c r="D145" s="21" t="s">
        <v>400</v>
      </c>
      <c r="E145" s="13">
        <v>43001.905891203707</v>
      </c>
      <c r="F145" s="13">
        <v>43001.91479166667</v>
      </c>
      <c r="G145" s="7">
        <v>102</v>
      </c>
      <c r="H145" s="21" t="s">
        <v>377</v>
      </c>
      <c r="I145" s="13">
        <v>43001.941620370373</v>
      </c>
      <c r="J145" s="7">
        <v>0</v>
      </c>
      <c r="K145" s="89" t="str">
        <f t="shared" si="77"/>
        <v>4027/4028</v>
      </c>
      <c r="L145" s="185" t="str">
        <f>VLOOKUP(A145,'Trips&amp;Operators'!$C$1:$G$99911,5,FALSE)</f>
        <v>NICHOLSON WESLEY</v>
      </c>
      <c r="M145" s="6">
        <f t="shared" si="78"/>
        <v>2.6828703703358769E-2</v>
      </c>
      <c r="N145" s="7">
        <f t="shared" si="67"/>
        <v>38.633333332836628</v>
      </c>
      <c r="O145" s="7"/>
      <c r="P145" s="7"/>
      <c r="Q145" s="22"/>
      <c r="R145" s="174"/>
      <c r="S145" s="221">
        <f t="shared" si="75"/>
        <v>1</v>
      </c>
      <c r="T145" s="174" t="str">
        <f t="shared" si="79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0"/>
        <v>https://d0f6bd738d7f1b3e5a7ca70fe4ff75f0.us-east-1.aws.found.io/app/kibana#/discover/Steve-Slow-Train-Analysis-(2080s-and-2083s)?_g=(refreshInterval:(display:Off,pause:!f,section:0,value:0),time:(from:'2017-09-23T20:44:29-0600',mode:absolute,to:'2017-09-23T23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4" t="str">
        <f>IF(AA145&lt;VLOOKUP(AG145,Variables!$AC$3:$AD$8,2,FALSE),"Y","N")</f>
        <v>N</v>
      </c>
      <c r="X145" s="204">
        <f t="shared" si="76"/>
        <v>1</v>
      </c>
      <c r="Y145" s="204">
        <f t="shared" si="73"/>
        <v>23.299800000000001</v>
      </c>
      <c r="Z145" s="204">
        <f t="shared" si="74"/>
        <v>1.6E-2</v>
      </c>
      <c r="AA145" s="204">
        <f t="shared" si="81"/>
        <v>23.283800000000003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2"/>
        <v>230</v>
      </c>
      <c r="AE145" s="77" t="str">
        <f t="shared" si="83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45" s="74" t="str">
        <f t="shared" si="84"/>
        <v>"C:\Program Files (x86)\AstroGrep\AstroGrep.exe" /e /r /s /spath="%USERPROFILE%\AppData\Local\Temp\OnboardLogs" /stypes="app*4027*20170924*" /stext=" 04:.+((SYSTEM_STATE.+slice.+state.+changed )|(ment ac)|(multiple cpu faults)|(system.+state.+changed )|(\[timeout)|(PRM\|1\|D)|(kpr)|(kdp)|(train st.+moving)|(\|lc)|(penalty))"</v>
      </c>
      <c r="AG145" s="182" t="str">
        <f t="shared" si="85"/>
        <v>EC</v>
      </c>
      <c r="AH145" s="78" t="str">
        <f t="shared" si="86"/>
        <v>"%USERPROFILE%\Documents\GitHub\eaglep3\Utilities\RefineRTDCRunTimes.py" --tripid 230-23 --locoid 4027 --swversion DE.1.0.9.0 --startMP 204:232998 --initTime 2017-09-23T21:44:29 --startdatetime 2017-09-23T21:57:18 --delay 102 --endMP 204:160 --enddatetime 2017-09-23T22:35:56 --enforcementcount 0 &gt;&gt;c:\users\stu\Documents\GitHub\eaglep3-reporting\EC\2017-09-23-refined-times.txt</v>
      </c>
      <c r="AI145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{"issue":{"subject":"","project_id":79,"tracker_id":40,"status_id":1,"priority_id":2,"assigned_to_id":338,"start_date":"2017-09-23","description":"","custom_fields":[{"id":1,"name":"Subdivision","value":"EC"},{"id":4,"name":"Milepost","value":"0.016"},{"id":17,"name":"Train ID","value":"230-23"},{"id":16,"name":"Locomotive ID","value":"4027"},{"id":130,"name":"Impact","value":""},{"id":150,"name":"Time of Event (Mountain Time)","value":"22:35:56"},{"id":151,"name":"Denver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88"/>
        <v>start /low /b %USERPROFILE%\Documents\GitHub\eaglep3\Utilities\DownloadLogsFromS3.py --loco 4027 --day 2017-09-23</v>
      </c>
      <c r="AN14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90"/>
        <v>https://d0f6bd738d7f1b3e5a7ca70fe4ff75f0.us-east-1.aws.found.io/app/kibana#/discover/Steve-Slow-Train-Analysis-(2080s-and-2083s)?_g=(refreshInterval:(display:Off,pause:!f,section:0,value:0),time:(from:'2017-09-23T20:44:29-0600',mode:absolute,to:'2017-09-23T23:35:56-0600'))&amp;_a=(columns:!('Message%20ID',Summary),filters:!(),index:'emp_*',interval:auto,query:(query_string:(analyze_wildcard:!t,query:'Message%5C+ID:(*)+AND+%22rtdc.l.rtdc.4027%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793</v>
      </c>
      <c r="B146" s="7">
        <v>4040</v>
      </c>
      <c r="C146" s="21" t="s">
        <v>196</v>
      </c>
      <c r="D146" s="21" t="s">
        <v>406</v>
      </c>
      <c r="E146" s="13">
        <v>43001.881053240744</v>
      </c>
      <c r="F146" s="13">
        <v>43001.896006944444</v>
      </c>
      <c r="G146" s="7">
        <v>52</v>
      </c>
      <c r="H146" s="21" t="s">
        <v>938</v>
      </c>
      <c r="I146" s="13">
        <v>43001.921516203707</v>
      </c>
      <c r="J146" s="7">
        <v>0</v>
      </c>
      <c r="K146" s="89" t="str">
        <f t="shared" si="77"/>
        <v>4039/4040</v>
      </c>
      <c r="L146" s="185" t="str">
        <f>VLOOKUP(A146,'Trips&amp;Operators'!$C$1:$G$99911,5,FALSE)</f>
        <v>FORTUNATO FRANK</v>
      </c>
      <c r="M146" s="6">
        <f t="shared" si="78"/>
        <v>2.5509259263344575E-2</v>
      </c>
      <c r="N146" s="7">
        <f t="shared" si="67"/>
        <v>36.733333339216188</v>
      </c>
      <c r="O146" s="7"/>
      <c r="P146" s="7"/>
      <c r="Q146" s="22"/>
      <c r="R146" s="174"/>
      <c r="S146" s="221">
        <f t="shared" si="75"/>
        <v>1</v>
      </c>
      <c r="T146" s="174" t="str">
        <f t="shared" si="79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0"/>
        <v>https://d0f6bd738d7f1b3e5a7ca70fe4ff75f0.us-east-1.aws.found.io/app/kibana#/discover/Steve-Slow-Train-Analysis-(2080s-and-2083s)?_g=(refreshInterval:(display:Off,pause:!f,section:0,value:0),time:(from:'2017-09-23T20:08:43-0600',mode:absolute,to:'2017-09-23T23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6" s="204" t="str">
        <f>IF(AA146&lt;VLOOKUP(AG146,Variables!$AC$3:$AD$8,2,FALSE),"Y","N")</f>
        <v>N</v>
      </c>
      <c r="X146" s="204">
        <f t="shared" si="76"/>
        <v>1</v>
      </c>
      <c r="Y146" s="204">
        <f t="shared" si="73"/>
        <v>4.6600000000000003E-2</v>
      </c>
      <c r="Z146" s="204">
        <f t="shared" si="74"/>
        <v>23.334900000000001</v>
      </c>
      <c r="AA146" s="204">
        <f t="shared" si="81"/>
        <v>23.2883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2"/>
        <v>231</v>
      </c>
      <c r="AE146" s="77" t="str">
        <f t="shared" si="83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46" s="74" t="str">
        <f t="shared" si="84"/>
        <v>"C:\Program Files (x86)\AstroGrep\AstroGrep.exe" /e /r /s /spath="%USERPROFILE%\AppData\Local\Temp\OnboardLogs" /stypes="app*4040*20170924*" /stext=" 04:.+((SYSTEM_STATE.+slice.+state.+changed )|(ment ac)|(multiple cpu faults)|(system.+state.+changed )|(\[timeout)|(PRM\|1\|D)|(kpr)|(kdp)|(train st.+moving)|(\|lc)|(penalty))"</v>
      </c>
      <c r="AG146" s="182" t="str">
        <f t="shared" si="85"/>
        <v>EC</v>
      </c>
      <c r="AH146" s="78" t="str">
        <f t="shared" si="86"/>
        <v>"%USERPROFILE%\Documents\GitHub\eaglep3\Utilities\RefineRTDCRunTimes.py" --tripid 231-23 --locoid 4040 --swversion DE.1.0.9.0 --startMP 204:466 --initTime 2017-09-23T21:08:43 --startdatetime 2017-09-23T21:30:15 --delay 52 --endMP 204:233349 --enddatetime 2017-09-23T22:06:59 --enforcementcount 0 &gt;&gt;c:\users\stu\Documents\GitHub\eaglep3-reporting\EC\2017-09-23-refined-times.txt</v>
      </c>
      <c r="AI146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{"issue":{"subject":"","project_id":79,"tracker_id":40,"status_id":1,"priority_id":2,"assigned_to_id":338,"start_date":"2017-09-23","description":"","custom_fields":[{"id":1,"name":"Subdivision","value":"EC"},{"id":4,"name":"Milepost","value":"23.3349"},{"id":17,"name":"Train ID","value":"231-23"},{"id":16,"name":"Locomotive ID","value":"4040"},{"id":130,"name":"Impact","value":""},{"id":150,"name":"Time of Event (Mountain Time)","value":"22:06:59"},{"id":151,"name":"Denver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88"/>
        <v>start /low /b %USERPROFILE%\Documents\GitHub\eaglep3\Utilities\DownloadLogsFromS3.py --loco 4040 --day 2017-09-23</v>
      </c>
      <c r="AN146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0"/>
        <v>https://d0f6bd738d7f1b3e5a7ca70fe4ff75f0.us-east-1.aws.found.io/app/kibana#/discover/Steve-Slow-Train-Analysis-(2080s-and-2083s)?_g=(refreshInterval:(display:Off,pause:!f,section:0,value:0),time:(from:'2017-09-23T20:08:43-0600',mode:absolute,to:'2017-09-23T23:06:59-0600'))&amp;_a=(columns:!('Message%20ID',Summary),filters:!(),index:'emp_*',interval:auto,query:(query_string:(analyze_wildcard:!t,query:'Message%5C+ID:(*)+AND+%22rtdc.l.rtdc.4040%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798</v>
      </c>
      <c r="B147" s="7">
        <v>4039</v>
      </c>
      <c r="C147" s="21" t="s">
        <v>196</v>
      </c>
      <c r="D147" s="21" t="s">
        <v>949</v>
      </c>
      <c r="E147" s="13">
        <v>43001.923252314817</v>
      </c>
      <c r="F147" s="13">
        <v>43001.935636574075</v>
      </c>
      <c r="G147" s="7">
        <v>57</v>
      </c>
      <c r="H147" s="21" t="s">
        <v>362</v>
      </c>
      <c r="I147" s="13">
        <v>43001.961782407408</v>
      </c>
      <c r="J147" s="7">
        <v>0</v>
      </c>
      <c r="K147" s="89" t="str">
        <f t="shared" si="77"/>
        <v>4039/4040</v>
      </c>
      <c r="L147" s="185" t="str">
        <f>VLOOKUP(A147,'Trips&amp;Operators'!$C$1:$G$99911,5,FALSE)</f>
        <v>FORTUNATO FRANK</v>
      </c>
      <c r="M147" s="6">
        <f t="shared" si="78"/>
        <v>2.6145833333430346E-2</v>
      </c>
      <c r="N147" s="7">
        <f t="shared" si="67"/>
        <v>37.650000000139698</v>
      </c>
      <c r="O147" s="7"/>
      <c r="P147" s="7"/>
      <c r="Q147" s="22"/>
      <c r="R147" s="174"/>
      <c r="S147" s="221">
        <f t="shared" si="75"/>
        <v>1</v>
      </c>
      <c r="T147" s="174" t="str">
        <f t="shared" si="79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0"/>
        <v>https://d0f6bd738d7f1b3e5a7ca70fe4ff75f0.us-east-1.aws.found.io/app/kibana#/discover/Steve-Slow-Train-Analysis-(2080s-and-2083s)?_g=(refreshInterval:(display:Off,pause:!f,section:0,value:0),time:(from:'2017-09-23T21:09:29-0600',mode:absolute,to:'2017-09-24T00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7" s="204" t="str">
        <f>IF(AA147&lt;VLOOKUP(AG147,Variables!$AC$3:$AD$8,2,FALSE),"Y","N")</f>
        <v>N</v>
      </c>
      <c r="X147" s="204">
        <f t="shared" si="76"/>
        <v>1</v>
      </c>
      <c r="Y147" s="204">
        <f t="shared" si="73"/>
        <v>23.303999999999998</v>
      </c>
      <c r="Z147" s="204">
        <f t="shared" si="74"/>
        <v>1.4500000000000001E-2</v>
      </c>
      <c r="AA147" s="204">
        <f t="shared" si="81"/>
        <v>23.289499999999997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2"/>
        <v>232</v>
      </c>
      <c r="AE147" s="77" t="str">
        <f t="shared" si="83"/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AF147" s="74" t="str">
        <f t="shared" si="84"/>
        <v>"C:\Program Files (x86)\AstroGrep\AstroGrep.exe" /e /r /s /spath="%USERPROFILE%\AppData\Local\Temp\OnboardLogs" /stypes="app*4039*20170924*" /stext=" 05:.+((SYSTEM_STATE.+slice.+state.+changed )|(ment ac)|(multiple cpu faults)|(system.+state.+changed )|(\[timeout)|(PRM\|1\|D)|(kpr)|(kdp)|(train st.+moving)|(\|lc)|(penalty))"</v>
      </c>
      <c r="AG147" s="182" t="str">
        <f t="shared" si="85"/>
        <v>EC</v>
      </c>
      <c r="AH147" s="78" t="str">
        <f t="shared" si="86"/>
        <v>"%USERPROFILE%\Documents\GitHub\eaglep3\Utilities\RefineRTDCRunTimes.py" --tripid 232-23 --locoid 4039 --swversion DE.1.0.9.0 --startMP 204:233040 --initTime 2017-09-23T22:09:29 --startdatetime 2017-09-23T22:27:19 --delay 57 --endMP 204:145 --enddatetime 2017-09-23T23:04:58 --enforcementcount 0 &gt;&gt;c:\users\stu\Documents\GitHub\eaglep3-reporting\EC\2017-09-23-refined-times.txt</v>
      </c>
      <c r="AI147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{"issue":{"subject":"","project_id":79,"tracker_id":40,"status_id":1,"priority_id":2,"assigned_to_id":338,"start_date":"2017-09-23","description":"","custom_fields":[{"id":1,"name":"Subdivision","value":"EC"},{"id":4,"name":"Milepost","value":"0.0145"},{"id":17,"name":"Train ID","value":"232-23"},{"id":16,"name":"Locomotive ID","value":"4039"},{"id":130,"name":"Impact","value":""},{"id":150,"name":"Time of Event (Mountain Time)","value":"23:04:58"},{"id":151,"name":"Denver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88"/>
        <v>start /low /b %USERPROFILE%\Documents\GitHub\eaglep3\Utilities\DownloadLogsFromS3.py --loco 4039 --day 2017-09-23</v>
      </c>
      <c r="AN147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0"/>
        <v>https://d0f6bd738d7f1b3e5a7ca70fe4ff75f0.us-east-1.aws.found.io/app/kibana#/discover/Steve-Slow-Train-Analysis-(2080s-and-2083s)?_g=(refreshInterval:(display:Off,pause:!f,section:0,value:0),time:(from:'2017-09-23T21:09:29-0600',mode:absolute,to:'2017-09-24T00:04:58-0600'))&amp;_a=(columns:!('Message%20ID',Summary),filters:!(),index:'emp_*',interval:auto,query:(query_string:(analyze_wildcard:!t,query:'Message%5C+ID:(*)+AND+%22rtdc.l.rtdc.4039%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796</v>
      </c>
      <c r="B148" s="7">
        <v>4058</v>
      </c>
      <c r="C148" s="21" t="s">
        <v>196</v>
      </c>
      <c r="D148" s="21" t="s">
        <v>361</v>
      </c>
      <c r="E148" s="13">
        <v>43001.899988425925</v>
      </c>
      <c r="F148" s="13">
        <v>43001.916817129626</v>
      </c>
      <c r="G148" s="7">
        <v>61</v>
      </c>
      <c r="H148" s="21" t="s">
        <v>564</v>
      </c>
      <c r="I148" s="13">
        <v>43001.940717592595</v>
      </c>
      <c r="J148" s="7">
        <v>0</v>
      </c>
      <c r="K148" s="89" t="str">
        <f t="shared" si="77"/>
        <v>4057/4058</v>
      </c>
      <c r="L148" s="185" t="str">
        <f>VLOOKUP(A148,'Trips&amp;Operators'!$C$1:$G$99911,5,FALSE)</f>
        <v>ELBAUM MIKE</v>
      </c>
      <c r="M148" s="6">
        <f t="shared" si="78"/>
        <v>2.3900462969322689E-2</v>
      </c>
      <c r="N148" s="7">
        <f t="shared" si="67"/>
        <v>34.416666675824672</v>
      </c>
      <c r="O148" s="7"/>
      <c r="P148" s="7"/>
      <c r="Q148" s="22"/>
      <c r="R148" s="174"/>
      <c r="S148" s="221">
        <f t="shared" si="75"/>
        <v>1</v>
      </c>
      <c r="T148" s="174" t="str">
        <f t="shared" si="79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0"/>
        <v>https://d0f6bd738d7f1b3e5a7ca70fe4ff75f0.us-east-1.aws.found.io/app/kibana#/discover/Steve-Slow-Train-Analysis-(2080s-and-2083s)?_g=(refreshInterval:(display:Off,pause:!f,section:0,value:0),time:(from:'2017-09-23T20:35:59-0600',mode:absolute,to:'2017-09-23T23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8" s="204" t="str">
        <f>IF(AA148&lt;VLOOKUP(AG148,Variables!$AC$3:$AD$8,2,FALSE),"Y","N")</f>
        <v>N</v>
      </c>
      <c r="X148" s="204">
        <f t="shared" si="76"/>
        <v>1</v>
      </c>
      <c r="Y148" s="204">
        <f t="shared" si="73"/>
        <v>4.6399999999999997E-2</v>
      </c>
      <c r="Z148" s="204">
        <f t="shared" si="74"/>
        <v>23.3309</v>
      </c>
      <c r="AA148" s="204">
        <f t="shared" si="81"/>
        <v>23.284500000000001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2"/>
        <v>233</v>
      </c>
      <c r="AE148" s="77" t="str">
        <f t="shared" si="83"/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AF148" s="74" t="str">
        <f t="shared" si="84"/>
        <v>"C:\Program Files (x86)\AstroGrep\AstroGrep.exe" /e /r /s /spath="%USERPROFILE%\AppData\Local\Temp\OnboardLogs" /stypes="app*4058*20170924*" /stext=" 04:.+((SYSTEM_STATE.+slice.+state.+changed )|(ment ac)|(multiple cpu faults)|(system.+state.+changed )|(\[timeout)|(PRM\|1\|D)|(kpr)|(kdp)|(train st.+moving)|(\|lc)|(penalty))"</v>
      </c>
      <c r="AG148" s="182" t="str">
        <f t="shared" si="85"/>
        <v>EC</v>
      </c>
      <c r="AH148" s="78" t="str">
        <f t="shared" si="86"/>
        <v>"%USERPROFILE%\Documents\GitHub\eaglep3\Utilities\RefineRTDCRunTimes.py" --tripid 233-23 --locoid 4058 --swversion DE.1.0.9.0 --startMP 204:464 --initTime 2017-09-23T21:35:59 --startdatetime 2017-09-23T22:00:13 --delay 61 --endMP 204:233309 --enddatetime 2017-09-23T22:34:38 --enforcementcount 0 &gt;&gt;c:\users\stu\Documents\GitHub\eaglep3-reporting\EC\2017-09-23-refined-times.txt</v>
      </c>
      <c r="AI148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{"issue":{"subject":"","project_id":79,"tracker_id":40,"status_id":1,"priority_id":2,"assigned_to_id":338,"start_date":"2017-09-23","description":"","custom_fields":[{"id":1,"name":"Subdivision","value":"EC"},{"id":4,"name":"Milepost","value":"23.3309"},{"id":17,"name":"Train ID","value":"233-23"},{"id":16,"name":"Locomotive ID","value":"4058"},{"id":130,"name":"Impact","value":""},{"id":150,"name":"Time of Event (Mountain Time)","value":"22:34:38"},{"id":151,"name":"Denver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8"/>
        <v>start /low /b %USERPROFILE%\Documents\GitHub\eaglep3\Utilities\DownloadLogsFromS3.py --loco 4058 --day 2017-09-23</v>
      </c>
      <c r="AN14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0"/>
        <v>https://d0f6bd738d7f1b3e5a7ca70fe4ff75f0.us-east-1.aws.found.io/app/kibana#/discover/Steve-Slow-Train-Analysis-(2080s-and-2083s)?_g=(refreshInterval:(display:Off,pause:!f,section:0,value:0),time:(from:'2017-09-23T20:35:59-0600',mode:absolute,to:'2017-09-23T23:34:38-0600'))&amp;_a=(columns:!('Message%20ID',Summary),filters:!(),index:'emp_*',interval:auto,query:(query_string:(analyze_wildcard:!t,query:'Message%5C+ID:(*)+AND+%22rtdc.l.rtdc.4058%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800</v>
      </c>
      <c r="B149" s="7">
        <v>4057</v>
      </c>
      <c r="C149" s="21" t="s">
        <v>196</v>
      </c>
      <c r="D149" s="21" t="s">
        <v>380</v>
      </c>
      <c r="E149" s="13">
        <v>43001.941944444443</v>
      </c>
      <c r="F149" s="13">
        <v>43001.956446759257</v>
      </c>
      <c r="G149" s="7">
        <v>60</v>
      </c>
      <c r="H149" s="21" t="s">
        <v>337</v>
      </c>
      <c r="I149" s="13">
        <v>43001.983368055553</v>
      </c>
      <c r="J149" s="7">
        <v>0</v>
      </c>
      <c r="K149" s="89" t="str">
        <f t="shared" si="77"/>
        <v>4057/4058</v>
      </c>
      <c r="L149" s="185" t="str">
        <f>VLOOKUP(A149,'Trips&amp;Operators'!$C$1:$G$99911,5,FALSE)</f>
        <v>ELBAUM MIKE</v>
      </c>
      <c r="M149" s="6">
        <f t="shared" si="78"/>
        <v>2.6921296295768116E-2</v>
      </c>
      <c r="N149" s="7">
        <f t="shared" si="67"/>
        <v>38.766666665906087</v>
      </c>
      <c r="O149" s="7"/>
      <c r="P149" s="7"/>
      <c r="Q149" s="22"/>
      <c r="R149" s="174"/>
      <c r="S149" s="221">
        <f t="shared" si="75"/>
        <v>1</v>
      </c>
      <c r="T149" s="174" t="str">
        <f t="shared" si="79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0"/>
        <v>https://d0f6bd738d7f1b3e5a7ca70fe4ff75f0.us-east-1.aws.found.io/app/kibana#/discover/Steve-Slow-Train-Analysis-(2080s-and-2083s)?_g=(refreshInterval:(display:Off,pause:!f,section:0,value:0),time:(from:'2017-09-23T21:36:24-0600',mode:absolute,to:'2017-09-24T00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9" s="204" t="str">
        <f>IF(AA149&lt;VLOOKUP(AG149,Variables!$AC$3:$AD$8,2,FALSE),"Y","N")</f>
        <v>N</v>
      </c>
      <c r="X149" s="204">
        <f t="shared" si="76"/>
        <v>1</v>
      </c>
      <c r="Y149" s="204">
        <f t="shared" si="73"/>
        <v>23.299399999999999</v>
      </c>
      <c r="Z149" s="204">
        <f t="shared" si="74"/>
        <v>1.49E-2</v>
      </c>
      <c r="AA149" s="204">
        <f t="shared" si="81"/>
        <v>23.284499999999998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2"/>
        <v>234</v>
      </c>
      <c r="AE149" s="77" t="str">
        <f t="shared" si="83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149" s="74" t="str">
        <f t="shared" si="84"/>
        <v>"C:\Program Files (x86)\AstroGrep\AstroGrep.exe" /e /r /s /spath="%USERPROFILE%\AppData\Local\Temp\OnboardLogs" /stypes="app*4057*20170924*" /stext=" 05:.+((SYSTEM_STATE.+slice.+state.+changed )|(ment ac)|(multiple cpu faults)|(system.+state.+changed )|(\[timeout)|(PRM\|1\|D)|(kpr)|(kdp)|(train st.+moving)|(\|lc)|(penalty))"</v>
      </c>
      <c r="AG149" s="182" t="str">
        <f t="shared" si="85"/>
        <v>EC</v>
      </c>
      <c r="AH149" s="78" t="str">
        <f t="shared" si="86"/>
        <v>"%USERPROFILE%\Documents\GitHub\eaglep3\Utilities\RefineRTDCRunTimes.py" --tripid 234-23 --locoid 4057 --swversion DE.1.0.9.0 --startMP 204:232994 --initTime 2017-09-23T22:36:24 --startdatetime 2017-09-23T22:57:17 --delay 60 --endMP 204:149 --enddatetime 2017-09-23T23:36:03 --enforcementcount 0 &gt;&gt;c:\users\stu\Documents\GitHub\eaglep3-reporting\EC\2017-09-23-refined-times.txt</v>
      </c>
      <c r="AI149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{"issue":{"subject":"","project_id":79,"tracker_id":40,"status_id":1,"priority_id":2,"assigned_to_id":338,"start_date":"2017-09-23","description":"","custom_fields":[{"id":1,"name":"Subdivision","value":"EC"},{"id":4,"name":"Milepost","value":"0.0149"},{"id":17,"name":"Train ID","value":"234-23"},{"id":16,"name":"Locomotive ID","value":"4057"},{"id":130,"name":"Impact","value":""},{"id":150,"name":"Time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8"/>
        <v>start /low /b %USERPROFILE%\Documents\GitHub\eaglep3\Utilities\DownloadLogsFromS3.py --loco 4057 --day 2017-09-23</v>
      </c>
      <c r="AN14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0"/>
        <v>https://d0f6bd738d7f1b3e5a7ca70fe4ff75f0.us-east-1.aws.found.io/app/kibana#/discover/Steve-Slow-Train-Analysis-(2080s-and-2083s)?_g=(refreshInterval:(display:Off,pause:!f,section:0,value:0),time:(from:'2017-09-23T21:36:24-0600',mode:absolute,to:'2017-09-24T00:36:03-0600'))&amp;_a=(columns:!('Message%20ID',Summary),filters:!(),index:'emp_*',interval:auto,query:(query_string:(analyze_wildcard:!t,query:'Message%5C+ID:(*)+AND+%22rtdc.l.rtdc.4057%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613</v>
      </c>
      <c r="B150" s="7">
        <v>4026</v>
      </c>
      <c r="C150" s="21" t="s">
        <v>196</v>
      </c>
      <c r="D150" s="21" t="s">
        <v>927</v>
      </c>
      <c r="E150" s="13">
        <v>43001.924942129626</v>
      </c>
      <c r="F150" s="13">
        <v>43001.937858796293</v>
      </c>
      <c r="G150" s="7">
        <v>71</v>
      </c>
      <c r="H150" s="21" t="s">
        <v>950</v>
      </c>
      <c r="I150" s="13">
        <v>43001.959247685183</v>
      </c>
      <c r="J150" s="7">
        <v>0</v>
      </c>
      <c r="K150" s="89" t="str">
        <f t="shared" si="77"/>
        <v>4025/4026</v>
      </c>
      <c r="L150" s="185" t="str">
        <f>VLOOKUP(A150,'Trips&amp;Operators'!$C$1:$G$99911,5,FALSE)</f>
        <v>PERKINS DARREN</v>
      </c>
      <c r="M150" s="6">
        <f t="shared" si="78"/>
        <v>2.138888889021473E-2</v>
      </c>
      <c r="N150" s="7"/>
      <c r="O150" s="7"/>
      <c r="P150" s="7">
        <f>24*60*SUM($M150:$M150)</f>
        <v>30.800000001909211</v>
      </c>
      <c r="Q150" s="22"/>
      <c r="R150" s="174" t="s">
        <v>1004</v>
      </c>
      <c r="S150" s="221">
        <f t="shared" si="75"/>
        <v>1</v>
      </c>
      <c r="T150" s="174" t="str">
        <f t="shared" si="79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0"/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0" s="204" t="str">
        <f>IF(AA150&lt;VLOOKUP(AG150,Variables!$AC$3:$AD$8,2,FALSE),"Y","N")</f>
        <v>Y</v>
      </c>
      <c r="X150" s="204">
        <f t="shared" si="76"/>
        <v>1</v>
      </c>
      <c r="Y150" s="204">
        <f t="shared" si="73"/>
        <v>4.2700000000000002E-2</v>
      </c>
      <c r="Z150" s="204">
        <f t="shared" si="74"/>
        <v>19.381900000000002</v>
      </c>
      <c r="AA150" s="204">
        <f t="shared" si="81"/>
        <v>19.339200000000002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 t="shared" si="82"/>
        <v>235</v>
      </c>
      <c r="AE150" s="77" t="str">
        <f t="shared" si="83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150" s="74" t="str">
        <f t="shared" si="84"/>
        <v>"C:\Program Files (x86)\AstroGrep\AstroGrep.exe" /e /r /s /spath="%USERPROFILE%\AppData\Local\Temp\OnboardLogs" /stypes="app*4026*20170924*" /stext=" 05:.+((SYSTEM_STATE.+slice.+state.+changed )|(ment ac)|(multiple cpu faults)|(system.+state.+changed )|(\[timeout)|(PRM\|1\|D)|(kpr)|(kdp)|(train st.+moving)|(\|lc)|(penalty))"</v>
      </c>
      <c r="AG150" s="182" t="str">
        <f t="shared" si="85"/>
        <v>EC</v>
      </c>
      <c r="AH150" s="78" t="str">
        <f t="shared" si="86"/>
        <v>"%USERPROFILE%\Documents\GitHub\eaglep3\Utilities\RefineRTDCRunTimes.py" --tripid 235-23 --locoid 4026 --swversion DE.1.0.9.0 --startMP 204:427 --initTime 2017-09-23T22:11:55 --startdatetime 2017-09-23T22:30:31 --delay 71 --endMP 204:193819 --enddatetime 2017-09-23T23:01:19 --enforcementcount 0 &gt;&gt;c:\users\stu\Documents\GitHub\eaglep3-reporting\EC\2017-09-23-refined-times.txt</v>
      </c>
      <c r="AI150" s="96" t="str">
        <f t="shared" si="87"/>
        <v>echo {"issue":{"subject":"Premature downgrade at Pena 2N","project_id":79,"tracker_id":40,"status_id":1,"priority_id":2,"assigned_to_id":338,"start_date":"2017-09-23","description":"","custom_fields":[{"id":1,"name":"Subdivision","value":"EC"},{"id":4,"name":"Milepost","value":"19.3819"},{"id":17,"name":"Train ID","value":"235-23"},{"id":16,"name":"Locomotive ID","value":"4026"},{"id":130,"name":"Impact","value":""},{"id":150,"name":"Time of Event (Mountain Time)","value":"23:01:19"},{"id":151,"name":"Denver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8"/>
        <v>start /low /b %USERPROFILE%\Documents\GitHub\eaglep3\Utilities\DownloadLogsFromS3.py --loco 4026 --day 2017-09-23</v>
      </c>
      <c r="AN150" s="151" t="str">
        <f t="shared" si="89"/>
        <v>echo {"issue":{"subject":"Premature downgrade at Pena 2N","project_id":30,"tracker_id":4,"status_id":1,"priority_id":1,"assigned_to_id":10,"start_date":"2017-09-24","description":"","custom_fields":[{"id":30,"name":"Category","value":"Issue"},{"id":3,"name":"Functional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05:01:19"},{"id":29,"name":"Sharepoint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0"/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Message%20ID',Summary),filters:!(),index:'emp_*',interval:auto,query:(query_string:(analyze_wildcard:!t,query:'Message%5C+ID:(*)+AND+%22rtdc.l.rtdc.4026%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804</v>
      </c>
      <c r="B151" s="7">
        <v>4025</v>
      </c>
      <c r="C151" s="21" t="s">
        <v>196</v>
      </c>
      <c r="D151" s="21" t="s">
        <v>444</v>
      </c>
      <c r="E151" s="13">
        <v>43001.971805555557</v>
      </c>
      <c r="F151" s="13">
        <v>43001.977303240739</v>
      </c>
      <c r="G151" s="7">
        <v>61</v>
      </c>
      <c r="H151" s="21" t="s">
        <v>362</v>
      </c>
      <c r="I151" s="13">
        <v>43002.003842592596</v>
      </c>
      <c r="J151" s="7">
        <v>0</v>
      </c>
      <c r="K151" s="89" t="str">
        <f t="shared" si="77"/>
        <v>4025/4026</v>
      </c>
      <c r="L151" s="185" t="str">
        <f>VLOOKUP(A151,'Trips&amp;Operators'!$C$1:$G$99911,5,FALSE)</f>
        <v>PERKINS DARREN</v>
      </c>
      <c r="M151" s="6">
        <f t="shared" si="78"/>
        <v>2.6539351856627036E-2</v>
      </c>
      <c r="N151" s="7">
        <f t="shared" ref="N151:N161" si="91">24*60*SUM($M151:$M151)</f>
        <v>38.216666673542932</v>
      </c>
      <c r="O151" s="7"/>
      <c r="P151" s="7"/>
      <c r="Q151" s="22"/>
      <c r="R151" s="174"/>
      <c r="S151" s="221">
        <f t="shared" si="75"/>
        <v>1</v>
      </c>
      <c r="T151" s="174" t="str">
        <f t="shared" si="79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0"/>
        <v>https://d0f6bd738d7f1b3e5a7ca70fe4ff75f0.us-east-1.aws.found.io/app/kibana#/discover/Steve-Slow-Train-Analysis-(2080s-and-2083s)?_g=(refreshInterval:(display:Off,pause:!f,section:0,value:0),time:(from:'2017-09-23T22:19:24-0600',mode:absolute,to:'2017-09-24T01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1" s="204" t="str">
        <f>IF(AA151&lt;VLOOKUP(AG151,Variables!$AC$3:$AD$8,2,FALSE),"Y","N")</f>
        <v>N</v>
      </c>
      <c r="X151" s="204">
        <f t="shared" si="76"/>
        <v>1</v>
      </c>
      <c r="Y151" s="204">
        <f t="shared" si="73"/>
        <v>23.2988</v>
      </c>
      <c r="Z151" s="204">
        <f t="shared" si="74"/>
        <v>1.4500000000000001E-2</v>
      </c>
      <c r="AA151" s="204">
        <f t="shared" si="81"/>
        <v>23.284299999999998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2"/>
        <v>236</v>
      </c>
      <c r="AE151" s="77" t="str">
        <f t="shared" si="83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151" s="74" t="str">
        <f t="shared" si="84"/>
        <v>"C:\Program Files (x86)\AstroGrep\AstroGrep.exe" /e /r /s /spath="%USERPROFILE%\AppData\Local\Temp\OnboardLogs" /stypes="app*4025*20170924*" /stext=" 06:.+((SYSTEM_STATE.+slice.+state.+changed )|(ment ac)|(multiple cpu faults)|(system.+state.+changed )|(\[timeout)|(PRM\|1\|D)|(kpr)|(kdp)|(train st.+moving)|(\|lc)|(penalty))"</v>
      </c>
      <c r="AG151" s="182" t="str">
        <f t="shared" si="85"/>
        <v>EC</v>
      </c>
      <c r="AH151" s="78" t="str">
        <f t="shared" si="86"/>
        <v>"%USERPROFILE%\Documents\GitHub\eaglep3\Utilities\RefineRTDCRunTimes.py" --tripid 236-23 --locoid 4025 --swversion DE.1.0.9.0 --startMP 204:232988 --initTime 2017-09-23T23:19:24 --startdatetime 2017-09-23T23:27:19 --delay 61 --endMP 204:145 --enddatetime 2017-09-24T00:05:32 --enforcementcount 0 &gt;&gt;c:\users\stu\Documents\GitHub\eaglep3-reporting\EC\2017-09-23-refined-times.txt</v>
      </c>
      <c r="AI151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{"issue":{"subject":"","project_id":79,"tracker_id":40,"status_id":1,"priority_id":2,"assigned_to_id":338,"start_date":"2017-09-24","description":"","custom_fields":[{"id":1,"name":"Subdivision","value":"EC"},{"id":4,"name":"Milepost","value":"0.0145"},{"id":17,"name":"Train ID","value":"236-23"},{"id":16,"name":"Locomotive ID","value":"4025"},{"id":130,"name":"Impact","value":""},{"id":150,"name":"Time of Event (Mountain Time)","value":"00:05:32"},{"id":151,"name":"Denver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8"/>
        <v>start /low /b %USERPROFILE%\Documents\GitHub\eaglep3\Utilities\DownloadLogsFromS3.py --loco 4025 --day 2017-09-23</v>
      </c>
      <c r="AN15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0"/>
        <v>https://d0f6bd738d7f1b3e5a7ca70fe4ff75f0.us-east-1.aws.found.io/app/kibana#/discover/Steve-Slow-Train-Analysis-(2080s-and-2083s)?_g=(refreshInterval:(display:Off,pause:!f,section:0,value:0),time:(from:'2017-09-23T22:19:24-0600',mode:absolute,to:'2017-09-24T01:05:32-0600'))&amp;_a=(columns:!('Message%20ID',Summary),filters:!(),index:'emp_*',interval:auto,query:(query_string:(analyze_wildcard:!t,query:'Message%5C+ID:(*)+AND+%22rtdc.l.rtdc.4025%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801</v>
      </c>
      <c r="B152" s="7">
        <v>4028</v>
      </c>
      <c r="C152" s="21" t="s">
        <v>196</v>
      </c>
      <c r="D152" s="21" t="s">
        <v>406</v>
      </c>
      <c r="E152" s="13">
        <v>43001.953530092593</v>
      </c>
      <c r="F152" s="13">
        <v>43001.95857638889</v>
      </c>
      <c r="G152" s="7">
        <v>62</v>
      </c>
      <c r="H152" s="21" t="s">
        <v>580</v>
      </c>
      <c r="I152" s="13">
        <v>43001.98232638889</v>
      </c>
      <c r="J152" s="7">
        <v>0</v>
      </c>
      <c r="K152" s="89" t="str">
        <f t="shared" si="77"/>
        <v>4027/4028</v>
      </c>
      <c r="L152" s="185" t="str">
        <f>VLOOKUP(A152,'Trips&amp;Operators'!$C$1:$G$99911,5,FALSE)</f>
        <v>HART KEVIN</v>
      </c>
      <c r="M152" s="6">
        <f t="shared" si="78"/>
        <v>2.3750000000291038E-2</v>
      </c>
      <c r="N152" s="7">
        <f t="shared" si="91"/>
        <v>34.200000000419095</v>
      </c>
      <c r="O152" s="7"/>
      <c r="P152" s="7"/>
      <c r="Q152" s="22"/>
      <c r="R152" s="174"/>
      <c r="S152" s="221">
        <f t="shared" si="75"/>
        <v>1</v>
      </c>
      <c r="T152" s="174" t="str">
        <f t="shared" si="79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80"/>
        <v>https://d0f6bd738d7f1b3e5a7ca70fe4ff75f0.us-east-1.aws.found.io/app/kibana#/discover/Steve-Slow-Train-Analysis-(2080s-and-2083s)?_g=(refreshInterval:(display:Off,pause:!f,section:0,value:0),time:(from:'2017-09-23T21:53:05-0600',mode:absolute,to:'2017-09-24T00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04" t="str">
        <f>IF(AA152&lt;VLOOKUP(AG152,Variables!$AC$3:$AD$8,2,FALSE),"Y","N")</f>
        <v>N</v>
      </c>
      <c r="X152" s="204">
        <f t="shared" si="76"/>
        <v>1</v>
      </c>
      <c r="Y152" s="204">
        <f t="shared" si="73"/>
        <v>4.6600000000000003E-2</v>
      </c>
      <c r="Z152" s="204">
        <f t="shared" si="74"/>
        <v>23.330300000000001</v>
      </c>
      <c r="AA152" s="204">
        <f t="shared" si="81"/>
        <v>23.2837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2"/>
        <v>237</v>
      </c>
      <c r="AE152" s="77" t="str">
        <f t="shared" si="83"/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AF152" s="74" t="str">
        <f t="shared" si="84"/>
        <v>"C:\Program Files (x86)\AstroGrep\AstroGrep.exe" /e /r /s /spath="%USERPROFILE%\AppData\Local\Temp\OnboardLogs" /stypes="app*4028*20170924*" /stext=" 05:.+((SYSTEM_STATE.+slice.+state.+changed )|(ment ac)|(multiple cpu faults)|(system.+state.+changed )|(\[timeout)|(PRM\|1\|D)|(kpr)|(kdp)|(train st.+moving)|(\|lc)|(penalty))"</v>
      </c>
      <c r="AG152" s="182" t="str">
        <f t="shared" si="85"/>
        <v>EC</v>
      </c>
      <c r="AH152" s="78" t="str">
        <f t="shared" si="86"/>
        <v>"%USERPROFILE%\Documents\GitHub\eaglep3\Utilities\RefineRTDCRunTimes.py" --tripid 237-23 --locoid 4028 --swversion DE.1.0.9.0 --startMP 204:466 --initTime 2017-09-23T22:53:05 --startdatetime 2017-09-23T23:00:21 --delay 62 --endMP 204:233303 --enddatetime 2017-09-23T23:34:33 --enforcementcount 0 &gt;&gt;c:\users\stu\Documents\GitHub\eaglep3-reporting\EC\2017-09-23-refined-times.txt</v>
      </c>
      <c r="AI152" s="96" t="str">
        <f t="shared" si="87"/>
        <v>echo {"issue":{"subject":"","project_id":79,"tracker_id":40,"status_id":1,"priority_id":2,"assigned_to_id":338,"start_date":"2017-09-23","description":"","custom_fields":[{"id":1,"name":"Subdivision","value":"EC"},{"id":4,"name":"Milepost","value":"23.3303"},{"id":17,"name":"Train ID","value":"237-23"},{"id":16,"name":"Locomotive ID","value":"4028"},{"id":130,"name":"Impact","value":""},{"id":150,"name":"Time of Event (Mountain Time)","value":"23:34:33"},{"id":151,"name":"Denver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88"/>
        <v>start /low /b %USERPROFILE%\Documents\GitHub\eaglep3\Utilities\DownloadLogsFromS3.py --loco 4028 --day 2017-09-23</v>
      </c>
      <c r="AN152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0"/>
        <v>https://d0f6bd738d7f1b3e5a7ca70fe4ff75f0.us-east-1.aws.found.io/app/kibana#/discover/Steve-Slow-Train-Analysis-(2080s-and-2083s)?_g=(refreshInterval:(display:Off,pause:!f,section:0,value:0),time:(from:'2017-09-23T21:53:05-0600',mode:absolute,to:'2017-09-24T00:34:33-0600'))&amp;_a=(columns:!('Message%20ID',Summary),filters:!(),index:'emp_*',interval:auto,query:(query_string:(analyze_wildcard:!t,query:'Message%5C+ID:(*)+AND+%22rtdc.l.rtdc.4028%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807</v>
      </c>
      <c r="B153" s="7">
        <v>4027</v>
      </c>
      <c r="C153" s="21" t="s">
        <v>196</v>
      </c>
      <c r="D153" s="21" t="s">
        <v>394</v>
      </c>
      <c r="E153" s="13">
        <v>43001.993321759262</v>
      </c>
      <c r="F153" s="13">
        <v>43001.998124999998</v>
      </c>
      <c r="G153" s="7">
        <v>59</v>
      </c>
      <c r="H153" s="21" t="s">
        <v>951</v>
      </c>
      <c r="I153" s="13">
        <v>43002.023310185185</v>
      </c>
      <c r="J153" s="7">
        <v>0</v>
      </c>
      <c r="K153" s="89" t="str">
        <f t="shared" si="77"/>
        <v>4027/4028</v>
      </c>
      <c r="L153" s="185" t="str">
        <f>VLOOKUP(A153,'Trips&amp;Operators'!$C$1:$G$99911,5,FALSE)</f>
        <v>HART KEVIN</v>
      </c>
      <c r="M153" s="6">
        <f t="shared" si="78"/>
        <v>2.5185185186273884E-2</v>
      </c>
      <c r="N153" s="7">
        <f t="shared" si="91"/>
        <v>36.266666668234393</v>
      </c>
      <c r="O153" s="7"/>
      <c r="P153" s="7"/>
      <c r="Q153" s="22"/>
      <c r="R153" s="174"/>
      <c r="S153" s="221">
        <f t="shared" si="75"/>
        <v>1</v>
      </c>
      <c r="T153" s="174" t="str">
        <f t="shared" si="79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0"/>
        <v>https://d0f6bd738d7f1b3e5a7ca70fe4ff75f0.us-east-1.aws.found.io/app/kibana#/discover/Steve-Slow-Train-Analysis-(2080s-and-2083s)?_g=(refreshInterval:(display:Off,pause:!f,section:0,value:0),time:(from:'2017-09-23T22:50:23-0600',mode:absolute,to:'2017-09-24T01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04" t="str">
        <f>IF(AA153&lt;VLOOKUP(AG153,Variables!$AC$3:$AD$8,2,FALSE),"Y","N")</f>
        <v>N</v>
      </c>
      <c r="X153" s="204">
        <f t="shared" si="76"/>
        <v>1</v>
      </c>
      <c r="Y153" s="204">
        <f t="shared" si="73"/>
        <v>23.299600000000002</v>
      </c>
      <c r="Z153" s="204">
        <f t="shared" si="74"/>
        <v>1.29E-2</v>
      </c>
      <c r="AA153" s="204">
        <f t="shared" si="81"/>
        <v>23.286700000000003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2"/>
        <v>238</v>
      </c>
      <c r="AE153" s="77" t="str">
        <f t="shared" si="83"/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AF153" s="74" t="str">
        <f t="shared" si="84"/>
        <v>"C:\Program Files (x86)\AstroGrep\AstroGrep.exe" /e /r /s /spath="%USERPROFILE%\AppData\Local\Temp\OnboardLogs" /stypes="app*4027*20170924*" /stext=" 06:.+((SYSTEM_STATE.+slice.+state.+changed )|(ment ac)|(multiple cpu faults)|(system.+state.+changed )|(\[timeout)|(PRM\|1\|D)|(kpr)|(kdp)|(train st.+moving)|(\|lc)|(penalty))"</v>
      </c>
      <c r="AG153" s="182" t="str">
        <f t="shared" si="85"/>
        <v>EC</v>
      </c>
      <c r="AH153" s="78" t="str">
        <f t="shared" si="86"/>
        <v>"%USERPROFILE%\Documents\GitHub\eaglep3\Utilities\RefineRTDCRunTimes.py" --tripid 238-23 --locoid 4027 --swversion DE.1.0.9.0 --startMP 204:232996 --initTime 2017-09-23T23:50:23 --startdatetime 2017-09-23T23:57:18 --delay 59 --endMP 204:129 --enddatetime 2017-09-24T00:33:34 --enforcementcount 0 &gt;&gt;c:\users\stu\Documents\GitHub\eaglep3-reporting\EC\2017-09-23-refined-times.txt</v>
      </c>
      <c r="AI153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{"issue":{"subject":"","project_id":79,"tracker_id":40,"status_id":1,"priority_id":2,"assigned_to_id":338,"start_date":"2017-09-24","description":"","custom_fields":[{"id":1,"name":"Subdivision","value":"EC"},{"id":4,"name":"Milepost","value":"0.0129"},{"id":17,"name":"Train ID","value":"238-23"},{"id":16,"name":"Locomotive ID","value":"4027"},{"id":130,"name":"Impact","value":""},{"id":150,"name":"Time of Event (Mountain Time)","value":"00:33:34"},{"id":151,"name":"Denver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88"/>
        <v>start /low /b %USERPROFILE%\Documents\GitHub\eaglep3\Utilities\DownloadLogsFromS3.py --loco 4027 --day 2017-09-23</v>
      </c>
      <c r="AN153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0"/>
        <v>https://d0f6bd738d7f1b3e5a7ca70fe4ff75f0.us-east-1.aws.found.io/app/kibana#/discover/Steve-Slow-Train-Analysis-(2080s-and-2083s)?_g=(refreshInterval:(display:Off,pause:!f,section:0,value:0),time:(from:'2017-09-23T22:50:23-0600',mode:absolute,to:'2017-09-24T01:33:34-0600'))&amp;_a=(columns:!('Message%20ID',Summary),filters:!(),index:'emp_*',interval:auto,query:(query_string:(analyze_wildcard:!t,query:'Message%5C+ID:(*)+AND+%22rtdc.l.rtdc.4027%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803</v>
      </c>
      <c r="B154" s="7">
        <v>4040</v>
      </c>
      <c r="C154" s="21" t="s">
        <v>196</v>
      </c>
      <c r="D154" s="21" t="s">
        <v>339</v>
      </c>
      <c r="E154" s="13">
        <v>43001.963379629633</v>
      </c>
      <c r="F154" s="13">
        <v>43001.979386574072</v>
      </c>
      <c r="G154" s="7">
        <v>55</v>
      </c>
      <c r="H154" s="21" t="s">
        <v>853</v>
      </c>
      <c r="I154" s="13">
        <v>43002.004664351851</v>
      </c>
      <c r="J154" s="7">
        <v>0</v>
      </c>
      <c r="K154" s="89" t="str">
        <f t="shared" si="77"/>
        <v>4039/4040</v>
      </c>
      <c r="L154" s="185" t="str">
        <f>VLOOKUP(A154,'Trips&amp;Operators'!$C$1:$G$99911,5,FALSE)</f>
        <v>FORTUNATO FRANK</v>
      </c>
      <c r="M154" s="6">
        <f t="shared" si="78"/>
        <v>2.527777777868323E-2</v>
      </c>
      <c r="N154" s="7">
        <f t="shared" si="91"/>
        <v>36.400000001303852</v>
      </c>
      <c r="O154" s="7"/>
      <c r="P154" s="7"/>
      <c r="Q154" s="22"/>
      <c r="R154" s="174"/>
      <c r="S154" s="221">
        <f t="shared" si="75"/>
        <v>1</v>
      </c>
      <c r="T154" s="174" t="str">
        <f t="shared" si="79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0"/>
        <v>https://d0f6bd738d7f1b3e5a7ca70fe4ff75f0.us-east-1.aws.found.io/app/kibana#/discover/Steve-Slow-Train-Analysis-(2080s-and-2083s)?_g=(refreshInterval:(display:Off,pause:!f,section:0,value:0),time:(from:'2017-09-23T22:07:16-0600',mode:absolute,to:'2017-09-24T01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4" s="204" t="str">
        <f>IF(AA154&lt;VLOOKUP(AG154,Variables!$AC$3:$AD$8,2,FALSE),"Y","N")</f>
        <v>N</v>
      </c>
      <c r="X154" s="204">
        <f t="shared" si="76"/>
        <v>1</v>
      </c>
      <c r="Y154" s="204">
        <f t="shared" si="73"/>
        <v>4.53E-2</v>
      </c>
      <c r="Z154" s="204">
        <f t="shared" si="74"/>
        <v>23.334700000000002</v>
      </c>
      <c r="AA154" s="204">
        <f t="shared" si="81"/>
        <v>23.289400000000001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2"/>
        <v>239</v>
      </c>
      <c r="AE154" s="77" t="str">
        <f t="shared" si="83"/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AF154" s="74" t="str">
        <f t="shared" si="84"/>
        <v>"C:\Program Files (x86)\AstroGrep\AstroGrep.exe" /e /r /s /spath="%USERPROFILE%\AppData\Local\Temp\OnboardLogs" /stypes="app*4040*20170924*" /stext=" 06:.+((SYSTEM_STATE.+slice.+state.+changed )|(ment ac)|(multiple cpu faults)|(system.+state.+changed )|(\[timeout)|(PRM\|1\|D)|(kpr)|(kdp)|(train st.+moving)|(\|lc)|(penalty))"</v>
      </c>
      <c r="AG154" s="182" t="str">
        <f t="shared" si="85"/>
        <v>EC</v>
      </c>
      <c r="AH154" s="78" t="str">
        <f t="shared" si="86"/>
        <v>"%USERPROFILE%\Documents\GitHub\eaglep3\Utilities\RefineRTDCRunTimes.py" --tripid 239-23 --locoid 4040 --swversion DE.1.0.9.0 --startMP 204:453 --initTime 2017-09-23T23:07:16 --startdatetime 2017-09-23T23:30:19 --delay 55 --endMP 204:233347 --enddatetime 2017-09-24T00:06:43 --enforcementcount 0 &gt;&gt;c:\users\stu\Documents\GitHub\eaglep3-reporting\EC\2017-09-23-refined-times.txt</v>
      </c>
      <c r="AI154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{"issue":{"subject":"","project_id":79,"tracker_id":40,"status_id":1,"priority_id":2,"assigned_to_id":338,"start_date":"2017-09-24","description":"","custom_fields":[{"id":1,"name":"Subdivision","value":"EC"},{"id":4,"name":"Milepost","value":"23.3347"},{"id":17,"name":"Train ID","value":"239-23"},{"id":16,"name":"Locomotive ID","value":"4040"},{"id":130,"name":"Impact","value":""},{"id":150,"name":"Time of Event (Mountain Time)","value":"00:06:43"},{"id":151,"name":"Denver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8"/>
        <v>start /low /b %USERPROFILE%\Documents\GitHub\eaglep3\Utilities\DownloadLogsFromS3.py --loco 4040 --day 2017-09-23</v>
      </c>
      <c r="AN154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0"/>
        <v>https://d0f6bd738d7f1b3e5a7ca70fe4ff75f0.us-east-1.aws.found.io/app/kibana#/discover/Steve-Slow-Train-Analysis-(2080s-and-2083s)?_g=(refreshInterval:(display:Off,pause:!f,section:0,value:0),time:(from:'2017-09-23T22:07:16-0600',mode:absolute,to:'2017-09-24T01:06:43-0600'))&amp;_a=(columns:!('Message%20ID',Summary),filters:!(),index:'emp_*',interval:auto,query:(query_string:(analyze_wildcard:!t,query:'Message%5C+ID:(*)+AND+%22rtdc.l.rtdc.4040%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809</v>
      </c>
      <c r="B155" s="7">
        <v>4039</v>
      </c>
      <c r="C155" s="21" t="s">
        <v>196</v>
      </c>
      <c r="D155" s="21" t="s">
        <v>952</v>
      </c>
      <c r="E155" s="13">
        <v>43002.006388888891</v>
      </c>
      <c r="F155" s="13">
        <v>43002.02039351852</v>
      </c>
      <c r="G155" s="7">
        <v>75</v>
      </c>
      <c r="H155" s="21" t="s">
        <v>367</v>
      </c>
      <c r="I155" s="13">
        <v>43002.046539351853</v>
      </c>
      <c r="J155" s="7">
        <v>0</v>
      </c>
      <c r="K155" s="89" t="str">
        <f t="shared" si="77"/>
        <v>4039/4040</v>
      </c>
      <c r="L155" s="185" t="str">
        <f>VLOOKUP(A155,'Trips&amp;Operators'!$C$1:$G$99911,5,FALSE)</f>
        <v>FORTUNATO FRANK</v>
      </c>
      <c r="M155" s="6">
        <f t="shared" si="78"/>
        <v>2.6145833333430346E-2</v>
      </c>
      <c r="N155" s="7">
        <f t="shared" si="91"/>
        <v>37.650000000139698</v>
      </c>
      <c r="O155" s="7"/>
      <c r="P155" s="7"/>
      <c r="Q155" s="22"/>
      <c r="R155" s="174"/>
      <c r="S155" s="221">
        <f t="shared" si="75"/>
        <v>1</v>
      </c>
      <c r="T155" s="174" t="str">
        <f t="shared" si="79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0"/>
        <v>https://d0f6bd738d7f1b3e5a7ca70fe4ff75f0.us-east-1.aws.found.io/app/kibana#/discover/Steve-Slow-Train-Analysis-(2080s-and-2083s)?_g=(refreshInterval:(display:Off,pause:!f,section:0,value:0),time:(from:'2017-09-23T23:09:12-0600',mode:absolute,to:'2017-09-24T02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5" s="204" t="str">
        <f>IF(AA155&lt;VLOOKUP(AG155,Variables!$AC$3:$AD$8,2,FALSE),"Y","N")</f>
        <v>N</v>
      </c>
      <c r="X155" s="204">
        <f t="shared" si="76"/>
        <v>1</v>
      </c>
      <c r="Y155" s="204">
        <f t="shared" si="73"/>
        <v>23.302499999999998</v>
      </c>
      <c r="Z155" s="204">
        <f t="shared" si="74"/>
        <v>1.5599999999999999E-2</v>
      </c>
      <c r="AA155" s="204">
        <f t="shared" si="81"/>
        <v>23.286899999999999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2"/>
        <v>240</v>
      </c>
      <c r="AE155" s="77" t="str">
        <f t="shared" si="83"/>
        <v>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 &amp; aws s3 cp s3://rtdc.mdm.uploadarchive.raw/RTDC4039/ "%USERPROFILE%\AppData\Local\Temp\OnboardLogs"\RTDC4039\2017-09-25 --exclude "*" --recursive --include "*20170925*" &amp; "%USERPROFILE%\Documents\GitHub\mrs-test-scripts\Headless Mode &amp; Sideloading\WalkAndUnGZ.bat" "%USERPROFILE%\AppData\Local\Temp\OnboardLogs"\RTDC4039\2017-09-25</v>
      </c>
      <c r="AF155" s="74" t="str">
        <f t="shared" si="84"/>
        <v>"C:\Program Files (x86)\AstroGrep\AstroGrep.exe" /e /r /s /spath="%USERPROFILE%\AppData\Local\Temp\OnboardLogs" /stypes="app*4039*20170924*" /stext=" 07:.+((SYSTEM_STATE.+slice.+state.+changed )|(ment ac)|(multiple cpu faults)|(system.+state.+changed )|(\[timeout)|(PRM\|1\|D)|(kpr)|(kdp)|(train st.+moving)|(\|lc)|(penalty))"</v>
      </c>
      <c r="AG155" s="182" t="str">
        <f t="shared" si="85"/>
        <v>EC</v>
      </c>
      <c r="AH155" s="78" t="str">
        <f t="shared" si="86"/>
        <v>"%USERPROFILE%\Documents\GitHub\eaglep3\Utilities\RefineRTDCRunTimes.py" --tripid 240-23 --locoid 4039 --swversion DE.1.0.9.0 --startMP 204:233025 --initTime 2017-09-24T00:09:12 --startdatetime 2017-09-24T00:29:22 --delay 75 --endMP 204:156 --enddatetime 2017-09-24T01:07:01 --enforcementcount 0 &gt;&gt;c:\users\stu\Documents\GitHub\eaglep3-reporting\EC\2017-09-23-refined-times.txt</v>
      </c>
      <c r="AI155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ID","value":"240-23"},{"id":16,"name":"Locomotive ID","value":"4039"},{"id":130,"name":"Impact","value":""},{"id":150,"name":"Time of Event (Mountain Time)","value":"01:07:01"},{"id":151,"name":"Denver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88"/>
        <v>start /low /b %USERPROFILE%\Documents\GitHub\eaglep3\Utilities\DownloadLogsFromS3.py --loco 4039 --day 2017-09-24</v>
      </c>
      <c r="AN15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0"/>
        <v>https://d0f6bd738d7f1b3e5a7ca70fe4ff75f0.us-east-1.aws.found.io/app/kibana#/discover/Steve-Slow-Train-Analysis-(2080s-and-2083s)?_g=(refreshInterval:(display:Off,pause:!f,section:0,value:0),time:(from:'2017-09-23T23:09:12-0600',mode:absolute,to:'2017-09-24T02:07:01-0600'))&amp;_a=(columns:!('Message%20ID',Summary),filters:!(),index:'emp_*',interval:auto,query:(query_string:(analyze_wildcard:!t,query:'Message%5C+ID:(*)+AND+%22rtdc.l.rtdc.4039%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806</v>
      </c>
      <c r="B156" s="7">
        <v>4058</v>
      </c>
      <c r="C156" s="21" t="s">
        <v>196</v>
      </c>
      <c r="D156" s="21" t="s">
        <v>375</v>
      </c>
      <c r="E156" s="13">
        <v>43001.984849537039</v>
      </c>
      <c r="F156" s="13">
        <v>43002.000138888892</v>
      </c>
      <c r="G156" s="7">
        <v>58</v>
      </c>
      <c r="H156" s="21" t="s">
        <v>580</v>
      </c>
      <c r="I156" s="13">
        <v>43002.025567129633</v>
      </c>
      <c r="J156" s="7">
        <v>0</v>
      </c>
      <c r="K156" s="89" t="str">
        <f t="shared" si="77"/>
        <v>4057/4058</v>
      </c>
      <c r="L156" s="185" t="str">
        <f>VLOOKUP(A156,'Trips&amp;Operators'!$C$1:$G$99911,5,FALSE)</f>
        <v>ELBAUM MIKE</v>
      </c>
      <c r="M156" s="6">
        <f t="shared" si="78"/>
        <v>2.5428240740438923E-2</v>
      </c>
      <c r="N156" s="7">
        <f t="shared" si="91"/>
        <v>36.616666666232049</v>
      </c>
      <c r="O156" s="7"/>
      <c r="P156" s="7"/>
      <c r="Q156" s="22"/>
      <c r="R156" s="174"/>
      <c r="S156" s="221">
        <f t="shared" si="75"/>
        <v>1</v>
      </c>
      <c r="T156" s="174" t="str">
        <f t="shared" si="79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0"/>
        <v>https://d0f6bd738d7f1b3e5a7ca70fe4ff75f0.us-east-1.aws.found.io/app/kibana#/discover/Steve-Slow-Train-Analysis-(2080s-and-2083s)?_g=(refreshInterval:(display:Off,pause:!f,section:0,value:0),time:(from:'2017-09-23T22:38:11-0600',mode:absolute,to:'2017-09-24T01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6" s="204" t="str">
        <f>IF(AA156&lt;VLOOKUP(AG156,Variables!$AC$3:$AD$8,2,FALSE),"Y","N")</f>
        <v>N</v>
      </c>
      <c r="X156" s="204">
        <f t="shared" si="76"/>
        <v>1</v>
      </c>
      <c r="Y156" s="204">
        <f t="shared" si="73"/>
        <v>4.4200000000000003E-2</v>
      </c>
      <c r="Z156" s="204">
        <f t="shared" si="74"/>
        <v>23.330300000000001</v>
      </c>
      <c r="AA156" s="204">
        <f t="shared" si="81"/>
        <v>23.286100000000001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2"/>
        <v>241</v>
      </c>
      <c r="AE156" s="77" t="str">
        <f t="shared" si="83"/>
        <v>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 &amp; aws s3 cp s3://rtdc.mdm.uploadarchive.raw/RTDC4058/ "%USERPROFILE%\AppData\Local\Temp\OnboardLogs"\RTDC4058\2017-09-25 --exclude "*" --recursive --include "*20170925*" &amp; "%USERPROFILE%\Documents\GitHub\mrs-test-scripts\Headless Mode &amp; Sideloading\WalkAndUnGZ.bat" "%USERPROFILE%\AppData\Local\Temp\OnboardLogs"\RTDC4058\2017-09-25</v>
      </c>
      <c r="AF156" s="74" t="str">
        <f t="shared" si="84"/>
        <v>"C:\Program Files (x86)\AstroGrep\AstroGrep.exe" /e /r /s /spath="%USERPROFILE%\AppData\Local\Temp\OnboardLogs" /stypes="app*4058*20170924*" /stext=" 06:.+((SYSTEM_STATE.+slice.+state.+changed )|(ment ac)|(multiple cpu faults)|(system.+state.+changed )|(\[timeout)|(PRM\|1\|D)|(kpr)|(kdp)|(train st.+moving)|(\|lc)|(penalty))"</v>
      </c>
      <c r="AG156" s="182" t="str">
        <f t="shared" si="85"/>
        <v>EC</v>
      </c>
      <c r="AH156" s="78" t="str">
        <f t="shared" si="86"/>
        <v>"%USERPROFILE%\Documents\GitHub\eaglep3\Utilities\RefineRTDCRunTimes.py" --tripid 241-23 --locoid 4058 --swversion DE.1.0.9.0 --startMP 204:442 --initTime 2017-09-23T23:38:11 --startdatetime 2017-09-24T00:00:12 --delay 58 --endMP 204:233303 --enddatetime 2017-09-24T00:36:49 --enforcementcount 0 &gt;&gt;c:\users\stu\Documents\GitHub\eaglep3-reporting\EC\2017-09-23-refined-times.txt</v>
      </c>
      <c r="AI156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{"issue":{"subject":"","project_id":79,"tracker_id":40,"status_id":1,"priority_id":2,"assigned_to_id":338,"start_date":"2017-09-24","description":"","custom_fields":[{"id":1,"name":"Subdivision","value":"EC"},{"id":4,"name":"Milepost","value":"23.3303"},{"id":17,"name":"Train ID","value":"241-23"},{"id":16,"name":"Locomotive ID","value":"4058"},{"id":130,"name":"Impact","value":""},{"id":150,"name":"Time of Event (Mountain Time)","value":"00:36:49"},{"id":151,"name":"Denver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88"/>
        <v>start /low /b %USERPROFILE%\Documents\GitHub\eaglep3\Utilities\DownloadLogsFromS3.py --loco 4058 --day 2017-09-24</v>
      </c>
      <c r="AN156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06:36:49"},{"id":29,"name":"Sharepoint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0"/>
        <v>https://d0f6bd738d7f1b3e5a7ca70fe4ff75f0.us-east-1.aws.found.io/app/kibana#/discover/Steve-Slow-Train-Analysis-(2080s-and-2083s)?_g=(refreshInterval:(display:Off,pause:!f,section:0,value:0),time:(from:'2017-09-23T22:38:11-0600',mode:absolute,to:'2017-09-24T01:36:49-0600'))&amp;_a=(columns:!('Message%20ID',Summary),filters:!(),index:'emp_*',interval:auto,query:(query_string:(analyze_wildcard:!t,query:'Message%5C+ID:(*)+AND+%22rtdc.l.rtdc.4058%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810</v>
      </c>
      <c r="B157" s="7">
        <v>4057</v>
      </c>
      <c r="C157" s="21" t="s">
        <v>196</v>
      </c>
      <c r="D157" s="21" t="s">
        <v>375</v>
      </c>
      <c r="E157" s="13">
        <v>43001.984849537039</v>
      </c>
      <c r="F157" s="13">
        <v>43002.039826388886</v>
      </c>
      <c r="G157" s="7">
        <v>58</v>
      </c>
      <c r="H157" s="21" t="s">
        <v>580</v>
      </c>
      <c r="I157" s="13">
        <v>43002.06554398148</v>
      </c>
      <c r="J157" s="7">
        <v>0</v>
      </c>
      <c r="K157" s="89" t="str">
        <f t="shared" si="77"/>
        <v>4057/4058</v>
      </c>
      <c r="L157" s="185" t="str">
        <f>VLOOKUP(A157,'Trips&amp;Operators'!$C$1:$G$99911,5,FALSE)</f>
        <v>ELBAUM MIKE</v>
      </c>
      <c r="M157" s="6">
        <f t="shared" si="78"/>
        <v>2.5717592594446614E-2</v>
      </c>
      <c r="N157" s="7">
        <f t="shared" si="91"/>
        <v>37.033333336003125</v>
      </c>
      <c r="O157" s="7"/>
      <c r="P157" s="7"/>
      <c r="Q157" s="22"/>
      <c r="R157" s="174"/>
      <c r="S157" s="221">
        <f t="shared" si="75"/>
        <v>1</v>
      </c>
      <c r="T157" s="174" t="str">
        <f t="shared" si="79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80"/>
        <v>https://d0f6bd738d7f1b3e5a7ca70fe4ff75f0.us-east-1.aws.found.io/app/kibana#/discover/Steve-Slow-Train-Analysis-(2080s-and-2083s)?_g=(refreshInterval:(display:Off,pause:!f,section:0,value:0),time:(from:'2017-09-23T22:38:11-0600',mode:absolute,to:'2017-09-24T02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7" s="204" t="str">
        <f>IF(AA157&lt;VLOOKUP(AG157,Variables!$AC$3:$AD$8,2,FALSE),"Y","N")</f>
        <v>N</v>
      </c>
      <c r="X157" s="204">
        <f t="shared" si="76"/>
        <v>1</v>
      </c>
      <c r="Y157" s="204">
        <v>23.302499999999998</v>
      </c>
      <c r="Z157" s="204">
        <v>1.5599999999999999E-2</v>
      </c>
      <c r="AA157" s="204">
        <f t="shared" si="81"/>
        <v>23.286899999999999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2"/>
        <v>242</v>
      </c>
      <c r="AE157" s="77" t="str">
        <f t="shared" si="83"/>
        <v>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 &amp; aws s3 cp s3://rtdc.mdm.uploadarchive.raw/RTDC4057/ "%USERPROFILE%\AppData\Local\Temp\OnboardLogs"\RTDC4057\2017-09-25 --exclude "*" --recursive --include "*20170925*" &amp; "%USERPROFILE%\Documents\GitHub\mrs-test-scripts\Headless Mode &amp; Sideloading\WalkAndUnGZ.bat" "%USERPROFILE%\AppData\Local\Temp\OnboardLogs"\RTDC4057\2017-09-25</v>
      </c>
      <c r="AF157" s="74" t="str">
        <f t="shared" si="84"/>
        <v>"C:\Program Files (x86)\AstroGrep\AstroGrep.exe" /e /r /s /spath="%USERPROFILE%\AppData\Local\Temp\OnboardLogs" /stypes="app*4057*20170924*" /stext=" 07:.+((SYSTEM_STATE.+slice.+state.+changed )|(ment ac)|(multiple cpu faults)|(system.+state.+changed )|(\[timeout)|(PRM\|1\|D)|(kpr)|(kdp)|(train st.+moving)|(\|lc)|(penalty))"</v>
      </c>
      <c r="AG157" s="182" t="str">
        <f t="shared" si="85"/>
        <v>EC</v>
      </c>
      <c r="AH157" s="78" t="str">
        <f t="shared" ref="AH157" si="92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242-23 --locoid 4057 --swversion DE.1.0.9.0 --startMP 204:442 --initTime 2017-09-23T23:38:11 --startdatetime 2017-09-24T00:57:21 --delay 58 --endMP 204:233303 --enddatetime 2017-09-24T01:34:23 --enforcementcount 0 &gt;&gt;c:\users\stu\Documents\GitHub\eaglep3-reporting\EC\2017-09-23-refined-times.txt</v>
      </c>
      <c r="AI157" s="96" t="str">
        <f t="shared" ref="AI157" si="93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ID","value":"242-23"},{"id":16,"name":"Locomotive ID","value":"4057"},{"id":130,"name":"Impact","value":""},{"id":150,"name":"Time of Event (Mountain Time)","value":"01:34:23"},{"id":151,"name":"Denver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ref="AM157" si="94">"start /low /b "&amp;dls3logs&amp;" --loco "&amp;B157&amp;" --day "&amp;TEXT(F157,"YYYY-MM-DD")</f>
        <v>start /low /b %USERPROFILE%\Documents\GitHub\eaglep3\Utilities\DownloadLogsFromS3.py --loco 4057 --day 2017-09-24</v>
      </c>
      <c r="AN157" s="151" t="str">
        <f t="shared" ref="AN157" si="95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ref="AO157" si="96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Message%5C+ID:(*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-23T22:38:11-0600',mode:absolute,to:'2017-09-24T02:34:23-0600'))&amp;_a=(columns:!('Message%20ID',Summary),filters:!(),index:'emp_*',interval:auto,query:(query_string:(analyze_wildcard:!t,query:'Message%5C+ID:(*)+AND+%22rtdc.l.rtdc.4057%22')),sort:!(Time.ISO8601,asc))</v>
      </c>
    </row>
    <row r="158" spans="1:91" s="20" customFormat="1" x14ac:dyDescent="0.25">
      <c r="A158" s="32" t="s">
        <v>808</v>
      </c>
      <c r="B158" s="7">
        <v>4026</v>
      </c>
      <c r="C158" s="21" t="s">
        <v>196</v>
      </c>
      <c r="D158" s="21" t="s">
        <v>412</v>
      </c>
      <c r="E158" s="13">
        <v>43002.005486111113</v>
      </c>
      <c r="F158" s="13">
        <v>43002.021226851852</v>
      </c>
      <c r="G158" s="7">
        <v>108</v>
      </c>
      <c r="H158" s="21" t="s">
        <v>440</v>
      </c>
      <c r="I158" s="13">
        <v>43002.046770833331</v>
      </c>
      <c r="J158" s="7">
        <v>0</v>
      </c>
      <c r="K158" s="89" t="str">
        <f t="shared" si="77"/>
        <v>4025/4026</v>
      </c>
      <c r="L158" s="185" t="str">
        <f>VLOOKUP(A158,'Trips&amp;Operators'!$C$1:$G$99911,5,FALSE)</f>
        <v>PERKINS DARREN</v>
      </c>
      <c r="M158" s="6">
        <f t="shared" si="78"/>
        <v>2.5543981479131617E-2</v>
      </c>
      <c r="N158" s="7">
        <f t="shared" si="91"/>
        <v>36.783333329949528</v>
      </c>
      <c r="O158" s="7"/>
      <c r="P158" s="7"/>
      <c r="Q158" s="22"/>
      <c r="R158" s="174"/>
      <c r="S158" s="221">
        <f t="shared" si="75"/>
        <v>1</v>
      </c>
      <c r="T158" s="174" t="str">
        <f t="shared" si="79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80"/>
        <v>https://d0f6bd738d7f1b3e5a7ca70fe4ff75f0.us-east-1.aws.found.io/app/kibana#/discover/Steve-Slow-Train-Analysis-(2080s-and-2083s)?_g=(refreshInterval:(display:Off,pause:!f,section:0,value:0),time:(from:'2017-09-23T23:07:54-0600',mode:absolute,to:'2017-09-24T02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8" s="204" t="str">
        <f>IF(AA158&lt;VLOOKUP(AG158,Variables!$AC$3:$AD$8,2,FALSE),"Y","N")</f>
        <v>N</v>
      </c>
      <c r="X158" s="204">
        <f t="shared" si="76"/>
        <v>1</v>
      </c>
      <c r="Y158" s="204">
        <f t="shared" ref="Y158:Y166" si="97">RIGHT(D158,LEN(D158)-4)/10000</f>
        <v>4.3299999999999998E-2</v>
      </c>
      <c r="Z158" s="204">
        <f t="shared" ref="Z158:Z166" si="98">RIGHT(H158,LEN(H158)-4)/10000</f>
        <v>23.329499999999999</v>
      </c>
      <c r="AA158" s="204">
        <f t="shared" si="81"/>
        <v>23.286200000000001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2"/>
        <v>243</v>
      </c>
      <c r="AE158" s="77" t="str">
        <f t="shared" si="83"/>
        <v>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 &amp; 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</v>
      </c>
      <c r="AF158" s="74" t="str">
        <f t="shared" si="84"/>
        <v>"C:\Program Files (x86)\AstroGrep\AstroGrep.exe" /e /r /s /spath="%USERPROFILE%\AppData\Local\Temp\OnboardLogs" /stypes="app*4026*20170924*" /stext=" 07:.+((SYSTEM_STATE.+slice.+state.+changed )|(ment ac)|(multiple cpu faults)|(system.+state.+changed )|(\[timeout)|(PRM\|1\|D)|(kpr)|(kdp)|(train st.+moving)|(\|lc)|(penalty))"</v>
      </c>
      <c r="AG158" s="182" t="str">
        <f t="shared" si="85"/>
        <v>EC</v>
      </c>
      <c r="AH158" s="78" t="str">
        <f t="shared" si="86"/>
        <v>"%USERPROFILE%\Documents\GitHub\eaglep3\Utilities\RefineRTDCRunTimes.py" --tripid 243-23 --locoid 4026 --swversion DE.1.0.9.0 --startMP 204:433 --initTime 2017-09-24T00:07:54 --startdatetime 2017-09-24T00:30:34 --delay 108 --endMP 204:233295 --enddatetime 2017-09-24T01:07:21 --enforcementcount 0 &gt;&gt;c:\users\stu\Documents\GitHub\eaglep3-reporting\EC\2017-09-23-refined-times.txt</v>
      </c>
      <c r="AI158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{"issue":{"subject":"","project_id":79,"tracker_id":40,"status_id":1,"priority_id":2,"assigned_to_id":338,"start_date":"2017-09-24","description":"","custom_fields":[{"id":1,"name":"Subdivision","value":"EC"},{"id":4,"name":"Milepost","value":"23.3295"},{"id":17,"name":"Train ID","value":"243-23"},{"id":16,"name":"Locomotive ID","value":"4026"},{"id":130,"name":"Impact","value":""},{"id":150,"name":"Time of Event (Mountain Time)","value":"01:07:21"},{"id":151,"name":"Denver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8"/>
        <v>start /low /b %USERPROFILE%\Documents\GitHub\eaglep3\Utilities\DownloadLogsFromS3.py --loco 4026 --day 2017-09-24</v>
      </c>
      <c r="AN15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0"/>
        <v>https://d0f6bd738d7f1b3e5a7ca70fe4ff75f0.us-east-1.aws.found.io/app/kibana#/discover/Steve-Slow-Train-Analysis-(2080s-and-2083s)?_g=(refreshInterval:(display:Off,pause:!f,section:0,value:0),time:(from:'2017-09-23T23:07:54-0600',mode:absolute,to:'2017-09-24T02:07:21-0600'))&amp;_a=(columns:!('Message%20ID',Summary),filters:!(),index:'emp_*',interval:auto,query:(query_string:(analyze_wildcard:!t,query:'Message%5C+ID:(*)+AND+%22rtdc.l.rtdc.4026%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813</v>
      </c>
      <c r="B159" s="7">
        <v>4025</v>
      </c>
      <c r="C159" s="21" t="s">
        <v>196</v>
      </c>
      <c r="D159" s="21" t="s">
        <v>953</v>
      </c>
      <c r="E159" s="13">
        <v>43002.055868055555</v>
      </c>
      <c r="F159" s="13">
        <v>43002.060601851852</v>
      </c>
      <c r="G159" s="7">
        <v>59</v>
      </c>
      <c r="H159" s="21" t="s">
        <v>391</v>
      </c>
      <c r="I159" s="13">
        <v>43002.086111111108</v>
      </c>
      <c r="J159" s="7">
        <v>0</v>
      </c>
      <c r="K159" s="89" t="str">
        <f t="shared" si="77"/>
        <v>4025/4026</v>
      </c>
      <c r="L159" s="185" t="str">
        <f>VLOOKUP(A159,'Trips&amp;Operators'!$C$1:$G$99911,5,FALSE)</f>
        <v>PERKINS DARREN</v>
      </c>
      <c r="M159" s="6">
        <f t="shared" si="78"/>
        <v>2.5509259256068617E-2</v>
      </c>
      <c r="N159" s="7">
        <f t="shared" si="91"/>
        <v>36.733333328738809</v>
      </c>
      <c r="O159" s="7"/>
      <c r="P159" s="7"/>
      <c r="Q159" s="22"/>
      <c r="R159" s="174"/>
      <c r="S159" s="221">
        <f t="shared" si="75"/>
        <v>1</v>
      </c>
      <c r="T159" s="174" t="str">
        <f t="shared" si="79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80"/>
        <v>https://d0f6bd738d7f1b3e5a7ca70fe4ff75f0.us-east-1.aws.found.io/app/kibana#/discover/Steve-Slow-Train-Analysis-(2080s-and-2083s)?_g=(refreshInterval:(display:Off,pause:!f,section:0,value:0),time:(from:'2017-09-24T00:20:27-0600',mode:absolute,to:'2017-09-24T03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9" s="204" t="str">
        <f>IF(AA159&lt;VLOOKUP(AG159,Variables!$AC$3:$AD$8,2,FALSE),"Y","N")</f>
        <v>N</v>
      </c>
      <c r="X159" s="204">
        <f t="shared" si="76"/>
        <v>1</v>
      </c>
      <c r="Y159" s="204">
        <f t="shared" si="97"/>
        <v>23.2971</v>
      </c>
      <c r="Z159" s="204">
        <f t="shared" si="98"/>
        <v>1.3599999999999999E-2</v>
      </c>
      <c r="AA159" s="204">
        <f t="shared" si="81"/>
        <v>23.2835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2"/>
        <v>244</v>
      </c>
      <c r="AE159" s="77" t="str">
        <f t="shared" si="83"/>
        <v>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 &amp; aws s3 cp s3://rtdc.mdm.uploadarchive.raw/RTDC4025/ "%USERPROFILE%\AppData\Local\Temp\OnboardLogs"\RTDC4025\2017-09-25 --exclude "*" --recursive --include "*20170925*" &amp; "%USERPROFILE%\Documents\GitHub\mrs-test-scripts\Headless Mode &amp; Sideloading\WalkAndUnGZ.bat" "%USERPROFILE%\AppData\Local\Temp\OnboardLogs"\RTDC4025\2017-09-25</v>
      </c>
      <c r="AF159" s="74" t="str">
        <f t="shared" si="84"/>
        <v>"C:\Program Files (x86)\AstroGrep\AstroGrep.exe" /e /r /s /spath="%USERPROFILE%\AppData\Local\Temp\OnboardLogs" /stypes="app*4025*20170924*" /stext=" 08:.+((SYSTEM_STATE.+slice.+state.+changed )|(ment ac)|(multiple cpu faults)|(system.+state.+changed )|(\[timeout)|(PRM\|1\|D)|(kpr)|(kdp)|(train st.+moving)|(\|lc)|(penalty))"</v>
      </c>
      <c r="AG159" s="182" t="str">
        <f t="shared" si="85"/>
        <v>EC</v>
      </c>
      <c r="AH159" s="78" t="str">
        <f t="shared" si="86"/>
        <v>"%USERPROFILE%\Documents\GitHub\eaglep3\Utilities\RefineRTDCRunTimes.py" --tripid 244-23 --locoid 4025 --swversion DE.1.0.9.0 --startMP 204:232971 --initTime 2017-09-24T01:20:27 --startdatetime 2017-09-24T01:27:16 --delay 59 --endMP 204:136 --enddatetime 2017-09-24T02:04:00 --enforcementcount 0 &gt;&gt;c:\users\stu\Documents\GitHub\eaglep3-reporting\EC\2017-09-23-refined-times.txt</v>
      </c>
      <c r="AI159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{"issue":{"subject":"","project_id":79,"tracker_id":40,"status_id":1,"priority_id":2,"assigned_to_id":338,"start_date":"2017-09-24","description":"","custom_fields":[{"id":1,"name":"Subdivision","value":"EC"},{"id":4,"name":"Milepost","value":"0.0136"},{"id":17,"name":"Train ID","value":"244-23"},{"id":16,"name":"Locomotive ID","value":"4025"},{"id":130,"name":"Impact","value":""},{"id":150,"name":"Time of Event (Mountain Time)","value":"02:04:00"},{"id":151,"name":"Denver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88"/>
        <v>start /low /b %USERPROFILE%\Documents\GitHub\eaglep3\Utilities\DownloadLogsFromS3.py --loco 4025 --day 2017-09-24</v>
      </c>
      <c r="AN15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08:04:00"},{"id":29,"name":"Sharepoint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0"/>
        <v>https://d0f6bd738d7f1b3e5a7ca70fe4ff75f0.us-east-1.aws.found.io/app/kibana#/discover/Steve-Slow-Train-Analysis-(2080s-and-2083s)?_g=(refreshInterval:(display:Off,pause:!f,section:0,value:0),time:(from:'2017-09-24T00:20:27-0600',mode:absolute,to:'2017-09-24T03:04:00-0600'))&amp;_a=(columns:!('Message%20ID',Summary),filters:!(),index:'emp_*',interval:auto,query:(query_string:(analyze_wildcard:!t,query:'Message%5C+ID:(*)+AND+%22rtdc.l.rtdc.4025%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811</v>
      </c>
      <c r="B160" s="7">
        <v>4028</v>
      </c>
      <c r="C160" s="21" t="s">
        <v>196</v>
      </c>
      <c r="D160" s="21" t="s">
        <v>378</v>
      </c>
      <c r="E160" s="13">
        <v>43002.039537037039</v>
      </c>
      <c r="F160" s="13">
        <v>43002.041921296295</v>
      </c>
      <c r="G160" s="7">
        <v>48</v>
      </c>
      <c r="H160" s="21" t="s">
        <v>409</v>
      </c>
      <c r="I160" s="13">
        <v>43002.066759259258</v>
      </c>
      <c r="J160" s="7">
        <v>0</v>
      </c>
      <c r="K160" s="89" t="str">
        <f t="shared" si="77"/>
        <v>4027/4028</v>
      </c>
      <c r="L160" s="185" t="str">
        <f>VLOOKUP(A160,'Trips&amp;Operators'!$C$1:$G$99911,5,FALSE)</f>
        <v>HART KEVIN</v>
      </c>
      <c r="M160" s="6">
        <f t="shared" si="78"/>
        <v>2.4837962962919846E-2</v>
      </c>
      <c r="N160" s="7">
        <f t="shared" si="91"/>
        <v>35.766666666604578</v>
      </c>
      <c r="O160" s="7"/>
      <c r="P160" s="7"/>
      <c r="Q160" s="22"/>
      <c r="R160" s="174"/>
      <c r="S160" s="221">
        <f t="shared" si="75"/>
        <v>1</v>
      </c>
      <c r="T160" s="174" t="str">
        <f t="shared" si="79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80"/>
        <v>https://d0f6bd738d7f1b3e5a7ca70fe4ff75f0.us-east-1.aws.found.io/app/kibana#/discover/Steve-Slow-Train-Analysis-(2080s-and-2083s)?_g=(refreshInterval:(display:Off,pause:!f,section:0,value:0),time:(from:'2017-09-23T23:56:56-0600',mode:absolute,to:'2017-09-24T02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204" t="str">
        <f>IF(AA160&lt;VLOOKUP(AG160,Variables!$AC$3:$AD$8,2,FALSE),"Y","N")</f>
        <v>N</v>
      </c>
      <c r="X160" s="204">
        <f t="shared" si="76"/>
        <v>1</v>
      </c>
      <c r="Y160" s="204">
        <f t="shared" si="97"/>
        <v>4.5999999999999999E-2</v>
      </c>
      <c r="Z160" s="204">
        <f t="shared" si="98"/>
        <v>23.3293</v>
      </c>
      <c r="AA160" s="204">
        <f t="shared" si="81"/>
        <v>23.283300000000001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2"/>
        <v>245</v>
      </c>
      <c r="AE160" s="77" t="str">
        <f t="shared" si="83"/>
        <v>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 &amp; aws s3 cp s3://rtdc.mdm.uploadarchive.raw/RTDC4028/ "%USERPROFILE%\AppData\Local\Temp\OnboardLogs"\RTDC4028\2017-09-25 --exclude "*" --recursive --include "*20170925*" &amp; "%USERPROFILE%\Documents\GitHub\mrs-test-scripts\Headless Mode &amp; Sideloading\WalkAndUnGZ.bat" "%USERPROFILE%\AppData\Local\Temp\OnboardLogs"\RTDC4028\2017-09-25</v>
      </c>
      <c r="AF160" s="74" t="str">
        <f t="shared" si="84"/>
        <v>"C:\Program Files (x86)\AstroGrep\AstroGrep.exe" /e /r /s /spath="%USERPROFILE%\AppData\Local\Temp\OnboardLogs" /stypes="app*4028*20170924*" /stext=" 07:.+((SYSTEM_STATE.+slice.+state.+changed )|(ment ac)|(multiple cpu faults)|(system.+state.+changed )|(\[timeout)|(PRM\|1\|D)|(kpr)|(kdp)|(train st.+moving)|(\|lc)|(penalty))"</v>
      </c>
      <c r="AG160" s="182" t="str">
        <f t="shared" si="85"/>
        <v>EC</v>
      </c>
      <c r="AH160" s="78" t="str">
        <f t="shared" si="86"/>
        <v>"%USERPROFILE%\Documents\GitHub\eaglep3\Utilities\RefineRTDCRunTimes.py" --tripid 245-23 --locoid 4028 --swversion DE.1.0.9.0 --startMP 204:460 --initTime 2017-09-24T00:56:56 --startdatetime 2017-09-24T01:00:22 --delay 48 --endMP 204:233293 --enddatetime 2017-09-24T01:36:08 --enforcementcount 0 &gt;&gt;c:\users\stu\Documents\GitHub\eaglep3-reporting\EC\2017-09-23-refined-times.txt</v>
      </c>
      <c r="AI160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{"issue":{"subject":"","project_id":79,"tracker_id":40,"status_id":1,"priority_id":2,"assigned_to_id":338,"start_date":"2017-09-24","description":"","custom_fields":[{"id":1,"name":"Subdivision","value":"EC"},{"id":4,"name":"Milepost","value":"23.3293"},{"id":17,"name":"Train ID","value":"245-23"},{"id":16,"name":"Locomotive ID","value":"4028"},{"id":130,"name":"Impact","value":""},{"id":150,"name":"Time of Event (Mountain Time)","value":"01:36:08"},{"id":151,"name":"Denver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88"/>
        <v>start /low /b %USERPROFILE%\Documents\GitHub\eaglep3\Utilities\DownloadLogsFromS3.py --loco 4028 --day 2017-09-24</v>
      </c>
      <c r="AN160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0"/>
        <v>https://d0f6bd738d7f1b3e5a7ca70fe4ff75f0.us-east-1.aws.found.io/app/kibana#/discover/Steve-Slow-Train-Analysis-(2080s-and-2083s)?_g=(refreshInterval:(display:Off,pause:!f,section:0,value:0),time:(from:'2017-09-23T23:56:56-0600',mode:absolute,to:'2017-09-24T02:36:08-0600'))&amp;_a=(columns:!('Message%20ID',Summary),filters:!(),index:'emp_*',interval:auto,query:(query_string:(analyze_wildcard:!t,query:'Message%5C+ID:(*)+AND+%22rtdc.l.rtdc.4028%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815</v>
      </c>
      <c r="B161" s="7">
        <v>4027</v>
      </c>
      <c r="C161" s="21" t="s">
        <v>196</v>
      </c>
      <c r="D161" s="21" t="s">
        <v>422</v>
      </c>
      <c r="E161" s="13">
        <v>43002.079386574071</v>
      </c>
      <c r="F161" s="13">
        <v>43002.081504629627</v>
      </c>
      <c r="G161" s="7">
        <v>62</v>
      </c>
      <c r="H161" s="21" t="s">
        <v>337</v>
      </c>
      <c r="I161" s="13">
        <v>43002.106446759259</v>
      </c>
      <c r="J161" s="7">
        <v>0</v>
      </c>
      <c r="K161" s="89" t="str">
        <f t="shared" si="77"/>
        <v>4027/4028</v>
      </c>
      <c r="L161" s="185" t="str">
        <f>VLOOKUP(A161,'Trips&amp;Operators'!$C$1:$G$99911,5,FALSE)</f>
        <v>HART KEVIN</v>
      </c>
      <c r="M161" s="6">
        <f t="shared" si="78"/>
        <v>2.4942129632108845E-2</v>
      </c>
      <c r="N161" s="7">
        <f t="shared" si="91"/>
        <v>35.916666670236737</v>
      </c>
      <c r="O161" s="7"/>
      <c r="P161" s="7"/>
      <c r="Q161" s="22"/>
      <c r="R161" s="174"/>
      <c r="S161" s="221">
        <f t="shared" si="75"/>
        <v>1</v>
      </c>
      <c r="T161" s="174" t="str">
        <f t="shared" si="79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80"/>
        <v>https://d0f6bd738d7f1b3e5a7ca70fe4ff75f0.us-east-1.aws.found.io/app/kibana#/discover/Steve-Slow-Train-Analysis-(2080s-and-2083s)?_g=(refreshInterval:(display:Off,pause:!f,section:0,value:0),time:(from:'2017-09-24T00:54:19-0600',mode:absolute,to:'2017-09-24T03:33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204" t="str">
        <f>IF(AA161&lt;VLOOKUP(AG161,Variables!$AC$3:$AD$8,2,FALSE),"Y","N")</f>
        <v>N</v>
      </c>
      <c r="X161" s="204">
        <f t="shared" ref="X161:X163" si="99">VALUE(LEFT(AD161,4))-VALUE(LEFT(AD160,4))</f>
        <v>1</v>
      </c>
      <c r="Y161" s="204">
        <f t="shared" si="97"/>
        <v>23.298500000000001</v>
      </c>
      <c r="Z161" s="204">
        <f t="shared" si="98"/>
        <v>1.49E-2</v>
      </c>
      <c r="AA161" s="204">
        <f t="shared" si="81"/>
        <v>23.2836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2"/>
        <v>246</v>
      </c>
      <c r="AE161" s="77" t="str">
        <f t="shared" si="83"/>
        <v>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 &amp; aws s3 cp s3://rtdc.mdm.uploadarchive.raw/RTDC4027/ "%USERPROFILE%\AppData\Local\Temp\OnboardLogs"\RTDC4027\2017-09-25 --exclude "*" --recursive --include "*20170925*" &amp; "%USERPROFILE%\Documents\GitHub\mrs-test-scripts\Headless Mode &amp; Sideloading\WalkAndUnGZ.bat" "%USERPROFILE%\AppData\Local\Temp\OnboardLogs"\RTDC4027\2017-09-25</v>
      </c>
      <c r="AF161" s="74" t="str">
        <f t="shared" si="84"/>
        <v>"C:\Program Files (x86)\AstroGrep\AstroGrep.exe" /e /r /s /spath="%USERPROFILE%\AppData\Local\Temp\OnboardLogs" /stypes="app*4027*20170924*" /stext=" 08:.+((SYSTEM_STATE.+slice.+state.+changed )|(ment ac)|(multiple cpu faults)|(system.+state.+changed )|(\[timeout)|(PRM\|1\|D)|(kpr)|(kdp)|(train st.+moving)|(\|lc)|(penalty))"</v>
      </c>
      <c r="AG161" s="182" t="str">
        <f t="shared" si="85"/>
        <v>EC</v>
      </c>
      <c r="AH161" s="78" t="str">
        <f t="shared" si="86"/>
        <v>"%USERPROFILE%\Documents\GitHub\eaglep3\Utilities\RefineRTDCRunTimes.py" --tripid 246-23 --locoid 4027 --swversion DE.1.0.9.0 --startMP 204:232985 --initTime 2017-09-24T01:54:19 --startdatetime 2017-09-24T01:57:22 --delay 62 --endMP 204:149 --enddatetime 2017-09-24T02:33:17 --enforcementcount 0 &gt;&gt;c:\users\stu\Documents\GitHub\eaglep3-reporting\EC\2017-09-23-refined-times.txt</v>
      </c>
      <c r="AI161" s="96" t="str">
        <f t="shared" si="87"/>
        <v>echo {"issue":{"subject":"","project_id":79,"tracker_id":40,"status_id":1,"priority_id":2,"assigned_to_id":338,"start_date":"2017-09-24","description":"","custom_fields":[{"id":1,"name":"Subdivision","value":"EC"},{"id":4,"name":"Milepost","value":"0.0149"},{"id":17,"name":"Train ID","value":"246-23"},{"id":16,"name":"Locomotive ID","value":"4027"},{"id":130,"name":"Impact","value":""},{"id":150,"name":"Time of Event (Mountain Time)","value":"02:33:17"},{"id":151,"name":"Denver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88"/>
        <v>start /low /b %USERPROFILE%\Documents\GitHub\eaglep3\Utilities\DownloadLogsFromS3.py --loco 4027 --day 2017-09-24</v>
      </c>
      <c r="AN16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08:33:17"},{"id":29,"name":"Sharepoint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0"/>
        <v>https://d0f6bd738d7f1b3e5a7ca70fe4ff75f0.us-east-1.aws.found.io/app/kibana#/discover/Steve-Slow-Train-Analysis-(2080s-and-2083s)?_g=(refreshInterval:(display:Off,pause:!f,section:0,value:0),time:(from:'2017-09-24T00:54:19-0600',mode:absolute,to:'2017-09-24T03:33:17-0600'))&amp;_a=(columns:!('Message%20ID',Summary),filters:!(),index:'emp_*',interval:auto,query:(query_string:(analyze_wildcard:!t,query:'Message%5C+ID:(*)+AND+%22rtdc.l.rtdc.4027%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1006</v>
      </c>
      <c r="B162" s="7">
        <v>4013</v>
      </c>
      <c r="C162" s="21" t="s">
        <v>196</v>
      </c>
      <c r="D162" s="21" t="s">
        <v>422</v>
      </c>
      <c r="E162" s="13">
        <v>43002.079386574071</v>
      </c>
      <c r="F162" s="13">
        <v>43001.239583333336</v>
      </c>
      <c r="G162" s="7">
        <v>62</v>
      </c>
      <c r="H162" s="21" t="s">
        <v>337</v>
      </c>
      <c r="I162" s="13">
        <v>43001.240277777775</v>
      </c>
      <c r="J162" s="7">
        <v>0</v>
      </c>
      <c r="K162" s="89" t="str">
        <f t="shared" si="77"/>
        <v>4013/4014</v>
      </c>
      <c r="L162" s="185" t="e">
        <f>VLOOKUP(A162,'Trips&amp;Operators'!$C$1:$G$99911,5,FALSE)</f>
        <v>#N/A</v>
      </c>
      <c r="M162" s="6">
        <f t="shared" si="78"/>
        <v>6.9444443943211809E-4</v>
      </c>
      <c r="N162" s="7"/>
      <c r="O162" s="7"/>
      <c r="P162" s="7">
        <f>24*60*SUM($M162:$M162)</f>
        <v>0.99999999278225005</v>
      </c>
      <c r="Q162" s="22"/>
      <c r="R162" s="174" t="s">
        <v>1007</v>
      </c>
      <c r="S162" s="221">
        <f t="shared" si="75"/>
        <v>1</v>
      </c>
      <c r="T162" s="174" t="str">
        <f t="shared" si="79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0"/>
        <v>https://d0f6bd738d7f1b3e5a7ca70fe4ff75f0.us-east-1.aws.found.io/app/kibana#/discover/Steve-Slow-Train-Analysis-(2080s-and-2083s)?_g=(refreshInterval:(display:Off,pause:!f,section:0,value:0),time:(from:'2017-09-24T00:54:19-0600',mode:absolute,to:'2017-09-23T06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204" t="str">
        <f>IF(AA162&lt;VLOOKUP(AG162,Variables!$AC$3:$AD$8,2,FALSE),"Y","N")</f>
        <v>N</v>
      </c>
      <c r="X162" s="204">
        <f t="shared" si="99"/>
        <v>1554</v>
      </c>
      <c r="Y162" s="204">
        <f t="shared" si="97"/>
        <v>23.298500000000001</v>
      </c>
      <c r="Z162" s="204">
        <f t="shared" si="98"/>
        <v>1.49E-2</v>
      </c>
      <c r="AA162" s="204">
        <f t="shared" si="81"/>
        <v>23.2836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2"/>
        <v>1800</v>
      </c>
      <c r="AE162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2" s="74" t="str">
        <f t="shared" si="84"/>
        <v>"C:\Program Files (x86)\AstroGrep\AstroGrep.exe" /e /r /s /spath="%USERPROFILE%\AppData\Local\Temp\OnboardLogs" /stypes="app*4013*20170923*" /stext=" 11:.+((SYSTEM_STATE.+slice.+state.+changed )|(ment ac)|(multiple cpu faults)|(system.+state.+changed )|(\[timeout)|(PRM\|1\|D)|(kpr)|(kdp)|(train st.+moving)|(\|lc)|(penalty))"</v>
      </c>
      <c r="AG162" s="182" t="str">
        <f t="shared" si="85"/>
        <v>NW</v>
      </c>
      <c r="AH162" s="78" t="str">
        <f t="shared" ref="AH162" si="100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1800-23 --locoid 4013 --swversion DE.1.0.9.0 --startMP 204:232985 --initTime 2017-09-24T01:54:19 --startdatetime 2017-09-23T05:45:00 --delay 62 --endMP 204:149 --enddatetime 2017-09-23T05:46:00 --enforcementcount 0 &gt;&gt;c:\users\stu\Documents\GitHub\eaglep3-reporting\EC\2017-09-23-refined-times.txt</v>
      </c>
      <c r="AI162" s="96" t="str">
        <f t="shared" ref="AI162" si="101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--insecure -X POST -H ""Content-Type: application/json"" -H ""X-Redmine-API-Key: "&amp;redm_api_key&amp;""" "&amp;redm_url&amp;" --data @-"</f>
        <v>echo {"issue":{"subject":"Power outage, did not init","project_id":79,"tracker_id":40,"status_id":1,"priority_id":2,"assigned_to_id":338,"start_date":"2017-09-23","description":"","custom_fields":[{"id":1,"name":"Subdivision","value":"NW"},{"id":4,"name":"Milepost","value":"0.0149"},{"id":17,"name":"Train ID","value":"1800-23"},{"id":16,"name":"Locomotive ID","value":"4013"},{"id":130,"name":"Impact","value":""},{"id":150,"name":"Time of Event (Mountain Time)","value":"05:46:00"},{"id":151,"name":"Denver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ref="AM162" si="102">"start /low /b "&amp;dls3logs&amp;" --loco "&amp;B162&amp;" --day "&amp;TEXT(F162,"YYYY-MM-DD")</f>
        <v>start /low /b %USERPROFILE%\Documents\GitHub\eaglep3\Utilities\DownloadLogsFromS3.py --loco 4013 --day 2017-09-23</v>
      </c>
      <c r="AN162" s="151" t="str">
        <f t="shared" ref="AN162" si="103"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{"issue":{"subject":"Power outage, did not init","project_id":30,"tracker_id":4,"status_id":1,"priority_id":1,"assigned_to_id":10,"start_date":"2017-09-23","description":"","custom_fields":[{"id":30,"name":"Category","value":"Issue"},{"id":3,"name":"Functional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11:46:00"},{"id":29,"name":"Sharepoint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ref="AO162" si="104"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Message%5C+ID:(*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-24T00:54:19-0600',mode:absolute,to:'2017-09-23T06:46:00-0600'))&amp;_a=(columns:!('Message%20ID',Summary),filters:!(),index:'emp_*',interval:auto,query:(query_string:(analyze_wildcard:!t,query:'Message%5C+ID:(*)+AND+%22rtdc.l.rtdc.4013%22')),sort:!(Time.ISO8601,asc))</v>
      </c>
    </row>
    <row r="163" spans="1:91" s="20" customFormat="1" x14ac:dyDescent="0.25">
      <c r="A163" s="32" t="s">
        <v>586</v>
      </c>
      <c r="B163" s="7">
        <v>4014</v>
      </c>
      <c r="C163" s="21" t="s">
        <v>196</v>
      </c>
      <c r="D163" s="21" t="s">
        <v>882</v>
      </c>
      <c r="E163" s="13">
        <v>43001.253495370373</v>
      </c>
      <c r="F163" s="13">
        <v>43001.256655092591</v>
      </c>
      <c r="G163" s="7">
        <v>187</v>
      </c>
      <c r="H163" s="21" t="s">
        <v>883</v>
      </c>
      <c r="I163" s="13">
        <v>43001.265555555554</v>
      </c>
      <c r="J163" s="7">
        <v>0</v>
      </c>
      <c r="K163" s="89" t="str">
        <f t="shared" si="77"/>
        <v>4013/4014</v>
      </c>
      <c r="L163" s="185" t="str">
        <f>VLOOKUP(A163,'Trips&amp;Operators'!$C$1:$G$99911,5,FALSE)</f>
        <v>ROMERO CHAD</v>
      </c>
      <c r="M163" s="6">
        <f t="shared" si="78"/>
        <v>8.9004629626288079E-3</v>
      </c>
      <c r="N163" s="7">
        <f t="shared" ref="N163:N170" si="105">24*60*SUM($M163:$M163)</f>
        <v>12.816666666185483</v>
      </c>
      <c r="O163" s="7"/>
      <c r="P163" s="7"/>
      <c r="Q163" s="22"/>
      <c r="R163" s="174"/>
      <c r="S163" s="221">
        <f t="shared" si="75"/>
        <v>1</v>
      </c>
      <c r="T163" s="174" t="str">
        <f t="shared" si="79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0"/>
        <v>https://d0f6bd738d7f1b3e5a7ca70fe4ff75f0.us-east-1.aws.found.io/app/kibana#/discover/Steve-Slow-Train-Analysis-(2080s-and-2083s)?_g=(refreshInterval:(display:Off,pause:!f,section:0,value:0),time:(from:'2017-09-23T05:05:02-0600',mode:absolute,to:'2017-09-23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204" t="str">
        <f>IF(AA163&lt;VLOOKUP(AG163,Variables!$AC$3:$AD$8,2,FALSE),"Y","N")</f>
        <v>N</v>
      </c>
      <c r="X163" s="204">
        <f t="shared" si="99"/>
        <v>1</v>
      </c>
      <c r="Y163" s="204">
        <f t="shared" si="97"/>
        <v>9.5000000000000001E-2</v>
      </c>
      <c r="Z163" s="204">
        <f t="shared" si="98"/>
        <v>5.8992000000000004</v>
      </c>
      <c r="AA163" s="204">
        <f t="shared" si="81"/>
        <v>5.8042000000000007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2"/>
        <v>1801</v>
      </c>
      <c r="AE163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3" s="74" t="str">
        <f t="shared" si="84"/>
        <v>"C:\Program Files (x86)\AstroGrep\AstroGrep.exe" /e /r /s /spath="%USERPROFILE%\AppData\Local\Temp\OnboardLogs" /stypes="app*4014*20170923*" /stext=" 12:.+((SYSTEM_STATE.+slice.+state.+changed )|(ment ac)|(multiple cpu faults)|(system.+state.+changed )|(\[timeout)|(PRM\|1\|D)|(kpr)|(kdp)|(train st.+moving)|(\|lc)|(penalty))"</v>
      </c>
      <c r="AG163" s="182" t="str">
        <f t="shared" si="85"/>
        <v>NW</v>
      </c>
      <c r="AH163" s="78" t="str">
        <f t="shared" si="86"/>
        <v>"%USERPROFILE%\Documents\GitHub\eaglep3\Utilities\RefineRTDCRunTimes.py" --tripid 1801-23 --locoid 4014 --swversion DE.1.0.9.0 --startMP 204:950 --initTime 2017-09-23T06:05:02 --startdatetime 2017-09-23T06:09:35 --delay 187 --endMP 300:58992 --enddatetime 2017-09-23T06:22:24 --enforcementcount 0 &gt;&gt;c:\users\stu\Documents\GitHub\eaglep3-reporting\EC\2017-09-23-refined-times.txt</v>
      </c>
      <c r="AI16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{"issue":{"subject":"","project_id":79,"tracker_id":40,"status_id":1,"priority_id":2,"assigned_to_id":338,"start_date":"2017-09-23","description":"","custom_fields":[{"id":1,"name":"Subdivision","value":"NW"},{"id":4,"name":"Milepost","value":"5.8992"},{"id":17,"name":"Train ID","value":"1801-23"},{"id":16,"name":"Locomotive ID","value":"4014"},{"id":130,"name":"Impact","value":""},{"id":150,"name":"Time of Event (Mountain Time)","value":"06:22:24"},{"id":151,"name":"Denver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88"/>
        <v>start /low /b %USERPROFILE%\Documents\GitHub\eaglep3\Utilities\DownloadLogsFromS3.py --loco 4014 --day 2017-09-23</v>
      </c>
      <c r="AN163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0"/>
        <v>https://d0f6bd738d7f1b3e5a7ca70fe4ff75f0.us-east-1.aws.found.io/app/kibana#/discover/Steve-Slow-Train-Analysis-(2080s-and-2083s)?_g=(refreshInterval:(display:Off,pause:!f,section:0,value:0),time:(from:'2017-09-23T05:05:02-0600',mode:absolute,to:'2017-09-23T07:22:24-0600'))&amp;_a=(columns:!('Message%20ID',Summary),filters:!(),index:'emp_*',interval:auto,query:(query_string:(analyze_wildcard:!t,query:'Message%5C+ID:(*)+AND+%22rtdc.l.rtdc.4014%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662</v>
      </c>
      <c r="B164" s="7">
        <v>4013</v>
      </c>
      <c r="C164" s="21" t="s">
        <v>196</v>
      </c>
      <c r="D164" s="21" t="s">
        <v>884</v>
      </c>
      <c r="E164" s="13">
        <v>43001.267291666663</v>
      </c>
      <c r="F164" s="13">
        <v>43001.279918981483</v>
      </c>
      <c r="G164" s="7">
        <v>53</v>
      </c>
      <c r="H164" s="21" t="s">
        <v>885</v>
      </c>
      <c r="I164" s="13">
        <v>43001.287812499999</v>
      </c>
      <c r="J164" s="7">
        <v>0</v>
      </c>
      <c r="K164" s="89" t="str">
        <f t="shared" si="77"/>
        <v>4013/4014</v>
      </c>
      <c r="L164" s="185" t="str">
        <f>VLOOKUP(A164,'Trips&amp;Operators'!$C$1:$G$99911,5,FALSE)</f>
        <v>ROMERO CHAD</v>
      </c>
      <c r="M164" s="6">
        <f t="shared" si="78"/>
        <v>7.8935185156296939E-3</v>
      </c>
      <c r="N164" s="7">
        <f t="shared" si="105"/>
        <v>11.366666662506759</v>
      </c>
      <c r="O164" s="7"/>
      <c r="P164" s="7"/>
      <c r="Q164" s="22"/>
      <c r="R164" s="174"/>
      <c r="S164" s="221">
        <f t="shared" si="75"/>
        <v>1</v>
      </c>
      <c r="T164" s="174" t="str">
        <f t="shared" si="79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0"/>
        <v>https://d0f6bd738d7f1b3e5a7ca70fe4ff75f0.us-east-1.aws.found.io/app/kibana#/discover/Steve-Slow-Train-Analysis-(2080s-and-2083s)?_g=(refreshInterval:(display:Off,pause:!f,section:0,value:0),time:(from:'2017-09-23T05:24:54-0600',mode:absolute,to:'2017-09-23T07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204" t="str">
        <f>IF(AA164&lt;VLOOKUP(AG164,Variables!$AC$3:$AD$8,2,FALSE),"Y","N")</f>
        <v>N</v>
      </c>
      <c r="X164" s="204">
        <f t="shared" ref="X164:X195" si="106">VALUE(LEFT(AD164,4))-VALUE(LEFT(AD163,4))</f>
        <v>1</v>
      </c>
      <c r="Y164" s="204">
        <f t="shared" si="97"/>
        <v>5.8677000000000001</v>
      </c>
      <c r="Z164" s="204">
        <f t="shared" si="98"/>
        <v>6.5699999999999995E-2</v>
      </c>
      <c r="AA164" s="204">
        <f t="shared" si="81"/>
        <v>5.8020000000000005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2"/>
        <v>1802</v>
      </c>
      <c r="AE164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4" s="74" t="str">
        <f t="shared" si="84"/>
        <v>"C:\Program Files (x86)\AstroGrep\AstroGrep.exe" /e /r /s /spath="%USERPROFILE%\AppData\Local\Temp\OnboardLogs" /stypes="app*4013*20170923*" /stext=" 12:.+((SYSTEM_STATE.+slice.+state.+changed )|(ment ac)|(multiple cpu faults)|(system.+state.+changed )|(\[timeout)|(PRM\|1\|D)|(kpr)|(kdp)|(train st.+moving)|(\|lc)|(penalty))"</v>
      </c>
      <c r="AG164" s="182" t="str">
        <f t="shared" si="85"/>
        <v>NW</v>
      </c>
      <c r="AH164" s="78" t="str">
        <f t="shared" si="86"/>
        <v>"%USERPROFILE%\Documents\GitHub\eaglep3\Utilities\RefineRTDCRunTimes.py" --tripid 1802-23 --locoid 4013 --swversion DE.1.0.9.0 --startMP 300:58677 --initTime 2017-09-23T06:24:54 --startdatetime 2017-09-23T06:43:05 --delay 53 --endMP 204:657 --enddatetime 2017-09-23T06:54:27 --enforcementcount 0 &gt;&gt;c:\users\stu\Documents\GitHub\eaglep3-reporting\EC\2017-09-23-refined-times.txt</v>
      </c>
      <c r="AI16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{"issue":{"subject":"","project_id":79,"tracker_id":40,"status_id":1,"priority_id":2,"assigned_to_id":338,"start_date":"2017-09-23","description":"","custom_fields":[{"id":1,"name":"Subdivision","value":"NW"},{"id":4,"name":"Milepost","value":"0.0657"},{"id":17,"name":"Train ID","value":"1802-23"},{"id":16,"name":"Locomotive ID","value":"4013"},{"id":130,"name":"Impact","value":""},{"id":150,"name":"Time of Event (Mountain Time)","value":"06:54:27"},{"id":151,"name":"Denver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88"/>
        <v>start /low /b %USERPROFILE%\Documents\GitHub\eaglep3\Utilities\DownloadLogsFromS3.py --loco 4013 --day 2017-09-23</v>
      </c>
      <c r="AN16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0"/>
        <v>https://d0f6bd738d7f1b3e5a7ca70fe4ff75f0.us-east-1.aws.found.io/app/kibana#/discover/Steve-Slow-Train-Analysis-(2080s-and-2083s)?_g=(refreshInterval:(display:Off,pause:!f,section:0,value:0),time:(from:'2017-09-23T05:24:54-0600',mode:absolute,to:'2017-09-23T07:54:27-0600'))&amp;_a=(columns:!('Message%20ID',Summary),filters:!(),index:'emp_*',interval:auto,query:(query_string:(analyze_wildcard:!t,query:'Message%5C+ID:(*)+AND+%22rtdc.l.rtdc.4013%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668</v>
      </c>
      <c r="B165" s="7">
        <v>4014</v>
      </c>
      <c r="C165" s="21" t="s">
        <v>196</v>
      </c>
      <c r="D165" s="21" t="s">
        <v>886</v>
      </c>
      <c r="E165" s="13">
        <v>43001.290300925924</v>
      </c>
      <c r="F165" s="13">
        <v>43001.298113425924</v>
      </c>
      <c r="G165" s="7">
        <v>159</v>
      </c>
      <c r="H165" s="21" t="s">
        <v>887</v>
      </c>
      <c r="I165" s="13">
        <v>43001.307615740741</v>
      </c>
      <c r="J165" s="7">
        <v>0</v>
      </c>
      <c r="K165" s="89" t="str">
        <f t="shared" si="77"/>
        <v>4013/4014</v>
      </c>
      <c r="L165" s="185" t="str">
        <f>VLOOKUP(A165,'Trips&amp;Operators'!$C$1:$G$99911,5,FALSE)</f>
        <v>LAMAR NEKESHA</v>
      </c>
      <c r="M165" s="6">
        <f t="shared" si="78"/>
        <v>9.5023148169275373E-3</v>
      </c>
      <c r="N165" s="7">
        <f t="shared" si="105"/>
        <v>13.683333336375654</v>
      </c>
      <c r="O165" s="7"/>
      <c r="P165" s="7"/>
      <c r="Q165" s="22"/>
      <c r="R165" s="174"/>
      <c r="S165" s="221">
        <f t="shared" si="75"/>
        <v>1</v>
      </c>
      <c r="T165" s="174" t="str">
        <f t="shared" si="79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0"/>
        <v>https://d0f6bd738d7f1b3e5a7ca70fe4ff75f0.us-east-1.aws.found.io/app/kibana#/discover/Steve-Slow-Train-Analysis-(2080s-and-2083s)?_g=(refreshInterval:(display:Off,pause:!f,section:0,value:0),time:(from:'2017-09-23T05:58:02-0600',mode:absolute,to:'2017-09-23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5" s="204" t="str">
        <f>IF(AA165&lt;VLOOKUP(AG165,Variables!$AC$3:$AD$8,2,FALSE),"Y","N")</f>
        <v>N</v>
      </c>
      <c r="X165" s="204">
        <f t="shared" si="106"/>
        <v>1</v>
      </c>
      <c r="Y165" s="204">
        <f t="shared" si="97"/>
        <v>9.4799999999999995E-2</v>
      </c>
      <c r="Z165" s="204">
        <f t="shared" si="98"/>
        <v>5.8975999999999997</v>
      </c>
      <c r="AA165" s="204">
        <f t="shared" si="81"/>
        <v>5.8027999999999995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2"/>
        <v>1803</v>
      </c>
      <c r="AE165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5" s="74" t="str">
        <f t="shared" si="84"/>
        <v>"C:\Program Files (x86)\AstroGrep\AstroGrep.exe" /e /r /s /spath="%USERPROFILE%\AppData\Local\Temp\OnboardLogs" /stypes="app*4014*20170923*" /stext=" 13:.+((SYSTEM_STATE.+slice.+state.+changed )|(ment ac)|(multiple cpu faults)|(system.+state.+changed )|(\[timeout)|(PRM\|1\|D)|(kpr)|(kdp)|(train st.+moving)|(\|lc)|(penalty))"</v>
      </c>
      <c r="AG165" s="182" t="str">
        <f t="shared" si="85"/>
        <v>NW</v>
      </c>
      <c r="AH165" s="78" t="str">
        <f t="shared" si="86"/>
        <v>"%USERPROFILE%\Documents\GitHub\eaglep3\Utilities\RefineRTDCRunTimes.py" --tripid 1803-23 --locoid 4014 --swversion DE.1.0.9.0 --startMP 204:948 --initTime 2017-09-23T06:58:02 --startdatetime 2017-09-23T07:09:17 --delay 159 --endMP 300:58976 --enddatetime 2017-09-23T07:22:58 --enforcementcount 0 &gt;&gt;c:\users\stu\Documents\GitHub\eaglep3-reporting\EC\2017-09-23-refined-times.txt</v>
      </c>
      <c r="AI16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{"issue":{"subject":"","project_id":79,"tracker_id":40,"status_id":1,"priority_id":2,"assigned_to_id":338,"start_date":"2017-09-23","description":"","custom_fields":[{"id":1,"name":"Subdivision","value":"NW"},{"id":4,"name":"Milepost","value":"5.8976"},{"id":17,"name":"Train ID","value":"1803-23"},{"id":16,"name":"Locomotive ID","value":"4014"},{"id":130,"name":"Impact","value":""},{"id":150,"name":"Time of Event (Mountain Time)","value":"07:22:58"},{"id":151,"name":"Denver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88"/>
        <v>start /low /b %USERPROFILE%\Documents\GitHub\eaglep3\Utilities\DownloadLogsFromS3.py --loco 4014 --day 2017-09-23</v>
      </c>
      <c r="AN165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0"/>
        <v>https://d0f6bd738d7f1b3e5a7ca70fe4ff75f0.us-east-1.aws.found.io/app/kibana#/discover/Steve-Slow-Train-Analysis-(2080s-and-2083s)?_g=(refreshInterval:(display:Off,pause:!f,section:0,value:0),time:(from:'2017-09-23T05:58:02-0600',mode:absolute,to:'2017-09-23T08:22:58-0600'))&amp;_a=(columns:!('Message%20ID',Summary),filters:!(),index:'emp_*',interval:auto,query:(query_string:(analyze_wildcard:!t,query:'Message%5C+ID:(*)+AND+%22rtdc.l.rtdc.4014%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671</v>
      </c>
      <c r="B166" s="7">
        <v>4013</v>
      </c>
      <c r="C166" s="21" t="s">
        <v>196</v>
      </c>
      <c r="D166" s="21" t="s">
        <v>888</v>
      </c>
      <c r="E166" s="13">
        <v>43001.31827546296</v>
      </c>
      <c r="F166" s="13">
        <v>43001.320162037038</v>
      </c>
      <c r="G166" s="7">
        <v>64</v>
      </c>
      <c r="H166" s="21" t="s">
        <v>889</v>
      </c>
      <c r="I166" s="13">
        <v>43001.329814814817</v>
      </c>
      <c r="J166" s="7">
        <v>0</v>
      </c>
      <c r="K166" s="89" t="str">
        <f t="shared" si="77"/>
        <v>4013/4014</v>
      </c>
      <c r="L166" s="185" t="str">
        <f>VLOOKUP(A166,'Trips&amp;Operators'!$C$1:$G$99911,5,FALSE)</f>
        <v>LAMAR NEKESHA</v>
      </c>
      <c r="M166" s="6">
        <f t="shared" si="78"/>
        <v>9.6527777786832303E-3</v>
      </c>
      <c r="N166" s="7">
        <f t="shared" si="105"/>
        <v>13.900000001303852</v>
      </c>
      <c r="O166" s="7"/>
      <c r="P166" s="7"/>
      <c r="Q166" s="22"/>
      <c r="R166" s="174"/>
      <c r="S166" s="221">
        <f t="shared" si="75"/>
        <v>1</v>
      </c>
      <c r="T166" s="174" t="str">
        <f t="shared" si="79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0"/>
        <v>https://d0f6bd738d7f1b3e5a7ca70fe4ff75f0.us-east-1.aws.found.io/app/kibana#/discover/Steve-Slow-Train-Analysis-(2080s-and-2083s)?_g=(refreshInterval:(display:Off,pause:!f,section:0,value:0),time:(from:'2017-09-23T06:38:19-0600',mode:absolute,to:'2017-09-23T08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6" s="204" t="str">
        <f>IF(AA166&lt;VLOOKUP(AG166,Variables!$AC$3:$AD$8,2,FALSE),"Y","N")</f>
        <v>N</v>
      </c>
      <c r="X166" s="204">
        <f t="shared" si="106"/>
        <v>1</v>
      </c>
      <c r="Y166" s="204">
        <f t="shared" si="97"/>
        <v>5.8666</v>
      </c>
      <c r="Z166" s="204">
        <f t="shared" si="98"/>
        <v>6.5199999999999994E-2</v>
      </c>
      <c r="AA166" s="204">
        <f t="shared" si="81"/>
        <v>5.8014000000000001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2"/>
        <v>1804</v>
      </c>
      <c r="AE166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6" s="74" t="str">
        <f t="shared" si="84"/>
        <v>"C:\Program Files (x86)\AstroGrep\AstroGrep.exe" /e /r /s /spath="%USERPROFILE%\AppData\Local\Temp\OnboardLogs" /stypes="app*4013*20170923*" /stext=" 13:.+((SYSTEM_STATE.+slice.+state.+changed )|(ment ac)|(multiple cpu faults)|(system.+state.+changed )|(\[timeout)|(PRM\|1\|D)|(kpr)|(kdp)|(train st.+moving)|(\|lc)|(penalty))"</v>
      </c>
      <c r="AG166" s="182" t="str">
        <f t="shared" si="85"/>
        <v>NW</v>
      </c>
      <c r="AH166" s="78" t="str">
        <f t="shared" si="86"/>
        <v>"%USERPROFILE%\Documents\GitHub\eaglep3\Utilities\RefineRTDCRunTimes.py" --tripid 1804-23 --locoid 4013 --swversion DE.1.0.9.0 --startMP 300:58666 --initTime 2017-09-23T07:38:19 --startdatetime 2017-09-23T07:41:02 --delay 64 --endMP 204:652 --enddatetime 2017-09-23T07:54:56 --enforcementcount 0 &gt;&gt;c:\users\stu\Documents\GitHub\eaglep3-reporting\EC\2017-09-23-refined-times.txt</v>
      </c>
      <c r="AI16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{"issue":{"subject":"","project_id":79,"tracker_id":40,"status_id":1,"priority_id":2,"assigned_to_id":338,"start_date":"2017-09-23","description":"","custom_fields":[{"id":1,"name":"Subdivision","value":"NW"},{"id":4,"name":"Milepost","value":"0.0652"},{"id":17,"name":"Train ID","value":"1804-23"},{"id":16,"name":"Locomotive ID","value":"4013"},{"id":130,"name":"Impact","value":""},{"id":150,"name":"Time of Event (Mountain Time)","value":"07:54:56"},{"id":151,"name":"Denver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88"/>
        <v>start /low /b %USERPROFILE%\Documents\GitHub\eaglep3\Utilities\DownloadLogsFromS3.py --loco 4013 --day 2017-09-23</v>
      </c>
      <c r="AN16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0"/>
        <v>https://d0f6bd738d7f1b3e5a7ca70fe4ff75f0.us-east-1.aws.found.io/app/kibana#/discover/Steve-Slow-Train-Analysis-(2080s-and-2083s)?_g=(refreshInterval:(display:Off,pause:!f,section:0,value:0),time:(from:'2017-09-23T06:38:19-0600',mode:absolute,to:'2017-09-23T08:54:56-0600'))&amp;_a=(columns:!('Message%20ID',Summary),filters:!(),index:'emp_*',interval:auto,query:(query_string:(analyze_wildcard:!t,query:'Message%5C+ID:(*)+AND+%22rtdc.l.rtdc.4013%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590</v>
      </c>
      <c r="B167" s="7">
        <v>4014</v>
      </c>
      <c r="C167" s="21" t="s">
        <v>196</v>
      </c>
      <c r="D167" s="21" t="s">
        <v>888</v>
      </c>
      <c r="E167" s="13">
        <v>43001.31827546296</v>
      </c>
      <c r="F167" s="13">
        <v>43001.339756944442</v>
      </c>
      <c r="G167" s="7">
        <v>64</v>
      </c>
      <c r="H167" s="21" t="s">
        <v>889</v>
      </c>
      <c r="I167" s="13">
        <v>43001.349131944444</v>
      </c>
      <c r="J167" s="7">
        <v>0</v>
      </c>
      <c r="K167" s="89" t="str">
        <f t="shared" si="77"/>
        <v>4013/4014</v>
      </c>
      <c r="L167" s="185" t="str">
        <f>VLOOKUP(A167,'Trips&amp;Operators'!$C$1:$G$99911,5,FALSE)</f>
        <v>LAMAR NEKESHA</v>
      </c>
      <c r="M167" s="6">
        <f t="shared" si="78"/>
        <v>9.3750000014551915E-3</v>
      </c>
      <c r="N167" s="7">
        <f t="shared" si="105"/>
        <v>13.500000002095476</v>
      </c>
      <c r="O167" s="7"/>
      <c r="P167" s="7"/>
      <c r="Q167" s="22"/>
      <c r="R167" s="174"/>
      <c r="S167" s="221">
        <f t="shared" si="75"/>
        <v>1</v>
      </c>
      <c r="T167" s="174" t="str">
        <f t="shared" si="79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0"/>
        <v>https://d0f6bd738d7f1b3e5a7ca70fe4ff75f0.us-east-1.aws.found.io/app/kibana#/discover/Steve-Slow-Train-Analysis-(2080s-and-2083s)?_g=(refreshInterval:(display:Off,pause:!f,section:0,value:0),time:(from:'2017-09-23T06:38:19-0600',mode:absolute,to:'2017-09-23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204" t="str">
        <f>IF(AA167&lt;VLOOKUP(AG167,Variables!$AC$3:$AD$8,2,FALSE),"Y","N")</f>
        <v>N</v>
      </c>
      <c r="X167" s="204">
        <f t="shared" si="106"/>
        <v>1</v>
      </c>
      <c r="Y167" s="204">
        <v>9.4799999999999995E-2</v>
      </c>
      <c r="Z167" s="204">
        <v>5.8975999999999997</v>
      </c>
      <c r="AA167" s="204">
        <f t="shared" si="81"/>
        <v>5.8027999999999995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2"/>
        <v>1805</v>
      </c>
      <c r="AE167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7" s="74" t="str">
        <f t="shared" si="84"/>
        <v>"C:\Program Files (x86)\AstroGrep\AstroGrep.exe" /e /r /s /spath="%USERPROFILE%\AppData\Local\Temp\OnboardLogs" /stypes="app*4014*20170923*" /stext=" 14:.+((SYSTEM_STATE.+slice.+state.+changed )|(ment ac)|(multiple cpu faults)|(system.+state.+changed )|(\[timeout)|(PRM\|1\|D)|(kpr)|(kdp)|(train st.+moving)|(\|lc)|(penalty))"</v>
      </c>
      <c r="AG167" s="182" t="str">
        <f t="shared" si="85"/>
        <v>NW</v>
      </c>
      <c r="AH167" s="78" t="str">
        <f t="shared" ref="AH167" si="107"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1805-23 --locoid 4014 --swversion DE.1.0.9.0 --startMP 300:58666 --initTime 2017-09-23T07:38:19 --startdatetime 2017-09-23T08:09:15 --delay 64 --endMP 204:652 --enddatetime 2017-09-23T08:22:45 --enforcementcount 0 &gt;&gt;c:\users\stu\Documents\GitHub\eaglep3-reporting\EC\2017-09-23-refined-times.txt</v>
      </c>
      <c r="AI167" s="96" t="str">
        <f t="shared" ref="AI167" si="108"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{"issue":{"subject":"","project_id":79,"tracker_id":40,"status_id":1,"priority_id":2,"assigned_to_id":338,"start_date":"2017-09-23","description":"","custom_fields":[{"id":1,"name":"Subdivision","value":"NW"},{"id":4,"name":"Milepost","value":"5.8976"},{"id":17,"name":"Train ID","value":"1805-23"},{"id":16,"name":"Locomotive ID","value":"4014"},{"id":130,"name":"Impact","value":""},{"id":150,"name":"Time of Event (Mountain Time)","value":"08:22:45"},{"id":151,"name":"Denver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ref="AM167" si="109">"start /low /b "&amp;dls3logs&amp;" --loco "&amp;B167&amp;" --day "&amp;TEXT(F167,"YYYY-MM-DD")</f>
        <v>start /low /b %USERPROFILE%\Documents\GitHub\eaglep3\Utilities\DownloadLogsFromS3.py --loco 4014 --day 2017-09-23</v>
      </c>
      <c r="AN167" s="151" t="str">
        <f t="shared" ref="AN167" si="110"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ref="AO167" si="111"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Message%20ID',Summary),filters:!(),index:'emp_*',interval:auto,query:"&amp;"(query_string:(analyze_wildcard:!t,query:'Message%5C+ID:(*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-23T06:38:19-0600',mode:absolute,to:'2017-09-23T09:22:45-0600'))&amp;_a=(columns:!('Message%20ID',Summary),filters:!(),index:'emp_*',interval:auto,query:(query_string:(analyze_wildcard:!t,query:'Message%5C+ID:(*)+AND+%22rtdc.l.rtdc.4014%22')),sort:!(Time.ISO8601,asc))</v>
      </c>
    </row>
    <row r="168" spans="1:91" s="20" customFormat="1" x14ac:dyDescent="0.25">
      <c r="A168" s="32" t="s">
        <v>679</v>
      </c>
      <c r="B168" s="7">
        <v>4013</v>
      </c>
      <c r="C168" s="21" t="s">
        <v>196</v>
      </c>
      <c r="D168" s="21" t="s">
        <v>890</v>
      </c>
      <c r="E168" s="13">
        <v>43001.357511574075</v>
      </c>
      <c r="F168" s="13">
        <v>43001.359907407408</v>
      </c>
      <c r="G168" s="7">
        <v>52</v>
      </c>
      <c r="H168" s="21" t="s">
        <v>891</v>
      </c>
      <c r="I168" s="13">
        <v>43001.371666666666</v>
      </c>
      <c r="J168" s="7">
        <v>0</v>
      </c>
      <c r="K168" s="89" t="str">
        <f t="shared" si="77"/>
        <v>4013/4014</v>
      </c>
      <c r="L168" s="185" t="str">
        <f>VLOOKUP(A168,'Trips&amp;Operators'!$C$1:$G$99911,5,FALSE)</f>
        <v>LAMAR NEKESHA</v>
      </c>
      <c r="M168" s="6">
        <f t="shared" si="78"/>
        <v>1.1759259257814847E-2</v>
      </c>
      <c r="N168" s="7">
        <f t="shared" si="105"/>
        <v>16.93333333125338</v>
      </c>
      <c r="O168" s="7"/>
      <c r="P168" s="7"/>
      <c r="Q168" s="22"/>
      <c r="R168" s="174"/>
      <c r="S168" s="221">
        <f t="shared" si="75"/>
        <v>1</v>
      </c>
      <c r="T168" s="174" t="str">
        <f t="shared" si="79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0"/>
        <v>https://d0f6bd738d7f1b3e5a7ca70fe4ff75f0.us-east-1.aws.found.io/app/kibana#/discover/Steve-Slow-Train-Analysis-(2080s-and-2083s)?_g=(refreshInterval:(display:Off,pause:!f,section:0,value:0),time:(from:'2017-09-23T07:34:49-0600',mode:absolute,to:'2017-09-23T09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204" t="str">
        <f>IF(AA168&lt;VLOOKUP(AG168,Variables!$AC$3:$AD$8,2,FALSE),"Y","N")</f>
        <v>N</v>
      </c>
      <c r="X168" s="204">
        <f t="shared" si="106"/>
        <v>1</v>
      </c>
      <c r="Y168" s="204">
        <f t="shared" ref="Y168:Y199" si="112">RIGHT(D168,LEN(D168)-4)/10000</f>
        <v>5.87</v>
      </c>
      <c r="Z168" s="204">
        <f t="shared" ref="Z168:Z199" si="113">RIGHT(H168,LEN(H168)-4)/10000</f>
        <v>6.59E-2</v>
      </c>
      <c r="AA168" s="204">
        <f t="shared" si="81"/>
        <v>5.8041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2"/>
        <v>1806</v>
      </c>
      <c r="AE168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68" s="74" t="str">
        <f t="shared" si="84"/>
        <v>"C:\Program Files (x86)\AstroGrep\AstroGrep.exe" /e /r /s /spath="%USERPROFILE%\AppData\Local\Temp\OnboardLogs" /stypes="app*4013*20170923*" /stext=" 14:.+((SYSTEM_STATE.+slice.+state.+changed )|(ment ac)|(multiple cpu faults)|(system.+state.+changed )|(\[timeout)|(PRM\|1\|D)|(kpr)|(kdp)|(train st.+moving)|(\|lc)|(penalty))"</v>
      </c>
      <c r="AG168" s="182" t="str">
        <f t="shared" si="85"/>
        <v>NW</v>
      </c>
      <c r="AH168" s="78" t="str">
        <f t="shared" si="86"/>
        <v>"%USERPROFILE%\Documents\GitHub\eaglep3\Utilities\RefineRTDCRunTimes.py" --tripid 1806-23 --locoid 4013 --swversion DE.1.0.9.0 --startMP 300:58700 --initTime 2017-09-23T08:34:49 --startdatetime 2017-09-23T08:38:16 --delay 52 --endMP 204:659 --enddatetime 2017-09-23T08:55:12 --enforcementcount 0 &gt;&gt;c:\users\stu\Documents\GitHub\eaglep3-reporting\EC\2017-09-23-refined-times.txt</v>
      </c>
      <c r="AI16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{"issue":{"subject":"","project_id":79,"tracker_id":40,"status_id":1,"priority_id":2,"assigned_to_id":338,"start_date":"2017-09-23","description":"","custom_fields":[{"id":1,"name":"Subdivision","value":"NW"},{"id":4,"name":"Milepost","value":"0.0659"},{"id":17,"name":"Train ID","value":"1806-23"},{"id":16,"name":"Locomotive ID","value":"4013"},{"id":130,"name":"Impact","value":""},{"id":150,"name":"Time of Event (Mountain Time)","value":"08:55:12"},{"id":151,"name":"Denver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88"/>
        <v>start /low /b %USERPROFILE%\Documents\GitHub\eaglep3\Utilities\DownloadLogsFromS3.py --loco 4013 --day 2017-09-23</v>
      </c>
      <c r="AN168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14:55:12"},{"id":29,"name":"Sharepoint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0"/>
        <v>https://d0f6bd738d7f1b3e5a7ca70fe4ff75f0.us-east-1.aws.found.io/app/kibana#/discover/Steve-Slow-Train-Analysis-(2080s-and-2083s)?_g=(refreshInterval:(display:Off,pause:!f,section:0,value:0),time:(from:'2017-09-23T07:34:49-0600',mode:absolute,to:'2017-09-23T09:55:12-0600'))&amp;_a=(columns:!('Message%20ID',Summary),filters:!(),index:'emp_*',interval:auto,query:(query_string:(analyze_wildcard:!t,query:'Message%5C+ID:(*)+AND+%22rtdc.l.rtdc.4013%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684</v>
      </c>
      <c r="B169" s="7">
        <v>4014</v>
      </c>
      <c r="C169" s="21" t="s">
        <v>196</v>
      </c>
      <c r="D169" s="21" t="s">
        <v>892</v>
      </c>
      <c r="E169" s="13">
        <v>43001.377557870372</v>
      </c>
      <c r="F169" s="13">
        <v>43001.381423611114</v>
      </c>
      <c r="G169" s="7">
        <v>105</v>
      </c>
      <c r="H169" s="21" t="s">
        <v>514</v>
      </c>
      <c r="I169" s="13">
        <v>43001.390775462962</v>
      </c>
      <c r="J169" s="7">
        <v>0</v>
      </c>
      <c r="K169" s="89" t="str">
        <f t="shared" si="77"/>
        <v>4013/4014</v>
      </c>
      <c r="L169" s="185" t="str">
        <f>VLOOKUP(A169,'Trips&amp;Operators'!$C$1:$G$99911,5,FALSE)</f>
        <v>LAMAR NEKESHA</v>
      </c>
      <c r="M169" s="6">
        <f t="shared" si="78"/>
        <v>9.3518518478958867E-3</v>
      </c>
      <c r="N169" s="7">
        <f t="shared" si="105"/>
        <v>13.466666660970077</v>
      </c>
      <c r="O169" s="7"/>
      <c r="P169" s="7"/>
      <c r="Q169" s="22"/>
      <c r="R169" s="174"/>
      <c r="S169" s="221">
        <f t="shared" si="75"/>
        <v>1</v>
      </c>
      <c r="T169" s="174" t="str">
        <f t="shared" si="79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0"/>
        <v>https://d0f6bd738d7f1b3e5a7ca70fe4ff75f0.us-east-1.aws.found.io/app/kibana#/discover/Steve-Slow-Train-Analysis-(2080s-and-2083s)?_g=(refreshInterval:(display:Off,pause:!f,section:0,value:0),time:(from:'2017-09-23T08:03:41-0600',mode:absolute,to:'2017-09-23T10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9" s="204" t="str">
        <f>IF(AA169&lt;VLOOKUP(AG169,Variables!$AC$3:$AD$8,2,FALSE),"Y","N")</f>
        <v>N</v>
      </c>
      <c r="X169" s="204">
        <f t="shared" si="106"/>
        <v>1</v>
      </c>
      <c r="Y169" s="204">
        <f t="shared" si="112"/>
        <v>9.3700000000000006E-2</v>
      </c>
      <c r="Z169" s="204">
        <f t="shared" si="113"/>
        <v>5.8975</v>
      </c>
      <c r="AA169" s="204">
        <f t="shared" si="81"/>
        <v>5.8037999999999998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2"/>
        <v>1807</v>
      </c>
      <c r="AE169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69" s="74" t="str">
        <f t="shared" si="84"/>
        <v>"C:\Program Files (x86)\AstroGrep\AstroGrep.exe" /e /r /s /spath="%USERPROFILE%\AppData\Local\Temp\OnboardLogs" /stypes="app*4014*20170923*" /stext=" 15:.+((SYSTEM_STATE.+slice.+state.+changed )|(ment ac)|(multiple cpu faults)|(system.+state.+changed )|(\[timeout)|(PRM\|1\|D)|(kpr)|(kdp)|(train st.+moving)|(\|lc)|(penalty))"</v>
      </c>
      <c r="AG169" s="182" t="str">
        <f t="shared" si="85"/>
        <v>NW</v>
      </c>
      <c r="AH169" s="78" t="str">
        <f t="shared" si="86"/>
        <v>"%USERPROFILE%\Documents\GitHub\eaglep3\Utilities\RefineRTDCRunTimes.py" --tripid 1807-23 --locoid 4014 --swversion DE.1.0.9.0 --startMP 204:937 --initTime 2017-09-23T09:03:41 --startdatetime 2017-09-23T09:09:15 --delay 105 --endMP 300:58975 --enddatetime 2017-09-23T09:22:43 --enforcementcount 0 &gt;&gt;c:\users\stu\Documents\GitHub\eaglep3-reporting\EC\2017-09-23-refined-times.txt</v>
      </c>
      <c r="AI169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{"issue":{"subject":"","project_id":79,"tracker_id":40,"status_id":1,"priority_id":2,"assigned_to_id":338,"start_date":"2017-09-23","description":"","custom_fields":[{"id":1,"name":"Subdivision","value":"NW"},{"id":4,"name":"Milepost","value":"5.8975"},{"id":17,"name":"Train ID","value":"1807-23"},{"id":16,"name":"Locomotive ID","value":"4014"},{"id":130,"name":"Impact","value":""},{"id":150,"name":"Time of Event (Mountain Time)","value":"09:22:43"},{"id":151,"name":"Denver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8"/>
        <v>start /low /b %USERPROFILE%\Documents\GitHub\eaglep3\Utilities\DownloadLogsFromS3.py --loco 4014 --day 2017-09-23</v>
      </c>
      <c r="AN169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0"/>
        <v>https://d0f6bd738d7f1b3e5a7ca70fe4ff75f0.us-east-1.aws.found.io/app/kibana#/discover/Steve-Slow-Train-Analysis-(2080s-and-2083s)?_g=(refreshInterval:(display:Off,pause:!f,section:0,value:0),time:(from:'2017-09-23T08:03:41-0600',mode:absolute,to:'2017-09-23T10:22:43-0600'))&amp;_a=(columns:!('Message%20ID',Summary),filters:!(),index:'emp_*',interval:auto,query:(query_string:(analyze_wildcard:!t,query:'Message%5C+ID:(*)+AND+%22rtdc.l.rtdc.4014%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593</v>
      </c>
      <c r="B170" s="7">
        <v>4013</v>
      </c>
      <c r="C170" s="21" t="s">
        <v>196</v>
      </c>
      <c r="D170" s="21" t="s">
        <v>888</v>
      </c>
      <c r="E170" s="13">
        <v>43001.40048611111</v>
      </c>
      <c r="F170" s="13">
        <v>43001.402291666665</v>
      </c>
      <c r="G170" s="7">
        <v>63</v>
      </c>
      <c r="H170" s="21" t="s">
        <v>893</v>
      </c>
      <c r="I170" s="13">
        <v>43001.412986111114</v>
      </c>
      <c r="J170" s="7">
        <v>0</v>
      </c>
      <c r="K170" s="89" t="str">
        <f t="shared" si="77"/>
        <v>4013/4014</v>
      </c>
      <c r="L170" s="185" t="str">
        <f>VLOOKUP(A170,'Trips&amp;Operators'!$C$1:$G$99911,5,FALSE)</f>
        <v>LAMAR NEKESHA</v>
      </c>
      <c r="M170" s="6">
        <f t="shared" si="78"/>
        <v>1.0694444448745344E-2</v>
      </c>
      <c r="N170" s="7">
        <f t="shared" si="105"/>
        <v>15.400000006193295</v>
      </c>
      <c r="O170" s="7"/>
      <c r="P170" s="7"/>
      <c r="Q170" s="22"/>
      <c r="R170" s="174"/>
      <c r="S170" s="221">
        <f t="shared" si="75"/>
        <v>1</v>
      </c>
      <c r="T170" s="174" t="str">
        <f t="shared" si="79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0"/>
        <v>https://d0f6bd738d7f1b3e5a7ca70fe4ff75f0.us-east-1.aws.found.io/app/kibana#/discover/Steve-Slow-Train-Analysis-(2080s-and-2083s)?_g=(refreshInterval:(display:Off,pause:!f,section:0,value:0),time:(from:'2017-09-23T08:36:42-0600',mode:absolute,to:'2017-09-23T10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0" s="204" t="str">
        <f>IF(AA170&lt;VLOOKUP(AG170,Variables!$AC$3:$AD$8,2,FALSE),"Y","N")</f>
        <v>N</v>
      </c>
      <c r="X170" s="204">
        <f t="shared" si="106"/>
        <v>1</v>
      </c>
      <c r="Y170" s="204">
        <f t="shared" si="112"/>
        <v>5.8666</v>
      </c>
      <c r="Z170" s="204">
        <f t="shared" si="113"/>
        <v>6.3799999999999996E-2</v>
      </c>
      <c r="AA170" s="204">
        <f t="shared" si="81"/>
        <v>5.8028000000000004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2"/>
        <v>1808</v>
      </c>
      <c r="AE170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0" s="74" t="str">
        <f t="shared" si="84"/>
        <v>"C:\Program Files (x86)\AstroGrep\AstroGrep.exe" /e /r /s /spath="%USERPROFILE%\AppData\Local\Temp\OnboardLogs" /stypes="app*4013*20170923*" /stext=" 15:.+((SYSTEM_STATE.+slice.+state.+changed )|(ment ac)|(multiple cpu faults)|(system.+state.+changed )|(\[timeout)|(PRM\|1\|D)|(kpr)|(kdp)|(train st.+moving)|(\|lc)|(penalty))"</v>
      </c>
      <c r="AG170" s="182" t="str">
        <f t="shared" si="85"/>
        <v>NW</v>
      </c>
      <c r="AH170" s="78" t="str">
        <f t="shared" si="86"/>
        <v>"%USERPROFILE%\Documents\GitHub\eaglep3\Utilities\RefineRTDCRunTimes.py" --tripid 1808-23 --locoid 4013 --swversion DE.1.0.9.0 --startMP 300:58666 --initTime 2017-09-23T09:36:42 --startdatetime 2017-09-23T09:39:18 --delay 63 --endMP 204:638 --enddatetime 2017-09-23T09:54:42 --enforcementcount 0 &gt;&gt;c:\users\stu\Documents\GitHub\eaglep3-reporting\EC\2017-09-23-refined-times.txt</v>
      </c>
      <c r="AI170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{"issue":{"subject":"","project_id":79,"tracker_id":40,"status_id":1,"priority_id":2,"assigned_to_id":338,"start_date":"2017-09-23","description":"","custom_fields":[{"id":1,"name":"Subdivision","value":"NW"},{"id":4,"name":"Milepost","value":"0.0638"},{"id":17,"name":"Train ID","value":"1808-23"},{"id":16,"name":"Locomotive ID","value":"4013"},{"id":130,"name":"Impact","value":""},{"id":150,"name":"Time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88"/>
        <v>start /low /b %USERPROFILE%\Documents\GitHub\eaglep3\Utilities\DownloadLogsFromS3.py --loco 4013 --day 2017-09-23</v>
      </c>
      <c r="AN170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15:54:42"},{"id":29,"name":"Sharepoint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0"/>
        <v>https://d0f6bd738d7f1b3e5a7ca70fe4ff75f0.us-east-1.aws.found.io/app/kibana#/discover/Steve-Slow-Train-Analysis-(2080s-and-2083s)?_g=(refreshInterval:(display:Off,pause:!f,section:0,value:0),time:(from:'2017-09-23T08:36:42-0600',mode:absolute,to:'2017-09-23T10:54:42-0600'))&amp;_a=(columns:!('Message%20ID',Summary),filters:!(),index:'emp_*',interval:auto,query:(query_string:(analyze_wildcard:!t,query:'Message%5C+ID:(*)+AND+%22rtdc.l.rtdc.4013%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594</v>
      </c>
      <c r="B171" s="7">
        <v>4014</v>
      </c>
      <c r="C171" s="21" t="s">
        <v>196</v>
      </c>
      <c r="D171" s="21" t="s">
        <v>894</v>
      </c>
      <c r="E171" s="13">
        <v>43001.419374999998</v>
      </c>
      <c r="F171" s="13">
        <v>43001.423252314817</v>
      </c>
      <c r="G171" s="7">
        <v>72</v>
      </c>
      <c r="H171" s="21" t="s">
        <v>895</v>
      </c>
      <c r="I171" s="13">
        <v>43001.432986111111</v>
      </c>
      <c r="J171" s="7">
        <v>0</v>
      </c>
      <c r="K171" s="89" t="str">
        <f t="shared" si="77"/>
        <v>4013/4014</v>
      </c>
      <c r="L171" s="185" t="str">
        <f>VLOOKUP(A171,'Trips&amp;Operators'!$C$1:$G$99911,5,FALSE)</f>
        <v>LAMAR NEKESHA</v>
      </c>
      <c r="M171" s="6">
        <f t="shared" si="78"/>
        <v>9.7337962943129241E-3</v>
      </c>
      <c r="N171" s="7"/>
      <c r="O171" s="7"/>
      <c r="P171" s="7"/>
      <c r="Q171" s="22"/>
      <c r="R171" s="174"/>
      <c r="S171" s="221"/>
      <c r="T171" s="174" t="str">
        <f t="shared" si="79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216" t="str">
        <f t="shared" si="80"/>
        <v>https://d0f6bd738d7f1b3e5a7ca70fe4ff75f0.us-east-1.aws.found.io/app/kibana#/discover/Steve-Slow-Train-Analysis-(2080s-and-2083s)?_g=(refreshInterval:(display:Off,pause:!f,section:0,value:0),time:(from:'2017-09-23T09:03:54-0600',mode:absolute,to:'2017-09-23T11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1" s="204" t="str">
        <f>IF(AA171&lt;VLOOKUP(AG171,Variables!$AC$3:$AD$8,2,FALSE),"Y","N")</f>
        <v>Y</v>
      </c>
      <c r="X171" s="204">
        <f t="shared" si="106"/>
        <v>1</v>
      </c>
      <c r="Y171" s="204">
        <f t="shared" si="112"/>
        <v>9.3600000000000003E-2</v>
      </c>
      <c r="Z171" s="204">
        <f t="shared" si="113"/>
        <v>9.2999999999999999E-2</v>
      </c>
      <c r="AA171" s="204">
        <f t="shared" si="81"/>
        <v>6.0000000000000331E-4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2"/>
        <v>1809</v>
      </c>
      <c r="AE171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1" s="74" t="str">
        <f t="shared" si="84"/>
        <v>"C:\Program Files (x86)\AstroGrep\AstroGrep.exe" /e /r /s /spath="%USERPROFILE%\AppData\Local\Temp\OnboardLogs" /stypes="app*4014*20170923*" /stext=" 16:.+((SYSTEM_STATE.+slice.+state.+changed )|(ment ac)|(multiple cpu faults)|(system.+state.+changed )|(\[timeout)|(PRM\|1\|D)|(kpr)|(kdp)|(train st.+moving)|(\|lc)|(penalty))"</v>
      </c>
      <c r="AG171" s="182" t="str">
        <f t="shared" si="85"/>
        <v>NW</v>
      </c>
      <c r="AH171" s="78" t="str">
        <f t="shared" si="86"/>
        <v>"%USERPROFILE%\Documents\GitHub\eaglep3\Utilities\RefineRTDCRunTimes.py" --tripid 1809-23 --locoid 4014 --swversion DE.1.0.9.0 --startMP 204:936 --initTime 2017-09-23T10:03:54 --startdatetime 2017-09-23T10:09:29 --delay 72 --endMP 204:930 --enddatetime 2017-09-23T10:23:30 --enforcementcount 0 &gt;&gt;c:\users\stu\Documents\GitHub\eaglep3-reporting\EC\2017-09-23-refined-times.txt</v>
      </c>
      <c r="AI171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{"issue":{"subject":"","project_id":79,"tracker_id":40,"status_id":1,"priority_id":2,"assigned_to_id":338,"start_date":"2017-09-23","description":"","custom_fields":[{"id":1,"name":"Subdivision","value":"NW"},{"id":4,"name":"Milepost","value":"0.093"},{"id":17,"name":"Train ID","value":"1809-23"},{"id":16,"name":"Locomotive ID","value":"4014"},{"id":130,"name":"Impact","value":""},{"id":150,"name":"Time of Event (Mountain Time)","value":"10:23:30"},{"id":151,"name":"Denver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88"/>
        <v>start /low /b %USERPROFILE%\Documents\GitHub\eaglep3\Utilities\DownloadLogsFromS3.py --loco 4014 --day 2017-09-23</v>
      </c>
      <c r="AN171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0"/>
        <v>https://d0f6bd738d7f1b3e5a7ca70fe4ff75f0.us-east-1.aws.found.io/app/kibana#/discover/Steve-Slow-Train-Analysis-(2080s-and-2083s)?_g=(refreshInterval:(display:Off,pause:!f,section:0,value:0),time:(from:'2017-09-23T09:03:54-0600',mode:absolute,to:'2017-09-23T11:23:30-0600'))&amp;_a=(columns:!('Message%20ID',Summary),filters:!(),index:'emp_*',interval:auto,query:(query_string:(analyze_wildcard:!t,query:'Message%5C+ID:(*)+AND+%22rtdc.l.rtdc.4014%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594</v>
      </c>
      <c r="B172" s="7">
        <v>4014</v>
      </c>
      <c r="C172" s="21" t="s">
        <v>196</v>
      </c>
      <c r="D172" s="21" t="s">
        <v>896</v>
      </c>
      <c r="E172" s="13">
        <v>43001.421203703707</v>
      </c>
      <c r="F172" s="13">
        <v>43001.423252314817</v>
      </c>
      <c r="G172" s="7">
        <v>50</v>
      </c>
      <c r="H172" s="21" t="s">
        <v>897</v>
      </c>
      <c r="I172" s="13">
        <v>43001.432986111111</v>
      </c>
      <c r="J172" s="7">
        <v>0</v>
      </c>
      <c r="K172" s="89" t="str">
        <f t="shared" si="77"/>
        <v>4013/4014</v>
      </c>
      <c r="L172" s="185" t="str">
        <f>VLOOKUP(A172,'Trips&amp;Operators'!$C$1:$G$99911,5,FALSE)</f>
        <v>LAMAR NEKESHA</v>
      </c>
      <c r="M172" s="6">
        <f t="shared" si="78"/>
        <v>9.7337962943129241E-3</v>
      </c>
      <c r="N172" s="7">
        <f t="shared" ref="N172:N203" si="114">24*60*SUM($M172:$M172)</f>
        <v>14.016666663810611</v>
      </c>
      <c r="O172" s="7"/>
      <c r="P172" s="7"/>
      <c r="Q172" s="22"/>
      <c r="R172" s="174"/>
      <c r="S172" s="221">
        <f t="shared" ref="S172:S203" si="115">1/IF(AG172="EC",12,1)*SUM(U172:U172)</f>
        <v>1</v>
      </c>
      <c r="T172" s="174" t="str">
        <f t="shared" si="79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0"/>
        <v>https://d0f6bd738d7f1b3e5a7ca70fe4ff75f0.us-east-1.aws.found.io/app/kibana#/discover/Steve-Slow-Train-Analysis-(2080s-and-2083s)?_g=(refreshInterval:(display:Off,pause:!f,section:0,value:0),time:(from:'2017-09-23T09:06:32-0600',mode:absolute,to:'2017-09-23T11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204" t="str">
        <f>IF(AA172&lt;VLOOKUP(AG172,Variables!$AC$3:$AD$8,2,FALSE),"Y","N")</f>
        <v>N</v>
      </c>
      <c r="X172" s="204">
        <f t="shared" si="106"/>
        <v>0</v>
      </c>
      <c r="Y172" s="204">
        <f t="shared" si="112"/>
        <v>0.13170000000000001</v>
      </c>
      <c r="Z172" s="204">
        <f t="shared" si="113"/>
        <v>5.8948</v>
      </c>
      <c r="AA172" s="204">
        <f t="shared" si="81"/>
        <v>5.7630999999999997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2"/>
        <v>1809</v>
      </c>
      <c r="AE172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2" s="74" t="str">
        <f t="shared" si="84"/>
        <v>"C:\Program Files (x86)\AstroGrep\AstroGrep.exe" /e /r /s /spath="%USERPROFILE%\AppData\Local\Temp\OnboardLogs" /stypes="app*4014*20170923*" /stext=" 16:.+((SYSTEM_STATE.+slice.+state.+changed )|(ment ac)|(multiple cpu faults)|(system.+state.+changed )|(\[timeout)|(PRM\|1\|D)|(kpr)|(kdp)|(train st.+moving)|(\|lc)|(penalty))"</v>
      </c>
      <c r="AG172" s="182" t="str">
        <f t="shared" si="85"/>
        <v>NW</v>
      </c>
      <c r="AH172" s="78" t="str">
        <f t="shared" si="86"/>
        <v>"%USERPROFILE%\Documents\GitHub\eaglep3\Utilities\RefineRTDCRunTimes.py" --tripid 1809-23 --locoid 4014 --swversion DE.1.0.9.0 --startMP 204:1317 --initTime 2017-09-23T10:06:32 --startdatetime 2017-09-23T10:09:29 --delay 50 --endMP 300:58948 --enddatetime 2017-09-23T10:23:30 --enforcementcount 0 &gt;&gt;c:\users\stu\Documents\GitHub\eaglep3-reporting\EC\2017-09-23-refined-times.txt</v>
      </c>
      <c r="AI172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{"issue":{"subject":"","project_id":79,"tracker_id":40,"status_id":1,"priority_id":2,"assigned_to_id":338,"start_date":"2017-09-23","description":"","custom_fields":[{"id":1,"name":"Subdivision","value":"NW"},{"id":4,"name":"Milepost","value":"5.8948"},{"id":17,"name":"Train ID","value":"1809-23"},{"id":16,"name":"Locomotive ID","value":"4014"},{"id":130,"name":"Impact","value":""},{"id":150,"name":"Time of Event (Mountain Time)","value":"10:23:30"},{"id":151,"name":"Denver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88"/>
        <v>start /low /b %USERPROFILE%\Documents\GitHub\eaglep3\Utilities\DownloadLogsFromS3.py --loco 4014 --day 2017-09-23</v>
      </c>
      <c r="AN172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0"/>
        <v>https://d0f6bd738d7f1b3e5a7ca70fe4ff75f0.us-east-1.aws.found.io/app/kibana#/discover/Steve-Slow-Train-Analysis-(2080s-and-2083s)?_g=(refreshInterval:(display:Off,pause:!f,section:0,value:0),time:(from:'2017-09-23T09:06:32-0600',mode:absolute,to:'2017-09-23T11:23:30-0600'))&amp;_a=(columns:!('Message%20ID',Summary),filters:!(),index:'emp_*',interval:auto,query:(query_string:(analyze_wildcard:!t,query:'Message%5C+ID:(*)+AND+%22rtdc.l.rtdc.4014%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595</v>
      </c>
      <c r="B173" s="7">
        <v>4013</v>
      </c>
      <c r="C173" s="21" t="s">
        <v>196</v>
      </c>
      <c r="D173" s="21" t="s">
        <v>576</v>
      </c>
      <c r="E173" s="13">
        <v>43001.441203703704</v>
      </c>
      <c r="F173" s="13">
        <v>43001.444074074076</v>
      </c>
      <c r="G173" s="7">
        <v>51</v>
      </c>
      <c r="H173" s="21" t="s">
        <v>898</v>
      </c>
      <c r="I173" s="13">
        <v>43001.455358796295</v>
      </c>
      <c r="J173" s="7">
        <v>0</v>
      </c>
      <c r="K173" s="89" t="str">
        <f t="shared" si="77"/>
        <v>4013/4014</v>
      </c>
      <c r="L173" s="185" t="str">
        <f>VLOOKUP(A173,'Trips&amp;Operators'!$C$1:$G$99911,5,FALSE)</f>
        <v>LAMAR NEKESHA</v>
      </c>
      <c r="M173" s="6">
        <f t="shared" si="78"/>
        <v>1.1284722218988463E-2</v>
      </c>
      <c r="N173" s="7">
        <f t="shared" si="114"/>
        <v>16.249999995343387</v>
      </c>
      <c r="O173" s="7"/>
      <c r="P173" s="7"/>
      <c r="Q173" s="22"/>
      <c r="R173" s="174"/>
      <c r="S173" s="221">
        <f t="shared" si="115"/>
        <v>1</v>
      </c>
      <c r="T173" s="174" t="str">
        <f t="shared" si="79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0"/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204" t="str">
        <f>IF(AA173&lt;VLOOKUP(AG173,Variables!$AC$3:$AD$8,2,FALSE),"Y","N")</f>
        <v>N</v>
      </c>
      <c r="X173" s="204">
        <f t="shared" si="106"/>
        <v>1</v>
      </c>
      <c r="Y173" s="204">
        <f t="shared" si="112"/>
        <v>5.8630000000000004</v>
      </c>
      <c r="Z173" s="204">
        <f t="shared" si="113"/>
        <v>7.0499999999999993E-2</v>
      </c>
      <c r="AA173" s="204">
        <f t="shared" si="81"/>
        <v>5.7925000000000004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2"/>
        <v>1810</v>
      </c>
      <c r="AE173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3" s="74" t="str">
        <f t="shared" si="84"/>
        <v>"C:\Program Files (x86)\AstroGrep\AstroGrep.exe" /e /r /s /spath="%USERPROFILE%\AppData\Local\Temp\OnboardLogs" /stypes="app*4013*20170923*" /stext=" 16:.+((SYSTEM_STATE.+slice.+state.+changed )|(ment ac)|(multiple cpu faults)|(system.+state.+changed )|(\[timeout)|(PRM\|1\|D)|(kpr)|(kdp)|(train st.+moving)|(\|lc)|(penalty))"</v>
      </c>
      <c r="AG173" s="182" t="str">
        <f t="shared" si="85"/>
        <v>NW</v>
      </c>
      <c r="AH173" s="78" t="str">
        <f t="shared" si="86"/>
        <v>"%USERPROFILE%\Documents\GitHub\eaglep3\Utilities\RefineRTDCRunTimes.py" --tripid 1810-23 --locoid 4013 --swversion DE.1.0.9.0 --startMP 300:58630 --initTime 2017-09-23T10:35:20 --startdatetime 2017-09-23T10:39:28 --delay 51 --endMP 204:705 --enddatetime 2017-09-23T10:55:43 --enforcementcount 0 &gt;&gt;c:\users\stu\Documents\GitHub\eaglep3-reporting\EC\2017-09-23-refined-times.txt</v>
      </c>
      <c r="AI17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{"issue":{"subject":"","project_id":79,"tracker_id":40,"status_id":1,"priority_id":2,"assigned_to_id":338,"start_date":"2017-09-23","description":"","custom_fields":[{"id":1,"name":"Subdivision","value":"NW"},{"id":4,"name":"Milepost","value":"0.0705"},{"id":17,"name":"Train ID","value":"1810-23"},{"id":16,"name":"Locomotive ID","value":"4013"},{"id":130,"name":"Impact","value":""},{"id":150,"name":"Time of Event (Mountain Time)","value":"10:55:43"},{"id":151,"name":"Denver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88"/>
        <v>start /low /b %USERPROFILE%\Documents\GitHub\eaglep3\Utilities\DownloadLogsFromS3.py --loco 4013 --day 2017-09-23</v>
      </c>
      <c r="AN173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0"/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Message%20ID',Summary),filters:!(),index:'emp_*',interval:auto,query:(query_string:(analyze_wildcard:!t,query:'Message%5C+ID:(*)+AND+%22rtdc.l.rtdc.4013%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598</v>
      </c>
      <c r="B174" s="7">
        <v>4014</v>
      </c>
      <c r="C174" s="21" t="s">
        <v>196</v>
      </c>
      <c r="D174" s="21" t="s">
        <v>899</v>
      </c>
      <c r="E174" s="13">
        <v>43001.461388888885</v>
      </c>
      <c r="F174" s="13">
        <v>43001.465162037035</v>
      </c>
      <c r="G174" s="7">
        <v>67</v>
      </c>
      <c r="H174" s="21" t="s">
        <v>900</v>
      </c>
      <c r="I174" s="13">
        <v>43001.474363425928</v>
      </c>
      <c r="J174" s="7">
        <v>0</v>
      </c>
      <c r="K174" s="89" t="str">
        <f t="shared" si="77"/>
        <v>4013/4014</v>
      </c>
      <c r="L174" s="185" t="str">
        <f>VLOOKUP(A174,'Trips&amp;Operators'!$C$1:$G$99911,5,FALSE)</f>
        <v>LAMAR NEKESHA</v>
      </c>
      <c r="M174" s="6">
        <f t="shared" si="78"/>
        <v>9.2013888934161514E-3</v>
      </c>
      <c r="N174" s="7">
        <f t="shared" si="114"/>
        <v>13.250000006519258</v>
      </c>
      <c r="O174" s="7"/>
      <c r="P174" s="7"/>
      <c r="Q174" s="22"/>
      <c r="R174" s="174"/>
      <c r="S174" s="221">
        <f t="shared" si="115"/>
        <v>1</v>
      </c>
      <c r="T174" s="174" t="str">
        <f t="shared" si="79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0"/>
        <v>https://d0f6bd738d7f1b3e5a7ca70fe4ff75f0.us-east-1.aws.found.io/app/kibana#/discover/Steve-Slow-Train-Analysis-(2080s-and-2083s)?_g=(refreshInterval:(display:Off,pause:!f,section:0,value:0),time:(from:'2017-09-23T10:04:24-0600',mode:absolute,to:'2017-09-23T12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204" t="str">
        <f>IF(AA174&lt;VLOOKUP(AG174,Variables!$AC$3:$AD$8,2,FALSE),"Y","N")</f>
        <v>N</v>
      </c>
      <c r="X174" s="204">
        <f t="shared" si="106"/>
        <v>1</v>
      </c>
      <c r="Y174" s="204">
        <f t="shared" si="112"/>
        <v>9.9000000000000005E-2</v>
      </c>
      <c r="Z174" s="204">
        <f t="shared" si="113"/>
        <v>5.8997000000000002</v>
      </c>
      <c r="AA174" s="204">
        <f t="shared" si="81"/>
        <v>5.8007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2"/>
        <v>1811</v>
      </c>
      <c r="AE174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4" s="74" t="str">
        <f t="shared" si="84"/>
        <v>"C:\Program Files (x86)\AstroGrep\AstroGrep.exe" /e /r /s /spath="%USERPROFILE%\AppData\Local\Temp\OnboardLogs" /stypes="app*4014*20170923*" /stext=" 17:.+((SYSTEM_STATE.+slice.+state.+changed )|(ment ac)|(multiple cpu faults)|(system.+state.+changed )|(\[timeout)|(PRM\|1\|D)|(kpr)|(kdp)|(train st.+moving)|(\|lc)|(penalty))"</v>
      </c>
      <c r="AG174" s="182" t="str">
        <f t="shared" si="85"/>
        <v>NW</v>
      </c>
      <c r="AH174" s="78" t="str">
        <f t="shared" si="86"/>
        <v>"%USERPROFILE%\Documents\GitHub\eaglep3\Utilities\RefineRTDCRunTimes.py" --tripid 1811-23 --locoid 4014 --swversion DE.1.0.9.0 --startMP 204:990 --initTime 2017-09-23T11:04:24 --startdatetime 2017-09-23T11:09:50 --delay 67 --endMP 300:58997 --enddatetime 2017-09-23T11:23:05 --enforcementcount 0 &gt;&gt;c:\users\stu\Documents\GitHub\eaglep3-reporting\EC\2017-09-23-refined-times.txt</v>
      </c>
      <c r="AI17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{"issue":{"subject":"","project_id":79,"tracker_id":40,"status_id":1,"priority_id":2,"assigned_to_id":338,"start_date":"2017-09-23","description":"","custom_fields":[{"id":1,"name":"Subdivision","value":"NW"},{"id":4,"name":"Milepost","value":"5.8997"},{"id":17,"name":"Train ID","value":"1811-23"},{"id":16,"name":"Locomotive ID","value":"4014"},{"id":130,"name":"Impact","value":""},{"id":150,"name":"Time of Event (Mountain Time)","value":"11:23:05"},{"id":151,"name":"Denver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88"/>
        <v>start /low /b %USERPROFILE%\Documents\GitHub\eaglep3\Utilities\DownloadLogsFromS3.py --loco 4014 --day 2017-09-23</v>
      </c>
      <c r="AN17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0"/>
        <v>https://d0f6bd738d7f1b3e5a7ca70fe4ff75f0.us-east-1.aws.found.io/app/kibana#/discover/Steve-Slow-Train-Analysis-(2080s-and-2083s)?_g=(refreshInterval:(display:Off,pause:!f,section:0,value:0),time:(from:'2017-09-23T10:04:24-0600',mode:absolute,to:'2017-09-23T12:23:05-0600'))&amp;_a=(columns:!('Message%20ID',Summary),filters:!(),index:'emp_*',interval:auto,query:(query_string:(analyze_wildcard:!t,query:'Message%5C+ID:(*)+AND+%22rtdc.l.rtdc.4014%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708</v>
      </c>
      <c r="B175" s="7">
        <v>4013</v>
      </c>
      <c r="C175" s="21" t="s">
        <v>196</v>
      </c>
      <c r="D175" s="21" t="s">
        <v>901</v>
      </c>
      <c r="E175" s="13">
        <v>43001.483854166669</v>
      </c>
      <c r="F175" s="13">
        <v>43001.48574074074</v>
      </c>
      <c r="G175" s="7">
        <v>50</v>
      </c>
      <c r="H175" s="21" t="s">
        <v>902</v>
      </c>
      <c r="I175" s="13">
        <v>43001.496249999997</v>
      </c>
      <c r="J175" s="7">
        <v>0</v>
      </c>
      <c r="K175" s="89" t="str">
        <f t="shared" si="77"/>
        <v>4013/4014</v>
      </c>
      <c r="L175" s="185" t="str">
        <f>VLOOKUP(A175,'Trips&amp;Operators'!$C$1:$G$99911,5,FALSE)</f>
        <v>LAMAR NEKESHA</v>
      </c>
      <c r="M175" s="6">
        <f t="shared" si="78"/>
        <v>1.0509259256650694E-2</v>
      </c>
      <c r="N175" s="7">
        <f t="shared" si="114"/>
        <v>15.133333329576999</v>
      </c>
      <c r="O175" s="7"/>
      <c r="P175" s="7"/>
      <c r="Q175" s="22"/>
      <c r="R175" s="174"/>
      <c r="S175" s="221">
        <f t="shared" si="115"/>
        <v>1</v>
      </c>
      <c r="T175" s="174" t="str">
        <f t="shared" si="79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0"/>
        <v>https://d0f6bd738d7f1b3e5a7ca70fe4ff75f0.us-east-1.aws.found.io/app/kibana#/discover/Steve-Slow-Train-Analysis-(2080s-and-2083s)?_g=(refreshInterval:(display:Off,pause:!f,section:0,value:0),time:(from:'2017-09-23T10:36:45-0600',mode:absolute,to:'2017-09-23T12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204" t="str">
        <f>IF(AA175&lt;VLOOKUP(AG175,Variables!$AC$3:$AD$8,2,FALSE),"Y","N")</f>
        <v>N</v>
      </c>
      <c r="X175" s="204">
        <f t="shared" si="106"/>
        <v>1</v>
      </c>
      <c r="Y175" s="204">
        <f t="shared" si="112"/>
        <v>5.8672000000000004</v>
      </c>
      <c r="Z175" s="204">
        <f t="shared" si="113"/>
        <v>6.54E-2</v>
      </c>
      <c r="AA175" s="204">
        <f t="shared" si="81"/>
        <v>5.8018000000000001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2"/>
        <v>1812</v>
      </c>
      <c r="AE175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5" s="74" t="str">
        <f t="shared" si="84"/>
        <v>"C:\Program Files (x86)\AstroGrep\AstroGrep.exe" /e /r /s /spath="%USERPROFILE%\AppData\Local\Temp\OnboardLogs" /stypes="app*4013*20170923*" /stext=" 17:.+((SYSTEM_STATE.+slice.+state.+changed )|(ment ac)|(multiple cpu faults)|(system.+state.+changed )|(\[timeout)|(PRM\|1\|D)|(kpr)|(kdp)|(train st.+moving)|(\|lc)|(penalty))"</v>
      </c>
      <c r="AG175" s="182" t="str">
        <f t="shared" si="85"/>
        <v>NW</v>
      </c>
      <c r="AH175" s="78" t="str">
        <f t="shared" si="86"/>
        <v>"%USERPROFILE%\Documents\GitHub\eaglep3\Utilities\RefineRTDCRunTimes.py" --tripid 1812-23 --locoid 4013 --swversion DE.1.0.9.0 --startMP 300:58672 --initTime 2017-09-23T11:36:45 --startdatetime 2017-09-23T11:39:28 --delay 50 --endMP 204:654 --enddatetime 2017-09-23T11:54:36 --enforcementcount 0 &gt;&gt;c:\users\stu\Documents\GitHub\eaglep3-reporting\EC\2017-09-23-refined-times.txt</v>
      </c>
      <c r="AI17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{"issue":{"subject":"","project_id":79,"tracker_id":40,"status_id":1,"priority_id":2,"assigned_to_id":338,"start_date":"2017-09-23","description":"","custom_fields":[{"id":1,"name":"Subdivision","value":"NW"},{"id":4,"name":"Milepost","value":"0.0654"},{"id":17,"name":"Train ID","value":"1812-23"},{"id":16,"name":"Locomotive ID","value":"4013"},{"id":130,"name":"Impact","value":""},{"id":150,"name":"Time of Event (Mountain Time)","value":"11:54:36"},{"id":151,"name":"Denver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88"/>
        <v>start /low /b %USERPROFILE%\Documents\GitHub\eaglep3\Utilities\DownloadLogsFromS3.py --loco 4013 --day 2017-09-23</v>
      </c>
      <c r="AN175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0"/>
        <v>https://d0f6bd738d7f1b3e5a7ca70fe4ff75f0.us-east-1.aws.found.io/app/kibana#/discover/Steve-Slow-Train-Analysis-(2080s-and-2083s)?_g=(refreshInterval:(display:Off,pause:!f,section:0,value:0),time:(from:'2017-09-23T10:36:45-0600',mode:absolute,to:'2017-09-23T12:54:36-0600'))&amp;_a=(columns:!('Message%20ID',Summary),filters:!(),index:'emp_*',interval:auto,query:(query_string:(analyze_wildcard:!t,query:'Message%5C+ID:(*)+AND+%22rtdc.l.rtdc.4013%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4014</v>
      </c>
      <c r="C176" s="21" t="s">
        <v>196</v>
      </c>
      <c r="D176" s="21" t="s">
        <v>903</v>
      </c>
      <c r="E176" s="13">
        <v>43001.502604166664</v>
      </c>
      <c r="F176" s="13">
        <v>43001.506423611114</v>
      </c>
      <c r="G176" s="7">
        <v>71</v>
      </c>
      <c r="H176" s="21" t="s">
        <v>904</v>
      </c>
      <c r="I176" s="13">
        <v>43001.515532407408</v>
      </c>
      <c r="J176" s="7">
        <v>0</v>
      </c>
      <c r="K176" s="89" t="str">
        <f t="shared" si="77"/>
        <v>4013/4014</v>
      </c>
      <c r="L176" s="185" t="str">
        <f>VLOOKUP(A176,'Trips&amp;Operators'!$C$1:$G$99911,5,FALSE)</f>
        <v>LAMAR NEKESHA</v>
      </c>
      <c r="M176" s="6">
        <f t="shared" si="78"/>
        <v>9.1087962937308475E-3</v>
      </c>
      <c r="N176" s="7">
        <f t="shared" si="114"/>
        <v>13.11666666297242</v>
      </c>
      <c r="O176" s="7"/>
      <c r="P176" s="7"/>
      <c r="Q176" s="22"/>
      <c r="R176" s="174"/>
      <c r="S176" s="221">
        <f t="shared" si="115"/>
        <v>1</v>
      </c>
      <c r="T176" s="174" t="str">
        <f t="shared" si="79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0"/>
        <v>https://d0f6bd738d7f1b3e5a7ca70fe4ff75f0.us-east-1.aws.found.io/app/kibana#/discover/Steve-Slow-Train-Analysis-(2080s-and-2083s)?_g=(refreshInterval:(display:Off,pause:!f,section:0,value:0),time:(from:'2017-09-23T11:03:45-0600',mode:absolute,to:'2017-09-23T13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204" t="str">
        <f>IF(AA176&lt;VLOOKUP(AG176,Variables!$AC$3:$AD$8,2,FALSE),"Y","N")</f>
        <v>N</v>
      </c>
      <c r="X176" s="204">
        <f t="shared" si="106"/>
        <v>1</v>
      </c>
      <c r="Y176" s="204">
        <f t="shared" si="112"/>
        <v>9.4600000000000004E-2</v>
      </c>
      <c r="Z176" s="204">
        <f t="shared" si="113"/>
        <v>5.8939000000000004</v>
      </c>
      <c r="AA176" s="204">
        <f t="shared" si="81"/>
        <v>5.7993000000000006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2"/>
        <v>1813</v>
      </c>
      <c r="AE176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6" s="74" t="str">
        <f t="shared" si="84"/>
        <v>"C:\Program Files (x86)\AstroGrep\AstroGrep.exe" /e /r /s /spath="%USERPROFILE%\AppData\Local\Temp\OnboardLogs" /stypes="app*4014*20170923*" /stext=" 18:.+((SYSTEM_STATE.+slice.+state.+changed )|(ment ac)|(multiple cpu faults)|(system.+state.+changed )|(\[timeout)|(PRM\|1\|D)|(kpr)|(kdp)|(train st.+moving)|(\|lc)|(penalty))"</v>
      </c>
      <c r="AG176" s="182" t="str">
        <f t="shared" si="85"/>
        <v>NW</v>
      </c>
      <c r="AH176" s="78" t="str">
        <f t="shared" si="86"/>
        <v>"%USERPROFILE%\Documents\GitHub\eaglep3\Utilities\RefineRTDCRunTimes.py" --tripid 1813-23 --locoid 4014 --swversion DE.1.0.9.0 --startMP 204:946 --initTime 2017-09-23T12:03:45 --startdatetime 2017-09-23T12:09:15 --delay 71 --endMP 300:58939 --enddatetime 2017-09-23T12:22:22 --enforcementcount 0 &gt;&gt;c:\users\stu\Documents\GitHub\eaglep3-reporting\EC\2017-09-23-refined-times.txt</v>
      </c>
      <c r="AI17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{"issue":{"subject":"","project_id":79,"tracker_id":40,"status_id":1,"priority_id":2,"assigned_to_id":338,"start_date":"2017-09-23","description":"","custom_fields":[{"id":1,"name":"Subdivision","value":"NW"},{"id":4,"name":"Milepost","value":"5.8939"},{"id":17,"name":"Train ID","value":"1813-23"},{"id":16,"name":"Locomotive ID","value":"4014"},{"id":130,"name":"Impact","value":""},{"id":150,"name":"Time of Event (Mountain Time)","value":"12:22:22"},{"id":151,"name":"Denver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88"/>
        <v>start /low /b %USERPROFILE%\Documents\GitHub\eaglep3\Utilities\DownloadLogsFromS3.py --loco 4014 --day 2017-09-23</v>
      </c>
      <c r="AN17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0"/>
        <v>https://d0f6bd738d7f1b3e5a7ca70fe4ff75f0.us-east-1.aws.found.io/app/kibana#/discover/Steve-Slow-Train-Analysis-(2080s-and-2083s)?_g=(refreshInterval:(display:Off,pause:!f,section:0,value:0),time:(from:'2017-09-23T11:03:45-0600',mode:absolute,to:'2017-09-23T13:22:22-0600'))&amp;_a=(columns:!('Message%20ID',Summary),filters:!(),index:'emp_*',interval:auto,query:(query_string:(analyze_wildcard:!t,query:'Message%5C+ID:(*)+AND+%22rtdc.l.rtdc.4014%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721</v>
      </c>
      <c r="B177" s="7">
        <v>4013</v>
      </c>
      <c r="C177" s="21" t="s">
        <v>196</v>
      </c>
      <c r="D177" s="21" t="s">
        <v>905</v>
      </c>
      <c r="E177" s="13">
        <v>43001.525682870371</v>
      </c>
      <c r="F177" s="13">
        <v>43001.527673611112</v>
      </c>
      <c r="G177" s="7">
        <v>67</v>
      </c>
      <c r="H177" s="21" t="s">
        <v>906</v>
      </c>
      <c r="I177" s="13">
        <v>43001.537800925929</v>
      </c>
      <c r="J177" s="7">
        <v>0</v>
      </c>
      <c r="K177" s="89" t="str">
        <f t="shared" si="77"/>
        <v>4013/4014</v>
      </c>
      <c r="L177" s="185" t="str">
        <f>VLOOKUP(A177,'Trips&amp;Operators'!$C$1:$G$99911,5,FALSE)</f>
        <v>LAMAR NEKESHA</v>
      </c>
      <c r="M177" s="6">
        <f t="shared" si="78"/>
        <v>1.0127314817509614E-2</v>
      </c>
      <c r="N177" s="7">
        <f t="shared" si="114"/>
        <v>14.583333337213844</v>
      </c>
      <c r="O177" s="7"/>
      <c r="P177" s="7"/>
      <c r="Q177" s="22"/>
      <c r="R177" s="174"/>
      <c r="S177" s="221">
        <f t="shared" si="115"/>
        <v>1</v>
      </c>
      <c r="T177" s="174" t="str">
        <f t="shared" si="79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0"/>
        <v>https://d0f6bd738d7f1b3e5a7ca70fe4ff75f0.us-east-1.aws.found.io/app/kibana#/discover/Steve-Slow-Train-Analysis-(2080s-and-2083s)?_g=(refreshInterval:(display:Off,pause:!f,section:0,value:0),time:(from:'2017-09-23T11:36:59-0600',mode:absolute,to:'2017-09-23T13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204" t="str">
        <f>IF(AA177&lt;VLOOKUP(AG177,Variables!$AC$3:$AD$8,2,FALSE),"Y","N")</f>
        <v>N</v>
      </c>
      <c r="X177" s="204">
        <f t="shared" si="106"/>
        <v>1</v>
      </c>
      <c r="Y177" s="204">
        <f t="shared" si="112"/>
        <v>5.8638000000000003</v>
      </c>
      <c r="Z177" s="204">
        <f t="shared" si="113"/>
        <v>6.6400000000000001E-2</v>
      </c>
      <c r="AA177" s="204">
        <f t="shared" si="81"/>
        <v>5.7974000000000006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2"/>
        <v>1814</v>
      </c>
      <c r="AE177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7" s="74" t="str">
        <f t="shared" si="84"/>
        <v>"C:\Program Files (x86)\AstroGrep\AstroGrep.exe" /e /r /s /spath="%USERPROFILE%\AppData\Local\Temp\OnboardLogs" /stypes="app*4013*20170923*" /stext=" 18:.+((SYSTEM_STATE.+slice.+state.+changed )|(ment ac)|(multiple cpu faults)|(system.+state.+changed )|(\[timeout)|(PRM\|1\|D)|(kpr)|(kdp)|(train st.+moving)|(\|lc)|(penalty))"</v>
      </c>
      <c r="AG177" s="182" t="str">
        <f t="shared" si="85"/>
        <v>NW</v>
      </c>
      <c r="AH177" s="78" t="str">
        <f t="shared" si="86"/>
        <v>"%USERPROFILE%\Documents\GitHub\eaglep3\Utilities\RefineRTDCRunTimes.py" --tripid 1814-23 --locoid 4013 --swversion DE.1.0.9.0 --startMP 300:58638 --initTime 2017-09-23T12:36:59 --startdatetime 2017-09-23T12:39:51 --delay 67 --endMP 204:664 --enddatetime 2017-09-23T12:54:26 --enforcementcount 0 &gt;&gt;c:\users\stu\Documents\GitHub\eaglep3-reporting\EC\2017-09-23-refined-times.txt</v>
      </c>
      <c r="AI177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{"issue":{"subject":"","project_id":79,"tracker_id":40,"status_id":1,"priority_id":2,"assigned_to_id":338,"start_date":"2017-09-23","description":"","custom_fields":[{"id":1,"name":"Subdivision","value":"NW"},{"id":4,"name":"Milepost","value":"0.0664"},{"id":17,"name":"Train ID","value":"1814-23"},{"id":16,"name":"Locomotive ID","value":"4013"},{"id":130,"name":"Impact","value":""},{"id":150,"name":"Time of Event (Mountain Time)","value":"12:54:26"},{"id":151,"name":"Denver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88"/>
        <v>start /low /b %USERPROFILE%\Documents\GitHub\eaglep3\Utilities\DownloadLogsFromS3.py --loco 4013 --day 2017-09-23</v>
      </c>
      <c r="AN177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18:54:26"},{"id":29,"name":"Sharepoint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0"/>
        <v>https://d0f6bd738d7f1b3e5a7ca70fe4ff75f0.us-east-1.aws.found.io/app/kibana#/discover/Steve-Slow-Train-Analysis-(2080s-and-2083s)?_g=(refreshInterval:(display:Off,pause:!f,section:0,value:0),time:(from:'2017-09-23T11:36:59-0600',mode:absolute,to:'2017-09-23T13:54:26-0600'))&amp;_a=(columns:!('Message%20ID',Summary),filters:!(),index:'emp_*',interval:auto,query:(query_string:(analyze_wildcard:!t,query:'Message%5C+ID:(*)+AND+%22rtdc.l.rtdc.4013%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725</v>
      </c>
      <c r="B178" s="7">
        <v>4014</v>
      </c>
      <c r="C178" s="21" t="s">
        <v>196</v>
      </c>
      <c r="D178" s="21" t="s">
        <v>907</v>
      </c>
      <c r="E178" s="13">
        <v>43001.540625000001</v>
      </c>
      <c r="F178" s="13">
        <v>43001.548090277778</v>
      </c>
      <c r="G178" s="7">
        <v>71</v>
      </c>
      <c r="H178" s="21" t="s">
        <v>574</v>
      </c>
      <c r="I178" s="13">
        <v>43001.557800925926</v>
      </c>
      <c r="J178" s="7">
        <v>0</v>
      </c>
      <c r="K178" s="89" t="str">
        <f t="shared" si="77"/>
        <v>4013/4014</v>
      </c>
      <c r="L178" s="185" t="str">
        <f>VLOOKUP(A178,'Trips&amp;Operators'!$C$1:$G$99911,5,FALSE)</f>
        <v>LAMAR NEKESHA</v>
      </c>
      <c r="M178" s="6">
        <f t="shared" si="78"/>
        <v>9.710648148029577E-3</v>
      </c>
      <c r="N178" s="7">
        <f t="shared" si="114"/>
        <v>13.983333333162591</v>
      </c>
      <c r="O178" s="7"/>
      <c r="P178" s="7"/>
      <c r="Q178" s="22"/>
      <c r="R178" s="174"/>
      <c r="S178" s="221">
        <f t="shared" si="115"/>
        <v>1</v>
      </c>
      <c r="T178" s="174" t="str">
        <f t="shared" si="79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0"/>
        <v>https://d0f6bd738d7f1b3e5a7ca70fe4ff75f0.us-east-1.aws.found.io/app/kibana#/discover/Steve-Slow-Train-Analysis-(2080s-and-2083s)?_g=(refreshInterval:(display:Off,pause:!f,section:0,value:0),time:(from:'2017-09-23T11:58:30-0600',mode:absolute,to:'2017-09-23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204" t="str">
        <f>IF(AA178&lt;VLOOKUP(AG178,Variables!$AC$3:$AD$8,2,FALSE),"Y","N")</f>
        <v>N</v>
      </c>
      <c r="X178" s="204">
        <f t="shared" si="106"/>
        <v>1</v>
      </c>
      <c r="Y178" s="204">
        <f t="shared" si="112"/>
        <v>9.5699999999999993E-2</v>
      </c>
      <c r="Z178" s="204">
        <f t="shared" si="113"/>
        <v>5.8994999999999997</v>
      </c>
      <c r="AA178" s="204">
        <f t="shared" si="81"/>
        <v>5.8037999999999998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2"/>
        <v>1815</v>
      </c>
      <c r="AE178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78" s="74" t="str">
        <f t="shared" si="84"/>
        <v>"C:\Program Files (x86)\AstroGrep\AstroGrep.exe" /e /r /s /spath="%USERPROFILE%\AppData\Local\Temp\OnboardLogs" /stypes="app*4014*20170923*" /stext=" 19:.+((SYSTEM_STATE.+slice.+state.+changed )|(ment ac)|(multiple cpu faults)|(system.+state.+changed )|(\[timeout)|(PRM\|1\|D)|(kpr)|(kdp)|(train st.+moving)|(\|lc)|(penalty))"</v>
      </c>
      <c r="AG178" s="182" t="str">
        <f t="shared" si="85"/>
        <v>NW</v>
      </c>
      <c r="AH178" s="78" t="str">
        <f t="shared" si="86"/>
        <v>"%USERPROFILE%\Documents\GitHub\eaglep3\Utilities\RefineRTDCRunTimes.py" --tripid 1815-23 --locoid 4014 --swversion DE.1.0.9.0 --startMP 204:957 --initTime 2017-09-23T12:58:30 --startdatetime 2017-09-23T13:09:15 --delay 71 --endMP 300:58995 --enddatetime 2017-09-23T13:23:14 --enforcementcount 0 &gt;&gt;c:\users\stu\Documents\GitHub\eaglep3-reporting\EC\2017-09-23-refined-times.txt</v>
      </c>
      <c r="AI17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{"issue":{"subject":"","project_id":79,"tracker_id":40,"status_id":1,"priority_id":2,"assigned_to_id":338,"start_date":"2017-09-23","description":"","custom_fields":[{"id":1,"name":"Subdivision","value":"NW"},{"id":4,"name":"Milepost","value":"5.8995"},{"id":17,"name":"Train ID","value":"1815-23"},{"id":16,"name":"Locomotive ID","value":"4014"},{"id":130,"name":"Impact","value":""},{"id":150,"name":"Time of Event (Mountain Time)","value":"13:23:14"},{"id":151,"name":"Denver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88"/>
        <v>start /low /b %USERPROFILE%\Documents\GitHub\eaglep3\Utilities\DownloadLogsFromS3.py --loco 4014 --day 2017-09-23</v>
      </c>
      <c r="AN178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0"/>
        <v>https://d0f6bd738d7f1b3e5a7ca70fe4ff75f0.us-east-1.aws.found.io/app/kibana#/discover/Steve-Slow-Train-Analysis-(2080s-and-2083s)?_g=(refreshInterval:(display:Off,pause:!f,section:0,value:0),time:(from:'2017-09-23T11:58:30-0600',mode:absolute,to:'2017-09-23T14:23:14-0600'))&amp;_a=(columns:!('Message%20ID',Summary),filters:!(),index:'emp_*',interval:auto,query:(query_string:(analyze_wildcard:!t,query:'Message%5C+ID:(*)+AND+%22rtdc.l.rtdc.4014%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599</v>
      </c>
      <c r="B179" s="7">
        <v>4013</v>
      </c>
      <c r="C179" s="21" t="s">
        <v>196</v>
      </c>
      <c r="D179" s="21" t="s">
        <v>573</v>
      </c>
      <c r="E179" s="13">
        <v>43001.567337962966</v>
      </c>
      <c r="F179" s="13">
        <v>43001.569247685184</v>
      </c>
      <c r="G179" s="7">
        <v>57</v>
      </c>
      <c r="H179" s="21" t="s">
        <v>575</v>
      </c>
      <c r="I179" s="13">
        <v>43001.579606481479</v>
      </c>
      <c r="J179" s="7">
        <v>0</v>
      </c>
      <c r="K179" s="89" t="str">
        <f t="shared" si="77"/>
        <v>4013/4014</v>
      </c>
      <c r="L179" s="185" t="str">
        <f>VLOOKUP(A179,'Trips&amp;Operators'!$C$1:$G$99911,5,FALSE)</f>
        <v>LAMAR NEKESHA</v>
      </c>
      <c r="M179" s="6">
        <f t="shared" si="78"/>
        <v>1.0358796294895001E-2</v>
      </c>
      <c r="N179" s="7">
        <f t="shared" si="114"/>
        <v>14.916666664648801</v>
      </c>
      <c r="O179" s="7"/>
      <c r="P179" s="7"/>
      <c r="Q179" s="22"/>
      <c r="R179" s="174"/>
      <c r="S179" s="221">
        <f t="shared" si="115"/>
        <v>1</v>
      </c>
      <c r="T179" s="174" t="str">
        <f t="shared" si="79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0"/>
        <v>https://d0f6bd738d7f1b3e5a7ca70fe4ff75f0.us-east-1.aws.found.io/app/kibana#/discover/Steve-Slow-Train-Analysis-(2080s-and-2083s)?_g=(refreshInterval:(display:Off,pause:!f,section:0,value:0),time:(from:'2017-09-23T12:36:58-0600',mode:absolute,to:'2017-09-23T14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204" t="str">
        <f>IF(AA179&lt;VLOOKUP(AG179,Variables!$AC$3:$AD$8,2,FALSE),"Y","N")</f>
        <v>N</v>
      </c>
      <c r="X179" s="204">
        <f t="shared" si="106"/>
        <v>1</v>
      </c>
      <c r="Y179" s="204">
        <f t="shared" si="112"/>
        <v>5.8685</v>
      </c>
      <c r="Z179" s="204">
        <f t="shared" si="113"/>
        <v>6.7100000000000007E-2</v>
      </c>
      <c r="AA179" s="204">
        <f t="shared" si="81"/>
        <v>5.8014000000000001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2"/>
        <v>1816</v>
      </c>
      <c r="AE179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79" s="74" t="str">
        <f t="shared" si="84"/>
        <v>"C:\Program Files (x86)\AstroGrep\AstroGrep.exe" /e /r /s /spath="%USERPROFILE%\AppData\Local\Temp\OnboardLogs" /stypes="app*4013*20170923*" /stext=" 19:.+((SYSTEM_STATE.+slice.+state.+changed )|(ment ac)|(multiple cpu faults)|(system.+state.+changed )|(\[timeout)|(PRM\|1\|D)|(kpr)|(kdp)|(train st.+moving)|(\|lc)|(penalty))"</v>
      </c>
      <c r="AG179" s="182" t="str">
        <f t="shared" si="85"/>
        <v>NW</v>
      </c>
      <c r="AH179" s="78" t="str">
        <f t="shared" si="86"/>
        <v>"%USERPROFILE%\Documents\GitHub\eaglep3\Utilities\RefineRTDCRunTimes.py" --tripid 1816-23 --locoid 4013 --swversion DE.1.0.9.0 --startMP 300:58685 --initTime 2017-09-23T13:36:58 --startdatetime 2017-09-23T13:39:43 --delay 57 --endMP 204:671 --enddatetime 2017-09-23T13:54:38 --enforcementcount 0 &gt;&gt;c:\users\stu\Documents\GitHub\eaglep3-reporting\EC\2017-09-23-refined-times.txt</v>
      </c>
      <c r="AI179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{"issue":{"subject":"","project_id":79,"tracker_id":40,"status_id":1,"priority_id":2,"assigned_to_id":338,"start_date":"2017-09-23","description":"","custom_fields":[{"id":1,"name":"Subdivision","value":"NW"},{"id":4,"name":"Milepost","value":"0.0671"},{"id":17,"name":"Train ID","value":"1816-23"},{"id":16,"name":"Locomotive ID","value":"4013"},{"id":130,"name":"Impact","value":""},{"id":150,"name":"Time of Event (Mountain Time)","value":"13:54:38"},{"id":151,"name":"Denver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88"/>
        <v>start /low /b %USERPROFILE%\Documents\GitHub\eaglep3\Utilities\DownloadLogsFromS3.py --loco 4013 --day 2017-09-23</v>
      </c>
      <c r="AN179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19:54:38"},{"id":29,"name":"Sharepoint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0"/>
        <v>https://d0f6bd738d7f1b3e5a7ca70fe4ff75f0.us-east-1.aws.found.io/app/kibana#/discover/Steve-Slow-Train-Analysis-(2080s-and-2083s)?_g=(refreshInterval:(display:Off,pause:!f,section:0,value:0),time:(from:'2017-09-23T12:36:58-0600',mode:absolute,to:'2017-09-23T14:54:38-0600'))&amp;_a=(columns:!('Message%20ID',Summary),filters:!(),index:'emp_*',interval:auto,query:(query_string:(analyze_wildcard:!t,query:'Message%5C+ID:(*)+AND+%22rtdc.l.rtdc.4013%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734</v>
      </c>
      <c r="B180" s="7">
        <v>4014</v>
      </c>
      <c r="C180" s="21" t="s">
        <v>196</v>
      </c>
      <c r="D180" s="21" t="s">
        <v>882</v>
      </c>
      <c r="E180" s="13">
        <v>43001.582662037035</v>
      </c>
      <c r="F180" s="13">
        <v>43001.589849537035</v>
      </c>
      <c r="G180" s="7">
        <v>90</v>
      </c>
      <c r="H180" s="21" t="s">
        <v>908</v>
      </c>
      <c r="I180" s="13">
        <v>43001.599756944444</v>
      </c>
      <c r="J180" s="7">
        <v>0</v>
      </c>
      <c r="K180" s="89" t="str">
        <f t="shared" si="77"/>
        <v>4013/4014</v>
      </c>
      <c r="L180" s="185" t="str">
        <f>VLOOKUP(A180,'Trips&amp;Operators'!$C$1:$G$99911,5,FALSE)</f>
        <v>SMITH MICHAEL</v>
      </c>
      <c r="M180" s="6">
        <f t="shared" si="78"/>
        <v>9.9074074096279219E-3</v>
      </c>
      <c r="N180" s="7">
        <f t="shared" si="114"/>
        <v>14.266666669864208</v>
      </c>
      <c r="O180" s="7"/>
      <c r="P180" s="7"/>
      <c r="Q180" s="22"/>
      <c r="R180" s="174"/>
      <c r="S180" s="221">
        <f t="shared" si="115"/>
        <v>1</v>
      </c>
      <c r="T180" s="174" t="str">
        <f t="shared" si="79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0"/>
        <v>https://d0f6bd738d7f1b3e5a7ca70fe4ff75f0.us-east-1.aws.found.io/app/kibana#/discover/Steve-Slow-Train-Analysis-(2080s-and-2083s)?_g=(refreshInterval:(display:Off,pause:!f,section:0,value:0),time:(from:'2017-09-23T12:59:02-0600',mode:absolute,to:'2017-09-23T15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204" t="str">
        <f>IF(AA180&lt;VLOOKUP(AG180,Variables!$AC$3:$AD$8,2,FALSE),"Y","N")</f>
        <v>N</v>
      </c>
      <c r="X180" s="204">
        <f t="shared" si="106"/>
        <v>1</v>
      </c>
      <c r="Y180" s="204">
        <f t="shared" si="112"/>
        <v>9.5000000000000001E-2</v>
      </c>
      <c r="Z180" s="204">
        <f t="shared" si="113"/>
        <v>5.9006999999999996</v>
      </c>
      <c r="AA180" s="204">
        <f t="shared" si="81"/>
        <v>5.8056999999999999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2"/>
        <v>1817</v>
      </c>
      <c r="AE180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0" s="74" t="str">
        <f t="shared" si="84"/>
        <v>"C:\Program Files (x86)\AstroGrep\AstroGrep.exe" /e /r /s /spath="%USERPROFILE%\AppData\Local\Temp\OnboardLogs" /stypes="app*4014*20170923*" /stext=" 20:.+((SYSTEM_STATE.+slice.+state.+changed )|(ment ac)|(multiple cpu faults)|(system.+state.+changed )|(\[timeout)|(PRM\|1\|D)|(kpr)|(kdp)|(train st.+moving)|(\|lc)|(penalty))"</v>
      </c>
      <c r="AG180" s="182" t="str">
        <f t="shared" si="85"/>
        <v>NW</v>
      </c>
      <c r="AH180" s="78" t="str">
        <f t="shared" si="86"/>
        <v>"%USERPROFILE%\Documents\GitHub\eaglep3\Utilities\RefineRTDCRunTimes.py" --tripid 1817-23 --locoid 4014 --swversion DE.1.0.9.0 --startMP 204:950 --initTime 2017-09-23T13:59:02 --startdatetime 2017-09-23T14:09:23 --delay 90 --endMP 300:59007 --enddatetime 2017-09-23T14:23:39 --enforcementcount 0 &gt;&gt;c:\users\stu\Documents\GitHub\eaglep3-reporting\EC\2017-09-23-refined-times.txt</v>
      </c>
      <c r="AI180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{"issue":{"subject":"","project_id":79,"tracker_id":40,"status_id":1,"priority_id":2,"assigned_to_id":338,"start_date":"2017-09-23","description":"","custom_fields":[{"id":1,"name":"Subdivision","value":"NW"},{"id":4,"name":"Milepost","value":"5.9007"},{"id":17,"name":"Train ID","value":"1817-23"},{"id":16,"name":"Locomotive ID","value":"4014"},{"id":130,"name":"Impact","value":""},{"id":150,"name":"Time of Event (Mountain Time)","value":"14:23:39"},{"id":151,"name":"Denver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88"/>
        <v>start /low /b %USERPROFILE%\Documents\GitHub\eaglep3\Utilities\DownloadLogsFromS3.py --loco 4014 --day 2017-09-23</v>
      </c>
      <c r="AN180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0"/>
        <v>https://d0f6bd738d7f1b3e5a7ca70fe4ff75f0.us-east-1.aws.found.io/app/kibana#/discover/Steve-Slow-Train-Analysis-(2080s-and-2083s)?_g=(refreshInterval:(display:Off,pause:!f,section:0,value:0),time:(from:'2017-09-23T12:59:02-0600',mode:absolute,to:'2017-09-23T15:23:39-0600'))&amp;_a=(columns:!('Message%20ID',Summary),filters:!(),index:'emp_*',interval:auto,query:(query_string:(analyze_wildcard:!t,query:'Message%5C+ID:(*)+AND+%22rtdc.l.rtdc.4014%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740</v>
      </c>
      <c r="B181" s="7">
        <v>4013</v>
      </c>
      <c r="C181" s="21" t="s">
        <v>196</v>
      </c>
      <c r="D181" s="21" t="s">
        <v>909</v>
      </c>
      <c r="E181" s="13">
        <v>43001.600949074076</v>
      </c>
      <c r="F181" s="13">
        <v>43001.610555555555</v>
      </c>
      <c r="G181" s="7">
        <v>85</v>
      </c>
      <c r="H181" s="21" t="s">
        <v>467</v>
      </c>
      <c r="I181" s="13">
        <v>43001.621307870373</v>
      </c>
      <c r="J181" s="7">
        <v>0</v>
      </c>
      <c r="K181" s="89" t="str">
        <f t="shared" si="77"/>
        <v>4013/4014</v>
      </c>
      <c r="L181" s="185" t="str">
        <f>VLOOKUP(A181,'Trips&amp;Operators'!$C$1:$G$99911,5,FALSE)</f>
        <v>SMITH MICHAEL</v>
      </c>
      <c r="M181" s="6">
        <f t="shared" si="78"/>
        <v>1.0752314818091691E-2</v>
      </c>
      <c r="N181" s="7">
        <f t="shared" si="114"/>
        <v>15.483333338052034</v>
      </c>
      <c r="O181" s="7"/>
      <c r="P181" s="7"/>
      <c r="Q181" s="22"/>
      <c r="R181" s="174"/>
      <c r="S181" s="221">
        <f t="shared" si="115"/>
        <v>1</v>
      </c>
      <c r="T181" s="174" t="str">
        <f t="shared" si="79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0"/>
        <v>https://d0f6bd738d7f1b3e5a7ca70fe4ff75f0.us-east-1.aws.found.io/app/kibana#/discover/Steve-Slow-Train-Analysis-(2080s-and-2083s)?_g=(refreshInterval:(display:Off,pause:!f,section:0,value:0),time:(from:'2017-09-23T13:25:22-0600',mode:absolute,to:'2017-09-23T15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204" t="str">
        <f>IF(AA181&lt;VLOOKUP(AG181,Variables!$AC$3:$AD$8,2,FALSE),"Y","N")</f>
        <v>N</v>
      </c>
      <c r="X181" s="204">
        <f t="shared" si="106"/>
        <v>1</v>
      </c>
      <c r="Y181" s="204">
        <f t="shared" si="112"/>
        <v>5.8688000000000002</v>
      </c>
      <c r="Z181" s="204">
        <f t="shared" si="113"/>
        <v>6.9099999999999995E-2</v>
      </c>
      <c r="AA181" s="204">
        <f t="shared" si="81"/>
        <v>5.7997000000000005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2"/>
        <v>1818</v>
      </c>
      <c r="AE181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1" s="74" t="str">
        <f t="shared" si="84"/>
        <v>"C:\Program Files (x86)\AstroGrep\AstroGrep.exe" /e /r /s /spath="%USERPROFILE%\AppData\Local\Temp\OnboardLogs" /stypes="app*4013*20170923*" /stext=" 20:.+((SYSTEM_STATE.+slice.+state.+changed )|(ment ac)|(multiple cpu faults)|(system.+state.+changed )|(\[timeout)|(PRM\|1\|D)|(kpr)|(kdp)|(train st.+moving)|(\|lc)|(penalty))"</v>
      </c>
      <c r="AG181" s="182" t="str">
        <f t="shared" si="85"/>
        <v>NW</v>
      </c>
      <c r="AH181" s="78" t="str">
        <f t="shared" si="86"/>
        <v>"%USERPROFILE%\Documents\GitHub\eaglep3\Utilities\RefineRTDCRunTimes.py" --tripid 1818-23 --locoid 4013 --swversion DE.1.0.9.0 --startMP 300:58688 --initTime 2017-09-23T14:25:22 --startdatetime 2017-09-23T14:39:12 --delay 85 --endMP 204:691 --enddatetime 2017-09-23T14:54:41 --enforcementcount 0 &gt;&gt;c:\users\stu\Documents\GitHub\eaglep3-reporting\EC\2017-09-23-refined-times.txt</v>
      </c>
      <c r="AI181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{"issue":{"subject":"","project_id":79,"tracker_id":40,"status_id":1,"priority_id":2,"assigned_to_id":338,"start_date":"2017-09-23","description":"","custom_fields":[{"id":1,"name":"Subdivision","value":"NW"},{"id":4,"name":"Milepost","value":"0.0691"},{"id":17,"name":"Train ID","value":"1818-23"},{"id":16,"name":"Locomotive ID","value":"4013"},{"id":130,"name":"Impact","value":""},{"id":150,"name":"Time of Event (Mountain Time)","value":"14:54:41"},{"id":151,"name":"Denver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88"/>
        <v>start /low /b %USERPROFILE%\Documents\GitHub\eaglep3\Utilities\DownloadLogsFromS3.py --loco 4013 --day 2017-09-23</v>
      </c>
      <c r="AN181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20:54:41"},{"id":29,"name":"Sharepoint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0"/>
        <v>https://d0f6bd738d7f1b3e5a7ca70fe4ff75f0.us-east-1.aws.found.io/app/kibana#/discover/Steve-Slow-Train-Analysis-(2080s-and-2083s)?_g=(refreshInterval:(display:Off,pause:!f,section:0,value:0),time:(from:'2017-09-23T13:25:22-0600',mode:absolute,to:'2017-09-23T15:54:41-0600'))&amp;_a=(columns:!('Message%20ID',Summary),filters:!(),index:'emp_*',interval:auto,query:(query_string:(analyze_wildcard:!t,query:'Message%5C+ID:(*)+AND+%22rtdc.l.rtdc.4013%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742</v>
      </c>
      <c r="B182" s="7">
        <v>4014</v>
      </c>
      <c r="C182" s="21" t="s">
        <v>196</v>
      </c>
      <c r="D182" s="21" t="s">
        <v>469</v>
      </c>
      <c r="E182" s="13">
        <v>43001.62605324074</v>
      </c>
      <c r="F182" s="13">
        <v>43001.631469907406</v>
      </c>
      <c r="G182" s="7">
        <v>67</v>
      </c>
      <c r="H182" s="21" t="s">
        <v>571</v>
      </c>
      <c r="I182" s="13">
        <v>43001.641226851854</v>
      </c>
      <c r="J182" s="7">
        <v>0</v>
      </c>
      <c r="K182" s="89" t="str">
        <f t="shared" si="77"/>
        <v>4013/4014</v>
      </c>
      <c r="L182" s="185" t="str">
        <f>VLOOKUP(A182,'Trips&amp;Operators'!$C$1:$G$99911,5,FALSE)</f>
        <v>SMITH MICHAEL</v>
      </c>
      <c r="M182" s="6">
        <f t="shared" si="78"/>
        <v>9.7569444478722289E-3</v>
      </c>
      <c r="N182" s="7">
        <f t="shared" si="114"/>
        <v>14.05000000493601</v>
      </c>
      <c r="O182" s="7"/>
      <c r="P182" s="7"/>
      <c r="Q182" s="22"/>
      <c r="R182" s="174"/>
      <c r="S182" s="221">
        <f t="shared" si="115"/>
        <v>1</v>
      </c>
      <c r="T182" s="174" t="str">
        <f t="shared" si="79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0"/>
        <v>https://d0f6bd738d7f1b3e5a7ca70fe4ff75f0.us-east-1.aws.found.io/app/kibana#/discover/Steve-Slow-Train-Analysis-(2080s-and-2083s)?_g=(refreshInterval:(display:Off,pause:!f,section:0,value:0),time:(from:'2017-09-23T14:01:31-0600',mode:absolute,to:'2017-09-23T16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204" t="str">
        <f>IF(AA182&lt;VLOOKUP(AG182,Variables!$AC$3:$AD$8,2,FALSE),"Y","N")</f>
        <v>N</v>
      </c>
      <c r="X182" s="204">
        <f t="shared" si="106"/>
        <v>1</v>
      </c>
      <c r="Y182" s="204">
        <f t="shared" si="112"/>
        <v>9.6500000000000002E-2</v>
      </c>
      <c r="Z182" s="204">
        <f t="shared" si="113"/>
        <v>5.8960999999999997</v>
      </c>
      <c r="AA182" s="204">
        <f t="shared" si="81"/>
        <v>5.7995999999999999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2"/>
        <v>1819</v>
      </c>
      <c r="AE182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2" s="74" t="str">
        <f t="shared" si="84"/>
        <v>"C:\Program Files (x86)\AstroGrep\AstroGrep.exe" /e /r /s /spath="%USERPROFILE%\AppData\Local\Temp\OnboardLogs" /stypes="app*4014*20170923*" /stext=" 21:.+((SYSTEM_STATE.+slice.+state.+changed )|(ment ac)|(multiple cpu faults)|(system.+state.+changed )|(\[timeout)|(PRM\|1\|D)|(kpr)|(kdp)|(train st.+moving)|(\|lc)|(penalty))"</v>
      </c>
      <c r="AG182" s="182" t="str">
        <f t="shared" si="85"/>
        <v>NW</v>
      </c>
      <c r="AH182" s="78" t="str">
        <f t="shared" si="86"/>
        <v>"%USERPROFILE%\Documents\GitHub\eaglep3\Utilities\RefineRTDCRunTimes.py" --tripid 1819-23 --locoid 4014 --swversion DE.1.0.9.0 --startMP 204:965 --initTime 2017-09-23T15:01:31 --startdatetime 2017-09-23T15:09:19 --delay 67 --endMP 300:58961 --enddatetime 2017-09-23T15:23:22 --enforcementcount 0 &gt;&gt;c:\users\stu\Documents\GitHub\eaglep3-reporting\EC\2017-09-23-refined-times.txt</v>
      </c>
      <c r="AI182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{"issue":{"subject":"","project_id":79,"tracker_id":40,"status_id":1,"priority_id":2,"assigned_to_id":338,"start_date":"2017-09-23","description":"","custom_fields":[{"id":1,"name":"Subdivision","value":"NW"},{"id":4,"name":"Milepost","value":"5.8961"},{"id":17,"name":"Train ID","value":"1819-23"},{"id":16,"name":"Locomotive ID","value":"4014"},{"id":130,"name":"Impact","value":""},{"id":150,"name":"Time of Event (Mountain Time)","value":"15:23:22"},{"id":151,"name":"Denver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88"/>
        <v>start /low /b %USERPROFILE%\Documents\GitHub\eaglep3\Utilities\DownloadLogsFromS3.py --loco 4014 --day 2017-09-23</v>
      </c>
      <c r="AN182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0"/>
        <v>https://d0f6bd738d7f1b3e5a7ca70fe4ff75f0.us-east-1.aws.found.io/app/kibana#/discover/Steve-Slow-Train-Analysis-(2080s-and-2083s)?_g=(refreshInterval:(display:Off,pause:!f,section:0,value:0),time:(from:'2017-09-23T14:01:31-0600',mode:absolute,to:'2017-09-23T16:23:22-0600'))&amp;_a=(columns:!('Message%20ID',Summary),filters:!(),index:'emp_*',interval:auto,query:(query_string:(analyze_wildcard:!t,query:'Message%5C+ID:(*)+AND+%22rtdc.l.rtdc.4014%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746</v>
      </c>
      <c r="B183" s="7">
        <v>4013</v>
      </c>
      <c r="C183" s="21" t="s">
        <v>196</v>
      </c>
      <c r="D183" s="21" t="s">
        <v>572</v>
      </c>
      <c r="E183" s="13">
        <v>43001.64503472222</v>
      </c>
      <c r="F183" s="13">
        <v>43001.651631944442</v>
      </c>
      <c r="G183" s="7">
        <v>59</v>
      </c>
      <c r="H183" s="21" t="s">
        <v>911</v>
      </c>
      <c r="I183" s="13">
        <v>43001.662928240738</v>
      </c>
      <c r="J183" s="7">
        <v>0</v>
      </c>
      <c r="K183" s="89" t="str">
        <f t="shared" si="77"/>
        <v>4013/4014</v>
      </c>
      <c r="L183" s="185" t="str">
        <f>VLOOKUP(A183,'Trips&amp;Operators'!$C$1:$G$99911,5,FALSE)</f>
        <v>SMITH MICHAEL</v>
      </c>
      <c r="M183" s="6">
        <f t="shared" si="78"/>
        <v>1.1296296295768116E-2</v>
      </c>
      <c r="N183" s="7">
        <f t="shared" si="114"/>
        <v>16.266666665906087</v>
      </c>
      <c r="O183" s="7"/>
      <c r="P183" s="7"/>
      <c r="Q183" s="22"/>
      <c r="R183" s="174"/>
      <c r="S183" s="221">
        <f t="shared" si="115"/>
        <v>1</v>
      </c>
      <c r="T183" s="174" t="str">
        <f t="shared" si="79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0"/>
        <v>https://d0f6bd738d7f1b3e5a7ca70fe4ff75f0.us-east-1.aws.found.io/app/kibana#/discover/Steve-Slow-Train-Analysis-(2080s-and-2083s)?_g=(refreshInterval:(display:Off,pause:!f,section:0,value:0),time:(from:'2017-09-23T14:28:51-0600',mode:absolute,to:'2017-09-23T16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204" t="str">
        <f>IF(AA183&lt;VLOOKUP(AG183,Variables!$AC$3:$AD$8,2,FALSE),"Y","N")</f>
        <v>N</v>
      </c>
      <c r="X183" s="204">
        <f t="shared" si="106"/>
        <v>1</v>
      </c>
      <c r="Y183" s="204">
        <f t="shared" si="112"/>
        <v>5.8644999999999996</v>
      </c>
      <c r="Z183" s="204">
        <f t="shared" si="113"/>
        <v>7.1499999999999994E-2</v>
      </c>
      <c r="AA183" s="204">
        <f t="shared" si="81"/>
        <v>5.7929999999999993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2"/>
        <v>1820</v>
      </c>
      <c r="AE183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3" s="74" t="str">
        <f t="shared" si="84"/>
        <v>"C:\Program Files (x86)\AstroGrep\AstroGrep.exe" /e /r /s /spath="%USERPROFILE%\AppData\Local\Temp\OnboardLogs" /stypes="app*4013*20170923*" /stext=" 21:.+((SYSTEM_STATE.+slice.+state.+changed )|(ment ac)|(multiple cpu faults)|(system.+state.+changed )|(\[timeout)|(PRM\|1\|D)|(kpr)|(kdp)|(train st.+moving)|(\|lc)|(penalty))"</v>
      </c>
      <c r="AG183" s="182" t="str">
        <f t="shared" si="85"/>
        <v>NW</v>
      </c>
      <c r="AH183" s="78" t="str">
        <f t="shared" si="86"/>
        <v>"%USERPROFILE%\Documents\GitHub\eaglep3\Utilities\RefineRTDCRunTimes.py" --tripid 1820-23 --locoid 4013 --swversion DE.1.0.9.0 --startMP 300:58645 --initTime 2017-09-23T15:28:51 --startdatetime 2017-09-23T15:38:21 --delay 59 --endMP 204:715 --enddatetime 2017-09-23T15:54:37 --enforcementcount 0 &gt;&gt;c:\users\stu\Documents\GitHub\eaglep3-reporting\EC\2017-09-23-refined-times.txt</v>
      </c>
      <c r="AI18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{"issue":{"subject":"","project_id":79,"tracker_id":40,"status_id":1,"priority_id":2,"assigned_to_id":338,"start_date":"2017-09-23","description":"","custom_fields":[{"id":1,"name":"Subdivision","value":"NW"},{"id":4,"name":"Milepost","value":"0.0715"},{"id":17,"name":"Train ID","value":"1820-23"},{"id":16,"name":"Locomotive ID","value":"4013"},{"id":130,"name":"Impact","value":""},{"id":150,"name":"Time of Event (Mountain Time)","value":"15:54:37"},{"id":151,"name":"Denver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88"/>
        <v>start /low /b %USERPROFILE%\Documents\GitHub\eaglep3\Utilities\DownloadLogsFromS3.py --loco 4013 --day 2017-09-23</v>
      </c>
      <c r="AN183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21:54:37"},{"id":29,"name":"Sharepoint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0"/>
        <v>https://d0f6bd738d7f1b3e5a7ca70fe4ff75f0.us-east-1.aws.found.io/app/kibana#/discover/Steve-Slow-Train-Analysis-(2080s-and-2083s)?_g=(refreshInterval:(display:Off,pause:!f,section:0,value:0),time:(from:'2017-09-23T14:28:51-0600',mode:absolute,to:'2017-09-23T16:54:37-0600'))&amp;_a=(columns:!('Message%20ID',Summary),filters:!(),index:'emp_*',interval:auto,query:(query_string:(analyze_wildcard:!t,query:'Message%5C+ID:(*)+AND+%22rtdc.l.rtdc.4013%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752</v>
      </c>
      <c r="B184" s="7">
        <v>4014</v>
      </c>
      <c r="C184" s="21" t="s">
        <v>196</v>
      </c>
      <c r="D184" s="21" t="s">
        <v>912</v>
      </c>
      <c r="E184" s="13">
        <v>43001.667326388888</v>
      </c>
      <c r="F184" s="13">
        <v>43001.673148148147</v>
      </c>
      <c r="G184" s="7">
        <v>63</v>
      </c>
      <c r="H184" s="21" t="s">
        <v>913</v>
      </c>
      <c r="I184" s="13">
        <v>43001.682789351849</v>
      </c>
      <c r="J184" s="7">
        <v>0</v>
      </c>
      <c r="K184" s="89" t="str">
        <f t="shared" si="77"/>
        <v>4013/4014</v>
      </c>
      <c r="L184" s="185" t="str">
        <f>VLOOKUP(A184,'Trips&amp;Operators'!$C$1:$G$99911,5,FALSE)</f>
        <v>SMITH MICHAEL</v>
      </c>
      <c r="M184" s="6">
        <f t="shared" si="78"/>
        <v>9.6412037019035779E-3</v>
      </c>
      <c r="N184" s="7">
        <f t="shared" si="114"/>
        <v>13.883333330741152</v>
      </c>
      <c r="O184" s="7"/>
      <c r="P184" s="7"/>
      <c r="Q184" s="22"/>
      <c r="R184" s="174"/>
      <c r="S184" s="221">
        <f t="shared" si="115"/>
        <v>1</v>
      </c>
      <c r="T184" s="174" t="str">
        <f t="shared" si="79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0"/>
        <v>https://d0f6bd738d7f1b3e5a7ca70fe4ff75f0.us-east-1.aws.found.io/app/kibana#/discover/Steve-Slow-Train-Analysis-(2080s-and-2083s)?_g=(refreshInterval:(display:Off,pause:!f,section:0,value:0),time:(from:'2017-09-23T15:00:57-0600',mode:absolute,to:'2017-09-23T17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204" t="str">
        <f>IF(AA184&lt;VLOOKUP(AG184,Variables!$AC$3:$AD$8,2,FALSE),"Y","N")</f>
        <v>N</v>
      </c>
      <c r="X184" s="204">
        <f t="shared" si="106"/>
        <v>1</v>
      </c>
      <c r="Y184" s="204">
        <f t="shared" si="112"/>
        <v>9.9699999999999997E-2</v>
      </c>
      <c r="Z184" s="204">
        <f t="shared" si="113"/>
        <v>5.8971</v>
      </c>
      <c r="AA184" s="204">
        <f t="shared" si="81"/>
        <v>5.7973999999999997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2"/>
        <v>1821</v>
      </c>
      <c r="AE184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4" s="74" t="str">
        <f t="shared" si="84"/>
        <v>"C:\Program Files (x86)\AstroGrep\AstroGrep.exe" /e /r /s /spath="%USERPROFILE%\AppData\Local\Temp\OnboardLogs" /stypes="app*4014*20170923*" /stext=" 22:.+((SYSTEM_STATE.+slice.+state.+changed )|(ment ac)|(multiple cpu faults)|(system.+state.+changed )|(\[timeout)|(PRM\|1\|D)|(kpr)|(kdp)|(train st.+moving)|(\|lc)|(penalty))"</v>
      </c>
      <c r="AG184" s="182" t="str">
        <f t="shared" si="85"/>
        <v>NW</v>
      </c>
      <c r="AH184" s="78" t="str">
        <f t="shared" si="86"/>
        <v>"%USERPROFILE%\Documents\GitHub\eaglep3\Utilities\RefineRTDCRunTimes.py" --tripid 1821-23 --locoid 4014 --swversion DE.1.0.9.0 --startMP 204:997 --initTime 2017-09-23T16:00:57 --startdatetime 2017-09-23T16:09:20 --delay 63 --endMP 300:58971 --enddatetime 2017-09-23T16:23:13 --enforcementcount 0 &gt;&gt;c:\users\stu\Documents\GitHub\eaglep3-reporting\EC\2017-09-23-refined-times.txt</v>
      </c>
      <c r="AI18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{"issue":{"subject":"","project_id":79,"tracker_id":40,"status_id":1,"priority_id":2,"assigned_to_id":338,"start_date":"2017-09-23","description":"","custom_fields":[{"id":1,"name":"Subdivision","value":"NW"},{"id":4,"name":"Milepost","value":"5.8971"},{"id":17,"name":"Train ID","value":"1821-23"},{"id":16,"name":"Locomotive ID","value":"4014"},{"id":130,"name":"Impact","value":""},{"id":150,"name":"Time of Event (Mountain Time)","value":"16:23:13"},{"id":151,"name":"Denver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88"/>
        <v>start /low /b %USERPROFILE%\Documents\GitHub\eaglep3\Utilities\DownloadLogsFromS3.py --loco 4014 --day 2017-09-23</v>
      </c>
      <c r="AN18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0"/>
        <v>https://d0f6bd738d7f1b3e5a7ca70fe4ff75f0.us-east-1.aws.found.io/app/kibana#/discover/Steve-Slow-Train-Analysis-(2080s-and-2083s)?_g=(refreshInterval:(display:Off,pause:!f,section:0,value:0),time:(from:'2017-09-23T15:00:57-0600',mode:absolute,to:'2017-09-23T17:23:13-0600'))&amp;_a=(columns:!('Message%20ID',Summary),filters:!(),index:'emp_*',interval:auto,query:(query_string:(analyze_wildcard:!t,query:'Message%5C+ID:(*)+AND+%22rtdc.l.rtdc.4014%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755</v>
      </c>
      <c r="B185" s="7">
        <v>4013</v>
      </c>
      <c r="C185" s="21" t="s">
        <v>196</v>
      </c>
      <c r="D185" s="21" t="s">
        <v>470</v>
      </c>
      <c r="E185" s="13">
        <v>43001.68478009259</v>
      </c>
      <c r="F185" s="13">
        <v>43001.693472222221</v>
      </c>
      <c r="G185" s="7">
        <v>73</v>
      </c>
      <c r="H185" s="21" t="s">
        <v>579</v>
      </c>
      <c r="I185" s="13">
        <v>43001.706157407411</v>
      </c>
      <c r="J185" s="7">
        <v>0</v>
      </c>
      <c r="K185" s="89" t="str">
        <f t="shared" si="77"/>
        <v>4013/4014</v>
      </c>
      <c r="L185" s="185" t="str">
        <f>VLOOKUP(A185,'Trips&amp;Operators'!$C$1:$G$99911,5,FALSE)</f>
        <v>SMITH MICHAEL</v>
      </c>
      <c r="M185" s="6">
        <f t="shared" si="78"/>
        <v>1.2685185189184267E-2</v>
      </c>
      <c r="N185" s="7">
        <f t="shared" si="114"/>
        <v>18.266666672425345</v>
      </c>
      <c r="O185" s="7"/>
      <c r="P185" s="7"/>
      <c r="Q185" s="22"/>
      <c r="R185" s="174"/>
      <c r="S185" s="221">
        <f t="shared" si="115"/>
        <v>1</v>
      </c>
      <c r="T185" s="174" t="str">
        <f t="shared" si="79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0"/>
        <v>https://d0f6bd738d7f1b3e5a7ca70fe4ff75f0.us-east-1.aws.found.io/app/kibana#/discover/Steve-Slow-Train-Analysis-(2080s-and-2083s)?_g=(refreshInterval:(display:Off,pause:!f,section:0,value:0),time:(from:'2017-09-23T15:26:05-0600',mode:absolute,to:'2017-09-23T17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204" t="str">
        <f>IF(AA185&lt;VLOOKUP(AG185,Variables!$AC$3:$AD$8,2,FALSE),"Y","N")</f>
        <v>N</v>
      </c>
      <c r="X185" s="204">
        <f t="shared" si="106"/>
        <v>1</v>
      </c>
      <c r="Y185" s="204">
        <f t="shared" si="112"/>
        <v>5.8655999999999997</v>
      </c>
      <c r="Z185" s="204">
        <f t="shared" si="113"/>
        <v>6.8400000000000002E-2</v>
      </c>
      <c r="AA185" s="204">
        <f t="shared" si="81"/>
        <v>5.7972000000000001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2"/>
        <v>1822</v>
      </c>
      <c r="AE185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5" s="74" t="str">
        <f t="shared" si="84"/>
        <v>"C:\Program Files (x86)\AstroGrep\AstroGrep.exe" /e /r /s /spath="%USERPROFILE%\AppData\Local\Temp\OnboardLogs" /stypes="app*4013*20170923*" /stext=" 22:.+((SYSTEM_STATE.+slice.+state.+changed )|(ment ac)|(multiple cpu faults)|(system.+state.+changed )|(\[timeout)|(PRM\|1\|D)|(kpr)|(kdp)|(train st.+moving)|(\|lc)|(penalty))"</v>
      </c>
      <c r="AG185" s="182" t="str">
        <f t="shared" si="85"/>
        <v>NW</v>
      </c>
      <c r="AH185" s="78" t="str">
        <f t="shared" si="86"/>
        <v>"%USERPROFILE%\Documents\GitHub\eaglep3\Utilities\RefineRTDCRunTimes.py" --tripid 1822-23 --locoid 4013 --swversion DE.1.0.9.0 --startMP 300:58656 --initTime 2017-09-23T16:26:05 --startdatetime 2017-09-23T16:38:36 --delay 73 --endMP 204:684 --enddatetime 2017-09-23T16:56:52 --enforcementcount 0 &gt;&gt;c:\users\stu\Documents\GitHub\eaglep3-reporting\EC\2017-09-23-refined-times.txt</v>
      </c>
      <c r="AI18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{"issue":{"subject":"","project_id":79,"tracker_id":40,"status_id":1,"priority_id":2,"assigned_to_id":338,"start_date":"2017-09-23","description":"","custom_fields":[{"id":1,"name":"Subdivision","value":"NW"},{"id":4,"name":"Milepost","value":"0.0684"},{"id":17,"name":"Train ID","value":"1822-23"},{"id":16,"name":"Locomotive ID","value":"4013"},{"id":130,"name":"Impact","value":""},{"id":150,"name":"Time of Event (Mountain Time)","value":"16:56:52"},{"id":151,"name":"Denver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88"/>
        <v>start /low /b %USERPROFILE%\Documents\GitHub\eaglep3\Utilities\DownloadLogsFromS3.py --loco 4013 --day 2017-09-23</v>
      </c>
      <c r="AN185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0"/>
        <v>https://d0f6bd738d7f1b3e5a7ca70fe4ff75f0.us-east-1.aws.found.io/app/kibana#/discover/Steve-Slow-Train-Analysis-(2080s-and-2083s)?_g=(refreshInterval:(display:Off,pause:!f,section:0,value:0),time:(from:'2017-09-23T15:26:05-0600',mode:absolute,to:'2017-09-23T17:56:52-0600'))&amp;_a=(columns:!('Message%20ID',Summary),filters:!(),index:'emp_*',interval:auto,query:(query_string:(analyze_wildcard:!t,query:'Message%5C+ID:(*)+AND+%22rtdc.l.rtdc.4013%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762</v>
      </c>
      <c r="B186" s="7">
        <v>4014</v>
      </c>
      <c r="C186" s="21" t="s">
        <v>196</v>
      </c>
      <c r="D186" s="21" t="s">
        <v>446</v>
      </c>
      <c r="E186" s="13">
        <v>43001.709305555552</v>
      </c>
      <c r="F186" s="13">
        <v>43001.714826388888</v>
      </c>
      <c r="G186" s="7">
        <v>76</v>
      </c>
      <c r="H186" s="21" t="s">
        <v>914</v>
      </c>
      <c r="I186" s="13">
        <v>43001.724675925929</v>
      </c>
      <c r="J186" s="7">
        <v>0</v>
      </c>
      <c r="K186" s="89" t="str">
        <f t="shared" si="77"/>
        <v>4013/4014</v>
      </c>
      <c r="L186" s="185" t="str">
        <f>VLOOKUP(A186,'Trips&amp;Operators'!$C$1:$G$99911,5,FALSE)</f>
        <v>SMITH MICHAEL</v>
      </c>
      <c r="M186" s="6">
        <f t="shared" si="78"/>
        <v>9.8495370402815752E-3</v>
      </c>
      <c r="N186" s="7">
        <f t="shared" si="114"/>
        <v>14.183333338005468</v>
      </c>
      <c r="O186" s="7"/>
      <c r="P186" s="7"/>
      <c r="Q186" s="22"/>
      <c r="R186" s="174"/>
      <c r="S186" s="221">
        <f t="shared" si="115"/>
        <v>1</v>
      </c>
      <c r="T186" s="174" t="str">
        <f t="shared" si="79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0"/>
        <v>https://d0f6bd738d7f1b3e5a7ca70fe4ff75f0.us-east-1.aws.found.io/app/kibana#/discover/Steve-Slow-Train-Analysis-(2080s-and-2083s)?_g=(refreshInterval:(display:Off,pause:!f,section:0,value:0),time:(from:'2017-09-23T16:01:24-0600',mode:absolute,to:'2017-09-23T18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204" t="str">
        <f>IF(AA186&lt;VLOOKUP(AG186,Variables!$AC$3:$AD$8,2,FALSE),"Y","N")</f>
        <v>N</v>
      </c>
      <c r="X186" s="204">
        <f t="shared" si="106"/>
        <v>1</v>
      </c>
      <c r="Y186" s="204">
        <f t="shared" si="112"/>
        <v>9.7100000000000006E-2</v>
      </c>
      <c r="Z186" s="204">
        <f t="shared" si="113"/>
        <v>5.8978000000000002</v>
      </c>
      <c r="AA186" s="204">
        <f t="shared" si="81"/>
        <v>5.8007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2"/>
        <v>1823</v>
      </c>
      <c r="AE186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6" s="74" t="str">
        <f t="shared" si="84"/>
        <v>"C:\Program Files (x86)\AstroGrep\AstroGrep.exe" /e /r /s /spath="%USERPROFILE%\AppData\Local\Temp\OnboardLogs" /stypes="app*4014*20170923*" /stext=" 23:.+((SYSTEM_STATE.+slice.+state.+changed )|(ment ac)|(multiple cpu faults)|(system.+state.+changed )|(\[timeout)|(PRM\|1\|D)|(kpr)|(kdp)|(train st.+moving)|(\|lc)|(penalty))"</v>
      </c>
      <c r="AG186" s="182" t="str">
        <f t="shared" si="85"/>
        <v>NW</v>
      </c>
      <c r="AH186" s="78" t="str">
        <f t="shared" si="86"/>
        <v>"%USERPROFILE%\Documents\GitHub\eaglep3\Utilities\RefineRTDCRunTimes.py" --tripid 1823-23 --locoid 4014 --swversion DE.1.0.9.0 --startMP 204:971 --initTime 2017-09-23T17:01:24 --startdatetime 2017-09-23T17:09:21 --delay 76 --endMP 300:58978 --enddatetime 2017-09-23T17:23:32 --enforcementcount 0 &gt;&gt;c:\users\stu\Documents\GitHub\eaglep3-reporting\EC\2017-09-23-refined-times.txt</v>
      </c>
      <c r="AI18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{"issue":{"subject":"","project_id":79,"tracker_id":40,"status_id":1,"priority_id":2,"assigned_to_id":338,"start_date":"2017-09-23","description":"","custom_fields":[{"id":1,"name":"Subdivision","value":"NW"},{"id":4,"name":"Milepost","value":"5.8978"},{"id":17,"name":"Train ID","value":"1823-23"},{"id":16,"name":"Locomotive ID","value":"4014"},{"id":130,"name":"Impact","value":""},{"id":150,"name":"Time of Event (Mountain Time)","value":"17:23:32"},{"id":151,"name":"Denver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88"/>
        <v>start /low /b %USERPROFILE%\Documents\GitHub\eaglep3\Utilities\DownloadLogsFromS3.py --loco 4014 --day 2017-09-23</v>
      </c>
      <c r="AN18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0"/>
        <v>https://d0f6bd738d7f1b3e5a7ca70fe4ff75f0.us-east-1.aws.found.io/app/kibana#/discover/Steve-Slow-Train-Analysis-(2080s-and-2083s)?_g=(refreshInterval:(display:Off,pause:!f,section:0,value:0),time:(from:'2017-09-23T16:01:24-0600',mode:absolute,to:'2017-09-23T18:23:32-0600'))&amp;_a=(columns:!('Message%20ID',Summary),filters:!(),index:'emp_*',interval:auto,query:(query_string:(analyze_wildcard:!t,query:'Message%5C+ID:(*)+AND+%22rtdc.l.rtdc.4014%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766</v>
      </c>
      <c r="B187" s="7">
        <v>4013</v>
      </c>
      <c r="C187" s="21" t="s">
        <v>196</v>
      </c>
      <c r="D187" s="21" t="s">
        <v>915</v>
      </c>
      <c r="E187" s="13">
        <v>43001.725821759261</v>
      </c>
      <c r="F187" s="13">
        <v>43001.735081018516</v>
      </c>
      <c r="G187" s="7">
        <v>73</v>
      </c>
      <c r="H187" s="21" t="s">
        <v>515</v>
      </c>
      <c r="I187" s="13">
        <v>43001.74622685185</v>
      </c>
      <c r="J187" s="7">
        <v>0</v>
      </c>
      <c r="K187" s="89" t="str">
        <f t="shared" si="77"/>
        <v>4013/4014</v>
      </c>
      <c r="L187" s="185" t="str">
        <f>VLOOKUP(A187,'Trips&amp;Operators'!$C$1:$G$99911,5,FALSE)</f>
        <v>SMITH MICHAEL</v>
      </c>
      <c r="M187" s="6">
        <f t="shared" si="78"/>
        <v>1.1145833334012423E-2</v>
      </c>
      <c r="N187" s="7">
        <f t="shared" si="114"/>
        <v>16.050000000977889</v>
      </c>
      <c r="O187" s="7"/>
      <c r="P187" s="7"/>
      <c r="Q187" s="22"/>
      <c r="R187" s="174"/>
      <c r="S187" s="221">
        <f t="shared" si="115"/>
        <v>1</v>
      </c>
      <c r="T187" s="174" t="str">
        <f t="shared" si="79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0"/>
        <v>https://d0f6bd738d7f1b3e5a7ca70fe4ff75f0.us-east-1.aws.found.io/app/kibana#/discover/Steve-Slow-Train-Analysis-(2080s-and-2083s)?_g=(refreshInterval:(display:Off,pause:!f,section:0,value:0),time:(from:'2017-09-23T16:25:11-0600',mode:absolute,to:'2017-09-23T18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204" t="str">
        <f>IF(AA187&lt;VLOOKUP(AG187,Variables!$AC$3:$AD$8,2,FALSE),"Y","N")</f>
        <v>N</v>
      </c>
      <c r="X187" s="204">
        <f t="shared" si="106"/>
        <v>1</v>
      </c>
      <c r="Y187" s="204">
        <f t="shared" si="112"/>
        <v>5.8659999999999997</v>
      </c>
      <c r="Z187" s="204">
        <f t="shared" si="113"/>
        <v>6.9800000000000001E-2</v>
      </c>
      <c r="AA187" s="204">
        <f t="shared" si="81"/>
        <v>5.7961999999999998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2"/>
        <v>1824</v>
      </c>
      <c r="AE187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7" s="74" t="str">
        <f t="shared" si="84"/>
        <v>"C:\Program Files (x86)\AstroGrep\AstroGrep.exe" /e /r /s /spath="%USERPROFILE%\AppData\Local\Temp\OnboardLogs" /stypes="app*4013*20170923*" /stext=" 23:.+((SYSTEM_STATE.+slice.+state.+changed )|(ment ac)|(multiple cpu faults)|(system.+state.+changed )|(\[timeout)|(PRM\|1\|D)|(kpr)|(kdp)|(train st.+moving)|(\|lc)|(penalty))"</v>
      </c>
      <c r="AG187" s="182" t="str">
        <f t="shared" si="85"/>
        <v>NW</v>
      </c>
      <c r="AH187" s="78" t="str">
        <f t="shared" si="86"/>
        <v>"%USERPROFILE%\Documents\GitHub\eaglep3\Utilities\RefineRTDCRunTimes.py" --tripid 1824-23 --locoid 4013 --swversion DE.1.0.9.0 --startMP 300:58660 --initTime 2017-09-23T17:25:11 --startdatetime 2017-09-23T17:38:31 --delay 73 --endMP 204:698 --enddatetime 2017-09-23T17:54:34 --enforcementcount 0 &gt;&gt;c:\users\stu\Documents\GitHub\eaglep3-reporting\EC\2017-09-23-refined-times.txt</v>
      </c>
      <c r="AI187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{"issue":{"subject":"","project_id":79,"tracker_id":40,"status_id":1,"priority_id":2,"assigned_to_id":338,"start_date":"2017-09-23","description":"","custom_fields":[{"id":1,"name":"Subdivision","value":"NW"},{"id":4,"name":"Milepost","value":"0.0698"},{"id":17,"name":"Train ID","value":"1824-23"},{"id":16,"name":"Locomotive ID","value":"4013"},{"id":130,"name":"Impact","value":""},{"id":150,"name":"Time of Event (Mountain Time)","value":"17:54:34"},{"id":151,"name":"Denver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88"/>
        <v>start /low /b %USERPROFILE%\Documents\GitHub\eaglep3\Utilities\DownloadLogsFromS3.py --loco 4013 --day 2017-09-23</v>
      </c>
      <c r="AN187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0"/>
        <v>https://d0f6bd738d7f1b3e5a7ca70fe4ff75f0.us-east-1.aws.found.io/app/kibana#/discover/Steve-Slow-Train-Analysis-(2080s-and-2083s)?_g=(refreshInterval:(display:Off,pause:!f,section:0,value:0),time:(from:'2017-09-23T16:25:11-0600',mode:absolute,to:'2017-09-23T18:54:34-0600'))&amp;_a=(columns:!('Message%20ID',Summary),filters:!(),index:'emp_*',interval:auto,query:(query_string:(analyze_wildcard:!t,query:'Message%5C+ID:(*)+AND+%22rtdc.l.rtdc.4013%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771</v>
      </c>
      <c r="B188" s="7">
        <v>4014</v>
      </c>
      <c r="C188" s="21" t="s">
        <v>196</v>
      </c>
      <c r="D188" s="21" t="s">
        <v>577</v>
      </c>
      <c r="E188" s="13">
        <v>43001.752314814818</v>
      </c>
      <c r="F188" s="13">
        <v>43001.756493055553</v>
      </c>
      <c r="G188" s="7">
        <v>81</v>
      </c>
      <c r="H188" s="21" t="s">
        <v>916</v>
      </c>
      <c r="I188" s="13">
        <v>43001.766342592593</v>
      </c>
      <c r="J188" s="7">
        <v>0</v>
      </c>
      <c r="K188" s="89" t="str">
        <f t="shared" si="77"/>
        <v>4013/4014</v>
      </c>
      <c r="L188" s="185" t="str">
        <f>VLOOKUP(A188,'Trips&amp;Operators'!$C$1:$G$99911,5,FALSE)</f>
        <v>SMITH MICHAEL</v>
      </c>
      <c r="M188" s="6">
        <f t="shared" si="78"/>
        <v>9.8495370402815752E-3</v>
      </c>
      <c r="N188" s="7">
        <f t="shared" si="114"/>
        <v>14.183333338005468</v>
      </c>
      <c r="O188" s="7"/>
      <c r="P188" s="7"/>
      <c r="Q188" s="22"/>
      <c r="R188" s="174"/>
      <c r="S188" s="221">
        <f t="shared" si="115"/>
        <v>1</v>
      </c>
      <c r="T188" s="174" t="str">
        <f t="shared" si="79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0"/>
        <v>https://d0f6bd738d7f1b3e5a7ca70fe4ff75f0.us-east-1.aws.found.io/app/kibana#/discover/Steve-Slow-Train-Analysis-(2080s-and-2083s)?_g=(refreshInterval:(display:Off,pause:!f,section:0,value:0),time:(from:'2017-09-23T17:03:20-0600',mode:absolute,to:'2017-09-23T19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204" t="str">
        <f>IF(AA188&lt;VLOOKUP(AG188,Variables!$AC$3:$AD$8,2,FALSE),"Y","N")</f>
        <v>N</v>
      </c>
      <c r="X188" s="204">
        <f t="shared" si="106"/>
        <v>1</v>
      </c>
      <c r="Y188" s="204">
        <f t="shared" si="112"/>
        <v>9.74E-2</v>
      </c>
      <c r="Z188" s="204">
        <f t="shared" si="113"/>
        <v>5.8954000000000004</v>
      </c>
      <c r="AA188" s="204">
        <f t="shared" si="81"/>
        <v>5.798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2"/>
        <v>1825</v>
      </c>
      <c r="AE188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88" s="74" t="str">
        <f t="shared" si="84"/>
        <v>"C:\Program Files (x86)\AstroGrep\AstroGrep.exe" /e /r /s /spath="%USERPROFILE%\AppData\Local\Temp\OnboardLogs" /stypes="app*4014*20170924*" /stext=" 00:.+((SYSTEM_STATE.+slice.+state.+changed )|(ment ac)|(multiple cpu faults)|(system.+state.+changed )|(\[timeout)|(PRM\|1\|D)|(kpr)|(kdp)|(train st.+moving)|(\|lc)|(penalty))"</v>
      </c>
      <c r="AG188" s="182" t="str">
        <f t="shared" si="85"/>
        <v>NW</v>
      </c>
      <c r="AH188" s="78" t="str">
        <f t="shared" si="86"/>
        <v>"%USERPROFILE%\Documents\GitHub\eaglep3\Utilities\RefineRTDCRunTimes.py" --tripid 1825-23 --locoid 4014 --swversion DE.1.0.9.0 --startMP 204:974 --initTime 2017-09-23T18:03:20 --startdatetime 2017-09-23T18:09:21 --delay 81 --endMP 300:58954 --enddatetime 2017-09-23T18:23:32 --enforcementcount 0 &gt;&gt;c:\users\stu\Documents\GitHub\eaglep3-reporting\EC\2017-09-23-refined-times.txt</v>
      </c>
      <c r="AI18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{"issue":{"subject":"","project_id":79,"tracker_id":40,"status_id":1,"priority_id":2,"assigned_to_id":338,"start_date":"2017-09-23","description":"","custom_fields":[{"id":1,"name":"Subdivision","value":"NW"},{"id":4,"name":"Milepost","value":"5.8954"},{"id":17,"name":"Train ID","value":"1825-23"},{"id":16,"name":"Locomotive ID","value":"4014"},{"id":130,"name":"Impact","value":""},{"id":150,"name":"Time of Event (Mountain Time)","value":"18:23:32"},{"id":151,"name":"Denver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88"/>
        <v>start /low /b %USERPROFILE%\Documents\GitHub\eaglep3\Utilities\DownloadLogsFromS3.py --loco 4014 --day 2017-09-23</v>
      </c>
      <c r="AN18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0"/>
        <v>https://d0f6bd738d7f1b3e5a7ca70fe4ff75f0.us-east-1.aws.found.io/app/kibana#/discover/Steve-Slow-Train-Analysis-(2080s-and-2083s)?_g=(refreshInterval:(display:Off,pause:!f,section:0,value:0),time:(from:'2017-09-23T17:03:20-0600',mode:absolute,to:'2017-09-23T19:23:32-0600'))&amp;_a=(columns:!('Message%20ID',Summary),filters:!(),index:'emp_*',interval:auto,query:(query_string:(analyze_wildcard:!t,query:'Message%5C+ID:(*)+AND+%22rtdc.l.rtdc.4014%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775</v>
      </c>
      <c r="B189" s="7">
        <v>4013</v>
      </c>
      <c r="C189" s="21" t="s">
        <v>196</v>
      </c>
      <c r="D189" s="21" t="s">
        <v>512</v>
      </c>
      <c r="E189" s="13">
        <v>43001.767488425925</v>
      </c>
      <c r="F189" s="13">
        <v>43001.772418981483</v>
      </c>
      <c r="G189" s="7">
        <v>86</v>
      </c>
      <c r="H189" s="21" t="s">
        <v>917</v>
      </c>
      <c r="I189" s="13">
        <v>43001.787962962961</v>
      </c>
      <c r="J189" s="7">
        <v>0</v>
      </c>
      <c r="K189" s="89" t="str">
        <f t="shared" si="77"/>
        <v>4013/4014</v>
      </c>
      <c r="L189" s="185" t="str">
        <f>VLOOKUP(A189,'Trips&amp;Operators'!$C$1:$G$99911,5,FALSE)</f>
        <v>SMITH MICHAEL</v>
      </c>
      <c r="M189" s="6">
        <f t="shared" si="78"/>
        <v>1.5543981477094349E-2</v>
      </c>
      <c r="N189" s="7">
        <f t="shared" si="114"/>
        <v>22.383333327015862</v>
      </c>
      <c r="O189" s="7"/>
      <c r="P189" s="7"/>
      <c r="Q189" s="22"/>
      <c r="R189" s="174"/>
      <c r="S189" s="221">
        <f t="shared" si="115"/>
        <v>1</v>
      </c>
      <c r="T189" s="174" t="str">
        <f t="shared" si="79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0"/>
        <v>https://d0f6bd738d7f1b3e5a7ca70fe4ff75f0.us-east-1.aws.found.io/app/kibana#/discover/Steve-Slow-Train-Analysis-(2080s-and-2083s)?_g=(refreshInterval:(display:Off,pause:!f,section:0,value:0),time:(from:'2017-09-23T17:25:11-0600',mode:absolute,to:'2017-09-23T19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204" t="str">
        <f>IF(AA189&lt;VLOOKUP(AG189,Variables!$AC$3:$AD$8,2,FALSE),"Y","N")</f>
        <v>N</v>
      </c>
      <c r="X189" s="204">
        <f t="shared" si="106"/>
        <v>1</v>
      </c>
      <c r="Y189" s="204">
        <f t="shared" si="112"/>
        <v>5.8640999999999996</v>
      </c>
      <c r="Z189" s="204">
        <f t="shared" si="113"/>
        <v>6.9400000000000003E-2</v>
      </c>
      <c r="AA189" s="204">
        <f t="shared" si="81"/>
        <v>5.7946999999999997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2"/>
        <v>1826</v>
      </c>
      <c r="AE189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89" s="74" t="str">
        <f t="shared" si="84"/>
        <v>"C:\Program Files (x86)\AstroGrep\AstroGrep.exe" /e /r /s /spath="%USERPROFILE%\AppData\Local\Temp\OnboardLogs" /stypes="app*4013*20170924*" /stext=" 00:.+((SYSTEM_STATE.+slice.+state.+changed )|(ment ac)|(multiple cpu faults)|(system.+state.+changed )|(\[timeout)|(PRM\|1\|D)|(kpr)|(kdp)|(train st.+moving)|(\|lc)|(penalty))"</v>
      </c>
      <c r="AG189" s="182" t="str">
        <f t="shared" si="85"/>
        <v>NW</v>
      </c>
      <c r="AH189" s="78" t="str">
        <f t="shared" si="86"/>
        <v>"%USERPROFILE%\Documents\GitHub\eaglep3\Utilities\RefineRTDCRunTimes.py" --tripid 1826-23 --locoid 4013 --swversion DE.1.0.9.0 --startMP 300:58641 --initTime 2017-09-23T18:25:11 --startdatetime 2017-09-23T18:32:17 --delay 86 --endMP 204:694 --enddatetime 2017-09-23T18:54:40 --enforcementcount 0 &gt;&gt;c:\users\stu\Documents\GitHub\eaglep3-reporting\EC\2017-09-23-refined-times.txt</v>
      </c>
      <c r="AI189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{"issue":{"subject":"","project_id":79,"tracker_id":40,"status_id":1,"priority_id":2,"assigned_to_id":338,"start_date":"2017-09-23","description":"","custom_fields":[{"id":1,"name":"Subdivision","value":"NW"},{"id":4,"name":"Milepost","value":"0.0694"},{"id":17,"name":"Train ID","value":"1826-23"},{"id":16,"name":"Locomotive ID","value":"4013"},{"id":130,"name":"Impact","value":""},{"id":150,"name":"Time of Event (Mountain Time)","value":"18:54:40"},{"id":151,"name":"Denver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88"/>
        <v>start /low /b %USERPROFILE%\Documents\GitHub\eaglep3\Utilities\DownloadLogsFromS3.py --loco 4013 --day 2017-09-23</v>
      </c>
      <c r="AN18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00:54:40"},{"id":29,"name":"Sharepoint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0"/>
        <v>https://d0f6bd738d7f1b3e5a7ca70fe4ff75f0.us-east-1.aws.found.io/app/kibana#/discover/Steve-Slow-Train-Analysis-(2080s-and-2083s)?_g=(refreshInterval:(display:Off,pause:!f,section:0,value:0),time:(from:'2017-09-23T17:25:11-0600',mode:absolute,to:'2017-09-23T19:54:40-0600'))&amp;_a=(columns:!('Message%20ID',Summary),filters:!(),index:'emp_*',interval:auto,query:(query_string:(analyze_wildcard:!t,query:'Message%5C+ID:(*)+AND+%22rtdc.l.rtdc.4013%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780</v>
      </c>
      <c r="B190" s="7">
        <v>4014</v>
      </c>
      <c r="C190" s="21" t="s">
        <v>196</v>
      </c>
      <c r="D190" s="21" t="s">
        <v>918</v>
      </c>
      <c r="E190" s="13">
        <v>43001.791817129626</v>
      </c>
      <c r="F190" s="13">
        <v>43001.798159722224</v>
      </c>
      <c r="G190" s="7">
        <v>65</v>
      </c>
      <c r="H190" s="21" t="s">
        <v>919</v>
      </c>
      <c r="I190" s="13">
        <v>43001.80773148148</v>
      </c>
      <c r="J190" s="7">
        <v>0</v>
      </c>
      <c r="K190" s="89" t="str">
        <f t="shared" si="77"/>
        <v>4013/4014</v>
      </c>
      <c r="L190" s="185" t="str">
        <f>VLOOKUP(A190,'Trips&amp;Operators'!$C$1:$G$99911,5,FALSE)</f>
        <v>SMITH MICHAEL</v>
      </c>
      <c r="M190" s="6">
        <f t="shared" si="78"/>
        <v>9.5717592557775788E-3</v>
      </c>
      <c r="N190" s="7">
        <f t="shared" si="114"/>
        <v>13.783333328319713</v>
      </c>
      <c r="O190" s="7"/>
      <c r="P190" s="7"/>
      <c r="Q190" s="22"/>
      <c r="R190" s="174"/>
      <c r="S190" s="221">
        <f t="shared" si="115"/>
        <v>1</v>
      </c>
      <c r="T190" s="174" t="str">
        <f t="shared" si="79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0"/>
        <v>https://d0f6bd738d7f1b3e5a7ca70fe4ff75f0.us-east-1.aws.found.io/app/kibana#/discover/Steve-Slow-Train-Analysis-(2080s-and-2083s)?_g=(refreshInterval:(display:Off,pause:!f,section:0,value:0),time:(from:'2017-09-23T18:00:13-0600',mode:absolute,to:'2017-09-23T20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204" t="str">
        <f>IF(AA190&lt;VLOOKUP(AG190,Variables!$AC$3:$AD$8,2,FALSE),"Y","N")</f>
        <v>N</v>
      </c>
      <c r="X190" s="204">
        <f t="shared" si="106"/>
        <v>1</v>
      </c>
      <c r="Y190" s="204">
        <f t="shared" si="112"/>
        <v>9.6000000000000002E-2</v>
      </c>
      <c r="Z190" s="204">
        <f t="shared" si="113"/>
        <v>5.8967000000000001</v>
      </c>
      <c r="AA190" s="204">
        <f t="shared" si="81"/>
        <v>5.8007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82"/>
        <v>1827</v>
      </c>
      <c r="AE190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0" s="74" t="str">
        <f t="shared" si="84"/>
        <v>"C:\Program Files (x86)\AstroGrep\AstroGrep.exe" /e /r /s /spath="%USERPROFILE%\AppData\Local\Temp\OnboardLogs" /stypes="app*4014*20170924*" /stext=" 01:.+((SYSTEM_STATE.+slice.+state.+changed )|(ment ac)|(multiple cpu faults)|(system.+state.+changed )|(\[timeout)|(PRM\|1\|D)|(kpr)|(kdp)|(train st.+moving)|(\|lc)|(penalty))"</v>
      </c>
      <c r="AG190" s="182" t="str">
        <f t="shared" si="85"/>
        <v>NW</v>
      </c>
      <c r="AH190" s="78" t="str">
        <f t="shared" si="86"/>
        <v>"%USERPROFILE%\Documents\GitHub\eaglep3\Utilities\RefineRTDCRunTimes.py" --tripid 1827-23 --locoid 4014 --swversion DE.1.0.9.0 --startMP 204:960 --initTime 2017-09-23T19:00:13 --startdatetime 2017-09-23T19:09:21 --delay 65 --endMP 300:58967 --enddatetime 2017-09-23T19:23:08 --enforcementcount 0 &gt;&gt;c:\users\stu\Documents\GitHub\eaglep3-reporting\EC\2017-09-23-refined-times.txt</v>
      </c>
      <c r="AI190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{"issue":{"subject":"","project_id":79,"tracker_id":40,"status_id":1,"priority_id":2,"assigned_to_id":338,"start_date":"2017-09-23","description":"","custom_fields":[{"id":1,"name":"Subdivision","value":"NW"},{"id":4,"name":"Milepost","value":"5.8967"},{"id":17,"name":"Train ID","value":"1827-23"},{"id":16,"name":"Locomotive ID","value":"4014"},{"id":130,"name":"Impact","value":""},{"id":150,"name":"Time of Event (Mountain Time)","value":"19:23:08"},{"id":151,"name":"Denver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88"/>
        <v>start /low /b %USERPROFILE%\Documents\GitHub\eaglep3\Utilities\DownloadLogsFromS3.py --loco 4014 --day 2017-09-23</v>
      </c>
      <c r="AN190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0"/>
        <v>https://d0f6bd738d7f1b3e5a7ca70fe4ff75f0.us-east-1.aws.found.io/app/kibana#/discover/Steve-Slow-Train-Analysis-(2080s-and-2083s)?_g=(refreshInterval:(display:Off,pause:!f,section:0,value:0),time:(from:'2017-09-23T18:00:13-0600',mode:absolute,to:'2017-09-23T20:23:08-0600'))&amp;_a=(columns:!('Message%20ID',Summary),filters:!(),index:'emp_*',interval:auto,query:(query_string:(analyze_wildcard:!t,query:'Message%5C+ID:(*)+AND+%22rtdc.l.rtdc.4014%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783</v>
      </c>
      <c r="B191" s="7">
        <v>4013</v>
      </c>
      <c r="C191" s="21" t="s">
        <v>196</v>
      </c>
      <c r="D191" s="21" t="s">
        <v>920</v>
      </c>
      <c r="E191" s="13">
        <v>43001.808796296296</v>
      </c>
      <c r="F191" s="13">
        <v>43001.81858796296</v>
      </c>
      <c r="G191" s="7">
        <v>72</v>
      </c>
      <c r="H191" s="21" t="s">
        <v>466</v>
      </c>
      <c r="I191" s="13">
        <v>43001.829583333332</v>
      </c>
      <c r="J191" s="7">
        <v>0</v>
      </c>
      <c r="K191" s="89" t="str">
        <f t="shared" si="77"/>
        <v>4013/4014</v>
      </c>
      <c r="L191" s="185" t="str">
        <f>VLOOKUP(A191,'Trips&amp;Operators'!$C$1:$G$99911,5,FALSE)</f>
        <v>SMITH MICHAEL</v>
      </c>
      <c r="M191" s="6">
        <f t="shared" si="78"/>
        <v>1.099537037225673E-2</v>
      </c>
      <c r="N191" s="7">
        <f t="shared" si="114"/>
        <v>15.833333336049691</v>
      </c>
      <c r="O191" s="7"/>
      <c r="P191" s="7"/>
      <c r="Q191" s="22"/>
      <c r="R191" s="174"/>
      <c r="S191" s="221">
        <f t="shared" si="115"/>
        <v>1</v>
      </c>
      <c r="T191" s="174" t="str">
        <f t="shared" si="79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0"/>
        <v>https://d0f6bd738d7f1b3e5a7ca70fe4ff75f0.us-east-1.aws.found.io/app/kibana#/discover/Steve-Slow-Train-Analysis-(2080s-and-2083s)?_g=(refreshInterval:(display:Off,pause:!f,section:0,value:0),time:(from:'2017-09-23T18:24:40-0600',mode:absolute,to:'2017-09-23T20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204" t="str">
        <f>IF(AA191&lt;VLOOKUP(AG191,Variables!$AC$3:$AD$8,2,FALSE),"Y","N")</f>
        <v>N</v>
      </c>
      <c r="X191" s="204">
        <f t="shared" si="106"/>
        <v>1</v>
      </c>
      <c r="Y191" s="204">
        <f t="shared" si="112"/>
        <v>5.8654999999999999</v>
      </c>
      <c r="Z191" s="204">
        <f t="shared" si="113"/>
        <v>6.8900000000000003E-2</v>
      </c>
      <c r="AA191" s="204">
        <f t="shared" si="81"/>
        <v>5.7965999999999998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2"/>
        <v>1828</v>
      </c>
      <c r="AE191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1" s="74" t="str">
        <f t="shared" si="84"/>
        <v>"C:\Program Files (x86)\AstroGrep\AstroGrep.exe" /e /r /s /spath="%USERPROFILE%\AppData\Local\Temp\OnboardLogs" /stypes="app*4013*20170924*" /stext=" 01:.+((SYSTEM_STATE.+slice.+state.+changed )|(ment ac)|(multiple cpu faults)|(system.+state.+changed )|(\[timeout)|(PRM\|1\|D)|(kpr)|(kdp)|(train st.+moving)|(\|lc)|(penalty))"</v>
      </c>
      <c r="AG191" s="182" t="str">
        <f t="shared" si="85"/>
        <v>NW</v>
      </c>
      <c r="AH191" s="78" t="str">
        <f t="shared" si="86"/>
        <v>"%USERPROFILE%\Documents\GitHub\eaglep3\Utilities\RefineRTDCRunTimes.py" --tripid 1828-23 --locoid 4013 --swversion DE.1.0.9.0 --startMP 300:58655 --initTime 2017-09-23T19:24:40 --startdatetime 2017-09-23T19:38:46 --delay 72 --endMP 204:689 --enddatetime 2017-09-23T19:54:36 --enforcementcount 0 &gt;&gt;c:\users\stu\Documents\GitHub\eaglep3-reporting\EC\2017-09-23-refined-times.txt</v>
      </c>
      <c r="AI191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{"issue":{"subject":"","project_id":79,"tracker_id":40,"status_id":1,"priority_id":2,"assigned_to_id":338,"start_date":"2017-09-23","description":"","custom_fields":[{"id":1,"name":"Subdivision","value":"NW"},{"id":4,"name":"Milepost","value":"0.0689"},{"id":17,"name":"Train ID","value":"1828-23"},{"id":16,"name":"Locomotive ID","value":"4013"},{"id":130,"name":"Impact","value":""},{"id":150,"name":"Time of Event (Mountain Time)","value":"19:54:36"},{"id":151,"name":"Denver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88"/>
        <v>start /low /b %USERPROFILE%\Documents\GitHub\eaglep3\Utilities\DownloadLogsFromS3.py --loco 4013 --day 2017-09-23</v>
      </c>
      <c r="AN19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0"/>
        <v>https://d0f6bd738d7f1b3e5a7ca70fe4ff75f0.us-east-1.aws.found.io/app/kibana#/discover/Steve-Slow-Train-Analysis-(2080s-and-2083s)?_g=(refreshInterval:(display:Off,pause:!f,section:0,value:0),time:(from:'2017-09-23T18:24:40-0600',mode:absolute,to:'2017-09-23T20:54:36-0600'))&amp;_a=(columns:!('Message%20ID',Summary),filters:!(),index:'emp_*',interval:auto,query:(query_string:(analyze_wildcard:!t,query:'Message%5C+ID:(*)+AND+%22rtdc.l.rtdc.4013%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786</v>
      </c>
      <c r="B192" s="7">
        <v>4014</v>
      </c>
      <c r="C192" s="21" t="s">
        <v>196</v>
      </c>
      <c r="D192" s="21" t="s">
        <v>921</v>
      </c>
      <c r="E192" s="13">
        <v>43001.833749999998</v>
      </c>
      <c r="F192" s="13">
        <v>43001.839826388888</v>
      </c>
      <c r="G192" s="7">
        <v>85</v>
      </c>
      <c r="H192" s="21" t="s">
        <v>447</v>
      </c>
      <c r="I192" s="13">
        <v>43001.849456018521</v>
      </c>
      <c r="J192" s="7">
        <v>0</v>
      </c>
      <c r="K192" s="89" t="str">
        <f t="shared" si="77"/>
        <v>4013/4014</v>
      </c>
      <c r="L192" s="185" t="str">
        <f>VLOOKUP(A192,'Trips&amp;Operators'!$C$1:$G$99911,5,FALSE)</f>
        <v>SMITH MICHAEL</v>
      </c>
      <c r="M192" s="6">
        <f t="shared" si="78"/>
        <v>9.6296296323998831E-3</v>
      </c>
      <c r="N192" s="7">
        <f t="shared" si="114"/>
        <v>13.866666670655832</v>
      </c>
      <c r="O192" s="7"/>
      <c r="P192" s="7"/>
      <c r="Q192" s="22"/>
      <c r="R192" s="174"/>
      <c r="S192" s="221">
        <f t="shared" si="115"/>
        <v>1</v>
      </c>
      <c r="T192" s="174" t="str">
        <f t="shared" si="79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0"/>
        <v>https://d0f6bd738d7f1b3e5a7ca70fe4ff75f0.us-east-1.aws.found.io/app/kibana#/discover/Steve-Slow-Train-Analysis-(2080s-and-2083s)?_g=(refreshInterval:(display:Off,pause:!f,section:0,value:0),time:(from:'2017-09-23T19:00:36-0600',mode:absolute,to:'2017-09-23T21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204" t="str">
        <f>IF(AA192&lt;VLOOKUP(AG192,Variables!$AC$3:$AD$8,2,FALSE),"Y","N")</f>
        <v>N</v>
      </c>
      <c r="X192" s="204">
        <f t="shared" si="106"/>
        <v>1</v>
      </c>
      <c r="Y192" s="204">
        <f t="shared" si="112"/>
        <v>9.7799999999999998E-2</v>
      </c>
      <c r="Z192" s="204">
        <f t="shared" si="113"/>
        <v>5.8964999999999996</v>
      </c>
      <c r="AA192" s="204">
        <f t="shared" si="81"/>
        <v>5.7986999999999993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2"/>
        <v>1829</v>
      </c>
      <c r="AE192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2" s="74" t="str">
        <f t="shared" si="84"/>
        <v>"C:\Program Files (x86)\AstroGrep\AstroGrep.exe" /e /r /s /spath="%USERPROFILE%\AppData\Local\Temp\OnboardLogs" /stypes="app*4014*20170924*" /stext=" 02:.+((SYSTEM_STATE.+slice.+state.+changed )|(ment ac)|(multiple cpu faults)|(system.+state.+changed )|(\[timeout)|(PRM\|1\|D)|(kpr)|(kdp)|(train st.+moving)|(\|lc)|(penalty))"</v>
      </c>
      <c r="AG192" s="182" t="str">
        <f t="shared" si="85"/>
        <v>NW</v>
      </c>
      <c r="AH192" s="78" t="str">
        <f t="shared" si="86"/>
        <v>"%USERPROFILE%\Documents\GitHub\eaglep3\Utilities\RefineRTDCRunTimes.py" --tripid 1829-23 --locoid 4014 --swversion DE.1.0.9.0 --startMP 204:978 --initTime 2017-09-23T20:00:36 --startdatetime 2017-09-23T20:09:21 --delay 85 --endMP 300:58965 --enddatetime 2017-09-23T20:23:13 --enforcementcount 0 &gt;&gt;c:\users\stu\Documents\GitHub\eaglep3-reporting\EC\2017-09-23-refined-times.txt</v>
      </c>
      <c r="AI192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{"issue":{"subject":"","project_id":79,"tracker_id":40,"status_id":1,"priority_id":2,"assigned_to_id":338,"start_date":"2017-09-23","description":"","custom_fields":[{"id":1,"name":"Subdivision","value":"NW"},{"id":4,"name":"Milepost","value":"5.8965"},{"id":17,"name":"Train ID","value":"1829-23"},{"id":16,"name":"Locomotive ID","value":"4014"},{"id":130,"name":"Impact","value":""},{"id":150,"name":"Time of Event (Mountain Time)","value":"20:23:13"},{"id":151,"name":"Denver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88"/>
        <v>start /low /b %USERPROFILE%\Documents\GitHub\eaglep3\Utilities\DownloadLogsFromS3.py --loco 4014 --day 2017-09-23</v>
      </c>
      <c r="AN192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0"/>
        <v>https://d0f6bd738d7f1b3e5a7ca70fe4ff75f0.us-east-1.aws.found.io/app/kibana#/discover/Steve-Slow-Train-Analysis-(2080s-and-2083s)?_g=(refreshInterval:(display:Off,pause:!f,section:0,value:0),time:(from:'2017-09-23T19:00:36-0600',mode:absolute,to:'2017-09-23T21:23:13-0600'))&amp;_a=(columns:!('Message%20ID',Summary),filters:!(),index:'emp_*',interval:auto,query:(query_string:(analyze_wildcard:!t,query:'Message%5C+ID:(*)+AND+%22rtdc.l.rtdc.4014%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789</v>
      </c>
      <c r="B193" s="7">
        <v>4013</v>
      </c>
      <c r="C193" s="21" t="s">
        <v>196</v>
      </c>
      <c r="D193" s="21" t="s">
        <v>468</v>
      </c>
      <c r="E193" s="13">
        <v>43001.850671296299</v>
      </c>
      <c r="F193" s="13">
        <v>43001.860219907408</v>
      </c>
      <c r="G193" s="7">
        <v>92</v>
      </c>
      <c r="H193" s="21" t="s">
        <v>578</v>
      </c>
      <c r="I193" s="13">
        <v>43001.871377314812</v>
      </c>
      <c r="J193" s="7">
        <v>0</v>
      </c>
      <c r="K193" s="89" t="str">
        <f t="shared" si="77"/>
        <v>4013/4014</v>
      </c>
      <c r="L193" s="185" t="str">
        <f>VLOOKUP(A193,'Trips&amp;Operators'!$C$1:$G$99911,5,FALSE)</f>
        <v>SMITH MICHAEL</v>
      </c>
      <c r="M193" s="6">
        <f t="shared" si="78"/>
        <v>1.1157407403516117E-2</v>
      </c>
      <c r="N193" s="7">
        <f t="shared" si="114"/>
        <v>16.066666661063209</v>
      </c>
      <c r="O193" s="7"/>
      <c r="P193" s="7"/>
      <c r="Q193" s="22"/>
      <c r="R193" s="174"/>
      <c r="S193" s="221">
        <f t="shared" si="115"/>
        <v>1</v>
      </c>
      <c r="T193" s="174" t="str">
        <f t="shared" si="79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0"/>
        <v>https://d0f6bd738d7f1b3e5a7ca70fe4ff75f0.us-east-1.aws.found.io/app/kibana#/discover/Steve-Slow-Train-Analysis-(2080s-and-2083s)?_g=(refreshInterval:(display:Off,pause:!f,section:0,value:0),time:(from:'2017-09-23T19:24:58-0600',mode:absolute,to:'2017-09-23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204" t="str">
        <f>IF(AA193&lt;VLOOKUP(AG193,Variables!$AC$3:$AD$8,2,FALSE),"Y","N")</f>
        <v>N</v>
      </c>
      <c r="X193" s="204">
        <f t="shared" si="106"/>
        <v>1</v>
      </c>
      <c r="Y193" s="204">
        <f t="shared" si="112"/>
        <v>5.8653000000000004</v>
      </c>
      <c r="Z193" s="204">
        <f t="shared" si="113"/>
        <v>6.7699999999999996E-2</v>
      </c>
      <c r="AA193" s="204">
        <f t="shared" si="81"/>
        <v>5.7976000000000001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2"/>
        <v>1830</v>
      </c>
      <c r="AE193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3" s="74" t="str">
        <f t="shared" si="84"/>
        <v>"C:\Program Files (x86)\AstroGrep\AstroGrep.exe" /e /r /s /spath="%USERPROFILE%\AppData\Local\Temp\OnboardLogs" /stypes="app*4013*20170924*" /stext=" 02:.+((SYSTEM_STATE.+slice.+state.+changed )|(ment ac)|(multiple cpu faults)|(system.+state.+changed )|(\[timeout)|(PRM\|1\|D)|(kpr)|(kdp)|(train st.+moving)|(\|lc)|(penalty))"</v>
      </c>
      <c r="AG193" s="182" t="str">
        <f t="shared" si="85"/>
        <v>NW</v>
      </c>
      <c r="AH193" s="78" t="str">
        <f t="shared" si="86"/>
        <v>"%USERPROFILE%\Documents\GitHub\eaglep3\Utilities\RefineRTDCRunTimes.py" --tripid 1830-23 --locoid 4013 --swversion DE.1.0.9.0 --startMP 300:58653 --initTime 2017-09-23T20:24:58 --startdatetime 2017-09-23T20:38:43 --delay 92 --endMP 204:677 --enddatetime 2017-09-23T20:54:47 --enforcementcount 0 &gt;&gt;c:\users\stu\Documents\GitHub\eaglep3-reporting\EC\2017-09-23-refined-times.txt</v>
      </c>
      <c r="AI193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{"issue":{"subject":"","project_id":79,"tracker_id":40,"status_id":1,"priority_id":2,"assigned_to_id":338,"start_date":"2017-09-23","description":"","custom_fields":[{"id":1,"name":"Subdivision","value":"NW"},{"id":4,"name":"Milepost","value":"0.0677"},{"id":17,"name":"Train ID","value":"1830-23"},{"id":16,"name":"Locomotive ID","value":"4013"},{"id":130,"name":"Impact","value":""},{"id":150,"name":"Time of Event (Mountain Time)","value":"20:54:47"},{"id":151,"name":"Denver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88"/>
        <v>start /low /b %USERPROFILE%\Documents\GitHub\eaglep3\Utilities\DownloadLogsFromS3.py --loco 4013 --day 2017-09-23</v>
      </c>
      <c r="AN193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0"/>
        <v>https://d0f6bd738d7f1b3e5a7ca70fe4ff75f0.us-east-1.aws.found.io/app/kibana#/discover/Steve-Slow-Train-Analysis-(2080s-and-2083s)?_g=(refreshInterval:(display:Off,pause:!f,section:0,value:0),time:(from:'2017-09-23T19:24:58-0600',mode:absolute,to:'2017-09-23T21:54:47-0600'))&amp;_a=(columns:!('Message%20ID',Summary),filters:!(),index:'emp_*',interval:auto,query:(query_string:(analyze_wildcard:!t,query:'Message%5C+ID:(*)+AND+%22rtdc.l.rtdc.4013%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792</v>
      </c>
      <c r="B194" s="7">
        <v>4014</v>
      </c>
      <c r="C194" s="21" t="s">
        <v>196</v>
      </c>
      <c r="D194" s="21" t="s">
        <v>446</v>
      </c>
      <c r="E194" s="13">
        <v>43001.874756944446</v>
      </c>
      <c r="F194" s="13">
        <v>43001.881562499999</v>
      </c>
      <c r="G194" s="7">
        <v>71</v>
      </c>
      <c r="H194" s="21" t="s">
        <v>447</v>
      </c>
      <c r="I194" s="13">
        <v>43001.890914351854</v>
      </c>
      <c r="J194" s="7">
        <v>0</v>
      </c>
      <c r="K194" s="89" t="str">
        <f t="shared" si="77"/>
        <v>4013/4014</v>
      </c>
      <c r="L194" s="185" t="str">
        <f>VLOOKUP(A194,'Trips&amp;Operators'!$C$1:$G$99911,5,FALSE)</f>
        <v>SMITH MICHAEL</v>
      </c>
      <c r="M194" s="6">
        <f t="shared" si="78"/>
        <v>9.3518518551718444E-3</v>
      </c>
      <c r="N194" s="7">
        <f t="shared" si="114"/>
        <v>13.466666671447456</v>
      </c>
      <c r="O194" s="7"/>
      <c r="P194" s="7"/>
      <c r="Q194" s="22"/>
      <c r="R194" s="174"/>
      <c r="S194" s="221">
        <f t="shared" si="115"/>
        <v>1</v>
      </c>
      <c r="T194" s="174" t="str">
        <f t="shared" si="79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0"/>
        <v>https://d0f6bd738d7f1b3e5a7ca70fe4ff75f0.us-east-1.aws.found.io/app/kibana#/discover/Steve-Slow-Train-Analysis-(2080s-and-2083s)?_g=(refreshInterval:(display:Off,pause:!f,section:0,value:0),time:(from:'2017-09-23T19:59:39-0600',mode:absolute,to:'2017-09-23T22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204" t="str">
        <f>IF(AA194&lt;VLOOKUP(AG194,Variables!$AC$3:$AD$8,2,FALSE),"Y","N")</f>
        <v>N</v>
      </c>
      <c r="X194" s="204">
        <f t="shared" si="106"/>
        <v>1</v>
      </c>
      <c r="Y194" s="204">
        <f t="shared" si="112"/>
        <v>9.7100000000000006E-2</v>
      </c>
      <c r="Z194" s="204">
        <f t="shared" si="113"/>
        <v>5.8964999999999996</v>
      </c>
      <c r="AA194" s="204">
        <f t="shared" si="81"/>
        <v>5.7993999999999994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2"/>
        <v>1831</v>
      </c>
      <c r="AE194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4" s="74" t="str">
        <f t="shared" si="84"/>
        <v>"C:\Program Files (x86)\AstroGrep\AstroGrep.exe" /e /r /s /spath="%USERPROFILE%\AppData\Local\Temp\OnboardLogs" /stypes="app*4014*20170924*" /stext=" 03:.+((SYSTEM_STATE.+slice.+state.+changed )|(ment ac)|(multiple cpu faults)|(system.+state.+changed )|(\[timeout)|(PRM\|1\|D)|(kpr)|(kdp)|(train st.+moving)|(\|lc)|(penalty))"</v>
      </c>
      <c r="AG194" s="182" t="str">
        <f t="shared" si="85"/>
        <v>NW</v>
      </c>
      <c r="AH194" s="78" t="str">
        <f t="shared" si="86"/>
        <v>"%USERPROFILE%\Documents\GitHub\eaglep3\Utilities\RefineRTDCRunTimes.py" --tripid 1831-23 --locoid 4014 --swversion DE.1.0.9.0 --startMP 204:971 --initTime 2017-09-23T20:59:39 --startdatetime 2017-09-23T21:09:27 --delay 71 --endMP 300:58965 --enddatetime 2017-09-23T21:22:55 --enforcementcount 0 &gt;&gt;c:\users\stu\Documents\GitHub\eaglep3-reporting\EC\2017-09-23-refined-times.txt</v>
      </c>
      <c r="AI194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{"issue":{"subject":"","project_id":79,"tracker_id":40,"status_id":1,"priority_id":2,"assigned_to_id":338,"start_date":"2017-09-23","description":"","custom_fields":[{"id":1,"name":"Subdivision","value":"NW"},{"id":4,"name":"Milepost","value":"5.8965"},{"id":17,"name":"Train ID","value":"1831-23"},{"id":16,"name":"Locomotive ID","value":"4014"},{"id":130,"name":"Impact","value":""},{"id":150,"name":"Time of Event (Mountain Time)","value":"21:22:55"},{"id":151,"name":"Denver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88"/>
        <v>start /low /b %USERPROFILE%\Documents\GitHub\eaglep3\Utilities\DownloadLogsFromS3.py --loco 4014 --day 2017-09-23</v>
      </c>
      <c r="AN194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0"/>
        <v>https://d0f6bd738d7f1b3e5a7ca70fe4ff75f0.us-east-1.aws.found.io/app/kibana#/discover/Steve-Slow-Train-Analysis-(2080s-and-2083s)?_g=(refreshInterval:(display:Off,pause:!f,section:0,value:0),time:(from:'2017-09-23T19:59:39-0600',mode:absolute,to:'2017-09-23T22:22:55-0600'))&amp;_a=(columns:!('Message%20ID',Summary),filters:!(),index:'emp_*',interval:auto,query:(query_string:(analyze_wildcard:!t,query:'Message%5C+ID:(*)+AND+%22rtdc.l.rtdc.4014%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795</v>
      </c>
      <c r="B195" s="7">
        <v>4013</v>
      </c>
      <c r="C195" s="21" t="s">
        <v>196</v>
      </c>
      <c r="D195" s="21" t="s">
        <v>468</v>
      </c>
      <c r="E195" s="13">
        <v>43001.892071759263</v>
      </c>
      <c r="F195" s="13">
        <v>43001.902106481481</v>
      </c>
      <c r="G195" s="7">
        <v>70</v>
      </c>
      <c r="H195" s="21" t="s">
        <v>413</v>
      </c>
      <c r="I195" s="13">
        <v>43001.912905092591</v>
      </c>
      <c r="J195" s="7">
        <v>0</v>
      </c>
      <c r="K195" s="89" t="str">
        <f t="shared" si="77"/>
        <v>4013/4014</v>
      </c>
      <c r="L195" s="185" t="str">
        <f>VLOOKUP(A195,'Trips&amp;Operators'!$C$1:$G$99911,5,FALSE)</f>
        <v>SMITH MICHAEL</v>
      </c>
      <c r="M195" s="6">
        <f t="shared" si="78"/>
        <v>1.0798611110658385E-2</v>
      </c>
      <c r="N195" s="7">
        <f t="shared" si="114"/>
        <v>15.549999999348074</v>
      </c>
      <c r="O195" s="7"/>
      <c r="P195" s="7"/>
      <c r="Q195" s="22"/>
      <c r="R195" s="174"/>
      <c r="S195" s="221">
        <f t="shared" si="115"/>
        <v>1</v>
      </c>
      <c r="T195" s="174" t="str">
        <f t="shared" si="79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0"/>
        <v>https://d0f6bd738d7f1b3e5a7ca70fe4ff75f0.us-east-1.aws.found.io/app/kibana#/discover/Steve-Slow-Train-Analysis-(2080s-and-2083s)?_g=(refreshInterval:(display:Off,pause:!f,section:0,value:0),time:(from:'2017-09-23T20:24:35-0600',mode:absolute,to:'2017-09-23T22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204" t="str">
        <f>IF(AA195&lt;VLOOKUP(AG195,Variables!$AC$3:$AD$8,2,FALSE),"Y","N")</f>
        <v>N</v>
      </c>
      <c r="X195" s="204">
        <f t="shared" si="106"/>
        <v>1</v>
      </c>
      <c r="Y195" s="204">
        <f t="shared" si="112"/>
        <v>5.8653000000000004</v>
      </c>
      <c r="Z195" s="204">
        <f t="shared" si="113"/>
        <v>6.8500000000000005E-2</v>
      </c>
      <c r="AA195" s="204">
        <f t="shared" si="81"/>
        <v>5.7968000000000002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2"/>
        <v>1832</v>
      </c>
      <c r="AE195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5" s="74" t="str">
        <f t="shared" si="84"/>
        <v>"C:\Program Files (x86)\AstroGrep\AstroGrep.exe" /e /r /s /spath="%USERPROFILE%\AppData\Local\Temp\OnboardLogs" /stypes="app*4013*20170924*" /stext=" 03:.+((SYSTEM_STATE.+slice.+state.+changed )|(ment ac)|(multiple cpu faults)|(system.+state.+changed )|(\[timeout)|(PRM\|1\|D)|(kpr)|(kdp)|(train st.+moving)|(\|lc)|(penalty))"</v>
      </c>
      <c r="AG195" s="182" t="str">
        <f t="shared" si="85"/>
        <v>NW</v>
      </c>
      <c r="AH195" s="78" t="str">
        <f t="shared" si="86"/>
        <v>"%USERPROFILE%\Documents\GitHub\eaglep3\Utilities\RefineRTDCRunTimes.py" --tripid 1832-23 --locoid 4013 --swversion DE.1.0.9.0 --startMP 300:58653 --initTime 2017-09-23T21:24:35 --startdatetime 2017-09-23T21:39:02 --delay 70 --endMP 204:685 --enddatetime 2017-09-23T21:54:35 --enforcementcount 0 &gt;&gt;c:\users\stu\Documents\GitHub\eaglep3-reporting\EC\2017-09-23-refined-times.txt</v>
      </c>
      <c r="AI195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{"issue":{"subject":"","project_id":79,"tracker_id":40,"status_id":1,"priority_id":2,"assigned_to_id":338,"start_date":"2017-09-23","description":"","custom_fields":[{"id":1,"name":"Subdivision","value":"NW"},{"id":4,"name":"Milepost","value":"0.0685"},{"id":17,"name":"Train ID","value":"1832-23"},{"id":16,"name":"Locomotive ID","value":"4013"},{"id":130,"name":"Impact","value":""},{"id":150,"name":"Time of Event (Mountain Time)","value":"21:54:35"},{"id":151,"name":"Denver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88"/>
        <v>start /low /b %USERPROFILE%\Documents\GitHub\eaglep3\Utilities\DownloadLogsFromS3.py --loco 4013 --day 2017-09-23</v>
      </c>
      <c r="AN19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0"/>
        <v>https://d0f6bd738d7f1b3e5a7ca70fe4ff75f0.us-east-1.aws.found.io/app/kibana#/discover/Steve-Slow-Train-Analysis-(2080s-and-2083s)?_g=(refreshInterval:(display:Off,pause:!f,section:0,value:0),time:(from:'2017-09-23T20:24:35-0600',mode:absolute,to:'2017-09-23T22:54:35-0600'))&amp;_a=(columns:!('Message%20ID',Summary),filters:!(),index:'emp_*',interval:auto,query:(query_string:(analyze_wildcard:!t,query:'Message%5C+ID:(*)+AND+%22rtdc.l.rtdc.4013%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612</v>
      </c>
      <c r="B196" s="7">
        <v>4014</v>
      </c>
      <c r="C196" s="21" t="s">
        <v>196</v>
      </c>
      <c r="D196" s="21" t="s">
        <v>922</v>
      </c>
      <c r="E196" s="13">
        <v>43001.915972222225</v>
      </c>
      <c r="F196" s="13">
        <v>43001.923148148147</v>
      </c>
      <c r="G196" s="7">
        <v>75</v>
      </c>
      <c r="H196" s="21" t="s">
        <v>923</v>
      </c>
      <c r="I196" s="13">
        <v>43001.932962962965</v>
      </c>
      <c r="J196" s="7">
        <v>0</v>
      </c>
      <c r="K196" s="89" t="str">
        <f t="shared" si="77"/>
        <v>4013/4014</v>
      </c>
      <c r="L196" s="185" t="str">
        <f>VLOOKUP(A196,'Trips&amp;Operators'!$C$1:$G$99911,5,FALSE)</f>
        <v>SMITH MICHAEL</v>
      </c>
      <c r="M196" s="6">
        <f t="shared" si="78"/>
        <v>9.8148148172185756E-3</v>
      </c>
      <c r="N196" s="7">
        <f t="shared" si="114"/>
        <v>14.133333336794749</v>
      </c>
      <c r="O196" s="7"/>
      <c r="P196" s="7"/>
      <c r="Q196" s="22"/>
      <c r="R196" s="174"/>
      <c r="S196" s="221">
        <f t="shared" si="115"/>
        <v>1</v>
      </c>
      <c r="T196" s="174" t="str">
        <f t="shared" si="79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0"/>
        <v>https://d0f6bd738d7f1b3e5a7ca70fe4ff75f0.us-east-1.aws.found.io/app/kibana#/discover/Steve-Slow-Train-Analysis-(2080s-and-2083s)?_g=(refreshInterval:(display:Off,pause:!f,section:0,value:0),time:(from:'2017-09-23T20:59:00-0600',mode:absolute,to:'2017-09-23T23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204" t="str">
        <f>IF(AA196&lt;VLOOKUP(AG196,Variables!$AC$3:$AD$8,2,FALSE),"Y","N")</f>
        <v>N</v>
      </c>
      <c r="X196" s="204">
        <f t="shared" ref="X196:X226" si="116">VALUE(LEFT(AD196,4))-VALUE(LEFT(AD195,4))</f>
        <v>1</v>
      </c>
      <c r="Y196" s="204">
        <f t="shared" si="112"/>
        <v>9.5799999999999996E-2</v>
      </c>
      <c r="Z196" s="204">
        <f t="shared" si="113"/>
        <v>5.8968999999999996</v>
      </c>
      <c r="AA196" s="204">
        <f t="shared" si="81"/>
        <v>5.8010999999999999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2"/>
        <v>1833</v>
      </c>
      <c r="AE196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6" s="74" t="str">
        <f t="shared" si="84"/>
        <v>"C:\Program Files (x86)\AstroGrep\AstroGrep.exe" /e /r /s /spath="%USERPROFILE%\AppData\Local\Temp\OnboardLogs" /stypes="app*4014*20170924*" /stext=" 04:.+((SYSTEM_STATE.+slice.+state.+changed )|(ment ac)|(multiple cpu faults)|(system.+state.+changed )|(\[timeout)|(PRM\|1\|D)|(kpr)|(kdp)|(train st.+moving)|(\|lc)|(penalty))"</v>
      </c>
      <c r="AG196" s="182" t="str">
        <f t="shared" si="85"/>
        <v>NW</v>
      </c>
      <c r="AH196" s="78" t="str">
        <f t="shared" si="86"/>
        <v>"%USERPROFILE%\Documents\GitHub\eaglep3\Utilities\RefineRTDCRunTimes.py" --tripid 1833-23 --locoid 4014 --swversion DE.1.0.9.0 --startMP 204:958 --initTime 2017-09-23T21:59:00 --startdatetime 2017-09-23T22:09:20 --delay 75 --endMP 300:58969 --enddatetime 2017-09-23T22:23:28 --enforcementcount 0 &gt;&gt;c:\users\stu\Documents\GitHub\eaglep3-reporting\EC\2017-09-23-refined-times.txt</v>
      </c>
      <c r="AI196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{"issue":{"subject":"","project_id":79,"tracker_id":40,"status_id":1,"priority_id":2,"assigned_to_id":338,"start_date":"2017-09-23","description":"","custom_fields":[{"id":1,"name":"Subdivision","value":"NW"},{"id":4,"name":"Milepost","value":"5.8969"},{"id":17,"name":"Train ID","value":"1833-23"},{"id":16,"name":"Locomotive ID","value":"4014"},{"id":130,"name":"Impact","value":""},{"id":150,"name":"Time of Event (Mountain Time)","value":"22:23:28"},{"id":151,"name":"Denver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88"/>
        <v>start /low /b %USERPROFILE%\Documents\GitHub\eaglep3\Utilities\DownloadLogsFromS3.py --loco 4014 --day 2017-09-23</v>
      </c>
      <c r="AN196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0"/>
        <v>https://d0f6bd738d7f1b3e5a7ca70fe4ff75f0.us-east-1.aws.found.io/app/kibana#/discover/Steve-Slow-Train-Analysis-(2080s-and-2083s)?_g=(refreshInterval:(display:Off,pause:!f,section:0,value:0),time:(from:'2017-09-23T20:59:00-0600',mode:absolute,to:'2017-09-23T23:23:28-0600'))&amp;_a=(columns:!('Message%20ID',Summary),filters:!(),index:'emp_*',interval:auto,query:(query_string:(analyze_wildcard:!t,query:'Message%5C+ID:(*)+AND+%22rtdc.l.rtdc.4014%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799</v>
      </c>
      <c r="B197" s="7">
        <v>4013</v>
      </c>
      <c r="C197" s="21" t="s">
        <v>196</v>
      </c>
      <c r="D197" s="21" t="s">
        <v>920</v>
      </c>
      <c r="E197" s="13">
        <v>43001.93482638889</v>
      </c>
      <c r="F197" s="13">
        <v>43001.943842592591</v>
      </c>
      <c r="G197" s="7">
        <v>71</v>
      </c>
      <c r="H197" s="21" t="s">
        <v>924</v>
      </c>
      <c r="I197" s="13">
        <v>43001.954965277779</v>
      </c>
      <c r="J197" s="7">
        <v>0</v>
      </c>
      <c r="K197" s="89" t="str">
        <f t="shared" si="77"/>
        <v>4013/4014</v>
      </c>
      <c r="L197" s="185" t="str">
        <f>VLOOKUP(A197,'Trips&amp;Operators'!$C$1:$G$99911,5,FALSE)</f>
        <v>SMITH MICHAEL</v>
      </c>
      <c r="M197" s="6">
        <f t="shared" si="78"/>
        <v>1.1122685187729076E-2</v>
      </c>
      <c r="N197" s="7">
        <f t="shared" si="114"/>
        <v>16.016666670329869</v>
      </c>
      <c r="O197" s="7"/>
      <c r="P197" s="7"/>
      <c r="Q197" s="22"/>
      <c r="R197" s="174"/>
      <c r="S197" s="221">
        <f t="shared" si="115"/>
        <v>1</v>
      </c>
      <c r="T197" s="174" t="str">
        <f t="shared" si="79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0"/>
        <v>https://d0f6bd738d7f1b3e5a7ca70fe4ff75f0.us-east-1.aws.found.io/app/kibana#/discover/Steve-Slow-Train-Analysis-(2080s-and-2083s)?_g=(refreshInterval:(display:Off,pause:!f,section:0,value:0),time:(from:'2017-09-23T21:26:09-0600',mode:absolute,to:'2017-09-23T23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204" t="str">
        <f>IF(AA197&lt;VLOOKUP(AG197,Variables!$AC$3:$AD$8,2,FALSE),"Y","N")</f>
        <v>N</v>
      </c>
      <c r="X197" s="204">
        <f t="shared" si="116"/>
        <v>1</v>
      </c>
      <c r="Y197" s="204">
        <f t="shared" si="112"/>
        <v>5.8654999999999999</v>
      </c>
      <c r="Z197" s="204">
        <f t="shared" si="113"/>
        <v>6.7299999999999999E-2</v>
      </c>
      <c r="AA197" s="204">
        <f t="shared" si="81"/>
        <v>5.7981999999999996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2"/>
        <v>1834</v>
      </c>
      <c r="AE197" s="77" t="str">
        <f t="shared" si="83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197" s="74" t="str">
        <f t="shared" si="84"/>
        <v>"C:\Program Files (x86)\AstroGrep\AstroGrep.exe" /e /r /s /spath="%USERPROFILE%\AppData\Local\Temp\OnboardLogs" /stypes="app*4013*20170924*" /stext=" 04:.+((SYSTEM_STATE.+slice.+state.+changed )|(ment ac)|(multiple cpu faults)|(system.+state.+changed )|(\[timeout)|(PRM\|1\|D)|(kpr)|(kdp)|(train st.+moving)|(\|lc)|(penalty))"</v>
      </c>
      <c r="AG197" s="182" t="str">
        <f t="shared" si="85"/>
        <v>NW</v>
      </c>
      <c r="AH197" s="78" t="str">
        <f t="shared" si="86"/>
        <v>"%USERPROFILE%\Documents\GitHub\eaglep3\Utilities\RefineRTDCRunTimes.py" --tripid 1834-23 --locoid 4013 --swversion DE.1.0.9.0 --startMP 300:58655 --initTime 2017-09-23T22:26:09 --startdatetime 2017-09-23T22:39:08 --delay 71 --endMP 204:673 --enddatetime 2017-09-23T22:55:09 --enforcementcount 0 &gt;&gt;c:\users\stu\Documents\GitHub\eaglep3-reporting\EC\2017-09-23-refined-times.txt</v>
      </c>
      <c r="AI197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{"issue":{"subject":"","project_id":79,"tracker_id":40,"status_id":1,"priority_id":2,"assigned_to_id":338,"start_date":"2017-09-23","description":"","custom_fields":[{"id":1,"name":"Subdivision","value":"NW"},{"id":4,"name":"Milepost","value":"0.0673"},{"id":17,"name":"Train ID","value":"1834-23"},{"id":16,"name":"Locomotive ID","value":"4013"},{"id":130,"name":"Impact","value":""},{"id":150,"name":"Time of Event (Mountain Time)","value":"22:55:09"},{"id":151,"name":"Denver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88"/>
        <v>start /low /b %USERPROFILE%\Documents\GitHub\eaglep3\Utilities\DownloadLogsFromS3.py --loco 4013 --day 2017-09-23</v>
      </c>
      <c r="AN197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04:55:09"},{"id":29,"name":"Sharepoint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0"/>
        <v>https://d0f6bd738d7f1b3e5a7ca70fe4ff75f0.us-east-1.aws.found.io/app/kibana#/discover/Steve-Slow-Train-Analysis-(2080s-and-2083s)?_g=(refreshInterval:(display:Off,pause:!f,section:0,value:0),time:(from:'2017-09-23T21:26:09-0600',mode:absolute,to:'2017-09-23T23:55:09-0600'))&amp;_a=(columns:!('Message%20ID',Summary),filters:!(),index:'emp_*',interval:auto,query:(query_string:(analyze_wildcard:!t,query:'Message%5C+ID:(*)+AND+%22rtdc.l.rtdc.4013%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802</v>
      </c>
      <c r="B198" s="7">
        <v>4014</v>
      </c>
      <c r="C198" s="21" t="s">
        <v>196</v>
      </c>
      <c r="D198" s="21" t="s">
        <v>925</v>
      </c>
      <c r="E198" s="13">
        <v>43001.956562500003</v>
      </c>
      <c r="F198" s="13">
        <v>43001.964849537035</v>
      </c>
      <c r="G198" s="7">
        <v>68</v>
      </c>
      <c r="H198" s="21" t="s">
        <v>926</v>
      </c>
      <c r="I198" s="13">
        <v>43001.974363425928</v>
      </c>
      <c r="J198" s="7">
        <v>0</v>
      </c>
      <c r="K198" s="89" t="str">
        <f t="shared" si="77"/>
        <v>4013/4014</v>
      </c>
      <c r="L198" s="185" t="str">
        <f>VLOOKUP(A198,'Trips&amp;Operators'!$C$1:$G$99911,5,FALSE)</f>
        <v>SMITH MICHAEL</v>
      </c>
      <c r="M198" s="6">
        <f t="shared" si="78"/>
        <v>9.5138888937071897E-3</v>
      </c>
      <c r="N198" s="7">
        <f t="shared" si="114"/>
        <v>13.700000006938353</v>
      </c>
      <c r="O198" s="7"/>
      <c r="P198" s="7"/>
      <c r="Q198" s="22"/>
      <c r="R198" s="174"/>
      <c r="S198" s="221">
        <f t="shared" si="115"/>
        <v>1</v>
      </c>
      <c r="T198" s="174" t="str">
        <f t="shared" si="79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0"/>
        <v>https://d0f6bd738d7f1b3e5a7ca70fe4ff75f0.us-east-1.aws.found.io/app/kibana#/discover/Steve-Slow-Train-Analysis-(2080s-and-2083s)?_g=(refreshInterval:(display:Off,pause:!f,section:0,value:0),time:(from:'2017-09-23T21:57:27-0600',mode:absolute,to:'2017-09-24T00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204" t="str">
        <f>IF(AA198&lt;VLOOKUP(AG198,Variables!$AC$3:$AD$8,2,FALSE),"Y","N")</f>
        <v>N</v>
      </c>
      <c r="X198" s="204">
        <f t="shared" si="116"/>
        <v>1</v>
      </c>
      <c r="Y198" s="204">
        <f t="shared" si="112"/>
        <v>9.5299999999999996E-2</v>
      </c>
      <c r="Z198" s="204">
        <f t="shared" si="113"/>
        <v>5.8944000000000001</v>
      </c>
      <c r="AA198" s="204">
        <f t="shared" si="81"/>
        <v>5.7991000000000001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82"/>
        <v>1835</v>
      </c>
      <c r="AE198" s="77" t="str">
        <f t="shared" si="83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198" s="74" t="str">
        <f t="shared" si="84"/>
        <v>"C:\Program Files (x86)\AstroGrep\AstroGrep.exe" /e /r /s /spath="%USERPROFILE%\AppData\Local\Temp\OnboardLogs" /stypes="app*4014*20170924*" /stext=" 05:.+((SYSTEM_STATE.+slice.+state.+changed )|(ment ac)|(multiple cpu faults)|(system.+state.+changed )|(\[timeout)|(PRM\|1\|D)|(kpr)|(kdp)|(train st.+moving)|(\|lc)|(penalty))"</v>
      </c>
      <c r="AG198" s="182" t="str">
        <f t="shared" si="85"/>
        <v>NW</v>
      </c>
      <c r="AH198" s="78" t="str">
        <f t="shared" si="86"/>
        <v>"%USERPROFILE%\Documents\GitHub\eaglep3\Utilities\RefineRTDCRunTimes.py" --tripid 1835-23 --locoid 4014 --swversion DE.1.0.9.0 --startMP 204:953 --initTime 2017-09-23T22:57:27 --startdatetime 2017-09-23T23:09:23 --delay 68 --endMP 300:58944 --enddatetime 2017-09-23T23:23:05 --enforcementcount 0 &gt;&gt;c:\users\stu\Documents\GitHub\eaglep3-reporting\EC\2017-09-23-refined-times.txt</v>
      </c>
      <c r="AI198" s="96" t="str">
        <f t="shared" si="87"/>
        <v>echo {"issue":{"subject":"","project_id":79,"tracker_id":40,"status_id":1,"priority_id":2,"assigned_to_id":338,"start_date":"2017-09-23","description":"","custom_fields":[{"id":1,"name":"Subdivision","value":"NW"},{"id":4,"name":"Milepost","value":"5.8944"},{"id":17,"name":"Train ID","value":"1835-23"},{"id":16,"name":"Locomotive ID","value":"4014"},{"id":130,"name":"Impact","value":""},{"id":150,"name":"Time of Event (Mountain Time)","value":"23:23:05"},{"id":151,"name":"Denver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88"/>
        <v>start /low /b %USERPROFILE%\Documents\GitHub\eaglep3\Utilities\DownloadLogsFromS3.py --loco 4014 --day 2017-09-23</v>
      </c>
      <c r="AN198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0"/>
        <v>https://d0f6bd738d7f1b3e5a7ca70fe4ff75f0.us-east-1.aws.found.io/app/kibana#/discover/Steve-Slow-Train-Analysis-(2080s-and-2083s)?_g=(refreshInterval:(display:Off,pause:!f,section:0,value:0),time:(from:'2017-09-23T21:57:27-0600',mode:absolute,to:'2017-09-24T00:23:05-0600'))&amp;_a=(columns:!('Message%20ID',Summary),filters:!(),index:'emp_*',interval:auto,query:(query_string:(analyze_wildcard:!t,query:'Message%5C+ID:(*)+AND+%22rtdc.l.rtdc.4014%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777</v>
      </c>
      <c r="B199" s="7">
        <v>4010</v>
      </c>
      <c r="C199" s="21" t="s">
        <v>196</v>
      </c>
      <c r="D199" s="21" t="s">
        <v>954</v>
      </c>
      <c r="E199" s="13">
        <v>43001.777199074073</v>
      </c>
      <c r="F199" s="13">
        <v>43001.779062499998</v>
      </c>
      <c r="G199" s="7">
        <v>50</v>
      </c>
      <c r="H199" s="21" t="s">
        <v>464</v>
      </c>
      <c r="I199" s="13">
        <v>43001.796134259261</v>
      </c>
      <c r="J199" s="7">
        <v>0</v>
      </c>
      <c r="K199" s="89" t="str">
        <f t="shared" si="77"/>
        <v>4009/4010</v>
      </c>
      <c r="L199" s="185" t="str">
        <f>VLOOKUP(A199,'Trips&amp;Operators'!$C$1:$G$99911,5,FALSE)</f>
        <v>GUZMAN DANNY</v>
      </c>
      <c r="M199" s="6">
        <f t="shared" si="78"/>
        <v>1.7071759262762498E-2</v>
      </c>
      <c r="N199" s="7">
        <f t="shared" si="114"/>
        <v>24.583333338377997</v>
      </c>
      <c r="O199" s="7"/>
      <c r="P199" s="7"/>
      <c r="Q199" s="22"/>
      <c r="R199" s="174"/>
      <c r="S199" s="221">
        <f t="shared" si="115"/>
        <v>1</v>
      </c>
      <c r="T199" s="174" t="str">
        <f t="shared" si="79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0"/>
        <v>https://d0f6bd738d7f1b3e5a7ca70fe4ff75f0.us-east-1.aws.found.io/app/kibana#/discover/Steve-Slow-Train-Analysis-(2080s-and-2083s)?_g=(refreshInterval:(display:Off,pause:!f,section:0,value:0),time:(from:'2017-09-23T17:39:10-0600',mode:absolute,to:'2017-09-23T20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9" s="204" t="str">
        <f>IF(AA199&lt;VLOOKUP(AG199,Variables!$AC$3:$AD$8,2,FALSE),"Y","N")</f>
        <v>Y</v>
      </c>
      <c r="X199" s="204">
        <f t="shared" si="116"/>
        <v>-1534</v>
      </c>
      <c r="Y199" s="204">
        <f t="shared" si="112"/>
        <v>4.2999999999999997E-2</v>
      </c>
      <c r="Z199" s="204">
        <f t="shared" si="113"/>
        <v>2.3306</v>
      </c>
      <c r="AA199" s="204">
        <f t="shared" si="81"/>
        <v>2.2875999999999999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2"/>
        <v>301</v>
      </c>
      <c r="AE199" s="77" t="str">
        <f t="shared" si="83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199" s="74" t="str">
        <f t="shared" si="84"/>
        <v>"C:\Program Files (x86)\AstroGrep\AstroGrep.exe" /e /r /s /spath="%USERPROFILE%\AppData\Local\Temp\OnboardLogs" /stypes="app*4010*20170924*" /stext=" 01:.+((SYSTEM_STATE.+slice.+state.+changed )|(ment ac)|(multiple cpu faults)|(system.+state.+changed )|(\[timeout)|(PRM\|1\|D)|(kpr)|(kdp)|(train st.+moving)|(\|lc)|(penalty))"</v>
      </c>
      <c r="AG199" s="182" t="str">
        <f t="shared" si="85"/>
        <v>Other</v>
      </c>
      <c r="AH199" s="78" t="str">
        <f t="shared" si="86"/>
        <v>"%USERPROFILE%\Documents\GitHub\eaglep3\Utilities\RefineRTDCRunTimes.py" --tripid 301-23 --locoid 4010 --swversion DE.1.0.9.0 --startMP 204:430 --initTime 2017-09-23T18:39:10 --startdatetime 2017-09-23T18:41:51 --delay 50 --endMP 300:23306 --enddatetime 2017-09-23T19:06:26 --enforcementcount 0 &gt;&gt;c:\users\stu\Documents\GitHub\eaglep3-reporting\EC\2017-09-23-refined-times.txt</v>
      </c>
      <c r="AI199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{"issue":{"subject":"","project_id":79,"tracker_id":40,"status_id":1,"priority_id":2,"assigned_to_id":338,"start_date":"2017-09-23","description":"","custom_fields":[{"id":1,"name":"Subdivision","value":"Other"},{"id":4,"name":"Milepost","value":"2.3306"},{"id":17,"name":"Train ID","value":"301-23"},{"id":16,"name":"Locomotive ID","value":"4010"},{"id":130,"name":"Impact","value":""},{"id":150,"name":"Time of Event (Mountain Time)","value":"19:06:26"},{"id":151,"name":"Denver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88"/>
        <v>start /low /b %USERPROFILE%\Documents\GitHub\eaglep3\Utilities\DownloadLogsFromS3.py --loco 4010 --day 2017-09-23</v>
      </c>
      <c r="AN199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0"/>
        <v>https://d0f6bd738d7f1b3e5a7ca70fe4ff75f0.us-east-1.aws.found.io/app/kibana#/discover/Steve-Slow-Train-Analysis-(2080s-and-2083s)?_g=(refreshInterval:(display:Off,pause:!f,section:0,value:0),time:(from:'2017-09-23T17:39:10-0600',mode:absolute,to:'2017-09-23T20:06:26-0600'))&amp;_a=(columns:!('Message%20ID',Summary),filters:!(),index:'emp_*',interval:auto,query:(query_string:(analyze_wildcard:!t,query:'Message%5C+ID:(*)+AND+%22rtdc.l.rtdc.4010%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628</v>
      </c>
      <c r="B200" s="7">
        <v>4045</v>
      </c>
      <c r="C200" s="21" t="s">
        <v>196</v>
      </c>
      <c r="D200" s="21" t="s">
        <v>955</v>
      </c>
      <c r="E200" s="13">
        <v>43001.139907407407</v>
      </c>
      <c r="F200" s="13">
        <v>43001.14371527778</v>
      </c>
      <c r="G200" s="7">
        <v>63</v>
      </c>
      <c r="H200" s="21" t="s">
        <v>341</v>
      </c>
      <c r="I200" s="13">
        <v>43001.149930555555</v>
      </c>
      <c r="J200" s="7">
        <v>0</v>
      </c>
      <c r="K200" s="89" t="str">
        <f t="shared" si="77"/>
        <v>4045/4046</v>
      </c>
      <c r="L200" s="185" t="str">
        <f>VLOOKUP(A200,'Trips&amp;Operators'!$C$1:$G$99911,5,FALSE)</f>
        <v>MOSES BRADLEY</v>
      </c>
      <c r="M200" s="6">
        <f t="shared" si="78"/>
        <v>6.2152777754818089E-3</v>
      </c>
      <c r="N200" s="7">
        <f t="shared" si="114"/>
        <v>8.9499999966938049</v>
      </c>
      <c r="O200" s="7"/>
      <c r="P200" s="7"/>
      <c r="Q200" s="22"/>
      <c r="R200" s="174"/>
      <c r="S200" s="221">
        <f t="shared" si="115"/>
        <v>1</v>
      </c>
      <c r="T200" s="174" t="str">
        <f t="shared" si="79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0"/>
        <v>https://d0f6bd738d7f1b3e5a7ca70fe4ff75f0.us-east-1.aws.found.io/app/kibana#/discover/Steve-Slow-Train-Analysis-(2080s-and-2083s)?_g=(refreshInterval:(display:Off,pause:!f,section:0,value:0),time:(from:'2017-09-23T02:21:28-0600',mode:absolute,to:'2017-09-23T04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204" t="str">
        <f>IF(AA200&lt;VLOOKUP(AG200,Variables!$AC$3:$AD$8,2,FALSE),"Y","N")</f>
        <v>Y</v>
      </c>
      <c r="X200" s="204">
        <f t="shared" si="116"/>
        <v>1</v>
      </c>
      <c r="Y200" s="204">
        <f t="shared" ref="Y200:Y226" si="117">RIGHT(D200,LEN(D200)-4)/10000</f>
        <v>2.2178</v>
      </c>
      <c r="Z200" s="204">
        <f t="shared" ref="Z200:Z226" si="118">RIGHT(H200,LEN(H200)-4)/10000</f>
        <v>1.47E-2</v>
      </c>
      <c r="AA200" s="204">
        <f t="shared" si="81"/>
        <v>2.2031000000000001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2"/>
        <v>302</v>
      </c>
      <c r="AE200" s="77" t="str">
        <f t="shared" si="83"/>
        <v>aws s3 cp s3://rtdc.mdm.uploadarchive.raw/RTDC4045/ "%USERPROFILE%\AppData\Local\Temp\OnboardLogs"\RTDC4045\2017-09-23 --exclude "*" --recursive --include "*20170923*" &amp; "%USERPROFILE%\Documents\GitHub\mrs-test-scripts\Headless Mode &amp; Sideloading\WalkAndUnGZ.bat" "%USERPROFILE%\AppData\Local\Temp\OnboardLogs"\RTDC4045\2017-09-23 &amp; 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</v>
      </c>
      <c r="AF200" s="74" t="str">
        <f t="shared" si="84"/>
        <v>"C:\Program Files (x86)\AstroGrep\AstroGrep.exe" /e /r /s /spath="%USERPROFILE%\AppData\Local\Temp\OnboardLogs" /stypes="app*4045*20170923*" /stext=" 09:.+((SYSTEM_STATE.+slice.+state.+changed )|(ment ac)|(multiple cpu faults)|(system.+state.+changed )|(\[timeout)|(PRM\|1\|D)|(kpr)|(kdp)|(train st.+moving)|(\|lc)|(penalty))"</v>
      </c>
      <c r="AG200" s="182" t="str">
        <f t="shared" si="85"/>
        <v>Other</v>
      </c>
      <c r="AH200" s="78" t="str">
        <f t="shared" si="86"/>
        <v>"%USERPROFILE%\Documents\GitHub\eaglep3\Utilities\RefineRTDCRunTimes.py" --tripid 302-23 --locoid 4045 --swversion DE.1.0.9.0 --startMP 300:22178 --initTime 2017-09-23T03:21:28 --startdatetime 2017-09-23T03:26:57 --delay 63 --endMP 204:147 --enddatetime 2017-09-23T03:35:54 --enforcementcount 0 &gt;&gt;c:\users\stu\Documents\GitHub\eaglep3-reporting\EC\2017-09-23-refined-times.txt</v>
      </c>
      <c r="AI200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{"issue":{"subject":"","project_id":79,"tracker_id":40,"status_id":1,"priority_id":2,"assigned_to_id":338,"start_date":"2017-09-23","description":"","custom_fields":[{"id":1,"name":"Subdivision","value":"Other"},{"id":4,"name":"Milepost","value":"0.0147"},{"id":17,"name":"Train ID","value":"302-23"},{"id":16,"name":"Locomotive ID","value":"4045"},{"id":130,"name":"Impact","value":""},{"id":150,"name":"Time of Event (Mountain Time)","value":"03:35:54"},{"id":151,"name":"Denver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88"/>
        <v>start /low /b %USERPROFILE%\Documents\GitHub\eaglep3\Utilities\DownloadLogsFromS3.py --loco 4045 --day 2017-09-23</v>
      </c>
      <c r="AN200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0"/>
        <v>https://d0f6bd738d7f1b3e5a7ca70fe4ff75f0.us-east-1.aws.found.io/app/kibana#/discover/Steve-Slow-Train-Analysis-(2080s-and-2083s)?_g=(refreshInterval:(display:Off,pause:!f,section:0,value:0),time:(from:'2017-09-23T02:21:28-0600',mode:absolute,to:'2017-09-23T04:35:54-0600'))&amp;_a=(columns:!('Message%20ID',Summary),filters:!(),index:'emp_*',interval:auto,query:(query_string:(analyze_wildcard:!t,query:'Message%5C+ID:(*)+AND+%22rtdc.l.rtdc.4045%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781</v>
      </c>
      <c r="B201" s="7">
        <v>4024</v>
      </c>
      <c r="C201" s="21" t="s">
        <v>196</v>
      </c>
      <c r="D201" s="21" t="s">
        <v>956</v>
      </c>
      <c r="E201" s="13">
        <v>43001.798738425925</v>
      </c>
      <c r="F201" s="13">
        <v>43001.800775462965</v>
      </c>
      <c r="G201" s="7">
        <v>121</v>
      </c>
      <c r="H201" s="21" t="s">
        <v>465</v>
      </c>
      <c r="I201" s="13">
        <v>43001.808252314811</v>
      </c>
      <c r="J201" s="7">
        <v>0</v>
      </c>
      <c r="K201" s="89" t="str">
        <f t="shared" si="77"/>
        <v>4023/4024</v>
      </c>
      <c r="L201" s="185" t="str">
        <f>VLOOKUP(A201,'Trips&amp;Operators'!$C$1:$G$99911,5,FALSE)</f>
        <v>BERLING GARY</v>
      </c>
      <c r="M201" s="6">
        <f t="shared" si="78"/>
        <v>7.4768518461496569E-3</v>
      </c>
      <c r="N201" s="7">
        <f t="shared" si="114"/>
        <v>10.766666658455506</v>
      </c>
      <c r="O201" s="7"/>
      <c r="P201" s="7"/>
      <c r="Q201" s="22"/>
      <c r="R201" s="174"/>
      <c r="S201" s="221">
        <f t="shared" si="115"/>
        <v>1</v>
      </c>
      <c r="T201" s="174" t="str">
        <f t="shared" si="79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0"/>
        <v>https://d0f6bd738d7f1b3e5a7ca70fe4ff75f0.us-east-1.aws.found.io/app/kibana#/discover/Steve-Slow-Train-Analysis-(2080s-and-2083s)?_g=(refreshInterval:(display:Off,pause:!f,section:0,value:0),time:(from:'2017-09-23T18:10:11-0600',mode:absolute,to:'2017-09-23T20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204" t="str">
        <f>IF(AA201&lt;VLOOKUP(AG201,Variables!$AC$3:$AD$8,2,FALSE),"Y","N")</f>
        <v>Y</v>
      </c>
      <c r="X201" s="204">
        <f t="shared" si="116"/>
        <v>1</v>
      </c>
      <c r="Y201" s="204">
        <f t="shared" si="117"/>
        <v>4.2000000000000003E-2</v>
      </c>
      <c r="Z201" s="204">
        <f t="shared" si="118"/>
        <v>2.3346</v>
      </c>
      <c r="AA201" s="204">
        <f t="shared" si="81"/>
        <v>2.2926000000000002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2"/>
        <v>303</v>
      </c>
      <c r="AE201" s="77" t="str">
        <f t="shared" si="83"/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AF201" s="74" t="str">
        <f t="shared" si="84"/>
        <v>"C:\Program Files (x86)\AstroGrep\AstroGrep.exe" /e /r /s /spath="%USERPROFILE%\AppData\Local\Temp\OnboardLogs" /stypes="app*4024*20170924*" /stext=" 01:.+((SYSTEM_STATE.+slice.+state.+changed )|(ment ac)|(multiple cpu faults)|(system.+state.+changed )|(\[timeout)|(PRM\|1\|D)|(kpr)|(kdp)|(train st.+moving)|(\|lc)|(penalty))"</v>
      </c>
      <c r="AG201" s="182" t="str">
        <f t="shared" si="85"/>
        <v>Other</v>
      </c>
      <c r="AH201" s="78" t="str">
        <f t="shared" si="86"/>
        <v>"%USERPROFILE%\Documents\GitHub\eaglep3\Utilities\RefineRTDCRunTimes.py" --tripid 303-23 --locoid 4024 --swversion DE.1.0.9.0 --startMP 204:420 --initTime 2017-09-23T19:10:11 --startdatetime 2017-09-23T19:13:07 --delay 121 --endMP 300:23346 --enddatetime 2017-09-23T19:23:53 --enforcementcount 0 &gt;&gt;c:\users\stu\Documents\GitHub\eaglep3-reporting\EC\2017-09-23-refined-times.txt</v>
      </c>
      <c r="AI201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{"issue":{"subject":"","project_id":79,"tracker_id":40,"status_id":1,"priority_id":2,"assigned_to_id":338,"start_date":"2017-09-23","description":"","custom_fields":[{"id":1,"name":"Subdivision","value":"Other"},{"id":4,"name":"Milepost","value":"2.3346"},{"id":17,"name":"Train ID","value":"303-23"},{"id":16,"name":"Locomotive ID","value":"4024"},{"id":130,"name":"Impact","value":""},{"id":150,"name":"Time of Event (Mountain Time)","value":"19:23:53"},{"id":151,"name":"Denver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88"/>
        <v>start /low /b %USERPROFILE%\Documents\GitHub\eaglep3\Utilities\DownloadLogsFromS3.py --loco 4024 --day 2017-09-23</v>
      </c>
      <c r="AN201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0"/>
        <v>https://d0f6bd738d7f1b3e5a7ca70fe4ff75f0.us-east-1.aws.found.io/app/kibana#/discover/Steve-Slow-Train-Analysis-(2080s-and-2083s)?_g=(refreshInterval:(display:Off,pause:!f,section:0,value:0),time:(from:'2017-09-23T18:10:11-0600',mode:absolute,to:'2017-09-23T20:23:53-0600'))&amp;_a=(columns:!('Message%20ID',Summary),filters:!(),index:'emp_*',interval:auto,query:(query_string:(analyze_wildcard:!t,query:'Message%5C+ID:(*)+AND+%22rtdc.l.rtdc.4024%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631</v>
      </c>
      <c r="B202" s="7">
        <v>4053</v>
      </c>
      <c r="C202" s="21" t="s">
        <v>196</v>
      </c>
      <c r="D202" s="21" t="s">
        <v>957</v>
      </c>
      <c r="E202" s="13">
        <v>43001.156585648147</v>
      </c>
      <c r="F202" s="13">
        <v>43001.162523148145</v>
      </c>
      <c r="G202" s="7">
        <v>118</v>
      </c>
      <c r="H202" s="21" t="s">
        <v>337</v>
      </c>
      <c r="I202" s="13">
        <v>43001.168298611112</v>
      </c>
      <c r="J202" s="7">
        <v>0</v>
      </c>
      <c r="K202" s="89" t="str">
        <f t="shared" si="77"/>
        <v>4053/4054</v>
      </c>
      <c r="L202" s="185" t="str">
        <f>VLOOKUP(A202,'Trips&amp;Operators'!$C$1:$G$99911,5,FALSE)</f>
        <v>PAGE MARCUS</v>
      </c>
      <c r="M202" s="6">
        <f t="shared" si="78"/>
        <v>5.7754629669943824E-3</v>
      </c>
      <c r="N202" s="7">
        <f t="shared" si="114"/>
        <v>8.3166666724719107</v>
      </c>
      <c r="O202" s="7"/>
      <c r="P202" s="7"/>
      <c r="Q202" s="22"/>
      <c r="R202" s="174"/>
      <c r="S202" s="221">
        <f t="shared" si="115"/>
        <v>1</v>
      </c>
      <c r="T202" s="174" t="str">
        <f t="shared" si="79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0"/>
        <v>https://d0f6bd738d7f1b3e5a7ca70fe4ff75f0.us-east-1.aws.found.io/app/kibana#/discover/Steve-Slow-Train-Analysis-(2080s-and-2083s)?_g=(refreshInterval:(display:Off,pause:!f,section:0,value:0),time:(from:'2017-09-23T02:45:29-0600',mode:absolute,to:'2017-09-23T05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2" s="204" t="str">
        <f>IF(AA202&lt;VLOOKUP(AG202,Variables!$AC$3:$AD$8,2,FALSE),"Y","N")</f>
        <v>Y</v>
      </c>
      <c r="X202" s="204">
        <f t="shared" si="116"/>
        <v>1</v>
      </c>
      <c r="Y202" s="204">
        <f t="shared" si="117"/>
        <v>2.3218000000000001</v>
      </c>
      <c r="Z202" s="204">
        <f t="shared" si="118"/>
        <v>1.49E-2</v>
      </c>
      <c r="AA202" s="204">
        <f t="shared" si="81"/>
        <v>2.3069000000000002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82"/>
        <v>304</v>
      </c>
      <c r="AE202" s="77" t="str">
        <f t="shared" si="83"/>
        <v>aws s3 cp s3://rtdc.mdm.uploadarchive.raw/RTDC4053/ "%USERPROFILE%\AppData\Local\Temp\OnboardLogs"\RTDC4053\2017-09-23 --exclude "*" --recursive --include "*20170923*" &amp; "%USERPROFILE%\Documents\GitHub\mrs-test-scripts\Headless Mode &amp; Sideloading\WalkAndUnGZ.bat" "%USERPROFILE%\AppData\Local\Temp\OnboardLogs"\RTDC4053\2017-09-23 &amp; aws s3 cp s3://rtdc.mdm.uploadarchive.raw/RTDC4053/ "%USERPROFILE%\AppData\Local\Temp\OnboardLogs"\RTDC4053\2017-09-24 --exclude "*" --recursive --include "*20170924*" &amp; "%USERPROFILE%\Documents\GitHub\mrs-test-scripts\Headless Mode &amp; Sideloading\WalkAndUnGZ.bat" "%USERPROFILE%\AppData\Local\Temp\OnboardLogs"\RTDC4053\2017-09-24</v>
      </c>
      <c r="AF202" s="74" t="str">
        <f t="shared" si="84"/>
        <v>"C:\Program Files (x86)\AstroGrep\AstroGrep.exe" /e /r /s /spath="%USERPROFILE%\AppData\Local\Temp\OnboardLogs" /stypes="app*4053*20170923*" /stext=" 10:.+((SYSTEM_STATE.+slice.+state.+changed )|(ment ac)|(multiple cpu faults)|(system.+state.+changed )|(\[timeout)|(PRM\|1\|D)|(kpr)|(kdp)|(train st.+moving)|(\|lc)|(penalty))"</v>
      </c>
      <c r="AG202" s="182" t="str">
        <f t="shared" si="85"/>
        <v>Other</v>
      </c>
      <c r="AH202" s="78" t="str">
        <f t="shared" si="86"/>
        <v>"%USERPROFILE%\Documents\GitHub\eaglep3\Utilities\RefineRTDCRunTimes.py" --tripid 304-23 --locoid 4053 --swversion DE.1.0.9.0 --startMP 300:23218 --initTime 2017-09-23T03:45:29 --startdatetime 2017-09-23T03:54:02 --delay 118 --endMP 204:149 --enddatetime 2017-09-23T04:02:21 --enforcementcount 0 &gt;&gt;c:\users\stu\Documents\GitHub\eaglep3-reporting\EC\2017-09-23-refined-times.txt</v>
      </c>
      <c r="AI202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{"issue":{"subject":"","project_id":79,"tracker_id":40,"status_id":1,"priority_id":2,"assigned_to_id":338,"start_date":"2017-09-23","description":"","custom_fields":[{"id":1,"name":"Subdivision","value":"Other"},{"id":4,"name":"Milepost","value":"0.0149"},{"id":17,"name":"Train ID","value":"304-23"},{"id":16,"name":"Locomotive ID","value":"4053"},{"id":130,"name":"Impact","value":""},{"id":150,"name":"Time of Event (Mountain Time)","value":"04:02:21"},{"id":151,"name":"Denver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88"/>
        <v>start /low /b %USERPROFILE%\Documents\GitHub\eaglep3\Utilities\DownloadLogsFromS3.py --loco 4053 --day 2017-09-23</v>
      </c>
      <c r="AN202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0"/>
        <v>https://d0f6bd738d7f1b3e5a7ca70fe4ff75f0.us-east-1.aws.found.io/app/kibana#/discover/Steve-Slow-Train-Analysis-(2080s-and-2083s)?_g=(refreshInterval:(display:Off,pause:!f,section:0,value:0),time:(from:'2017-09-23T02:45:29-0600',mode:absolute,to:'2017-09-23T05:02:21-0600'))&amp;_a=(columns:!('Message%20ID',Summary),filters:!(),index:'emp_*',interval:auto,query:(query_string:(analyze_wildcard:!t,query:'Message%5C+ID:(*)+AND+%22rtdc.l.rtdc.4053%22')),sort:!(Time.ISO8601,asc))</v>
      </c>
    </row>
    <row r="203" spans="1:91" s="20" customFormat="1" x14ac:dyDescent="0.25">
      <c r="A203" s="32" t="s">
        <v>784</v>
      </c>
      <c r="B203" s="7">
        <v>4002</v>
      </c>
      <c r="C203" s="21" t="s">
        <v>196</v>
      </c>
      <c r="D203" s="21" t="s">
        <v>841</v>
      </c>
      <c r="E203" s="13">
        <v>43001.817662037036</v>
      </c>
      <c r="F203" s="13">
        <v>43001.819560185184</v>
      </c>
      <c r="G203" s="7">
        <v>48</v>
      </c>
      <c r="H203" s="21" t="s">
        <v>958</v>
      </c>
      <c r="I203" s="13">
        <v>43001.825925925928</v>
      </c>
      <c r="J203" s="7">
        <v>0</v>
      </c>
      <c r="K203" s="89" t="str">
        <f t="shared" si="77"/>
        <v>4001/4002</v>
      </c>
      <c r="L203" s="185" t="str">
        <f>VLOOKUP(A203,'Trips&amp;Operators'!$C$1:$G$99911,5,FALSE)</f>
        <v>HOLCOMB KAMDEN</v>
      </c>
      <c r="M203" s="6">
        <f t="shared" si="78"/>
        <v>6.3657407445134595E-3</v>
      </c>
      <c r="N203" s="7">
        <f t="shared" si="114"/>
        <v>9.1666666720993817</v>
      </c>
      <c r="O203" s="7"/>
      <c r="P203" s="7"/>
      <c r="Q203" s="22"/>
      <c r="R203" s="174"/>
      <c r="S203" s="221">
        <f t="shared" si="115"/>
        <v>1</v>
      </c>
      <c r="T203" s="174" t="str">
        <f t="shared" si="79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0"/>
        <v>https://d0f6bd738d7f1b3e5a7ca70fe4ff75f0.us-east-1.aws.found.io/app/kibana#/discover/Steve-Slow-Train-Analysis-(2080s-and-2083s)?_g=(refreshInterval:(display:Off,pause:!f,section:0,value:0),time:(from:'2017-09-23T18:37:26-0600',mode:absolute,to:'2017-09-23T20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204" t="str">
        <f>IF(AA203&lt;VLOOKUP(AG203,Variables!$AC$3:$AD$8,2,FALSE),"Y","N")</f>
        <v>Y</v>
      </c>
      <c r="X203" s="204">
        <f t="shared" si="116"/>
        <v>1</v>
      </c>
      <c r="Y203" s="204">
        <f t="shared" si="117"/>
        <v>4.4400000000000002E-2</v>
      </c>
      <c r="Z203" s="204">
        <f t="shared" si="118"/>
        <v>2.3273999999999999</v>
      </c>
      <c r="AA203" s="204">
        <f t="shared" si="81"/>
        <v>2.2829999999999999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2"/>
        <v>305</v>
      </c>
      <c r="AE203" s="77" t="str">
        <f t="shared" si="83"/>
        <v>aws s3 cp s3://rtdc.mdm.uploadarchive.raw/RTDC4002/ "%USERPROFILE%\AppData\Local\Temp\OnboardLogs"\RTDC4002\2017-09-23 --exclude "*" --recursive --include "*20170923*" &amp; "%USERPROFILE%\Documents\GitHub\mrs-test-scripts\Headless Mode &amp; Sideloading\WalkAndUnGZ.bat" "%USERPROFILE%\AppData\Local\Temp\OnboardLogs"\RTDC4002\2017-09-23 &amp; aws s3 cp s3://rtdc.mdm.uploadarchive.raw/RTDC4002/ "%USERPROFILE%\AppData\Local\Temp\OnboardLogs"\RTDC4002\2017-09-24 --exclude "*" --recursive --include "*20170924*" &amp; "%USERPROFILE%\Documents\GitHub\mrs-test-scripts\Headless Mode &amp; Sideloading\WalkAndUnGZ.bat" "%USERPROFILE%\AppData\Local\Temp\OnboardLogs"\RTDC4002\2017-09-24</v>
      </c>
      <c r="AF203" s="74" t="str">
        <f t="shared" si="84"/>
        <v>"C:\Program Files (x86)\AstroGrep\AstroGrep.exe" /e /r /s /spath="%USERPROFILE%\AppData\Local\Temp\OnboardLogs" /stypes="app*4002*20170924*" /stext=" 01:.+((SYSTEM_STATE.+slice.+state.+changed )|(ment ac)|(multiple cpu faults)|(system.+state.+changed )|(\[timeout)|(PRM\|1\|D)|(kpr)|(kdp)|(train st.+moving)|(\|lc)|(penalty))"</v>
      </c>
      <c r="AG203" s="182" t="str">
        <f t="shared" si="85"/>
        <v>Other</v>
      </c>
      <c r="AH203" s="78" t="str">
        <f t="shared" si="86"/>
        <v>"%USERPROFILE%\Documents\GitHub\eaglep3\Utilities\RefineRTDCRunTimes.py" --tripid 305-23 --locoid 4002 --swversion DE.1.0.9.0 --startMP 204:444 --initTime 2017-09-23T19:37:26 --startdatetime 2017-09-23T19:40:10 --delay 48 --endMP 300:23274 --enddatetime 2017-09-23T19:49:20 --enforcementcount 0 &gt;&gt;c:\users\stu\Documents\GitHub\eaglep3-reporting\EC\2017-09-23-refined-times.txt</v>
      </c>
      <c r="AI203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{"issue":{"subject":"","project_id":79,"tracker_id":40,"status_id":1,"priority_id":2,"assigned_to_id":338,"start_date":"2017-09-23","description":"","custom_fields":[{"id":1,"name":"Subdivision","value":"Other"},{"id":4,"name":"Milepost","value":"2.3274"},{"id":17,"name":"Train ID","value":"305-23"},{"id":16,"name":"Locomotive ID","value":"4002"},{"id":130,"name":"Impact","value":""},{"id":150,"name":"Time of Event (Mountain Time)","value":"19:49:20"},{"id":151,"name":"Denver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88"/>
        <v>start /low /b %USERPROFILE%\Documents\GitHub\eaglep3\Utilities\DownloadLogsFromS3.py --loco 4002 --day 2017-09-23</v>
      </c>
      <c r="AN203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01:49:20"},{"id":29,"name":"Sharepoint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0"/>
        <v>https://d0f6bd738d7f1b3e5a7ca70fe4ff75f0.us-east-1.aws.found.io/app/kibana#/discover/Steve-Slow-Train-Analysis-(2080s-and-2083s)?_g=(refreshInterval:(display:Off,pause:!f,section:0,value:0),time:(from:'2017-09-23T18:37:26-0600',mode:absolute,to:'2017-09-23T20:49:20-0600'))&amp;_a=(columns:!('Message%20ID',Summary),filters:!(),index:'emp_*',interval:auto,query:(query_string:(analyze_wildcard:!t,query:'Message%5C+ID:(*)+AND+%22rtdc.l.rtdc.4002%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634</v>
      </c>
      <c r="B204" s="7">
        <v>4057</v>
      </c>
      <c r="C204" s="21" t="s">
        <v>196</v>
      </c>
      <c r="D204" s="21" t="s">
        <v>959</v>
      </c>
      <c r="E204" s="13">
        <v>43001.186793981484</v>
      </c>
      <c r="F204" s="13">
        <v>43001.19153935185</v>
      </c>
      <c r="G204" s="7">
        <v>106</v>
      </c>
      <c r="H204" s="21" t="s">
        <v>960</v>
      </c>
      <c r="I204" s="13">
        <v>43001.196076388886</v>
      </c>
      <c r="J204" s="7">
        <v>0</v>
      </c>
      <c r="K204" s="89" t="str">
        <f t="shared" si="77"/>
        <v>4057/4058</v>
      </c>
      <c r="L204" s="185" t="str">
        <f>VLOOKUP(A204,'Trips&amp;Operators'!$C$1:$G$99911,5,FALSE)</f>
        <v>GEBRETEKLE DAGNEW</v>
      </c>
      <c r="M204" s="6">
        <f t="shared" si="78"/>
        <v>4.537037035333924E-3</v>
      </c>
      <c r="N204" s="7">
        <f t="shared" ref="N204:N226" si="119">24*60*SUM($M204:$M204)</f>
        <v>6.5333333308808506</v>
      </c>
      <c r="O204" s="7"/>
      <c r="P204" s="7"/>
      <c r="Q204" s="22"/>
      <c r="R204" s="174"/>
      <c r="S204" s="221">
        <f t="shared" ref="S204:S226" si="120">1/IF(AG204="EC",12,1)*SUM(U204:U204)</f>
        <v>1</v>
      </c>
      <c r="T204" s="174" t="str">
        <f t="shared" si="79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0"/>
        <v>https://d0f6bd738d7f1b3e5a7ca70fe4ff75f0.us-east-1.aws.found.io/app/kibana#/discover/Steve-Slow-Train-Analysis-(2080s-and-2083s)?_g=(refreshInterval:(display:Off,pause:!f,section:0,value:0),time:(from:'2017-09-23T03:28:59-0600',mode:absolute,to:'2017-09-23T05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4" s="204" t="str">
        <f>IF(AA204&lt;VLOOKUP(AG204,Variables!$AC$3:$AD$8,2,FALSE),"Y","N")</f>
        <v>Y</v>
      </c>
      <c r="X204" s="204">
        <f t="shared" si="116"/>
        <v>1</v>
      </c>
      <c r="Y204" s="204">
        <f t="shared" si="117"/>
        <v>2.3220000000000001</v>
      </c>
      <c r="Z204" s="204">
        <f t="shared" si="118"/>
        <v>0.20960000000000001</v>
      </c>
      <c r="AA204" s="204">
        <f t="shared" si="81"/>
        <v>2.1124000000000001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2"/>
        <v>306</v>
      </c>
      <c r="AE204" s="77" t="str">
        <f t="shared" si="83"/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AF204" s="74" t="str">
        <f t="shared" si="84"/>
        <v>"C:\Program Files (x86)\AstroGrep\AstroGrep.exe" /e /r /s /spath="%USERPROFILE%\AppData\Local\Temp\OnboardLogs" /stypes="app*4057*20170923*" /stext=" 10:.+((SYSTEM_STATE.+slice.+state.+changed )|(ment ac)|(multiple cpu faults)|(system.+state.+changed )|(\[timeout)|(PRM\|1\|D)|(kpr)|(kdp)|(train st.+moving)|(\|lc)|(penalty))"</v>
      </c>
      <c r="AG204" s="182" t="str">
        <f t="shared" si="85"/>
        <v>Other</v>
      </c>
      <c r="AH204" s="78" t="str">
        <f t="shared" si="86"/>
        <v>"%USERPROFILE%\Documents\GitHub\eaglep3\Utilities\RefineRTDCRunTimes.py" --tripid 306-23 --locoid 4057 --swversion DE.1.0.9.0 --startMP 300:23220 --initTime 2017-09-23T04:28:59 --startdatetime 2017-09-23T04:35:49 --delay 106 --endMP 204:2096 --enddatetime 2017-09-23T04:42:21 --enforcementcount 0 &gt;&gt;c:\users\stu\Documents\GitHub\eaglep3-reporting\EC\2017-09-23-refined-times.txt</v>
      </c>
      <c r="AI204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{"issue":{"subject":"","project_id":79,"tracker_id":40,"status_id":1,"priority_id":2,"assigned_to_id":338,"start_date":"2017-09-23","description":"","custom_fields":[{"id":1,"name":"Subdivision","value":"Other"},{"id":4,"name":"Milepost","value":"0.2096"},{"id":17,"name":"Train ID","value":"306-23"},{"id":16,"name":"Locomotive ID","value":"4057"},{"id":130,"name":"Impact","value":""},{"id":150,"name":"Time of Event (Mountain Time)","value":"04:42:21"},{"id":151,"name":"Denver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88"/>
        <v>start /low /b %USERPROFILE%\Documents\GitHub\eaglep3\Utilities\DownloadLogsFromS3.py --loco 4057 --day 2017-09-23</v>
      </c>
      <c r="AN204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0"/>
        <v>https://d0f6bd738d7f1b3e5a7ca70fe4ff75f0.us-east-1.aws.found.io/app/kibana#/discover/Steve-Slow-Train-Analysis-(2080s-and-2083s)?_g=(refreshInterval:(display:Off,pause:!f,section:0,value:0),time:(from:'2017-09-23T03:28:59-0600',mode:absolute,to:'2017-09-23T05:42:21-0600'))&amp;_a=(columns:!('Message%20ID',Summary),filters:!(),index:'emp_*',interval:auto,query:(query_string:(analyze_wildcard:!t,query:'Message%5C+ID:(*)+AND+%22rtdc.l.rtdc.4057%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812</v>
      </c>
      <c r="B205" s="7">
        <v>4040</v>
      </c>
      <c r="C205" s="21" t="s">
        <v>196</v>
      </c>
      <c r="D205" s="21" t="s">
        <v>361</v>
      </c>
      <c r="E205" s="13">
        <v>43002.048182870371</v>
      </c>
      <c r="F205" s="13">
        <v>43002.049340277779</v>
      </c>
      <c r="G205" s="7">
        <v>48</v>
      </c>
      <c r="H205" s="21" t="s">
        <v>465</v>
      </c>
      <c r="I205" s="13">
        <v>43002.058333333334</v>
      </c>
      <c r="J205" s="7">
        <v>0</v>
      </c>
      <c r="K205" s="89" t="str">
        <f t="shared" ref="K205:K226" si="121">IF(ISEVEN(B205),(B205-1)&amp;"/"&amp;B205,B205&amp;"/"&amp;(B205+1))</f>
        <v>4039/4040</v>
      </c>
      <c r="L205" s="185" t="str">
        <f>VLOOKUP(A205,'Trips&amp;Operators'!$C$1:$G$99911,5,FALSE)</f>
        <v>FORTUNATO FRANK</v>
      </c>
      <c r="M205" s="6">
        <f t="shared" ref="M205:M226" si="122">I205-F205</f>
        <v>8.9930555550381541E-3</v>
      </c>
      <c r="N205" s="7">
        <f t="shared" si="119"/>
        <v>12.949999999254942</v>
      </c>
      <c r="O205" s="7"/>
      <c r="P205" s="7"/>
      <c r="Q205" s="22"/>
      <c r="R205" s="174"/>
      <c r="S205" s="221">
        <f t="shared" si="120"/>
        <v>1</v>
      </c>
      <c r="T205" s="174" t="str">
        <f t="shared" ref="T205:T226" si="123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6" si="12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-24T00:09:23-0600',mode:absolute,to:'2017-09-24T02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204" t="str">
        <f>IF(AA205&lt;VLOOKUP(AG205,Variables!$AC$3:$AD$8,2,FALSE),"Y","N")</f>
        <v>Y</v>
      </c>
      <c r="X205" s="204">
        <f t="shared" si="116"/>
        <v>1</v>
      </c>
      <c r="Y205" s="204">
        <f t="shared" si="117"/>
        <v>4.6399999999999997E-2</v>
      </c>
      <c r="Z205" s="204">
        <f t="shared" si="118"/>
        <v>2.3346</v>
      </c>
      <c r="AA205" s="204">
        <f t="shared" ref="AA205:AA226" si="125">ABS(Z205-Y205)</f>
        <v>2.2881999999999998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6" si="126">VALUE(LEFT(A205,LEN(A205)-3))</f>
        <v>307</v>
      </c>
      <c r="AE205" s="77" t="str">
        <f t="shared" ref="AE205:AE226" si="12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 &amp; aws s3 cp s3://rtdc.mdm.uploadarchive.raw/RTDC4040/ "%USERPROFILE%\AppData\Local\Temp\OnboardLogs"\RTDC4040\2017-09-25 --exclude "*" --recursive --include "*20170925*" &amp; "%USERPROFILE%\Documents\GitHub\mrs-test-scripts\Headless Mode &amp; Sideloading\WalkAndUnGZ.bat" "%USERPROFILE%\AppData\Local\Temp\OnboardLogs"\RTDC4040\2017-09-25</v>
      </c>
      <c r="AF205" s="74" t="str">
        <f t="shared" ref="AF205:AF226" si="12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/stypes="app*4040*20170924*" /stext=" 07:.+((SYSTEM_STATE.+slice.+state.+changed )|(ment ac)|(multiple cpu faults)|(system.+state.+changed )|(\[timeout)|(PRM\|1\|D)|(kpr)|(kdp)|(train st.+moving)|(\|lc)|(penalty))"</v>
      </c>
      <c r="AG205" s="182" t="str">
        <f t="shared" ref="AG205:AG226" si="129">DetSubdiv(A205)</f>
        <v>Other</v>
      </c>
      <c r="AH205" s="78" t="str">
        <f t="shared" si="86"/>
        <v>"%USERPROFILE%\Documents\GitHub\eaglep3\Utilities\RefineRTDCRunTimes.py" --tripid 307-23 --locoid 4040 --swversion DE.1.0.9.0 --startMP 204:464 --initTime 2017-09-24T01:09:23 --startdatetime 2017-09-24T01:11:03 --delay 48 --endMP 300:23346 --enddatetime 2017-09-24T01:24:00 --enforcementcount 0 &gt;&gt;c:\users\stu\Documents\GitHub\eaglep3-reporting\EC\2017-09-23-refined-times.txt</v>
      </c>
      <c r="AI205" s="96" t="str">
        <f t="shared" si="87"/>
        <v>echo {"issue":{"subject":"","project_id":79,"tracker_id":40,"status_id":1,"priority_id":2,"assigned_to_id":338,"start_date":"2017-09-24","description":"","custom_fields":[{"id":1,"name":"Subdivision","value":"Other"},{"id":4,"name":"Milepost","value":"2.3346"},{"id":17,"name":"Train ID","value":"307-23"},{"id":16,"name":"Locomotive ID","value":"4040"},{"id":130,"name":"Impact","value":""},{"id":150,"name":"Time of Event (Mountain Time)","value":"01:24:00"},{"id":151,"name":"Denver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88"/>
        <v>start /low /b %USERPROFILE%\Documents\GitHub\eaglep3\Utilities\DownloadLogsFromS3.py --loco 4040 --day 2017-09-24</v>
      </c>
      <c r="AN205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0"/>
        <v>https://d0f6bd738d7f1b3e5a7ca70fe4ff75f0.us-east-1.aws.found.io/app/kibana#/discover/Steve-Slow-Train-Analysis-(2080s-and-2083s)?_g=(refreshInterval:(display:Off,pause:!f,section:0,value:0),time:(from:'2017-09-24T00:09:23-0600',mode:absolute,to:'2017-09-24T02:24:00-0600'))&amp;_a=(columns:!('Message%20ID',Summary),filters:!(),index:'emp_*',interval:auto,query:(query_string:(analyze_wildcard:!t,query:'Message%5C+ID:(*)+AND+%22rtdc.l.rtdc.4040%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636</v>
      </c>
      <c r="B206" s="7">
        <v>4023</v>
      </c>
      <c r="C206" s="21" t="s">
        <v>196</v>
      </c>
      <c r="D206" s="21" t="s">
        <v>961</v>
      </c>
      <c r="E206" s="13">
        <v>43001.181273148148</v>
      </c>
      <c r="F206" s="13">
        <v>43001.183692129627</v>
      </c>
      <c r="G206" s="7">
        <v>66</v>
      </c>
      <c r="H206" s="21" t="s">
        <v>363</v>
      </c>
      <c r="I206" s="13">
        <v>43001.191886574074</v>
      </c>
      <c r="J206" s="7">
        <v>0</v>
      </c>
      <c r="K206" s="89" t="str">
        <f t="shared" si="121"/>
        <v>4023/4024</v>
      </c>
      <c r="L206" s="185" t="str">
        <f>VLOOKUP(A206,'Trips&amp;Operators'!$C$1:$G$99911,5,FALSE)</f>
        <v>HUFFSMITH MONTY</v>
      </c>
      <c r="M206" s="6">
        <f t="shared" si="122"/>
        <v>8.1944444464170374E-3</v>
      </c>
      <c r="N206" s="7">
        <f t="shared" si="119"/>
        <v>11.800000002840534</v>
      </c>
      <c r="O206" s="7"/>
      <c r="P206" s="7"/>
      <c r="Q206" s="22"/>
      <c r="R206" s="174"/>
      <c r="S206" s="221">
        <f t="shared" si="120"/>
        <v>1</v>
      </c>
      <c r="T206" s="174" t="str">
        <f t="shared" si="123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24"/>
        <v>https://d0f6bd738d7f1b3e5a7ca70fe4ff75f0.us-east-1.aws.found.io/app/kibana#/discover/Steve-Slow-Train-Analysis-(2080s-and-2083s)?_g=(refreshInterval:(display:Off,pause:!f,section:0,value:0),time:(from:'2017-09-23T03:21:02-0600',mode:absolute,to:'2017-09-23T05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204" t="str">
        <f>IF(AA206&lt;VLOOKUP(AG206,Variables!$AC$3:$AD$8,2,FALSE),"Y","N")</f>
        <v>Y</v>
      </c>
      <c r="X206" s="204">
        <f t="shared" si="116"/>
        <v>1</v>
      </c>
      <c r="Y206" s="204">
        <f t="shared" si="117"/>
        <v>2.3386999999999998</v>
      </c>
      <c r="Z206" s="204">
        <f t="shared" si="118"/>
        <v>1.38E-2</v>
      </c>
      <c r="AA206" s="204">
        <f t="shared" si="125"/>
        <v>2.3249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26"/>
        <v>308</v>
      </c>
      <c r="AE206" s="77" t="str">
        <f t="shared" si="127"/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AF206" s="74" t="str">
        <f t="shared" si="128"/>
        <v>"C:\Program Files (x86)\AstroGrep\AstroGrep.exe" /e /r /s /spath="%USERPROFILE%\AppData\Local\Temp\OnboardLogs" /stypes="app*4023*20170923*" /stext=" 10:.+((SYSTEM_STATE.+slice.+state.+changed )|(ment ac)|(multiple cpu faults)|(system.+state.+changed )|(\[timeout)|(PRM\|1\|D)|(kpr)|(kdp)|(train st.+moving)|(\|lc)|(penalty))"</v>
      </c>
      <c r="AG206" s="182" t="str">
        <f t="shared" si="129"/>
        <v>Other</v>
      </c>
      <c r="AH206" s="78" t="str">
        <f t="shared" si="86"/>
        <v>"%USERPROFILE%\Documents\GitHub\eaglep3\Utilities\RefineRTDCRunTimes.py" --tripid 308-23 --locoid 4023 --swversion DE.1.0.9.0 --startMP 300:23387 --initTime 2017-09-23T04:21:02 --startdatetime 2017-09-23T04:24:31 --delay 66 --endMP 204:138 --enddatetime 2017-09-23T04:36:19 --enforcementcount 0 &gt;&gt;c:\users\stu\Documents\GitHub\eaglep3-reporting\EC\2017-09-23-refined-times.txt</v>
      </c>
      <c r="AI206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{"issue":{"subject":"","project_id":79,"tracker_id":40,"status_id":1,"priority_id":2,"assigned_to_id":338,"start_date":"2017-09-23","description":"","custom_fields":[{"id":1,"name":"Subdivision","value":"Other"},{"id":4,"name":"Milepost","value":"0.0138"},{"id":17,"name":"Train ID","value":"308-23"},{"id":16,"name":"Locomotive ID","value":"4023"},{"id":130,"name":"Impact","value":""},{"id":150,"name":"Time of Event (Mountain Time)","value":"04:36:19"},{"id":151,"name":"Denver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88"/>
        <v>start /low /b %USERPROFILE%\Documents\GitHub\eaglep3\Utilities\DownloadLogsFromS3.py --loco 4023 --day 2017-09-23</v>
      </c>
      <c r="AN206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0"/>
        <v>https://d0f6bd738d7f1b3e5a7ca70fe4ff75f0.us-east-1.aws.found.io/app/kibana#/discover/Steve-Slow-Train-Analysis-(2080s-and-2083s)?_g=(refreshInterval:(display:Off,pause:!f,section:0,value:0),time:(from:'2017-09-23T03:21:02-0600',mode:absolute,to:'2017-09-23T05:36:19-0600'))&amp;_a=(columns:!('Message%20ID',Summary),filters:!(),index:'emp_*',interval:auto,query:(query_string:(analyze_wildcard:!t,query:'Message%5C+ID:(*)+AND+%22rtdc.l.rtdc.4023%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814</v>
      </c>
      <c r="B207" s="7">
        <v>4058</v>
      </c>
      <c r="C207" s="21" t="s">
        <v>196</v>
      </c>
      <c r="D207" s="21" t="s">
        <v>962</v>
      </c>
      <c r="E207" s="13">
        <v>43002.066423611112</v>
      </c>
      <c r="F207" s="13">
        <v>43002.068020833336</v>
      </c>
      <c r="G207" s="7">
        <v>50</v>
      </c>
      <c r="H207" s="21" t="s">
        <v>510</v>
      </c>
      <c r="I207" s="13">
        <v>43002.077060185184</v>
      </c>
      <c r="J207" s="7">
        <v>0</v>
      </c>
      <c r="K207" s="89" t="str">
        <f t="shared" si="121"/>
        <v>4057/4058</v>
      </c>
      <c r="L207" s="185" t="str">
        <f>VLOOKUP(A207,'Trips&amp;Operators'!$C$1:$G$99911,5,FALSE)</f>
        <v>ELBAUM MIKE</v>
      </c>
      <c r="M207" s="6">
        <f t="shared" si="122"/>
        <v>9.0393518476048484E-3</v>
      </c>
      <c r="N207" s="7">
        <f t="shared" si="119"/>
        <v>13.016666660550982</v>
      </c>
      <c r="O207" s="7"/>
      <c r="P207" s="7"/>
      <c r="Q207" s="22"/>
      <c r="R207" s="174"/>
      <c r="S207" s="221">
        <f t="shared" si="120"/>
        <v>1</v>
      </c>
      <c r="T207" s="174" t="str">
        <f t="shared" si="123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24"/>
        <v>https://d0f6bd738d7f1b3e5a7ca70fe4ff75f0.us-east-1.aws.found.io/app/kibana#/discover/Steve-Slow-Train-Analysis-(2080s-and-2083s)?_g=(refreshInterval:(display:Off,pause:!f,section:0,value:0),time:(from:'2017-09-24T00:35:39-0600',mode:absolute,to:'2017-09-24T02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7" s="204" t="str">
        <f>IF(AA207&lt;VLOOKUP(AG207,Variables!$AC$3:$AD$8,2,FALSE),"Y","N")</f>
        <v>Y</v>
      </c>
      <c r="X207" s="204">
        <f t="shared" si="116"/>
        <v>1</v>
      </c>
      <c r="Y207" s="204">
        <f t="shared" si="117"/>
        <v>5.0799999999999998E-2</v>
      </c>
      <c r="Z207" s="204">
        <f t="shared" si="118"/>
        <v>2.3300999999999998</v>
      </c>
      <c r="AA207" s="204">
        <f t="shared" si="125"/>
        <v>2.2792999999999997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26"/>
        <v>309</v>
      </c>
      <c r="AE207" s="77" t="str">
        <f t="shared" si="127"/>
        <v>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 &amp; aws s3 cp s3://rtdc.mdm.uploadarchive.raw/RTDC4058/ "%USERPROFILE%\AppData\Local\Temp\OnboardLogs"\RTDC4058\2017-09-25 --exclude "*" --recursive --include "*20170925*" &amp; "%USERPROFILE%\Documents\GitHub\mrs-test-scripts\Headless Mode &amp; Sideloading\WalkAndUnGZ.bat" "%USERPROFILE%\AppData\Local\Temp\OnboardLogs"\RTDC4058\2017-09-25</v>
      </c>
      <c r="AF207" s="74" t="str">
        <f t="shared" si="128"/>
        <v>"C:\Program Files (x86)\AstroGrep\AstroGrep.exe" /e /r /s /spath="%USERPROFILE%\AppData\Local\Temp\OnboardLogs" /stypes="app*4058*20170924*" /stext=" 07:.+((SYSTEM_STATE.+slice.+state.+changed )|(ment ac)|(multiple cpu faults)|(system.+state.+changed )|(\[timeout)|(PRM\|1\|D)|(kpr)|(kdp)|(train st.+moving)|(\|lc)|(penalty))"</v>
      </c>
      <c r="AG207" s="182" t="str">
        <f t="shared" si="129"/>
        <v>Other</v>
      </c>
      <c r="AH207" s="78" t="str">
        <f t="shared" si="86"/>
        <v>"%USERPROFILE%\Documents\GitHub\eaglep3\Utilities\RefineRTDCRunTimes.py" --tripid 309-23 --locoid 4058 --swversion DE.1.0.9.0 --startMP 204:508 --initTime 2017-09-24T01:35:39 --startdatetime 2017-09-24T01:37:57 --delay 50 --endMP 300:23301 --enddatetime 2017-09-24T01:50:58 --enforcementcount 0 &gt;&gt;c:\users\stu\Documents\GitHub\eaglep3-reporting\EC\2017-09-23-refined-times.txt</v>
      </c>
      <c r="AI207" s="96" t="str">
        <f t="shared" si="87"/>
        <v>echo {"issue":{"subject":"","project_id":79,"tracker_id":40,"status_id":1,"priority_id":2,"assigned_to_id":338,"start_date":"2017-09-24","description":"","custom_fields":[{"id":1,"name":"Subdivision","value":"Other"},{"id":4,"name":"Milepost","value":"2.3301"},{"id":17,"name":"Train ID","value":"309-23"},{"id":16,"name":"Locomotive ID","value":"4058"},{"id":130,"name":"Impact","value":""},{"id":150,"name":"Time of Event (Mountain Time)","value":"01:50:58"},{"id":151,"name":"Denver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8"/>
        <v>start /low /b %USERPROFILE%\Documents\GitHub\eaglep3\Utilities\DownloadLogsFromS3.py --loco 4058 --day 2017-09-24</v>
      </c>
      <c r="AN207" s="151" t="str">
        <f t="shared" si="89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07:50:58"},{"id":29,"name":"Sharepoint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0"/>
        <v>https://d0f6bd738d7f1b3e5a7ca70fe4ff75f0.us-east-1.aws.found.io/app/kibana#/discover/Steve-Slow-Train-Analysis-(2080s-and-2083s)?_g=(refreshInterval:(display:Off,pause:!f,section:0,value:0),time:(from:'2017-09-24T00:35:39-0600',mode:absolute,to:'2017-09-24T02:50:58-0600'))&amp;_a=(columns:!('Message%20ID',Summary),filters:!(),index:'emp_*',interval:auto,query:(query_string:(analyze_wildcard:!t,query:'Message%5C+ID:(*)+AND+%22rtdc.l.rtdc.4058%22')),sort:!(Time.ISO8601,asc))</v>
      </c>
    </row>
    <row r="208" spans="1:91" x14ac:dyDescent="0.25">
      <c r="A208" s="32" t="s">
        <v>640</v>
      </c>
      <c r="B208" s="7">
        <v>4001</v>
      </c>
      <c r="C208" s="21" t="s">
        <v>196</v>
      </c>
      <c r="D208" s="21" t="s">
        <v>963</v>
      </c>
      <c r="E208" s="13">
        <v>43001.196944444448</v>
      </c>
      <c r="F208" s="13">
        <v>43001.200092592589</v>
      </c>
      <c r="G208" s="7">
        <v>86</v>
      </c>
      <c r="H208" s="21" t="s">
        <v>403</v>
      </c>
      <c r="I208" s="13">
        <v>43001.206064814818</v>
      </c>
      <c r="J208" s="7">
        <v>0</v>
      </c>
      <c r="K208" s="89" t="str">
        <f t="shared" si="121"/>
        <v>4001/4002</v>
      </c>
      <c r="L208" s="185" t="str">
        <f>VLOOKUP(A208,'Trips&amp;Operators'!$C$1:$G$99911,5,FALSE)</f>
        <v>MACDONALD THOMAS</v>
      </c>
      <c r="M208" s="6">
        <f t="shared" si="122"/>
        <v>5.9722222285927273E-3</v>
      </c>
      <c r="N208" s="7">
        <f t="shared" si="119"/>
        <v>8.6000000091735274</v>
      </c>
      <c r="O208" s="7"/>
      <c r="P208" s="7"/>
      <c r="Q208" s="22"/>
      <c r="R208" s="174"/>
      <c r="S208" s="221">
        <f t="shared" si="120"/>
        <v>1</v>
      </c>
      <c r="T208" s="174" t="str">
        <f t="shared" si="123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24"/>
        <v>https://d0f6bd738d7f1b3e5a7ca70fe4ff75f0.us-east-1.aws.found.io/app/kibana#/discover/Steve-Slow-Train-Analysis-(2080s-and-2083s)?_g=(refreshInterval:(display:Off,pause:!f,section:0,value:0),time:(from:'2017-09-23T03:43:36-0600',mode:absolute,to:'2017-09-23T05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8" s="204" t="str">
        <f>IF(AA208&lt;VLOOKUP(AG208,Variables!$AC$3:$AD$8,2,FALSE),"Y","N")</f>
        <v>Y</v>
      </c>
      <c r="X208" s="204">
        <f t="shared" si="116"/>
        <v>1</v>
      </c>
      <c r="Y208" s="204">
        <f t="shared" si="117"/>
        <v>2.3582000000000001</v>
      </c>
      <c r="Z208" s="204">
        <f t="shared" si="118"/>
        <v>1.54E-2</v>
      </c>
      <c r="AA208" s="204">
        <f t="shared" si="125"/>
        <v>2.3428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26"/>
        <v>310</v>
      </c>
      <c r="AE208" s="77" t="str">
        <f t="shared" si="127"/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AF208" s="74" t="str">
        <f t="shared" si="128"/>
        <v>"C:\Program Files (x86)\AstroGrep\AstroGrep.exe" /e /r /s /spath="%USERPROFILE%\AppData\Local\Temp\OnboardLogs" /stypes="app*4001*20170923*" /stext=" 10:.+((SYSTEM_STATE.+slice.+state.+changed )|(ment ac)|(multiple cpu faults)|(system.+state.+changed )|(\[timeout)|(PRM\|1\|D)|(kpr)|(kdp)|(train st.+moving)|(\|lc)|(penalty))"</v>
      </c>
      <c r="AG208" s="182" t="str">
        <f t="shared" si="129"/>
        <v>Other</v>
      </c>
      <c r="AH208" s="78" t="str">
        <f t="shared" si="86"/>
        <v>"%USERPROFILE%\Documents\GitHub\eaglep3\Utilities\RefineRTDCRunTimes.py" --tripid 310-23 --locoid 4001 --swversion DE.1.0.9.0 --startMP 300:23582 --initTime 2017-09-23T04:43:36 --startdatetime 2017-09-23T04:48:08 --delay 86 --endMP 204:154 --enddatetime 2017-09-23T04:56:44 --enforcementcount 0 &gt;&gt;c:\users\stu\Documents\GitHub\eaglep3-reporting\EC\2017-09-23-refined-times.txt</v>
      </c>
      <c r="AI208" s="96" t="str">
        <f t="shared" si="87"/>
        <v>echo {"issue":{"subject":"","project_id":79,"tracker_id":40,"status_id":1,"priority_id":2,"assigned_to_id":338,"start_date":"2017-09-23","description":"","custom_fields":[{"id":1,"name":"Subdivision","value":"Other"},{"id":4,"name":"Milepost","value":"0.0154"},{"id":17,"name":"Train ID","value":"310-23"},{"id":16,"name":"Locomotive ID","value":"4001"},{"id":130,"name":"Impact","value":""},{"id":150,"name":"Time of Event (Mountain Time)","value":"04:56:44"},{"id":151,"name":"Denver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8"/>
        <v>start /low /b %USERPROFILE%\Documents\GitHub\eaglep3\Utilities\DownloadLogsFromS3.py --loco 4001 --day 2017-09-23</v>
      </c>
      <c r="AN208" s="151" t="str">
        <f t="shared" si="89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10:56:44"},{"id":29,"name":"Sharepoint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0"/>
        <v>https://d0f6bd738d7f1b3e5a7ca70fe4ff75f0.us-east-1.aws.found.io/app/kibana#/discover/Steve-Slow-Train-Analysis-(2080s-and-2083s)?_g=(refreshInterval:(display:Off,pause:!f,section:0,value:0),time:(from:'2017-09-23T03:43:36-0600',mode:absolute,to:'2017-09-23T05:56:44-0600'))&amp;_a=(columns:!('Message%20ID',Summary),filters:!(),index:'emp_*',interval:auto,query:(query_string:(analyze_wildcard:!t,query:'Message%5C+ID:(*)+AND+%22rtdc.l.rtdc.4001%22')),sort:!(Time.ISO8601,asc))</v>
      </c>
    </row>
    <row r="209" spans="1:91" s="20" customFormat="1" x14ac:dyDescent="0.25">
      <c r="A209" s="32" t="s">
        <v>816</v>
      </c>
      <c r="B209" s="7">
        <v>4026</v>
      </c>
      <c r="C209" s="21" t="s">
        <v>196</v>
      </c>
      <c r="D209" s="21" t="s">
        <v>358</v>
      </c>
      <c r="E209" s="13">
        <v>43002.088703703703</v>
      </c>
      <c r="F209" s="13">
        <v>43002.090555555558</v>
      </c>
      <c r="G209" s="7">
        <v>72</v>
      </c>
      <c r="H209" s="21" t="s">
        <v>510</v>
      </c>
      <c r="I209" s="13">
        <v>25568.708333333332</v>
      </c>
      <c r="J209" s="7">
        <v>0</v>
      </c>
      <c r="K209" s="89" t="str">
        <f t="shared" si="121"/>
        <v>4025/4026</v>
      </c>
      <c r="L209" s="185" t="str">
        <f>VLOOKUP(A209,'Trips&amp;Operators'!$C$1:$G$99911,5,FALSE)</f>
        <v>PERKINS DARREN</v>
      </c>
      <c r="M209" s="6">
        <f t="shared" si="122"/>
        <v>-17433.382222222226</v>
      </c>
      <c r="N209" s="7">
        <f t="shared" si="119"/>
        <v>-25104070.400000006</v>
      </c>
      <c r="O209" s="7"/>
      <c r="P209" s="7"/>
      <c r="Q209" s="22"/>
      <c r="R209" s="174"/>
      <c r="S209" s="221">
        <f t="shared" si="120"/>
        <v>1</v>
      </c>
      <c r="T209" s="174" t="str">
        <f t="shared" si="123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24"/>
        <v>https://d0f6bd738d7f1b3e5a7ca70fe4ff75f0.us-east-1.aws.found.io/app/kibana#/discover/Steve-Slow-Train-Analysis-(2080s-and-2083s)?_g=(refreshInterval:(display:Off,pause:!f,section:0,value:0),time:(from:'2017-09-24T01:07:44-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204" t="str">
        <f>IF(AA209&lt;VLOOKUP(AG209,Variables!$AC$3:$AD$8,2,FALSE),"Y","N")</f>
        <v>Y</v>
      </c>
      <c r="X209" s="204">
        <f t="shared" si="116"/>
        <v>1</v>
      </c>
      <c r="Y209" s="204">
        <f t="shared" si="117"/>
        <v>4.4900000000000002E-2</v>
      </c>
      <c r="Z209" s="204">
        <f t="shared" si="118"/>
        <v>2.3300999999999998</v>
      </c>
      <c r="AA209" s="204">
        <f t="shared" si="125"/>
        <v>2.2851999999999997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26"/>
        <v>311</v>
      </c>
      <c r="AE209" s="77" t="str">
        <f t="shared" si="127"/>
        <v>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 &amp; aws s3 cp s3://rtdc.mdm.uploadarchive.raw/RTDC4026/ "%USERPROFILE%\AppData\Local\Temp\OnboardLogs"\RTDC4026\2017-09-25 --exclude "*" --recursive --include "*20170925*" &amp; "%USERPROFILE%\Documents\GitHub\mrs-test-scripts\Headless Mode &amp; Sideloading\WalkAndUnGZ.bat" "%USERPROFILE%\AppData\Local\Temp\OnboardLogs"\RTDC4026\2017-09-25</v>
      </c>
      <c r="AF209" s="74" t="str">
        <f t="shared" si="128"/>
        <v>"C:\Program Files (x86)\AstroGrep\AstroGrep.exe" /e /r /s /spath="%USERPROFILE%\AppData\Local\Temp\OnboardLogs" /stypes="app*4026*19691231*" /stext=" 23:.+((SYSTEM_STATE.+slice.+state.+changed )|(ment ac)|(multiple cpu faults)|(system.+state.+changed )|(\[timeout)|(PRM\|1\|D)|(kpr)|(kdp)|(train st.+moving)|(\|lc)|(penalty))"</v>
      </c>
      <c r="AG209" s="182" t="str">
        <f t="shared" si="129"/>
        <v>Other</v>
      </c>
      <c r="AH209" s="78" t="str">
        <f t="shared" si="86"/>
        <v>"%USERPROFILE%\Documents\GitHub\eaglep3\Utilities\RefineRTDCRunTimes.py" --tripid 311-23 --locoid 4026 --swversion DE.1.0.9.0 --startMP 204:449 --initTime 2017-09-24T02:07:44 --startdatetime 2017-09-24T02:10:24 --delay 72 --endMP 300:23301 --enddatetime 1969-12-31T17:00:00 --enforcementcount 0 &gt;&gt;c:\users\stu\Documents\GitHub\eaglep3-reporting\EC\2017-09-23-refined-times.txt</v>
      </c>
      <c r="AI209" s="96" t="str">
        <f t="shared" si="87"/>
        <v>echo {"issue":{"subject":"","project_id":79,"tracker_id":40,"status_id":1,"priority_id":2,"assigned_to_id":338,"start_date":"1969-12-31","description":"","custom_fields":[{"id":1,"name":"Subdivision","value":"Other"},{"id":4,"name":"Milepost","value":"2.3301"},{"id":17,"name":"Train ID","value":"311-23"},{"id":16,"name":"Locomotive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88"/>
        <v>start /low /b %USERPROFILE%\Documents\GitHub\eaglep3\Utilities\DownloadLogsFromS3.py --loco 4026 --day 2017-09-24</v>
      </c>
      <c r="AN209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0"/>
        <v>https://d0f6bd738d7f1b3e5a7ca70fe4ff75f0.us-east-1.aws.found.io/app/kibana#/discover/Steve-Slow-Train-Analysis-(2080s-and-2083s)?_g=(refreshInterval:(display:Off,pause:!f,section:0,value:0),time:(from:'2017-09-24T01:07:44-0600',mode:absolute,to:'1969-12-31T18:00:00-0600'))&amp;_a=(columns:!('Message%20ID',Summary),filters:!(),index:'emp_*',interval:auto,query:(query_string:(analyze_wildcard:!t,query:'Message%5C+ID:(*)+AND+%22rtdc.l.rtdc.4026%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647</v>
      </c>
      <c r="B210" s="7">
        <v>4025</v>
      </c>
      <c r="C210" s="21" t="s">
        <v>196</v>
      </c>
      <c r="D210" s="21" t="s">
        <v>964</v>
      </c>
      <c r="E210" s="13">
        <v>43001.22247685185</v>
      </c>
      <c r="F210" s="13">
        <v>25568.708333333332</v>
      </c>
      <c r="G210" s="7">
        <v>88</v>
      </c>
      <c r="H210" s="21" t="s">
        <v>965</v>
      </c>
      <c r="I210" s="13">
        <v>25568.708333333332</v>
      </c>
      <c r="J210" s="7">
        <v>0</v>
      </c>
      <c r="K210" s="89" t="str">
        <f t="shared" si="121"/>
        <v>4025/4026</v>
      </c>
      <c r="L210" s="185" t="str">
        <f>VLOOKUP(A210,'Trips&amp;Operators'!$C$1:$G$99911,5,FALSE)</f>
        <v>WILLIAMS DONTE</v>
      </c>
      <c r="M210" s="6">
        <f t="shared" si="122"/>
        <v>0</v>
      </c>
      <c r="N210" s="7">
        <f t="shared" si="119"/>
        <v>0</v>
      </c>
      <c r="O210" s="7"/>
      <c r="P210" s="7"/>
      <c r="Q210" s="22"/>
      <c r="R210" s="174"/>
      <c r="S210" s="221">
        <f t="shared" si="120"/>
        <v>1</v>
      </c>
      <c r="T210" s="174" t="str">
        <f t="shared" si="123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24"/>
        <v>https://d0f6bd738d7f1b3e5a7ca70fe4ff75f0.us-east-1.aws.found.io/app/kibana#/discover/Steve-Slow-Train-Analysis-(2080s-and-2083s)?_g=(refreshInterval:(display:Off,pause:!f,section:0,value:0),time:(from:'2017-09-23T04:20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0" s="204" t="str">
        <f>IF(AA210&lt;VLOOKUP(AG210,Variables!$AC$3:$AD$8,2,FALSE),"Y","N")</f>
        <v>Y</v>
      </c>
      <c r="X210" s="204">
        <f t="shared" si="116"/>
        <v>1</v>
      </c>
      <c r="Y210" s="204">
        <f t="shared" si="117"/>
        <v>2.3610000000000002</v>
      </c>
      <c r="Z210" s="204">
        <f t="shared" si="118"/>
        <v>9.35E-2</v>
      </c>
      <c r="AA210" s="204">
        <f t="shared" si="125"/>
        <v>2.2675000000000001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26"/>
        <v>312</v>
      </c>
      <c r="AE210" s="77" t="str">
        <f t="shared" si="12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0" s="74" t="str">
        <f t="shared" si="128"/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)|(\[timeout)|(PRM\|1\|D)|(kpr)|(kdp)|(train st.+moving)|(\|lc)|(penalty))"</v>
      </c>
      <c r="AG210" s="182" t="str">
        <f t="shared" si="129"/>
        <v>Other</v>
      </c>
      <c r="AH210" s="78" t="str">
        <f t="shared" si="86"/>
        <v>"%USERPROFILE%\Documents\GitHub\eaglep3\Utilities\RefineRTDCRunTimes.py" --tripid 312-23 --locoid 4025 --swversion DE.1.0.9.0 --startMP 300:23610 --initTime 2017-09-23T05:20:22 --startdatetime 1969-12-31T17:00:00 --delay 88 --endMP 204:935 --enddatetime 1969-12-31T17:00:00 --enforcementcount 0 &gt;&gt;c:\users\stu\Documents\GitHub\eaglep3-reporting\EC\2017-09-23-refined-times.txt</v>
      </c>
      <c r="AI210" s="96" t="str">
        <f t="shared" si="87"/>
        <v>echo {"issue":{"subject":"","project_id":79,"tracker_id":40,"status_id":1,"priority_id":2,"assigned_to_id":338,"start_date":"1969-12-31","description":"","custom_fields":[{"id":1,"name":"Subdivision","value":"Other"},{"id":4,"name":"Milepost","value":"0.0935"},{"id":17,"name":"Train ID","value":"312-23"},{"id":16,"name":"Locomotive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88"/>
        <v>start /low /b %USERPROFILE%\Documents\GitHub\eaglep3\Utilities\DownloadLogsFromS3.py --loco 4025 --day 1969-12-31</v>
      </c>
      <c r="AN210" s="151" t="str">
        <f t="shared" si="8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0"/>
        <v>https://d0f6bd738d7f1b3e5a7ca70fe4ff75f0.us-east-1.aws.found.io/app/kibana#/discover/Steve-Slow-Train-Analysis-(2080s-and-2083s)?_g=(refreshInterval:(display:Off,pause:!f,section:0,value:0),time:(from:'2017-09-23T04:20:22-0600',mode:absolute,to:'1969-12-31T18:00:00-0600'))&amp;_a=(columns:!('Message%20ID',Summary),filters:!(),index:'emp_*',interval:auto,query:(query_string:(analyze_wildcard:!t,query:'Message%5C+ID:(*)+AND+%22rtdc.l.rtdc.4025%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647</v>
      </c>
      <c r="B211" s="7">
        <v>4025</v>
      </c>
      <c r="C211" s="21" t="s">
        <v>196</v>
      </c>
      <c r="D211" s="21" t="s">
        <v>966</v>
      </c>
      <c r="E211" s="13">
        <v>43001.249502314815</v>
      </c>
      <c r="F211" s="13">
        <v>25568.708333333332</v>
      </c>
      <c r="G211" s="7">
        <v>40</v>
      </c>
      <c r="H211" s="21" t="s">
        <v>363</v>
      </c>
      <c r="I211" s="13">
        <v>25568.708333333332</v>
      </c>
      <c r="J211" s="7">
        <v>0</v>
      </c>
      <c r="K211" s="89" t="str">
        <f t="shared" si="121"/>
        <v>4025/4026</v>
      </c>
      <c r="L211" s="185" t="str">
        <f>VLOOKUP(A211,'Trips&amp;Operators'!$C$1:$G$99911,5,FALSE)</f>
        <v>WILLIAMS DONTE</v>
      </c>
      <c r="M211" s="6">
        <f t="shared" si="122"/>
        <v>0</v>
      </c>
      <c r="N211" s="7">
        <f t="shared" si="119"/>
        <v>0</v>
      </c>
      <c r="O211" s="7"/>
      <c r="P211" s="7"/>
      <c r="Q211" s="22"/>
      <c r="R211" s="174"/>
      <c r="S211" s="221">
        <f t="shared" si="120"/>
        <v>0</v>
      </c>
      <c r="T211" s="174" t="str">
        <f t="shared" si="123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124"/>
        <v>https://d0f6bd738d7f1b3e5a7ca70fe4ff75f0.us-east-1.aws.found.io/app/kibana#/discover/Steve-Slow-Train-Analysis-(2080s-and-2083s)?_g=(refreshInterval:(display:Off,pause:!f,section:0,value:0),time:(from:'2017-09-23T04:59:17-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1" s="204" t="str">
        <f>IF(AA211&lt;VLOOKUP(AG211,Variables!$AC$3:$AD$8,2,FALSE),"Y","N")</f>
        <v>Y</v>
      </c>
      <c r="X211" s="204">
        <f t="shared" si="116"/>
        <v>0</v>
      </c>
      <c r="Y211" s="204">
        <f t="shared" si="117"/>
        <v>0.29959999999999998</v>
      </c>
      <c r="Z211" s="204">
        <f t="shared" si="118"/>
        <v>1.38E-2</v>
      </c>
      <c r="AA211" s="204">
        <f t="shared" si="125"/>
        <v>0.2858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26"/>
        <v>312</v>
      </c>
      <c r="AE211" s="77" t="str">
        <f t="shared" si="12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1" s="74" t="str">
        <f t="shared" si="128"/>
        <v>"C:\Program Files (x86)\AstroGrep\AstroGrep.exe" /e /r /s /spath="%USERPROFILE%\AppData\Local\Temp\OnboardLogs" /stypes="app*4025*19691231*" /stext=" 23:.+((SYSTEM_STATE.+slice.+state.+changed )|(ment ac)|(multiple cpu faults)|(system.+state.+changed )|(\[timeout)|(PRM\|1\|D)|(kpr)|(kdp)|(train st.+moving)|(\|lc)|(penalty))"</v>
      </c>
      <c r="AG211" s="182" t="str">
        <f t="shared" si="129"/>
        <v>Other</v>
      </c>
      <c r="AH211" s="78" t="str">
        <f t="shared" ref="AH211:AH226" si="130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312-23 --locoid 4025 --swversion DE.1.0.9.0 --startMP 204:2996 --initTime 2017-09-23T05:59:17 --startdatetime 1969-12-31T17:00:00 --delay 40 --endMP 204:138 --enddatetime 1969-12-31T17:00:00 --enforcementcount 0 &gt;&gt;c:\users\stu\Documents\GitHub\eaglep3-reporting\EC\2017-09-23-refined-times.txt</v>
      </c>
      <c r="AI211" s="96" t="str">
        <f t="shared" ref="AI211:AI226" si="131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{"issue":{"subject":"","project_id":79,"tracker_id":40,"status_id":1,"priority_id":2,"assigned_to_id":338,"start_date":"1969-12-31","description":"","custom_fields":[{"id":1,"name":"Subdivision","value":"Other"},{"id":4,"name":"Milepost","value":"0.0138"},{"id":17,"name":"Train ID","value":"312-23"},{"id":16,"name":"Locomotive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ref="AM211:AM226" si="132">"start /low /b "&amp;dls3logs&amp;" --loco "&amp;B211&amp;" --day "&amp;TEXT(F211,"YYYY-MM-DD")</f>
        <v>start /low /b %USERPROFILE%\Documents\GitHub\eaglep3\Utilities\DownloadLogsFromS3.py --loco 4025 --day 1969-12-31</v>
      </c>
      <c r="AN211" s="151" t="str">
        <f t="shared" ref="AN211:AN226" si="133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ref="AO211:AO226" si="134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Message%5C+ID:(*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-23T04:59:17-0600',mode:absolute,to:'1969-12-31T18:00:00-0600'))&amp;_a=(columns:!('Message%20ID',Summary),filters:!(),index:'emp_*',interval:auto,query:(query_string:(analyze_wildcard:!t,query:'Message%5C+ID:(*)+AND+%22rtdc.l.rtdc.4025%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623</v>
      </c>
      <c r="B212" s="7">
        <v>4064</v>
      </c>
      <c r="C212" s="21" t="s">
        <v>196</v>
      </c>
      <c r="D212" s="21" t="s">
        <v>387</v>
      </c>
      <c r="E212" s="13">
        <v>43001.1172337963</v>
      </c>
      <c r="F212" s="13">
        <v>43001.120613425926</v>
      </c>
      <c r="G212" s="7">
        <v>46</v>
      </c>
      <c r="H212" s="21" t="s">
        <v>967</v>
      </c>
      <c r="I212" s="13">
        <v>43001.127858796295</v>
      </c>
      <c r="J212" s="7">
        <v>0</v>
      </c>
      <c r="K212" s="89" t="str">
        <f t="shared" si="121"/>
        <v>4063/4064</v>
      </c>
      <c r="L212" s="185" t="str">
        <f>VLOOKUP(A212,'Trips&amp;Operators'!$C$1:$G$99911,5,FALSE)</f>
        <v>HART KEVIN</v>
      </c>
      <c r="M212" s="6">
        <f t="shared" si="122"/>
        <v>7.2453703687642701E-3</v>
      </c>
      <c r="N212" s="7">
        <f t="shared" si="119"/>
        <v>10.433333331020549</v>
      </c>
      <c r="O212" s="7"/>
      <c r="P212" s="7"/>
      <c r="Q212" s="22"/>
      <c r="R212" s="174"/>
      <c r="S212" s="221">
        <f t="shared" si="120"/>
        <v>1</v>
      </c>
      <c r="T212" s="174" t="str">
        <f t="shared" si="123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24"/>
        <v>https://d0f6bd738d7f1b3e5a7ca70fe4ff75f0.us-east-1.aws.found.io/app/kibana#/discover/Steve-Slow-Train-Analysis-(2080s-and-2083s)?_g=(refreshInterval:(display:Off,pause:!f,section:0,value:0),time:(from:'2017-09-23T01:48:49-0600',mode:absolute,to:'2017-09-23T04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2" s="204" t="str">
        <f>IF(AA212&lt;VLOOKUP(AG212,Variables!$AC$3:$AD$8,2,FALSE),"Y","N")</f>
        <v>Y</v>
      </c>
      <c r="X212" s="204">
        <f t="shared" si="116"/>
        <v>1</v>
      </c>
      <c r="Y212" s="204">
        <f t="shared" si="117"/>
        <v>4.3999999999999997E-2</v>
      </c>
      <c r="Z212" s="204">
        <f t="shared" si="118"/>
        <v>2.3302</v>
      </c>
      <c r="AA212" s="204">
        <f t="shared" si="125"/>
        <v>2.2862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26"/>
        <v>313</v>
      </c>
      <c r="AE212" s="77" t="str">
        <f t="shared" si="127"/>
        <v>aws s3 cp s3://rtdc.mdm.uploadarchive.raw/RTDC4064/ "%USERPROFILE%\AppData\Local\Temp\OnboardLogs"\RTDC4064\2017-09-23 --exclude "*" --recursive --include "*20170923*" &amp; "%USERPROFILE%\Documents\GitHub\mrs-test-scripts\Headless Mode &amp; Sideloading\WalkAndUnGZ.bat" "%USERPROFILE%\AppData\Local\Temp\OnboardLogs"\RTDC4064\2017-09-23 &amp; 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</v>
      </c>
      <c r="AF212" s="74" t="str">
        <f t="shared" si="128"/>
        <v>"C:\Program Files (x86)\AstroGrep\AstroGrep.exe" /e /r /s /spath="%USERPROFILE%\AppData\Local\Temp\OnboardLogs" /stypes="app*4064*20170923*" /stext=" 09:.+((SYSTEM_STATE.+slice.+state.+changed )|(ment ac)|(multiple cpu faults)|(system.+state.+changed )|(\[timeout)|(PRM\|1\|D)|(kpr)|(kdp)|(train st.+moving)|(\|lc)|(penalty))"</v>
      </c>
      <c r="AG212" s="182" t="str">
        <f t="shared" si="129"/>
        <v>Other</v>
      </c>
      <c r="AH212" s="78" t="str">
        <f t="shared" si="130"/>
        <v>"%USERPROFILE%\Documents\GitHub\eaglep3\Utilities\RefineRTDCRunTimes.py" --tripid 313-22 --locoid 4064 --swversion DE.1.0.9.0 --startMP 204:440 --initTime 2017-09-23T02:48:49 --startdatetime 2017-09-23T02:53:41 --delay 46 --endMP 300:23302 --enddatetime 2017-09-23T03:04:07 --enforcementcount 0 &gt;&gt;c:\users\stu\Documents\GitHub\eaglep3-reporting\EC\2017-09-23-refined-times.txt</v>
      </c>
      <c r="AI212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{"issue":{"subject":"","project_id":79,"tracker_id":40,"status_id":1,"priority_id":2,"assigned_to_id":338,"start_date":"2017-09-23","description":"","custom_fields":[{"id":1,"name":"Subdivision","value":"Other"},{"id":4,"name":"Milepost","value":"2.3302"},{"id":17,"name":"Train ID","value":"313-22"},{"id":16,"name":"Locomotive ID","value":"4064"},{"id":130,"name":"Impact","value":""},{"id":150,"name":"Time of Event (Mountain Time)","value":"03:04:07"},{"id":151,"name":"Denver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32"/>
        <v>start /low /b %USERPROFILE%\Documents\GitHub\eaglep3\Utilities\DownloadLogsFromS3.py --loco 4064 --day 2017-09-23</v>
      </c>
      <c r="AN212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34"/>
        <v>https://d0f6bd738d7f1b3e5a7ca70fe4ff75f0.us-east-1.aws.found.io/app/kibana#/discover/Steve-Slow-Train-Analysis-(2080s-and-2083s)?_g=(refreshInterval:(display:Off,pause:!f,section:0,value:0),time:(from:'2017-09-23T01:48:49-0600',mode:absolute,to:'2017-09-23T04:04:07-0600'))&amp;_a=(columns:!('Message%20ID',Summary),filters:!(),index:'emp_*',interval:auto,query:(query_string:(analyze_wildcard:!t,query:'Message%5C+ID:(*)+AND+%22rtdc.l.rtdc.4064%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648</v>
      </c>
      <c r="B213" s="7">
        <v>4014</v>
      </c>
      <c r="C213" s="21" t="s">
        <v>196</v>
      </c>
      <c r="D213" s="21" t="s">
        <v>882</v>
      </c>
      <c r="E213" s="13">
        <v>43001.225289351853</v>
      </c>
      <c r="F213" s="13">
        <v>43001.24559027778</v>
      </c>
      <c r="G213" s="7">
        <v>402</v>
      </c>
      <c r="H213" s="21" t="s">
        <v>883</v>
      </c>
      <c r="I213" s="13">
        <v>43001.250868055555</v>
      </c>
      <c r="J213" s="7">
        <v>0</v>
      </c>
      <c r="K213" s="89" t="str">
        <f t="shared" si="121"/>
        <v>4013/4014</v>
      </c>
      <c r="L213" s="185" t="str">
        <f>VLOOKUP(A213,'Trips&amp;Operators'!$C$1:$G$99911,5,FALSE)</f>
        <v>LAMAR NEKESHA</v>
      </c>
      <c r="M213" s="6">
        <f t="shared" si="122"/>
        <v>5.277777774608694E-3</v>
      </c>
      <c r="N213" s="7">
        <f t="shared" si="119"/>
        <v>7.5999999954365194</v>
      </c>
      <c r="O213" s="7"/>
      <c r="P213" s="7"/>
      <c r="Q213" s="22"/>
      <c r="R213" s="174"/>
      <c r="S213" s="221">
        <f t="shared" si="120"/>
        <v>1</v>
      </c>
      <c r="T213" s="174" t="str">
        <f t="shared" si="123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24"/>
        <v>https://d0f6bd738d7f1b3e5a7ca70fe4ff75f0.us-east-1.aws.found.io/app/kibana#/discover/Steve-Slow-Train-Analysis-(2080s-and-2083s)?_g=(refreshInterval:(display:Off,pause:!f,section:0,value:0),time:(from:'2017-09-23T04:24:25-0600',mode:absolute,to:'2017-09-23T07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204" t="str">
        <f>IF(AA213&lt;VLOOKUP(AG213,Variables!$AC$3:$AD$8,2,FALSE),"Y","N")</f>
        <v>Y</v>
      </c>
      <c r="X213" s="204">
        <f t="shared" si="116"/>
        <v>1588</v>
      </c>
      <c r="Y213" s="204">
        <f t="shared" si="117"/>
        <v>9.5000000000000001E-2</v>
      </c>
      <c r="Z213" s="204">
        <f t="shared" si="118"/>
        <v>5.8992000000000004</v>
      </c>
      <c r="AA213" s="204">
        <f t="shared" si="125"/>
        <v>5.8042000000000007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26"/>
        <v>1901</v>
      </c>
      <c r="AE213" s="77" t="str">
        <f t="shared" si="127"/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AF213" s="74" t="str">
        <f t="shared" si="128"/>
        <v>"C:\Program Files (x86)\AstroGrep\AstroGrep.exe" /e /r /s /spath="%USERPROFILE%\AppData\Local\Temp\OnboardLogs" /stypes="app*4014*20170923*" /stext=" 12:.+((SYSTEM_STATE.+slice.+state.+changed )|(ment ac)|(multiple cpu faults)|(system.+state.+changed )|(\[timeout)|(PRM\|1\|D)|(kpr)|(kdp)|(train st.+moving)|(\|lc)|(penalty))"</v>
      </c>
      <c r="AG213" s="182" t="str">
        <f t="shared" si="129"/>
        <v>Other</v>
      </c>
      <c r="AH213" s="78" t="str">
        <f t="shared" si="130"/>
        <v>"%USERPROFILE%\Documents\GitHub\eaglep3\Utilities\RefineRTDCRunTimes.py" --tripid 1901-23 --locoid 4014 --swversion DE.1.0.9.0 --startMP 204:950 --initTime 2017-09-23T05:24:25 --startdatetime 2017-09-23T05:53:39 --delay 402 --endMP 300:58992 --enddatetime 2017-09-23T06:01:15 --enforcementcount 0 &gt;&gt;c:\users\stu\Documents\GitHub\eaglep3-reporting\EC\2017-09-23-refined-times.txt</v>
      </c>
      <c r="AI213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{"issue":{"subject":"","project_id":79,"tracker_id":40,"status_id":1,"priority_id":2,"assigned_to_id":338,"start_date":"2017-09-23","description":"","custom_fields":[{"id":1,"name":"Subdivision","value":"Other"},{"id":4,"name":"Milepost","value":"5.8992"},{"id":17,"name":"Train ID","value":"1901-23"},{"id":16,"name":"Locomotive ID","value":"4014"},{"id":130,"name":"Impact","value":""},{"id":150,"name":"Time of Event (Mountain Time)","value":"06:01:15"},{"id":151,"name":"Denver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32"/>
        <v>start /low /b %USERPROFILE%\Documents\GitHub\eaglep3\Utilities\DownloadLogsFromS3.py --loco 4014 --day 2017-09-23</v>
      </c>
      <c r="AN213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34"/>
        <v>https://d0f6bd738d7f1b3e5a7ca70fe4ff75f0.us-east-1.aws.found.io/app/kibana#/discover/Steve-Slow-Train-Analysis-(2080s-and-2083s)?_g=(refreshInterval:(display:Off,pause:!f,section:0,value:0),time:(from:'2017-09-23T04:24:25-0600',mode:absolute,to:'2017-09-23T07:01:15-0600'))&amp;_a=(columns:!('Message%20ID',Summary),filters:!(),index:'emp_*',interval:auto,query:(query_string:(analyze_wildcard:!t,query:'Message%5C+ID:(*)+AND+%22rtdc.l.rtdc.4014%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648</v>
      </c>
      <c r="B214" s="7">
        <v>4013</v>
      </c>
      <c r="C214" s="21" t="s">
        <v>196</v>
      </c>
      <c r="D214" s="21" t="s">
        <v>930</v>
      </c>
      <c r="E214" s="13">
        <v>43001.242974537039</v>
      </c>
      <c r="F214" s="13">
        <v>43001.24559027778</v>
      </c>
      <c r="G214" s="7">
        <v>88</v>
      </c>
      <c r="H214" s="21" t="s">
        <v>513</v>
      </c>
      <c r="I214" s="13">
        <v>43001.250868055555</v>
      </c>
      <c r="J214" s="7">
        <v>0</v>
      </c>
      <c r="K214" s="89" t="str">
        <f t="shared" si="121"/>
        <v>4013/4014</v>
      </c>
      <c r="L214" s="185" t="str">
        <f>VLOOKUP(A214,'Trips&amp;Operators'!$C$1:$G$99911,5,FALSE)</f>
        <v>LAMAR NEKESHA</v>
      </c>
      <c r="M214" s="6">
        <f t="shared" si="122"/>
        <v>5.277777774608694E-3</v>
      </c>
      <c r="N214" s="7">
        <f t="shared" si="119"/>
        <v>7.5999999954365194</v>
      </c>
      <c r="O214" s="7"/>
      <c r="P214" s="7"/>
      <c r="Q214" s="22"/>
      <c r="R214" s="174"/>
      <c r="S214" s="221">
        <f t="shared" si="120"/>
        <v>0</v>
      </c>
      <c r="T214" s="174" t="str">
        <f t="shared" si="123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24"/>
        <v>https://d0f6bd738d7f1b3e5a7ca70fe4ff75f0.us-east-1.aws.found.io/app/kibana#/discover/Steve-Slow-Train-Analysis-(2080s-and-2083s)?_g=(refreshInterval:(display:Off,pause:!f,section:0,value:0),time:(from:'2017-09-23T04:49:53-0600',mode:absolute,to:'2017-09-23T07:01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204" t="str">
        <f>IF(AA214&lt;VLOOKUP(AG214,Variables!$AC$3:$AD$8,2,FALSE),"Y","N")</f>
        <v>Y</v>
      </c>
      <c r="X214" s="204">
        <f t="shared" si="116"/>
        <v>0</v>
      </c>
      <c r="Y214" s="204">
        <f t="shared" si="117"/>
        <v>2.3439999999999999</v>
      </c>
      <c r="Z214" s="204">
        <f t="shared" si="118"/>
        <v>6.6799999999999998E-2</v>
      </c>
      <c r="AA214" s="204">
        <f t="shared" si="125"/>
        <v>2.2771999999999997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26"/>
        <v>1901</v>
      </c>
      <c r="AE214" s="77" t="str">
        <f t="shared" si="127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214" s="74" t="str">
        <f t="shared" si="128"/>
        <v>"C:\Program Files (x86)\AstroGrep\AstroGrep.exe" /e /r /s /spath="%USERPROFILE%\AppData\Local\Temp\OnboardLogs" /stypes="app*4013*20170923*" /stext=" 12:.+((SYSTEM_STATE.+slice.+state.+changed )|(ment ac)|(multiple cpu faults)|(system.+state.+changed )|(\[timeout)|(PRM\|1\|D)|(kpr)|(kdp)|(train st.+moving)|(\|lc)|(penalty))"</v>
      </c>
      <c r="AG214" s="182" t="str">
        <f t="shared" si="129"/>
        <v>Other</v>
      </c>
      <c r="AH214" s="78" t="str">
        <f t="shared" si="130"/>
        <v>"%USERPROFILE%\Documents\GitHub\eaglep3\Utilities\RefineRTDCRunTimes.py" --tripid 1901-23 --locoid 4013 --swversion DE.1.0.9.0 --startMP 300:23440 --initTime 2017-09-23T05:49:53 --startdatetime 2017-09-23T05:53:39 --delay 88 --endMP 204:668 --enddatetime 2017-09-23T06:01:15 --enforcementcount 0 &gt;&gt;c:\users\stu\Documents\GitHub\eaglep3-reporting\EC\2017-09-23-refined-times.txt</v>
      </c>
      <c r="AI214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{"issue":{"subject":"","project_id":79,"tracker_id":40,"status_id":1,"priority_id":2,"assigned_to_id":338,"start_date":"2017-09-23","description":"","custom_fields":[{"id":1,"name":"Subdivision","value":"Other"},{"id":4,"name":"Milepost","value":"0.0668"},{"id":17,"name":"Train ID","value":"1901-23"},{"id":16,"name":"Locomotive ID","value":"4013"},{"id":130,"name":"Impact","value":""},{"id":150,"name":"Time of Event (Mountain Time)","value":"06:01:15"},{"id":151,"name":"Denver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32"/>
        <v>start /low /b %USERPROFILE%\Documents\GitHub\eaglep3\Utilities\DownloadLogsFromS3.py --loco 4013 --day 2017-09-23</v>
      </c>
      <c r="AN214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12:01:15"},{"id":29,"name":"Sharepoint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34"/>
        <v>https://d0f6bd738d7f1b3e5a7ca70fe4ff75f0.us-east-1.aws.found.io/app/kibana#/discover/Steve-Slow-Train-Analysis-(2080s-and-2083s)?_g=(refreshInterval:(display:Off,pause:!f,section:0,value:0),time:(from:'2017-09-23T04:49:53-0600',mode:absolute,to:'2017-09-23T07:01:15-0600'))&amp;_a=(columns:!('Message%20ID',Summary),filters:!(),index:'emp_*',interval:auto,query:(query_string:(analyze_wildcard:!t,query:'Message%5C+ID:(*)+AND+%22rtdc.l.rtdc.4013%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805</v>
      </c>
      <c r="B215" s="7">
        <v>4013</v>
      </c>
      <c r="C215" s="21" t="s">
        <v>196</v>
      </c>
      <c r="D215" s="21" t="s">
        <v>576</v>
      </c>
      <c r="E215" s="13">
        <v>43001.976388888892</v>
      </c>
      <c r="F215" s="13">
        <v>43001.977905092594</v>
      </c>
      <c r="G215" s="7">
        <v>60</v>
      </c>
      <c r="H215" s="21" t="s">
        <v>931</v>
      </c>
      <c r="I215" s="13">
        <v>43001.988865740743</v>
      </c>
      <c r="J215" s="7">
        <v>0</v>
      </c>
      <c r="K215" s="89" t="str">
        <f t="shared" si="121"/>
        <v>4013/4014</v>
      </c>
      <c r="L215" s="185" t="str">
        <f>VLOOKUP(A215,'Trips&amp;Operators'!$C$1:$G$99911,5,FALSE)</f>
        <v>SMITH MICHAEL</v>
      </c>
      <c r="M215" s="6">
        <f t="shared" si="122"/>
        <v>1.096064814919373E-2</v>
      </c>
      <c r="N215" s="7">
        <f t="shared" si="119"/>
        <v>15.783333334838971</v>
      </c>
      <c r="O215" s="7"/>
      <c r="P215" s="7"/>
      <c r="Q215" s="22"/>
      <c r="R215" s="174"/>
      <c r="S215" s="221">
        <f t="shared" si="120"/>
        <v>0</v>
      </c>
      <c r="T215" s="174" t="str">
        <f t="shared" si="123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24"/>
        <v>https://d0f6bd738d7f1b3e5a7ca70fe4ff75f0.us-east-1.aws.found.io/app/kibana#/discover/Steve-Slow-Train-Analysis-(2080s-and-2083s)?_g=(refreshInterval:(display:Off,pause:!f,section:0,value:0),time:(from:'2017-09-23T22:26:00-0600',mode:absolute,to:'2017-09-24T00:43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204" t="str">
        <f>IF(AA215&lt;VLOOKUP(AG215,Variables!$AC$3:$AD$8,2,FALSE),"Y","N")</f>
        <v>Y</v>
      </c>
      <c r="X215" s="204">
        <f t="shared" si="116"/>
        <v>1</v>
      </c>
      <c r="Y215" s="204">
        <f t="shared" si="117"/>
        <v>5.8630000000000004</v>
      </c>
      <c r="Z215" s="204">
        <f t="shared" si="118"/>
        <v>2.8769999999999998</v>
      </c>
      <c r="AA215" s="204">
        <f t="shared" si="125"/>
        <v>2.9860000000000007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26"/>
        <v>1902</v>
      </c>
      <c r="AE215" s="77" t="str">
        <f t="shared" si="127"/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AF215" s="74" t="str">
        <f t="shared" si="128"/>
        <v>"C:\Program Files (x86)\AstroGrep\AstroGrep.exe" /e /r /s /spath="%USERPROFILE%\AppData\Local\Temp\OnboardLogs" /stypes="app*4013*20170924*" /stext=" 05:.+((SYSTEM_STATE.+slice.+state.+changed )|(ment ac)|(multiple cpu faults)|(system.+state.+changed )|(\[timeout)|(PRM\|1\|D)|(kpr)|(kdp)|(train st.+moving)|(\|lc)|(penalty))"</v>
      </c>
      <c r="AG215" s="182" t="str">
        <f t="shared" si="129"/>
        <v>Other</v>
      </c>
      <c r="AH215" s="78" t="str">
        <f t="shared" si="130"/>
        <v>"%USERPROFILE%\Documents\GitHub\eaglep3\Utilities\RefineRTDCRunTimes.py" --tripid 1902-23 --locoid 4013 --swversion DE.1.0.9.0 --startMP 300:58630 --initTime 2017-09-23T23:26:00 --startdatetime 2017-09-23T23:28:11 --delay 60 --endMP 300:28770 --enddatetime 2017-09-23T23:43:58 --enforcementcount 0 &gt;&gt;c:\users\stu\Documents\GitHub\eaglep3-reporting\EC\2017-09-23-refined-times.txt</v>
      </c>
      <c r="AI215" s="96" t="str">
        <f t="shared" si="131"/>
        <v>echo {"issue":{"subject":"","project_id":79,"tracker_id":40,"status_id":1,"priority_id":2,"assigned_to_id":338,"start_date":"2017-09-23","description":"","custom_fields":[{"id":1,"name":"Subdivision","value":"Other"},{"id":4,"name":"Milepost","value":"2.877"},{"id":17,"name":"Train ID","value":"1902-23"},{"id":16,"name":"Locomotive ID","value":"4013"},{"id":130,"name":"Impact","value":""},{"id":150,"name":"Time of Event (Mountain Time)","value":"23:43:58"},{"id":151,"name":"Denver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32"/>
        <v>start /low /b %USERPROFILE%\Documents\GitHub\eaglep3\Utilities\DownloadLogsFromS3.py --loco 4013 --day 2017-09-23</v>
      </c>
      <c r="AN215" s="151" t="str">
        <f t="shared" si="13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05:43:58"},{"id":29,"name":"Sharepoint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34"/>
        <v>https://d0f6bd738d7f1b3e5a7ca70fe4ff75f0.us-east-1.aws.found.io/app/kibana#/discover/Steve-Slow-Train-Analysis-(2080s-and-2083s)?_g=(refreshInterval:(display:Off,pause:!f,section:0,value:0),time:(from:'2017-09-23T22:26:00-0600',mode:absolute,to:'2017-09-24T00:43:58-0600'))&amp;_a=(columns:!('Message%20ID',Summary),filters:!(),index:'emp_*',interval:auto,query:(query_string:(analyze_wildcard:!t,query:'Message%5C+ID:(*)+AND+%22rtdc.l.rtdc.4013%22')),sort:!(Time.ISO8601,asc))</v>
      </c>
    </row>
    <row r="216" spans="1:91" s="20" customFormat="1" x14ac:dyDescent="0.25">
      <c r="A216" s="32" t="s">
        <v>624</v>
      </c>
      <c r="B216" s="7">
        <v>4010</v>
      </c>
      <c r="C216" s="21" t="s">
        <v>196</v>
      </c>
      <c r="D216" s="21" t="s">
        <v>361</v>
      </c>
      <c r="E216" s="13">
        <v>43001.126608796294</v>
      </c>
      <c r="F216" s="13">
        <v>43001.136932870373</v>
      </c>
      <c r="G216" s="7">
        <v>89</v>
      </c>
      <c r="H216" s="21" t="s">
        <v>968</v>
      </c>
      <c r="I216" s="13">
        <v>43001.137962962966</v>
      </c>
      <c r="J216" s="7">
        <v>0</v>
      </c>
      <c r="K216" s="89" t="str">
        <f t="shared" si="121"/>
        <v>4009/4010</v>
      </c>
      <c r="L216" s="185" t="str">
        <f>VLOOKUP(A216,'Trips&amp;Operators'!$C$1:$G$99911,5,FALSE)</f>
        <v>NEWELL JAMES</v>
      </c>
      <c r="M216" s="6">
        <f t="shared" si="122"/>
        <v>1.0300925932824612E-3</v>
      </c>
      <c r="N216" s="7">
        <f t="shared" si="119"/>
        <v>1.4833333343267441</v>
      </c>
      <c r="O216" s="7"/>
      <c r="P216" s="7"/>
      <c r="Q216" s="22"/>
      <c r="R216" s="174"/>
      <c r="S216" s="221">
        <f t="shared" si="120"/>
        <v>0</v>
      </c>
      <c r="T216" s="174" t="str">
        <f t="shared" si="123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24"/>
        <v>https://d0f6bd738d7f1b3e5a7ca70fe4ff75f0.us-east-1.aws.found.io/app/kibana#/discover/Steve-Slow-Train-Analysis-(2080s-and-2083s)?_g=(refreshInterval:(display:Off,pause:!f,section:0,value:0),time:(from:'2017-09-23T02:02:19-0600',mode:absolute,to:'2017-09-23T04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6" s="204" t="str">
        <f>IF(AA216&lt;VLOOKUP(AG216,Variables!$AC$3:$AD$8,2,FALSE),"Y","N")</f>
        <v>Y</v>
      </c>
      <c r="X216" s="204">
        <f t="shared" si="116"/>
        <v>-1851</v>
      </c>
      <c r="Y216" s="204">
        <f t="shared" si="117"/>
        <v>4.6399999999999997E-2</v>
      </c>
      <c r="Z216" s="204">
        <f t="shared" si="118"/>
        <v>0.33679999999999999</v>
      </c>
      <c r="AA216" s="204">
        <f t="shared" si="125"/>
        <v>0.29039999999999999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26"/>
        <v>51</v>
      </c>
      <c r="AE216" s="77" t="str">
        <f t="shared" si="127"/>
        <v>aws s3 cp s3://rtdc.mdm.uploadarchive.raw/RTDC4010/ "%USERPROFILE%\AppData\Local\Temp\OnboardLogs"\RTDC4010\2017-09-23 --exclude "*" --recursive --include "*20170923*" &amp; "%USERPROFILE%\Documents\GitHub\mrs-test-scripts\Headless Mode &amp; Sideloading\WalkAndUnGZ.bat" "%USERPROFILE%\AppData\Local\Temp\OnboardLogs"\RTDC4010\2017-09-23 &amp; aws s3 cp s3://rtdc.mdm.uploadarchive.raw/RTDC4010/ "%USERPROFILE%\AppData\Local\Temp\OnboardLogs"\RTDC4010\2017-09-24 --exclude "*" --recursive --include "*20170924*" &amp; "%USERPROFILE%\Documents\GitHub\mrs-test-scripts\Headless Mode &amp; Sideloading\WalkAndUnGZ.bat" "%USERPROFILE%\AppData\Local\Temp\OnboardLogs"\RTDC4010\2017-09-24</v>
      </c>
      <c r="AF216" s="74" t="str">
        <f t="shared" si="128"/>
        <v>"C:\Program Files (x86)\AstroGrep\AstroGrep.exe" /e /r /s /spath="%USERPROFILE%\AppData\Local\Temp\OnboardLogs" /stypes="app*4010*20170923*" /stext=" 09:.+((SYSTEM_STATE.+slice.+state.+changed )|(ment ac)|(multiple cpu faults)|(system.+state.+changed )|(\[timeout)|(PRM\|1\|D)|(kpr)|(kdp)|(train st.+moving)|(\|lc)|(penalty))"</v>
      </c>
      <c r="AG216" s="182" t="str">
        <f t="shared" si="129"/>
        <v>Shuttle/Test</v>
      </c>
      <c r="AH216" s="78" t="str">
        <f t="shared" si="130"/>
        <v>"%USERPROFILE%\Documents\GitHub\eaglep3\Utilities\RefineRTDCRunTimes.py" --tripid 51-23 --locoid 4010 --swversion DE.1.0.9.0 --startMP 204:464 --initTime 2017-09-23T03:02:19 --startdatetime 2017-09-23T03:17:11 --delay 89 --endMP 204:3368 --enddatetime 2017-09-23T03:18:40 --enforcementcount 0 &gt;&gt;c:\users\stu\Documents\GitHub\eaglep3-reporting\EC\2017-09-23-refined-times.txt</v>
      </c>
      <c r="AI216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0.3368"},{"id":17,"name":"Train ID","value":"51-23"},{"id":16,"name":"Locomotive ID","value":"4010"},{"id":130,"name":"Impact","value":""},{"id":150,"name":"Time of Event (Mountain Time)","value":"03:18:40"},{"id":151,"name":"Denver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32"/>
        <v>start /low /b %USERPROFILE%\Documents\GitHub\eaglep3\Utilities\DownloadLogsFromS3.py --loco 4010 --day 2017-09-23</v>
      </c>
      <c r="AN216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34"/>
        <v>https://d0f6bd738d7f1b3e5a7ca70fe4ff75f0.us-east-1.aws.found.io/app/kibana#/discover/Steve-Slow-Train-Analysis-(2080s-and-2083s)?_g=(refreshInterval:(display:Off,pause:!f,section:0,value:0),time:(from:'2017-09-23T02:02:19-0600',mode:absolute,to:'2017-09-23T04:18:40-0600'))&amp;_a=(columns:!('Message%20ID',Summary),filters:!(),index:'emp_*',interval:auto,query:(query_string:(analyze_wildcard:!t,query:'Message%5C+ID:(*)+AND+%22rtdc.l.rtdc.4010%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624</v>
      </c>
      <c r="B217" s="7">
        <v>4012</v>
      </c>
      <c r="C217" s="21" t="s">
        <v>196</v>
      </c>
      <c r="D217" s="21" t="s">
        <v>969</v>
      </c>
      <c r="E217" s="13">
        <v>43001.446087962962</v>
      </c>
      <c r="F217" s="13">
        <v>43001.451539351852</v>
      </c>
      <c r="G217" s="7">
        <v>54</v>
      </c>
      <c r="H217" s="21" t="s">
        <v>970</v>
      </c>
      <c r="I217" s="13">
        <v>43001.452511574076</v>
      </c>
      <c r="J217" s="7">
        <v>0</v>
      </c>
      <c r="K217" s="89" t="str">
        <f t="shared" si="121"/>
        <v>4011/4012</v>
      </c>
      <c r="L217" s="185" t="str">
        <f>VLOOKUP(A217,'Trips&amp;Operators'!$C$1:$G$99911,5,FALSE)</f>
        <v>NEWELL JAMES</v>
      </c>
      <c r="M217" s="6">
        <f t="shared" si="122"/>
        <v>9.7222222393611446E-4</v>
      </c>
      <c r="N217" s="7">
        <f t="shared" si="119"/>
        <v>1.4000000024680048</v>
      </c>
      <c r="O217" s="7"/>
      <c r="P217" s="7"/>
      <c r="Q217" s="22"/>
      <c r="R217" s="174"/>
      <c r="S217" s="221">
        <f t="shared" si="120"/>
        <v>0</v>
      </c>
      <c r="T217" s="174" t="str">
        <f t="shared" si="123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24"/>
        <v>https://d0f6bd738d7f1b3e5a7ca70fe4ff75f0.us-east-1.aws.found.io/app/kibana#/discover/Steve-Slow-Train-Analysis-(2080s-and-2083s)?_g=(refreshInterval:(display:Off,pause:!f,section:0,value:0),time:(from:'2017-09-23T09:42:22-0600',mode:absolute,to:'2017-09-23T11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7" s="204" t="str">
        <f>IF(AA217&lt;VLOOKUP(AG217,Variables!$AC$3:$AD$8,2,FALSE),"Y","N")</f>
        <v>Y</v>
      </c>
      <c r="X217" s="204">
        <f t="shared" si="116"/>
        <v>0</v>
      </c>
      <c r="Y217" s="204">
        <f t="shared" si="117"/>
        <v>0.14749999999999999</v>
      </c>
      <c r="Z217" s="204">
        <f t="shared" si="118"/>
        <v>0.34649999999999997</v>
      </c>
      <c r="AA217" s="204">
        <f t="shared" si="125"/>
        <v>0.19899999999999998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26"/>
        <v>51</v>
      </c>
      <c r="AE217" s="77" t="str">
        <f t="shared" si="127"/>
        <v>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 &amp; aws s3 cp s3://rtdc.mdm.uploadarchive.raw/RTDC4012/ "%USERPROFILE%\AppData\Local\Temp\OnboardLogs"\RTDC4012\2017-09-24 --exclude "*" --recursive --include "*20170924*" &amp; "%USERPROFILE%\Documents\GitHub\mrs-test-scripts\Headless Mode &amp; Sideloading\WalkAndUnGZ.bat" "%USERPROFILE%\AppData\Local\Temp\OnboardLogs"\RTDC4012\2017-09-24</v>
      </c>
      <c r="AF217" s="74" t="str">
        <f t="shared" si="128"/>
        <v>"C:\Program Files (x86)\AstroGrep\AstroGrep.exe" /e /r /s /spath="%USERPROFILE%\AppData\Local\Temp\OnboardLogs" /stypes="app*4012*20170923*" /stext=" 16:.+((SYSTEM_STATE.+slice.+state.+changed )|(ment ac)|(multiple cpu faults)|(system.+state.+changed )|(\[timeout)|(PRM\|1\|D)|(kpr)|(kdp)|(train st.+moving)|(\|lc)|(penalty))"</v>
      </c>
      <c r="AG217" s="182" t="str">
        <f t="shared" si="129"/>
        <v>Shuttle/Test</v>
      </c>
      <c r="AH217" s="78" t="str">
        <f t="shared" si="130"/>
        <v>"%USERPROFILE%\Documents\GitHub\eaglep3\Utilities\RefineRTDCRunTimes.py" --tripid 51-23 --locoid 4012 --swversion DE.1.0.9.0 --startMP 204:1475 --initTime 2017-09-23T10:42:22 --startdatetime 2017-09-23T10:50:13 --delay 54 --endMP 204:3465 --enddatetime 2017-09-23T10:51:37 --enforcementcount 0 &gt;&gt;c:\users\stu\Documents\GitHub\eaglep3-reporting\EC\2017-09-23-refined-times.txt</v>
      </c>
      <c r="AI217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0.3465"},{"id":17,"name":"Train ID","value":"51-23"},{"id":16,"name":"Locomotive ID","value":"4012"},{"id":130,"name":"Impact","value":""},{"id":150,"name":"Time of Event (Mountain Time)","value":"10:51:37"},{"id":151,"name":"Denver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32"/>
        <v>start /low /b %USERPROFILE%\Documents\GitHub\eaglep3\Utilities\DownloadLogsFromS3.py --loco 4012 --day 2017-09-23</v>
      </c>
      <c r="AN217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34"/>
        <v>https://d0f6bd738d7f1b3e5a7ca70fe4ff75f0.us-east-1.aws.found.io/app/kibana#/discover/Steve-Slow-Train-Analysis-(2080s-and-2083s)?_g=(refreshInterval:(display:Off,pause:!f,section:0,value:0),time:(from:'2017-09-23T09:42:22-0600',mode:absolute,to:'2017-09-23T11:51:37-0600'))&amp;_a=(columns:!('Message%20ID',Summary),filters:!(),index:'emp_*',interval:auto,query:(query_string:(analyze_wildcard:!t,query:'Message%5C+ID:(*)+AND+%22rtdc.l.rtdc.4012%22')),sort:!(Time.ISO8601,asc))</v>
      </c>
    </row>
    <row r="218" spans="1:91" s="20" customFormat="1" x14ac:dyDescent="0.25">
      <c r="A218" s="32" t="s">
        <v>624</v>
      </c>
      <c r="B218" s="7">
        <v>4011</v>
      </c>
      <c r="C218" s="21" t="s">
        <v>196</v>
      </c>
      <c r="D218" s="21" t="s">
        <v>971</v>
      </c>
      <c r="E218" s="13">
        <v>43001.450358796297</v>
      </c>
      <c r="F218" s="13">
        <v>43001.451539351852</v>
      </c>
      <c r="G218" s="7">
        <v>55</v>
      </c>
      <c r="H218" s="21" t="s">
        <v>362</v>
      </c>
      <c r="I218" s="13">
        <v>43001.452511574076</v>
      </c>
      <c r="J218" s="7">
        <v>0</v>
      </c>
      <c r="K218" s="89" t="str">
        <f t="shared" si="121"/>
        <v>4011/4012</v>
      </c>
      <c r="L218" s="185" t="str">
        <f>VLOOKUP(A218,'Trips&amp;Operators'!$C$1:$G$99911,5,FALSE)</f>
        <v>NEWELL JAMES</v>
      </c>
      <c r="M218" s="6">
        <f t="shared" si="122"/>
        <v>9.7222222393611446E-4</v>
      </c>
      <c r="N218" s="7">
        <f t="shared" si="119"/>
        <v>1.4000000024680048</v>
      </c>
      <c r="O218" s="7"/>
      <c r="P218" s="7"/>
      <c r="Q218" s="22"/>
      <c r="R218" s="174"/>
      <c r="S218" s="221">
        <f t="shared" si="120"/>
        <v>0</v>
      </c>
      <c r="T218" s="174" t="str">
        <f t="shared" si="123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124"/>
        <v>https://d0f6bd738d7f1b3e5a7ca70fe4ff75f0.us-east-1.aws.found.io/app/kibana#/discover/Steve-Slow-Train-Analysis-(2080s-and-2083s)?_g=(refreshInterval:(display:Off,pause:!f,section:0,value:0),time:(from:'2017-09-23T09:48:31-0600',mode:absolute,to:'2017-09-23T11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204" t="str">
        <f>IF(AA218&lt;VLOOKUP(AG218,Variables!$AC$3:$AD$8,2,FALSE),"Y","N")</f>
        <v>Y</v>
      </c>
      <c r="X218" s="204">
        <f t="shared" si="116"/>
        <v>0</v>
      </c>
      <c r="Y218" s="204">
        <f t="shared" si="117"/>
        <v>0.31859999999999999</v>
      </c>
      <c r="Z218" s="204">
        <f t="shared" si="118"/>
        <v>1.4500000000000001E-2</v>
      </c>
      <c r="AA218" s="204">
        <f t="shared" si="125"/>
        <v>0.30409999999999998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26"/>
        <v>51</v>
      </c>
      <c r="AE218" s="77" t="str">
        <f t="shared" si="127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218" s="74" t="str">
        <f t="shared" si="128"/>
        <v>"C:\Program Files (x86)\AstroGrep\AstroGrep.exe" /e /r /s /spath="%USERPROFILE%\AppData\Local\Temp\OnboardLogs" /stypes="app*4011*20170923*" /stext=" 16:.+((SYSTEM_STATE.+slice.+state.+changed )|(ment ac)|(multiple cpu faults)|(system.+state.+changed )|(\[timeout)|(PRM\|1\|D)|(kpr)|(kdp)|(train st.+moving)|(\|lc)|(penalty))"</v>
      </c>
      <c r="AG218" s="182" t="str">
        <f t="shared" si="129"/>
        <v>Shuttle/Test</v>
      </c>
      <c r="AH218" s="78" t="str">
        <f t="shared" si="130"/>
        <v>"%USERPROFILE%\Documents\GitHub\eaglep3\Utilities\RefineRTDCRunTimes.py" --tripid 51-23 --locoid 4011 --swversion DE.1.0.9.0 --startMP 204:3186 --initTime 2017-09-23T10:48:31 --startdatetime 2017-09-23T10:50:13 --delay 55 --endMP 204:145 --enddatetime 2017-09-23T10:51:37 --enforcementcount 0 &gt;&gt;c:\users\stu\Documents\GitHub\eaglep3-reporting\EC\2017-09-23-refined-times.txt</v>
      </c>
      <c r="AI218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0.0145"},{"id":17,"name":"Train ID","value":"51-23"},{"id":16,"name":"Locomotive ID","value":"4011"},{"id":130,"name":"Impact","value":""},{"id":150,"name":"Time of Event (Mountain Time)","value":"10:51:37"},{"id":151,"name":"Denver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32"/>
        <v>start /low /b %USERPROFILE%\Documents\GitHub\eaglep3\Utilities\DownloadLogsFromS3.py --loco 4011 --day 2017-09-23</v>
      </c>
      <c r="AN218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16:51:37"},{"id":29,"name":"Sharepoint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34"/>
        <v>https://d0f6bd738d7f1b3e5a7ca70fe4ff75f0.us-east-1.aws.found.io/app/kibana#/discover/Steve-Slow-Train-Analysis-(2080s-and-2083s)?_g=(refreshInterval:(display:Off,pause:!f,section:0,value:0),time:(from:'2017-09-23T09:48:31-0600',mode:absolute,to:'2017-09-23T11:51:37-0600'))&amp;_a=(columns:!('Message%20ID',Summary),filters:!(),index:'emp_*',interval:auto,query:(query_string:(analyze_wildcard:!t,query:'Message%5C+ID:(*)+AND+%22rtdc.l.rtdc.4011%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626</v>
      </c>
      <c r="B219" s="7">
        <v>4009</v>
      </c>
      <c r="C219" s="21" t="s">
        <v>196</v>
      </c>
      <c r="D219" s="21" t="s">
        <v>972</v>
      </c>
      <c r="E219" s="13">
        <v>43001.138715277775</v>
      </c>
      <c r="F219" s="13">
        <v>43001.140115740738</v>
      </c>
      <c r="G219" s="7">
        <v>64</v>
      </c>
      <c r="H219" s="21" t="s">
        <v>581</v>
      </c>
      <c r="I219" s="13">
        <v>43001.141018518516</v>
      </c>
      <c r="J219" s="7">
        <v>0</v>
      </c>
      <c r="K219" s="89" t="str">
        <f t="shared" si="121"/>
        <v>4009/4010</v>
      </c>
      <c r="L219" s="185" t="str">
        <f>VLOOKUP(A219,'Trips&amp;Operators'!$C$1:$G$99911,5,FALSE)</f>
        <v>NEWELL JAMES</v>
      </c>
      <c r="M219" s="6">
        <f t="shared" si="122"/>
        <v>9.0277777781011537E-4</v>
      </c>
      <c r="N219" s="7">
        <f t="shared" si="119"/>
        <v>1.3000000000465661</v>
      </c>
      <c r="O219" s="7"/>
      <c r="P219" s="7"/>
      <c r="Q219" s="22"/>
      <c r="R219" s="174"/>
      <c r="S219" s="221">
        <f t="shared" si="120"/>
        <v>0</v>
      </c>
      <c r="T219" s="174" t="str">
        <f t="shared" si="123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24"/>
        <v>https://d0f6bd738d7f1b3e5a7ca70fe4ff75f0.us-east-1.aws.found.io/app/kibana#/discover/Steve-Slow-Train-Analysis-(2080s-and-2083s)?_g=(refreshInterval:(display:Off,pause:!f,section:0,value:0),time:(from:'2017-09-23T02:19:45-0600',mode:absolute,to:'2017-09-23T04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9" s="204" t="str">
        <f>IF(AA219&lt;VLOOKUP(AG219,Variables!$AC$3:$AD$8,2,FALSE),"Y","N")</f>
        <v>Y</v>
      </c>
      <c r="X219" s="204">
        <f t="shared" si="116"/>
        <v>1</v>
      </c>
      <c r="Y219" s="204">
        <f t="shared" si="117"/>
        <v>0.30299999999999999</v>
      </c>
      <c r="Z219" s="204">
        <f t="shared" si="118"/>
        <v>0.11559999999999999</v>
      </c>
      <c r="AA219" s="204">
        <f t="shared" si="125"/>
        <v>0.18740000000000001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26"/>
        <v>52</v>
      </c>
      <c r="AE219" s="77" t="str">
        <f t="shared" si="127"/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AF219" s="74" t="str">
        <f t="shared" si="128"/>
        <v>"C:\Program Files (x86)\AstroGrep\AstroGrep.exe" /e /r /s /spath="%USERPROFILE%\AppData\Local\Temp\OnboardLogs" /stypes="app*4009*20170923*" /stext=" 09:.+((SYSTEM_STATE.+slice.+state.+changed )|(ment ac)|(multiple cpu faults)|(system.+state.+changed )|(\[timeout)|(PRM\|1\|D)|(kpr)|(kdp)|(train st.+moving)|(\|lc)|(penalty))"</v>
      </c>
      <c r="AG219" s="182" t="str">
        <f t="shared" si="129"/>
        <v>Shuttle/Test</v>
      </c>
      <c r="AH219" s="78" t="str">
        <f t="shared" si="130"/>
        <v>"%USERPROFILE%\Documents\GitHub\eaglep3\Utilities\RefineRTDCRunTimes.py" --tripid 52-23 --locoid 4009 --swversion DE.1.0.9.0 --startMP 204:3030 --initTime 2017-09-23T03:19:45 --startdatetime 2017-09-23T03:21:46 --delay 64 --endMP 204:1156 --enddatetime 2017-09-23T03:23:04 --enforcementcount 0 &gt;&gt;c:\users\stu\Documents\GitHub\eaglep3-reporting\EC\2017-09-23-refined-times.txt</v>
      </c>
      <c r="AI219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0.1156"},{"id":17,"name":"Train ID","value":"52-23"},{"id":16,"name":"Locomotive ID","value":"4009"},{"id":130,"name":"Impact","value":""},{"id":150,"name":"Time of Event (Mountain Time)","value":"03:23:04"},{"id":151,"name":"Denver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32"/>
        <v>start /low /b %USERPROFILE%\Documents\GitHub\eaglep3\Utilities\DownloadLogsFromS3.py --loco 4009 --day 2017-09-23</v>
      </c>
      <c r="AN219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09:23:04"},{"id":29,"name":"Sharepoint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34"/>
        <v>https://d0f6bd738d7f1b3e5a7ca70fe4ff75f0.us-east-1.aws.found.io/app/kibana#/discover/Steve-Slow-Train-Analysis-(2080s-and-2083s)?_g=(refreshInterval:(display:Off,pause:!f,section:0,value:0),time:(from:'2017-09-23T02:19:45-0600',mode:absolute,to:'2017-09-23T04:23:04-0600'))&amp;_a=(columns:!('Message%20ID',Summary),filters:!(),index:'emp_*',interval:auto,query:(query_string:(analyze_wildcard:!t,query:'Message%5C+ID:(*)+AND+%22rtdc.l.rtdc.4009%22')),sort:!(Time.ISO8601,asc))</v>
      </c>
    </row>
    <row r="220" spans="1:91" s="20" customFormat="1" x14ac:dyDescent="0.25">
      <c r="A220" s="32" t="s">
        <v>701</v>
      </c>
      <c r="B220" s="7">
        <v>4026</v>
      </c>
      <c r="C220" s="21" t="s">
        <v>196</v>
      </c>
      <c r="D220" s="21" t="s">
        <v>570</v>
      </c>
      <c r="E220" s="13">
        <v>43001.460868055554</v>
      </c>
      <c r="F220" s="13">
        <v>43001.465543981481</v>
      </c>
      <c r="G220" s="7">
        <v>65</v>
      </c>
      <c r="H220" s="21" t="s">
        <v>973</v>
      </c>
      <c r="I220" s="13">
        <v>43001.466620370367</v>
      </c>
      <c r="J220" s="7">
        <v>0</v>
      </c>
      <c r="K220" s="89" t="str">
        <f t="shared" si="121"/>
        <v>4025/4026</v>
      </c>
      <c r="L220" s="185" t="str">
        <f>VLOOKUP(A220,'Trips&amp;Operators'!$C$1:$G$99911,5,FALSE)</f>
        <v>DELGADO DIANAH</v>
      </c>
      <c r="M220" s="6">
        <f t="shared" si="122"/>
        <v>1.0763888858491555E-3</v>
      </c>
      <c r="N220" s="7">
        <f t="shared" si="119"/>
        <v>1.5499999956227839</v>
      </c>
      <c r="O220" s="7"/>
      <c r="P220" s="7"/>
      <c r="Q220" s="22"/>
      <c r="R220" s="174"/>
      <c r="S220" s="221">
        <f t="shared" si="120"/>
        <v>0</v>
      </c>
      <c r="T220" s="174" t="str">
        <f t="shared" si="123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 t="shared" si="124"/>
        <v>https://d0f6bd738d7f1b3e5a7ca70fe4ff75f0.us-east-1.aws.found.io/app/kibana#/discover/Steve-Slow-Train-Analysis-(2080s-and-2083s)?_g=(refreshInterval:(display:Off,pause:!f,section:0,value:0),time:(from:'2017-09-23T10:03:39-0600',mode:absolute,to:'2017-09-23T12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204" t="str">
        <f>IF(AA220&lt;VLOOKUP(AG220,Variables!$AC$3:$AD$8,2,FALSE),"Y","N")</f>
        <v>Y</v>
      </c>
      <c r="X220" s="204">
        <f t="shared" si="116"/>
        <v>3</v>
      </c>
      <c r="Y220" s="204">
        <f t="shared" si="117"/>
        <v>0.11600000000000001</v>
      </c>
      <c r="Z220" s="204">
        <f t="shared" si="118"/>
        <v>0.33029999999999998</v>
      </c>
      <c r="AA220" s="204">
        <f t="shared" si="125"/>
        <v>0.21429999999999999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26"/>
        <v>55</v>
      </c>
      <c r="AE220" s="77" t="str">
        <f t="shared" si="127"/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AF220" s="74" t="str">
        <f t="shared" si="128"/>
        <v>"C:\Program Files (x86)\AstroGrep\AstroGrep.exe" /e /r /s /spath="%USERPROFILE%\AppData\Local\Temp\OnboardLogs" /stypes="app*4026*20170923*" /stext=" 17:.+((SYSTEM_STATE.+slice.+state.+changed )|(ment ac)|(multiple cpu faults)|(system.+state.+changed )|(\[timeout)|(PRM\|1\|D)|(kpr)|(kdp)|(train st.+moving)|(\|lc)|(penalty))"</v>
      </c>
      <c r="AG220" s="182" t="str">
        <f t="shared" si="129"/>
        <v>Shuttle/Test</v>
      </c>
      <c r="AH220" s="78" t="str">
        <f t="shared" si="130"/>
        <v>"%USERPROFILE%\Documents\GitHub\eaglep3\Utilities\RefineRTDCRunTimes.py" --tripid 55-23 --locoid 4026 --swversion DE.1.0.9.0 --startMP 204:1160 --initTime 2017-09-23T11:03:39 --startdatetime 2017-09-23T11:10:23 --delay 65 --endMP 204:3303 --enddatetime 2017-09-23T11:11:56 --enforcementcount 0 &gt;&gt;c:\users\stu\Documents\GitHub\eaglep3-reporting\EC\2017-09-23-refined-times.txt</v>
      </c>
      <c r="AI220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0.3303"},{"id":17,"name":"Train ID","value":"55-23"},{"id":16,"name":"Locomotive ID","value":"4026"},{"id":130,"name":"Impact","value":""},{"id":150,"name":"Time of Event (Mountain Time)","value":"11:11:56"},{"id":151,"name":"Denver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32"/>
        <v>start /low /b %USERPROFILE%\Documents\GitHub\eaglep3\Utilities\DownloadLogsFromS3.py --loco 4026 --day 2017-09-23</v>
      </c>
      <c r="AN220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34"/>
        <v>https://d0f6bd738d7f1b3e5a7ca70fe4ff75f0.us-east-1.aws.found.io/app/kibana#/discover/Steve-Slow-Train-Analysis-(2080s-and-2083s)?_g=(refreshInterval:(display:Off,pause:!f,section:0,value:0),time:(from:'2017-09-23T10:03:39-0600',mode:absolute,to:'2017-09-23T12:11:56-0600'))&amp;_a=(columns:!('Message%20ID',Summary),filters:!(),index:'emp_*',interval:auto,query:(query_string:(analyze_wildcard:!t,query:'Message%5C+ID:(*)+AND+%22rtdc.l.rtdc.4026%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701</v>
      </c>
      <c r="B221" s="7">
        <v>4025</v>
      </c>
      <c r="C221" s="21" t="s">
        <v>196</v>
      </c>
      <c r="D221" s="21" t="s">
        <v>966</v>
      </c>
      <c r="E221" s="13">
        <v>43001.463900462964</v>
      </c>
      <c r="F221" s="13">
        <v>43001.465543981481</v>
      </c>
      <c r="G221" s="7">
        <v>74</v>
      </c>
      <c r="H221" s="21" t="s">
        <v>363</v>
      </c>
      <c r="I221" s="13">
        <v>43001.466620370367</v>
      </c>
      <c r="J221" s="7">
        <v>0</v>
      </c>
      <c r="K221" s="89" t="str">
        <f t="shared" si="121"/>
        <v>4025/4026</v>
      </c>
      <c r="L221" s="185" t="str">
        <f>VLOOKUP(A221,'Trips&amp;Operators'!$C$1:$G$99911,5,FALSE)</f>
        <v>DELGADO DIANAH</v>
      </c>
      <c r="M221" s="6">
        <f t="shared" si="122"/>
        <v>1.0763888858491555E-3</v>
      </c>
      <c r="N221" s="7">
        <f t="shared" si="119"/>
        <v>1.5499999956227839</v>
      </c>
      <c r="O221" s="7"/>
      <c r="P221" s="7"/>
      <c r="Q221" s="22"/>
      <c r="R221" s="174"/>
      <c r="S221" s="221">
        <f t="shared" si="120"/>
        <v>0</v>
      </c>
      <c r="T221" s="174" t="str">
        <f t="shared" si="123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24"/>
        <v>https://d0f6bd738d7f1b3e5a7ca70fe4ff75f0.us-east-1.aws.found.io/app/kibana#/discover/Steve-Slow-Train-Analysis-(2080s-and-2083s)?_g=(refreshInterval:(display:Off,pause:!f,section:0,value:0),time:(from:'2017-09-23T10:08:01-0600',mode:absolute,to:'2017-09-23T12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204" t="str">
        <f>IF(AA221&lt;VLOOKUP(AG221,Variables!$AC$3:$AD$8,2,FALSE),"Y","N")</f>
        <v>Y</v>
      </c>
      <c r="X221" s="204">
        <f t="shared" si="116"/>
        <v>0</v>
      </c>
      <c r="Y221" s="204">
        <f t="shared" si="117"/>
        <v>0.29959999999999998</v>
      </c>
      <c r="Z221" s="204">
        <f t="shared" si="118"/>
        <v>1.38E-2</v>
      </c>
      <c r="AA221" s="204">
        <f t="shared" si="125"/>
        <v>0.2858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26"/>
        <v>55</v>
      </c>
      <c r="AE221" s="77" t="str">
        <f t="shared" si="127"/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AF221" s="74" t="str">
        <f t="shared" si="128"/>
        <v>"C:\Program Files (x86)\AstroGrep\AstroGrep.exe" /e /r /s /spath="%USERPROFILE%\AppData\Local\Temp\OnboardLogs" /stypes="app*4025*20170923*" /stext=" 17:.+((SYSTEM_STATE.+slice.+state.+changed )|(ment ac)|(multiple cpu faults)|(system.+state.+changed )|(\[timeout)|(PRM\|1\|D)|(kpr)|(kdp)|(train st.+moving)|(\|lc)|(penalty))"</v>
      </c>
      <c r="AG221" s="182" t="str">
        <f t="shared" si="129"/>
        <v>Shuttle/Test</v>
      </c>
      <c r="AH221" s="78" t="str">
        <f t="shared" si="130"/>
        <v>"%USERPROFILE%\Documents\GitHub\eaglep3\Utilities\RefineRTDCRunTimes.py" --tripid 55-23 --locoid 4025 --swversion DE.1.0.9.0 --startMP 204:2996 --initTime 2017-09-23T11:08:01 --startdatetime 2017-09-23T11:10:23 --delay 74 --endMP 204:138 --enddatetime 2017-09-23T11:11:56 --enforcementcount 0 &gt;&gt;c:\users\stu\Documents\GitHub\eaglep3-reporting\EC\2017-09-23-refined-times.txt</v>
      </c>
      <c r="AI221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0.0138"},{"id":17,"name":"Train ID","value":"55-23"},{"id":16,"name":"Locomotive ID","value":"4025"},{"id":130,"name":"Impact","value":""},{"id":150,"name":"Time of Event (Mountain Time)","value":"11:11:56"},{"id":151,"name":"Denver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32"/>
        <v>start /low /b %USERPROFILE%\Documents\GitHub\eaglep3\Utilities\DownloadLogsFromS3.py --loco 4025 --day 2017-09-23</v>
      </c>
      <c r="AN221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17:11:56"},{"id":29,"name":"Sharepoint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34"/>
        <v>https://d0f6bd738d7f1b3e5a7ca70fe4ff75f0.us-east-1.aws.found.io/app/kibana#/discover/Steve-Slow-Train-Analysis-(2080s-and-2083s)?_g=(refreshInterval:(display:Off,pause:!f,section:0,value:0),time:(from:'2017-09-23T10:08:01-0600',mode:absolute,to:'2017-09-23T12:11:56-0600'))&amp;_a=(columns:!('Message%20ID',Summary),filters:!(),index:'emp_*',interval:auto,query:(query_string:(analyze_wildcard:!t,query:'Message%5C+ID:(*)+AND+%22rtdc.l.rtdc.4025%22')),sort:!(Time.ISO8601,asc))</v>
      </c>
    </row>
    <row r="222" spans="1:91" s="20" customFormat="1" x14ac:dyDescent="0.25">
      <c r="A222" s="32" t="s">
        <v>646</v>
      </c>
      <c r="B222" s="7">
        <v>4053</v>
      </c>
      <c r="C222" s="21" t="s">
        <v>196</v>
      </c>
      <c r="D222" s="21" t="s">
        <v>974</v>
      </c>
      <c r="E222" s="13">
        <v>43001.218310185184</v>
      </c>
      <c r="F222" s="13">
        <v>25568.708333333332</v>
      </c>
      <c r="G222" s="7">
        <v>102</v>
      </c>
      <c r="H222" s="21" t="s">
        <v>974</v>
      </c>
      <c r="I222" s="13">
        <v>25568.708333333332</v>
      </c>
      <c r="J222" s="7">
        <v>0</v>
      </c>
      <c r="K222" s="89" t="str">
        <f t="shared" si="121"/>
        <v>4053/4054</v>
      </c>
      <c r="L222" s="185" t="str">
        <f>VLOOKUP(A222,'Trips&amp;Operators'!$C$1:$G$99911,5,FALSE)</f>
        <v>DE LA ROSA ALEX</v>
      </c>
      <c r="M222" s="6">
        <f t="shared" si="122"/>
        <v>0</v>
      </c>
      <c r="N222" s="7">
        <f t="shared" si="119"/>
        <v>0</v>
      </c>
      <c r="O222" s="7"/>
      <c r="P222" s="7"/>
      <c r="Q222" s="22"/>
      <c r="R222" s="174"/>
      <c r="S222" s="221">
        <f t="shared" si="120"/>
        <v>0</v>
      </c>
      <c r="T222" s="174" t="str">
        <f t="shared" si="123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24"/>
        <v>https://d0f6bd738d7f1b3e5a7ca70fe4ff75f0.us-east-1.aws.found.io/app/kibana#/discover/Steve-Slow-Train-Analysis-(2080s-and-2083s)?_g=(refreshInterval:(display:Off,pause:!f,section:0,value:0),time:(from:'2017-09-23T04:14:22-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2" s="204" t="str">
        <f>IF(AA222&lt;VLOOKUP(AG222,Variables!$AC$3:$AD$8,2,FALSE),"Y","N")</f>
        <v>Y</v>
      </c>
      <c r="X222" s="204">
        <f t="shared" si="116"/>
        <v>5</v>
      </c>
      <c r="Y222" s="204">
        <f t="shared" si="117"/>
        <v>8.6099999999999996E-2</v>
      </c>
      <c r="Z222" s="204">
        <f t="shared" si="118"/>
        <v>8.6099999999999996E-2</v>
      </c>
      <c r="AA222" s="204">
        <f t="shared" si="125"/>
        <v>0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26"/>
        <v>60</v>
      </c>
      <c r="AE222" s="77" t="str">
        <f t="shared" si="127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2" s="74" t="str">
        <f t="shared" si="128"/>
        <v>"C:\Program Files (x86)\AstroGrep\AstroGrep.exe" /e /r /s /spath="%USERPROFILE%\AppData\Local\Temp\OnboardLogs" /stypes="app*4053*19691231*" /stext=" 23:.+((SYSTEM_STATE.+slice.+state.+changed )|(ment ac)|(multiple cpu faults)|(system.+state.+changed )|(\[timeout)|(PRM\|1\|D)|(kpr)|(kdp)|(train st.+moving)|(\|lc)|(penalty))"</v>
      </c>
      <c r="AG222" s="182" t="str">
        <f t="shared" si="129"/>
        <v>Shuttle/Test</v>
      </c>
      <c r="AH222" s="78" t="str">
        <f t="shared" si="130"/>
        <v>"%USERPROFILE%\Documents\GitHub\eaglep3\Utilities\RefineRTDCRunTimes.py" --tripid 60-23 --locoid 4053 --swversion DE.1.0.9.0 --startMP 204:861 --initTime 2017-09-23T05:14:22 --startdatetime 1969-12-31T17:00:00 --delay 102 --endMP 204:861 --enddatetime 1969-12-31T17:00:00 --enforcementcount 0 &gt;&gt;c:\users\stu\Documents\GitHub\eaglep3-reporting\EC\2017-09-23-refined-times.txt</v>
      </c>
      <c r="AI222" s="96" t="str">
        <f t="shared" si="131"/>
        <v>echo {"issue":{"subject":"","project_id":79,"tracker_id":40,"status_id":1,"priority_id":2,"assigned_to_id":338,"start_date":"1969-12-31","description":"","custom_fields":[{"id":1,"name":"Subdivision","value":"Shuttle/Test"},{"id":4,"name":"Milepost","value":"0.0861"},{"id":17,"name":"Train ID","value":"60-23"},{"id":16,"name":"Locomotive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32"/>
        <v>start /low /b %USERPROFILE%\Documents\GitHub\eaglep3\Utilities\DownloadLogsFromS3.py --loco 4053 --day 1969-12-31</v>
      </c>
      <c r="AN222" s="151" t="str">
        <f t="shared" si="13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34"/>
        <v>https://d0f6bd738d7f1b3e5a7ca70fe4ff75f0.us-east-1.aws.found.io/app/kibana#/discover/Steve-Slow-Train-Analysis-(2080s-and-2083s)?_g=(refreshInterval:(display:Off,pause:!f,section:0,value:0),time:(from:'2017-09-23T04:14:22-0600',mode:absolute,to:'1969-12-31T18:00:00-0600'))&amp;_a=(columns:!('Message%20ID',Summary),filters:!(),index:'emp_*',interval:auto,query:(query_string:(analyze_wildcard:!t,query:'Message%5C+ID:(*)+AND+%22rtdc.l.rtdc.4053%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646</v>
      </c>
      <c r="B223" s="7">
        <v>4011</v>
      </c>
      <c r="C223" s="21" t="s">
        <v>196</v>
      </c>
      <c r="D223" s="21" t="s">
        <v>975</v>
      </c>
      <c r="E223" s="13">
        <v>43001.272222222222</v>
      </c>
      <c r="F223" s="13">
        <v>43001.276516203703</v>
      </c>
      <c r="G223" s="7">
        <v>104</v>
      </c>
      <c r="H223" s="21" t="s">
        <v>570</v>
      </c>
      <c r="I223" s="13">
        <v>43001.287974537037</v>
      </c>
      <c r="J223" s="7">
        <v>0</v>
      </c>
      <c r="K223" s="89" t="str">
        <f t="shared" si="121"/>
        <v>4011/4012</v>
      </c>
      <c r="L223" s="185" t="str">
        <f>VLOOKUP(A223,'Trips&amp;Operators'!$C$1:$G$99911,5,FALSE)</f>
        <v>DE LA ROSA ALEX</v>
      </c>
      <c r="M223" s="6">
        <f t="shared" si="122"/>
        <v>1.1458333334303461E-2</v>
      </c>
      <c r="N223" s="7">
        <f t="shared" si="119"/>
        <v>16.500000001396984</v>
      </c>
      <c r="O223" s="7"/>
      <c r="P223" s="7"/>
      <c r="Q223" s="22"/>
      <c r="R223" s="174"/>
      <c r="S223" s="221">
        <f t="shared" si="120"/>
        <v>1</v>
      </c>
      <c r="T223" s="174" t="str">
        <f t="shared" si="123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24"/>
        <v>https://d0f6bd738d7f1b3e5a7ca70fe4ff75f0.us-east-1.aws.found.io/app/kibana#/discover/Steve-Slow-Train-Analysis-(2080s-and-2083s)?_g=(refreshInterval:(display:Off,pause:!f,section:0,value:0),time:(from:'2017-09-23T05:32:00-0600',mode:absolute,to:'2017-09-23T07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3" s="204" t="str">
        <f>IF(AA223&lt;VLOOKUP(AG223,Variables!$AC$3:$AD$8,2,FALSE),"Y","N")</f>
        <v>Y</v>
      </c>
      <c r="X223" s="204">
        <f t="shared" si="116"/>
        <v>0</v>
      </c>
      <c r="Y223" s="204">
        <f t="shared" si="117"/>
        <v>2.2322000000000002</v>
      </c>
      <c r="Z223" s="204">
        <f t="shared" si="118"/>
        <v>0.11600000000000001</v>
      </c>
      <c r="AA223" s="204">
        <f t="shared" si="125"/>
        <v>2.1162000000000001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26"/>
        <v>60</v>
      </c>
      <c r="AE223" s="77" t="str">
        <f t="shared" si="127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223" s="74" t="str">
        <f t="shared" si="128"/>
        <v>"C:\Program Files (x86)\AstroGrep\AstroGrep.exe" /e /r /s /spath="%USERPROFILE%\AppData\Local\Temp\OnboardLogs" /stypes="app*4011*20170923*" /stext=" 12:.+((SYSTEM_STATE.+slice.+state.+changed )|(ment ac)|(multiple cpu faults)|(system.+state.+changed )|(\[timeout)|(PRM\|1\|D)|(kpr)|(kdp)|(train st.+moving)|(\|lc)|(penalty))"</v>
      </c>
      <c r="AG223" s="182" t="str">
        <f t="shared" si="129"/>
        <v>Shuttle/Test</v>
      </c>
      <c r="AH223" s="78" t="str">
        <f t="shared" si="130"/>
        <v>"%USERPROFILE%\Documents\GitHub\eaglep3\Utilities\RefineRTDCRunTimes.py" --tripid 60-23 --locoid 4011 --swversion DE.1.0.9.0 --startMP 300:22322 --initTime 2017-09-23T06:32:00 --startdatetime 2017-09-23T06:38:11 --delay 104 --endMP 204:1160 --enddatetime 2017-09-23T06:54:41 --enforcementcount 0 &gt;&gt;c:\users\stu\Documents\GitHub\eaglep3-reporting\EC\2017-09-23-refined-times.txt</v>
      </c>
      <c r="AI223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0.116"},{"id":17,"name":"Train ID","value":"60-23"},{"id":16,"name":"Locomotive ID","value":"4011"},{"id":130,"name":"Impact","value":""},{"id":150,"name":"Time of Event (Mountain Time)","value":"06:54:41"},{"id":151,"name":"Denver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132"/>
        <v>start /low /b %USERPROFILE%\Documents\GitHub\eaglep3\Utilities\DownloadLogsFromS3.py --loco 4011 --day 2017-09-23</v>
      </c>
      <c r="AN223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12:54:41"},{"id":29,"name":"Sharepoint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34"/>
        <v>https://d0f6bd738d7f1b3e5a7ca70fe4ff75f0.us-east-1.aws.found.io/app/kibana#/discover/Steve-Slow-Train-Analysis-(2080s-and-2083s)?_g=(refreshInterval:(display:Off,pause:!f,section:0,value:0),time:(from:'2017-09-23T05:32:00-0600',mode:absolute,to:'2017-09-23T07:54:41-0600'))&amp;_a=(columns:!('Message%20ID',Summary),filters:!(),index:'emp_*',interval:auto,query:(query_string:(analyze_wildcard:!t,query:'Message%5C+ID:(*)+AND+%22rtdc.l.rtdc.4011%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758</v>
      </c>
      <c r="B224" s="7">
        <v>4011</v>
      </c>
      <c r="C224" s="21" t="s">
        <v>196</v>
      </c>
      <c r="D224" s="21" t="s">
        <v>976</v>
      </c>
      <c r="E224" s="13">
        <v>43001.698622685188</v>
      </c>
      <c r="F224" s="13">
        <v>43001.700740740744</v>
      </c>
      <c r="G224" s="7">
        <v>102</v>
      </c>
      <c r="H224" s="21" t="s">
        <v>977</v>
      </c>
      <c r="I224" s="13">
        <v>43001.707418981481</v>
      </c>
      <c r="J224" s="7">
        <v>0</v>
      </c>
      <c r="K224" s="89" t="str">
        <f t="shared" si="121"/>
        <v>4011/4012</v>
      </c>
      <c r="L224" s="185" t="str">
        <f>VLOOKUP(A224,'Trips&amp;Operators'!$C$1:$G$99911,5,FALSE)</f>
        <v>CASSIDY BRANDON</v>
      </c>
      <c r="M224" s="6">
        <f t="shared" si="122"/>
        <v>6.6782407375285402E-3</v>
      </c>
      <c r="N224" s="7">
        <f t="shared" si="119"/>
        <v>9.6166666620410979</v>
      </c>
      <c r="O224" s="7"/>
      <c r="P224" s="7"/>
      <c r="Q224" s="22"/>
      <c r="R224" s="174"/>
      <c r="S224" s="221">
        <f t="shared" si="120"/>
        <v>0</v>
      </c>
      <c r="T224" s="174" t="str">
        <f t="shared" si="123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24"/>
        <v>https://d0f6bd738d7f1b3e5a7ca70fe4ff75f0.us-east-1.aws.found.io/app/kibana#/discover/Steve-Slow-Train-Analysis-(2080s-and-2083s)?_g=(refreshInterval:(display:Off,pause:!f,section:0,value:0),time:(from:'2017-09-23T15:46:01-0600',mode:absolute,to:'2017-09-23T17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4" s="204" t="str">
        <f>IF(AA224&lt;VLOOKUP(AG224,Variables!$AC$3:$AD$8,2,FALSE),"Y","N")</f>
        <v>Y</v>
      </c>
      <c r="X224" s="204">
        <f t="shared" si="116"/>
        <v>15</v>
      </c>
      <c r="Y224" s="204">
        <f t="shared" si="117"/>
        <v>0.55720000000000003</v>
      </c>
      <c r="Z224" s="204">
        <f t="shared" si="118"/>
        <v>0.21609999999999999</v>
      </c>
      <c r="AA224" s="204">
        <f t="shared" si="125"/>
        <v>0.34110000000000007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26"/>
        <v>75</v>
      </c>
      <c r="AE224" s="77" t="str">
        <f t="shared" si="127"/>
        <v>aws s3 cp s3://rtdc.mdm.uploadarchive.raw/RTDC4011/ "%USERPROFILE%\AppData\Local\Temp\OnboardLogs"\RTDC4011\2017-09-23 --exclude "*" --recursive --include "*20170923*" &amp; "%USERPROFILE%\Documents\GitHub\mrs-test-scripts\Headless Mode &amp; Sideloading\WalkAndUnGZ.bat" "%USERPROFILE%\AppData\Local\Temp\OnboardLogs"\RTDC4011\2017-09-23 &amp; aws s3 cp s3://rtdc.mdm.uploadarchive.raw/RTDC4011/ "%USERPROFILE%\AppData\Local\Temp\OnboardLogs"\RTDC4011\2017-09-24 --exclude "*" --recursive --include "*20170924*" &amp; "%USERPROFILE%\Documents\GitHub\mrs-test-scripts\Headless Mode &amp; Sideloading\WalkAndUnGZ.bat" "%USERPROFILE%\AppData\Local\Temp\OnboardLogs"\RTDC4011\2017-09-24</v>
      </c>
      <c r="AF224" s="74" t="str">
        <f t="shared" si="128"/>
        <v>"C:\Program Files (x86)\AstroGrep\AstroGrep.exe" /e /r /s /spath="%USERPROFILE%\AppData\Local\Temp\OnboardLogs" /stypes="app*4011*20170923*" /stext=" 22:.+((SYSTEM_STATE.+slice.+state.+changed )|(ment ac)|(multiple cpu faults)|(system.+state.+changed )|(\[timeout)|(PRM\|1\|D)|(kpr)|(kdp)|(train st.+moving)|(\|lc)|(penalty))"</v>
      </c>
      <c r="AG224" s="182" t="str">
        <f t="shared" si="129"/>
        <v>Shuttle/Test</v>
      </c>
      <c r="AH224" s="78" t="str">
        <f t="shared" si="130"/>
        <v>"%USERPROFILE%\Documents\GitHub\eaglep3\Utilities\RefineRTDCRunTimes.py" --tripid 75-23 --locoid 4011 --swversion DE.1.0.9.0 --startMP 300:5572 --initTime 2017-09-23T16:46:01 --startdatetime 2017-09-23T16:49:04 --delay 102 --endMP 204:2161 --enddatetime 2017-09-23T16:58:41 --enforcementcount 0 &gt;&gt;c:\users\stu\Documents\GitHub\eaglep3-reporting\EC\2017-09-23-refined-times.txt</v>
      </c>
      <c r="AI224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0.2161"},{"id":17,"name":"Train ID","value":"75-23"},{"id":16,"name":"Locomotive ID","value":"4011"},{"id":130,"name":"Impact","value":""},{"id":150,"name":"Time of Event (Mountain Time)","value":"16:58:41"},{"id":151,"name":"Denver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32"/>
        <v>start /low /b %USERPROFILE%\Documents\GitHub\eaglep3\Utilities\DownloadLogsFromS3.py --loco 4011 --day 2017-09-23</v>
      </c>
      <c r="AN224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34"/>
        <v>https://d0f6bd738d7f1b3e5a7ca70fe4ff75f0.us-east-1.aws.found.io/app/kibana#/discover/Steve-Slow-Train-Analysis-(2080s-and-2083s)?_g=(refreshInterval:(display:Off,pause:!f,section:0,value:0),time:(from:'2017-09-23T15:46:01-0600',mode:absolute,to:'2017-09-23T17:58:41-0600'))&amp;_a=(columns:!('Message%20ID',Summary),filters:!(),index:'emp_*',interval:auto,query:(query_string:(analyze_wildcard:!t,query:'Message%5C+ID:(*)+AND+%22rtdc.l.rtdc.4011%22')),sort:!(Time.ISO8601,asc))</v>
      </c>
    </row>
    <row r="225" spans="1:91" s="20" customFormat="1" x14ac:dyDescent="0.25">
      <c r="A225" s="32" t="s">
        <v>758</v>
      </c>
      <c r="B225" s="7">
        <v>4012</v>
      </c>
      <c r="C225" s="21" t="s">
        <v>196</v>
      </c>
      <c r="D225" s="21" t="s">
        <v>566</v>
      </c>
      <c r="E225" s="13">
        <v>43001.68891203704</v>
      </c>
      <c r="F225" s="13">
        <v>43001.700740740744</v>
      </c>
      <c r="G225" s="7">
        <v>468</v>
      </c>
      <c r="H225" s="21" t="s">
        <v>978</v>
      </c>
      <c r="I225" s="13">
        <v>43001.707418981481</v>
      </c>
      <c r="J225" s="7">
        <v>0</v>
      </c>
      <c r="K225" s="89" t="str">
        <f t="shared" si="121"/>
        <v>4011/4012</v>
      </c>
      <c r="L225" s="185" t="str">
        <f>VLOOKUP(A225,'Trips&amp;Operators'!$C$1:$G$99911,5,FALSE)</f>
        <v>CASSIDY BRANDON</v>
      </c>
      <c r="M225" s="6">
        <f t="shared" si="122"/>
        <v>6.6782407375285402E-3</v>
      </c>
      <c r="N225" s="7">
        <f t="shared" si="119"/>
        <v>9.6166666620410979</v>
      </c>
      <c r="O225" s="7"/>
      <c r="P225" s="7"/>
      <c r="Q225" s="22"/>
      <c r="R225" s="174"/>
      <c r="S225" s="221">
        <f t="shared" si="120"/>
        <v>0</v>
      </c>
      <c r="T225" s="174" t="str">
        <f t="shared" si="123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24"/>
        <v>https://d0f6bd738d7f1b3e5a7ca70fe4ff75f0.us-east-1.aws.found.io/app/kibana#/discover/Steve-Slow-Train-Analysis-(2080s-and-2083s)?_g=(refreshInterval:(display:Off,pause:!f,section:0,value:0),time:(from:'2017-09-23T15:32:02-0600',mode:absolute,to:'2017-09-23T17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5" s="204" t="str">
        <f>IF(AA225&lt;VLOOKUP(AG225,Variables!$AC$3:$AD$8,2,FALSE),"Y","N")</f>
        <v>Y</v>
      </c>
      <c r="X225" s="204">
        <f t="shared" si="116"/>
        <v>0</v>
      </c>
      <c r="Y225" s="204">
        <f t="shared" si="117"/>
        <v>0.1477</v>
      </c>
      <c r="Z225" s="204">
        <f t="shared" si="118"/>
        <v>0.58230000000000004</v>
      </c>
      <c r="AA225" s="204">
        <f t="shared" si="125"/>
        <v>0.43460000000000004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26"/>
        <v>75</v>
      </c>
      <c r="AE225" s="77" t="str">
        <f t="shared" si="127"/>
        <v>aws s3 cp s3://rtdc.mdm.uploadarchive.raw/RTDC4012/ "%USERPROFILE%\AppData\Local\Temp\OnboardLogs"\RTDC4012\2017-09-23 --exclude "*" --recursive --include "*20170923*" &amp; "%USERPROFILE%\Documents\GitHub\mrs-test-scripts\Headless Mode &amp; Sideloading\WalkAndUnGZ.bat" "%USERPROFILE%\AppData\Local\Temp\OnboardLogs"\RTDC4012\2017-09-23 &amp; aws s3 cp s3://rtdc.mdm.uploadarchive.raw/RTDC4012/ "%USERPROFILE%\AppData\Local\Temp\OnboardLogs"\RTDC4012\2017-09-24 --exclude "*" --recursive --include "*20170924*" &amp; "%USERPROFILE%\Documents\GitHub\mrs-test-scripts\Headless Mode &amp; Sideloading\WalkAndUnGZ.bat" "%USERPROFILE%\AppData\Local\Temp\OnboardLogs"\RTDC4012\2017-09-24</v>
      </c>
      <c r="AF225" s="74" t="str">
        <f t="shared" si="128"/>
        <v>"C:\Program Files (x86)\AstroGrep\AstroGrep.exe" /e /r /s /spath="%USERPROFILE%\AppData\Local\Temp\OnboardLogs" /stypes="app*4012*20170923*" /stext=" 22:.+((SYSTEM_STATE.+slice.+state.+changed )|(ment ac)|(multiple cpu faults)|(system.+state.+changed )|(\[timeout)|(PRM\|1\|D)|(kpr)|(kdp)|(train st.+moving)|(\|lc)|(penalty))"</v>
      </c>
      <c r="AG225" s="182" t="str">
        <f t="shared" si="129"/>
        <v>Shuttle/Test</v>
      </c>
      <c r="AH225" s="78" t="str">
        <f t="shared" si="130"/>
        <v>"%USERPROFILE%\Documents\GitHub\eaglep3\Utilities\RefineRTDCRunTimes.py" --tripid 75-23 --locoid 4012 --swversion DE.1.0.9.0 --startMP 204:1477 --initTime 2017-09-23T16:32:02 --startdatetime 2017-09-23T16:49:04 --delay 468 --endMP 300:5823 --enddatetime 2017-09-23T16:58:41 --enforcementcount 0 &gt;&gt;c:\users\stu\Documents\GitHub\eaglep3-reporting\EC\2017-09-23-refined-times.txt</v>
      </c>
      <c r="AI225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0.5823"},{"id":17,"name":"Train ID","value":"75-23"},{"id":16,"name":"Locomotive ID","value":"4012"},{"id":130,"name":"Impact","value":""},{"id":150,"name":"Time of Event (Mountain Time)","value":"16:58:41"},{"id":151,"name":"Denver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132"/>
        <v>start /low /b %USERPROFILE%\Documents\GitHub\eaglep3\Utilities\DownloadLogsFromS3.py --loco 4012 --day 2017-09-23</v>
      </c>
      <c r="AN225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22:58:41"},{"id":29,"name":"Sharepoint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34"/>
        <v>https://d0f6bd738d7f1b3e5a7ca70fe4ff75f0.us-east-1.aws.found.io/app/kibana#/discover/Steve-Slow-Train-Analysis-(2080s-and-2083s)?_g=(refreshInterval:(display:Off,pause:!f,section:0,value:0),time:(from:'2017-09-23T15:32:02-0600',mode:absolute,to:'2017-09-23T17:58:41-0600'))&amp;_a=(columns:!('Message%20ID',Summary),filters:!(),index:'emp_*',interval:auto,query:(query_string:(analyze_wildcard:!t,query:'Message%5C+ID:(*)+AND+%22rtdc.l.rtdc.4012%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757</v>
      </c>
      <c r="B226" s="7">
        <v>4046</v>
      </c>
      <c r="C226" s="21" t="s">
        <v>196</v>
      </c>
      <c r="D226" s="21" t="s">
        <v>979</v>
      </c>
      <c r="E226" s="13">
        <v>43001.692476851851</v>
      </c>
      <c r="F226" s="13">
        <v>43001.697430555556</v>
      </c>
      <c r="G226" s="7">
        <v>122</v>
      </c>
      <c r="H226" s="21" t="s">
        <v>464</v>
      </c>
      <c r="I226" s="13">
        <v>43001.720069444447</v>
      </c>
      <c r="J226" s="7">
        <v>0</v>
      </c>
      <c r="K226" s="89" t="str">
        <f t="shared" si="121"/>
        <v>4045/4046</v>
      </c>
      <c r="L226" s="185" t="str">
        <f>VLOOKUP(A226,'Trips&amp;Operators'!$C$1:$G$99911,5,FALSE)</f>
        <v>DELGADO DIANAH</v>
      </c>
      <c r="M226" s="6">
        <f t="shared" si="122"/>
        <v>2.2638888891378883E-2</v>
      </c>
      <c r="N226" s="7">
        <f t="shared" si="119"/>
        <v>32.600000003585592</v>
      </c>
      <c r="O226" s="7"/>
      <c r="P226" s="7"/>
      <c r="Q226" s="22"/>
      <c r="R226" s="174"/>
      <c r="S226" s="221">
        <f t="shared" si="120"/>
        <v>1</v>
      </c>
      <c r="T226" s="174" t="str">
        <f t="shared" si="123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24"/>
        <v>https://d0f6bd738d7f1b3e5a7ca70fe4ff75f0.us-east-1.aws.found.io/app/kibana#/discover/Steve-Slow-Train-Analysis-(2080s-and-2083s)?_g=(refreshInterval:(display:Off,pause:!f,section:0,value:0),time:(from:'2017-09-23T15:37:10-0600',mode:absolute,to:'2017-09-23T18:16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204" t="str">
        <f>IF(AA226&lt;VLOOKUP(AG226,Variables!$AC$3:$AD$8,2,FALSE),"Y","N")</f>
        <v>Y</v>
      </c>
      <c r="X226" s="204">
        <f t="shared" si="116"/>
        <v>2</v>
      </c>
      <c r="Y226" s="204">
        <f t="shared" si="117"/>
        <v>0.1147</v>
      </c>
      <c r="Z226" s="204">
        <f t="shared" si="118"/>
        <v>2.3306</v>
      </c>
      <c r="AA226" s="204">
        <f t="shared" si="125"/>
        <v>2.2159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26"/>
        <v>77</v>
      </c>
      <c r="AE226" s="77" t="str">
        <f t="shared" si="127"/>
        <v>aws s3 cp s3://rtdc.mdm.uploadarchive.raw/RTDC4046/ "%USERPROFILE%\AppData\Local\Temp\OnboardLogs"\RTDC4046\2017-09-23 --exclude "*" --recursive --include "*20170923*" &amp; "%USERPROFILE%\Documents\GitHub\mrs-test-scripts\Headless Mode &amp; Sideloading\WalkAndUnGZ.bat" "%USERPROFILE%\AppData\Local\Temp\OnboardLogs"\RTDC4046\2017-09-23 &amp; 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</v>
      </c>
      <c r="AF226" s="74" t="str">
        <f t="shared" si="128"/>
        <v>"C:\Program Files (x86)\AstroGrep\AstroGrep.exe" /e /r /s /spath="%USERPROFILE%\AppData\Local\Temp\OnboardLogs" /stypes="app*4046*20170923*" /stext=" 23:.+((SYSTEM_STATE.+slice.+state.+changed )|(ment ac)|(multiple cpu faults)|(system.+state.+changed )|(\[timeout)|(PRM\|1\|D)|(kpr)|(kdp)|(train st.+moving)|(\|lc)|(penalty))"</v>
      </c>
      <c r="AG226" s="182" t="str">
        <f t="shared" si="129"/>
        <v>Shuttle/Test</v>
      </c>
      <c r="AH226" s="78" t="str">
        <f t="shared" si="130"/>
        <v>"%USERPROFILE%\Documents\GitHub\eaglep3\Utilities\RefineRTDCRunTimes.py" --tripid 77-23 --locoid 4046 --swversion DE.1.0.9.0 --startMP 204:1147 --initTime 2017-09-23T16:37:10 --startdatetime 2017-09-23T16:44:18 --delay 122 --endMP 300:23306 --enddatetime 2017-09-23T17:16:54 --enforcementcount 0 &gt;&gt;c:\users\stu\Documents\GitHub\eaglep3-reporting\EC\2017-09-23-refined-times.txt</v>
      </c>
      <c r="AI226" s="96" t="str">
        <f t="shared" si="131"/>
        <v>echo {"issue":{"subject":"","project_id":79,"tracker_id":40,"status_id":1,"priority_id":2,"assigned_to_id":338,"start_date":"2017-09-23","description":"","custom_fields":[{"id":1,"name":"Subdivision","value":"Shuttle/Test"},{"id":4,"name":"Milepost","value":"2.3306"},{"id":17,"name":"Train ID","value":"77-23"},{"id":16,"name":"Locomotive ID","value":"4046"},{"id":130,"name":"Impact","value":""},{"id":150,"name":"Time of Event (Mountain Time)","value":"17:16:54"},{"id":151,"name":"Denver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32"/>
        <v>start /low /b %USERPROFILE%\Documents\GitHub\eaglep3\Utilities\DownloadLogsFromS3.py --loco 4046 --day 2017-09-23</v>
      </c>
      <c r="AN226" s="151" t="str">
        <f t="shared" si="133"/>
        <v>echo {"issue":{"subject":"","project_id":30,"tracker_id":4,"status_id":1,"priority_id":1,"assigned_to_id":10,"start_date":"2017-09-23","description":"","custom_fields":[{"id":30,"name":"Category","value":"Issue"},{"id":3,"name":"Functional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UTC","value":"2017-09-23 23:16:54"},{"id":29,"name":"Sharepoint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34"/>
        <v>https://d0f6bd738d7f1b3e5a7ca70fe4ff75f0.us-east-1.aws.found.io/app/kibana#/discover/Steve-Slow-Train-Analysis-(2080s-and-2083s)?_g=(refreshInterval:(display:Off,pause:!f,section:0,value:0),time:(from:'2017-09-23T15:37:10-0600',mode:absolute,to:'2017-09-23T18:16:54-0600'))&amp;_a=(columns:!('Message%20ID',Summary),filters:!(),index:'emp_*',interval:auto,query:(query_string:(analyze_wildcard:!t,query:'Message%5C+ID:(*)+AND+%22rtdc.l.rtdc.4046%22')),sort:!(Time.ISO8601,asc))</v>
      </c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</sheetData>
  <autoFilter ref="A12:AG313">
    <sortState ref="A13:AG313">
      <sortCondition ref="AG13:AG226"/>
      <sortCondition ref="AD13:AD226"/>
    </sortState>
  </autoFilter>
  <sortState ref="A13:AN262">
    <sortCondition ref="AG13:AG262"/>
    <sortCondition ref="AD13:AD262"/>
  </sortState>
  <mergeCells count="1">
    <mergeCell ref="A11:P11"/>
  </mergeCells>
  <conditionalFormatting sqref="W11:W12 W319:X1048576 W13:X226">
    <cfRule type="cellIs" dxfId="10" priority="422" operator="equal">
      <formula>"Y"</formula>
    </cfRule>
  </conditionalFormatting>
  <conditionalFormatting sqref="X319:X1048576 X13:X226">
    <cfRule type="cellIs" dxfId="9" priority="405" operator="greaterThan">
      <formula>1</formula>
    </cfRule>
  </conditionalFormatting>
  <conditionalFormatting sqref="X319:X1048576 X12:X226">
    <cfRule type="cellIs" dxfId="8" priority="402" operator="equal">
      <formula>0</formula>
    </cfRule>
  </conditionalFormatting>
  <conditionalFormatting sqref="A13:S226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COUNTIF($O$7:$O$246,"=Y")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COUNTA($O$7:$O$246)-O2</f>
        <v>39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- 2017-09-23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355</v>
      </c>
      <c r="X6" s="181" t="s">
        <v>348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43001.942013888889</v>
      </c>
      <c r="B7" s="30" t="s">
        <v>601</v>
      </c>
      <c r="C7" s="30" t="s">
        <v>613</v>
      </c>
      <c r="D7" s="30" t="s">
        <v>49</v>
      </c>
      <c r="E7" s="30" t="s">
        <v>186</v>
      </c>
      <c r="F7" s="42">
        <v>0</v>
      </c>
      <c r="G7" s="42">
        <v>194</v>
      </c>
      <c r="H7" s="42">
        <v>26993</v>
      </c>
      <c r="I7" s="42">
        <v>27156</v>
      </c>
      <c r="J7" s="30" t="s">
        <v>187</v>
      </c>
      <c r="K7" s="42">
        <v>27053</v>
      </c>
      <c r="L7" s="131" t="s">
        <v>50</v>
      </c>
      <c r="M7" s="132">
        <f t="shared" ref="M7:M48" si="0">CONVERT((I7-K7)/10000,"mi","ft")*IF(L7="Increasing Mileposts (1)",-1,1)</f>
        <v>-54.384</v>
      </c>
      <c r="N7" s="133" t="str">
        <f>VLOOKUP(C7,'Trips&amp;Operators'!$C$1:$G$99911,5,FALSE)</f>
        <v>PERKINS DARREN</v>
      </c>
      <c r="O7" s="176" t="s">
        <v>179</v>
      </c>
      <c r="P7" s="134" t="s">
        <v>366</v>
      </c>
      <c r="Q7" s="30"/>
      <c r="R7" s="81" t="str">
        <f>VLOOKUP(C7,'Train Runs'!$A$13:$AE$9972,31,0)</f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S7" s="84" t="str">
        <f>VLOOKUP(C7,'Train Runs'!$A$13:$AE$9972,22,0)</f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/stypes="*4026*201709240*" /stext=" 04:.+((SYSTEM_STATE.+slice.+state.+changed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4026</v>
      </c>
      <c r="V7" s="31">
        <f t="shared" ref="V7:V48" si="3">A7-utc_offset/24</f>
        <v>43002.192013888889</v>
      </c>
      <c r="W7" s="45" t="str">
        <f t="shared" ref="W7:W48" si="4">DetSubdiv(C7)</f>
        <v>EC</v>
      </c>
      <c r="X7" s="22">
        <f t="shared" ref="X7:X48" si="5">VALUE(LEFT(C7,LEN(C7)-3))</f>
        <v>235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Arrival","project_id":79,"tracker_id":40,"status_id":1,"priority_id":2,"assigned_to_id":338,"start_date":"2017-09-23","description":"","custom_fields":[{"id":1,"name":"Subdivision","value":"EC"},{"id":4,"name":"Milepost","value":"2.7053"},{"id":17,"name":"Train ID","value":"235-23"},{"id":16,"name":"Locomotive ID","value":"4026"},{"id":130,"name":"Impact","value":""},{"id":150,"name":"Time of Event (Mountain Time)","value":"22:36:30"},{"id":151,"name":"Denver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/c/Users/stu/AppData/Local/Temp/OnboardLogs/RTDC4026 --include="*4026*201709240*"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"%USERPROFILE%\AppData\Local\Temp\OnboardLogs"\RTDC4026\*4026*201709240* &gt;&gt; 2017-09-23-SliceDisagreementCheck.txt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4026 --day 2017-09-24</v>
      </c>
    </row>
    <row r="8" spans="1:32" s="1" customFormat="1" x14ac:dyDescent="0.25">
      <c r="A8" s="31">
        <v>43001.831701388888</v>
      </c>
      <c r="B8" s="30" t="s">
        <v>609</v>
      </c>
      <c r="C8" s="30" t="s">
        <v>610</v>
      </c>
      <c r="D8" s="30" t="s">
        <v>95</v>
      </c>
      <c r="E8" s="30" t="s">
        <v>186</v>
      </c>
      <c r="F8" s="42">
        <v>0</v>
      </c>
      <c r="G8" s="42">
        <v>92</v>
      </c>
      <c r="H8" s="42">
        <v>27331</v>
      </c>
      <c r="I8" s="42">
        <v>27261</v>
      </c>
      <c r="J8" s="30" t="s">
        <v>187</v>
      </c>
      <c r="K8" s="42">
        <v>27350</v>
      </c>
      <c r="L8" s="131" t="s">
        <v>51</v>
      </c>
      <c r="M8" s="132">
        <f t="shared" si="0"/>
        <v>-46.991999999999997</v>
      </c>
      <c r="N8" s="133" t="str">
        <f>VLOOKUP(C8,'Trips&amp;Operators'!$C$1:$G$99911,5,FALSE)</f>
        <v>PERKINS DARREN</v>
      </c>
      <c r="O8" s="176" t="s">
        <v>179</v>
      </c>
      <c r="P8" s="134" t="s">
        <v>366</v>
      </c>
      <c r="Q8" s="30"/>
      <c r="R8" s="81" t="str">
        <f>VLOOKUP(C8,'Train Runs'!$A$13:$AE$9972,31,0)</f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S8" s="84" t="str">
        <f>VLOOKUP(C8,'Train Runs'!$A$13:$AE$9972,22,0)</f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86" t="str">
        <f t="shared" si="1"/>
        <v>"C:\Program Files (x86)\AstroGrep\AstroGrep.exe" /e /r /s /spath="%USERPROFILE%\AppData\Local\Temp\OnboardLogs" /stypes="*4025*201709240*" /stext=" 01:.+((SYSTEM_STATE.+slice.+state.+changed )|(ment ac)|(multiple cpu faults)|(system.+state.+changed )|(\[timeout)|(PRM\|1\|D)|(kpr)|(kdp)|(train st.+moving)|(\|lc)|(penalty))"</v>
      </c>
      <c r="U8" s="9" t="str">
        <f t="shared" si="2"/>
        <v>4025</v>
      </c>
      <c r="V8" s="31">
        <f t="shared" si="3"/>
        <v>43002.081701388888</v>
      </c>
      <c r="W8" s="45" t="str">
        <f t="shared" si="4"/>
        <v>EC</v>
      </c>
      <c r="X8" s="22">
        <f t="shared" si="5"/>
        <v>220</v>
      </c>
      <c r="Y8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Arrival","project_id":79,"tracker_id":40,"status_id":1,"priority_id":2,"assigned_to_id":338,"start_date":"2017-09-23","description":"","custom_fields":[{"id":1,"name":"Subdivision","value":"EC"},{"id":4,"name":"Milepost","value":"2.735"},{"id":17,"name":"Train ID","value":"220-23"},{"id":16,"name":"Locomotive ID","value":"4025"},{"id":130,"name":"Impact","value":""},{"id":150,"name":"Time of Event (Mountain Time)","value":"19:57:39"},{"id":151,"name":"Denver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/c/Users/stu/AppData/Local/Temp/OnboardLogs/RTDC4025 --include="*4025*201709240*"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"%USERPROFILE%\AppData\Local\Temp\OnboardLogs"\RTDC4025\*4025*201709240* &gt;&gt; 2017-09-23-SliceDisagreementCheck.txt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4025 --day 2017-09-24</v>
      </c>
    </row>
    <row r="9" spans="1:32" s="1" customFormat="1" x14ac:dyDescent="0.25">
      <c r="A9" s="31">
        <v>43001.601006944446</v>
      </c>
      <c r="B9" s="30" t="s">
        <v>418</v>
      </c>
      <c r="C9" s="30" t="s">
        <v>600</v>
      </c>
      <c r="D9" s="30" t="s">
        <v>49</v>
      </c>
      <c r="E9" s="30" t="s">
        <v>186</v>
      </c>
      <c r="F9" s="42">
        <v>360</v>
      </c>
      <c r="G9" s="42">
        <v>448</v>
      </c>
      <c r="H9" s="42">
        <v>44371</v>
      </c>
      <c r="I9" s="42">
        <v>42848</v>
      </c>
      <c r="J9" s="30" t="s">
        <v>187</v>
      </c>
      <c r="K9" s="42">
        <v>42961</v>
      </c>
      <c r="L9" s="131" t="s">
        <v>51</v>
      </c>
      <c r="M9" s="132">
        <f t="shared" si="0"/>
        <v>-59.664000000000001</v>
      </c>
      <c r="N9" s="133" t="str">
        <f>VLOOKUP(C9,'Trips&amp;Operators'!$C$1:$G$99911,5,FALSE)</f>
        <v>DAVIS MICHAEL</v>
      </c>
      <c r="O9" s="176" t="s">
        <v>179</v>
      </c>
      <c r="P9" s="134" t="s">
        <v>366</v>
      </c>
      <c r="Q9" s="30"/>
      <c r="R9" s="81" t="str">
        <f>VLOOKUP(C9,'Train Runs'!$A$13:$AE$9972,31,0)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S9" s="84" t="str">
        <f>VLOOKUP(C9,'Train Runs'!$A$13:$AE$9972,22,0)</f>
        <v>https://d0f6bd738d7f1b3e5a7ca70fe4ff75f0.us-east-1.aws.found.io/app/kibana#/discover/Steve-Slow-Train-Analysis-(2080s-and-2083s)?_g=(refreshInterval:(display:Off,pause:!f,section:0,value:0),time:(from:'2017-09-23T12:53:23-0600',mode:absolute,to:'2017-09-23T15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9" s="86" t="str">
        <f t="shared" si="1"/>
        <v>"C:\Program Files (x86)\AstroGrep\AstroGrep.exe" /e /r /s /spath="%USERPROFILE%\AppData\Local\Temp\OnboardLogs" /stypes="*4057*201709232*"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4057</v>
      </c>
      <c r="V9" s="31">
        <f t="shared" si="3"/>
        <v>43001.851006944446</v>
      </c>
      <c r="W9" s="45" t="str">
        <f t="shared" si="4"/>
        <v>EC</v>
      </c>
      <c r="X9" s="22">
        <f t="shared" si="5"/>
        <v>176</v>
      </c>
      <c r="Y9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Arrival","project_id":79,"tracker_id":40,"status_id":1,"priority_id":2,"assigned_to_id":338,"start_date":"2017-09-23","description":"","custom_fields":[{"id":1,"name":"Subdivision","value":"EC"},{"id":4,"name":"Milepost","value":"4.2961"},{"id":17,"name":"Train ID","value":"176-23"},{"id":16,"name":"Locomotive ID","value":"4057"},{"id":130,"name":"Impact","value":""},{"id":150,"name":"Time of Event (Mountain Time)","value":"14:25:27"},{"id":151,"name":"Denver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/c/Users/stu/AppData/Local/Temp/OnboardLogs/RTDC4057 --include="*4057*201709232*"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"%USERPROFILE%\AppData\Local\Temp\OnboardLogs"\RTDC4057\*4057*201709232* &gt;&gt; 2017-09-23-SliceDisagreementCheck.txt</v>
      </c>
      <c r="AE9" s="145" t="str">
        <f t="shared" si="9"/>
        <v>start /low /b %USERPROFILE%\Documents\GitHub\eaglep3\Utilities\DownloadLogsFromS3.py --loco 4057 --day 2017-09-23</v>
      </c>
    </row>
    <row r="10" spans="1:32" s="1" customFormat="1" x14ac:dyDescent="0.25">
      <c r="A10" s="31">
        <v>43001.633715277778</v>
      </c>
      <c r="B10" s="30" t="s">
        <v>601</v>
      </c>
      <c r="C10" s="30" t="s">
        <v>602</v>
      </c>
      <c r="D10" s="30" t="s">
        <v>49</v>
      </c>
      <c r="E10" s="30" t="s">
        <v>186</v>
      </c>
      <c r="F10" s="42">
        <v>410</v>
      </c>
      <c r="G10" s="42">
        <v>467</v>
      </c>
      <c r="H10" s="42">
        <v>57704</v>
      </c>
      <c r="I10" s="42">
        <v>59132</v>
      </c>
      <c r="J10" s="30" t="s">
        <v>187</v>
      </c>
      <c r="K10" s="42">
        <v>58783</v>
      </c>
      <c r="L10" s="131" t="s">
        <v>50</v>
      </c>
      <c r="M10" s="132">
        <f t="shared" si="0"/>
        <v>-184.27199999999999</v>
      </c>
      <c r="N10" s="133" t="str">
        <f>VLOOKUP(C10,'Trips&amp;Operators'!$C$1:$G$99911,5,FALSE)</f>
        <v>SAFIEF AEIMEN</v>
      </c>
      <c r="O10" s="176" t="s">
        <v>179</v>
      </c>
      <c r="P10" s="134" t="s">
        <v>366</v>
      </c>
      <c r="Q10" s="30"/>
      <c r="R10" s="81" t="str">
        <f>VLOOKUP(C10,'Train Runs'!$A$13:$AE$9972,31,0)</f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S10" s="84" t="str">
        <f>VLOOKUP(C10,'Train Runs'!$A$13:$AE$9972,22,0)</f>
        <v>https://d0f6bd738d7f1b3e5a7ca70fe4ff75f0.us-east-1.aws.found.io/app/kibana#/discover/Steve-Slow-Train-Analysis-(2080s-and-2083s)?_g=(refreshInterval:(display:Off,pause:!f,section:0,value:0),time:(from:'2017-09-23T13:54:34-0600',mode:absolute,to:'2017-09-23T16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0" s="86" t="str">
        <f t="shared" si="1"/>
        <v>"C:\Program Files (x86)\AstroGrep\AstroGrep.exe" /e /r /s /spath="%USERPROFILE%\AppData\Local\Temp\OnboardLogs" /stypes="*4026*201709232*"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4026</v>
      </c>
      <c r="V10" s="31">
        <f t="shared" si="3"/>
        <v>43001.883715277778</v>
      </c>
      <c r="W10" s="45" t="str">
        <f t="shared" si="4"/>
        <v>EC</v>
      </c>
      <c r="X10" s="22">
        <f t="shared" si="5"/>
        <v>191</v>
      </c>
      <c r="Y10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Arrival","project_id":79,"tracker_id":40,"status_id":1,"priority_id":2,"assigned_to_id":338,"start_date":"2017-09-23","description":"","custom_fields":[{"id":1,"name":"Subdivision","value":"EC"},{"id":4,"name":"Milepost","value":"5.8783"},{"id":17,"name":"Train ID","value":"191-23"},{"id":16,"name":"Locomotive ID","value":"4026"},{"id":130,"name":"Impact","value":""},{"id":150,"name":"Time of Event (Mountain Time)","value":"15:12:33"},{"id":151,"name":"Denver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/c/Users/stu/AppData/Local/Temp/OnboardLogs/RTDC4026 --include="*4026*201709232*"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"%USERPROFILE%\AppData\Local\Temp\OnboardLogs"\RTDC4026\*4026*201709232* &gt;&gt; 2017-09-23-SliceDisagreementCheck.txt</v>
      </c>
      <c r="AE10" s="145" t="str">
        <f t="shared" si="9"/>
        <v>start /low /b %USERPROFILE%\Documents\GitHub\eaglep3\Utilities\DownloadLogsFromS3.py --loco 4026 --day 2017-09-23</v>
      </c>
    </row>
    <row r="11" spans="1:32" s="1" customFormat="1" x14ac:dyDescent="0.25">
      <c r="A11" s="31">
        <v>43001.207615740743</v>
      </c>
      <c r="B11" s="30" t="s">
        <v>425</v>
      </c>
      <c r="C11" s="30" t="s">
        <v>582</v>
      </c>
      <c r="D11" s="30" t="s">
        <v>49</v>
      </c>
      <c r="E11" s="30" t="s">
        <v>186</v>
      </c>
      <c r="F11" s="42">
        <v>0</v>
      </c>
      <c r="G11" s="42">
        <v>384</v>
      </c>
      <c r="H11" s="42">
        <v>62797</v>
      </c>
      <c r="I11" s="42">
        <v>63794</v>
      </c>
      <c r="J11" s="30" t="s">
        <v>187</v>
      </c>
      <c r="K11" s="42">
        <v>63069</v>
      </c>
      <c r="L11" s="131" t="s">
        <v>50</v>
      </c>
      <c r="M11" s="132">
        <f t="shared" si="0"/>
        <v>-382.8</v>
      </c>
      <c r="N11" s="133" t="str">
        <f>VLOOKUP(C11,'Trips&amp;Operators'!$C$1:$G$99911,5,FALSE)</f>
        <v>HUFFSMITH MONTY</v>
      </c>
      <c r="O11" s="176" t="s">
        <v>179</v>
      </c>
      <c r="P11" s="134" t="s">
        <v>366</v>
      </c>
      <c r="Q11" s="30"/>
      <c r="R11" s="81" t="str">
        <f>VLOOKUP(C11,'Train Runs'!$A$13:$AE$9972,31,0)</f>
        <v>aws s3 cp s3://rtdc.mdm.uploadarchive.raw/RTDC4024/ "%USERPROFILE%\AppData\Local\Temp\OnboardLogs"\RTDC4024\2017-09-23 --exclude "*" --recursive --include "*20170923*" &amp; "%USERPROFILE%\Documents\GitHub\mrs-test-scripts\Headless Mode &amp; Sideloading\WalkAndUnGZ.bat" "%USERPROFILE%\AppData\Local\Temp\OnboardLogs"\RTDC4024\2017-09-23 &amp; 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</v>
      </c>
      <c r="S11" s="84" t="str">
        <f>VLOOKUP(C11,'Train Runs'!$A$13:$AE$9972,22,0)</f>
        <v>https://d0f6bd738d7f1b3e5a7ca70fe4ff75f0.us-east-1.aws.found.io/app/kibana#/discover/Steve-Slow-Train-Analysis-(2080s-and-2083s)?_g=(refreshInterval:(display:Off,pause:!f,section:0,value:0),time:(from:'2017-09-23T03:38:58-0600',mode:absolute,to:'2017-09-23T06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1" s="86" t="str">
        <f t="shared" si="1"/>
        <v>"C:\Program Files (x86)\AstroGrep\AstroGrep.exe" /e /r /s /spath="%USERPROFILE%\AppData\Local\Temp\OnboardLogs" /stypes="*4024*201709231*" /stext=" 10:.+((SYSTEM_STATE.+slice.+state.+changed )|(ment ac)|(multiple cpu faults)|(system.+state.+changed )|(\[timeout)|(PRM\|1\|D)|(kpr)|(kdp)|(train st.+moving)|(\|lc)|(penalty))"</v>
      </c>
      <c r="U11" s="9" t="str">
        <f t="shared" si="2"/>
        <v>4024</v>
      </c>
      <c r="V11" s="31">
        <f t="shared" si="3"/>
        <v>43001.457615740743</v>
      </c>
      <c r="W11" s="45" t="str">
        <f t="shared" si="4"/>
        <v>EC</v>
      </c>
      <c r="X11" s="22">
        <f t="shared" si="5"/>
        <v>109</v>
      </c>
      <c r="Y11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Arrival","project_id":79,"tracker_id":40,"status_id":1,"priority_id":2,"assigned_to_id":338,"start_date":"2017-09-23","description":"","custom_fields":[{"id":1,"name":"Subdivision","value":"EC"},{"id":4,"name":"Milepost","value":"6.3069"},{"id":17,"name":"Train ID","value":"109-23"},{"id":16,"name":"Locomotive ID","value":"4024"},{"id":130,"name":"Impact","value":""},{"id":150,"name":"Time of Event (Mountain Time)","value":"04:58:58"},{"id":151,"name":"Denver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/c/Users/stu/AppData/Local/Temp/OnboardLogs/RTDC4024 --include="*4024*201709231*"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"%USERPROFILE%\AppData\Local\Temp\OnboardLogs"\RTDC4024\*4024*201709231* &gt;&gt; 2017-09-23-SliceDisagreementCheck.txt</v>
      </c>
      <c r="AE11" s="145" t="str">
        <f t="shared" si="9"/>
        <v>start /low /b %USERPROFILE%\Documents\GitHub\eaglep3\Utilities\DownloadLogsFromS3.py --loco 4024 --day 2017-09-23</v>
      </c>
    </row>
    <row r="12" spans="1:32" x14ac:dyDescent="0.25">
      <c r="A12" s="31">
        <v>43001.326956018522</v>
      </c>
      <c r="B12" s="30" t="s">
        <v>424</v>
      </c>
      <c r="C12" s="30" t="s">
        <v>589</v>
      </c>
      <c r="D12" s="30" t="s">
        <v>49</v>
      </c>
      <c r="E12" s="30" t="s">
        <v>186</v>
      </c>
      <c r="F12" s="42">
        <v>240</v>
      </c>
      <c r="G12" s="42">
        <v>296</v>
      </c>
      <c r="H12" s="42">
        <v>63440</v>
      </c>
      <c r="I12" s="42">
        <v>62922</v>
      </c>
      <c r="J12" s="30" t="s">
        <v>187</v>
      </c>
      <c r="K12" s="42">
        <v>63309</v>
      </c>
      <c r="L12" s="131" t="s">
        <v>51</v>
      </c>
      <c r="M12" s="132">
        <f t="shared" si="0"/>
        <v>-204.33600000000001</v>
      </c>
      <c r="N12" s="133" t="str">
        <f>VLOOKUP(C12,'Trips&amp;Operators'!$C$1:$G$99911,5,FALSE)</f>
        <v>HUFFSMITH MONTY</v>
      </c>
      <c r="O12" s="176" t="s">
        <v>179</v>
      </c>
      <c r="P12" s="134" t="s">
        <v>366</v>
      </c>
      <c r="Q12" s="30"/>
      <c r="R12" s="81" t="str">
        <f>VLOOKUP(C12,'Train Runs'!$A$13:$AE$9972,31,0)</f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S12" s="84" t="str">
        <f>VLOOKUP(C12,'Train Runs'!$A$13:$AE$9972,22,0)</f>
        <v>https://d0f6bd738d7f1b3e5a7ca70fe4ff75f0.us-east-1.aws.found.io/app/kibana#/discover/Steve-Slow-Train-Analysis-(2080s-and-2083s)?_g=(refreshInterval:(display:Off,pause:!f,section:0,value:0),time:(from:'2017-09-23T06:17:51-0600',mode:absolute,to:'2017-09-23T09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2" s="86" t="str">
        <f t="shared" si="1"/>
        <v>"C:\Program Files (x86)\AstroGrep\AstroGrep.exe" /e /r /s /spath="%USERPROFILE%\AppData\Local\Temp\OnboardLogs" /stypes="*4023*201709231*"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4023</v>
      </c>
      <c r="V12" s="31">
        <f t="shared" si="3"/>
        <v>43001.576956018522</v>
      </c>
      <c r="W12" s="45" t="str">
        <f t="shared" si="4"/>
        <v>EC</v>
      </c>
      <c r="X12" s="22">
        <f t="shared" si="5"/>
        <v>124</v>
      </c>
      <c r="Y12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Arrival","project_id":79,"tracker_id":40,"status_id":1,"priority_id":2,"assigned_to_id":338,"start_date":"2017-09-23","description":"","custom_fields":[{"id":1,"name":"Subdivision","value":"EC"},{"id":4,"name":"Milepost","value":"6.3309"},{"id":17,"name":"Train ID","value":"124-23"},{"id":16,"name":"Locomotive ID","value":"4023"},{"id":130,"name":"Impact","value":""},{"id":150,"name":"Time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/c/Users/stu/AppData/Local/Temp/OnboardLogs/RTDC4023 --include="*4023*201709231*"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"%USERPROFILE%\AppData\Local\Temp\OnboardLogs"\RTDC4023\*4023*201709231* &gt;&gt; 2017-09-23-SliceDisagreementCheck.txt</v>
      </c>
      <c r="AE12" s="145" t="str">
        <f t="shared" si="9"/>
        <v>start /low /b %USERPROFILE%\Documents\GitHub\eaglep3\Utilities\DownloadLogsFromS3.py --loco 4023 --day 2017-09-23</v>
      </c>
      <c r="AF12" s="1"/>
    </row>
    <row r="13" spans="1:32" x14ac:dyDescent="0.25">
      <c r="A13" s="31">
        <v>43001.645543981482</v>
      </c>
      <c r="B13" s="30" t="s">
        <v>434</v>
      </c>
      <c r="C13" s="30" t="s">
        <v>604</v>
      </c>
      <c r="D13" s="30" t="s">
        <v>49</v>
      </c>
      <c r="E13" s="30" t="s">
        <v>186</v>
      </c>
      <c r="F13" s="42">
        <v>0</v>
      </c>
      <c r="G13" s="42">
        <v>580</v>
      </c>
      <c r="H13" s="42">
        <v>104919</v>
      </c>
      <c r="I13" s="42">
        <v>102609</v>
      </c>
      <c r="J13" s="30" t="s">
        <v>187</v>
      </c>
      <c r="K13" s="42">
        <v>103800</v>
      </c>
      <c r="L13" s="131" t="s">
        <v>51</v>
      </c>
      <c r="M13" s="132">
        <f t="shared" si="0"/>
        <v>-628.84799999999996</v>
      </c>
      <c r="N13" s="133" t="str">
        <f>VLOOKUP(C13,'Trips&amp;Operators'!$C$1:$G$99911,5,FALSE)</f>
        <v>BRUDER RICHARD</v>
      </c>
      <c r="O13" s="176" t="s">
        <v>179</v>
      </c>
      <c r="P13" s="134" t="s">
        <v>366</v>
      </c>
      <c r="Q13" s="30"/>
      <c r="R13" s="81" t="str">
        <f>VLOOKUP(C13,'Train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3" s="84" t="str">
        <f>VLOOKUP(C13,'Train Runs'!$A$13:$AE$9972,22,0)</f>
        <v>https://d0f6bd738d7f1b3e5a7ca70fe4ff75f0.us-east-1.aws.found.io/app/kibana#/discover/Steve-Slow-Train-Analysis-(2080s-and-2083s)?_g=(refreshInterval:(display:Off,pause:!f,section:0,value:0),time:(from:'2017-09-23T14:07:12-0600',mode:absolute,to:'2017-09-23T16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86" t="str">
        <f t="shared" si="1"/>
        <v>"C:\Program Files (x86)\AstroGrep\AstroGrep.exe" /e /r /s /spath="%USERPROFILE%\AppData\Local\Temp\OnboardLogs" /stypes="*4039*201709232*"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4039</v>
      </c>
      <c r="V13" s="31">
        <f t="shared" si="3"/>
        <v>43001.895543981482</v>
      </c>
      <c r="W13" s="45" t="str">
        <f t="shared" si="4"/>
        <v>EC</v>
      </c>
      <c r="X13" s="22">
        <f t="shared" si="5"/>
        <v>186</v>
      </c>
      <c r="Y13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Arrival","project_id":79,"tracker_id":40,"status_id":1,"priority_id":2,"assigned_to_id":338,"start_date":"2017-09-23","description":"","custom_fields":[{"id":1,"name":"Subdivision","value":"EC"},{"id":4,"name":"Milepost","value":"10.38"},{"id":17,"name":"Train ID","value":"186-23"},{"id":16,"name":"Locomotive ID","value":"4039"},{"id":130,"name":"Impact","value":""},{"id":150,"name":"Time of Event (Mountain Time)","value":"15:29:35"},{"id":151,"name":"Denver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/c/Users/stu/AppData/Local/Temp/OnboardLogs/RTDC4039 --include="*4039*201709232*"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"%USERPROFILE%\AppData\Local\Temp\OnboardLogs"\RTDC4039\*4039*201709232* &gt;&gt; 2017-09-23-SliceDisagreementCheck.txt</v>
      </c>
      <c r="AE13" s="145" t="str">
        <f t="shared" si="9"/>
        <v>start /low /b %USERPROFILE%\Documents\GitHub\eaglep3\Utilities\DownloadLogsFromS3.py --loco 4039 --day 2017-09-23</v>
      </c>
      <c r="AF13" s="1"/>
    </row>
    <row r="14" spans="1:32" x14ac:dyDescent="0.25">
      <c r="A14" s="31">
        <v>43001.262685185182</v>
      </c>
      <c r="B14" s="30" t="s">
        <v>434</v>
      </c>
      <c r="C14" s="30" t="s">
        <v>585</v>
      </c>
      <c r="D14" s="30" t="s">
        <v>49</v>
      </c>
      <c r="E14" s="30" t="s">
        <v>186</v>
      </c>
      <c r="F14" s="42">
        <v>460</v>
      </c>
      <c r="G14" s="42">
        <v>513</v>
      </c>
      <c r="H14" s="42">
        <v>104605</v>
      </c>
      <c r="I14" s="42">
        <v>102956</v>
      </c>
      <c r="J14" s="30" t="s">
        <v>187</v>
      </c>
      <c r="K14" s="42">
        <v>103800</v>
      </c>
      <c r="L14" s="131" t="s">
        <v>51</v>
      </c>
      <c r="M14" s="132">
        <f t="shared" si="0"/>
        <v>-445.63200000000001</v>
      </c>
      <c r="N14" s="133" t="str">
        <f>VLOOKUP(C14,'Trips&amp;Operators'!$C$1:$G$99911,5,FALSE)</f>
        <v>THOMPSON LESTER</v>
      </c>
      <c r="O14" s="176" t="s">
        <v>179</v>
      </c>
      <c r="P14" s="134" t="s">
        <v>366</v>
      </c>
      <c r="Q14" s="30"/>
      <c r="R14" s="81" t="str">
        <f>VLOOKUP(C14,'Train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4" s="84" t="str">
        <f>VLOOKUP(C14,'Train Runs'!$A$13:$AE$9972,22,0)</f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86" t="str">
        <f t="shared" si="1"/>
        <v>"C:\Program Files (x86)\AstroGrep\AstroGrep.exe" /e /r /s /spath="%USERPROFILE%\AppData\Local\Temp\OnboardLogs" /stypes="*4039*201709231*"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4039</v>
      </c>
      <c r="V14" s="31">
        <f t="shared" si="3"/>
        <v>43001.512685185182</v>
      </c>
      <c r="W14" s="45" t="str">
        <f t="shared" si="4"/>
        <v>EC</v>
      </c>
      <c r="X14" s="22">
        <f t="shared" si="5"/>
        <v>112</v>
      </c>
      <c r="Y14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Arrival","project_id":79,"tracker_id":40,"status_id":1,"priority_id":2,"assigned_to_id":338,"start_date":"2017-09-23","description":"","custom_fields":[{"id":1,"name":"Subdivision","value":"EC"},{"id":4,"name":"Milepost","value":"10.38"},{"id":17,"name":"Train ID","value":"112-23"},{"id":16,"name":"Locomotive ID","value":"4039"},{"id":130,"name":"Impact","value":""},{"id":150,"name":"Time of Event (Mountain Time)","value":"06:18:16"},{"id":151,"name":"Denver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/c/Users/stu/AppData/Local/Temp/OnboardLogs/RTDC4039 --include="*4039*201709231*"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4" s="145" t="str">
        <f t="shared" si="9"/>
        <v>start /low /b %USERPROFILE%\Documents\GitHub\eaglep3\Utilities\DownloadLogsFromS3.py --loco 4039 --day 2017-09-23</v>
      </c>
      <c r="AF14" s="1"/>
    </row>
    <row r="15" spans="1:32" x14ac:dyDescent="0.25">
      <c r="A15" s="31">
        <v>43001.405706018515</v>
      </c>
      <c r="B15" s="30" t="s">
        <v>434</v>
      </c>
      <c r="C15" s="30" t="s">
        <v>592</v>
      </c>
      <c r="D15" s="30" t="s">
        <v>49</v>
      </c>
      <c r="E15" s="30" t="s">
        <v>186</v>
      </c>
      <c r="F15" s="42">
        <v>350</v>
      </c>
      <c r="G15" s="42">
        <v>411</v>
      </c>
      <c r="H15" s="42">
        <v>110140</v>
      </c>
      <c r="I15" s="42">
        <v>108850</v>
      </c>
      <c r="J15" s="30" t="s">
        <v>187</v>
      </c>
      <c r="K15" s="42">
        <v>109135</v>
      </c>
      <c r="L15" s="131" t="s">
        <v>51</v>
      </c>
      <c r="M15" s="132">
        <f t="shared" si="0"/>
        <v>-150.47999999999999</v>
      </c>
      <c r="N15" s="133" t="str">
        <f>VLOOKUP(C15,'Trips&amp;Operators'!$C$1:$G$99911,5,FALSE)</f>
        <v>THOMPSON LESTER</v>
      </c>
      <c r="O15" s="176" t="s">
        <v>179</v>
      </c>
      <c r="P15" s="134" t="s">
        <v>366</v>
      </c>
      <c r="Q15" s="30"/>
      <c r="R15" s="81" t="str">
        <f>VLOOKUP(C15,'Train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5" s="84" t="str">
        <f>VLOOKUP(C15,'Train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5" s="86" t="str">
        <f t="shared" si="1"/>
        <v>"C:\Program Files (x86)\AstroGrep\AstroGrep.exe" /e /r /s /spath="%USERPROFILE%\AppData\Local\Temp\OnboardLogs" /stypes="*4039*201709231*"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4039</v>
      </c>
      <c r="V15" s="31">
        <f t="shared" si="3"/>
        <v>43001.655706018515</v>
      </c>
      <c r="W15" s="45" t="str">
        <f t="shared" si="4"/>
        <v>EC</v>
      </c>
      <c r="X15" s="22">
        <f t="shared" si="5"/>
        <v>140</v>
      </c>
      <c r="Y15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Arrival","project_id":79,"tracker_id":40,"status_id":1,"priority_id":2,"assigned_to_id":338,"start_date":"2017-09-23","description":"","custom_fields":[{"id":1,"name":"Subdivision","value":"EC"},{"id":4,"name":"Milepost","value":"10.9135"},{"id":17,"name":"Train ID","value":"140-23"},{"id":16,"name":"Locomotive ID","value":"4039"},{"id":130,"name":"Impact","value":""},{"id":150,"name":"Time of Event (Mountain Time)","value":"09:44:13"},{"id":151,"name":"Denver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/c/Users/stu/AppData/Local/Temp/OnboardLogs/RTDC4039 --include="*4039*201709231*"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5" s="145" t="str">
        <f t="shared" si="9"/>
        <v>start /low /b %USERPROFILE%\Documents\GitHub\eaglep3\Utilities\DownloadLogsFromS3.py --loco 4039 --day 2017-09-23</v>
      </c>
      <c r="AF15" s="1"/>
    </row>
    <row r="16" spans="1:32" x14ac:dyDescent="0.25">
      <c r="A16" s="31">
        <v>43001.261805555558</v>
      </c>
      <c r="B16" s="30" t="s">
        <v>434</v>
      </c>
      <c r="C16" s="30" t="s">
        <v>585</v>
      </c>
      <c r="D16" s="30" t="s">
        <v>95</v>
      </c>
      <c r="E16" s="30" t="s">
        <v>186</v>
      </c>
      <c r="F16" s="42">
        <v>390</v>
      </c>
      <c r="G16" s="42">
        <v>444</v>
      </c>
      <c r="H16" s="42">
        <v>109016</v>
      </c>
      <c r="I16" s="42">
        <v>107412</v>
      </c>
      <c r="J16" s="30" t="s">
        <v>187</v>
      </c>
      <c r="K16" s="42">
        <v>109135</v>
      </c>
      <c r="L16" s="131" t="s">
        <v>51</v>
      </c>
      <c r="M16" s="132">
        <f t="shared" si="0"/>
        <v>-909.74400000000003</v>
      </c>
      <c r="N16" s="133" t="str">
        <f>VLOOKUP(C16,'Trips&amp;Operators'!$C$1:$G$99911,5,FALSE)</f>
        <v>THOMPSON LESTER</v>
      </c>
      <c r="O16" s="176" t="s">
        <v>179</v>
      </c>
      <c r="P16" s="134" t="s">
        <v>366</v>
      </c>
      <c r="Q16" s="30"/>
      <c r="R16" s="81" t="str">
        <f>VLOOKUP(C16,'Train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6" s="84" t="str">
        <f>VLOOKUP(C16,'Train Runs'!$A$13:$AE$9972,22,0)</f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6" t="str">
        <f t="shared" si="1"/>
        <v>"C:\Program Files (x86)\AstroGrep\AstroGrep.exe" /e /r /s /spath="%USERPROFILE%\AppData\Local\Temp\OnboardLogs" /stypes="*4039*201709231*"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43001.511805555558</v>
      </c>
      <c r="W16" s="45" t="str">
        <f t="shared" si="4"/>
        <v>EC</v>
      </c>
      <c r="X16" s="22">
        <f t="shared" si="5"/>
        <v>112</v>
      </c>
      <c r="Y16" s="96" t="str">
        <f t="shared" si="6"/>
        <v>echo {"issue":{"subject":"Early Arrival","project_id":79,"tracker_id":40,"status_id":1,"priority_id":2,"assigned_to_id":338,"start_date":"2017-09-23","description":"","custom_fields":[{"id":1,"name":"Subdivision","value":"EC"},{"id":4,"name":"Milepost","value":"10.9135"},{"id":17,"name":"Train ID","value":"112-23"},{"id":16,"name":"Locomotive ID","value":"4039"},{"id":130,"name":"Impact","value":""},{"id":150,"name":"Time of Event (Mountain Time)","value":"06:17:00"},{"id":151,"name":"Denver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/c/Users/stu/AppData/Local/Temp/OnboardLogs/RTDC4039 --include="*4039*201709231*"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6" s="145" t="str">
        <f t="shared" si="9"/>
        <v>start /low /b %USERPROFILE%\Documents\GitHub\eaglep3\Utilities\DownloadLogsFromS3.py --loco 4039 --day 2017-09-23</v>
      </c>
      <c r="AF16" s="1"/>
    </row>
    <row r="17" spans="1:32" x14ac:dyDescent="0.25">
      <c r="A17" s="31">
        <v>43001.354907407411</v>
      </c>
      <c r="B17" s="30" t="s">
        <v>473</v>
      </c>
      <c r="C17" s="30" t="s">
        <v>591</v>
      </c>
      <c r="D17" s="30" t="s">
        <v>49</v>
      </c>
      <c r="E17" s="30" t="s">
        <v>194</v>
      </c>
      <c r="F17" s="42">
        <v>450</v>
      </c>
      <c r="G17" s="42">
        <v>500</v>
      </c>
      <c r="H17" s="42">
        <v>17403</v>
      </c>
      <c r="I17" s="42">
        <v>14330</v>
      </c>
      <c r="J17" s="30" t="s">
        <v>195</v>
      </c>
      <c r="K17" s="42">
        <v>15167</v>
      </c>
      <c r="L17" s="131" t="s">
        <v>51</v>
      </c>
      <c r="M17" s="132">
        <f t="shared" si="0"/>
        <v>-441.93599999999998</v>
      </c>
      <c r="N17" s="133" t="str">
        <f>VLOOKUP(C17,'Trips&amp;Operators'!$C$1:$G$99911,5,FALSE)</f>
        <v>MACDONALD THOMAS</v>
      </c>
      <c r="O17" s="176" t="s">
        <v>179</v>
      </c>
      <c r="P17" s="134"/>
      <c r="Q17" s="30"/>
      <c r="R17" s="81" t="str">
        <f>VLOOKUP(C17,'Train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17" s="84" t="str">
        <f>VLOOKUP(C17,'Train Runs'!$A$13:$AE$9972,22,0)</f>
        <v>https://d0f6bd738d7f1b3e5a7ca70fe4ff75f0.us-east-1.aws.found.io/app/kibana#/discover/Steve-Slow-Train-Analysis-(2080s-and-2083s)?_g=(refreshInterval:(display:Off,pause:!f,section:0,value:0),time:(from:'2017-09-23T06:54:37-0600',mode:absolute,to:'2017-09-23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/stypes="*4001*201709231*"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43001.604907407411</v>
      </c>
      <c r="W17" s="45" t="str">
        <f t="shared" si="4"/>
        <v>EC</v>
      </c>
      <c r="X17" s="22">
        <f t="shared" si="5"/>
        <v>128</v>
      </c>
      <c r="Y17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{"issue":{"subject":"","project_id":79,"tracker_id":40,"status_id":1,"priority_id":2,"assigned_to_id":338,"start_date":"2017-09-23","description":"","custom_fields":[{"id":1,"name":"Subdivision","value":"EC"},{"id":4,"name":"Milepost","value":"1.5167"},{"id":17,"name":"Train ID","value":"128-23"},{"id":16,"name":"Locomotive ID","value":"4001"},{"id":130,"name":"Impact","value":""},{"id":150,"name":"Time of Event (Mountain Time)","value":"08:31:04"},{"id":151,"name":"Denver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/c/Users/stu/AppData/Local/Temp/OnboardLogs/RTDC4001 --include="*4001*201709231*"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"%USERPROFILE%\AppData\Local\Temp\OnboardLogs"\RTDC4001\*4001*201709231* &gt;&gt; 2017-09-23-SliceDisagreementCheck.txt</v>
      </c>
      <c r="AE17" s="145" t="str">
        <f t="shared" si="9"/>
        <v>start /low /b %USERPROFILE%\Documents\GitHub\eaglep3\Utilities\DownloadLogsFromS3.py --loco 4001 --day 2017-09-23</v>
      </c>
      <c r="AF17" s="1"/>
    </row>
    <row r="18" spans="1:32" x14ac:dyDescent="0.25">
      <c r="A18" s="31">
        <v>43001.416932870372</v>
      </c>
      <c r="B18" s="30" t="s">
        <v>434</v>
      </c>
      <c r="C18" s="30" t="s">
        <v>592</v>
      </c>
      <c r="D18" s="30" t="s">
        <v>49</v>
      </c>
      <c r="E18" s="30" t="s">
        <v>194</v>
      </c>
      <c r="F18" s="42">
        <v>300</v>
      </c>
      <c r="G18" s="42">
        <v>399</v>
      </c>
      <c r="H18" s="42">
        <v>23254</v>
      </c>
      <c r="I18" s="42">
        <v>22163</v>
      </c>
      <c r="J18" s="30" t="s">
        <v>195</v>
      </c>
      <c r="K18" s="42">
        <v>21848</v>
      </c>
      <c r="L18" s="131" t="s">
        <v>51</v>
      </c>
      <c r="M18" s="132">
        <f t="shared" si="0"/>
        <v>166.32</v>
      </c>
      <c r="N18" s="133" t="str">
        <f>VLOOKUP(C18,'Trips&amp;Operators'!$C$1:$G$99911,5,FALSE)</f>
        <v>THOMPSON LESTER</v>
      </c>
      <c r="O18" s="176" t="s">
        <v>179</v>
      </c>
      <c r="P18" s="134"/>
      <c r="Q18" s="30"/>
      <c r="R18" s="81" t="str">
        <f>VLOOKUP(C18,'Train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18" s="84" t="str">
        <f>VLOOKUP(C18,'Train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86" t="str">
        <f t="shared" si="1"/>
        <v>"C:\Program Files (x86)\AstroGrep\AstroGrep.exe" /e /r /s /spath="%USERPROFILE%\AppData\Local\Temp\OnboardLogs" /stypes="*4039*201709231*"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4039</v>
      </c>
      <c r="V18" s="31">
        <f t="shared" si="3"/>
        <v>43001.666932870372</v>
      </c>
      <c r="W18" s="45" t="str">
        <f t="shared" si="4"/>
        <v>EC</v>
      </c>
      <c r="X18" s="22">
        <f t="shared" si="5"/>
        <v>140</v>
      </c>
      <c r="Y18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{"issue":{"subject":"","project_id":79,"tracker_id":40,"status_id":1,"priority_id":2,"assigned_to_id":338,"start_date":"2017-09-23","description":"","custom_fields":[{"id":1,"name":"Subdivision","value":"EC"},{"id":4,"name":"Milepost","value":"2.1848"},{"id":17,"name":"Train ID","value":"140-23"},{"id":16,"name":"Locomotive ID","value":"4039"},{"id":130,"name":"Impact","value":""},{"id":150,"name":"Time of Event (Mountain Time)","value":"10:00:23"},{"id":151,"name":"Denver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/c/Users/stu/AppData/Local/Temp/OnboardLogs/RTDC4039 --include="*4039*201709231*"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18" s="145" t="str">
        <f t="shared" si="9"/>
        <v>start /low /b %USERPROFILE%\Documents\GitHub\eaglep3\Utilities\DownloadLogsFromS3.py --loco 4039 --day 2017-09-23</v>
      </c>
      <c r="AF18" s="1"/>
    </row>
    <row r="19" spans="1:32" x14ac:dyDescent="0.25">
      <c r="A19" s="31">
        <v>43001.638298611113</v>
      </c>
      <c r="B19" s="30" t="s">
        <v>402</v>
      </c>
      <c r="C19" s="30" t="s">
        <v>603</v>
      </c>
      <c r="D19" s="30" t="s">
        <v>49</v>
      </c>
      <c r="E19" s="30" t="s">
        <v>194</v>
      </c>
      <c r="F19" s="42">
        <v>550</v>
      </c>
      <c r="G19" s="42">
        <v>782</v>
      </c>
      <c r="H19" s="42">
        <v>217941</v>
      </c>
      <c r="I19" s="42">
        <v>221634</v>
      </c>
      <c r="J19" s="30" t="s">
        <v>195</v>
      </c>
      <c r="K19" s="42">
        <v>222091</v>
      </c>
      <c r="L19" s="131" t="s">
        <v>50</v>
      </c>
      <c r="M19" s="132">
        <f t="shared" si="0"/>
        <v>241.29599999999999</v>
      </c>
      <c r="N19" s="133" t="str">
        <f>VLOOKUP(C19,'Trips&amp;Operators'!$C$1:$G$99911,5,FALSE)</f>
        <v>DAVIS MICHAEL</v>
      </c>
      <c r="O19" s="176" t="s">
        <v>179</v>
      </c>
      <c r="P19" s="134"/>
      <c r="Q19" s="30"/>
      <c r="R19" s="81" t="str">
        <f>VLOOKUP(C19,'Train Runs'!$A$13:$AE$9972,31,0)</f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S19" s="84" t="str">
        <f>VLOOKUP(C19,'Train Runs'!$A$13:$AE$9972,22,0)</f>
        <v>https://d0f6bd738d7f1b3e5a7ca70fe4ff75f0.us-east-1.aws.found.io/app/kibana#/discover/Steve-Slow-Train-Analysis-(2080s-and-2083s)?_g=(refreshInterval:(display:Off,pause:!f,section:0,value:0),time:(from:'2017-09-23T13:40:58-0600',mode:absolute,to:'2017-09-23T16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9" s="86" t="str">
        <f t="shared" si="1"/>
        <v>"C:\Program Files (x86)\AstroGrep\AstroGrep.exe" /e /r /s /spath="%USERPROFILE%\AppData\Local\Temp\OnboardLogs" /stypes="*4058*201709232*"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4058</v>
      </c>
      <c r="V19" s="31">
        <f t="shared" si="3"/>
        <v>43001.888298611113</v>
      </c>
      <c r="W19" s="45" t="str">
        <f t="shared" si="4"/>
        <v>EC</v>
      </c>
      <c r="X19" s="22">
        <f t="shared" si="5"/>
        <v>189</v>
      </c>
      <c r="Y19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{"issue":{"subject":"","project_id":79,"tracker_id":40,"status_id":1,"priority_id":2,"assigned_to_id":338,"start_date":"2017-09-23","description":"","custom_fields":[{"id":1,"name":"Subdivision","value":"EC"},{"id":4,"name":"Milepost","value":"22.2091"},{"id":17,"name":"Train ID","value":"189-23"},{"id":16,"name":"Locomotive ID","value":"4058"},{"id":130,"name":"Impact","value":""},{"id":150,"name":"Time of Event (Mountain Time)","value":"15:19:09"},{"id":151,"name":"Denver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/c/Users/stu/AppData/Local/Temp/OnboardLogs/RTDC4058 --include="*4058*201709232*"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"%USERPROFILE%\AppData\Local\Temp\OnboardLogs"\RTDC4058\*4058*201709232* &gt;&gt; 2017-09-23-SliceDisagreementCheck.txt</v>
      </c>
      <c r="AE19" s="145" t="str">
        <f t="shared" si="9"/>
        <v>start /low /b %USERPROFILE%\Documents\GitHub\eaglep3\Utilities\DownloadLogsFromS3.py --loco 4058 --day 2017-09-23</v>
      </c>
      <c r="AF19" s="1"/>
    </row>
    <row r="20" spans="1:32" x14ac:dyDescent="0.25">
      <c r="A20" s="31">
        <v>43001.717210648145</v>
      </c>
      <c r="B20" s="30" t="s">
        <v>473</v>
      </c>
      <c r="C20" s="30" t="s">
        <v>606</v>
      </c>
      <c r="D20" s="30" t="s">
        <v>95</v>
      </c>
      <c r="E20" s="30" t="s">
        <v>194</v>
      </c>
      <c r="F20" s="42">
        <v>150</v>
      </c>
      <c r="G20" s="42">
        <v>200</v>
      </c>
      <c r="H20" s="42">
        <v>232171</v>
      </c>
      <c r="I20" s="42">
        <v>231843</v>
      </c>
      <c r="J20" s="30" t="s">
        <v>195</v>
      </c>
      <c r="K20" s="42">
        <v>233492</v>
      </c>
      <c r="L20" s="131" t="s">
        <v>51</v>
      </c>
      <c r="M20" s="132">
        <f t="shared" si="0"/>
        <v>-870.67200000000003</v>
      </c>
      <c r="N20" s="133" t="str">
        <f>VLOOKUP(C20,'Trips&amp;Operators'!$C$1:$G$99911,5,FALSE)</f>
        <v>HOLCOMB KAMDEN</v>
      </c>
      <c r="O20" s="176" t="s">
        <v>179</v>
      </c>
      <c r="P20" s="134"/>
      <c r="Q20" s="30"/>
      <c r="R20" s="81" t="str">
        <f>VLOOKUP(C20,'Train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20" s="84" t="str">
        <f>VLOOKUP(C20,'Train Runs'!$A$13:$AE$9972,22,0)</f>
        <v>https://d0f6bd738d7f1b3e5a7ca70fe4ff75f0.us-east-1.aws.found.io/app/kibana#/discover/Steve-Slow-Train-Analysis-(2080s-and-2083s)?_g=(refreshInterval:(display:Off,pause:!f,section:0,value:0),time:(from:'2017-09-23T16:08:58-0600',mode:absolute,to:'2017-09-23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86" t="str">
        <f t="shared" si="1"/>
        <v>"C:\Program Files (x86)\AstroGrep\AstroGrep.exe" /e /r /s /spath="%USERPROFILE%\AppData\Local\Temp\OnboardLogs" /stypes="*4001*201709232*"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4001</v>
      </c>
      <c r="V20" s="31">
        <f t="shared" si="3"/>
        <v>43001.967210648145</v>
      </c>
      <c r="W20" s="45" t="str">
        <f t="shared" si="4"/>
        <v>EC</v>
      </c>
      <c r="X20" s="22">
        <f t="shared" si="5"/>
        <v>202</v>
      </c>
      <c r="Y20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{"issue":{"subject":"","project_id":79,"tracker_id":40,"status_id":1,"priority_id":2,"assigned_to_id":338,"start_date":"2017-09-23","description":"","custom_fields":[{"id":1,"name":"Subdivision","value":"EC"},{"id":4,"name":"Milepost","value":"23.3492"},{"id":17,"name":"Train ID","value":"202-23"},{"id":16,"name":"Locomotive ID","value":"4001"},{"id":130,"name":"Impact","value":""},{"id":150,"name":"Time of Event (Mountain Time)","value":"17:12:47"},{"id":151,"name":"Denver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/c/Users/stu/AppData/Local/Temp/OnboardLogs/RTDC4001 --include="*4001*201709232*"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"%USERPROFILE%\AppData\Local\Temp\OnboardLogs"\RTDC4001\*4001*201709232* &gt;&gt; 2017-09-23-SliceDisagreementCheck.txt</v>
      </c>
      <c r="AE20" s="145" t="str">
        <f t="shared" si="9"/>
        <v>start /low /b %USERPROFILE%\Documents\GitHub\eaglep3\Utilities\DownloadLogsFromS3.py --loco 4001 --day 2017-09-23</v>
      </c>
      <c r="AF20" s="1"/>
    </row>
    <row r="21" spans="1:32" x14ac:dyDescent="0.25">
      <c r="A21" s="31">
        <v>43001.787708333337</v>
      </c>
      <c r="B21" s="30" t="s">
        <v>424</v>
      </c>
      <c r="C21" s="30" t="s">
        <v>607</v>
      </c>
      <c r="D21" s="30" t="s">
        <v>49</v>
      </c>
      <c r="E21" s="30" t="s">
        <v>359</v>
      </c>
      <c r="F21" s="42">
        <v>0</v>
      </c>
      <c r="G21" s="42">
        <v>38</v>
      </c>
      <c r="H21" s="42">
        <v>43784</v>
      </c>
      <c r="I21" s="42">
        <v>43741</v>
      </c>
      <c r="J21" s="30" t="s">
        <v>360</v>
      </c>
      <c r="K21" s="42">
        <v>43664</v>
      </c>
      <c r="L21" s="131" t="s">
        <v>51</v>
      </c>
      <c r="M21" s="132">
        <f t="shared" si="0"/>
        <v>40.655999999999999</v>
      </c>
      <c r="N21" s="133" t="str">
        <f>VLOOKUP(C21,'Trips&amp;Operators'!$C$1:$G$99911,5,FALSE)</f>
        <v>BERLING GARY</v>
      </c>
      <c r="O21" s="176" t="s">
        <v>419</v>
      </c>
      <c r="P21" s="134" t="s">
        <v>1009</v>
      </c>
      <c r="Q21" s="30"/>
      <c r="R21" s="81" t="str">
        <f>VLOOKUP(C21,'Train Runs'!$A$13:$AE$9972,31,0)</f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S21" s="84" t="str">
        <f>VLOOKUP(C21,'Train Runs'!$A$13:$AE$9972,22,0)</f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1" s="86" t="str">
        <f t="shared" si="1"/>
        <v>"C:\Program Files (x86)\AstroGrep\AstroGrep.exe" /e /r /s /spath="%USERPROFILE%\AppData\Local\Temp\OnboardLogs" /stypes="*4023*201709240*"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4023</v>
      </c>
      <c r="V21" s="31">
        <f t="shared" si="3"/>
        <v>43002.037708333337</v>
      </c>
      <c r="W21" s="45" t="str">
        <f t="shared" si="4"/>
        <v>EC</v>
      </c>
      <c r="X21" s="22">
        <f t="shared" si="5"/>
        <v>212</v>
      </c>
      <c r="Y21" s="96" t="str">
        <f t="shared" si="6"/>
        <v>echo {"issue":{"subject":"Wi-MAX data drop","project_id":79,"tracker_id":40,"status_id":1,"priority_id":2,"assigned_to_id":338,"start_date":"2017-09-23","description":"","custom_fields":[{"id":1,"name":"Subdivision","value":"EC"},{"id":4,"name":"Milepost","value":"4.3664"},{"id":17,"name":"Train ID","value":"212-23"},{"id":16,"name":"Locomotive ID","value":"4023"},{"id":130,"name":"Impact","value":""},{"id":150,"name":"Time of Event (Mountain Time)","value":"18:54:18"},{"id":151,"name":"Denver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/c/Users/stu/AppData/Local/Temp/OnboardLogs/RTDC4023 --include="*4023*201709240*"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"%USERPROFILE%\AppData\Local\Temp\OnboardLogs"\RTDC4023\*4023*201709240* &gt;&gt; 2017-09-23-SliceDisagreementCheck.txt</v>
      </c>
      <c r="AE21" s="145" t="str">
        <f t="shared" si="9"/>
        <v>start /low /b %USERPROFILE%\Documents\GitHub\eaglep3\Utilities\DownloadLogsFromS3.py --loco 4023 --day 2017-09-24</v>
      </c>
      <c r="AF21" s="1"/>
    </row>
    <row r="22" spans="1:32" x14ac:dyDescent="0.25">
      <c r="A22" s="31">
        <v>43001.789270833331</v>
      </c>
      <c r="B22" s="30" t="s">
        <v>424</v>
      </c>
      <c r="C22" s="30" t="s">
        <v>607</v>
      </c>
      <c r="D22" s="30" t="s">
        <v>95</v>
      </c>
      <c r="E22" s="30" t="s">
        <v>359</v>
      </c>
      <c r="F22" s="42">
        <v>200</v>
      </c>
      <c r="G22" s="42">
        <v>260</v>
      </c>
      <c r="H22" s="42">
        <v>40572</v>
      </c>
      <c r="I22" s="42">
        <v>39828</v>
      </c>
      <c r="J22" s="30" t="s">
        <v>360</v>
      </c>
      <c r="K22" s="42">
        <v>43664</v>
      </c>
      <c r="L22" s="131" t="s">
        <v>51</v>
      </c>
      <c r="M22" s="132">
        <f t="shared" si="0"/>
        <v>-2025.4079999999999</v>
      </c>
      <c r="N22" s="133" t="str">
        <f>VLOOKUP(C22,'Trips&amp;Operators'!$C$1:$G$99911,5,FALSE)</f>
        <v>BERLING GARY</v>
      </c>
      <c r="O22" s="176" t="s">
        <v>179</v>
      </c>
      <c r="P22" s="134" t="s">
        <v>1008</v>
      </c>
      <c r="Q22" s="30"/>
      <c r="R22" s="81" t="str">
        <f>VLOOKUP(C22,'Train Runs'!$A$13:$AE$9972,31,0)</f>
        <v>aws s3 cp s3://rtdc.mdm.uploadarchive.raw/RTDC4023/ "%USERPROFILE%\AppData\Local\Temp\OnboardLogs"\RTDC4023\2017-09-23 --exclude "*" --recursive --include "*20170923*" &amp; "%USERPROFILE%\Documents\GitHub\mrs-test-scripts\Headless Mode &amp; Sideloading\WalkAndUnGZ.bat" "%USERPROFILE%\AppData\Local\Temp\OnboardLogs"\RTDC4023\2017-09-23 &amp; 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</v>
      </c>
      <c r="S22" s="84" t="str">
        <f>VLOOKUP(C22,'Train Runs'!$A$13:$AE$9972,22,0)</f>
        <v>https://d0f6bd738d7f1b3e5a7ca70fe4ff75f0.us-east-1.aws.found.io/app/kibana#/discover/Steve-Slow-Train-Analysis-(2080s-and-2083s)?_g=(refreshInterval:(display:Off,pause:!f,section:0,value:0),time:(from:'2017-09-23T17:19:06-0600',mode:absolute,to:'2017-09-23T19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2" s="86" t="str">
        <f t="shared" si="1"/>
        <v>"C:\Program Files (x86)\AstroGrep\AstroGrep.exe" /e /r /s /spath="%USERPROFILE%\AppData\Local\Temp\OnboardLogs" /stypes="*4023*201709240*"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4023</v>
      </c>
      <c r="V22" s="31">
        <f t="shared" si="3"/>
        <v>43002.039270833331</v>
      </c>
      <c r="W22" s="45" t="str">
        <f t="shared" si="4"/>
        <v>EC</v>
      </c>
      <c r="X22" s="22">
        <f t="shared" si="5"/>
        <v>212</v>
      </c>
      <c r="Y22" s="96" t="str">
        <f t="shared" si="6"/>
        <v>echo {"issue":{"subject":"Overspeed","project_id":79,"tracker_id":40,"status_id":1,"priority_id":2,"assigned_to_id":338,"start_date":"2017-09-23","description":"","custom_fields":[{"id":1,"name":"Subdivision","value":"EC"},{"id":4,"name":"Milepost","value":"4.3664"},{"id":17,"name":"Train ID","value":"212-23"},{"id":16,"name":"Locomotive ID","value":"4023"},{"id":130,"name":"Impact","value":""},{"id":150,"name":"Time of Event (Mountain Time)","value":"18:56:33"},{"id":151,"name":"Denver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/c/Users/stu/AppData/Local/Temp/OnboardLogs/RTDC4023 --include="*4023*201709240*"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"%USERPROFILE%\AppData\Local\Temp\OnboardLogs"\RTDC4023\*4023*201709240* &gt;&gt; 2017-09-23-SliceDisagreementCheck.txt</v>
      </c>
      <c r="AE22" s="145" t="str">
        <f t="shared" si="9"/>
        <v>start /low /b %USERPROFILE%\Documents\GitHub\eaglep3\Utilities\DownloadLogsFromS3.py --loco 4023 --day 2017-09-24</v>
      </c>
      <c r="AF22" s="1"/>
    </row>
    <row r="23" spans="1:32" x14ac:dyDescent="0.25">
      <c r="A23" s="31">
        <v>43001.47042824074</v>
      </c>
      <c r="B23" s="30" t="s">
        <v>519</v>
      </c>
      <c r="C23" s="30" t="s">
        <v>597</v>
      </c>
      <c r="D23" s="30" t="s">
        <v>95</v>
      </c>
      <c r="E23" s="30" t="s">
        <v>359</v>
      </c>
      <c r="F23" s="42">
        <v>0</v>
      </c>
      <c r="G23" s="42">
        <v>97</v>
      </c>
      <c r="H23" s="42">
        <v>86153</v>
      </c>
      <c r="I23" s="42">
        <v>86098</v>
      </c>
      <c r="J23" s="30" t="s">
        <v>360</v>
      </c>
      <c r="K23" s="42">
        <v>87902</v>
      </c>
      <c r="L23" s="131" t="s">
        <v>51</v>
      </c>
      <c r="M23" s="132">
        <f t="shared" si="0"/>
        <v>-952.51199999999994</v>
      </c>
      <c r="N23" s="133" t="str">
        <f>VLOOKUP(C23,'Trips&amp;Operators'!$C$1:$G$99911,5,FALSE)</f>
        <v>PAGE MARCUS</v>
      </c>
      <c r="O23" s="176" t="s">
        <v>419</v>
      </c>
      <c r="P23" s="134" t="s">
        <v>1009</v>
      </c>
      <c r="Q23" s="30"/>
      <c r="R23" s="81" t="str">
        <f>VLOOKUP(C23,'Train Runs'!$A$13:$AE$9972,31,0)</f>
        <v>aws s3 cp s3://rtdc.mdm.uploadarchive.raw/RTDC4009/ "%USERPROFILE%\AppData\Local\Temp\OnboardLogs"\RTDC4009\2017-09-23 --exclude "*" --recursive --include "*20170923*" &amp; "%USERPROFILE%\Documents\GitHub\mrs-test-scripts\Headless Mode &amp; Sideloading\WalkAndUnGZ.bat" "%USERPROFILE%\AppData\Local\Temp\OnboardLogs"\RTDC4009\2017-09-23 &amp; aws s3 cp s3://rtdc.mdm.uploadarchive.raw/RTDC4009/ "%USERPROFILE%\AppData\Local\Temp\OnboardLogs"\RTDC4009\2017-09-24 --exclude "*" --recursive --include "*20170924*" &amp; "%USERPROFILE%\Documents\GitHub\mrs-test-scripts\Headless Mode &amp; Sideloading\WalkAndUnGZ.bat" "%USERPROFILE%\AppData\Local\Temp\OnboardLogs"\RTDC4009\2017-09-24</v>
      </c>
      <c r="S23" s="84" t="str">
        <f>VLOOKUP(C23,'Train Runs'!$A$13:$AE$9972,22,0)</f>
        <v>https://d0f6bd738d7f1b3e5a7ca70fe4ff75f0.us-east-1.aws.found.io/app/kibana#/discover/Steve-Slow-Train-Analysis-(2080s-and-2083s)?_g=(refreshInterval:(display:Off,pause:!f,section:0,value:0),time:(from:'2017-09-23T09:12:57-0600',mode:absolute,to:'2017-09-23T12:17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3" s="86" t="str">
        <f t="shared" si="1"/>
        <v>"C:\Program Files (x86)\AstroGrep\AstroGrep.exe" /e /r /s /spath="%USERPROFILE%\AppData\Local\Temp\OnboardLogs" /stypes="*4009*201709231*"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4009</v>
      </c>
      <c r="V23" s="31">
        <f t="shared" si="3"/>
        <v>43001.72042824074</v>
      </c>
      <c r="W23" s="45" t="str">
        <f t="shared" si="4"/>
        <v>EC</v>
      </c>
      <c r="X23" s="22">
        <f t="shared" si="5"/>
        <v>148</v>
      </c>
      <c r="Y23" s="96" t="str">
        <f t="shared" si="6"/>
        <v>echo {"issue":{"subject":"Wi-MAX data drop","project_id":79,"tracker_id":40,"status_id":1,"priority_id":2,"assigned_to_id":338,"start_date":"2017-09-23","description":"","custom_fields":[{"id":1,"name":"Subdivision","value":"EC"},{"id":4,"name":"Milepost","value":"8.7902"},{"id":17,"name":"Train ID","value":"148-23"},{"id":16,"name":"Locomotive ID","value":"4009"},{"id":130,"name":"Impact","value":""},{"id":150,"name":"Time of Event (Mountain Time)","value":"11:17:25"},{"id":151,"name":"Denver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/c/Users/stu/AppData/Local/Temp/OnboardLogs/RTDC4009 --include="*4009*201709231*"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"%USERPROFILE%\AppData\Local\Temp\OnboardLogs"\RTDC4009\*4009*201709231* &gt;&gt; 2017-09-23-SliceDisagreementCheck.txt</v>
      </c>
      <c r="AE23" s="145" t="str">
        <f t="shared" si="9"/>
        <v>start /low /b %USERPROFILE%\Documents\GitHub\eaglep3\Utilities\DownloadLogsFromS3.py --loco 4009 --day 2017-09-23</v>
      </c>
      <c r="AF23" s="1"/>
    </row>
    <row r="24" spans="1:32" x14ac:dyDescent="0.25">
      <c r="A24" s="31">
        <v>43001.245219907411</v>
      </c>
      <c r="B24" s="30" t="s">
        <v>449</v>
      </c>
      <c r="C24" s="30" t="s">
        <v>584</v>
      </c>
      <c r="D24" s="30" t="s">
        <v>95</v>
      </c>
      <c r="E24" s="30" t="s">
        <v>359</v>
      </c>
      <c r="F24" s="42">
        <v>200</v>
      </c>
      <c r="G24" s="42">
        <v>250</v>
      </c>
      <c r="H24" s="42">
        <v>83991</v>
      </c>
      <c r="I24" s="42">
        <v>83322</v>
      </c>
      <c r="J24" s="30" t="s">
        <v>360</v>
      </c>
      <c r="K24" s="42">
        <v>87902</v>
      </c>
      <c r="L24" s="131" t="s">
        <v>51</v>
      </c>
      <c r="M24" s="132">
        <f t="shared" si="0"/>
        <v>-2418.2399999999998</v>
      </c>
      <c r="N24" s="133" t="str">
        <f>VLOOKUP(C24,'Trips&amp;Operators'!$C$1:$G$99911,5,FALSE)</f>
        <v>LANGERAK WILLIAM</v>
      </c>
      <c r="O24" s="176" t="s">
        <v>179</v>
      </c>
      <c r="P24" s="134" t="s">
        <v>1008</v>
      </c>
      <c r="Q24" s="30"/>
      <c r="R24" s="81" t="str">
        <f>VLOOKUP(C24,'Train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24" s="84" t="str">
        <f>VLOOKUP(C24,'Train Runs'!$A$13:$AE$9972,22,0)</f>
        <v>https://d0f6bd738d7f1b3e5a7ca70fe4ff75f0.us-east-1.aws.found.io/app/kibana#/discover/Steve-Slow-Train-Analysis-(2080s-and-2083s)?_g=(refreshInterval:(display:Off,pause:!f,section:0,value:0),time:(from:'2017-09-23T04:10:54-0600',mode:absolute,to:'2017-09-23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86" t="str">
        <f t="shared" si="1"/>
        <v>"C:\Program Files (x86)\AstroGrep\AstroGrep.exe" /e /r /s /spath="%USERPROFILE%\AppData\Local\Temp\OnboardLogs" /stypes="*4027*201709231*" /stext=" 11:.+((SYSTEM_STATE.+slice.+state.+changed )|(ment ac)|(multiple cpu faults)|(system.+state.+changed )|(\[timeout)|(PRM\|1\|D)|(kpr)|(kdp)|(train st.+moving)|(\|lc)|(penalty))"</v>
      </c>
      <c r="U24" s="9" t="str">
        <f t="shared" si="2"/>
        <v>4027</v>
      </c>
      <c r="V24" s="31">
        <f t="shared" si="3"/>
        <v>43001.495219907411</v>
      </c>
      <c r="W24" s="45" t="str">
        <f t="shared" si="4"/>
        <v>EC</v>
      </c>
      <c r="X24" s="22">
        <f t="shared" si="5"/>
        <v>108</v>
      </c>
      <c r="Y24" s="96" t="str">
        <f t="shared" si="6"/>
        <v>echo {"issue":{"subject":"Overspeed","project_id":79,"tracker_id":40,"status_id":1,"priority_id":2,"assigned_to_id":338,"start_date":"2017-09-23","description":"","custom_fields":[{"id":1,"name":"Subdivision","value":"EC"},{"id":4,"name":"Milepost","value":"8.7902"},{"id":17,"name":"Train ID","value":"108-23"},{"id":16,"name":"Locomotive ID","value":"4027"},{"id":130,"name":"Impact","value":""},{"id":150,"name":"Time of Event (Mountain Time)","value":"05:53:07"},{"id":151,"name":"Denver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/c/Users/stu/AppData/Local/Temp/OnboardLogs/RTDC4027 --include="*4027*201709231*"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24" s="145" t="str">
        <f t="shared" si="9"/>
        <v>start /low /b %USERPROFILE%\Documents\GitHub\eaglep3\Utilities\DownloadLogsFromS3.py --loco 4027 --day 2017-09-23</v>
      </c>
      <c r="AF24" s="1"/>
    </row>
    <row r="25" spans="1:32" x14ac:dyDescent="0.25">
      <c r="A25" s="31">
        <v>43001.458229166667</v>
      </c>
      <c r="B25" s="30" t="s">
        <v>449</v>
      </c>
      <c r="C25" s="30" t="s">
        <v>596</v>
      </c>
      <c r="D25" s="30" t="s">
        <v>49</v>
      </c>
      <c r="E25" s="30" t="s">
        <v>359</v>
      </c>
      <c r="F25" s="42">
        <v>0</v>
      </c>
      <c r="G25" s="42">
        <v>52</v>
      </c>
      <c r="H25" s="42">
        <v>133342</v>
      </c>
      <c r="I25" s="42">
        <v>133276</v>
      </c>
      <c r="J25" s="30" t="s">
        <v>360</v>
      </c>
      <c r="K25" s="42">
        <v>133166</v>
      </c>
      <c r="L25" s="131" t="s">
        <v>51</v>
      </c>
      <c r="M25" s="132">
        <f t="shared" si="0"/>
        <v>58.08</v>
      </c>
      <c r="N25" s="133" t="str">
        <f>VLOOKUP(C25,'Trips&amp;Operators'!$C$1:$G$99911,5,FALSE)</f>
        <v>GEBRETEKLE DAGNEW</v>
      </c>
      <c r="O25" s="176" t="s">
        <v>179</v>
      </c>
      <c r="P25" s="134" t="s">
        <v>1010</v>
      </c>
      <c r="Q25" s="30"/>
      <c r="R25" s="81" t="str">
        <f>VLOOKUP(C25,'Train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25" s="84" t="str">
        <f>VLOOKUP(C25,'Train Runs'!$A$13:$AE$9972,22,0)</f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86" t="str">
        <f t="shared" si="1"/>
        <v>"C:\Program Files (x86)\AstroGrep\AstroGrep.exe" /e /r /s /spath="%USERPROFILE%\AppData\Local\Temp\OnboardLogs" /stypes="*4027*201709231*"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4027</v>
      </c>
      <c r="V25" s="31">
        <f t="shared" si="3"/>
        <v>43001.708229166667</v>
      </c>
      <c r="W25" s="45" t="str">
        <f t="shared" si="4"/>
        <v>EC</v>
      </c>
      <c r="X25" s="22">
        <f t="shared" si="5"/>
        <v>150</v>
      </c>
      <c r="Y25" s="96" t="str">
        <f t="shared" si="6"/>
        <v>echo {"issue":{"subject":"STOP aspect","project_id":79,"tracker_id":40,"status_id":1,"priority_id":2,"assigned_to_id":338,"start_date":"2017-09-23","description":"","custom_fields":[{"id":1,"name":"Subdivision","value":"EC"},{"id":4,"name":"Milepost","value":"13.3166"},{"id":17,"name":"Train ID","value":"150-23"},{"id":16,"name":"Locomotive ID","value":"4027"},{"id":130,"name":"Impact","value":""},{"id":150,"name":"Time of Event (Mountain Time)","value":"10:59:51"},{"id":151,"name":"Denver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/c/Users/stu/AppData/Local/Temp/OnboardLogs/RTDC4027 --include="*4027*201709231*"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25" s="145" t="str">
        <f t="shared" si="9"/>
        <v>start /low /b %USERPROFILE%\Documents\GitHub\eaglep3\Utilities\DownloadLogsFromS3.py --loco 4027 --day 2017-09-23</v>
      </c>
      <c r="AF25" s="1"/>
    </row>
    <row r="26" spans="1:32" x14ac:dyDescent="0.25">
      <c r="A26" s="31">
        <v>43001.95925925926</v>
      </c>
      <c r="B26" s="30" t="s">
        <v>601</v>
      </c>
      <c r="C26" s="30" t="s">
        <v>613</v>
      </c>
      <c r="D26" s="30" t="s">
        <v>49</v>
      </c>
      <c r="E26" s="30" t="s">
        <v>359</v>
      </c>
      <c r="F26" s="42">
        <v>0</v>
      </c>
      <c r="G26" s="42">
        <v>600</v>
      </c>
      <c r="H26" s="42">
        <v>190555</v>
      </c>
      <c r="I26" s="42">
        <v>193107</v>
      </c>
      <c r="J26" s="30" t="s">
        <v>360</v>
      </c>
      <c r="K26" s="42">
        <v>190738</v>
      </c>
      <c r="L26" s="131" t="s">
        <v>50</v>
      </c>
      <c r="M26" s="132">
        <f t="shared" si="0"/>
        <v>-1250.8320000000001</v>
      </c>
      <c r="N26" s="133" t="str">
        <f>VLOOKUP(C26,'Trips&amp;Operators'!$C$1:$G$99911,5,FALSE)</f>
        <v>PERKINS DARREN</v>
      </c>
      <c r="O26" s="176" t="s">
        <v>419</v>
      </c>
      <c r="P26" s="134" t="s">
        <v>1004</v>
      </c>
      <c r="Q26" s="30"/>
      <c r="R26" s="81" t="str">
        <f>VLOOKUP(C26,'Train Runs'!$A$13:$AE$9972,31,0)</f>
        <v>aws s3 cp s3://rtdc.mdm.uploadarchive.raw/RTDC4026/ "%USERPROFILE%\AppData\Local\Temp\OnboardLogs"\RTDC4026\2017-09-23 --exclude "*" --recursive --include "*20170923*" &amp; "%USERPROFILE%\Documents\GitHub\mrs-test-scripts\Headless Mode &amp; Sideloading\WalkAndUnGZ.bat" "%USERPROFILE%\AppData\Local\Temp\OnboardLogs"\RTDC4026\2017-09-23 &amp; aws s3 cp s3://rtdc.mdm.uploadarchive.raw/RTDC4026/ "%USERPROFILE%\AppData\Local\Temp\OnboardLogs"\RTDC4026\2017-09-24 --exclude "*" --recursive --include "*20170924*" &amp; "%USERPROFILE%\Documents\GitHub\mrs-test-scripts\Headless Mode &amp; Sideloading\WalkAndUnGZ.bat" "%USERPROFILE%\AppData\Local\Temp\OnboardLogs"\RTDC4026\2017-09-24</v>
      </c>
      <c r="S26" s="84" t="str">
        <f>VLOOKUP(C26,'Train Runs'!$A$13:$AE$9972,22,0)</f>
        <v>https://d0f6bd738d7f1b3e5a7ca70fe4ff75f0.us-east-1.aws.found.io/app/kibana#/discover/Steve-Slow-Train-Analysis-(2080s-and-2083s)?_g=(refreshInterval:(display:Off,pause:!f,section:0,value:0),time:(from:'2017-09-23T21:11:55-0600',mode:absolute,to:'2017-09-24T00:01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6" t="str">
        <f t="shared" si="1"/>
        <v>"C:\Program Files (x86)\AstroGrep\AstroGrep.exe" /e /r /s /spath="%USERPROFILE%\AppData\Local\Temp\OnboardLogs" /stypes="*4026*201709240*" /stext=" 05:.+((SYSTEM_STATE.+slice.+state.+changed )|(ment ac)|(multiple cpu faults)|(system.+state.+changed )|(\[timeout)|(PRM\|1\|D)|(kpr)|(kdp)|(train st.+moving)|(\|lc)|(penalty))"</v>
      </c>
      <c r="U26" s="9" t="str">
        <f t="shared" si="2"/>
        <v>4026</v>
      </c>
      <c r="V26" s="31">
        <f t="shared" si="3"/>
        <v>43002.20925925926</v>
      </c>
      <c r="W26" s="45" t="str">
        <f t="shared" si="4"/>
        <v>EC</v>
      </c>
      <c r="X26" s="22">
        <f t="shared" si="5"/>
        <v>235</v>
      </c>
      <c r="Y26" s="96" t="str">
        <f t="shared" si="6"/>
        <v>echo {"issue":{"subject":"Premature downgrade at Pena 2N","project_id":79,"tracker_id":40,"status_id":1,"priority_id":2,"assigned_to_id":338,"start_date":"2017-09-23","description":"23:00:51 - Pena 2N dropped from Proceed Cab to Stop while train was 96 feet in front, anything unusual?","custom_fields":[{"id":1,"name":"Subdivision","value":"EC"},{"id":4,"name":"Milepost","value":"19.0738"},{"id":17,"name":"Train ID","value":"235-23"},{"id":16,"name":"Locomotive ID","value":"4026"},{"id":130,"name":"Impact","value":"Enforcement"},{"id":150,"name":"Time of Event (Mountain Time)","value":"23:01:20"},{"id":151,"name":"Denver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26" s="159" t="s">
        <v>1005</v>
      </c>
      <c r="AA26" s="47" t="s">
        <v>119</v>
      </c>
      <c r="AB26" s="47" t="s">
        <v>124</v>
      </c>
      <c r="AC26" s="115" t="str">
        <f t="shared" si="7"/>
        <v>grep -hrE -A400 "Enforcement Action" /c/Users/stu/AppData/Local/Temp/OnboardLogs/RTDC4026 --include="*4026*201709240*"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"%USERPROFILE%\AppData\Local\Temp\OnboardLogs"\RTDC4026\*4026*201709240* &gt;&gt; 2017-09-23-SliceDisagreementCheck.txt</v>
      </c>
      <c r="AE26" s="145" t="str">
        <f t="shared" si="9"/>
        <v>start /low /b %USERPROFILE%\Documents\GitHub\eaglep3\Utilities\DownloadLogsFromS3.py --loco 4026 --day 2017-09-24</v>
      </c>
      <c r="AF26" s="1"/>
    </row>
    <row r="27" spans="1:32" x14ac:dyDescent="0.25">
      <c r="A27" s="31">
        <v>43001.277708333335</v>
      </c>
      <c r="B27" s="30" t="s">
        <v>434</v>
      </c>
      <c r="C27" s="30" t="s">
        <v>585</v>
      </c>
      <c r="D27" s="30" t="s">
        <v>49</v>
      </c>
      <c r="E27" s="30" t="s">
        <v>180</v>
      </c>
      <c r="F27" s="42">
        <v>0</v>
      </c>
      <c r="G27" s="42">
        <v>95</v>
      </c>
      <c r="H27" s="42">
        <v>355</v>
      </c>
      <c r="I27" s="42">
        <v>256</v>
      </c>
      <c r="J27" s="30" t="s">
        <v>181</v>
      </c>
      <c r="K27" s="42">
        <v>1</v>
      </c>
      <c r="L27" s="131" t="s">
        <v>51</v>
      </c>
      <c r="M27" s="132">
        <f t="shared" si="0"/>
        <v>134.63999999999999</v>
      </c>
      <c r="N27" s="133" t="str">
        <f>VLOOKUP(C27,'Trips&amp;Operators'!$C$1:$G$99911,5,FALSE)</f>
        <v>THOMPSON LESTER</v>
      </c>
      <c r="O27" s="176" t="s">
        <v>179</v>
      </c>
      <c r="P27" s="134"/>
      <c r="Q27" s="30"/>
      <c r="R27" s="81" t="str">
        <f>VLOOKUP(C27,'Train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27" s="84" t="str">
        <f>VLOOKUP(C27,'Train Runs'!$A$13:$AE$9972,22,0)</f>
        <v>https://d0f6bd738d7f1b3e5a7ca70fe4ff75f0.us-east-1.aws.found.io/app/kibana#/discover/Steve-Slow-Train-Analysis-(2080s-and-2083s)?_g=(refreshInterval:(display:Off,pause:!f,section:0,value:0),time:(from:'2017-09-23T04:54:06-0600',mode:absolute,to:'2017-09-23T07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7" s="86" t="str">
        <f t="shared" si="1"/>
        <v>"C:\Program Files (x86)\AstroGrep\AstroGrep.exe" /e /r /s /spath="%USERPROFILE%\AppData\Local\Temp\OnboardLogs" /stypes="*4039*201709231*"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4039</v>
      </c>
      <c r="V27" s="31">
        <f t="shared" si="3"/>
        <v>43001.527708333335</v>
      </c>
      <c r="W27" s="45" t="str">
        <f t="shared" si="4"/>
        <v>EC</v>
      </c>
      <c r="X27" s="22">
        <f t="shared" si="5"/>
        <v>112</v>
      </c>
      <c r="Y27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ID","value":"112-23"},{"id":16,"name":"Locomotive ID","value":"4039"},{"id":130,"name":"Impact","value":""},{"id":150,"name":"Time of Event (Mountain Time)","value":"06:39:54"},{"id":151,"name":"Denver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/c/Users/stu/AppData/Local/Temp/OnboardLogs/RTDC4039 --include="*4039*201709231*"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27" s="145" t="str">
        <f t="shared" si="9"/>
        <v>start /low /b %USERPROFILE%\Documents\GitHub\eaglep3\Utilities\DownloadLogsFromS3.py --loco 4039 --day 2017-09-23</v>
      </c>
      <c r="AF27" s="1"/>
    </row>
    <row r="28" spans="1:32" x14ac:dyDescent="0.25">
      <c r="A28" s="31">
        <v>43001.285405092596</v>
      </c>
      <c r="B28" s="30" t="s">
        <v>473</v>
      </c>
      <c r="C28" s="30" t="s">
        <v>587</v>
      </c>
      <c r="D28" s="30" t="s">
        <v>49</v>
      </c>
      <c r="E28" s="30" t="s">
        <v>180</v>
      </c>
      <c r="F28" s="42">
        <v>0</v>
      </c>
      <c r="G28" s="42">
        <v>147</v>
      </c>
      <c r="H28" s="42">
        <v>708</v>
      </c>
      <c r="I28" s="42">
        <v>542</v>
      </c>
      <c r="J28" s="30" t="s">
        <v>181</v>
      </c>
      <c r="K28" s="42">
        <v>1</v>
      </c>
      <c r="L28" s="131" t="s">
        <v>51</v>
      </c>
      <c r="M28" s="132">
        <f t="shared" si="0"/>
        <v>285.64800000000002</v>
      </c>
      <c r="N28" s="133" t="str">
        <f>VLOOKUP(C28,'Trips&amp;Operators'!$C$1:$G$99911,5,FALSE)</f>
        <v>MACDONALD THOMAS</v>
      </c>
      <c r="O28" s="176" t="s">
        <v>179</v>
      </c>
      <c r="P28" s="134"/>
      <c r="Q28" s="30"/>
      <c r="R28" s="81" t="str">
        <f>VLOOKUP(C28,'Train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28" s="84" t="str">
        <f>VLOOKUP(C28,'Train Runs'!$A$13:$AE$9972,22,0)</f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86" t="str">
        <f t="shared" si="1"/>
        <v>"C:\Program Files (x86)\AstroGrep\AstroGrep.exe" /e /r /s /spath="%USERPROFILE%\AppData\Local\Temp\OnboardLogs" /stypes="*4001*201709231*"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4001</v>
      </c>
      <c r="V28" s="31">
        <f t="shared" si="3"/>
        <v>43001.535405092596</v>
      </c>
      <c r="W28" s="45" t="str">
        <f t="shared" si="4"/>
        <v>EC</v>
      </c>
      <c r="X28" s="22">
        <f t="shared" si="5"/>
        <v>114</v>
      </c>
      <c r="Y28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ID","value":"114-23"},{"id":16,"name":"Locomotive ID","value":"4001"},{"id":130,"name":"Impact","value":""},{"id":150,"name":"Time of Event (Mountain Time)","value":"06:50:59"},{"id":151,"name":"Denver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/c/Users/stu/AppData/Local/Temp/OnboardLogs/RTDC4001 --include="*4001*201709231*"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"%USERPROFILE%\AppData\Local\Temp\OnboardLogs"\RTDC4001\*4001*201709231* &gt;&gt; 2017-09-23-SliceDisagreementCheck.txt</v>
      </c>
      <c r="AE28" s="145" t="str">
        <f t="shared" si="9"/>
        <v>start /low /b %USERPROFILE%\Documents\GitHub\eaglep3\Utilities\DownloadLogsFromS3.py --loco 4001 --day 2017-09-23</v>
      </c>
      <c r="AF28" s="1"/>
    </row>
    <row r="29" spans="1:32" x14ac:dyDescent="0.25">
      <c r="A29" s="31">
        <v>43001.285787037035</v>
      </c>
      <c r="B29" s="30" t="s">
        <v>473</v>
      </c>
      <c r="C29" s="30" t="s">
        <v>587</v>
      </c>
      <c r="D29" s="30" t="s">
        <v>49</v>
      </c>
      <c r="E29" s="30" t="s">
        <v>180</v>
      </c>
      <c r="F29" s="42">
        <v>0</v>
      </c>
      <c r="G29" s="42">
        <v>63</v>
      </c>
      <c r="H29" s="42">
        <v>488</v>
      </c>
      <c r="I29" s="42">
        <v>395</v>
      </c>
      <c r="J29" s="30" t="s">
        <v>181</v>
      </c>
      <c r="K29" s="42">
        <v>1</v>
      </c>
      <c r="L29" s="131" t="s">
        <v>51</v>
      </c>
      <c r="M29" s="132">
        <f t="shared" si="0"/>
        <v>208.03200000000001</v>
      </c>
      <c r="N29" s="133" t="str">
        <f>VLOOKUP(C29,'Trips&amp;Operators'!$C$1:$G$99911,5,FALSE)</f>
        <v>MACDONALD THOMAS</v>
      </c>
      <c r="O29" s="176" t="s">
        <v>179</v>
      </c>
      <c r="P29" s="134"/>
      <c r="Q29" s="30"/>
      <c r="R29" s="81" t="str">
        <f>VLOOKUP(C29,'Train Runs'!$A$13:$AE$9972,31,0)</f>
        <v>aws s3 cp s3://rtdc.mdm.uploadarchive.raw/RTDC4001/ "%USERPROFILE%\AppData\Local\Temp\OnboardLogs"\RTDC4001\2017-09-23 --exclude "*" --recursive --include "*20170923*" &amp; "%USERPROFILE%\Documents\GitHub\mrs-test-scripts\Headless Mode &amp; Sideloading\WalkAndUnGZ.bat" "%USERPROFILE%\AppData\Local\Temp\OnboardLogs"\RTDC4001\2017-09-23 &amp; aws s3 cp s3://rtdc.mdm.uploadarchive.raw/RTDC4001/ "%USERPROFILE%\AppData\Local\Temp\OnboardLogs"\RTDC4001\2017-09-24 --exclude "*" --recursive --include "*20170924*" &amp; "%USERPROFILE%\Documents\GitHub\mrs-test-scripts\Headless Mode &amp; Sideloading\WalkAndUnGZ.bat" "%USERPROFILE%\AppData\Local\Temp\OnboardLogs"\RTDC4001\2017-09-24</v>
      </c>
      <c r="S29" s="84" t="str">
        <f>VLOOKUP(C29,'Train Runs'!$A$13:$AE$9972,22,0)</f>
        <v>https://d0f6bd738d7f1b3e5a7ca70fe4ff75f0.us-east-1.aws.found.io/app/kibana#/discover/Steve-Slow-Train-Analysis-(2080s-and-2083s)?_g=(refreshInterval:(display:Off,pause:!f,section:0,value:0),time:(from:'2017-09-23T05:07:53-0600',mode:absolute,to:'2017-09-23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86" t="str">
        <f t="shared" si="1"/>
        <v>"C:\Program Files (x86)\AstroGrep\AstroGrep.exe" /e /r /s /spath="%USERPROFILE%\AppData\Local\Temp\OnboardLogs" /stypes="*4001*201709231*"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4001</v>
      </c>
      <c r="V29" s="31">
        <f t="shared" si="3"/>
        <v>43001.535787037035</v>
      </c>
      <c r="W29" s="45" t="str">
        <f t="shared" si="4"/>
        <v>EC</v>
      </c>
      <c r="X29" s="22">
        <f t="shared" si="5"/>
        <v>114</v>
      </c>
      <c r="Y29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ID","value":"114-23"},{"id":16,"name":"Locomotive ID","value":"4001"},{"id":130,"name":"Impact","value":""},{"id":150,"name":"Time of Event (Mountain Time)","value":"06:51:32"},{"id":151,"name":"Denver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/c/Users/stu/AppData/Local/Temp/OnboardLogs/RTDC4001 --include="*4001*201709231*"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"%USERPROFILE%\AppData\Local\Temp\OnboardLogs"\RTDC4001\*4001*201709231* &gt;&gt; 2017-09-23-SliceDisagreementCheck.txt</v>
      </c>
      <c r="AE29" s="145" t="str">
        <f t="shared" si="9"/>
        <v>start /low /b %USERPROFILE%\Documents\GitHub\eaglep3\Utilities\DownloadLogsFromS3.py --loco 4001 --day 2017-09-23</v>
      </c>
      <c r="AF29" s="1"/>
    </row>
    <row r="30" spans="1:32" x14ac:dyDescent="0.25">
      <c r="A30" s="31">
        <v>43001.421724537038</v>
      </c>
      <c r="B30" s="30" t="s">
        <v>434</v>
      </c>
      <c r="C30" s="30" t="s">
        <v>592</v>
      </c>
      <c r="D30" s="30" t="s">
        <v>49</v>
      </c>
      <c r="E30" s="30" t="s">
        <v>180</v>
      </c>
      <c r="F30" s="42">
        <v>0</v>
      </c>
      <c r="G30" s="42">
        <v>103</v>
      </c>
      <c r="H30" s="42">
        <v>415</v>
      </c>
      <c r="I30" s="42">
        <v>274</v>
      </c>
      <c r="J30" s="30" t="s">
        <v>181</v>
      </c>
      <c r="K30" s="42">
        <v>1</v>
      </c>
      <c r="L30" s="131" t="s">
        <v>51</v>
      </c>
      <c r="M30" s="132">
        <f t="shared" si="0"/>
        <v>144.14400000000001</v>
      </c>
      <c r="N30" s="133" t="str">
        <f>VLOOKUP(C30,'Trips&amp;Operators'!$C$1:$G$99911,5,FALSE)</f>
        <v>THOMPSON LESTER</v>
      </c>
      <c r="O30" s="176" t="s">
        <v>179</v>
      </c>
      <c r="P30" s="134"/>
      <c r="Q30" s="30"/>
      <c r="R30" s="81" t="str">
        <f>VLOOKUP(C30,'Train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30" s="84" t="str">
        <f>VLOOKUP(C30,'Train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86" t="str">
        <f t="shared" si="1"/>
        <v>"C:\Program Files (x86)\AstroGrep\AstroGrep.exe" /e /r /s /spath="%USERPROFILE%\AppData\Local\Temp\OnboardLogs" /stypes="*4039*201709231*"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4039</v>
      </c>
      <c r="V30" s="31">
        <f t="shared" si="3"/>
        <v>43001.671724537038</v>
      </c>
      <c r="W30" s="45" t="str">
        <f t="shared" si="4"/>
        <v>EC</v>
      </c>
      <c r="X30" s="22">
        <f t="shared" si="5"/>
        <v>140</v>
      </c>
      <c r="Y30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ID","value":"140-23"},{"id":16,"name":"Locomotive ID","value":"4039"},{"id":130,"name":"Impact","value":""},{"id":150,"name":"Time of Event (Mountain Time)","value":"10:07:17"},{"id":151,"name":"Denver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/c/Users/stu/AppData/Local/Temp/OnboardLogs/RTDC4039 --include="*4039*201709231*"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30" s="145" t="str">
        <f t="shared" si="9"/>
        <v>start /low /b %USERPROFILE%\Documents\GitHub\eaglep3\Utilities\DownloadLogsFromS3.py --loco 4039 --day 2017-09-23</v>
      </c>
      <c r="AF30" s="1"/>
    </row>
    <row r="31" spans="1:32" x14ac:dyDescent="0.25">
      <c r="A31" s="31">
        <v>43001.422164351854</v>
      </c>
      <c r="B31" s="30" t="s">
        <v>434</v>
      </c>
      <c r="C31" s="30" t="s">
        <v>592</v>
      </c>
      <c r="D31" s="30" t="s">
        <v>49</v>
      </c>
      <c r="E31" s="30" t="s">
        <v>180</v>
      </c>
      <c r="F31" s="42">
        <v>0</v>
      </c>
      <c r="G31" s="42">
        <v>36</v>
      </c>
      <c r="H31" s="42">
        <v>160</v>
      </c>
      <c r="I31" s="42">
        <v>129</v>
      </c>
      <c r="J31" s="30" t="s">
        <v>181</v>
      </c>
      <c r="K31" s="42">
        <v>1</v>
      </c>
      <c r="L31" s="131" t="s">
        <v>51</v>
      </c>
      <c r="M31" s="132">
        <f t="shared" si="0"/>
        <v>67.584000000000003</v>
      </c>
      <c r="N31" s="133" t="str">
        <f>VLOOKUP(C31,'Trips&amp;Operators'!$C$1:$G$99911,5,FALSE)</f>
        <v>THOMPSON LESTER</v>
      </c>
      <c r="O31" s="176" t="s">
        <v>179</v>
      </c>
      <c r="P31" s="134"/>
      <c r="Q31" s="30"/>
      <c r="R31" s="81" t="str">
        <f>VLOOKUP(C31,'Train Runs'!$A$13:$AE$9972,31,0)</f>
        <v>aws s3 cp s3://rtdc.mdm.uploadarchive.raw/RTDC4039/ "%USERPROFILE%\AppData\Local\Temp\OnboardLogs"\RTDC4039\2017-09-23 --exclude "*" --recursive --include "*20170923*" &amp; "%USERPROFILE%\Documents\GitHub\mrs-test-scripts\Headless Mode &amp; Sideloading\WalkAndUnGZ.bat" "%USERPROFILE%\AppData\Local\Temp\OnboardLogs"\RTDC4039\2017-09-23 &amp; aws s3 cp s3://rtdc.mdm.uploadarchive.raw/RTDC4039/ "%USERPROFILE%\AppData\Local\Temp\OnboardLogs"\RTDC4039\2017-09-24 --exclude "*" --recursive --include "*20170924*" &amp; "%USERPROFILE%\Documents\GitHub\mrs-test-scripts\Headless Mode &amp; Sideloading\WalkAndUnGZ.bat" "%USERPROFILE%\AppData\Local\Temp\OnboardLogs"\RTDC4039\2017-09-24</v>
      </c>
      <c r="S31" s="84" t="str">
        <f>VLOOKUP(C31,'Train Runs'!$A$13:$AE$9972,22,0)</f>
        <v>https://d0f6bd738d7f1b3e5a7ca70fe4ff75f0.us-east-1.aws.found.io/app/kibana#/discover/Steve-Slow-Train-Analysis-(2080s-and-2083s)?_g=(refreshInterval:(display:Off,pause:!f,section:0,value:0),time:(from:'2017-09-23T08:22:42-0600',mode:absolute,to:'2017-09-23T11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86" t="str">
        <f t="shared" si="1"/>
        <v>"C:\Program Files (x86)\AstroGrep\AstroGrep.exe" /e /r /s /spath="%USERPROFILE%\AppData\Local\Temp\OnboardLogs" /stypes="*4039*201709231*" /stext=" 16:.+((SYSTEM_STATE.+slice.+state.+changed )|(ment ac)|(multiple cpu faults)|(system.+state.+changed )|(\[timeout)|(PRM\|1\|D)|(kpr)|(kdp)|(train st.+moving)|(\|lc)|(penalty))"</v>
      </c>
      <c r="U31" s="9" t="str">
        <f t="shared" si="2"/>
        <v>4039</v>
      </c>
      <c r="V31" s="31">
        <f t="shared" si="3"/>
        <v>43001.672164351854</v>
      </c>
      <c r="W31" s="45" t="str">
        <f t="shared" si="4"/>
        <v>EC</v>
      </c>
      <c r="X31" s="22">
        <f t="shared" si="5"/>
        <v>140</v>
      </c>
      <c r="Y31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ID","value":"140-23"},{"id":16,"name":"Locomotive ID","value":"4039"},{"id":130,"name":"Impact","value":""},{"id":150,"name":"Time of Event (Mountain Time)","value":"10:07:55"},{"id":151,"name":"Denver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/c/Users/stu/AppData/Local/Temp/OnboardLogs/RTDC4039 --include="*4039*201709231*"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"%USERPROFILE%\AppData\Local\Temp\OnboardLogs"\RTDC4039\*4039*201709231* &gt;&gt; 2017-09-23-SliceDisagreementCheck.txt</v>
      </c>
      <c r="AE31" s="145" t="str">
        <f t="shared" si="9"/>
        <v>start /low /b %USERPROFILE%\Documents\GitHub\eaglep3\Utilities\DownloadLogsFromS3.py --loco 4039 --day 2017-09-23</v>
      </c>
      <c r="AF31" s="1"/>
    </row>
    <row r="32" spans="1:32" x14ac:dyDescent="0.25">
      <c r="A32" s="31">
        <v>43001.490057870367</v>
      </c>
      <c r="B32" s="30" t="s">
        <v>449</v>
      </c>
      <c r="C32" s="30" t="s">
        <v>596</v>
      </c>
      <c r="D32" s="30" t="s">
        <v>49</v>
      </c>
      <c r="E32" s="30" t="s">
        <v>180</v>
      </c>
      <c r="F32" s="42">
        <v>0</v>
      </c>
      <c r="G32" s="42">
        <v>58</v>
      </c>
      <c r="H32" s="42">
        <v>214</v>
      </c>
      <c r="I32" s="42">
        <v>136</v>
      </c>
      <c r="J32" s="30" t="s">
        <v>181</v>
      </c>
      <c r="K32" s="42">
        <v>1</v>
      </c>
      <c r="L32" s="131" t="s">
        <v>51</v>
      </c>
      <c r="M32" s="132">
        <f t="shared" si="0"/>
        <v>71.28</v>
      </c>
      <c r="N32" s="133" t="str">
        <f>VLOOKUP(C32,'Trips&amp;Operators'!$C$1:$G$99911,5,FALSE)</f>
        <v>GEBRETEKLE DAGNEW</v>
      </c>
      <c r="O32" s="176" t="s">
        <v>179</v>
      </c>
      <c r="P32" s="134"/>
      <c r="Q32" s="30"/>
      <c r="R32" s="81" t="str">
        <f>VLOOKUP(C32,'Train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32" s="84" t="str">
        <f>VLOOKUP(C32,'Train Runs'!$A$13:$AE$9972,22,0)</f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86" t="str">
        <f t="shared" si="1"/>
        <v>"C:\Program Files (x86)\AstroGrep\AstroGrep.exe" /e /r /s /spath="%USERPROFILE%\AppData\Local\Temp\OnboardLogs" /stypes="*4027*201709231*" /stext=" 17:.+((SYSTEM_STATE.+slice.+state.+changed )|(ment ac)|(multiple cpu faults)|(system.+state.+changed )|(\[timeout)|(PRM\|1\|D)|(kpr)|(kdp)|(train st.+moving)|(\|lc)|(penalty))"</v>
      </c>
      <c r="U32" s="9" t="str">
        <f t="shared" si="2"/>
        <v>4027</v>
      </c>
      <c r="V32" s="31">
        <f t="shared" si="3"/>
        <v>43001.740057870367</v>
      </c>
      <c r="W32" s="45" t="str">
        <f t="shared" si="4"/>
        <v>EC</v>
      </c>
      <c r="X32" s="22">
        <f t="shared" si="5"/>
        <v>150</v>
      </c>
      <c r="Y32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ID","value":"150-23"},{"id":16,"name":"Locomotive ID","value":"4027"},{"id":130,"name":"Impact","value":""},{"id":150,"name":"Time of Event (Mountain Time)","value":"11:45:41"},{"id":151,"name":"Denver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/c/Users/stu/AppData/Local/Temp/OnboardLogs/RTDC4027 --include="*4027*201709231*"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32" s="145" t="str">
        <f t="shared" si="9"/>
        <v>start /low /b %USERPROFILE%\Documents\GitHub\eaglep3\Utilities\DownloadLogsFromS3.py --loco 4027 --day 2017-09-23</v>
      </c>
      <c r="AF32" s="1"/>
    </row>
    <row r="33" spans="1:32" x14ac:dyDescent="0.25">
      <c r="A33" s="31">
        <v>43001.490474537037</v>
      </c>
      <c r="B33" s="30" t="s">
        <v>449</v>
      </c>
      <c r="C33" s="30" t="s">
        <v>596</v>
      </c>
      <c r="D33" s="30" t="s">
        <v>49</v>
      </c>
      <c r="E33" s="30" t="s">
        <v>180</v>
      </c>
      <c r="F33" s="42">
        <v>0</v>
      </c>
      <c r="G33" s="42">
        <v>29</v>
      </c>
      <c r="H33" s="42">
        <v>88</v>
      </c>
      <c r="I33" s="42">
        <v>61</v>
      </c>
      <c r="J33" s="30" t="s">
        <v>181</v>
      </c>
      <c r="K33" s="42">
        <v>1</v>
      </c>
      <c r="L33" s="131" t="s">
        <v>51</v>
      </c>
      <c r="M33" s="132">
        <f t="shared" si="0"/>
        <v>31.68</v>
      </c>
      <c r="N33" s="133" t="str">
        <f>VLOOKUP(C33,'Trips&amp;Operators'!$C$1:$G$99911,5,FALSE)</f>
        <v>GEBRETEKLE DAGNEW</v>
      </c>
      <c r="O33" s="176" t="s">
        <v>179</v>
      </c>
      <c r="P33" s="134"/>
      <c r="Q33" s="30"/>
      <c r="R33" s="81" t="str">
        <f>VLOOKUP(C33,'Train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33" s="84" t="str">
        <f>VLOOKUP(C33,'Train Runs'!$A$13:$AE$9972,22,0)</f>
        <v>https://d0f6bd738d7f1b3e5a7ca70fe4ff75f0.us-east-1.aws.found.io/app/kibana#/discover/Steve-Slow-Train-Analysis-(2080s-and-2083s)?_g=(refreshInterval:(display:Off,pause:!f,section:0,value:0),time:(from:'2017-09-23T09:42:49-0600',mode:absolute,to:'2017-09-23T12:45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3" s="86" t="str">
        <f t="shared" si="1"/>
        <v>"C:\Program Files (x86)\AstroGrep\AstroGrep.exe" /e /r /s /spath="%USERPROFILE%\AppData\Local\Temp\OnboardLogs" /stypes="*4027*201709231*"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4027</v>
      </c>
      <c r="V33" s="31">
        <f t="shared" si="3"/>
        <v>43001.740474537037</v>
      </c>
      <c r="W33" s="45" t="str">
        <f t="shared" si="4"/>
        <v>EC</v>
      </c>
      <c r="X33" s="22">
        <f t="shared" si="5"/>
        <v>150</v>
      </c>
      <c r="Y33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ID","value":"150-23"},{"id":16,"name":"Locomotive ID","value":"4027"},{"id":130,"name":"Impact","value":""},{"id":150,"name":"Time of Event (Mountain Time)","value":"11:46:17"},{"id":151,"name":"Denver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/c/Users/stu/AppData/Local/Temp/OnboardLogs/RTDC4027 --include="*4027*201709231*"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"%USERPROFILE%\AppData\Local\Temp\OnboardLogs"\RTDC4027\*4027*201709231* &gt;&gt; 2017-09-23-SliceDisagreementCheck.txt</v>
      </c>
      <c r="AE33" s="145" t="str">
        <f t="shared" si="9"/>
        <v>start /low /b %USERPROFILE%\Documents\GitHub\eaglep3\Utilities\DownloadLogsFromS3.py --loco 4027 --day 2017-09-23</v>
      </c>
      <c r="AF33" s="1"/>
    </row>
    <row r="34" spans="1:32" x14ac:dyDescent="0.25">
      <c r="A34" s="31">
        <v>43001.825578703705</v>
      </c>
      <c r="B34" s="30" t="s">
        <v>418</v>
      </c>
      <c r="C34" s="30" t="s">
        <v>608</v>
      </c>
      <c r="D34" s="30" t="s">
        <v>49</v>
      </c>
      <c r="E34" s="30" t="s">
        <v>180</v>
      </c>
      <c r="F34" s="42">
        <v>0</v>
      </c>
      <c r="G34" s="42">
        <v>43</v>
      </c>
      <c r="H34" s="42">
        <v>152</v>
      </c>
      <c r="I34" s="42">
        <v>125</v>
      </c>
      <c r="J34" s="30" t="s">
        <v>181</v>
      </c>
      <c r="K34" s="42">
        <v>1</v>
      </c>
      <c r="L34" s="131" t="s">
        <v>51</v>
      </c>
      <c r="M34" s="132">
        <f t="shared" si="0"/>
        <v>65.471999999999994</v>
      </c>
      <c r="N34" s="133" t="str">
        <f>VLOOKUP(C34,'Trips&amp;Operators'!$C$1:$G$99911,5,FALSE)</f>
        <v>ELBAUM MIKE</v>
      </c>
      <c r="O34" s="176" t="s">
        <v>179</v>
      </c>
      <c r="P34" s="134"/>
      <c r="Q34" s="30"/>
      <c r="R34" s="81" t="str">
        <f>VLOOKUP(C34,'Train Runs'!$A$13:$AE$9972,31,0)</f>
        <v>aws s3 cp s3://rtdc.mdm.uploadarchive.raw/RTDC4057/ "%USERPROFILE%\AppData\Local\Temp\OnboardLogs"\RTDC4057\2017-09-23 --exclude "*" --recursive --include "*20170923*" &amp; "%USERPROFILE%\Documents\GitHub\mrs-test-scripts\Headless Mode &amp; Sideloading\WalkAndUnGZ.bat" "%USERPROFILE%\AppData\Local\Temp\OnboardLogs"\RTDC4057\2017-09-23 &amp; aws s3 cp s3://rtdc.mdm.uploadarchive.raw/RTDC4057/ "%USERPROFILE%\AppData\Local\Temp\OnboardLogs"\RTDC4057\2017-09-24 --exclude "*" --recursive --include "*20170924*" &amp; "%USERPROFILE%\Documents\GitHub\mrs-test-scripts\Headless Mode &amp; Sideloading\WalkAndUnGZ.bat" "%USERPROFILE%\AppData\Local\Temp\OnboardLogs"\RTDC4057\2017-09-24</v>
      </c>
      <c r="S34" s="84" t="str">
        <f>VLOOKUP(C34,'Train Runs'!$A$13:$AE$9972,22,0)</f>
        <v>https://d0f6bd738d7f1b3e5a7ca70fe4ff75f0.us-east-1.aws.found.io/app/kibana#/discover/Steve-Slow-Train-Analysis-(2080s-and-2083s)?_g=(refreshInterval:(display:Off,pause:!f,section:0,value:0),time:(from:'2017-09-23T18:02:44-0600',mode:absolute,to:'2017-09-23T20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4" s="86" t="str">
        <f t="shared" si="1"/>
        <v>"C:\Program Files (x86)\AstroGrep\AstroGrep.exe" /e /r /s /spath="%USERPROFILE%\AppData\Local\Temp\OnboardLogs" /stypes="*4057*201709240*"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4057</v>
      </c>
      <c r="V34" s="31">
        <f t="shared" si="3"/>
        <v>43002.075578703705</v>
      </c>
      <c r="W34" s="45" t="str">
        <f t="shared" si="4"/>
        <v>EC</v>
      </c>
      <c r="X34" s="22">
        <f t="shared" si="5"/>
        <v>218</v>
      </c>
      <c r="Y34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ID","value":"218-23"},{"id":16,"name":"Locomotive ID","value":"4057"},{"id":130,"name":"Impact","value":""},{"id":150,"name":"Time of Event (Mountain Time)","value":"19:48:50"},{"id":151,"name":"Denver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/c/Users/stu/AppData/Local/Temp/OnboardLogs/RTDC4057 --include="*4057*201709240*"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"%USERPROFILE%\AppData\Local\Temp\OnboardLogs"\RTDC4057\*4057*201709240* &gt;&gt; 2017-09-23-SliceDisagreementCheck.txt</v>
      </c>
      <c r="AE34" s="145" t="str">
        <f t="shared" si="9"/>
        <v>start /low /b %USERPROFILE%\Documents\GitHub\eaglep3\Utilities\DownloadLogsFromS3.py --loco 4057 --day 2017-09-24</v>
      </c>
      <c r="AF34" s="1"/>
    </row>
    <row r="35" spans="1:32" x14ac:dyDescent="0.25">
      <c r="A35" s="31">
        <v>43001.836759259262</v>
      </c>
      <c r="B35" s="30" t="s">
        <v>609</v>
      </c>
      <c r="C35" s="30" t="s">
        <v>610</v>
      </c>
      <c r="D35" s="30" t="s">
        <v>49</v>
      </c>
      <c r="E35" s="30" t="s">
        <v>180</v>
      </c>
      <c r="F35" s="42">
        <v>0</v>
      </c>
      <c r="G35" s="42">
        <v>72</v>
      </c>
      <c r="H35" s="42">
        <v>231</v>
      </c>
      <c r="I35" s="42">
        <v>156</v>
      </c>
      <c r="J35" s="30" t="s">
        <v>181</v>
      </c>
      <c r="K35" s="42">
        <v>1</v>
      </c>
      <c r="L35" s="131" t="s">
        <v>51</v>
      </c>
      <c r="M35" s="132">
        <f t="shared" si="0"/>
        <v>81.84</v>
      </c>
      <c r="N35" s="133" t="str">
        <f>VLOOKUP(C35,'Trips&amp;Operators'!$C$1:$G$99911,5,FALSE)</f>
        <v>PERKINS DARREN</v>
      </c>
      <c r="O35" s="176" t="s">
        <v>179</v>
      </c>
      <c r="P35" s="134"/>
      <c r="Q35" s="30"/>
      <c r="R35" s="81" t="str">
        <f>VLOOKUP(C35,'Train Runs'!$A$13:$AE$9972,31,0)</f>
        <v>aws s3 cp s3://rtdc.mdm.uploadarchive.raw/RTDC4025/ "%USERPROFILE%\AppData\Local\Temp\OnboardLogs"\RTDC4025\2017-09-23 --exclude "*" --recursive --include "*20170923*" &amp; "%USERPROFILE%\Documents\GitHub\mrs-test-scripts\Headless Mode &amp; Sideloading\WalkAndUnGZ.bat" "%USERPROFILE%\AppData\Local\Temp\OnboardLogs"\RTDC4025\2017-09-23 &amp; aws s3 cp s3://rtdc.mdm.uploadarchive.raw/RTDC4025/ "%USERPROFILE%\AppData\Local\Temp\OnboardLogs"\RTDC4025\2017-09-24 --exclude "*" --recursive --include "*20170924*" &amp; "%USERPROFILE%\Documents\GitHub\mrs-test-scripts\Headless Mode &amp; Sideloading\WalkAndUnGZ.bat" "%USERPROFILE%\AppData\Local\Temp\OnboardLogs"\RTDC4025\2017-09-24</v>
      </c>
      <c r="S35" s="84" t="str">
        <f>VLOOKUP(C35,'Train Runs'!$A$13:$AE$9972,22,0)</f>
        <v>https://d0f6bd738d7f1b3e5a7ca70fe4ff75f0.us-east-1.aws.found.io/app/kibana#/discover/Steve-Slow-Train-Analysis-(2080s-and-2083s)?_g=(refreshInterval:(display:Off,pause:!f,section:0,value:0),time:(from:'2017-09-23T18:13:18-0600',mode:absolute,to:'2017-09-23T21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5" s="86" t="str">
        <f t="shared" si="1"/>
        <v>"C:\Program Files (x86)\AstroGrep\AstroGrep.exe" /e /r /s /spath="%USERPROFILE%\AppData\Local\Temp\OnboardLogs" /stypes="*4025*201709240*"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4025</v>
      </c>
      <c r="V35" s="31">
        <f t="shared" si="3"/>
        <v>43002.086759259262</v>
      </c>
      <c r="W35" s="45" t="str">
        <f t="shared" si="4"/>
        <v>EC</v>
      </c>
      <c r="X35" s="22">
        <f t="shared" si="5"/>
        <v>220</v>
      </c>
      <c r="Y35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ID","value":"220-23"},{"id":16,"name":"Locomotive ID","value":"4025"},{"id":130,"name":"Impact","value":""},{"id":150,"name":"Time of Event (Mountain Time)","value":"20:04:56"},{"id":151,"name":"Denver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/c/Users/stu/AppData/Local/Temp/OnboardLogs/RTDC4025 --include="*4025*201709240*"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"%USERPROFILE%\AppData\Local\Temp\OnboardLogs"\RTDC4025\*4025*201709240* &gt;&gt; 2017-09-23-SliceDisagreementCheck.txt</v>
      </c>
      <c r="AE35" s="145" t="str">
        <f t="shared" si="9"/>
        <v>start /low /b %USERPROFILE%\Documents\GitHub\eaglep3\Utilities\DownloadLogsFromS3.py --loco 4025 --day 2017-09-24</v>
      </c>
      <c r="AF35" s="1"/>
    </row>
    <row r="36" spans="1:32" x14ac:dyDescent="0.25">
      <c r="A36" s="31">
        <v>43001.858414351853</v>
      </c>
      <c r="B36" s="30" t="s">
        <v>449</v>
      </c>
      <c r="C36" s="30" t="s">
        <v>611</v>
      </c>
      <c r="D36" s="30" t="s">
        <v>49</v>
      </c>
      <c r="E36" s="30" t="s">
        <v>180</v>
      </c>
      <c r="F36" s="42">
        <v>0</v>
      </c>
      <c r="G36" s="42">
        <v>43</v>
      </c>
      <c r="H36" s="42">
        <v>154</v>
      </c>
      <c r="I36" s="42">
        <v>118</v>
      </c>
      <c r="J36" s="30" t="s">
        <v>181</v>
      </c>
      <c r="K36" s="42">
        <v>1</v>
      </c>
      <c r="L36" s="131" t="s">
        <v>51</v>
      </c>
      <c r="M36" s="132">
        <f t="shared" si="0"/>
        <v>61.776000000000003</v>
      </c>
      <c r="N36" s="133" t="str">
        <f>VLOOKUP(C36,'Trips&amp;Operators'!$C$1:$G$99911,5,FALSE)</f>
        <v>HART KEVIN</v>
      </c>
      <c r="O36" s="176" t="s">
        <v>179</v>
      </c>
      <c r="P36" s="134"/>
      <c r="Q36" s="30"/>
      <c r="R36" s="81" t="str">
        <f>VLOOKUP(C36,'Train Runs'!$A$13:$AE$9972,31,0)</f>
        <v>aws s3 cp s3://rtdc.mdm.uploadarchive.raw/RTDC4027/ "%USERPROFILE%\AppData\Local\Temp\OnboardLogs"\RTDC4027\2017-09-23 --exclude "*" --recursive --include "*20170923*" &amp; "%USERPROFILE%\Documents\GitHub\mrs-test-scripts\Headless Mode &amp; Sideloading\WalkAndUnGZ.bat" "%USERPROFILE%\AppData\Local\Temp\OnboardLogs"\RTDC4027\2017-09-23 &amp; aws s3 cp s3://rtdc.mdm.uploadarchive.raw/RTDC4027/ "%USERPROFILE%\AppData\Local\Temp\OnboardLogs"\RTDC4027\2017-09-24 --exclude "*" --recursive --include "*20170924*" &amp; "%USERPROFILE%\Documents\GitHub\mrs-test-scripts\Headless Mode &amp; Sideloading\WalkAndUnGZ.bat" "%USERPROFILE%\AppData\Local\Temp\OnboardLogs"\RTDC4027\2017-09-24</v>
      </c>
      <c r="S36" s="84" t="str">
        <f>VLOOKUP(C36,'Train Runs'!$A$13:$AE$9972,22,0)</f>
        <v>https://d0f6bd738d7f1b3e5a7ca70fe4ff75f0.us-east-1.aws.found.io/app/kibana#/discover/Steve-Slow-Train-Analysis-(2080s-and-2083s)?_g=(refreshInterval:(display:Off,pause:!f,section:0,value:0),time:(from:'2017-09-23T18:52:46-0600',mode:absolute,to:'2017-09-23T21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86" t="str">
        <f t="shared" si="1"/>
        <v>"C:\Program Files (x86)\AstroGrep\AstroGrep.exe" /e /r /s /spath="%USERPROFILE%\AppData\Local\Temp\OnboardLogs" /stypes="*4027*201709240*" /stext=" 02:.+((SYSTEM_STATE.+slice.+state.+changed )|(ment ac)|(multiple cpu faults)|(system.+state.+changed )|(\[timeout)|(PRM\|1\|D)|(kpr)|(kdp)|(train st.+moving)|(\|lc)|(penalty))"</v>
      </c>
      <c r="U36" s="9" t="str">
        <f t="shared" si="2"/>
        <v>4027</v>
      </c>
      <c r="V36" s="31">
        <f t="shared" si="3"/>
        <v>43002.108414351853</v>
      </c>
      <c r="W36" s="45" t="str">
        <f t="shared" si="4"/>
        <v>EC</v>
      </c>
      <c r="X36" s="22">
        <f t="shared" si="5"/>
        <v>222</v>
      </c>
      <c r="Y36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{"issue":{"subject":"","project_id":79,"tracker_id":40,"status_id":1,"priority_id":2,"assigned_to_id":338,"start_date":"2017-09-23","description":"","custom_fields":[{"id":1,"name":"Subdivision","value":"EC"},{"id":4,"name":"Milepost","value":"0.0001"},{"id":17,"name":"Train ID","value":"222-23"},{"id":16,"name":"Locomotive ID","value":"4027"},{"id":130,"name":"Impact","value":""},{"id":150,"name":"Time of Event (Mountain Time)","value":"20:36:07"},{"id":151,"name":"Denver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/c/Users/stu/AppData/Local/Temp/OnboardLogs/RTDC4027 --include="*4027*201709240*"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"%USERPROFILE%\AppData\Local\Temp\OnboardLogs"\RTDC4027\*4027*201709240* &gt;&gt; 2017-09-23-SliceDisagreementCheck.txt</v>
      </c>
      <c r="AE36" s="145" t="str">
        <f t="shared" si="9"/>
        <v>start /low /b %USERPROFILE%\Documents\GitHub\eaglep3\Utilities\DownloadLogsFromS3.py --loco 4027 --day 2017-09-24</v>
      </c>
      <c r="AF36" s="1"/>
    </row>
    <row r="37" spans="1:32" x14ac:dyDescent="0.25">
      <c r="A37" s="31">
        <v>43001.214189814818</v>
      </c>
      <c r="B37" s="30" t="s">
        <v>407</v>
      </c>
      <c r="C37" s="30" t="s">
        <v>583</v>
      </c>
      <c r="D37" s="30" t="s">
        <v>49</v>
      </c>
      <c r="E37" s="30" t="s">
        <v>180</v>
      </c>
      <c r="F37" s="42">
        <v>0</v>
      </c>
      <c r="G37" s="42">
        <v>15</v>
      </c>
      <c r="H37" s="42">
        <v>233465</v>
      </c>
      <c r="I37" s="42">
        <v>233483</v>
      </c>
      <c r="J37" s="30" t="s">
        <v>181</v>
      </c>
      <c r="K37" s="42">
        <v>233491</v>
      </c>
      <c r="L37" s="131" t="s">
        <v>50</v>
      </c>
      <c r="M37" s="132">
        <f t="shared" si="0"/>
        <v>4.2240000000000002</v>
      </c>
      <c r="N37" s="133" t="str">
        <f>VLOOKUP(C37,'Trips&amp;Operators'!$C$1:$G$99911,5,FALSE)</f>
        <v>LANGERAK WILLIAM</v>
      </c>
      <c r="O37" s="176" t="s">
        <v>179</v>
      </c>
      <c r="P37" s="134"/>
      <c r="Q37" s="30"/>
      <c r="R37" s="81" t="str">
        <f>VLOOKUP(C37,'Train Runs'!$A$13:$AE$9972,31,0)</f>
        <v>aws s3 cp s3://rtdc.mdm.uploadarchive.raw/RTDC4028/ "%USERPROFILE%\AppData\Local\Temp\OnboardLogs"\RTDC4028\2017-09-23 --exclude "*" --recursive --include "*20170923*" &amp; "%USERPROFILE%\Documents\GitHub\mrs-test-scripts\Headless Mode &amp; Sideloading\WalkAndUnGZ.bat" "%USERPROFILE%\AppData\Local\Temp\OnboardLogs"\RTDC4028\2017-09-23 &amp; aws s3 cp s3://rtdc.mdm.uploadarchive.raw/RTDC4028/ "%USERPROFILE%\AppData\Local\Temp\OnboardLogs"\RTDC4028\2017-09-24 --exclude "*" --recursive --include "*20170924*" &amp; "%USERPROFILE%\Documents\GitHub\mrs-test-scripts\Headless Mode &amp; Sideloading\WalkAndUnGZ.bat" "%USERPROFILE%\AppData\Local\Temp\OnboardLogs"\RTDC4028\2017-09-24</v>
      </c>
      <c r="S37" s="84" t="str">
        <f>VLOOKUP(C37,'Train Runs'!$A$13:$AE$9972,22,0)</f>
        <v>https://d0f6bd738d7f1b3e5a7ca70fe4ff75f0.us-east-1.aws.found.io/app/kibana#/discover/Steve-Slow-Train-Analysis-(2080s-and-2083s)?_g=(refreshInterval:(display:Off,pause:!f,section:0,value:0),time:(from:'2017-09-23T03:28:13-0600',mode:absolute,to:'2017-09-23T06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7" s="86" t="str">
        <f t="shared" si="1"/>
        <v>"C:\Program Files (x86)\AstroGrep\AstroGrep.exe" /e /r /s /spath="%USERPROFILE%\AppData\Local\Temp\OnboardLogs" /stypes="*4028*201709231*" /stext=" 11:.+((SYSTEM_STATE.+slice.+state.+changed )|(ment ac)|(multiple cpu faults)|(system.+state.+changed )|(\[timeout)|(PRM\|1\|D)|(kpr)|(kdp)|(train st.+moving)|(\|lc)|(penalty))"</v>
      </c>
      <c r="U37" s="9" t="str">
        <f t="shared" si="2"/>
        <v>4028</v>
      </c>
      <c r="V37" s="31">
        <f t="shared" si="3"/>
        <v>43001.464189814818</v>
      </c>
      <c r="W37" s="45" t="str">
        <f t="shared" si="4"/>
        <v>EC</v>
      </c>
      <c r="X37" s="22">
        <f t="shared" si="5"/>
        <v>107</v>
      </c>
      <c r="Y37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{"issue":{"subject":"","project_id":79,"tracker_id":40,"status_id":1,"priority_id":2,"assigned_to_id":338,"start_date":"2017-09-23","description":"","custom_fields":[{"id":1,"name":"Subdivision","value":"EC"},{"id":4,"name":"Milepost","value":"23.3491"},{"id":17,"name":"Train ID","value":"107-23"},{"id":16,"name":"Locomotive ID","value":"4028"},{"id":130,"name":"Impact","value":""},{"id":150,"name":"Time of Event (Mountain Time)","value":"05:08:26"},{"id":151,"name":"Denver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/c/Users/stu/AppData/Local/Temp/OnboardLogs/RTDC4028 --include="*4028*201709231*"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"%USERPROFILE%\AppData\Local\Temp\OnboardLogs"\RTDC4028\*4028*201709231* &gt;&gt; 2017-09-23-SliceDisagreementCheck.txt</v>
      </c>
      <c r="AE37" s="145" t="str">
        <f t="shared" si="9"/>
        <v>start /low /b %USERPROFILE%\Documents\GitHub\eaglep3\Utilities\DownloadLogsFromS3.py --loco 4028 --day 2017-09-23</v>
      </c>
      <c r="AF37" s="1"/>
    </row>
    <row r="38" spans="1:32" x14ac:dyDescent="0.25">
      <c r="A38" s="31">
        <v>43001.305798611109</v>
      </c>
      <c r="B38" s="30" t="s">
        <v>437</v>
      </c>
      <c r="C38" s="30" t="s">
        <v>588</v>
      </c>
      <c r="D38" s="30" t="s">
        <v>49</v>
      </c>
      <c r="E38" s="30" t="s">
        <v>180</v>
      </c>
      <c r="F38" s="42">
        <v>0</v>
      </c>
      <c r="G38" s="42">
        <v>131</v>
      </c>
      <c r="H38" s="42">
        <v>232957</v>
      </c>
      <c r="I38" s="42">
        <v>233090</v>
      </c>
      <c r="J38" s="30" t="s">
        <v>181</v>
      </c>
      <c r="K38" s="42">
        <v>233491</v>
      </c>
      <c r="L38" s="131" t="s">
        <v>50</v>
      </c>
      <c r="M38" s="132">
        <f t="shared" si="0"/>
        <v>211.72800000000001</v>
      </c>
      <c r="N38" s="133" t="str">
        <f>VLOOKUP(C38,'Trips&amp;Operators'!$C$1:$G$99911,5,FALSE)</f>
        <v>THOMPSON LESTER</v>
      </c>
      <c r="O38" s="176" t="s">
        <v>179</v>
      </c>
      <c r="P38" s="134"/>
      <c r="Q38" s="30"/>
      <c r="R38" s="81" t="str">
        <f>VLOOKUP(C38,'Train Runs'!$A$13:$AE$9972,31,0)</f>
        <v>aws s3 cp s3://rtdc.mdm.uploadarchive.raw/RTDC4040/ "%USERPROFILE%\AppData\Local\Temp\OnboardLogs"\RTDC4040\2017-09-23 --exclude "*" --recursive --include "*20170923*" &amp; "%USERPROFILE%\Documents\GitHub\mrs-test-scripts\Headless Mode &amp; Sideloading\WalkAndUnGZ.bat" "%USERPROFILE%\AppData\Local\Temp\OnboardLogs"\RTDC4040\2017-09-23 &amp; aws s3 cp s3://rtdc.mdm.uploadarchive.raw/RTDC4040/ "%USERPROFILE%\AppData\Local\Temp\OnboardLogs"\RTDC4040\2017-09-24 --exclude "*" --recursive --include "*20170924*" &amp; "%USERPROFILE%\Documents\GitHub\mrs-test-scripts\Headless Mode &amp; Sideloading\WalkAndUnGZ.bat" "%USERPROFILE%\AppData\Local\Temp\OnboardLogs"\RTDC4040\2017-09-24</v>
      </c>
      <c r="S38" s="84" t="str">
        <f>VLOOKUP(C38,'Train Runs'!$A$13:$AE$9972,22,0)</f>
        <v>https://d0f6bd738d7f1b3e5a7ca70fe4ff75f0.us-east-1.aws.found.io/app/kibana#/discover/Steve-Slow-Train-Analysis-(2080s-and-2083s)?_g=(refreshInterval:(display:Off,pause:!f,section:0,value:0),time:(from:'2017-09-23T05:43:52-0600',mode:absolute,to:'2017-09-23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8" s="86" t="str">
        <f t="shared" si="1"/>
        <v>"C:\Program Files (x86)\AstroGrep\AstroGrep.exe" /e /r /s /spath="%USERPROFILE%\AppData\Local\Temp\OnboardLogs" /stypes="*4040*201709231*"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4040</v>
      </c>
      <c r="V38" s="31">
        <f t="shared" si="3"/>
        <v>43001.555798611109</v>
      </c>
      <c r="W38" s="45" t="str">
        <f t="shared" si="4"/>
        <v>EC</v>
      </c>
      <c r="X38" s="22">
        <f t="shared" si="5"/>
        <v>125</v>
      </c>
      <c r="Y38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{"issue":{"subject":"","project_id":79,"tracker_id":40,"status_id":1,"priority_id":2,"assigned_to_id":338,"start_date":"2017-09-23","description":"","custom_fields":[{"id":1,"name":"Subdivision","value":"EC"},{"id":4,"name":"Milepost","value":"23.3491"},{"id":17,"name":"Train ID","value":"125-23"},{"id":16,"name":"Locomotive ID","value":"4040"},{"id":130,"name":"Impact","value":""},{"id":150,"name":"Time of Event (Mountain Time)","value":"07:20:21"},{"id":151,"name":"Denver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/c/Users/stu/AppData/Local/Temp/OnboardLogs/RTDC4040 --include="*4040*201709231*"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"%USERPROFILE%\AppData\Local\Temp\OnboardLogs"\RTDC4040\*4040*201709231* &gt;&gt; 2017-09-23-SliceDisagreementCheck.txt</v>
      </c>
      <c r="AE38" s="145" t="str">
        <f t="shared" si="9"/>
        <v>start /low /b %USERPROFILE%\Documents\GitHub\eaglep3\Utilities\DownloadLogsFromS3.py --loco 4040 --day 2017-09-23</v>
      </c>
      <c r="AF38" s="1"/>
    </row>
    <row r="39" spans="1:32" x14ac:dyDescent="0.25">
      <c r="A39" s="31">
        <v>43001.714618055557</v>
      </c>
      <c r="B39" s="30" t="s">
        <v>402</v>
      </c>
      <c r="C39" s="30" t="s">
        <v>605</v>
      </c>
      <c r="D39" s="30" t="s">
        <v>49</v>
      </c>
      <c r="E39" s="30" t="s">
        <v>180</v>
      </c>
      <c r="F39" s="42">
        <v>0</v>
      </c>
      <c r="G39" s="42">
        <v>101</v>
      </c>
      <c r="H39" s="42">
        <v>233069</v>
      </c>
      <c r="I39" s="42">
        <v>233213</v>
      </c>
      <c r="J39" s="30" t="s">
        <v>181</v>
      </c>
      <c r="K39" s="42">
        <v>233491</v>
      </c>
      <c r="L39" s="131" t="s">
        <v>50</v>
      </c>
      <c r="M39" s="132">
        <f t="shared" si="0"/>
        <v>146.78399999999999</v>
      </c>
      <c r="N39" s="133" t="str">
        <f>VLOOKUP(C39,'Trips&amp;Operators'!$C$1:$G$99911,5,FALSE)</f>
        <v>DAVIS MICHAEL</v>
      </c>
      <c r="O39" s="176" t="s">
        <v>179</v>
      </c>
      <c r="P39" s="134"/>
      <c r="Q39" s="30"/>
      <c r="R39" s="81" t="str">
        <f>VLOOKUP(C39,'Train Runs'!$A$13:$AE$9972,31,0)</f>
        <v>aws s3 cp s3://rtdc.mdm.uploadarchive.raw/RTDC4058/ "%USERPROFILE%\AppData\Local\Temp\OnboardLogs"\RTDC4058\2017-09-23 --exclude "*" --recursive --include "*20170923*" &amp; "%USERPROFILE%\Documents\GitHub\mrs-test-scripts\Headless Mode &amp; Sideloading\WalkAndUnGZ.bat" "%USERPROFILE%\AppData\Local\Temp\OnboardLogs"\RTDC4058\2017-09-23 &amp; aws s3 cp s3://rtdc.mdm.uploadarchive.raw/RTDC4058/ "%USERPROFILE%\AppData\Local\Temp\OnboardLogs"\RTDC4058\2017-09-24 --exclude "*" --recursive --include "*20170924*" &amp; "%USERPROFILE%\Documents\GitHub\mrs-test-scripts\Headless Mode &amp; Sideloading\WalkAndUnGZ.bat" "%USERPROFILE%\AppData\Local\Temp\OnboardLogs"\RTDC4058\2017-09-24</v>
      </c>
      <c r="S39" s="84" t="str">
        <f>VLOOKUP(C39,'Train Runs'!$A$13:$AE$9972,22,0)</f>
        <v>https://d0f6bd738d7f1b3e5a7ca70fe4ff75f0.us-east-1.aws.found.io/app/kibana#/discover/Steve-Slow-Train-Analysis-(2080s-and-2083s)?_g=(refreshInterval:(display:Off,pause:!f,section:0,value:0),time:(from:'2017-09-23T15:26:19-0600',mode:absolute,to:'2017-09-23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9" s="86" t="str">
        <f t="shared" si="1"/>
        <v>"C:\Program Files (x86)\AstroGrep\AstroGrep.exe" /e /r /s /spath="%USERPROFILE%\AppData\Local\Temp\OnboardLogs" /stypes="*4058*201709232*" /stext=" 23:.+((SYSTEM_STATE.+slice.+state.+changed )|(ment ac)|(multiple cpu faults)|(system.+state.+changed )|(\[timeout)|(PRM\|1\|D)|(kpr)|(kdp)|(train st.+moving)|(\|lc)|(penalty))"</v>
      </c>
      <c r="U39" s="9" t="str">
        <f t="shared" si="2"/>
        <v>4058</v>
      </c>
      <c r="V39" s="31">
        <f t="shared" si="3"/>
        <v>43001.964618055557</v>
      </c>
      <c r="W39" s="45" t="str">
        <f t="shared" si="4"/>
        <v>EC</v>
      </c>
      <c r="X39" s="22">
        <f t="shared" si="5"/>
        <v>203</v>
      </c>
      <c r="Y39" s="96" t="str">
        <f t="shared" si="6"/>
        <v>echo {"issue":{"subject":"","project_id":79,"tracker_id":40,"status_id":1,"priority_id":2,"assigned_to_id":338,"start_date":"2017-09-23","description":"","custom_fields":[{"id":1,"name":"Subdivision","value":"EC"},{"id":4,"name":"Milepost","value":"23.3491"},{"id":17,"name":"Train ID","value":"203-23"},{"id":16,"name":"Locomotive ID","value":"4058"},{"id":130,"name":"Impact","value":""},{"id":150,"name":"Time of Event (Mountain Time)","value":"17:09:03"},{"id":151,"name":"Denver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/c/Users/stu/AppData/Local/Temp/OnboardLogs/RTDC4058 --include="*4058*201709232*"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"%USERPROFILE%\AppData\Local\Temp\OnboardLogs"\RTDC4058\*4058*201709232* &gt;&gt; 2017-09-23-SliceDisagreementCheck.txt</v>
      </c>
      <c r="AE39" s="145" t="str">
        <f t="shared" si="9"/>
        <v>start /low /b %USERPROFILE%\Documents\GitHub\eaglep3\Utilities\DownloadLogsFromS3.py --loco 4058 --day 2017-09-23</v>
      </c>
      <c r="AF39" s="1"/>
    </row>
    <row r="40" spans="1:32" x14ac:dyDescent="0.25">
      <c r="A40" s="31">
        <v>43001.426249999997</v>
      </c>
      <c r="B40" s="30" t="s">
        <v>528</v>
      </c>
      <c r="C40" s="30" t="s">
        <v>594</v>
      </c>
      <c r="D40" s="30" t="s">
        <v>95</v>
      </c>
      <c r="E40" s="30" t="s">
        <v>194</v>
      </c>
      <c r="F40" s="42">
        <v>500</v>
      </c>
      <c r="G40" s="42">
        <v>553</v>
      </c>
      <c r="H40" s="42">
        <v>16558</v>
      </c>
      <c r="I40" s="42">
        <v>18295</v>
      </c>
      <c r="J40" s="30" t="s">
        <v>195</v>
      </c>
      <c r="K40" s="42">
        <v>14402</v>
      </c>
      <c r="L40" s="131" t="s">
        <v>50</v>
      </c>
      <c r="M40" s="132">
        <f t="shared" si="0"/>
        <v>-2055.5039999999999</v>
      </c>
      <c r="N40" s="133" t="str">
        <f>VLOOKUP(C40,'Trips&amp;Operators'!$C$1:$G$99911,5,FALSE)</f>
        <v>LAMAR NEKESHA</v>
      </c>
      <c r="O40" s="176" t="s">
        <v>179</v>
      </c>
      <c r="P40" s="134"/>
      <c r="Q40" s="30"/>
      <c r="R40" s="81" t="str">
        <f>VLOOKUP(C40,'Train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0" s="84" t="str">
        <f>VLOOKUP(C40,'Train Runs'!$A$13:$AE$9972,22,0)</f>
        <v>https://d0f6bd738d7f1b3e5a7ca70fe4ff75f0.us-east-1.aws.found.io/app/kibana#/discover/Steve-Slow-Train-Analysis-(2080s-and-2083s)?_g=(refreshInterval:(display:Off,pause:!f,section:0,value:0),time:(from:'2017-09-23T09:03:54-0600',mode:absolute,to:'2017-09-23T11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0" s="86" t="str">
        <f t="shared" si="1"/>
        <v>"C:\Program Files (x86)\AstroGrep\AstroGrep.exe" /e /r /s /spath="%USERPROFILE%\AppData\Local\Temp\OnboardLogs" /stypes="*4014*201709231*" /stext=" 16:.+((SYSTEM_STATE.+slice.+state.+changed )|(ment ac)|(multiple cpu faults)|(system.+state.+changed )|(\[timeout)|(PRM\|1\|D)|(kpr)|(kdp)|(train st.+moving)|(\|lc)|(penalty))"</v>
      </c>
      <c r="U40" s="9" t="str">
        <f t="shared" si="2"/>
        <v>4014</v>
      </c>
      <c r="V40" s="31">
        <f t="shared" si="3"/>
        <v>43001.676249999997</v>
      </c>
      <c r="W40" s="45" t="str">
        <f t="shared" si="4"/>
        <v>NW</v>
      </c>
      <c r="X40" s="22">
        <f t="shared" si="5"/>
        <v>1809</v>
      </c>
      <c r="Y40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{"issue":{"subject":"","project_id":79,"tracker_id":40,"status_id":1,"priority_id":2,"assigned_to_id":338,"start_date":"2017-09-23","description":"","custom_fields":[{"id":1,"name":"Subdivision","value":"NW"},{"id":4,"name":"Milepost","value":"1.4402"},{"id":17,"name":"Train ID","value":"1809-23"},{"id":16,"name":"Locomotive ID","value":"4014"},{"id":130,"name":"Impact","value":""},{"id":150,"name":"Time of Event (Mountain Time)","value":"10:13:48"},{"id":151,"name":"Denver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/c/Users/stu/AppData/Local/Temp/OnboardLogs/RTDC4014 --include="*4014*201709231*"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0" s="145" t="str">
        <f t="shared" si="9"/>
        <v>start /low /b %USERPROFILE%\Documents\GitHub\eaglep3\Utilities\DownloadLogsFromS3.py --loco 4014 --day 2017-09-23</v>
      </c>
      <c r="AF40" s="1"/>
    </row>
    <row r="41" spans="1:32" x14ac:dyDescent="0.25">
      <c r="A41" s="31">
        <v>43001.447280092594</v>
      </c>
      <c r="B41" s="30" t="s">
        <v>525</v>
      </c>
      <c r="C41" s="30" t="s">
        <v>595</v>
      </c>
      <c r="D41" s="30" t="s">
        <v>95</v>
      </c>
      <c r="E41" s="30" t="s">
        <v>194</v>
      </c>
      <c r="F41" s="42">
        <v>150</v>
      </c>
      <c r="G41" s="42">
        <v>216</v>
      </c>
      <c r="H41" s="42">
        <v>56731</v>
      </c>
      <c r="I41" s="42">
        <v>56276</v>
      </c>
      <c r="J41" s="30" t="s">
        <v>195</v>
      </c>
      <c r="K41" s="42">
        <v>59050</v>
      </c>
      <c r="L41" s="131" t="s">
        <v>51</v>
      </c>
      <c r="M41" s="132">
        <f t="shared" si="0"/>
        <v>-1464.672</v>
      </c>
      <c r="N41" s="133" t="str">
        <f>VLOOKUP(C41,'Trips&amp;Operators'!$C$1:$G$99911,5,FALSE)</f>
        <v>LAMAR NEKESHA</v>
      </c>
      <c r="O41" s="176" t="s">
        <v>179</v>
      </c>
      <c r="P41" s="134"/>
      <c r="Q41" s="30"/>
      <c r="R41" s="81" t="str">
        <f>VLOOKUP(C41,'Train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1" s="84" t="str">
        <f>VLOOKUP(C41,'Train Runs'!$A$13:$AE$9972,22,0)</f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86" t="str">
        <f t="shared" si="1"/>
        <v>"C:\Program Files (x86)\AstroGrep\AstroGrep.exe" /e /r /s /spath="%USERPROFILE%\AppData\Local\Temp\OnboardLogs" /stypes="*4013*201709231*"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4013</v>
      </c>
      <c r="V41" s="31">
        <f t="shared" si="3"/>
        <v>43001.697280092594</v>
      </c>
      <c r="W41" s="45" t="str">
        <f t="shared" si="4"/>
        <v>NW</v>
      </c>
      <c r="X41" s="22">
        <f t="shared" si="5"/>
        <v>1810</v>
      </c>
      <c r="Y41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{"issue":{"subject":"","project_id":79,"tracker_id":40,"status_id":1,"priority_id":2,"assigned_to_id":338,"start_date":"2017-09-23","description":"","custom_fields":[{"id":1,"name":"Subdivision","value":"NW"},{"id":4,"name":"Milepost","value":"5.905"},{"id":17,"name":"Train ID","value":"1810-23"},{"id":16,"name":"Locomotive ID","value":"4013"},{"id":130,"name":"Impact","value":""},{"id":150,"name":"Time of Event (Mountain Time)","value":"10:44:05"},{"id":151,"name":"Denver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/c/Users/stu/AppData/Local/Temp/OnboardLogs/RTDC4013 --include="*4013*201709231*"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1" s="145" t="str">
        <f t="shared" si="9"/>
        <v>start /low /b %USERPROFILE%\Documents\GitHub\eaglep3\Utilities\DownloadLogsFromS3.py --loco 4013 --day 2017-09-23</v>
      </c>
      <c r="AF41" s="1"/>
    </row>
    <row r="42" spans="1:32" x14ac:dyDescent="0.25">
      <c r="A42" s="31">
        <v>43001.412986111114</v>
      </c>
      <c r="B42" s="30" t="s">
        <v>525</v>
      </c>
      <c r="C42" s="30" t="s">
        <v>593</v>
      </c>
      <c r="D42" s="30" t="s">
        <v>49</v>
      </c>
      <c r="E42" s="30" t="s">
        <v>180</v>
      </c>
      <c r="F42" s="42">
        <v>0</v>
      </c>
      <c r="G42" s="42">
        <v>22</v>
      </c>
      <c r="H42" s="42">
        <v>621</v>
      </c>
      <c r="I42" s="42">
        <v>607</v>
      </c>
      <c r="J42" s="30" t="s">
        <v>181</v>
      </c>
      <c r="K42" s="42">
        <v>575</v>
      </c>
      <c r="L42" s="131" t="s">
        <v>51</v>
      </c>
      <c r="M42" s="132">
        <f t="shared" si="0"/>
        <v>16.896000000000001</v>
      </c>
      <c r="N42" s="133" t="str">
        <f>VLOOKUP(C42,'Trips&amp;Operators'!$C$1:$G$99911,5,FALSE)</f>
        <v>LAMAR NEKESHA</v>
      </c>
      <c r="O42" s="176" t="s">
        <v>179</v>
      </c>
      <c r="P42" s="134"/>
      <c r="Q42" s="30"/>
      <c r="R42" s="81" t="str">
        <f>VLOOKUP(C42,'Train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2" s="84" t="str">
        <f>VLOOKUP(C42,'Train Runs'!$A$13:$AE$9972,22,0)</f>
        <v>https://d0f6bd738d7f1b3e5a7ca70fe4ff75f0.us-east-1.aws.found.io/app/kibana#/discover/Steve-Slow-Train-Analysis-(2080s-and-2083s)?_g=(refreshInterval:(display:Off,pause:!f,section:0,value:0),time:(from:'2017-09-23T08:36:42-0600',mode:absolute,to:'2017-09-23T10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6" t="str">
        <f t="shared" si="1"/>
        <v>"C:\Program Files (x86)\AstroGrep\AstroGrep.exe" /e /r /s /spath="%USERPROFILE%\AppData\Local\Temp\OnboardLogs" /stypes="*4013*201709231*" /stext=" 15:.+((SYSTEM_STATE.+slice.+state.+changed )|(ment ac)|(multiple cpu faults)|(system.+state.+changed )|(\[timeout)|(PRM\|1\|D)|(kpr)|(kdp)|(train st.+moving)|(\|lc)|(penalty))"</v>
      </c>
      <c r="U42" s="9" t="str">
        <f t="shared" si="2"/>
        <v>4013</v>
      </c>
      <c r="V42" s="31">
        <f t="shared" si="3"/>
        <v>43001.662986111114</v>
      </c>
      <c r="W42" s="45" t="str">
        <f t="shared" si="4"/>
        <v>NW</v>
      </c>
      <c r="X42" s="22">
        <f t="shared" si="5"/>
        <v>1808</v>
      </c>
      <c r="Y42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{"issue":{"subject":"","project_id":79,"tracker_id":40,"status_id":1,"priority_id":2,"assigned_to_id":338,"start_date":"2017-09-23","description":"","custom_fields":[{"id":1,"name":"Subdivision","value":"NW"},{"id":4,"name":"Milepost","value":"0.0575"},{"id":17,"name":"Train ID","value":"1808-23"},{"id":16,"name":"Locomotive ID","value":"4013"},{"id":130,"name":"Impact","value":""},{"id":150,"name":"Time of Event (Mountain Time)","value":"09:54:42"},{"id":151,"name":"Denver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/c/Users/stu/AppData/Local/Temp/OnboardLogs/RTDC4013 --include="*4013*201709231*"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2" s="145" t="str">
        <f t="shared" si="9"/>
        <v>start /low /b %USERPROFILE%\Documents\GitHub\eaglep3\Utilities\DownloadLogsFromS3.py --loco 4013 --day 2017-09-23</v>
      </c>
      <c r="AF42" s="1"/>
    </row>
    <row r="43" spans="1:32" x14ac:dyDescent="0.25">
      <c r="A43" s="31">
        <v>43001.455358796295</v>
      </c>
      <c r="B43" s="30" t="s">
        <v>525</v>
      </c>
      <c r="C43" s="30" t="s">
        <v>595</v>
      </c>
      <c r="D43" s="30" t="s">
        <v>49</v>
      </c>
      <c r="E43" s="30" t="s">
        <v>180</v>
      </c>
      <c r="F43" s="42">
        <v>0</v>
      </c>
      <c r="G43" s="42">
        <v>46</v>
      </c>
      <c r="H43" s="42">
        <v>696</v>
      </c>
      <c r="I43" s="42">
        <v>661</v>
      </c>
      <c r="J43" s="30" t="s">
        <v>181</v>
      </c>
      <c r="K43" s="42">
        <v>575</v>
      </c>
      <c r="L43" s="131" t="s">
        <v>51</v>
      </c>
      <c r="M43" s="132">
        <f t="shared" si="0"/>
        <v>45.408000000000001</v>
      </c>
      <c r="N43" s="133" t="str">
        <f>VLOOKUP(C43,'Trips&amp;Operators'!$C$1:$G$99911,5,FALSE)</f>
        <v>LAMAR NEKESHA</v>
      </c>
      <c r="O43" s="176" t="s">
        <v>179</v>
      </c>
      <c r="P43" s="134"/>
      <c r="Q43" s="30"/>
      <c r="R43" s="81" t="str">
        <f>VLOOKUP(C43,'Train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3" s="84" t="str">
        <f>VLOOKUP(C43,'Train Runs'!$A$13:$AE$9972,22,0)</f>
        <v>https://d0f6bd738d7f1b3e5a7ca70fe4ff75f0.us-east-1.aws.found.io/app/kibana#/discover/Steve-Slow-Train-Analysis-(2080s-and-2083s)?_g=(refreshInterval:(display:Off,pause:!f,section:0,value:0),time:(from:'2017-09-23T09:35:20-0600',mode:absolute,to:'2017-09-23T11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86" t="str">
        <f t="shared" si="1"/>
        <v>"C:\Program Files (x86)\AstroGrep\AstroGrep.exe" /e /r /s /spath="%USERPROFILE%\AppData\Local\Temp\OnboardLogs" /stypes="*4013*201709231*" /stext=" 16:.+((SYSTEM_STATE.+slice.+state.+changed )|(ment ac)|(multiple cpu faults)|(system.+state.+changed )|(\[timeout)|(PRM\|1\|D)|(kpr)|(kdp)|(train st.+moving)|(\|lc)|(penalty))"</v>
      </c>
      <c r="U43" s="9" t="str">
        <f t="shared" si="2"/>
        <v>4013</v>
      </c>
      <c r="V43" s="31">
        <f t="shared" si="3"/>
        <v>43001.705358796295</v>
      </c>
      <c r="W43" s="45" t="str">
        <f t="shared" si="4"/>
        <v>NW</v>
      </c>
      <c r="X43" s="22">
        <f t="shared" si="5"/>
        <v>1810</v>
      </c>
      <c r="Y43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{"issue":{"subject":"","project_id":79,"tracker_id":40,"status_id":1,"priority_id":2,"assigned_to_id":338,"start_date":"2017-09-23","description":"","custom_fields":[{"id":1,"name":"Subdivision","value":"NW"},{"id":4,"name":"Milepost","value":"0.0575"},{"id":17,"name":"Train ID","value":"1810-23"},{"id":16,"name":"Locomotive ID","value":"4013"},{"id":130,"name":"Impact","value":""},{"id":150,"name":"Time of Event (Mountain Time)","value":"10:55:43"},{"id":151,"name":"Denver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/c/Users/stu/AppData/Local/Temp/OnboardLogs/RTDC4013 --include="*4013*201709231*"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3" s="145" t="str">
        <f t="shared" si="9"/>
        <v>start /low /b %USERPROFILE%\Documents\GitHub\eaglep3\Utilities\DownloadLogsFromS3.py --loco 4013 --day 2017-09-23</v>
      </c>
      <c r="AF43" s="1"/>
    </row>
    <row r="44" spans="1:32" x14ac:dyDescent="0.25">
      <c r="A44" s="31">
        <v>43001.579606481479</v>
      </c>
      <c r="B44" s="30" t="s">
        <v>525</v>
      </c>
      <c r="C44" s="30" t="s">
        <v>599</v>
      </c>
      <c r="D44" s="30" t="s">
        <v>49</v>
      </c>
      <c r="E44" s="30" t="s">
        <v>180</v>
      </c>
      <c r="F44" s="42">
        <v>0</v>
      </c>
      <c r="G44" s="42">
        <v>22</v>
      </c>
      <c r="H44" s="42">
        <v>654</v>
      </c>
      <c r="I44" s="42">
        <v>640</v>
      </c>
      <c r="J44" s="30" t="s">
        <v>181</v>
      </c>
      <c r="K44" s="42">
        <v>575</v>
      </c>
      <c r="L44" s="131" t="s">
        <v>51</v>
      </c>
      <c r="M44" s="132">
        <f t="shared" si="0"/>
        <v>34.32</v>
      </c>
      <c r="N44" s="133" t="str">
        <f>VLOOKUP(C44,'Trips&amp;Operators'!$C$1:$G$99911,5,FALSE)</f>
        <v>LAMAR NEKESHA</v>
      </c>
      <c r="O44" s="176" t="s">
        <v>179</v>
      </c>
      <c r="P44" s="134"/>
      <c r="Q44" s="30"/>
      <c r="R44" s="81" t="str">
        <f>VLOOKUP(C44,'Train Runs'!$A$13:$AE$9972,31,0)</f>
        <v>aws s3 cp s3://rtdc.mdm.uploadarchive.raw/RTDC4013/ "%USERPROFILE%\AppData\Local\Temp\OnboardLogs"\RTDC4013\2017-09-23 --exclude "*" --recursive --include "*20170923*" &amp; "%USERPROFILE%\Documents\GitHub\mrs-test-scripts\Headless Mode &amp; Sideloading\WalkAndUnGZ.bat" "%USERPROFILE%\AppData\Local\Temp\OnboardLogs"\RTDC4013\2017-09-23 &amp; 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</v>
      </c>
      <c r="S44" s="84" t="str">
        <f>VLOOKUP(C44,'Train Runs'!$A$13:$AE$9972,22,0)</f>
        <v>https://d0f6bd738d7f1b3e5a7ca70fe4ff75f0.us-east-1.aws.found.io/app/kibana#/discover/Steve-Slow-Train-Analysis-(2080s-and-2083s)?_g=(refreshInterval:(display:Off,pause:!f,section:0,value:0),time:(from:'2017-09-23T12:36:58-0600',mode:absolute,to:'2017-09-23T14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 t="shared" si="1"/>
        <v>"C:\Program Files (x86)\AstroGrep\AstroGrep.exe" /e /r /s /spath="%USERPROFILE%\AppData\Local\Temp\OnboardLogs" /stypes="*4013*201709231*" /stext=" 19:.+((SYSTEM_STATE.+slice.+state.+changed )|(ment ac)|(multiple cpu faults)|(system.+state.+changed )|(\[timeout)|(PRM\|1\|D)|(kpr)|(kdp)|(train st.+moving)|(\|lc)|(penalty))"</v>
      </c>
      <c r="U44" s="9" t="str">
        <f t="shared" si="2"/>
        <v>4013</v>
      </c>
      <c r="V44" s="31">
        <f t="shared" si="3"/>
        <v>43001.829606481479</v>
      </c>
      <c r="W44" s="45" t="str">
        <f t="shared" si="4"/>
        <v>NW</v>
      </c>
      <c r="X44" s="22">
        <f t="shared" si="5"/>
        <v>1816</v>
      </c>
      <c r="Y44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{"issue":{"subject":"","project_id":79,"tracker_id":40,"status_id":1,"priority_id":2,"assigned_to_id":338,"start_date":"2017-09-23","description":"","custom_fields":[{"id":1,"name":"Subdivision","value":"NW"},{"id":4,"name":"Milepost","value":"0.0575"},{"id":17,"name":"Train ID","value":"1816-23"},{"id":16,"name":"Locomotive ID","value":"4013"},{"id":130,"name":"Impact","value":""},{"id":150,"name":"Time of Event (Mountain Time)","value":"13:54:38"},{"id":151,"name":"Denver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/c/Users/stu/AppData/Local/Temp/OnboardLogs/RTDC4013 --include="*4013*201709231*"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"%USERPROFILE%\AppData\Local\Temp\OnboardLogs"\RTDC4013\*4013*201709231* &gt;&gt; 2017-09-23-SliceDisagreementCheck.txt</v>
      </c>
      <c r="AE44" s="145" t="str">
        <f t="shared" si="9"/>
        <v>start /low /b %USERPROFILE%\Documents\GitHub\eaglep3\Utilities\DownloadLogsFromS3.py --loco 4013 --day 2017-09-23</v>
      </c>
      <c r="AF44" s="1"/>
    </row>
    <row r="45" spans="1:32" x14ac:dyDescent="0.25">
      <c r="A45" s="31">
        <v>43001.265567129631</v>
      </c>
      <c r="B45" s="30" t="s">
        <v>528</v>
      </c>
      <c r="C45" s="30" t="s">
        <v>586</v>
      </c>
      <c r="D45" s="30" t="s">
        <v>49</v>
      </c>
      <c r="E45" s="30" t="s">
        <v>180</v>
      </c>
      <c r="F45" s="42">
        <v>0</v>
      </c>
      <c r="G45" s="42">
        <v>30</v>
      </c>
      <c r="H45" s="42">
        <v>59007</v>
      </c>
      <c r="I45" s="42">
        <v>59025</v>
      </c>
      <c r="J45" s="30" t="s">
        <v>181</v>
      </c>
      <c r="K45" s="42">
        <v>59048</v>
      </c>
      <c r="L45" s="131" t="s">
        <v>50</v>
      </c>
      <c r="M45" s="132">
        <f t="shared" si="0"/>
        <v>12.144</v>
      </c>
      <c r="N45" s="133" t="str">
        <f>VLOOKUP(C45,'Trips&amp;Operators'!$C$1:$G$99911,5,FALSE)</f>
        <v>ROMERO CHAD</v>
      </c>
      <c r="O45" s="176" t="s">
        <v>179</v>
      </c>
      <c r="P45" s="134"/>
      <c r="Q45" s="30"/>
      <c r="R45" s="81" t="str">
        <f>VLOOKUP(C45,'Train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5" s="84" t="str">
        <f>VLOOKUP(C45,'Train Runs'!$A$13:$AE$9972,22,0)</f>
        <v>https://d0f6bd738d7f1b3e5a7ca70fe4ff75f0.us-east-1.aws.found.io/app/kibana#/discover/Steve-Slow-Train-Analysis-(2080s-and-2083s)?_g=(refreshInterval:(display:Off,pause:!f,section:0,value:0),time:(from:'2017-09-23T05:05:02-0600',mode:absolute,to:'2017-09-23T07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5" s="86" t="str">
        <f t="shared" si="1"/>
        <v>"C:\Program Files (x86)\AstroGrep\AstroGrep.exe" /e /r /s /spath="%USERPROFILE%\AppData\Local\Temp\OnboardLogs" /stypes="*4014*201709231*" /stext=" 12:.+((SYSTEM_STATE.+slice.+state.+changed )|(ment ac)|(multiple cpu faults)|(system.+state.+changed )|(\[timeout)|(PRM\|1\|D)|(kpr)|(kdp)|(train st.+moving)|(\|lc)|(penalty))"</v>
      </c>
      <c r="U45" s="9" t="str">
        <f t="shared" si="2"/>
        <v>4014</v>
      </c>
      <c r="V45" s="31">
        <f t="shared" si="3"/>
        <v>43001.515567129631</v>
      </c>
      <c r="W45" s="45" t="str">
        <f t="shared" si="4"/>
        <v>NW</v>
      </c>
      <c r="X45" s="22">
        <f t="shared" si="5"/>
        <v>1801</v>
      </c>
      <c r="Y45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ID","value":"1801-23"},{"id":16,"name":"Locomotive ID","value":"4014"},{"id":130,"name":"Impact","value":""},{"id":150,"name":"Time of Event (Mountain Time)","value":"06:22:25"},{"id":151,"name":"Denver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/c/Users/stu/AppData/Local/Temp/OnboardLogs/RTDC4014 --include="*4014*201709231*"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5" s="145" t="str">
        <f t="shared" si="9"/>
        <v>start /low /b %USERPROFILE%\Documents\GitHub\eaglep3\Utilities\DownloadLogsFromS3.py --loco 4014 --day 2017-09-23</v>
      </c>
      <c r="AF45" s="1"/>
    </row>
    <row r="46" spans="1:32" x14ac:dyDescent="0.25">
      <c r="A46" s="31">
        <v>43001.349131944444</v>
      </c>
      <c r="B46" s="30" t="s">
        <v>528</v>
      </c>
      <c r="C46" s="30" t="s">
        <v>590</v>
      </c>
      <c r="D46" s="30" t="s">
        <v>95</v>
      </c>
      <c r="E46" s="30" t="s">
        <v>180</v>
      </c>
      <c r="F46" s="42">
        <v>0</v>
      </c>
      <c r="G46" s="42">
        <v>13</v>
      </c>
      <c r="H46" s="42">
        <v>59048</v>
      </c>
      <c r="I46" s="42">
        <v>0</v>
      </c>
      <c r="J46" s="30" t="s">
        <v>181</v>
      </c>
      <c r="K46" s="42">
        <v>59048</v>
      </c>
      <c r="L46" s="131" t="s">
        <v>50</v>
      </c>
      <c r="M46" s="132">
        <f t="shared" si="0"/>
        <v>31177.344000000001</v>
      </c>
      <c r="N46" s="133" t="str">
        <f>VLOOKUP(C46,'Trips&amp;Operators'!$C$1:$G$99911,5,FALSE)</f>
        <v>LAMAR NEKESHA</v>
      </c>
      <c r="O46" s="176" t="s">
        <v>179</v>
      </c>
      <c r="P46" s="134"/>
      <c r="Q46" s="30"/>
      <c r="R46" s="81" t="str">
        <f>VLOOKUP(C46,'Train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6" s="84" t="str">
        <f>VLOOKUP(C46,'Train Runs'!$A$13:$AE$9972,22,0)</f>
        <v>https://d0f6bd738d7f1b3e5a7ca70fe4ff75f0.us-east-1.aws.found.io/app/kibana#/discover/Steve-Slow-Train-Analysis-(2080s-and-2083s)?_g=(refreshInterval:(display:Off,pause:!f,section:0,value:0),time:(from:'2017-09-23T06:38:19-0600',mode:absolute,to:'2017-09-23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6" s="86" t="str">
        <f t="shared" si="1"/>
        <v>"C:\Program Files (x86)\AstroGrep\AstroGrep.exe" /e /r /s /spath="%USERPROFILE%\AppData\Local\Temp\OnboardLogs" /stypes="*4014*201709231*" /stext=" 14:.+((SYSTEM_STATE.+slice.+state.+changed )|(ment ac)|(multiple cpu faults)|(system.+state.+changed )|(\[timeout)|(PRM\|1\|D)|(kpr)|(kdp)|(train st.+moving)|(\|lc)|(penalty))"</v>
      </c>
      <c r="U46" s="9" t="str">
        <f t="shared" si="2"/>
        <v>4014</v>
      </c>
      <c r="V46" s="31">
        <f t="shared" si="3"/>
        <v>43001.599131944444</v>
      </c>
      <c r="W46" s="45" t="str">
        <f t="shared" si="4"/>
        <v>NW</v>
      </c>
      <c r="X46" s="22">
        <f t="shared" si="5"/>
        <v>1805</v>
      </c>
      <c r="Y46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ID","value":"1805-23"},{"id":16,"name":"Locomotive ID","value":"4014"},{"id":130,"name":"Impact","value":""},{"id":150,"name":"Time of Event (Mountain Time)","value":"08:22:45"},{"id":151,"name":"Denver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/c/Users/stu/AppData/Local/Temp/OnboardLogs/RTDC4014 --include="*4014*201709231*"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6" s="145" t="str">
        <f t="shared" si="9"/>
        <v>start /low /b %USERPROFILE%\Documents\GitHub\eaglep3\Utilities\DownloadLogsFromS3.py --loco 4014 --day 2017-09-23</v>
      </c>
      <c r="AF46" s="1"/>
    </row>
    <row r="47" spans="1:32" x14ac:dyDescent="0.25">
      <c r="A47" s="31">
        <v>43001.474374999998</v>
      </c>
      <c r="B47" s="30" t="s">
        <v>528</v>
      </c>
      <c r="C47" s="30" t="s">
        <v>598</v>
      </c>
      <c r="D47" s="30" t="s">
        <v>49</v>
      </c>
      <c r="E47" s="30" t="s">
        <v>180</v>
      </c>
      <c r="F47" s="42">
        <v>0</v>
      </c>
      <c r="G47" s="42">
        <v>18</v>
      </c>
      <c r="H47" s="42">
        <v>59022</v>
      </c>
      <c r="I47" s="42">
        <v>59027</v>
      </c>
      <c r="J47" s="30" t="s">
        <v>181</v>
      </c>
      <c r="K47" s="42">
        <v>59048</v>
      </c>
      <c r="L47" s="131" t="s">
        <v>50</v>
      </c>
      <c r="M47" s="132">
        <f t="shared" si="0"/>
        <v>11.087999999999999</v>
      </c>
      <c r="N47" s="133" t="str">
        <f>VLOOKUP(C47,'Trips&amp;Operators'!$C$1:$G$99911,5,FALSE)</f>
        <v>LAMAR NEKESHA</v>
      </c>
      <c r="O47" s="176" t="s">
        <v>179</v>
      </c>
      <c r="P47" s="134"/>
      <c r="Q47" s="30"/>
      <c r="R47" s="81" t="str">
        <f>VLOOKUP(C47,'Train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7" s="84" t="str">
        <f>VLOOKUP(C47,'Train Runs'!$A$13:$AE$9972,22,0)</f>
        <v>https://d0f6bd738d7f1b3e5a7ca70fe4ff75f0.us-east-1.aws.found.io/app/kibana#/discover/Steve-Slow-Train-Analysis-(2080s-and-2083s)?_g=(refreshInterval:(display:Off,pause:!f,section:0,value:0),time:(from:'2017-09-23T10:04:24-0600',mode:absolute,to:'2017-09-23T12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7" s="86" t="str">
        <f t="shared" si="1"/>
        <v>"C:\Program Files (x86)\AstroGrep\AstroGrep.exe" /e /r /s /spath="%USERPROFILE%\AppData\Local\Temp\OnboardLogs" /stypes="*4014*201709231*" /stext=" 17:.+((SYSTEM_STATE.+slice.+state.+changed )|(ment ac)|(multiple cpu faults)|(system.+state.+changed )|(\[timeout)|(PRM\|1\|D)|(kpr)|(kdp)|(train st.+moving)|(\|lc)|(penalty))"</v>
      </c>
      <c r="U47" s="9" t="str">
        <f t="shared" si="2"/>
        <v>4014</v>
      </c>
      <c r="V47" s="31">
        <f t="shared" si="3"/>
        <v>43001.724374999998</v>
      </c>
      <c r="W47" s="45" t="str">
        <f t="shared" si="4"/>
        <v>NW</v>
      </c>
      <c r="X47" s="22">
        <f t="shared" si="5"/>
        <v>1811</v>
      </c>
      <c r="Y47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ID","value":"1811-23"},{"id":16,"name":"Locomotive ID","value":"4014"},{"id":130,"name":"Impact","value":""},{"id":150,"name":"Time of Event (Mountain Time)","value":"11:23:06"},{"id":151,"name":"Denver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/c/Users/stu/AppData/Local/Temp/OnboardLogs/RTDC4014 --include="*4014*201709231*"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"%USERPROFILE%\AppData\Local\Temp\OnboardLogs"\RTDC4014\*4014*201709231* &gt;&gt; 2017-09-23-SliceDisagreementCheck.txt</v>
      </c>
      <c r="AE47" s="145" t="str">
        <f t="shared" si="9"/>
        <v>start /low /b %USERPROFILE%\Documents\GitHub\eaglep3\Utilities\DownloadLogsFromS3.py --loco 4014 --day 2017-09-23</v>
      </c>
      <c r="AF47" s="1"/>
    </row>
    <row r="48" spans="1:32" x14ac:dyDescent="0.25">
      <c r="A48" s="31">
        <v>43001.932974537034</v>
      </c>
      <c r="B48" s="30" t="s">
        <v>528</v>
      </c>
      <c r="C48" s="30" t="s">
        <v>612</v>
      </c>
      <c r="D48" s="30" t="s">
        <v>49</v>
      </c>
      <c r="E48" s="30" t="s">
        <v>180</v>
      </c>
      <c r="F48" s="42">
        <v>0</v>
      </c>
      <c r="G48" s="42">
        <v>51</v>
      </c>
      <c r="H48" s="42">
        <v>58882</v>
      </c>
      <c r="I48" s="42">
        <v>58928</v>
      </c>
      <c r="J48" s="30" t="s">
        <v>181</v>
      </c>
      <c r="K48" s="42">
        <v>59048</v>
      </c>
      <c r="L48" s="131" t="s">
        <v>50</v>
      </c>
      <c r="M48" s="132">
        <f t="shared" si="0"/>
        <v>63.36</v>
      </c>
      <c r="N48" s="133" t="str">
        <f>VLOOKUP(C48,'Trips&amp;Operators'!$C$1:$G$99911,5,FALSE)</f>
        <v>SMITH MICHAEL</v>
      </c>
      <c r="O48" s="176" t="s">
        <v>179</v>
      </c>
      <c r="P48" s="134"/>
      <c r="Q48" s="30"/>
      <c r="R48" s="81" t="str">
        <f>VLOOKUP(C48,'Train Runs'!$A$13:$AE$9972,31,0)</f>
        <v>aws s3 cp s3://rtdc.mdm.uploadarchive.raw/RTDC4014/ "%USERPROFILE%\AppData\Local\Temp\OnboardLogs"\RTDC4014\2017-09-23 --exclude "*" --recursive --include "*20170923*" &amp; "%USERPROFILE%\Documents\GitHub\mrs-test-scripts\Headless Mode &amp; Sideloading\WalkAndUnGZ.bat" "%USERPROFILE%\AppData\Local\Temp\OnboardLogs"\RTDC4014\2017-09-23 &amp; 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</v>
      </c>
      <c r="S48" s="84" t="str">
        <f>VLOOKUP(C48,'Train Runs'!$A$13:$AE$9972,22,0)</f>
        <v>https://d0f6bd738d7f1b3e5a7ca70fe4ff75f0.us-east-1.aws.found.io/app/kibana#/discover/Steve-Slow-Train-Analysis-(2080s-and-2083s)?_g=(refreshInterval:(display:Off,pause:!f,section:0,value:0),time:(from:'2017-09-23T20:59:00-0600',mode:absolute,to:'2017-09-23T23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8" s="86" t="str">
        <f t="shared" si="1"/>
        <v>"C:\Program Files (x86)\AstroGrep\AstroGrep.exe" /e /r /s /spath="%USERPROFILE%\AppData\Local\Temp\OnboardLogs" /stypes="*4014*201709240*" /stext=" 04:.+((SYSTEM_STATE.+slice.+state.+changed )|(ment ac)|(multiple cpu faults)|(system.+state.+changed )|(\[timeout)|(PRM\|1\|D)|(kpr)|(kdp)|(train st.+moving)|(\|lc)|(penalty))"</v>
      </c>
      <c r="U48" s="9" t="str">
        <f t="shared" si="2"/>
        <v>4014</v>
      </c>
      <c r="V48" s="31">
        <f t="shared" si="3"/>
        <v>43002.182974537034</v>
      </c>
      <c r="W48" s="45" t="str">
        <f t="shared" si="4"/>
        <v>NW</v>
      </c>
      <c r="X48" s="22">
        <f t="shared" si="5"/>
        <v>1833</v>
      </c>
      <c r="Y48" s="96" t="str">
        <f t="shared" si="6"/>
        <v>echo {"issue":{"subject":"","project_id":79,"tracker_id":40,"status_id":1,"priority_id":2,"assigned_to_id":338,"start_date":"2017-09-23","description":"","custom_fields":[{"id":1,"name":"Subdivision","value":"NW"},{"id":4,"name":"Milepost","value":"5.9048"},{"id":17,"name":"Train ID","value":"1833-23"},{"id":16,"name":"Locomotive ID","value":"4014"},{"id":130,"name":"Impact","value":""},{"id":150,"name":"Time of Event (Mountain Time)","value":"22:23:29"},{"id":151,"name":"Denver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/c/Users/stu/AppData/Local/Temp/OnboardLogs/RTDC4014 --include="*4014*201709240*"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"%USERPROFILE%\AppData\Local\Temp\OnboardLogs"\RTDC4014\*4014*201709240* &gt;&gt; 2017-09-23-SliceDisagreementCheck.txt</v>
      </c>
      <c r="AE48" s="145" t="str">
        <f t="shared" si="9"/>
        <v>start /low /b %USERPROFILE%\Documents\GitHub\eaglep3\Utilities\DownloadLogsFromS3.py --loco 4014 --day 2017-09-24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</sheetData>
  <autoFilter ref="A6:AC44">
    <sortState ref="A7:AC48">
      <sortCondition ref="W7:W48"/>
      <sortCondition ref="E7:E48"/>
      <sortCondition ref="K7:K48"/>
      <sortCondition ref="F7:F48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4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I3" sqref="I3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2017-09-23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105</v>
      </c>
      <c r="B3" s="42" t="str">
        <f>A3&amp;"-"&amp;IF(DAY(Variables!$A$2)&lt;10,0,"")&amp;DAY(Variables!$A$2)</f>
        <v>105-23</v>
      </c>
      <c r="C3" s="135"/>
      <c r="D3" s="153" t="str">
        <f>VLOOKUP(B3,'Trips&amp;Operators'!$C$1:$H$1072,6,FALSE)</f>
        <v>4010</v>
      </c>
      <c r="E3" s="30"/>
      <c r="F3" s="21" t="str">
        <f>VLOOKUP(B3,'Trips&amp;Operators'!$C$2:$E$9912,3,FALSE)</f>
        <v>NEWELL</v>
      </c>
      <c r="G3" s="21" t="str">
        <f>VLOOKUP(B3,'Trips&amp;Operators'!$C$1:$F$9912,4,FALSE)</f>
        <v>JAMES</v>
      </c>
      <c r="H3" s="29" t="str">
        <f>VLOOKUP(B3,'Trips&amp;Operators'!$C$1:$H$9912,5,FALSE)</f>
        <v>NEWELL JAMES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22105-23%22)),sort:!(Time.ISO8601,asc))</v>
      </c>
      <c r="J3" s="30" t="str">
        <f>VLOOKUP(B3,'Train Runs'!$A$13:$A$99969,1,FALSE)</f>
        <v>105-23</v>
      </c>
    </row>
    <row r="4" spans="1:10" x14ac:dyDescent="0.25">
      <c r="A4" s="198"/>
      <c r="B4" s="42" t="str">
        <f>A4&amp;"-"&amp;IF(DAY(Variables!$A$2)&lt;10,0,"")&amp;DAY(Variables!$A$2)</f>
        <v>-23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Runs'!$A$13:$A$99969,1,FALSE)</f>
        <v>#N/A</v>
      </c>
    </row>
    <row r="5" spans="1:10" x14ac:dyDescent="0.25">
      <c r="A5" s="198"/>
      <c r="B5" s="42" t="str">
        <f>A5&amp;"-"&amp;IF(DAY(Variables!$A$2)&lt;10,0,"")&amp;DAY(Variables!$A$2)</f>
        <v>-23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Runs'!$A$13:$A$99969,1,FALSE)</f>
        <v>#N/A</v>
      </c>
    </row>
    <row r="6" spans="1:10" x14ac:dyDescent="0.25">
      <c r="A6" s="198"/>
      <c r="B6" s="42" t="str">
        <f>A6&amp;"-"&amp;IF(DAY(Variables!$A$2)&lt;10,0,"")&amp;DAY(Variables!$A$2)</f>
        <v>-23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Runs'!$A$13:$A$99969,1,FALSE)</f>
        <v>#N/A</v>
      </c>
    </row>
    <row r="7" spans="1:10" x14ac:dyDescent="0.25">
      <c r="A7" s="198"/>
      <c r="B7" s="42" t="str">
        <f>A7&amp;"-"&amp;IF(DAY(Variables!$A$2)&lt;10,0,"")&amp;DAY(Variables!$A$2)</f>
        <v>-23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Runs'!$A$13:$A$99969,1,FALSE)</f>
        <v>#N/A</v>
      </c>
    </row>
    <row r="8" spans="1:10" x14ac:dyDescent="0.25">
      <c r="A8" s="198"/>
      <c r="B8" s="42" t="str">
        <f>A8&amp;"-"&amp;IF(DAY(Variables!$A$2)&lt;10,0,"")&amp;DAY(Variables!$A$2)</f>
        <v>-23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Runs'!$A$13:$A$99969,1,FALSE)</f>
        <v>#N/A</v>
      </c>
    </row>
    <row r="9" spans="1:10" x14ac:dyDescent="0.25">
      <c r="A9" s="198"/>
      <c r="B9" s="42" t="str">
        <f>A9&amp;"-"&amp;IF(DAY(Variables!$A$2)&lt;10,0,"")&amp;DAY(Variables!$A$2)</f>
        <v>-23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Runs'!$A$13:$A$99969,1,FALSE)</f>
        <v>#N/A</v>
      </c>
    </row>
    <row r="10" spans="1:10" x14ac:dyDescent="0.25">
      <c r="A10" s="198"/>
      <c r="B10" s="42" t="str">
        <f>A10&amp;"-"&amp;IF(DAY(Variables!$A$2)&lt;10,0,"")&amp;DAY(Variables!$A$2)</f>
        <v>-23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Runs'!$A$13:$A$99969,1,FALSE)</f>
        <v>#N/A</v>
      </c>
    </row>
    <row r="11" spans="1:10" x14ac:dyDescent="0.25">
      <c r="A11" s="198"/>
      <c r="B11" s="42" t="str">
        <f>A11&amp;"-"&amp;IF(DAY(Variables!$A$2)&lt;10,0,"")&amp;DAY(Variables!$A$2)</f>
        <v>-23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Runs'!$A$13:$A$99969,1,FALSE)</f>
        <v>#N/A</v>
      </c>
    </row>
    <row r="12" spans="1:10" x14ac:dyDescent="0.25">
      <c r="A12" s="198"/>
      <c r="B12" s="42" t="str">
        <f>A12&amp;"-"&amp;IF(DAY(Variables!$A$2)&lt;10,0,"")&amp;DAY(Variables!$A$2)</f>
        <v>-23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Runs'!$A$13:$A$99969,1,FALSE)</f>
        <v>#N/A</v>
      </c>
    </row>
    <row r="13" spans="1:10" x14ac:dyDescent="0.25">
      <c r="A13" s="198"/>
      <c r="B13" s="42" t="str">
        <f>A13&amp;"-"&amp;IF(DAY(Variables!$A$2)&lt;10,0,"")&amp;DAY(Variables!$A$2)</f>
        <v>-23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Runs'!$A$13:$A$99969,1,FALSE)</f>
        <v>#N/A</v>
      </c>
    </row>
    <row r="14" spans="1:10" x14ac:dyDescent="0.25">
      <c r="A14" s="198"/>
      <c r="B14" s="42" t="str">
        <f>A14&amp;"-"&amp;IF(DAY(Variables!$A$2)&lt;10,0,"")&amp;DAY(Variables!$A$2)</f>
        <v>-23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Runs'!$A$13:$A$99969,1,FALSE)</f>
        <v>#N/A</v>
      </c>
    </row>
    <row r="15" spans="1:10" x14ac:dyDescent="0.25">
      <c r="A15" s="198"/>
      <c r="B15" s="42" t="str">
        <f>A15&amp;"-"&amp;IF(DAY(Variables!$A$2)&lt;10,0,"")&amp;DAY(Variables!$A$2)</f>
        <v>-23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Runs'!$A$13:$A$99969,1,FALSE)</f>
        <v>#N/A</v>
      </c>
    </row>
    <row r="16" spans="1:10" x14ac:dyDescent="0.25">
      <c r="A16" s="198"/>
      <c r="B16" s="42" t="str">
        <f>A16&amp;"-"&amp;IF(DAY(Variables!$A$2)&lt;10,0,"")&amp;DAY(Variables!$A$2)</f>
        <v>-23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Runs'!$A$13:$A$99969,1,FALSE)</f>
        <v>#N/A</v>
      </c>
    </row>
    <row r="17" spans="1:10" x14ac:dyDescent="0.25">
      <c r="A17" s="198"/>
      <c r="B17" s="42" t="str">
        <f>A17&amp;"-"&amp;IF(DAY(Variables!$A$2)&lt;10,0,"")&amp;DAY(Variables!$A$2)</f>
        <v>-23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Runs'!$A$13:$A$99969,1,FALSE)</f>
        <v>#N/A</v>
      </c>
    </row>
    <row r="18" spans="1:10" x14ac:dyDescent="0.25">
      <c r="A18" s="198"/>
      <c r="B18" s="42" t="str">
        <f>A18&amp;"-"&amp;IF(DAY(Variables!$A$2)&lt;10,0,"")&amp;DAY(Variables!$A$2)</f>
        <v>-23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Runs'!$A$13:$A$99969,1,FALSE)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43001.039340277777</v>
      </c>
      <c r="B2" s="20" t="s">
        <v>474</v>
      </c>
      <c r="C2" s="20" t="s">
        <v>614</v>
      </c>
      <c r="D2" s="138">
        <v>3190000</v>
      </c>
      <c r="E2" s="20" t="s">
        <v>385</v>
      </c>
      <c r="F2" s="20" t="s">
        <v>386</v>
      </c>
      <c r="G2" s="8" t="str">
        <f>E2&amp;" "&amp;F2</f>
        <v>HART KEVIN</v>
      </c>
      <c r="H2" t="str">
        <f>MID(B2,13,4)</f>
        <v>4064</v>
      </c>
    </row>
    <row r="3" spans="1:8" x14ac:dyDescent="0.25">
      <c r="A3" s="8">
        <v>43001.046226851853</v>
      </c>
      <c r="B3" s="20" t="s">
        <v>517</v>
      </c>
      <c r="C3" s="20" t="s">
        <v>615</v>
      </c>
      <c r="D3" s="138">
        <v>3340000</v>
      </c>
      <c r="E3" s="20" t="s">
        <v>536</v>
      </c>
      <c r="F3" s="20" t="s">
        <v>537</v>
      </c>
      <c r="G3" s="8" t="str">
        <f t="shared" ref="G3:G66" si="0">E3&amp;" "&amp;F3</f>
        <v>ELBAUM MIKE</v>
      </c>
      <c r="H3" s="20" t="str">
        <f t="shared" ref="H3:H66" si="1">MID(B3,13,4)</f>
        <v>4031</v>
      </c>
    </row>
    <row r="4" spans="1:8" x14ac:dyDescent="0.25">
      <c r="A4" s="8">
        <v>43001.048101851855</v>
      </c>
      <c r="B4" s="20" t="s">
        <v>450</v>
      </c>
      <c r="C4" s="20" t="s">
        <v>616</v>
      </c>
      <c r="D4" s="138">
        <v>2730000</v>
      </c>
      <c r="E4" s="20" t="s">
        <v>451</v>
      </c>
      <c r="F4" s="20" t="s">
        <v>452</v>
      </c>
      <c r="G4" s="8" t="str">
        <f t="shared" si="0"/>
        <v>YANG JAN</v>
      </c>
      <c r="H4" s="20" t="str">
        <f t="shared" si="1"/>
        <v>4044</v>
      </c>
    </row>
    <row r="5" spans="1:8" x14ac:dyDescent="0.25">
      <c r="A5" s="8">
        <v>43001.070138888892</v>
      </c>
      <c r="B5" s="20" t="s">
        <v>435</v>
      </c>
      <c r="C5" s="20" t="s">
        <v>617</v>
      </c>
      <c r="D5" s="138">
        <v>2620000</v>
      </c>
      <c r="E5" s="20" t="s">
        <v>383</v>
      </c>
      <c r="F5" s="20" t="s">
        <v>384</v>
      </c>
      <c r="G5" s="8" t="str">
        <f t="shared" si="0"/>
        <v>PERKINS DARREN</v>
      </c>
      <c r="H5" s="20" t="str">
        <f t="shared" si="1"/>
        <v>4018</v>
      </c>
    </row>
    <row r="6" spans="1:8" x14ac:dyDescent="0.25">
      <c r="A6" s="8">
        <v>43001.080046296294</v>
      </c>
      <c r="B6" s="20" t="s">
        <v>471</v>
      </c>
      <c r="C6" s="20" t="s">
        <v>618</v>
      </c>
      <c r="D6" s="138">
        <v>3190000</v>
      </c>
      <c r="E6" s="20" t="s">
        <v>385</v>
      </c>
      <c r="F6" s="20" t="s">
        <v>386</v>
      </c>
      <c r="G6" s="8" t="str">
        <f t="shared" si="0"/>
        <v>HART KEVIN</v>
      </c>
      <c r="H6" s="20" t="str">
        <f t="shared" si="1"/>
        <v>4063</v>
      </c>
    </row>
    <row r="7" spans="1:8" x14ac:dyDescent="0.25">
      <c r="A7" s="8">
        <v>43001.08734953704</v>
      </c>
      <c r="B7" s="20" t="s">
        <v>520</v>
      </c>
      <c r="C7" s="20" t="s">
        <v>619</v>
      </c>
      <c r="D7" s="138">
        <v>3340000</v>
      </c>
      <c r="E7" s="20" t="s">
        <v>536</v>
      </c>
      <c r="F7" s="20" t="s">
        <v>537</v>
      </c>
      <c r="G7" s="8" t="str">
        <f t="shared" si="0"/>
        <v>ELBAUM MIKE</v>
      </c>
      <c r="H7" s="20" t="str">
        <f t="shared" si="1"/>
        <v>4032</v>
      </c>
    </row>
    <row r="8" spans="1:8" x14ac:dyDescent="0.25">
      <c r="A8" s="8">
        <v>43001.114247685182</v>
      </c>
      <c r="B8" s="20" t="s">
        <v>519</v>
      </c>
      <c r="C8" s="20" t="s">
        <v>620</v>
      </c>
      <c r="D8" s="138">
        <v>3120000</v>
      </c>
      <c r="E8" s="20" t="s">
        <v>621</v>
      </c>
      <c r="F8" s="20" t="s">
        <v>622</v>
      </c>
      <c r="G8" s="8" t="str">
        <f t="shared" si="0"/>
        <v>THOMPSON LESTER</v>
      </c>
      <c r="H8" s="20" t="str">
        <f t="shared" si="1"/>
        <v>4009</v>
      </c>
    </row>
    <row r="9" spans="1:8" ht="15.75" thickBot="1" x14ac:dyDescent="0.3">
      <c r="A9" s="24">
        <v>43001.11755787037</v>
      </c>
      <c r="B9" s="20" t="s">
        <v>474</v>
      </c>
      <c r="C9" s="20" t="s">
        <v>623</v>
      </c>
      <c r="D9" s="138">
        <v>3190000</v>
      </c>
      <c r="E9" s="20" t="s">
        <v>385</v>
      </c>
      <c r="F9" s="20" t="s">
        <v>386</v>
      </c>
      <c r="G9" s="8" t="str">
        <f t="shared" si="0"/>
        <v>HART KEVIN</v>
      </c>
      <c r="H9" s="20" t="str">
        <f t="shared" si="1"/>
        <v>4064</v>
      </c>
    </row>
    <row r="10" spans="1:8" x14ac:dyDescent="0.25">
      <c r="A10" s="8">
        <v>43001.127337962964</v>
      </c>
      <c r="B10" s="20" t="s">
        <v>436</v>
      </c>
      <c r="C10" s="20" t="s">
        <v>624</v>
      </c>
      <c r="D10" s="138">
        <v>1810000</v>
      </c>
      <c r="E10" s="20" t="s">
        <v>533</v>
      </c>
      <c r="F10" s="20" t="s">
        <v>376</v>
      </c>
      <c r="G10" s="8" t="str">
        <f t="shared" si="0"/>
        <v>NEWELL JAMES</v>
      </c>
      <c r="H10" s="20" t="str">
        <f t="shared" si="1"/>
        <v>4010</v>
      </c>
    </row>
    <row r="11" spans="1:8" x14ac:dyDescent="0.25">
      <c r="A11" s="8">
        <v>43001.13009259259</v>
      </c>
      <c r="B11" s="20" t="s">
        <v>437</v>
      </c>
      <c r="C11" s="20" t="s">
        <v>625</v>
      </c>
      <c r="D11" s="138">
        <v>3120000</v>
      </c>
      <c r="E11" s="20" t="s">
        <v>621</v>
      </c>
      <c r="F11" s="20" t="s">
        <v>622</v>
      </c>
      <c r="G11" s="8" t="str">
        <f t="shared" si="0"/>
        <v>THOMPSON LESTER</v>
      </c>
      <c r="H11" s="20" t="str">
        <f t="shared" si="1"/>
        <v>4040</v>
      </c>
    </row>
    <row r="12" spans="1:8" x14ac:dyDescent="0.25">
      <c r="A12" s="8">
        <v>43001.139155092591</v>
      </c>
      <c r="B12" s="20" t="s">
        <v>519</v>
      </c>
      <c r="C12" s="20" t="s">
        <v>626</v>
      </c>
      <c r="D12" s="138">
        <v>1810000</v>
      </c>
      <c r="E12" s="20" t="s">
        <v>533</v>
      </c>
      <c r="F12" s="20" t="s">
        <v>376</v>
      </c>
      <c r="G12" s="8" t="str">
        <f t="shared" si="0"/>
        <v>NEWELL JAMES</v>
      </c>
      <c r="H12" s="20" t="str">
        <f t="shared" si="1"/>
        <v>4009</v>
      </c>
    </row>
    <row r="13" spans="1:8" x14ac:dyDescent="0.25">
      <c r="A13" s="8">
        <v>43001.140428240738</v>
      </c>
      <c r="B13" s="20" t="s">
        <v>627</v>
      </c>
      <c r="C13" s="20" t="s">
        <v>628</v>
      </c>
      <c r="D13" s="138">
        <v>2040000</v>
      </c>
      <c r="E13" s="20" t="s">
        <v>457</v>
      </c>
      <c r="F13" s="20" t="s">
        <v>458</v>
      </c>
      <c r="G13" s="8" t="str">
        <f t="shared" si="0"/>
        <v>MOSES BRADLEY</v>
      </c>
      <c r="H13" s="20" t="str">
        <f t="shared" si="1"/>
        <v>4045</v>
      </c>
    </row>
    <row r="14" spans="1:8" x14ac:dyDescent="0.25">
      <c r="A14" s="8">
        <v>43001.153067129628</v>
      </c>
      <c r="B14" s="20" t="s">
        <v>629</v>
      </c>
      <c r="C14" s="20" t="s">
        <v>630</v>
      </c>
      <c r="D14" s="138">
        <v>2040000</v>
      </c>
      <c r="E14" s="20" t="s">
        <v>457</v>
      </c>
      <c r="F14" s="20" t="s">
        <v>458</v>
      </c>
      <c r="G14" s="8" t="str">
        <f t="shared" si="0"/>
        <v>MOSES BRADLEY</v>
      </c>
      <c r="H14" s="20" t="str">
        <f t="shared" si="1"/>
        <v>4046</v>
      </c>
    </row>
    <row r="15" spans="1:8" x14ac:dyDescent="0.25">
      <c r="A15" s="8">
        <v>43001.156192129631</v>
      </c>
      <c r="B15" s="20" t="s">
        <v>518</v>
      </c>
      <c r="C15" s="20" t="s">
        <v>631</v>
      </c>
      <c r="D15" s="138">
        <v>3260000</v>
      </c>
      <c r="E15" s="20" t="s">
        <v>482</v>
      </c>
      <c r="F15" s="20" t="s">
        <v>483</v>
      </c>
      <c r="G15" s="8" t="str">
        <f t="shared" si="0"/>
        <v>PAGE MARCUS</v>
      </c>
      <c r="H15" s="20" t="str">
        <f t="shared" si="1"/>
        <v>4053</v>
      </c>
    </row>
    <row r="16" spans="1:8" x14ac:dyDescent="0.25">
      <c r="A16" s="8">
        <v>43001.157106481478</v>
      </c>
      <c r="B16" s="20" t="s">
        <v>518</v>
      </c>
      <c r="C16" s="20" t="s">
        <v>631</v>
      </c>
      <c r="D16" s="138">
        <v>3260000</v>
      </c>
      <c r="E16" s="20" t="s">
        <v>482</v>
      </c>
      <c r="F16" s="20" t="s">
        <v>483</v>
      </c>
      <c r="G16" s="8" t="str">
        <f t="shared" si="0"/>
        <v>PAGE MARCUS</v>
      </c>
      <c r="H16" s="20" t="str">
        <f t="shared" si="1"/>
        <v>4053</v>
      </c>
    </row>
    <row r="17" spans="1:8" x14ac:dyDescent="0.25">
      <c r="A17" s="8">
        <v>43001.172615740739</v>
      </c>
      <c r="B17" s="20" t="s">
        <v>434</v>
      </c>
      <c r="C17" s="20" t="s">
        <v>632</v>
      </c>
      <c r="D17" s="138">
        <v>3120000</v>
      </c>
      <c r="E17" s="20" t="s">
        <v>621</v>
      </c>
      <c r="F17" s="20" t="s">
        <v>622</v>
      </c>
      <c r="G17" s="8" t="str">
        <f t="shared" si="0"/>
        <v>THOMPSON LESTER</v>
      </c>
      <c r="H17" s="20" t="str">
        <f t="shared" si="1"/>
        <v>4039</v>
      </c>
    </row>
    <row r="18" spans="1:8" x14ac:dyDescent="0.25">
      <c r="A18" s="8">
        <v>43001.173773148148</v>
      </c>
      <c r="B18" s="20" t="s">
        <v>633</v>
      </c>
      <c r="C18" s="20" t="s">
        <v>634</v>
      </c>
      <c r="D18" s="138">
        <v>1100000</v>
      </c>
      <c r="E18" s="20" t="s">
        <v>480</v>
      </c>
      <c r="F18" s="20" t="s">
        <v>481</v>
      </c>
      <c r="G18" s="8" t="str">
        <f t="shared" si="0"/>
        <v>GEBRETEKLE DAGNEW</v>
      </c>
      <c r="H18" s="20" t="str">
        <f t="shared" si="1"/>
        <v>4041</v>
      </c>
    </row>
    <row r="19" spans="1:8" x14ac:dyDescent="0.25">
      <c r="A19" s="8">
        <v>43001.178923611114</v>
      </c>
      <c r="B19" s="20" t="s">
        <v>436</v>
      </c>
      <c r="C19" s="20" t="s">
        <v>635</v>
      </c>
      <c r="D19" s="138">
        <v>1810000</v>
      </c>
      <c r="E19" s="20" t="s">
        <v>533</v>
      </c>
      <c r="F19" s="20" t="s">
        <v>376</v>
      </c>
      <c r="G19" s="8" t="str">
        <f t="shared" si="0"/>
        <v>NEWELL JAMES</v>
      </c>
      <c r="H19" s="20" t="str">
        <f t="shared" si="1"/>
        <v>4010</v>
      </c>
    </row>
    <row r="20" spans="1:8" x14ac:dyDescent="0.25">
      <c r="A20" s="8">
        <v>43001.18173611111</v>
      </c>
      <c r="B20" s="20" t="s">
        <v>424</v>
      </c>
      <c r="C20" s="20" t="s">
        <v>636</v>
      </c>
      <c r="D20" s="138">
        <v>3180000</v>
      </c>
      <c r="E20" s="20" t="s">
        <v>484</v>
      </c>
      <c r="F20" s="20" t="s">
        <v>485</v>
      </c>
      <c r="G20" s="8" t="str">
        <f t="shared" si="0"/>
        <v>HUFFSMITH MONTY</v>
      </c>
      <c r="H20" s="20" t="str">
        <f t="shared" si="1"/>
        <v>4023</v>
      </c>
    </row>
    <row r="21" spans="1:8" x14ac:dyDescent="0.25">
      <c r="A21" s="8">
        <v>43001.187164351853</v>
      </c>
      <c r="B21" s="20" t="s">
        <v>407</v>
      </c>
      <c r="C21" s="20" t="s">
        <v>583</v>
      </c>
      <c r="D21" s="138">
        <v>3300000</v>
      </c>
      <c r="E21" s="20" t="s">
        <v>637</v>
      </c>
      <c r="F21" s="20" t="s">
        <v>638</v>
      </c>
      <c r="G21" s="8" t="str">
        <f t="shared" si="0"/>
        <v>LANGERAK WILLIAM</v>
      </c>
      <c r="H21" s="20" t="str">
        <f t="shared" si="1"/>
        <v>4028</v>
      </c>
    </row>
    <row r="22" spans="1:8" x14ac:dyDescent="0.25">
      <c r="A22" s="26">
        <v>43001.187349537038</v>
      </c>
      <c r="B22" s="20" t="s">
        <v>418</v>
      </c>
      <c r="C22" s="20" t="s">
        <v>634</v>
      </c>
      <c r="D22" s="138">
        <v>1100000</v>
      </c>
      <c r="E22" s="20" t="s">
        <v>480</v>
      </c>
      <c r="F22" s="20" t="s">
        <v>481</v>
      </c>
      <c r="G22" s="8" t="str">
        <f t="shared" si="0"/>
        <v>GEBRETEKLE DAGNEW</v>
      </c>
      <c r="H22" s="20" t="str">
        <f t="shared" si="1"/>
        <v>4057</v>
      </c>
    </row>
    <row r="23" spans="1:8" x14ac:dyDescent="0.25">
      <c r="A23" s="8">
        <v>43001.188969907409</v>
      </c>
      <c r="B23" s="20" t="s">
        <v>627</v>
      </c>
      <c r="C23" s="20" t="s">
        <v>639</v>
      </c>
      <c r="D23" s="138">
        <v>2040000</v>
      </c>
      <c r="E23" s="20" t="s">
        <v>457</v>
      </c>
      <c r="F23" s="20" t="s">
        <v>458</v>
      </c>
      <c r="G23" s="8" t="str">
        <f t="shared" si="0"/>
        <v>MOSES BRADLEY</v>
      </c>
      <c r="H23" s="20" t="str">
        <f t="shared" si="1"/>
        <v>4045</v>
      </c>
    </row>
    <row r="24" spans="1:8" x14ac:dyDescent="0.25">
      <c r="A24" s="8">
        <v>43001.194432870368</v>
      </c>
      <c r="B24" s="20" t="s">
        <v>425</v>
      </c>
      <c r="C24" s="20" t="s">
        <v>582</v>
      </c>
      <c r="D24" s="138">
        <v>3180000</v>
      </c>
      <c r="E24" s="20" t="s">
        <v>484</v>
      </c>
      <c r="F24" s="20" t="s">
        <v>485</v>
      </c>
      <c r="G24" s="8" t="str">
        <f t="shared" si="0"/>
        <v>HUFFSMITH MONTY</v>
      </c>
      <c r="H24" s="20" t="str">
        <f t="shared" si="1"/>
        <v>4024</v>
      </c>
    </row>
    <row r="25" spans="1:8" x14ac:dyDescent="0.25">
      <c r="A25" s="8">
        <v>43001.19636574074</v>
      </c>
      <c r="B25" s="20" t="s">
        <v>473</v>
      </c>
      <c r="C25" s="20" t="s">
        <v>640</v>
      </c>
      <c r="D25" s="138">
        <v>2560000</v>
      </c>
      <c r="E25" s="20" t="s">
        <v>641</v>
      </c>
      <c r="F25" s="20" t="s">
        <v>642</v>
      </c>
      <c r="G25" s="8" t="str">
        <f t="shared" si="0"/>
        <v>MACDONALD THOMAS</v>
      </c>
      <c r="H25" s="20" t="str">
        <f t="shared" si="1"/>
        <v>4001</v>
      </c>
    </row>
    <row r="26" spans="1:8" x14ac:dyDescent="0.25">
      <c r="A26" s="8">
        <v>43001.19767361111</v>
      </c>
      <c r="B26" s="20" t="s">
        <v>473</v>
      </c>
      <c r="C26" s="20" t="s">
        <v>640</v>
      </c>
      <c r="D26" s="138">
        <v>2560000</v>
      </c>
      <c r="E26" s="20" t="s">
        <v>641</v>
      </c>
      <c r="F26" s="20" t="s">
        <v>642</v>
      </c>
      <c r="G26" s="8" t="str">
        <f t="shared" si="0"/>
        <v>MACDONALD THOMAS</v>
      </c>
      <c r="H26" s="20" t="str">
        <f t="shared" si="1"/>
        <v>4001</v>
      </c>
    </row>
    <row r="27" spans="1:8" x14ac:dyDescent="0.25">
      <c r="A27" s="8">
        <v>43001.206307870372</v>
      </c>
      <c r="B27" s="20" t="s">
        <v>437</v>
      </c>
      <c r="C27" s="20" t="s">
        <v>643</v>
      </c>
      <c r="D27" s="138">
        <v>3120000</v>
      </c>
      <c r="E27" s="20" t="s">
        <v>621</v>
      </c>
      <c r="F27" s="20" t="s">
        <v>622</v>
      </c>
      <c r="G27" s="8" t="str">
        <f t="shared" si="0"/>
        <v>THOMPSON LESTER</v>
      </c>
      <c r="H27" s="20" t="str">
        <f t="shared" si="1"/>
        <v>4040</v>
      </c>
    </row>
    <row r="28" spans="1:8" x14ac:dyDescent="0.25">
      <c r="A28" s="8">
        <v>43001.208356481482</v>
      </c>
      <c r="B28" s="20" t="s">
        <v>519</v>
      </c>
      <c r="C28" s="20" t="s">
        <v>644</v>
      </c>
      <c r="D28" s="138">
        <v>1810000</v>
      </c>
      <c r="E28" s="20" t="s">
        <v>533</v>
      </c>
      <c r="F28" s="20" t="s">
        <v>376</v>
      </c>
      <c r="G28" s="8" t="str">
        <f t="shared" si="0"/>
        <v>NEWELL JAMES</v>
      </c>
      <c r="H28" s="20" t="str">
        <f t="shared" si="1"/>
        <v>4009</v>
      </c>
    </row>
    <row r="29" spans="1:8" x14ac:dyDescent="0.25">
      <c r="A29" s="8">
        <v>43001.214699074073</v>
      </c>
      <c r="B29" s="20" t="s">
        <v>479</v>
      </c>
      <c r="C29" s="20" t="s">
        <v>645</v>
      </c>
      <c r="D29" s="138">
        <v>2560000</v>
      </c>
      <c r="E29" s="20" t="s">
        <v>641</v>
      </c>
      <c r="F29" s="20" t="s">
        <v>642</v>
      </c>
      <c r="G29" s="8" t="str">
        <f t="shared" si="0"/>
        <v>MACDONALD THOMAS</v>
      </c>
      <c r="H29" s="20" t="str">
        <f t="shared" si="1"/>
        <v>4002</v>
      </c>
    </row>
    <row r="30" spans="1:8" x14ac:dyDescent="0.25">
      <c r="A30" s="8">
        <v>43001.215682870374</v>
      </c>
      <c r="B30" s="20" t="s">
        <v>479</v>
      </c>
      <c r="C30" s="20" t="s">
        <v>645</v>
      </c>
      <c r="D30" s="138">
        <v>2560000</v>
      </c>
      <c r="E30" s="20" t="s">
        <v>641</v>
      </c>
      <c r="F30" s="20" t="s">
        <v>642</v>
      </c>
      <c r="G30" s="8" t="str">
        <f t="shared" si="0"/>
        <v>MACDONALD THOMAS</v>
      </c>
      <c r="H30" s="20" t="str">
        <f t="shared" si="1"/>
        <v>4002</v>
      </c>
    </row>
    <row r="31" spans="1:8" x14ac:dyDescent="0.25">
      <c r="A31" s="8">
        <v>43001.216435185182</v>
      </c>
      <c r="B31" s="20" t="s">
        <v>449</v>
      </c>
      <c r="C31" s="20" t="s">
        <v>584</v>
      </c>
      <c r="D31" s="138">
        <v>3300000</v>
      </c>
      <c r="E31" s="20" t="s">
        <v>637</v>
      </c>
      <c r="F31" s="20" t="s">
        <v>638</v>
      </c>
      <c r="G31" s="8" t="str">
        <f t="shared" si="0"/>
        <v>LANGERAK WILLIAM</v>
      </c>
      <c r="H31" s="20" t="str">
        <f t="shared" si="1"/>
        <v>4027</v>
      </c>
    </row>
    <row r="32" spans="1:8" x14ac:dyDescent="0.25">
      <c r="A32" s="8">
        <v>43001.216562499998</v>
      </c>
      <c r="B32" s="20" t="s">
        <v>479</v>
      </c>
      <c r="C32" s="20" t="s">
        <v>645</v>
      </c>
      <c r="D32" s="138">
        <v>2560000</v>
      </c>
      <c r="E32" s="20" t="s">
        <v>641</v>
      </c>
      <c r="F32" s="20" t="s">
        <v>642</v>
      </c>
      <c r="G32" s="8" t="str">
        <f t="shared" si="0"/>
        <v>MACDONALD THOMAS</v>
      </c>
      <c r="H32" s="20" t="str">
        <f t="shared" si="1"/>
        <v>4002</v>
      </c>
    </row>
    <row r="33" spans="1:8" x14ac:dyDescent="0.25">
      <c r="A33" s="8">
        <v>43001.219178240739</v>
      </c>
      <c r="B33" s="20" t="s">
        <v>518</v>
      </c>
      <c r="C33" s="20" t="s">
        <v>646</v>
      </c>
      <c r="D33" s="138">
        <v>1780000</v>
      </c>
      <c r="E33" s="20" t="s">
        <v>492</v>
      </c>
      <c r="F33" s="20" t="s">
        <v>493</v>
      </c>
      <c r="G33" s="8" t="str">
        <f t="shared" si="0"/>
        <v>DE LA ROSA ALEX</v>
      </c>
      <c r="H33" s="20" t="str">
        <f t="shared" si="1"/>
        <v>4053</v>
      </c>
    </row>
    <row r="34" spans="1:8" x14ac:dyDescent="0.25">
      <c r="A34" s="8">
        <v>43001.223263888889</v>
      </c>
      <c r="B34" s="20" t="s">
        <v>609</v>
      </c>
      <c r="C34" s="20" t="s">
        <v>647</v>
      </c>
      <c r="D34" s="138">
        <v>3040000</v>
      </c>
      <c r="E34" s="20" t="s">
        <v>526</v>
      </c>
      <c r="F34" s="20" t="s">
        <v>527</v>
      </c>
      <c r="G34" s="8" t="str">
        <f t="shared" si="0"/>
        <v>WILLIAMS DONTE</v>
      </c>
      <c r="H34" s="20" t="str">
        <f t="shared" si="1"/>
        <v>4025</v>
      </c>
    </row>
    <row r="35" spans="1:8" x14ac:dyDescent="0.25">
      <c r="A35" s="8">
        <v>43001.226180555554</v>
      </c>
      <c r="B35" s="20" t="s">
        <v>528</v>
      </c>
      <c r="C35" s="20" t="s">
        <v>648</v>
      </c>
      <c r="D35" s="138">
        <v>3090000</v>
      </c>
      <c r="E35" s="20" t="s">
        <v>649</v>
      </c>
      <c r="F35" s="20" t="s">
        <v>650</v>
      </c>
      <c r="G35" s="8" t="str">
        <f t="shared" si="0"/>
        <v>LAMAR NEKESHA</v>
      </c>
      <c r="H35" s="20" t="str">
        <f t="shared" si="1"/>
        <v>4014</v>
      </c>
    </row>
    <row r="36" spans="1:8" x14ac:dyDescent="0.25">
      <c r="A36" s="8">
        <v>43001.226921296293</v>
      </c>
      <c r="B36" s="20" t="s">
        <v>424</v>
      </c>
      <c r="C36" s="20" t="s">
        <v>651</v>
      </c>
      <c r="D36" s="138">
        <v>3180000</v>
      </c>
      <c r="E36" s="20" t="s">
        <v>484</v>
      </c>
      <c r="F36" s="20" t="s">
        <v>485</v>
      </c>
      <c r="G36" s="8" t="str">
        <f t="shared" si="0"/>
        <v>HUFFSMITH MONTY</v>
      </c>
      <c r="H36" s="20" t="str">
        <f t="shared" si="1"/>
        <v>4023</v>
      </c>
    </row>
    <row r="37" spans="1:8" x14ac:dyDescent="0.25">
      <c r="A37" s="8">
        <v>43001.227650462963</v>
      </c>
      <c r="B37" s="20" t="s">
        <v>629</v>
      </c>
      <c r="C37" s="20" t="s">
        <v>652</v>
      </c>
      <c r="D37" s="138">
        <v>2040000</v>
      </c>
      <c r="E37" s="20" t="s">
        <v>457</v>
      </c>
      <c r="F37" s="20" t="s">
        <v>458</v>
      </c>
      <c r="G37" s="8" t="str">
        <f t="shared" si="0"/>
        <v>MOSES BRADLEY</v>
      </c>
      <c r="H37" s="20" t="str">
        <f t="shared" si="1"/>
        <v>4046</v>
      </c>
    </row>
    <row r="38" spans="1:8" x14ac:dyDescent="0.25">
      <c r="A38" s="8">
        <v>43001.233807870369</v>
      </c>
      <c r="B38" s="20" t="s">
        <v>402</v>
      </c>
      <c r="C38" s="20" t="s">
        <v>653</v>
      </c>
      <c r="D38" s="138">
        <v>2270000</v>
      </c>
      <c r="E38" s="20" t="s">
        <v>654</v>
      </c>
      <c r="F38" s="20" t="s">
        <v>655</v>
      </c>
      <c r="G38" s="8" t="str">
        <f t="shared" si="0"/>
        <v>BROWN JACOB</v>
      </c>
      <c r="H38" s="20" t="str">
        <f t="shared" si="1"/>
        <v>4058</v>
      </c>
    </row>
    <row r="39" spans="1:8" x14ac:dyDescent="0.25">
      <c r="A39" s="8">
        <v>43001.236805555556</v>
      </c>
      <c r="B39" s="20" t="s">
        <v>402</v>
      </c>
      <c r="C39" s="20" t="s">
        <v>653</v>
      </c>
      <c r="D39" s="138">
        <v>1100000</v>
      </c>
      <c r="E39" s="20" t="s">
        <v>480</v>
      </c>
      <c r="F39" s="20" t="s">
        <v>481</v>
      </c>
      <c r="G39" s="8" t="str">
        <f t="shared" si="0"/>
        <v>GEBRETEKLE DAGNEW</v>
      </c>
      <c r="H39" s="20" t="str">
        <f t="shared" si="1"/>
        <v>4058</v>
      </c>
    </row>
    <row r="40" spans="1:8" x14ac:dyDescent="0.25">
      <c r="A40" s="8">
        <v>43001.242523148147</v>
      </c>
      <c r="B40" s="25" t="s">
        <v>449</v>
      </c>
      <c r="C40" s="20" t="s">
        <v>584</v>
      </c>
      <c r="D40" s="138">
        <v>3300000</v>
      </c>
      <c r="E40" s="20" t="s">
        <v>637</v>
      </c>
      <c r="F40" s="20" t="s">
        <v>638</v>
      </c>
      <c r="G40" s="8" t="str">
        <f t="shared" si="0"/>
        <v>LANGERAK WILLIAM</v>
      </c>
      <c r="H40" s="20" t="str">
        <f t="shared" si="1"/>
        <v>4027</v>
      </c>
    </row>
    <row r="41" spans="1:8" x14ac:dyDescent="0.25">
      <c r="A41" s="8">
        <v>43001.243680555555</v>
      </c>
      <c r="B41" s="20" t="s">
        <v>525</v>
      </c>
      <c r="C41" s="20" t="s">
        <v>648</v>
      </c>
      <c r="D41" s="138">
        <v>2470000</v>
      </c>
      <c r="E41" s="20" t="s">
        <v>656</v>
      </c>
      <c r="F41" s="20" t="s">
        <v>657</v>
      </c>
      <c r="G41" s="8" t="str">
        <f t="shared" si="0"/>
        <v>ROMERO CHAD</v>
      </c>
      <c r="H41" s="20" t="str">
        <f t="shared" si="1"/>
        <v>4013</v>
      </c>
    </row>
    <row r="42" spans="1:8" x14ac:dyDescent="0.25">
      <c r="A42" s="8">
        <v>43001.246296296296</v>
      </c>
      <c r="B42" s="20" t="s">
        <v>436</v>
      </c>
      <c r="C42" s="20" t="s">
        <v>658</v>
      </c>
      <c r="D42" s="138">
        <v>3260000</v>
      </c>
      <c r="E42" s="20" t="s">
        <v>482</v>
      </c>
      <c r="F42" s="20" t="s">
        <v>483</v>
      </c>
      <c r="G42" s="8" t="str">
        <f t="shared" si="0"/>
        <v>PAGE MARCUS</v>
      </c>
      <c r="H42" s="20" t="str">
        <f t="shared" si="1"/>
        <v>4010</v>
      </c>
    </row>
    <row r="43" spans="1:8" x14ac:dyDescent="0.25">
      <c r="A43" s="8">
        <v>43001.246412037035</v>
      </c>
      <c r="B43" s="20" t="s">
        <v>434</v>
      </c>
      <c r="C43" s="20" t="s">
        <v>585</v>
      </c>
      <c r="D43" s="138">
        <v>3120000</v>
      </c>
      <c r="E43" s="20" t="s">
        <v>621</v>
      </c>
      <c r="F43" s="20" t="s">
        <v>622</v>
      </c>
      <c r="G43" s="8" t="str">
        <f t="shared" si="0"/>
        <v>THOMPSON LESTER</v>
      </c>
      <c r="H43" s="20" t="str">
        <f t="shared" si="1"/>
        <v>4039</v>
      </c>
    </row>
    <row r="44" spans="1:8" x14ac:dyDescent="0.25">
      <c r="A44" s="8">
        <v>43001.249722222223</v>
      </c>
      <c r="B44" s="20" t="s">
        <v>609</v>
      </c>
      <c r="C44" s="20" t="s">
        <v>647</v>
      </c>
      <c r="D44" s="138">
        <v>3040000</v>
      </c>
      <c r="E44" s="20" t="s">
        <v>526</v>
      </c>
      <c r="F44" s="20" t="s">
        <v>527</v>
      </c>
      <c r="G44" s="8" t="str">
        <f t="shared" si="0"/>
        <v>WILLIAMS DONTE</v>
      </c>
      <c r="H44" s="20" t="str">
        <f t="shared" si="1"/>
        <v>4025</v>
      </c>
    </row>
    <row r="45" spans="1:8" x14ac:dyDescent="0.25">
      <c r="A45" s="8">
        <v>43001.25545138889</v>
      </c>
      <c r="B45" s="20" t="s">
        <v>528</v>
      </c>
      <c r="C45" s="20" t="s">
        <v>586</v>
      </c>
      <c r="D45" s="138">
        <v>2470000</v>
      </c>
      <c r="E45" s="20" t="s">
        <v>656</v>
      </c>
      <c r="F45" s="20" t="s">
        <v>657</v>
      </c>
      <c r="G45" s="8" t="str">
        <f t="shared" si="0"/>
        <v>ROMERO CHAD</v>
      </c>
      <c r="H45" s="20" t="str">
        <f t="shared" si="1"/>
        <v>4014</v>
      </c>
    </row>
    <row r="46" spans="1:8" x14ac:dyDescent="0.25">
      <c r="A46" s="8">
        <v>43001.25613425926</v>
      </c>
      <c r="B46" s="20" t="s">
        <v>473</v>
      </c>
      <c r="C46" s="20" t="s">
        <v>587</v>
      </c>
      <c r="D46" s="138">
        <v>2560000</v>
      </c>
      <c r="E46" s="20" t="s">
        <v>641</v>
      </c>
      <c r="F46" s="20" t="s">
        <v>642</v>
      </c>
      <c r="G46" s="8" t="str">
        <f t="shared" si="0"/>
        <v>MACDONALD THOMAS</v>
      </c>
      <c r="H46" s="20" t="str">
        <f t="shared" si="1"/>
        <v>4001</v>
      </c>
    </row>
    <row r="47" spans="1:8" x14ac:dyDescent="0.25">
      <c r="A47" s="8">
        <v>43001.260740740741</v>
      </c>
      <c r="B47" s="20" t="s">
        <v>407</v>
      </c>
      <c r="C47" s="20" t="s">
        <v>659</v>
      </c>
      <c r="D47" s="138">
        <v>3300000</v>
      </c>
      <c r="E47" s="20" t="s">
        <v>637</v>
      </c>
      <c r="F47" s="20" t="s">
        <v>638</v>
      </c>
      <c r="G47" s="8" t="str">
        <f t="shared" si="0"/>
        <v>LANGERAK WILLIAM</v>
      </c>
      <c r="H47" s="20" t="str">
        <f t="shared" si="1"/>
        <v>4028</v>
      </c>
    </row>
    <row r="48" spans="1:8" x14ac:dyDescent="0.25">
      <c r="A48" s="8">
        <v>43001.261932870373</v>
      </c>
      <c r="B48" s="20" t="s">
        <v>407</v>
      </c>
      <c r="C48" s="20" t="s">
        <v>659</v>
      </c>
      <c r="D48" s="138">
        <v>3300000</v>
      </c>
      <c r="E48" s="20" t="s">
        <v>637</v>
      </c>
      <c r="F48" s="20" t="s">
        <v>638</v>
      </c>
      <c r="G48" s="8" t="str">
        <f t="shared" si="0"/>
        <v>LANGERAK WILLIAM</v>
      </c>
      <c r="H48" s="20" t="str">
        <f t="shared" si="1"/>
        <v>4028</v>
      </c>
    </row>
    <row r="49" spans="1:8" x14ac:dyDescent="0.25">
      <c r="A49" s="8">
        <v>43001.265856481485</v>
      </c>
      <c r="B49" s="20" t="s">
        <v>627</v>
      </c>
      <c r="C49" s="20" t="s">
        <v>660</v>
      </c>
      <c r="D49" s="138">
        <v>2040000</v>
      </c>
      <c r="E49" s="20" t="s">
        <v>457</v>
      </c>
      <c r="F49" s="20" t="s">
        <v>458</v>
      </c>
      <c r="G49" s="8" t="str">
        <f t="shared" si="0"/>
        <v>MOSES BRADLEY</v>
      </c>
      <c r="H49" s="20" t="str">
        <f t="shared" si="1"/>
        <v>4045</v>
      </c>
    </row>
    <row r="50" spans="1:8" x14ac:dyDescent="0.25">
      <c r="A50" s="8">
        <v>43001.266273148147</v>
      </c>
      <c r="B50" s="20" t="s">
        <v>418</v>
      </c>
      <c r="C50" s="20" t="s">
        <v>661</v>
      </c>
      <c r="D50" s="138">
        <v>1100000</v>
      </c>
      <c r="E50" s="20" t="s">
        <v>480</v>
      </c>
      <c r="F50" s="20" t="s">
        <v>481</v>
      </c>
      <c r="G50" s="8" t="str">
        <f t="shared" si="0"/>
        <v>GEBRETEKLE DAGNEW</v>
      </c>
      <c r="H50" s="20" t="str">
        <f t="shared" si="1"/>
        <v>4057</v>
      </c>
    </row>
    <row r="51" spans="1:8" x14ac:dyDescent="0.25">
      <c r="A51" s="8">
        <v>43001.267685185187</v>
      </c>
      <c r="B51" s="20" t="s">
        <v>525</v>
      </c>
      <c r="C51" s="20" t="s">
        <v>662</v>
      </c>
      <c r="D51" s="138">
        <v>2470000</v>
      </c>
      <c r="E51" s="20" t="s">
        <v>656</v>
      </c>
      <c r="F51" s="20" t="s">
        <v>657</v>
      </c>
      <c r="G51" s="8" t="str">
        <f t="shared" si="0"/>
        <v>ROMERO CHAD</v>
      </c>
      <c r="H51" s="20" t="str">
        <f t="shared" si="1"/>
        <v>4013</v>
      </c>
    </row>
    <row r="52" spans="1:8" x14ac:dyDescent="0.25">
      <c r="A52" s="8">
        <v>43001.268587962964</v>
      </c>
      <c r="B52" s="20" t="s">
        <v>425</v>
      </c>
      <c r="C52" s="20" t="s">
        <v>663</v>
      </c>
      <c r="D52" s="138">
        <v>3180000</v>
      </c>
      <c r="E52" s="20" t="s">
        <v>484</v>
      </c>
      <c r="F52" s="20" t="s">
        <v>485</v>
      </c>
      <c r="G52" s="8" t="str">
        <f t="shared" si="0"/>
        <v>HUFFSMITH MONTY</v>
      </c>
      <c r="H52" s="20" t="str">
        <f t="shared" si="1"/>
        <v>4024</v>
      </c>
    </row>
    <row r="53" spans="1:8" x14ac:dyDescent="0.25">
      <c r="A53" s="8">
        <v>43001.273182870369</v>
      </c>
      <c r="B53" s="20" t="s">
        <v>664</v>
      </c>
      <c r="C53" s="20" t="s">
        <v>646</v>
      </c>
      <c r="D53" s="138">
        <v>1780000</v>
      </c>
      <c r="E53" s="20" t="s">
        <v>492</v>
      </c>
      <c r="F53" s="20" t="s">
        <v>493</v>
      </c>
      <c r="G53" s="8" t="str">
        <f t="shared" si="0"/>
        <v>DE LA ROSA ALEX</v>
      </c>
      <c r="H53" s="20" t="str">
        <f t="shared" si="1"/>
        <v>4011</v>
      </c>
    </row>
    <row r="54" spans="1:8" x14ac:dyDescent="0.25">
      <c r="A54" s="8">
        <v>43001.280925925923</v>
      </c>
      <c r="B54" s="20" t="s">
        <v>437</v>
      </c>
      <c r="C54" s="20" t="s">
        <v>588</v>
      </c>
      <c r="D54" s="138">
        <v>3120000</v>
      </c>
      <c r="E54" s="20" t="s">
        <v>621</v>
      </c>
      <c r="F54" s="20" t="s">
        <v>622</v>
      </c>
      <c r="G54" s="8" t="str">
        <f t="shared" si="0"/>
        <v>THOMPSON LESTER</v>
      </c>
      <c r="H54" s="20" t="str">
        <f t="shared" si="1"/>
        <v>4040</v>
      </c>
    </row>
    <row r="55" spans="1:8" x14ac:dyDescent="0.25">
      <c r="A55" s="8">
        <v>43001.286585648151</v>
      </c>
      <c r="B55" s="20" t="s">
        <v>519</v>
      </c>
      <c r="C55" s="20" t="s">
        <v>665</v>
      </c>
      <c r="D55" s="138">
        <v>3260000</v>
      </c>
      <c r="E55" s="20" t="s">
        <v>482</v>
      </c>
      <c r="F55" s="20" t="s">
        <v>483</v>
      </c>
      <c r="G55" s="8" t="str">
        <f t="shared" si="0"/>
        <v>PAGE MARCUS</v>
      </c>
      <c r="H55" s="20" t="str">
        <f t="shared" si="1"/>
        <v>4009</v>
      </c>
    </row>
    <row r="56" spans="1:8" x14ac:dyDescent="0.25">
      <c r="A56" s="8">
        <v>43001.290173611109</v>
      </c>
      <c r="B56" s="20" t="s">
        <v>479</v>
      </c>
      <c r="C56" s="20" t="s">
        <v>666</v>
      </c>
      <c r="D56" s="138">
        <v>2560000</v>
      </c>
      <c r="E56" s="20" t="s">
        <v>641</v>
      </c>
      <c r="F56" s="20" t="s">
        <v>642</v>
      </c>
      <c r="G56" s="8" t="str">
        <f t="shared" si="0"/>
        <v>MACDONALD THOMAS</v>
      </c>
      <c r="H56" s="20" t="str">
        <f t="shared" si="1"/>
        <v>4002</v>
      </c>
    </row>
    <row r="57" spans="1:8" x14ac:dyDescent="0.25">
      <c r="A57" s="8">
        <v>43001.291550925926</v>
      </c>
      <c r="B57" s="20" t="s">
        <v>449</v>
      </c>
      <c r="C57" s="20" t="s">
        <v>667</v>
      </c>
      <c r="D57" s="138">
        <v>3300000</v>
      </c>
      <c r="E57" s="20" t="s">
        <v>637</v>
      </c>
      <c r="F57" s="20" t="s">
        <v>638</v>
      </c>
      <c r="G57" s="8" t="str">
        <f t="shared" si="0"/>
        <v>LANGERAK WILLIAM</v>
      </c>
      <c r="H57" s="20" t="str">
        <f t="shared" si="1"/>
        <v>4027</v>
      </c>
    </row>
    <row r="58" spans="1:8" x14ac:dyDescent="0.25">
      <c r="A58" s="8">
        <v>43001.291851851849</v>
      </c>
      <c r="B58" s="20" t="s">
        <v>528</v>
      </c>
      <c r="C58" s="20" t="s">
        <v>668</v>
      </c>
      <c r="D58" s="138">
        <v>3090000</v>
      </c>
      <c r="E58" s="20" t="s">
        <v>649</v>
      </c>
      <c r="F58" s="20" t="s">
        <v>650</v>
      </c>
      <c r="G58" s="8" t="str">
        <f t="shared" si="0"/>
        <v>LAMAR NEKESHA</v>
      </c>
      <c r="H58" s="20" t="str">
        <f t="shared" si="1"/>
        <v>4014</v>
      </c>
    </row>
    <row r="59" spans="1:8" x14ac:dyDescent="0.25">
      <c r="A59" s="8">
        <v>43001.301805555559</v>
      </c>
      <c r="B59" s="20" t="s">
        <v>629</v>
      </c>
      <c r="C59" s="20" t="s">
        <v>669</v>
      </c>
      <c r="D59" s="138">
        <v>2040000</v>
      </c>
      <c r="E59" s="20" t="s">
        <v>457</v>
      </c>
      <c r="F59" s="20" t="s">
        <v>458</v>
      </c>
      <c r="G59" s="8" t="str">
        <f t="shared" si="0"/>
        <v>MOSES BRADLEY</v>
      </c>
      <c r="H59" s="20" t="str">
        <f t="shared" si="1"/>
        <v>4046</v>
      </c>
    </row>
    <row r="60" spans="1:8" x14ac:dyDescent="0.25">
      <c r="A60" s="8">
        <v>43001.3044212963</v>
      </c>
      <c r="B60" s="20" t="s">
        <v>424</v>
      </c>
      <c r="C60" s="20" t="s">
        <v>589</v>
      </c>
      <c r="D60" s="138">
        <v>3180000</v>
      </c>
      <c r="E60" s="20" t="s">
        <v>484</v>
      </c>
      <c r="F60" s="20" t="s">
        <v>485</v>
      </c>
      <c r="G60" s="8" t="str">
        <f t="shared" si="0"/>
        <v>HUFFSMITH MONTY</v>
      </c>
      <c r="H60" s="20" t="str">
        <f t="shared" si="1"/>
        <v>4023</v>
      </c>
    </row>
    <row r="61" spans="1:8" x14ac:dyDescent="0.25">
      <c r="A61" s="8">
        <v>43001.309814814813</v>
      </c>
      <c r="B61" s="20" t="s">
        <v>402</v>
      </c>
      <c r="C61" s="20" t="s">
        <v>670</v>
      </c>
      <c r="D61" s="138">
        <v>3040000</v>
      </c>
      <c r="E61" s="20" t="s">
        <v>526</v>
      </c>
      <c r="F61" s="20" t="s">
        <v>527</v>
      </c>
      <c r="G61" s="8" t="str">
        <f t="shared" si="0"/>
        <v>WILLIAMS DONTE</v>
      </c>
      <c r="H61" s="20" t="str">
        <f t="shared" si="1"/>
        <v>4058</v>
      </c>
    </row>
    <row r="62" spans="1:8" x14ac:dyDescent="0.25">
      <c r="A62" s="8">
        <v>43001.318101851852</v>
      </c>
      <c r="B62" s="20" t="s">
        <v>525</v>
      </c>
      <c r="C62" s="20" t="s">
        <v>590</v>
      </c>
      <c r="D62" s="138">
        <v>3090000</v>
      </c>
      <c r="E62" s="20" t="s">
        <v>649</v>
      </c>
      <c r="F62" s="20" t="s">
        <v>650</v>
      </c>
      <c r="G62" s="8" t="str">
        <f t="shared" si="0"/>
        <v>LAMAR NEKESHA</v>
      </c>
      <c r="H62" s="20" t="str">
        <f t="shared" si="1"/>
        <v>4013</v>
      </c>
    </row>
    <row r="63" spans="1:8" x14ac:dyDescent="0.25">
      <c r="A63" s="8">
        <v>43001.318807870368</v>
      </c>
      <c r="B63" s="20" t="s">
        <v>525</v>
      </c>
      <c r="C63" s="20" t="s">
        <v>671</v>
      </c>
      <c r="D63" s="138">
        <v>3090000</v>
      </c>
      <c r="E63" s="20" t="s">
        <v>649</v>
      </c>
      <c r="F63" s="20" t="s">
        <v>650</v>
      </c>
      <c r="G63" s="8" t="str">
        <f t="shared" si="0"/>
        <v>LAMAR NEKESHA</v>
      </c>
      <c r="H63" s="20" t="str">
        <f t="shared" si="1"/>
        <v>4013</v>
      </c>
    </row>
    <row r="64" spans="1:8" x14ac:dyDescent="0.25">
      <c r="A64" s="26">
        <v>43001.318854166668</v>
      </c>
      <c r="B64" s="20" t="s">
        <v>436</v>
      </c>
      <c r="C64" s="20" t="s">
        <v>672</v>
      </c>
      <c r="D64" s="138">
        <v>3260000</v>
      </c>
      <c r="E64" s="20" t="s">
        <v>482</v>
      </c>
      <c r="F64" s="20" t="s">
        <v>483</v>
      </c>
      <c r="G64" s="8" t="str">
        <f t="shared" si="0"/>
        <v>PAGE MARCUS</v>
      </c>
      <c r="H64" s="20" t="str">
        <f t="shared" si="1"/>
        <v>4010</v>
      </c>
    </row>
    <row r="65" spans="1:8" x14ac:dyDescent="0.25">
      <c r="A65" s="8">
        <v>43001.319467592592</v>
      </c>
      <c r="B65" s="20" t="s">
        <v>434</v>
      </c>
      <c r="C65" s="20" t="s">
        <v>673</v>
      </c>
      <c r="D65" s="138">
        <v>3120000</v>
      </c>
      <c r="E65" s="20" t="s">
        <v>621</v>
      </c>
      <c r="F65" s="20" t="s">
        <v>622</v>
      </c>
      <c r="G65" s="8" t="str">
        <f t="shared" si="0"/>
        <v>THOMPSON LESTER</v>
      </c>
      <c r="H65" s="20" t="str">
        <f t="shared" si="1"/>
        <v>4039</v>
      </c>
    </row>
    <row r="66" spans="1:8" x14ac:dyDescent="0.25">
      <c r="A66" s="8">
        <v>43001.329884259256</v>
      </c>
      <c r="B66" s="20" t="s">
        <v>407</v>
      </c>
      <c r="C66" s="20" t="s">
        <v>674</v>
      </c>
      <c r="D66" s="138">
        <v>1100000</v>
      </c>
      <c r="E66" s="20" t="s">
        <v>480</v>
      </c>
      <c r="F66" s="20" t="s">
        <v>481</v>
      </c>
      <c r="G66" s="8" t="str">
        <f t="shared" si="0"/>
        <v>GEBRETEKLE DAGNEW</v>
      </c>
      <c r="H66" s="20" t="str">
        <f t="shared" si="1"/>
        <v>4028</v>
      </c>
    </row>
    <row r="67" spans="1:8" x14ac:dyDescent="0.25">
      <c r="A67" s="8">
        <v>43001.329895833333</v>
      </c>
      <c r="B67" s="20" t="s">
        <v>473</v>
      </c>
      <c r="C67" s="20" t="s">
        <v>591</v>
      </c>
      <c r="D67" s="138">
        <v>2560000</v>
      </c>
      <c r="E67" s="20" t="s">
        <v>641</v>
      </c>
      <c r="F67" s="20" t="s">
        <v>642</v>
      </c>
      <c r="G67" s="8" t="str">
        <f t="shared" ref="G67:G130" si="2">E67&amp;" "&amp;F67</f>
        <v>MACDONALD THOMAS</v>
      </c>
      <c r="H67" s="20" t="str">
        <f t="shared" ref="H67:H130" si="3">MID(B67,13,4)</f>
        <v>4001</v>
      </c>
    </row>
    <row r="68" spans="1:8" x14ac:dyDescent="0.25">
      <c r="A68" s="8">
        <v>43001.337418981479</v>
      </c>
      <c r="B68" s="20" t="s">
        <v>627</v>
      </c>
      <c r="C68" s="20" t="s">
        <v>675</v>
      </c>
      <c r="D68" s="138">
        <v>2040000</v>
      </c>
      <c r="E68" s="20" t="s">
        <v>457</v>
      </c>
      <c r="F68" s="20" t="s">
        <v>458</v>
      </c>
      <c r="G68" s="8" t="str">
        <f t="shared" si="2"/>
        <v>MOSES BRADLEY</v>
      </c>
      <c r="H68" s="20" t="str">
        <f t="shared" si="3"/>
        <v>4045</v>
      </c>
    </row>
    <row r="69" spans="1:8" x14ac:dyDescent="0.25">
      <c r="A69" s="8">
        <v>43001.337754629632</v>
      </c>
      <c r="B69" s="20" t="s">
        <v>528</v>
      </c>
      <c r="C69" s="20" t="s">
        <v>590</v>
      </c>
      <c r="D69" s="138">
        <v>3090000</v>
      </c>
      <c r="E69" s="20" t="s">
        <v>649</v>
      </c>
      <c r="F69" s="20" t="s">
        <v>650</v>
      </c>
      <c r="G69" s="8" t="str">
        <f t="shared" si="2"/>
        <v>LAMAR NEKESHA</v>
      </c>
      <c r="H69" s="20" t="str">
        <f t="shared" si="3"/>
        <v>4014</v>
      </c>
    </row>
    <row r="70" spans="1:8" x14ac:dyDescent="0.25">
      <c r="A70" s="8">
        <v>43001.34002314815</v>
      </c>
      <c r="B70" s="20" t="s">
        <v>425</v>
      </c>
      <c r="C70" s="20" t="s">
        <v>676</v>
      </c>
      <c r="D70" s="138">
        <v>3180000</v>
      </c>
      <c r="E70" s="20" t="s">
        <v>484</v>
      </c>
      <c r="F70" s="20" t="s">
        <v>485</v>
      </c>
      <c r="G70" s="8" t="str">
        <f t="shared" si="2"/>
        <v>HUFFSMITH MONTY</v>
      </c>
      <c r="H70" s="20" t="str">
        <f t="shared" si="3"/>
        <v>4024</v>
      </c>
    </row>
    <row r="71" spans="1:8" x14ac:dyDescent="0.25">
      <c r="A71" s="8">
        <v>43001.34746527778</v>
      </c>
      <c r="B71" s="20" t="s">
        <v>418</v>
      </c>
      <c r="C71" s="20" t="s">
        <v>677</v>
      </c>
      <c r="D71" s="138">
        <v>3040000</v>
      </c>
      <c r="E71" s="20" t="s">
        <v>526</v>
      </c>
      <c r="F71" s="20" t="s">
        <v>527</v>
      </c>
      <c r="G71" s="8" t="str">
        <f t="shared" si="2"/>
        <v>WILLIAMS DONTE</v>
      </c>
      <c r="H71" s="20" t="str">
        <f t="shared" si="3"/>
        <v>4057</v>
      </c>
    </row>
    <row r="72" spans="1:8" x14ac:dyDescent="0.25">
      <c r="A72" s="8">
        <v>43001.351307870369</v>
      </c>
      <c r="B72" s="20" t="s">
        <v>437</v>
      </c>
      <c r="C72" s="20" t="s">
        <v>678</v>
      </c>
      <c r="D72" s="138">
        <v>3120000</v>
      </c>
      <c r="E72" s="20" t="s">
        <v>621</v>
      </c>
      <c r="F72" s="20" t="s">
        <v>622</v>
      </c>
      <c r="G72" s="8" t="str">
        <f t="shared" si="2"/>
        <v>THOMPSON LESTER</v>
      </c>
      <c r="H72" s="20" t="str">
        <f t="shared" si="3"/>
        <v>4040</v>
      </c>
    </row>
    <row r="73" spans="1:8" x14ac:dyDescent="0.25">
      <c r="A73" s="8">
        <v>43001.357905092591</v>
      </c>
      <c r="B73" s="20" t="s">
        <v>525</v>
      </c>
      <c r="C73" s="20" t="s">
        <v>679</v>
      </c>
      <c r="D73" s="138">
        <v>3090000</v>
      </c>
      <c r="E73" s="20" t="s">
        <v>649</v>
      </c>
      <c r="F73" s="20" t="s">
        <v>650</v>
      </c>
      <c r="G73" s="8" t="str">
        <f t="shared" si="2"/>
        <v>LAMAR NEKESHA</v>
      </c>
      <c r="H73" s="20" t="str">
        <f t="shared" si="3"/>
        <v>4013</v>
      </c>
    </row>
    <row r="74" spans="1:8" x14ac:dyDescent="0.25">
      <c r="A74" s="8">
        <v>43001.359537037039</v>
      </c>
      <c r="B74" s="20" t="s">
        <v>519</v>
      </c>
      <c r="C74" s="20" t="s">
        <v>680</v>
      </c>
      <c r="D74" s="138">
        <v>3260000</v>
      </c>
      <c r="E74" s="20" t="s">
        <v>482</v>
      </c>
      <c r="F74" s="20" t="s">
        <v>483</v>
      </c>
      <c r="G74" s="8" t="str">
        <f t="shared" si="2"/>
        <v>PAGE MARCUS</v>
      </c>
      <c r="H74" s="20" t="str">
        <f t="shared" si="3"/>
        <v>4009</v>
      </c>
    </row>
    <row r="75" spans="1:8" x14ac:dyDescent="0.25">
      <c r="A75" s="8">
        <v>43001.360810185186</v>
      </c>
      <c r="B75" s="20" t="s">
        <v>449</v>
      </c>
      <c r="C75" s="20" t="s">
        <v>681</v>
      </c>
      <c r="D75" s="138">
        <v>1100000</v>
      </c>
      <c r="E75" s="20" t="s">
        <v>480</v>
      </c>
      <c r="F75" s="20" t="s">
        <v>481</v>
      </c>
      <c r="G75" s="8" t="str">
        <f t="shared" si="2"/>
        <v>GEBRETEKLE DAGNEW</v>
      </c>
      <c r="H75" s="20" t="str">
        <f t="shared" si="3"/>
        <v>4027</v>
      </c>
    </row>
    <row r="76" spans="1:8" x14ac:dyDescent="0.25">
      <c r="A76" s="8">
        <v>43001.362210648149</v>
      </c>
      <c r="B76" s="20" t="s">
        <v>479</v>
      </c>
      <c r="C76" s="20" t="s">
        <v>682</v>
      </c>
      <c r="D76" s="138">
        <v>2560000</v>
      </c>
      <c r="E76" s="20" t="s">
        <v>641</v>
      </c>
      <c r="F76" s="20" t="s">
        <v>642</v>
      </c>
      <c r="G76" s="8" t="str">
        <f t="shared" si="2"/>
        <v>MACDONALD THOMAS</v>
      </c>
      <c r="H76" s="20" t="str">
        <f t="shared" si="3"/>
        <v>4002</v>
      </c>
    </row>
    <row r="77" spans="1:8" x14ac:dyDescent="0.25">
      <c r="A77" s="8">
        <v>43001.372037037036</v>
      </c>
      <c r="B77" s="20" t="s">
        <v>629</v>
      </c>
      <c r="C77" s="20" t="s">
        <v>683</v>
      </c>
      <c r="D77" s="138">
        <v>2040000</v>
      </c>
      <c r="E77" s="20" t="s">
        <v>457</v>
      </c>
      <c r="F77" s="20" t="s">
        <v>458</v>
      </c>
      <c r="G77" s="8" t="str">
        <f t="shared" si="2"/>
        <v>MOSES BRADLEY</v>
      </c>
      <c r="H77" s="20" t="str">
        <f t="shared" si="3"/>
        <v>4046</v>
      </c>
    </row>
    <row r="78" spans="1:8" x14ac:dyDescent="0.25">
      <c r="A78" s="8">
        <v>43001.378437500003</v>
      </c>
      <c r="B78" s="20" t="s">
        <v>528</v>
      </c>
      <c r="C78" s="20" t="s">
        <v>684</v>
      </c>
      <c r="D78" s="138">
        <v>3090000</v>
      </c>
      <c r="E78" s="20" t="s">
        <v>649</v>
      </c>
      <c r="F78" s="20" t="s">
        <v>650</v>
      </c>
      <c r="G78" s="8" t="str">
        <f t="shared" si="2"/>
        <v>LAMAR NEKESHA</v>
      </c>
      <c r="H78" s="20" t="str">
        <f t="shared" si="3"/>
        <v>4014</v>
      </c>
    </row>
    <row r="79" spans="1:8" x14ac:dyDescent="0.25">
      <c r="A79" s="8">
        <v>43001.379594907405</v>
      </c>
      <c r="B79" s="20" t="s">
        <v>424</v>
      </c>
      <c r="C79" s="20" t="s">
        <v>685</v>
      </c>
      <c r="D79" s="138">
        <v>3180000</v>
      </c>
      <c r="E79" s="20" t="s">
        <v>484</v>
      </c>
      <c r="F79" s="20" t="s">
        <v>485</v>
      </c>
      <c r="G79" s="8" t="str">
        <f t="shared" si="2"/>
        <v>HUFFSMITH MONTY</v>
      </c>
      <c r="H79" s="20" t="str">
        <f t="shared" si="3"/>
        <v>4023</v>
      </c>
    </row>
    <row r="80" spans="1:8" x14ac:dyDescent="0.25">
      <c r="A80" s="8">
        <v>43001.380995370368</v>
      </c>
      <c r="B80" s="20" t="s">
        <v>402</v>
      </c>
      <c r="C80" s="20" t="s">
        <v>686</v>
      </c>
      <c r="D80" s="138">
        <v>3040000</v>
      </c>
      <c r="E80" s="20" t="s">
        <v>526</v>
      </c>
      <c r="F80" s="20" t="s">
        <v>527</v>
      </c>
      <c r="G80" s="8" t="str">
        <f t="shared" si="2"/>
        <v>WILLIAMS DONTE</v>
      </c>
      <c r="H80" s="20" t="str">
        <f t="shared" si="3"/>
        <v>4058</v>
      </c>
    </row>
    <row r="81" spans="1:8" x14ac:dyDescent="0.25">
      <c r="A81" s="8">
        <v>43001.391192129631</v>
      </c>
      <c r="B81" s="20" t="s">
        <v>434</v>
      </c>
      <c r="C81" s="20" t="s">
        <v>592</v>
      </c>
      <c r="D81" s="138">
        <v>3120000</v>
      </c>
      <c r="E81" s="20" t="s">
        <v>621</v>
      </c>
      <c r="F81" s="20" t="s">
        <v>622</v>
      </c>
      <c r="G81" s="8" t="str">
        <f t="shared" si="2"/>
        <v>THOMPSON LESTER</v>
      </c>
      <c r="H81" s="20" t="str">
        <f t="shared" si="3"/>
        <v>4039</v>
      </c>
    </row>
    <row r="82" spans="1:8" x14ac:dyDescent="0.25">
      <c r="A82" s="8">
        <v>43001.391284722224</v>
      </c>
      <c r="B82" s="20" t="s">
        <v>436</v>
      </c>
      <c r="C82" s="20" t="s">
        <v>687</v>
      </c>
      <c r="D82" s="138">
        <v>3260000</v>
      </c>
      <c r="E82" s="20" t="s">
        <v>482</v>
      </c>
      <c r="F82" s="20" t="s">
        <v>483</v>
      </c>
      <c r="G82" s="8" t="str">
        <f t="shared" si="2"/>
        <v>PAGE MARCUS</v>
      </c>
      <c r="H82" s="20" t="str">
        <f t="shared" si="3"/>
        <v>4010</v>
      </c>
    </row>
    <row r="83" spans="1:8" x14ac:dyDescent="0.25">
      <c r="A83" s="8">
        <v>43001.401006944441</v>
      </c>
      <c r="B83" s="20" t="s">
        <v>525</v>
      </c>
      <c r="C83" s="20" t="s">
        <v>593</v>
      </c>
      <c r="D83" s="138">
        <v>3090000</v>
      </c>
      <c r="E83" s="20" t="s">
        <v>649</v>
      </c>
      <c r="F83" s="20" t="s">
        <v>650</v>
      </c>
      <c r="G83" s="8" t="str">
        <f t="shared" si="2"/>
        <v>LAMAR NEKESHA</v>
      </c>
      <c r="H83" s="20" t="str">
        <f t="shared" si="3"/>
        <v>4013</v>
      </c>
    </row>
    <row r="84" spans="1:8" x14ac:dyDescent="0.25">
      <c r="A84" s="8">
        <v>43001.402199074073</v>
      </c>
      <c r="B84" s="20" t="s">
        <v>407</v>
      </c>
      <c r="C84" s="20" t="s">
        <v>688</v>
      </c>
      <c r="D84" s="138">
        <v>1100000</v>
      </c>
      <c r="E84" s="20" t="s">
        <v>480</v>
      </c>
      <c r="F84" s="20" t="s">
        <v>481</v>
      </c>
      <c r="G84" s="8" t="str">
        <f t="shared" si="2"/>
        <v>GEBRETEKLE DAGNEW</v>
      </c>
      <c r="H84" s="20" t="str">
        <f t="shared" si="3"/>
        <v>4028</v>
      </c>
    </row>
    <row r="85" spans="1:8" x14ac:dyDescent="0.25">
      <c r="A85" s="8">
        <v>43001.403009259258</v>
      </c>
      <c r="B85" s="20" t="s">
        <v>473</v>
      </c>
      <c r="C85" s="20" t="s">
        <v>689</v>
      </c>
      <c r="D85" s="138">
        <v>2560000</v>
      </c>
      <c r="E85" s="20" t="s">
        <v>641</v>
      </c>
      <c r="F85" s="20" t="s">
        <v>642</v>
      </c>
      <c r="G85" s="8" t="str">
        <f t="shared" si="2"/>
        <v>MACDONALD THOMAS</v>
      </c>
      <c r="H85" s="20" t="str">
        <f t="shared" si="3"/>
        <v>4001</v>
      </c>
    </row>
    <row r="86" spans="1:8" x14ac:dyDescent="0.25">
      <c r="A86" s="8">
        <v>43001.404236111113</v>
      </c>
      <c r="B86" s="20" t="s">
        <v>473</v>
      </c>
      <c r="C86" s="20" t="s">
        <v>690</v>
      </c>
      <c r="D86" s="138">
        <v>2560000</v>
      </c>
      <c r="E86" s="20" t="s">
        <v>641</v>
      </c>
      <c r="F86" s="20" t="s">
        <v>642</v>
      </c>
      <c r="G86" s="8" t="str">
        <f t="shared" si="2"/>
        <v>MACDONALD THOMAS</v>
      </c>
      <c r="H86" s="20" t="str">
        <f t="shared" si="3"/>
        <v>4001</v>
      </c>
    </row>
    <row r="87" spans="1:8" x14ac:dyDescent="0.25">
      <c r="A87" s="8">
        <v>43001.411874999998</v>
      </c>
      <c r="B87" s="20" t="s">
        <v>627</v>
      </c>
      <c r="C87" s="20" t="s">
        <v>691</v>
      </c>
      <c r="D87" s="138">
        <v>2040000</v>
      </c>
      <c r="E87" s="20" t="s">
        <v>457</v>
      </c>
      <c r="F87" s="20" t="s">
        <v>458</v>
      </c>
      <c r="G87" s="8" t="str">
        <f t="shared" si="2"/>
        <v>MOSES BRADLEY</v>
      </c>
      <c r="H87" s="20" t="str">
        <f t="shared" si="3"/>
        <v>4045</v>
      </c>
    </row>
    <row r="88" spans="1:8" x14ac:dyDescent="0.25">
      <c r="A88" s="8">
        <v>43001.413368055553</v>
      </c>
      <c r="B88" s="20" t="s">
        <v>425</v>
      </c>
      <c r="C88" s="20" t="s">
        <v>692</v>
      </c>
      <c r="D88" s="138">
        <v>3180000</v>
      </c>
      <c r="E88" s="20" t="s">
        <v>484</v>
      </c>
      <c r="F88" s="20" t="s">
        <v>485</v>
      </c>
      <c r="G88" s="8" t="str">
        <f t="shared" si="2"/>
        <v>HUFFSMITH MONTY</v>
      </c>
      <c r="H88" s="20" t="str">
        <f t="shared" si="3"/>
        <v>4024</v>
      </c>
    </row>
    <row r="89" spans="1:8" x14ac:dyDescent="0.25">
      <c r="A89" s="8">
        <v>43001.4141087963</v>
      </c>
      <c r="B89" s="20" t="s">
        <v>518</v>
      </c>
      <c r="C89" s="20" t="s">
        <v>693</v>
      </c>
      <c r="D89" s="138">
        <v>3030000</v>
      </c>
      <c r="E89" s="20" t="s">
        <v>694</v>
      </c>
      <c r="F89" s="20" t="s">
        <v>642</v>
      </c>
      <c r="G89" s="8" t="str">
        <f t="shared" si="2"/>
        <v>BIRENBAUM THOMAS</v>
      </c>
      <c r="H89" s="20" t="str">
        <f t="shared" si="3"/>
        <v>4053</v>
      </c>
    </row>
    <row r="90" spans="1:8" x14ac:dyDescent="0.25">
      <c r="A90" s="8">
        <v>43001.419942129629</v>
      </c>
      <c r="B90" s="20" t="s">
        <v>528</v>
      </c>
      <c r="C90" s="20" t="s">
        <v>594</v>
      </c>
      <c r="D90" s="138">
        <v>3090000</v>
      </c>
      <c r="E90" s="20" t="s">
        <v>649</v>
      </c>
      <c r="F90" s="20" t="s">
        <v>650</v>
      </c>
      <c r="G90" s="8" t="str">
        <f t="shared" si="2"/>
        <v>LAMAR NEKESHA</v>
      </c>
      <c r="H90" s="20" t="str">
        <f t="shared" si="3"/>
        <v>4014</v>
      </c>
    </row>
    <row r="91" spans="1:8" x14ac:dyDescent="0.25">
      <c r="A91" s="8">
        <v>43001.421412037038</v>
      </c>
      <c r="B91" s="20" t="s">
        <v>418</v>
      </c>
      <c r="C91" s="20" t="s">
        <v>695</v>
      </c>
      <c r="D91" s="138">
        <v>3040000</v>
      </c>
      <c r="E91" s="20" t="s">
        <v>526</v>
      </c>
      <c r="F91" s="20" t="s">
        <v>527</v>
      </c>
      <c r="G91" s="8" t="str">
        <f t="shared" si="2"/>
        <v>WILLIAMS DONTE</v>
      </c>
      <c r="H91" s="20" t="str">
        <f t="shared" si="3"/>
        <v>4057</v>
      </c>
    </row>
    <row r="92" spans="1:8" x14ac:dyDescent="0.25">
      <c r="A92" s="8">
        <v>43001.421574074076</v>
      </c>
      <c r="B92" s="20" t="s">
        <v>528</v>
      </c>
      <c r="C92" s="20" t="s">
        <v>594</v>
      </c>
      <c r="D92" s="138">
        <v>3090000</v>
      </c>
      <c r="E92" s="20" t="s">
        <v>649</v>
      </c>
      <c r="F92" s="20" t="s">
        <v>650</v>
      </c>
      <c r="G92" s="8" t="str">
        <f t="shared" si="2"/>
        <v>LAMAR NEKESHA</v>
      </c>
      <c r="H92" s="20" t="str">
        <f t="shared" si="3"/>
        <v>4014</v>
      </c>
    </row>
    <row r="93" spans="1:8" x14ac:dyDescent="0.25">
      <c r="A93" s="8">
        <v>43001.424733796295</v>
      </c>
      <c r="B93" s="20" t="s">
        <v>437</v>
      </c>
      <c r="C93" s="20" t="s">
        <v>696</v>
      </c>
      <c r="D93" s="138">
        <v>2550000</v>
      </c>
      <c r="E93" s="20" t="s">
        <v>531</v>
      </c>
      <c r="F93" s="20" t="s">
        <v>532</v>
      </c>
      <c r="G93" s="8" t="str">
        <f t="shared" si="2"/>
        <v>BADERTSCHER DIANE</v>
      </c>
      <c r="H93" s="20" t="str">
        <f t="shared" si="3"/>
        <v>4040</v>
      </c>
    </row>
    <row r="94" spans="1:8" x14ac:dyDescent="0.25">
      <c r="A94" s="8">
        <v>43001.426134259258</v>
      </c>
      <c r="B94" s="20" t="s">
        <v>519</v>
      </c>
      <c r="C94" s="20" t="s">
        <v>597</v>
      </c>
      <c r="D94" s="138">
        <v>3260000</v>
      </c>
      <c r="E94" s="20" t="s">
        <v>482</v>
      </c>
      <c r="F94" s="20" t="s">
        <v>483</v>
      </c>
      <c r="G94" s="8" t="str">
        <f t="shared" si="2"/>
        <v>PAGE MARCUS</v>
      </c>
      <c r="H94" s="20" t="str">
        <f t="shared" si="3"/>
        <v>4009</v>
      </c>
    </row>
    <row r="95" spans="1:8" x14ac:dyDescent="0.25">
      <c r="A95" s="8">
        <v>43001.437395833331</v>
      </c>
      <c r="B95" s="20" t="s">
        <v>479</v>
      </c>
      <c r="C95" s="20" t="s">
        <v>689</v>
      </c>
      <c r="D95" s="138">
        <v>2560000</v>
      </c>
      <c r="E95" s="20" t="s">
        <v>641</v>
      </c>
      <c r="F95" s="20" t="s">
        <v>642</v>
      </c>
      <c r="G95" s="8" t="str">
        <f t="shared" si="2"/>
        <v>MACDONALD THOMAS</v>
      </c>
      <c r="H95" s="20" t="str">
        <f t="shared" si="3"/>
        <v>4002</v>
      </c>
    </row>
    <row r="96" spans="1:8" x14ac:dyDescent="0.25">
      <c r="A96" s="8">
        <v>43001.44158564815</v>
      </c>
      <c r="B96" s="20" t="s">
        <v>525</v>
      </c>
      <c r="C96" s="20" t="s">
        <v>595</v>
      </c>
      <c r="D96" s="138">
        <v>3090000</v>
      </c>
      <c r="E96" s="20" t="s">
        <v>649</v>
      </c>
      <c r="F96" s="20" t="s">
        <v>650</v>
      </c>
      <c r="G96" s="8" t="str">
        <f t="shared" si="2"/>
        <v>LAMAR NEKESHA</v>
      </c>
      <c r="H96" s="20" t="str">
        <f t="shared" si="3"/>
        <v>4013</v>
      </c>
    </row>
    <row r="97" spans="1:8" x14ac:dyDescent="0.25">
      <c r="A97" s="8">
        <v>43001.445821759262</v>
      </c>
      <c r="B97" s="20" t="s">
        <v>697</v>
      </c>
      <c r="C97" s="20" t="s">
        <v>624</v>
      </c>
      <c r="D97" s="138">
        <v>2440000</v>
      </c>
      <c r="E97" s="20" t="s">
        <v>539</v>
      </c>
      <c r="F97" s="20" t="s">
        <v>540</v>
      </c>
      <c r="G97" s="8" t="str">
        <f t="shared" si="2"/>
        <v>LOPES KIMBERLY</v>
      </c>
      <c r="H97" s="20" t="str">
        <f t="shared" si="3"/>
        <v>4012</v>
      </c>
    </row>
    <row r="98" spans="1:8" x14ac:dyDescent="0.25">
      <c r="A98" s="8">
        <v>43001.446435185186</v>
      </c>
      <c r="B98" s="20" t="s">
        <v>697</v>
      </c>
      <c r="C98" s="20" t="s">
        <v>624</v>
      </c>
      <c r="D98" s="138">
        <v>2440000</v>
      </c>
      <c r="E98" s="20" t="s">
        <v>539</v>
      </c>
      <c r="F98" s="20" t="s">
        <v>540</v>
      </c>
      <c r="G98" s="8" t="str">
        <f t="shared" si="2"/>
        <v>LOPES KIMBERLY</v>
      </c>
      <c r="H98" s="20" t="str">
        <f t="shared" si="3"/>
        <v>4012</v>
      </c>
    </row>
    <row r="99" spans="1:8" x14ac:dyDescent="0.25">
      <c r="A99" s="8">
        <v>43001.446956018517</v>
      </c>
      <c r="B99" s="20" t="s">
        <v>449</v>
      </c>
      <c r="C99" s="20" t="s">
        <v>596</v>
      </c>
      <c r="D99" s="138">
        <v>1100000</v>
      </c>
      <c r="E99" s="20" t="s">
        <v>480</v>
      </c>
      <c r="F99" s="20" t="s">
        <v>481</v>
      </c>
      <c r="G99" s="8" t="str">
        <f t="shared" si="2"/>
        <v>GEBRETEKLE DAGNEW</v>
      </c>
      <c r="H99" s="20" t="str">
        <f t="shared" si="3"/>
        <v>4027</v>
      </c>
    </row>
    <row r="100" spans="1:8" x14ac:dyDescent="0.25">
      <c r="A100" s="8">
        <v>43001.449270833335</v>
      </c>
      <c r="B100" s="20" t="s">
        <v>664</v>
      </c>
      <c r="C100" s="20" t="s">
        <v>624</v>
      </c>
      <c r="D100" s="138">
        <v>2440000</v>
      </c>
      <c r="E100" s="20" t="s">
        <v>539</v>
      </c>
      <c r="F100" s="20" t="s">
        <v>540</v>
      </c>
      <c r="G100" s="8" t="str">
        <f t="shared" si="2"/>
        <v>LOPES KIMBERLY</v>
      </c>
      <c r="H100" s="20" t="str">
        <f t="shared" si="3"/>
        <v>4011</v>
      </c>
    </row>
    <row r="101" spans="1:8" x14ac:dyDescent="0.25">
      <c r="A101" s="8">
        <v>43001.449849537035</v>
      </c>
      <c r="B101" s="20" t="s">
        <v>629</v>
      </c>
      <c r="C101" s="20" t="s">
        <v>698</v>
      </c>
      <c r="D101" s="138">
        <v>1770000</v>
      </c>
      <c r="E101" s="20" t="s">
        <v>455</v>
      </c>
      <c r="F101" s="20" t="s">
        <v>456</v>
      </c>
      <c r="G101" s="8" t="str">
        <f t="shared" si="2"/>
        <v>BRUDER RICHARD</v>
      </c>
      <c r="H101" s="20" t="str">
        <f t="shared" si="3"/>
        <v>4046</v>
      </c>
    </row>
    <row r="102" spans="1:8" x14ac:dyDescent="0.25">
      <c r="A102" s="8">
        <v>43001.449988425928</v>
      </c>
      <c r="B102" s="20" t="s">
        <v>664</v>
      </c>
      <c r="C102" s="20" t="s">
        <v>624</v>
      </c>
      <c r="D102" s="138">
        <v>2440000</v>
      </c>
      <c r="E102" s="20" t="s">
        <v>539</v>
      </c>
      <c r="F102" s="20" t="s">
        <v>540</v>
      </c>
      <c r="G102" s="8" t="str">
        <f t="shared" si="2"/>
        <v>LOPES KIMBERLY</v>
      </c>
      <c r="H102" s="20" t="str">
        <f t="shared" si="3"/>
        <v>4011</v>
      </c>
    </row>
    <row r="103" spans="1:8" x14ac:dyDescent="0.25">
      <c r="A103" s="8">
        <v>43001.450775462959</v>
      </c>
      <c r="B103" s="20" t="s">
        <v>664</v>
      </c>
      <c r="C103" s="20" t="s">
        <v>624</v>
      </c>
      <c r="D103" s="138">
        <v>2440000</v>
      </c>
      <c r="E103" s="20" t="s">
        <v>539</v>
      </c>
      <c r="F103" s="20" t="s">
        <v>540</v>
      </c>
      <c r="G103" s="8" t="str">
        <f t="shared" si="2"/>
        <v>LOPES KIMBERLY</v>
      </c>
      <c r="H103" s="20" t="str">
        <f t="shared" si="3"/>
        <v>4011</v>
      </c>
    </row>
    <row r="104" spans="1:8" x14ac:dyDescent="0.25">
      <c r="A104" s="8">
        <v>43001.453043981484</v>
      </c>
      <c r="B104" s="20" t="s">
        <v>697</v>
      </c>
      <c r="C104" s="20" t="s">
        <v>699</v>
      </c>
      <c r="D104" s="138">
        <v>2440000</v>
      </c>
      <c r="E104" s="20" t="s">
        <v>539</v>
      </c>
      <c r="F104" s="20" t="s">
        <v>540</v>
      </c>
      <c r="G104" s="8" t="str">
        <f t="shared" si="2"/>
        <v>LOPES KIMBERLY</v>
      </c>
      <c r="H104" s="20" t="str">
        <f t="shared" si="3"/>
        <v>4012</v>
      </c>
    </row>
    <row r="105" spans="1:8" x14ac:dyDescent="0.25">
      <c r="A105" s="8">
        <v>43001.455983796295</v>
      </c>
      <c r="B105" s="20" t="s">
        <v>424</v>
      </c>
      <c r="C105" s="20" t="s">
        <v>700</v>
      </c>
      <c r="D105" s="138">
        <v>3180000</v>
      </c>
      <c r="E105" s="20" t="s">
        <v>484</v>
      </c>
      <c r="F105" s="20" t="s">
        <v>485</v>
      </c>
      <c r="G105" s="8" t="str">
        <f t="shared" si="2"/>
        <v>HUFFSMITH MONTY</v>
      </c>
      <c r="H105" s="20" t="str">
        <f t="shared" si="3"/>
        <v>4023</v>
      </c>
    </row>
    <row r="106" spans="1:8" x14ac:dyDescent="0.25">
      <c r="A106" s="8">
        <v>43001.461412037039</v>
      </c>
      <c r="B106" s="20" t="s">
        <v>601</v>
      </c>
      <c r="C106" s="20" t="s">
        <v>701</v>
      </c>
      <c r="D106" s="138">
        <v>2370000</v>
      </c>
      <c r="E106" s="20" t="s">
        <v>486</v>
      </c>
      <c r="F106" s="20" t="s">
        <v>487</v>
      </c>
      <c r="G106" s="8" t="str">
        <f t="shared" si="2"/>
        <v>DELGADO DIANAH</v>
      </c>
      <c r="H106" s="20" t="str">
        <f t="shared" si="3"/>
        <v>4026</v>
      </c>
    </row>
    <row r="107" spans="1:8" x14ac:dyDescent="0.25">
      <c r="A107" s="8">
        <v>43001.461956018517</v>
      </c>
      <c r="B107" s="20" t="s">
        <v>528</v>
      </c>
      <c r="C107" s="20" t="s">
        <v>598</v>
      </c>
      <c r="D107" s="138">
        <v>3090000</v>
      </c>
      <c r="E107" s="20" t="s">
        <v>649</v>
      </c>
      <c r="F107" s="20" t="s">
        <v>650</v>
      </c>
      <c r="G107" s="8" t="str">
        <f t="shared" si="2"/>
        <v>LAMAR NEKESHA</v>
      </c>
      <c r="H107" s="20" t="str">
        <f t="shared" si="3"/>
        <v>4014</v>
      </c>
    </row>
    <row r="108" spans="1:8" x14ac:dyDescent="0.25">
      <c r="A108" s="8">
        <v>43001.464479166665</v>
      </c>
      <c r="B108" s="20" t="s">
        <v>609</v>
      </c>
      <c r="C108" s="20" t="s">
        <v>701</v>
      </c>
      <c r="D108" s="138">
        <v>2370000</v>
      </c>
      <c r="E108" s="20" t="s">
        <v>486</v>
      </c>
      <c r="F108" s="20" t="s">
        <v>487</v>
      </c>
      <c r="G108" s="8" t="str">
        <f t="shared" si="2"/>
        <v>DELGADO DIANAH</v>
      </c>
      <c r="H108" s="20" t="str">
        <f t="shared" si="3"/>
        <v>4025</v>
      </c>
    </row>
    <row r="109" spans="1:8" x14ac:dyDescent="0.25">
      <c r="A109" s="8">
        <v>43001.465601851851</v>
      </c>
      <c r="B109" s="20" t="s">
        <v>402</v>
      </c>
      <c r="C109" s="20" t="s">
        <v>702</v>
      </c>
      <c r="D109" s="138">
        <v>920000</v>
      </c>
      <c r="E109" s="20" t="s">
        <v>343</v>
      </c>
      <c r="F109" s="20" t="s">
        <v>190</v>
      </c>
      <c r="G109" s="8" t="str">
        <f t="shared" si="2"/>
        <v>DAVIS MICHAEL</v>
      </c>
      <c r="H109" s="20" t="str">
        <f t="shared" si="3"/>
        <v>4058</v>
      </c>
    </row>
    <row r="110" spans="1:8" x14ac:dyDescent="0.25">
      <c r="A110" s="8">
        <v>43001.469143518516</v>
      </c>
      <c r="B110" s="20" t="s">
        <v>519</v>
      </c>
      <c r="C110" s="20" t="s">
        <v>597</v>
      </c>
      <c r="D110" s="138">
        <v>3260000</v>
      </c>
      <c r="E110" s="20" t="s">
        <v>482</v>
      </c>
      <c r="F110" s="20" t="s">
        <v>483</v>
      </c>
      <c r="G110" s="8" t="str">
        <f t="shared" si="2"/>
        <v>PAGE MARCUS</v>
      </c>
      <c r="H110" s="20" t="str">
        <f t="shared" si="3"/>
        <v>4009</v>
      </c>
    </row>
    <row r="111" spans="1:8" x14ac:dyDescent="0.25">
      <c r="A111" s="8">
        <v>43001.472326388888</v>
      </c>
      <c r="B111" s="20" t="s">
        <v>479</v>
      </c>
      <c r="C111" s="20" t="s">
        <v>689</v>
      </c>
      <c r="D111" s="138">
        <v>2560000</v>
      </c>
      <c r="E111" s="20" t="s">
        <v>641</v>
      </c>
      <c r="F111" s="20" t="s">
        <v>642</v>
      </c>
      <c r="G111" s="8" t="str">
        <f t="shared" si="2"/>
        <v>MACDONALD THOMAS</v>
      </c>
      <c r="H111" s="20" t="str">
        <f t="shared" si="3"/>
        <v>4002</v>
      </c>
    </row>
    <row r="112" spans="1:8" x14ac:dyDescent="0.25">
      <c r="A112" s="8">
        <v>43001.475648148145</v>
      </c>
      <c r="B112" s="20" t="s">
        <v>601</v>
      </c>
      <c r="C112" s="20" t="s">
        <v>703</v>
      </c>
      <c r="D112" s="138">
        <v>2630000</v>
      </c>
      <c r="E112" s="20" t="s">
        <v>704</v>
      </c>
      <c r="F112" s="20" t="s">
        <v>705</v>
      </c>
      <c r="G112" s="8" t="str">
        <f t="shared" si="2"/>
        <v>SAFIEF AEIMEN</v>
      </c>
      <c r="H112" s="20" t="str">
        <f t="shared" si="3"/>
        <v>4026</v>
      </c>
    </row>
    <row r="113" spans="1:8" x14ac:dyDescent="0.25">
      <c r="A113" s="8">
        <v>43001.478356481479</v>
      </c>
      <c r="B113" s="20" t="s">
        <v>434</v>
      </c>
      <c r="C113" s="20" t="s">
        <v>706</v>
      </c>
      <c r="D113" s="138">
        <v>2550000</v>
      </c>
      <c r="E113" s="20" t="s">
        <v>531</v>
      </c>
      <c r="F113" s="20" t="s">
        <v>532</v>
      </c>
      <c r="G113" s="8" t="str">
        <f t="shared" si="2"/>
        <v>BADERTSCHER DIANE</v>
      </c>
      <c r="H113" s="20" t="str">
        <f t="shared" si="3"/>
        <v>4039</v>
      </c>
    </row>
    <row r="114" spans="1:8" x14ac:dyDescent="0.25">
      <c r="A114" s="8">
        <v>43001.480729166666</v>
      </c>
      <c r="B114" s="20" t="s">
        <v>479</v>
      </c>
      <c r="C114" s="20" t="s">
        <v>707</v>
      </c>
      <c r="D114" s="138">
        <v>2560000</v>
      </c>
      <c r="E114" s="20" t="s">
        <v>641</v>
      </c>
      <c r="F114" s="20" t="s">
        <v>642</v>
      </c>
      <c r="G114" s="8" t="str">
        <f t="shared" si="2"/>
        <v>MACDONALD THOMAS</v>
      </c>
      <c r="H114" s="20" t="str">
        <f t="shared" si="3"/>
        <v>4002</v>
      </c>
    </row>
    <row r="115" spans="1:8" x14ac:dyDescent="0.25">
      <c r="A115" s="8">
        <v>43001.481215277781</v>
      </c>
      <c r="B115" s="20" t="s">
        <v>479</v>
      </c>
      <c r="C115" s="20" t="s">
        <v>707</v>
      </c>
      <c r="D115" s="138">
        <v>2560000</v>
      </c>
      <c r="E115" s="20" t="s">
        <v>641</v>
      </c>
      <c r="F115" s="20" t="s">
        <v>642</v>
      </c>
      <c r="G115" s="8" t="str">
        <f t="shared" si="2"/>
        <v>MACDONALD THOMAS</v>
      </c>
      <c r="H115" s="20" t="str">
        <f t="shared" si="3"/>
        <v>4002</v>
      </c>
    </row>
    <row r="116" spans="1:8" x14ac:dyDescent="0.25">
      <c r="A116" s="8">
        <v>43001.484236111108</v>
      </c>
      <c r="B116" s="20" t="s">
        <v>525</v>
      </c>
      <c r="C116" s="20" t="s">
        <v>708</v>
      </c>
      <c r="D116" s="138">
        <v>3090000</v>
      </c>
      <c r="E116" s="20" t="s">
        <v>649</v>
      </c>
      <c r="F116" s="20" t="s">
        <v>650</v>
      </c>
      <c r="G116" s="8" t="str">
        <f t="shared" si="2"/>
        <v>LAMAR NEKESHA</v>
      </c>
      <c r="H116" s="20" t="str">
        <f t="shared" si="3"/>
        <v>4013</v>
      </c>
    </row>
    <row r="117" spans="1:8" x14ac:dyDescent="0.25">
      <c r="A117" s="8">
        <v>43001.485694444447</v>
      </c>
      <c r="B117" s="20" t="s">
        <v>436</v>
      </c>
      <c r="C117" s="20" t="s">
        <v>709</v>
      </c>
      <c r="D117" s="138">
        <v>2970000</v>
      </c>
      <c r="E117" s="20" t="s">
        <v>710</v>
      </c>
      <c r="F117" s="20" t="s">
        <v>711</v>
      </c>
      <c r="G117" s="8" t="str">
        <f t="shared" si="2"/>
        <v>GUZMAN DANNY</v>
      </c>
      <c r="H117" s="20" t="str">
        <f t="shared" si="3"/>
        <v>4010</v>
      </c>
    </row>
    <row r="118" spans="1:8" x14ac:dyDescent="0.25">
      <c r="A118" s="8">
        <v>43001.492928240739</v>
      </c>
      <c r="B118" s="20" t="s">
        <v>473</v>
      </c>
      <c r="C118" s="20" t="s">
        <v>707</v>
      </c>
      <c r="D118" s="138">
        <v>2560000</v>
      </c>
      <c r="E118" s="20" t="s">
        <v>641</v>
      </c>
      <c r="F118" s="20" t="s">
        <v>642</v>
      </c>
      <c r="G118" s="8" t="str">
        <f t="shared" si="2"/>
        <v>MACDONALD THOMAS</v>
      </c>
      <c r="H118" s="20" t="str">
        <f t="shared" si="3"/>
        <v>4001</v>
      </c>
    </row>
    <row r="119" spans="1:8" x14ac:dyDescent="0.25">
      <c r="A119" s="8">
        <v>43001.493888888886</v>
      </c>
      <c r="B119" s="20" t="s">
        <v>627</v>
      </c>
      <c r="C119" s="20" t="s">
        <v>712</v>
      </c>
      <c r="D119" s="138">
        <v>1770000</v>
      </c>
      <c r="E119" s="20" t="s">
        <v>455</v>
      </c>
      <c r="F119" s="20" t="s">
        <v>456</v>
      </c>
      <c r="G119" s="8" t="str">
        <f t="shared" si="2"/>
        <v>BRUDER RICHARD</v>
      </c>
      <c r="H119" s="20" t="str">
        <f t="shared" si="3"/>
        <v>4045</v>
      </c>
    </row>
    <row r="120" spans="1:8" x14ac:dyDescent="0.25">
      <c r="A120" s="8">
        <v>43001.494710648149</v>
      </c>
      <c r="B120" s="20" t="s">
        <v>407</v>
      </c>
      <c r="C120" s="20" t="s">
        <v>713</v>
      </c>
      <c r="D120" s="138">
        <v>2600000</v>
      </c>
      <c r="E120" s="20" t="s">
        <v>534</v>
      </c>
      <c r="F120" s="20" t="s">
        <v>535</v>
      </c>
      <c r="G120" s="8" t="str">
        <f t="shared" si="2"/>
        <v>DAVIDSON DAVID</v>
      </c>
      <c r="H120" s="20" t="str">
        <f t="shared" si="3"/>
        <v>4028</v>
      </c>
    </row>
    <row r="121" spans="1:8" x14ac:dyDescent="0.25">
      <c r="A121" s="8">
        <v>43001.500891203701</v>
      </c>
      <c r="B121" s="20" t="s">
        <v>664</v>
      </c>
      <c r="C121" s="20" t="s">
        <v>714</v>
      </c>
      <c r="D121" s="138">
        <v>2440000</v>
      </c>
      <c r="E121" s="20" t="s">
        <v>539</v>
      </c>
      <c r="F121" s="20" t="s">
        <v>540</v>
      </c>
      <c r="G121" s="8" t="str">
        <f t="shared" si="2"/>
        <v>LOPES KIMBERLY</v>
      </c>
      <c r="H121" s="20" t="str">
        <f t="shared" si="3"/>
        <v>4011</v>
      </c>
    </row>
    <row r="122" spans="1:8" x14ac:dyDescent="0.25">
      <c r="A122" s="8">
        <v>43001.50277777778</v>
      </c>
      <c r="B122" s="25" t="s">
        <v>425</v>
      </c>
      <c r="C122" s="20" t="s">
        <v>715</v>
      </c>
      <c r="D122" s="138">
        <v>2350000</v>
      </c>
      <c r="E122" s="20" t="s">
        <v>488</v>
      </c>
      <c r="F122" s="20" t="s">
        <v>489</v>
      </c>
      <c r="G122" s="8" t="str">
        <f t="shared" si="2"/>
        <v>BERLING GARY</v>
      </c>
      <c r="H122" s="20" t="str">
        <f t="shared" si="3"/>
        <v>4024</v>
      </c>
    </row>
    <row r="123" spans="1:8" x14ac:dyDescent="0.25">
      <c r="A123" s="8">
        <v>43001.503206018519</v>
      </c>
      <c r="B123" s="20" t="s">
        <v>528</v>
      </c>
      <c r="C123" s="20" t="s">
        <v>716</v>
      </c>
      <c r="D123" s="138">
        <v>3090000</v>
      </c>
      <c r="E123" s="20" t="s">
        <v>649</v>
      </c>
      <c r="F123" s="20" t="s">
        <v>650</v>
      </c>
      <c r="G123" s="8" t="str">
        <f t="shared" si="2"/>
        <v>LAMAR NEKESHA</v>
      </c>
      <c r="H123" s="20" t="str">
        <f t="shared" si="3"/>
        <v>4014</v>
      </c>
    </row>
    <row r="124" spans="1:8" x14ac:dyDescent="0.25">
      <c r="A124" s="8">
        <v>43001.507210648146</v>
      </c>
      <c r="B124" s="20" t="s">
        <v>418</v>
      </c>
      <c r="C124" s="20" t="s">
        <v>717</v>
      </c>
      <c r="D124" s="138">
        <v>920000</v>
      </c>
      <c r="E124" s="20" t="s">
        <v>343</v>
      </c>
      <c r="F124" s="20" t="s">
        <v>190</v>
      </c>
      <c r="G124" s="8" t="str">
        <f t="shared" si="2"/>
        <v>DAVIS MICHAEL</v>
      </c>
      <c r="H124" s="20" t="str">
        <f t="shared" si="3"/>
        <v>4057</v>
      </c>
    </row>
    <row r="125" spans="1:8" x14ac:dyDescent="0.25">
      <c r="A125" s="8">
        <v>43001.515347222223</v>
      </c>
      <c r="B125" s="20" t="s">
        <v>609</v>
      </c>
      <c r="C125" s="20" t="s">
        <v>718</v>
      </c>
      <c r="D125" s="138">
        <v>2630000</v>
      </c>
      <c r="E125" s="20" t="s">
        <v>704</v>
      </c>
      <c r="F125" s="20" t="s">
        <v>705</v>
      </c>
      <c r="G125" s="8" t="str">
        <f t="shared" si="2"/>
        <v>SAFIEF AEIMEN</v>
      </c>
      <c r="H125" s="20" t="str">
        <f t="shared" si="3"/>
        <v>4025</v>
      </c>
    </row>
    <row r="126" spans="1:8" x14ac:dyDescent="0.25">
      <c r="A126" s="8">
        <v>43001.516238425924</v>
      </c>
      <c r="B126" s="20" t="s">
        <v>437</v>
      </c>
      <c r="C126" s="20" t="s">
        <v>719</v>
      </c>
      <c r="D126" s="138">
        <v>2550000</v>
      </c>
      <c r="E126" s="20" t="s">
        <v>531</v>
      </c>
      <c r="F126" s="20" t="s">
        <v>532</v>
      </c>
      <c r="G126" s="8" t="str">
        <f t="shared" si="2"/>
        <v>BADERTSCHER DIANE</v>
      </c>
      <c r="H126" s="20" t="str">
        <f t="shared" si="3"/>
        <v>4040</v>
      </c>
    </row>
    <row r="127" spans="1:8" x14ac:dyDescent="0.25">
      <c r="A127" s="8">
        <v>43001.525983796295</v>
      </c>
      <c r="B127" s="20" t="s">
        <v>519</v>
      </c>
      <c r="C127" s="20" t="s">
        <v>720</v>
      </c>
      <c r="D127" s="138">
        <v>2970000</v>
      </c>
      <c r="E127" s="20" t="s">
        <v>710</v>
      </c>
      <c r="F127" s="20" t="s">
        <v>711</v>
      </c>
      <c r="G127" s="8" t="str">
        <f t="shared" si="2"/>
        <v>GUZMAN DANNY</v>
      </c>
      <c r="H127" s="20" t="str">
        <f t="shared" si="3"/>
        <v>4009</v>
      </c>
    </row>
    <row r="128" spans="1:8" x14ac:dyDescent="0.25">
      <c r="A128" s="8">
        <v>43001.52616898148</v>
      </c>
      <c r="B128" s="20" t="s">
        <v>525</v>
      </c>
      <c r="C128" s="20" t="s">
        <v>721</v>
      </c>
      <c r="D128" s="138">
        <v>3090000</v>
      </c>
      <c r="E128" s="20" t="s">
        <v>649</v>
      </c>
      <c r="F128" s="20" t="s">
        <v>650</v>
      </c>
      <c r="G128" s="8" t="str">
        <f t="shared" si="2"/>
        <v>LAMAR NEKESHA</v>
      </c>
      <c r="H128" s="20" t="str">
        <f t="shared" si="3"/>
        <v>4013</v>
      </c>
    </row>
    <row r="129" spans="1:8" x14ac:dyDescent="0.25">
      <c r="A129" s="8">
        <v>43001.527071759258</v>
      </c>
      <c r="B129" s="20" t="s">
        <v>479</v>
      </c>
      <c r="C129" s="20" t="s">
        <v>722</v>
      </c>
      <c r="D129" s="138">
        <v>2420000</v>
      </c>
      <c r="E129" s="20" t="s">
        <v>490</v>
      </c>
      <c r="F129" s="20" t="s">
        <v>491</v>
      </c>
      <c r="G129" s="8" t="str">
        <f t="shared" si="2"/>
        <v>HOLCOMB KAMDEN</v>
      </c>
      <c r="H129" s="20" t="str">
        <f t="shared" si="3"/>
        <v>4002</v>
      </c>
    </row>
    <row r="130" spans="1:8" x14ac:dyDescent="0.25">
      <c r="A130" s="8">
        <v>43001.529594907406</v>
      </c>
      <c r="B130" s="20" t="s">
        <v>449</v>
      </c>
      <c r="C130" s="20" t="s">
        <v>723</v>
      </c>
      <c r="D130" s="138">
        <v>2600000</v>
      </c>
      <c r="E130" s="20" t="s">
        <v>534</v>
      </c>
      <c r="F130" s="20" t="s">
        <v>535</v>
      </c>
      <c r="G130" s="8" t="str">
        <f t="shared" si="2"/>
        <v>DAVIDSON DAVID</v>
      </c>
      <c r="H130" s="20" t="str">
        <f t="shared" si="3"/>
        <v>4027</v>
      </c>
    </row>
    <row r="131" spans="1:8" x14ac:dyDescent="0.25">
      <c r="A131" s="8">
        <v>43001.539375</v>
      </c>
      <c r="B131" s="20" t="s">
        <v>402</v>
      </c>
      <c r="C131" s="20" t="s">
        <v>724</v>
      </c>
      <c r="D131" s="138">
        <v>920000</v>
      </c>
      <c r="E131" s="20" t="s">
        <v>343</v>
      </c>
      <c r="F131" s="20" t="s">
        <v>190</v>
      </c>
      <c r="G131" s="8" t="str">
        <f t="shared" ref="G131:G194" si="4">E131&amp;" "&amp;F131</f>
        <v>DAVIS MICHAEL</v>
      </c>
      <c r="H131" s="20" t="str">
        <f t="shared" ref="H131:H194" si="5">MID(B131,13,4)</f>
        <v>4058</v>
      </c>
    </row>
    <row r="132" spans="1:8" x14ac:dyDescent="0.25">
      <c r="A132" s="8">
        <v>43001.541215277779</v>
      </c>
      <c r="B132" s="20" t="s">
        <v>528</v>
      </c>
      <c r="C132" s="20" t="s">
        <v>725</v>
      </c>
      <c r="D132" s="138">
        <v>3090000</v>
      </c>
      <c r="E132" s="20" t="s">
        <v>649</v>
      </c>
      <c r="F132" s="20" t="s">
        <v>650</v>
      </c>
      <c r="G132" s="8" t="str">
        <f t="shared" si="4"/>
        <v>LAMAR NEKESHA</v>
      </c>
      <c r="H132" s="20" t="str">
        <f t="shared" si="5"/>
        <v>4014</v>
      </c>
    </row>
    <row r="133" spans="1:8" x14ac:dyDescent="0.25">
      <c r="A133" s="8">
        <v>43001.546134259261</v>
      </c>
      <c r="B133" s="20" t="s">
        <v>424</v>
      </c>
      <c r="C133" s="20" t="s">
        <v>726</v>
      </c>
      <c r="D133" s="138">
        <v>2350000</v>
      </c>
      <c r="E133" s="20" t="s">
        <v>488</v>
      </c>
      <c r="F133" s="20" t="s">
        <v>489</v>
      </c>
      <c r="G133" s="8" t="str">
        <f t="shared" si="4"/>
        <v>BERLING GARY</v>
      </c>
      <c r="H133" s="20" t="str">
        <f t="shared" si="5"/>
        <v>4023</v>
      </c>
    </row>
    <row r="134" spans="1:8" x14ac:dyDescent="0.25">
      <c r="A134" s="8">
        <v>43001.548634259256</v>
      </c>
      <c r="B134" s="20" t="s">
        <v>601</v>
      </c>
      <c r="C134" s="20" t="s">
        <v>727</v>
      </c>
      <c r="D134" s="138">
        <v>2630000</v>
      </c>
      <c r="E134" s="20" t="s">
        <v>704</v>
      </c>
      <c r="F134" s="20" t="s">
        <v>705</v>
      </c>
      <c r="G134" s="8" t="str">
        <f t="shared" si="4"/>
        <v>SAFIEF AEIMEN</v>
      </c>
      <c r="H134" s="20" t="str">
        <f t="shared" si="5"/>
        <v>4026</v>
      </c>
    </row>
    <row r="135" spans="1:8" x14ac:dyDescent="0.25">
      <c r="A135" s="8">
        <v>43001.554085648146</v>
      </c>
      <c r="B135" s="20" t="s">
        <v>434</v>
      </c>
      <c r="C135" s="20" t="s">
        <v>728</v>
      </c>
      <c r="D135" s="138">
        <v>2550000</v>
      </c>
      <c r="E135" s="20" t="s">
        <v>531</v>
      </c>
      <c r="F135" s="20" t="s">
        <v>532</v>
      </c>
      <c r="G135" s="8" t="str">
        <f t="shared" si="4"/>
        <v>BADERTSCHER DIANE</v>
      </c>
      <c r="H135" s="20" t="str">
        <f t="shared" si="5"/>
        <v>4039</v>
      </c>
    </row>
    <row r="136" spans="1:8" x14ac:dyDescent="0.25">
      <c r="A136" s="8">
        <v>43001.558159722219</v>
      </c>
      <c r="B136" s="20" t="s">
        <v>436</v>
      </c>
      <c r="C136" s="20" t="s">
        <v>729</v>
      </c>
      <c r="D136" s="138">
        <v>2970000</v>
      </c>
      <c r="E136" s="20" t="s">
        <v>710</v>
      </c>
      <c r="F136" s="20" t="s">
        <v>711</v>
      </c>
      <c r="G136" s="8" t="str">
        <f t="shared" si="4"/>
        <v>GUZMAN DANNY</v>
      </c>
      <c r="H136" s="20" t="str">
        <f t="shared" si="5"/>
        <v>4010</v>
      </c>
    </row>
    <row r="137" spans="1:8" x14ac:dyDescent="0.25">
      <c r="A137" s="8">
        <v>43001.567789351851</v>
      </c>
      <c r="B137" s="20" t="s">
        <v>525</v>
      </c>
      <c r="C137" s="20" t="s">
        <v>599</v>
      </c>
      <c r="D137" s="138">
        <v>3090000</v>
      </c>
      <c r="E137" s="20" t="s">
        <v>649</v>
      </c>
      <c r="F137" s="20" t="s">
        <v>650</v>
      </c>
      <c r="G137" s="8" t="str">
        <f t="shared" si="4"/>
        <v>LAMAR NEKESHA</v>
      </c>
      <c r="H137" s="20" t="str">
        <f t="shared" si="5"/>
        <v>4013</v>
      </c>
    </row>
    <row r="138" spans="1:8" x14ac:dyDescent="0.25">
      <c r="A138" s="8">
        <v>43001.56790509259</v>
      </c>
      <c r="B138" s="20" t="s">
        <v>473</v>
      </c>
      <c r="C138" s="20" t="s">
        <v>730</v>
      </c>
      <c r="D138" s="138">
        <v>2420000</v>
      </c>
      <c r="E138" s="20" t="s">
        <v>490</v>
      </c>
      <c r="F138" s="20" t="s">
        <v>491</v>
      </c>
      <c r="G138" s="8" t="str">
        <f t="shared" si="4"/>
        <v>HOLCOMB KAMDEN</v>
      </c>
      <c r="H138" s="20" t="str">
        <f t="shared" si="5"/>
        <v>4001</v>
      </c>
    </row>
    <row r="139" spans="1:8" x14ac:dyDescent="0.25">
      <c r="A139" s="8">
        <v>43001.569027777776</v>
      </c>
      <c r="B139" s="20" t="s">
        <v>407</v>
      </c>
      <c r="C139" s="20" t="s">
        <v>731</v>
      </c>
      <c r="D139" s="138">
        <v>2600000</v>
      </c>
      <c r="E139" s="20" t="s">
        <v>534</v>
      </c>
      <c r="F139" s="20" t="s">
        <v>535</v>
      </c>
      <c r="G139" s="8" t="str">
        <f t="shared" si="4"/>
        <v>DAVIDSON DAVID</v>
      </c>
      <c r="H139" s="20" t="str">
        <f t="shared" si="5"/>
        <v>4028</v>
      </c>
    </row>
    <row r="140" spans="1:8" x14ac:dyDescent="0.25">
      <c r="A140" s="8">
        <v>43001.57980324074</v>
      </c>
      <c r="B140" s="20" t="s">
        <v>418</v>
      </c>
      <c r="C140" s="20" t="s">
        <v>600</v>
      </c>
      <c r="D140" s="138">
        <v>920000</v>
      </c>
      <c r="E140" s="20" t="s">
        <v>343</v>
      </c>
      <c r="F140" s="20" t="s">
        <v>190</v>
      </c>
      <c r="G140" s="8" t="str">
        <f t="shared" si="4"/>
        <v>DAVIS MICHAEL</v>
      </c>
      <c r="H140" s="20" t="str">
        <f t="shared" si="5"/>
        <v>4057</v>
      </c>
    </row>
    <row r="141" spans="1:8" x14ac:dyDescent="0.25">
      <c r="A141" s="8">
        <v>43001.580081018517</v>
      </c>
      <c r="B141" s="20" t="s">
        <v>425</v>
      </c>
      <c r="C141" s="20" t="s">
        <v>732</v>
      </c>
      <c r="D141" s="138">
        <v>2350000</v>
      </c>
      <c r="E141" s="20" t="s">
        <v>488</v>
      </c>
      <c r="F141" s="20" t="s">
        <v>489</v>
      </c>
      <c r="G141" s="8" t="str">
        <f t="shared" si="4"/>
        <v>BERLING GARY</v>
      </c>
      <c r="H141" s="20" t="str">
        <f t="shared" si="5"/>
        <v>4024</v>
      </c>
    </row>
    <row r="142" spans="1:8" x14ac:dyDescent="0.25">
      <c r="A142" s="8">
        <v>43001.581296296295</v>
      </c>
      <c r="B142" s="20" t="s">
        <v>609</v>
      </c>
      <c r="C142" s="20" t="s">
        <v>733</v>
      </c>
      <c r="D142" s="138">
        <v>2630000</v>
      </c>
      <c r="E142" s="20" t="s">
        <v>704</v>
      </c>
      <c r="F142" s="20" t="s">
        <v>705</v>
      </c>
      <c r="G142" s="8" t="str">
        <f t="shared" si="4"/>
        <v>SAFIEF AEIMEN</v>
      </c>
      <c r="H142" s="20" t="str">
        <f t="shared" si="5"/>
        <v>4025</v>
      </c>
    </row>
    <row r="143" spans="1:8" x14ac:dyDescent="0.25">
      <c r="A143" s="8">
        <v>43001.583483796298</v>
      </c>
      <c r="B143" s="20" t="s">
        <v>528</v>
      </c>
      <c r="C143" s="20" t="s">
        <v>734</v>
      </c>
      <c r="D143" s="138">
        <v>2230000</v>
      </c>
      <c r="E143" s="20" t="s">
        <v>735</v>
      </c>
      <c r="F143" s="20" t="s">
        <v>190</v>
      </c>
      <c r="G143" s="8" t="str">
        <f t="shared" si="4"/>
        <v>SMITH MICHAEL</v>
      </c>
      <c r="H143" s="20" t="str">
        <f t="shared" si="5"/>
        <v>4014</v>
      </c>
    </row>
    <row r="144" spans="1:8" x14ac:dyDescent="0.25">
      <c r="A144" s="8">
        <v>43001.591574074075</v>
      </c>
      <c r="B144" s="20" t="s">
        <v>437</v>
      </c>
      <c r="C144" s="20" t="s">
        <v>736</v>
      </c>
      <c r="D144" s="138">
        <v>1770000</v>
      </c>
      <c r="E144" s="20" t="s">
        <v>455</v>
      </c>
      <c r="F144" s="20" t="s">
        <v>456</v>
      </c>
      <c r="G144" s="8" t="str">
        <f t="shared" si="4"/>
        <v>BRUDER RICHARD</v>
      </c>
      <c r="H144" s="20" t="str">
        <f t="shared" si="5"/>
        <v>4040</v>
      </c>
    </row>
    <row r="145" spans="1:8" x14ac:dyDescent="0.25">
      <c r="A145" s="8">
        <v>43001.591597222221</v>
      </c>
      <c r="B145" s="20" t="s">
        <v>519</v>
      </c>
      <c r="C145" s="20" t="s">
        <v>737</v>
      </c>
      <c r="D145" s="138">
        <v>2970000</v>
      </c>
      <c r="E145" s="20" t="s">
        <v>710</v>
      </c>
      <c r="F145" s="20" t="s">
        <v>711</v>
      </c>
      <c r="G145" s="8" t="str">
        <f t="shared" si="4"/>
        <v>GUZMAN DANNY</v>
      </c>
      <c r="H145" s="20" t="str">
        <f t="shared" si="5"/>
        <v>4009</v>
      </c>
    </row>
    <row r="146" spans="1:8" x14ac:dyDescent="0.25">
      <c r="A146" s="8">
        <v>43001.599328703705</v>
      </c>
      <c r="B146" s="20" t="s">
        <v>479</v>
      </c>
      <c r="C146" s="20" t="s">
        <v>738</v>
      </c>
      <c r="D146" s="138">
        <v>2420000</v>
      </c>
      <c r="E146" s="20" t="s">
        <v>490</v>
      </c>
      <c r="F146" s="20" t="s">
        <v>491</v>
      </c>
      <c r="G146" s="8" t="str">
        <f t="shared" si="4"/>
        <v>HOLCOMB KAMDEN</v>
      </c>
      <c r="H146" s="20" t="str">
        <f t="shared" si="5"/>
        <v>4002</v>
      </c>
    </row>
    <row r="147" spans="1:8" x14ac:dyDescent="0.25">
      <c r="A147" s="8">
        <v>43001.601041666669</v>
      </c>
      <c r="B147" s="20" t="s">
        <v>449</v>
      </c>
      <c r="C147" s="20" t="s">
        <v>739</v>
      </c>
      <c r="D147" s="138">
        <v>2600000</v>
      </c>
      <c r="E147" s="20" t="s">
        <v>534</v>
      </c>
      <c r="F147" s="20" t="s">
        <v>535</v>
      </c>
      <c r="G147" s="8" t="str">
        <f t="shared" si="4"/>
        <v>DAVIDSON DAVID</v>
      </c>
      <c r="H147" s="20" t="str">
        <f t="shared" si="5"/>
        <v>4027</v>
      </c>
    </row>
    <row r="148" spans="1:8" x14ac:dyDescent="0.25">
      <c r="A148" s="8">
        <v>43001.601712962962</v>
      </c>
      <c r="B148" s="20" t="s">
        <v>525</v>
      </c>
      <c r="C148" s="20" t="s">
        <v>740</v>
      </c>
      <c r="D148" s="138">
        <v>2230000</v>
      </c>
      <c r="E148" s="20" t="s">
        <v>735</v>
      </c>
      <c r="F148" s="20" t="s">
        <v>190</v>
      </c>
      <c r="G148" s="8" t="str">
        <f t="shared" si="4"/>
        <v>SMITH MICHAEL</v>
      </c>
      <c r="H148" s="20" t="str">
        <f t="shared" si="5"/>
        <v>4013</v>
      </c>
    </row>
    <row r="149" spans="1:8" x14ac:dyDescent="0.25">
      <c r="A149" s="8">
        <v>43001.612256944441</v>
      </c>
      <c r="B149" s="20" t="s">
        <v>402</v>
      </c>
      <c r="C149" s="20" t="s">
        <v>603</v>
      </c>
      <c r="D149" s="138">
        <v>920000</v>
      </c>
      <c r="E149" s="20" t="s">
        <v>343</v>
      </c>
      <c r="F149" s="20" t="s">
        <v>190</v>
      </c>
      <c r="G149" s="8" t="str">
        <f t="shared" si="4"/>
        <v>DAVIS MICHAEL</v>
      </c>
      <c r="H149" s="20" t="str">
        <f t="shared" si="5"/>
        <v>4058</v>
      </c>
    </row>
    <row r="150" spans="1:8" x14ac:dyDescent="0.25">
      <c r="A150" s="8">
        <v>43001.619201388887</v>
      </c>
      <c r="B150" s="20" t="s">
        <v>424</v>
      </c>
      <c r="C150" s="20" t="s">
        <v>741</v>
      </c>
      <c r="D150" s="138">
        <v>2350000</v>
      </c>
      <c r="E150" s="20" t="s">
        <v>488</v>
      </c>
      <c r="F150" s="20" t="s">
        <v>489</v>
      </c>
      <c r="G150" s="8" t="str">
        <f t="shared" si="4"/>
        <v>BERLING GARY</v>
      </c>
      <c r="H150" s="20" t="str">
        <f t="shared" si="5"/>
        <v>4023</v>
      </c>
    </row>
    <row r="151" spans="1:8" x14ac:dyDescent="0.25">
      <c r="A151" s="8">
        <v>43001.62232638889</v>
      </c>
      <c r="B151" s="20" t="s">
        <v>601</v>
      </c>
      <c r="C151" s="20" t="s">
        <v>602</v>
      </c>
      <c r="D151" s="138">
        <v>2630000</v>
      </c>
      <c r="E151" s="20" t="s">
        <v>704</v>
      </c>
      <c r="F151" s="20" t="s">
        <v>705</v>
      </c>
      <c r="G151" s="8" t="str">
        <f t="shared" si="4"/>
        <v>SAFIEF AEIMEN</v>
      </c>
      <c r="H151" s="20" t="str">
        <f t="shared" si="5"/>
        <v>4026</v>
      </c>
    </row>
    <row r="152" spans="1:8" x14ac:dyDescent="0.25">
      <c r="A152" s="8">
        <v>43001.626620370371</v>
      </c>
      <c r="B152" s="20" t="s">
        <v>528</v>
      </c>
      <c r="C152" s="20" t="s">
        <v>742</v>
      </c>
      <c r="D152" s="138">
        <v>2230000</v>
      </c>
      <c r="E152" s="20" t="s">
        <v>735</v>
      </c>
      <c r="F152" s="20" t="s">
        <v>190</v>
      </c>
      <c r="G152" s="8" t="str">
        <f t="shared" si="4"/>
        <v>SMITH MICHAEL</v>
      </c>
      <c r="H152" s="20" t="str">
        <f t="shared" si="5"/>
        <v>4014</v>
      </c>
    </row>
    <row r="153" spans="1:8" x14ac:dyDescent="0.25">
      <c r="A153" s="8">
        <v>43001.630740740744</v>
      </c>
      <c r="B153" s="20" t="s">
        <v>436</v>
      </c>
      <c r="C153" s="20" t="s">
        <v>743</v>
      </c>
      <c r="D153" s="138">
        <v>2970000</v>
      </c>
      <c r="E153" s="20" t="s">
        <v>710</v>
      </c>
      <c r="F153" s="20" t="s">
        <v>711</v>
      </c>
      <c r="G153" s="8" t="str">
        <f t="shared" si="4"/>
        <v>GUZMAN DANNY</v>
      </c>
      <c r="H153" s="20" t="str">
        <f t="shared" si="5"/>
        <v>4010</v>
      </c>
    </row>
    <row r="154" spans="1:8" x14ac:dyDescent="0.25">
      <c r="A154" s="8">
        <v>43001.630879629629</v>
      </c>
      <c r="B154" s="20" t="s">
        <v>434</v>
      </c>
      <c r="C154" s="20" t="s">
        <v>604</v>
      </c>
      <c r="D154" s="138">
        <v>1770000</v>
      </c>
      <c r="E154" s="20" t="s">
        <v>455</v>
      </c>
      <c r="F154" s="20" t="s">
        <v>456</v>
      </c>
      <c r="G154" s="8" t="str">
        <f t="shared" si="4"/>
        <v>BRUDER RICHARD</v>
      </c>
      <c r="H154" s="20" t="str">
        <f t="shared" si="5"/>
        <v>4039</v>
      </c>
    </row>
    <row r="155" spans="1:8" x14ac:dyDescent="0.25">
      <c r="A155" s="8">
        <v>43001.640763888892</v>
      </c>
      <c r="B155" s="20" t="s">
        <v>473</v>
      </c>
      <c r="C155" s="20" t="s">
        <v>744</v>
      </c>
      <c r="D155" s="138">
        <v>2420000</v>
      </c>
      <c r="E155" s="20" t="s">
        <v>490</v>
      </c>
      <c r="F155" s="20" t="s">
        <v>491</v>
      </c>
      <c r="G155" s="8" t="str">
        <f t="shared" si="4"/>
        <v>HOLCOMB KAMDEN</v>
      </c>
      <c r="H155" s="20" t="str">
        <f t="shared" si="5"/>
        <v>4001</v>
      </c>
    </row>
    <row r="156" spans="1:8" x14ac:dyDescent="0.25">
      <c r="A156" s="8">
        <v>43001.64261574074</v>
      </c>
      <c r="B156" s="20" t="s">
        <v>407</v>
      </c>
      <c r="C156" s="20" t="s">
        <v>745</v>
      </c>
      <c r="D156" s="138">
        <v>2550000</v>
      </c>
      <c r="E156" s="20" t="s">
        <v>531</v>
      </c>
      <c r="F156" s="20" t="s">
        <v>532</v>
      </c>
      <c r="G156" s="8" t="str">
        <f t="shared" si="4"/>
        <v>BADERTSCHER DIANE</v>
      </c>
      <c r="H156" s="20" t="str">
        <f t="shared" si="5"/>
        <v>4028</v>
      </c>
    </row>
    <row r="157" spans="1:8" x14ac:dyDescent="0.25">
      <c r="A157" s="8">
        <v>43001.645509259259</v>
      </c>
      <c r="B157" s="20" t="s">
        <v>525</v>
      </c>
      <c r="C157" s="20" t="s">
        <v>746</v>
      </c>
      <c r="D157" s="138">
        <v>2230000</v>
      </c>
      <c r="E157" s="20" t="s">
        <v>735</v>
      </c>
      <c r="F157" s="20" t="s">
        <v>190</v>
      </c>
      <c r="G157" s="8" t="str">
        <f t="shared" si="4"/>
        <v>SMITH MICHAEL</v>
      </c>
      <c r="H157" s="20" t="str">
        <f t="shared" si="5"/>
        <v>4013</v>
      </c>
    </row>
    <row r="158" spans="1:8" x14ac:dyDescent="0.25">
      <c r="A158" s="8">
        <v>43001.652858796297</v>
      </c>
      <c r="B158" s="20" t="s">
        <v>425</v>
      </c>
      <c r="C158" s="20" t="s">
        <v>747</v>
      </c>
      <c r="D158" s="138">
        <v>2350000</v>
      </c>
      <c r="E158" s="20" t="s">
        <v>488</v>
      </c>
      <c r="F158" s="20" t="s">
        <v>489</v>
      </c>
      <c r="G158" s="8" t="str">
        <f t="shared" si="4"/>
        <v>BERLING GARY</v>
      </c>
      <c r="H158" s="20" t="str">
        <f t="shared" si="5"/>
        <v>4024</v>
      </c>
    </row>
    <row r="159" spans="1:8" x14ac:dyDescent="0.25">
      <c r="A159" s="8">
        <v>43001.653275462966</v>
      </c>
      <c r="B159" s="20" t="s">
        <v>418</v>
      </c>
      <c r="C159" s="20" t="s">
        <v>748</v>
      </c>
      <c r="D159" s="138">
        <v>920000</v>
      </c>
      <c r="E159" s="20" t="s">
        <v>343</v>
      </c>
      <c r="F159" s="20" t="s">
        <v>190</v>
      </c>
      <c r="G159" s="8" t="str">
        <f t="shared" si="4"/>
        <v>DAVIS MICHAEL</v>
      </c>
      <c r="H159" s="20" t="str">
        <f t="shared" si="5"/>
        <v>4057</v>
      </c>
    </row>
    <row r="160" spans="1:8" x14ac:dyDescent="0.25">
      <c r="A160" s="8">
        <v>43001.654745370368</v>
      </c>
      <c r="B160" s="20" t="s">
        <v>609</v>
      </c>
      <c r="C160" s="20" t="s">
        <v>749</v>
      </c>
      <c r="D160" s="138">
        <v>2630000</v>
      </c>
      <c r="E160" s="20" t="s">
        <v>704</v>
      </c>
      <c r="F160" s="20" t="s">
        <v>705</v>
      </c>
      <c r="G160" s="8" t="str">
        <f t="shared" si="4"/>
        <v>SAFIEF AEIMEN</v>
      </c>
      <c r="H160" s="20" t="str">
        <f t="shared" si="5"/>
        <v>4025</v>
      </c>
    </row>
    <row r="161" spans="1:8" x14ac:dyDescent="0.25">
      <c r="A161" s="8">
        <v>43001.6640625</v>
      </c>
      <c r="B161" s="20" t="s">
        <v>519</v>
      </c>
      <c r="C161" s="20" t="s">
        <v>750</v>
      </c>
      <c r="D161" s="138">
        <v>2970000</v>
      </c>
      <c r="E161" s="20" t="s">
        <v>710</v>
      </c>
      <c r="F161" s="20" t="s">
        <v>711</v>
      </c>
      <c r="G161" s="8" t="str">
        <f t="shared" si="4"/>
        <v>GUZMAN DANNY</v>
      </c>
      <c r="H161" s="20" t="str">
        <f t="shared" si="5"/>
        <v>4009</v>
      </c>
    </row>
    <row r="162" spans="1:8" x14ac:dyDescent="0.25">
      <c r="A162" s="8">
        <v>43001.664085648146</v>
      </c>
      <c r="B162" s="20" t="s">
        <v>437</v>
      </c>
      <c r="C162" s="20" t="s">
        <v>751</v>
      </c>
      <c r="D162" s="138">
        <v>1770000</v>
      </c>
      <c r="E162" s="20" t="s">
        <v>455</v>
      </c>
      <c r="F162" s="20" t="s">
        <v>456</v>
      </c>
      <c r="G162" s="8" t="str">
        <f t="shared" si="4"/>
        <v>BRUDER RICHARD</v>
      </c>
      <c r="H162" s="20" t="str">
        <f t="shared" si="5"/>
        <v>4040</v>
      </c>
    </row>
    <row r="163" spans="1:8" x14ac:dyDescent="0.25">
      <c r="A163" s="8">
        <v>43001.667847222219</v>
      </c>
      <c r="B163" s="20" t="s">
        <v>528</v>
      </c>
      <c r="C163" s="20" t="s">
        <v>752</v>
      </c>
      <c r="D163" s="138">
        <v>2230000</v>
      </c>
      <c r="E163" s="20" t="s">
        <v>735</v>
      </c>
      <c r="F163" s="20" t="s">
        <v>190</v>
      </c>
      <c r="G163" s="8" t="str">
        <f t="shared" si="4"/>
        <v>SMITH MICHAEL</v>
      </c>
      <c r="H163" s="20" t="str">
        <f t="shared" si="5"/>
        <v>4014</v>
      </c>
    </row>
    <row r="164" spans="1:8" x14ac:dyDescent="0.25">
      <c r="A164" s="8">
        <v>43001.676400462966</v>
      </c>
      <c r="B164" s="20" t="s">
        <v>479</v>
      </c>
      <c r="C164" s="20" t="s">
        <v>753</v>
      </c>
      <c r="D164" s="138">
        <v>2420000</v>
      </c>
      <c r="E164" s="20" t="s">
        <v>490</v>
      </c>
      <c r="F164" s="20" t="s">
        <v>491</v>
      </c>
      <c r="G164" s="8" t="str">
        <f t="shared" si="4"/>
        <v>HOLCOMB KAMDEN</v>
      </c>
      <c r="H164" s="20" t="str">
        <f t="shared" si="5"/>
        <v>4002</v>
      </c>
    </row>
    <row r="165" spans="1:8" x14ac:dyDescent="0.25">
      <c r="A165" s="8">
        <v>43001.681284722225</v>
      </c>
      <c r="B165" s="20" t="s">
        <v>449</v>
      </c>
      <c r="C165" s="20" t="s">
        <v>754</v>
      </c>
      <c r="D165" s="138">
        <v>2550000</v>
      </c>
      <c r="E165" s="20" t="s">
        <v>531</v>
      </c>
      <c r="F165" s="20" t="s">
        <v>532</v>
      </c>
      <c r="G165" s="8" t="str">
        <f t="shared" si="4"/>
        <v>BADERTSCHER DIANE</v>
      </c>
      <c r="H165" s="20" t="str">
        <f t="shared" si="5"/>
        <v>4027</v>
      </c>
    </row>
    <row r="166" spans="1:8" x14ac:dyDescent="0.25">
      <c r="A166" s="8">
        <v>43001.685416666667</v>
      </c>
      <c r="B166" s="20" t="s">
        <v>525</v>
      </c>
      <c r="C166" s="20" t="s">
        <v>755</v>
      </c>
      <c r="D166" s="138">
        <v>2230000</v>
      </c>
      <c r="E166" s="20" t="s">
        <v>735</v>
      </c>
      <c r="F166" s="20" t="s">
        <v>190</v>
      </c>
      <c r="G166" s="8" t="str">
        <f t="shared" si="4"/>
        <v>SMITH MICHAEL</v>
      </c>
      <c r="H166" s="20" t="str">
        <f t="shared" si="5"/>
        <v>4013</v>
      </c>
    </row>
    <row r="167" spans="1:8" x14ac:dyDescent="0.25">
      <c r="A167" s="8">
        <v>43001.685590277775</v>
      </c>
      <c r="B167" s="20" t="s">
        <v>402</v>
      </c>
      <c r="C167" s="20" t="s">
        <v>605</v>
      </c>
      <c r="D167" s="138">
        <v>920000</v>
      </c>
      <c r="E167" s="20" t="s">
        <v>343</v>
      </c>
      <c r="F167" s="20" t="s">
        <v>190</v>
      </c>
      <c r="G167" s="8" t="str">
        <f t="shared" si="4"/>
        <v>DAVIS MICHAEL</v>
      </c>
      <c r="H167" s="20" t="str">
        <f t="shared" si="5"/>
        <v>4058</v>
      </c>
    </row>
    <row r="168" spans="1:8" x14ac:dyDescent="0.25">
      <c r="A168" s="8">
        <v>43001.691504629627</v>
      </c>
      <c r="B168" s="20" t="s">
        <v>424</v>
      </c>
      <c r="C168" s="20" t="s">
        <v>756</v>
      </c>
      <c r="D168" s="138">
        <v>2350000</v>
      </c>
      <c r="E168" s="20" t="s">
        <v>488</v>
      </c>
      <c r="F168" s="20" t="s">
        <v>489</v>
      </c>
      <c r="G168" s="8" t="str">
        <f t="shared" si="4"/>
        <v>BERLING GARY</v>
      </c>
      <c r="H168" s="20" t="str">
        <f t="shared" si="5"/>
        <v>4023</v>
      </c>
    </row>
    <row r="169" spans="1:8" x14ac:dyDescent="0.25">
      <c r="A169" s="8">
        <v>43001.693611111114</v>
      </c>
      <c r="B169" s="20" t="s">
        <v>629</v>
      </c>
      <c r="C169" s="20" t="s">
        <v>757</v>
      </c>
      <c r="D169" s="138">
        <v>2370000</v>
      </c>
      <c r="E169" s="20" t="s">
        <v>486</v>
      </c>
      <c r="F169" s="20" t="s">
        <v>487</v>
      </c>
      <c r="G169" s="8" t="str">
        <f t="shared" si="4"/>
        <v>DELGADO DIANAH</v>
      </c>
      <c r="H169" s="20" t="str">
        <f t="shared" si="5"/>
        <v>4046</v>
      </c>
    </row>
    <row r="170" spans="1:8" x14ac:dyDescent="0.25">
      <c r="A170" s="8">
        <v>43001.694074074076</v>
      </c>
      <c r="B170" s="20" t="s">
        <v>697</v>
      </c>
      <c r="C170" s="20" t="s">
        <v>758</v>
      </c>
      <c r="D170" s="138">
        <v>3290000</v>
      </c>
      <c r="E170" s="20" t="s">
        <v>529</v>
      </c>
      <c r="F170" s="20" t="s">
        <v>530</v>
      </c>
      <c r="G170" s="8" t="str">
        <f t="shared" si="4"/>
        <v>CASSIDY BRANDON</v>
      </c>
      <c r="H170" s="20" t="str">
        <f t="shared" si="5"/>
        <v>4012</v>
      </c>
    </row>
    <row r="171" spans="1:8" x14ac:dyDescent="0.25">
      <c r="A171" s="8">
        <v>43001.696076388886</v>
      </c>
      <c r="B171" s="20" t="s">
        <v>601</v>
      </c>
      <c r="C171" s="20" t="s">
        <v>759</v>
      </c>
      <c r="D171" s="138">
        <v>2630000</v>
      </c>
      <c r="E171" s="20" t="s">
        <v>704</v>
      </c>
      <c r="F171" s="20" t="s">
        <v>705</v>
      </c>
      <c r="G171" s="8" t="str">
        <f t="shared" si="4"/>
        <v>SAFIEF AEIMEN</v>
      </c>
      <c r="H171" s="20" t="str">
        <f t="shared" si="5"/>
        <v>4026</v>
      </c>
    </row>
    <row r="172" spans="1:8" x14ac:dyDescent="0.25">
      <c r="A172" s="8">
        <v>43001.699583333335</v>
      </c>
      <c r="B172" s="20" t="s">
        <v>664</v>
      </c>
      <c r="C172" s="20" t="s">
        <v>758</v>
      </c>
      <c r="D172" s="138">
        <v>3290000</v>
      </c>
      <c r="E172" s="20" t="s">
        <v>529</v>
      </c>
      <c r="F172" s="20" t="s">
        <v>530</v>
      </c>
      <c r="G172" s="8" t="str">
        <f t="shared" si="4"/>
        <v>CASSIDY BRANDON</v>
      </c>
      <c r="H172" s="20" t="str">
        <f t="shared" si="5"/>
        <v>4011</v>
      </c>
    </row>
    <row r="173" spans="1:8" x14ac:dyDescent="0.25">
      <c r="A173" s="8">
        <v>43001.703576388885</v>
      </c>
      <c r="B173" s="20" t="s">
        <v>434</v>
      </c>
      <c r="C173" s="20" t="s">
        <v>760</v>
      </c>
      <c r="D173" s="138">
        <v>1770000</v>
      </c>
      <c r="E173" s="20" t="s">
        <v>455</v>
      </c>
      <c r="F173" s="20" t="s">
        <v>456</v>
      </c>
      <c r="G173" s="8" t="str">
        <f t="shared" si="4"/>
        <v>BRUDER RICHARD</v>
      </c>
      <c r="H173" s="20" t="str">
        <f t="shared" si="5"/>
        <v>4039</v>
      </c>
    </row>
    <row r="174" spans="1:8" x14ac:dyDescent="0.25">
      <c r="A174" s="8">
        <v>43001.703599537039</v>
      </c>
      <c r="B174" s="20" t="s">
        <v>436</v>
      </c>
      <c r="C174" s="20" t="s">
        <v>761</v>
      </c>
      <c r="D174" s="138">
        <v>2970000</v>
      </c>
      <c r="E174" s="20" t="s">
        <v>710</v>
      </c>
      <c r="F174" s="20" t="s">
        <v>711</v>
      </c>
      <c r="G174" s="8" t="str">
        <f t="shared" si="4"/>
        <v>GUZMAN DANNY</v>
      </c>
      <c r="H174" s="20" t="str">
        <f t="shared" si="5"/>
        <v>4010</v>
      </c>
    </row>
    <row r="175" spans="1:8" x14ac:dyDescent="0.25">
      <c r="A175" s="8">
        <v>43001.709965277776</v>
      </c>
      <c r="B175" s="20" t="s">
        <v>528</v>
      </c>
      <c r="C175" s="20" t="s">
        <v>762</v>
      </c>
      <c r="D175" s="138">
        <v>2230000</v>
      </c>
      <c r="E175" s="20" t="s">
        <v>735</v>
      </c>
      <c r="F175" s="20" t="s">
        <v>190</v>
      </c>
      <c r="G175" s="8" t="str">
        <f t="shared" si="4"/>
        <v>SMITH MICHAEL</v>
      </c>
      <c r="H175" s="20" t="str">
        <f t="shared" si="5"/>
        <v>4014</v>
      </c>
    </row>
    <row r="176" spans="1:8" x14ac:dyDescent="0.25">
      <c r="A176" s="8">
        <v>43001.715081018519</v>
      </c>
      <c r="B176" s="20" t="s">
        <v>473</v>
      </c>
      <c r="C176" s="20" t="s">
        <v>606</v>
      </c>
      <c r="D176" s="138">
        <v>2420000</v>
      </c>
      <c r="E176" s="20" t="s">
        <v>490</v>
      </c>
      <c r="F176" s="20" t="s">
        <v>491</v>
      </c>
      <c r="G176" s="8" t="str">
        <f t="shared" si="4"/>
        <v>HOLCOMB KAMDEN</v>
      </c>
      <c r="H176" s="20" t="str">
        <f t="shared" si="5"/>
        <v>4001</v>
      </c>
    </row>
    <row r="177" spans="1:8" x14ac:dyDescent="0.25">
      <c r="A177" s="8">
        <v>43001.715821759259</v>
      </c>
      <c r="B177" s="20" t="s">
        <v>407</v>
      </c>
      <c r="C177" s="20" t="s">
        <v>763</v>
      </c>
      <c r="D177" s="138">
        <v>2550000</v>
      </c>
      <c r="E177" s="20" t="s">
        <v>531</v>
      </c>
      <c r="F177" s="20" t="s">
        <v>532</v>
      </c>
      <c r="G177" s="8" t="str">
        <f t="shared" si="4"/>
        <v>BADERTSCHER DIANE</v>
      </c>
      <c r="H177" s="20" t="str">
        <f t="shared" si="5"/>
        <v>4028</v>
      </c>
    </row>
    <row r="178" spans="1:8" x14ac:dyDescent="0.25">
      <c r="A178" s="8">
        <v>43001.724039351851</v>
      </c>
      <c r="B178" s="20" t="s">
        <v>425</v>
      </c>
      <c r="C178" s="20" t="s">
        <v>764</v>
      </c>
      <c r="D178" s="138">
        <v>2350000</v>
      </c>
      <c r="E178" s="20" t="s">
        <v>488</v>
      </c>
      <c r="F178" s="20" t="s">
        <v>489</v>
      </c>
      <c r="G178" s="8" t="str">
        <f t="shared" si="4"/>
        <v>BERLING GARY</v>
      </c>
      <c r="H178" s="20" t="str">
        <f t="shared" si="5"/>
        <v>4024</v>
      </c>
    </row>
    <row r="179" spans="1:8" x14ac:dyDescent="0.25">
      <c r="A179" s="8">
        <v>43001.725752314815</v>
      </c>
      <c r="B179" s="20" t="s">
        <v>418</v>
      </c>
      <c r="C179" s="20" t="s">
        <v>765</v>
      </c>
      <c r="D179" s="138">
        <v>920000</v>
      </c>
      <c r="E179" s="20" t="s">
        <v>343</v>
      </c>
      <c r="F179" s="20" t="s">
        <v>190</v>
      </c>
      <c r="G179" s="8" t="str">
        <f t="shared" si="4"/>
        <v>DAVIS MICHAEL</v>
      </c>
      <c r="H179" s="20" t="str">
        <f t="shared" si="5"/>
        <v>4057</v>
      </c>
    </row>
    <row r="180" spans="1:8" x14ac:dyDescent="0.25">
      <c r="A180" s="8">
        <v>43001.726458333331</v>
      </c>
      <c r="B180" s="20" t="s">
        <v>525</v>
      </c>
      <c r="C180" s="20" t="s">
        <v>766</v>
      </c>
      <c r="D180" s="138">
        <v>2230000</v>
      </c>
      <c r="E180" s="20" t="s">
        <v>735</v>
      </c>
      <c r="F180" s="20" t="s">
        <v>190</v>
      </c>
      <c r="G180" s="8" t="str">
        <f t="shared" si="4"/>
        <v>SMITH MICHAEL</v>
      </c>
      <c r="H180" s="20" t="str">
        <f t="shared" si="5"/>
        <v>4013</v>
      </c>
    </row>
    <row r="181" spans="1:8" x14ac:dyDescent="0.25">
      <c r="A181" s="8">
        <v>43001.734976851854</v>
      </c>
      <c r="B181" s="20" t="s">
        <v>609</v>
      </c>
      <c r="C181" s="20" t="s">
        <v>767</v>
      </c>
      <c r="D181" s="138">
        <v>2630000</v>
      </c>
      <c r="E181" s="20" t="s">
        <v>704</v>
      </c>
      <c r="F181" s="20" t="s">
        <v>705</v>
      </c>
      <c r="G181" s="8" t="str">
        <f t="shared" si="4"/>
        <v>SAFIEF AEIMEN</v>
      </c>
      <c r="H181" s="20" t="str">
        <f t="shared" si="5"/>
        <v>4025</v>
      </c>
    </row>
    <row r="182" spans="1:8" x14ac:dyDescent="0.25">
      <c r="A182" s="8">
        <v>43001.735914351855</v>
      </c>
      <c r="B182" s="20" t="s">
        <v>437</v>
      </c>
      <c r="C182" s="20" t="s">
        <v>768</v>
      </c>
      <c r="D182" s="138">
        <v>3000000</v>
      </c>
      <c r="E182" s="20" t="s">
        <v>453</v>
      </c>
      <c r="F182" s="20" t="s">
        <v>454</v>
      </c>
      <c r="G182" s="8" t="str">
        <f t="shared" si="4"/>
        <v>FORTUNATO FRANK</v>
      </c>
      <c r="H182" s="20" t="str">
        <f t="shared" si="5"/>
        <v>4040</v>
      </c>
    </row>
    <row r="183" spans="1:8" x14ac:dyDescent="0.25">
      <c r="A183" s="8">
        <v>43001.737199074072</v>
      </c>
      <c r="B183" s="20" t="s">
        <v>519</v>
      </c>
      <c r="C183" s="20" t="s">
        <v>769</v>
      </c>
      <c r="D183" s="138">
        <v>2970000</v>
      </c>
      <c r="E183" s="20" t="s">
        <v>710</v>
      </c>
      <c r="F183" s="20" t="s">
        <v>711</v>
      </c>
      <c r="G183" s="8" t="str">
        <f t="shared" si="4"/>
        <v>GUZMAN DANNY</v>
      </c>
      <c r="H183" s="20" t="str">
        <f t="shared" si="5"/>
        <v>4009</v>
      </c>
    </row>
    <row r="184" spans="1:8" x14ac:dyDescent="0.25">
      <c r="A184" s="8">
        <v>43001.747997685183</v>
      </c>
      <c r="B184" s="20" t="s">
        <v>479</v>
      </c>
      <c r="C184" s="20" t="s">
        <v>770</v>
      </c>
      <c r="D184" s="138">
        <v>2420000</v>
      </c>
      <c r="E184" s="20" t="s">
        <v>490</v>
      </c>
      <c r="F184" s="20" t="s">
        <v>491</v>
      </c>
      <c r="G184" s="8" t="str">
        <f t="shared" si="4"/>
        <v>HOLCOMB KAMDEN</v>
      </c>
      <c r="H184" s="20" t="str">
        <f t="shared" si="5"/>
        <v>4002</v>
      </c>
    </row>
    <row r="185" spans="1:8" x14ac:dyDescent="0.25">
      <c r="A185" s="8">
        <v>43001.753009259257</v>
      </c>
      <c r="B185" s="20" t="s">
        <v>528</v>
      </c>
      <c r="C185" s="20" t="s">
        <v>771</v>
      </c>
      <c r="D185" s="138">
        <v>2230000</v>
      </c>
      <c r="E185" s="20" t="s">
        <v>735</v>
      </c>
      <c r="F185" s="20" t="s">
        <v>190</v>
      </c>
      <c r="G185" s="8" t="str">
        <f t="shared" si="4"/>
        <v>SMITH MICHAEL</v>
      </c>
      <c r="H185" s="20" t="str">
        <f t="shared" si="5"/>
        <v>4014</v>
      </c>
    </row>
    <row r="186" spans="1:8" x14ac:dyDescent="0.25">
      <c r="A186" s="8">
        <v>43001.753252314818</v>
      </c>
      <c r="B186" s="20" t="s">
        <v>449</v>
      </c>
      <c r="C186" s="20" t="s">
        <v>772</v>
      </c>
      <c r="D186" s="138">
        <v>2550000</v>
      </c>
      <c r="E186" s="20" t="s">
        <v>531</v>
      </c>
      <c r="F186" s="20" t="s">
        <v>532</v>
      </c>
      <c r="G186" s="8" t="str">
        <f t="shared" si="4"/>
        <v>BADERTSCHER DIANE</v>
      </c>
      <c r="H186" s="20" t="str">
        <f t="shared" si="5"/>
        <v>4027</v>
      </c>
    </row>
    <row r="187" spans="1:8" x14ac:dyDescent="0.25">
      <c r="A187" s="8">
        <v>43001.758391203701</v>
      </c>
      <c r="B187" s="20" t="s">
        <v>402</v>
      </c>
      <c r="C187" s="20" t="s">
        <v>773</v>
      </c>
      <c r="D187" s="138">
        <v>3340000</v>
      </c>
      <c r="E187" s="20" t="s">
        <v>536</v>
      </c>
      <c r="F187" s="20" t="s">
        <v>537</v>
      </c>
      <c r="G187" s="8" t="str">
        <f t="shared" si="4"/>
        <v>ELBAUM MIKE</v>
      </c>
      <c r="H187" s="20" t="str">
        <f t="shared" si="5"/>
        <v>4058</v>
      </c>
    </row>
    <row r="188" spans="1:8" x14ac:dyDescent="0.25">
      <c r="A188" s="8">
        <v>43001.764039351852</v>
      </c>
      <c r="B188" s="20" t="s">
        <v>424</v>
      </c>
      <c r="C188" s="20" t="s">
        <v>607</v>
      </c>
      <c r="D188" s="138">
        <v>2350000</v>
      </c>
      <c r="E188" s="20" t="s">
        <v>488</v>
      </c>
      <c r="F188" s="20" t="s">
        <v>489</v>
      </c>
      <c r="G188" s="8" t="str">
        <f t="shared" si="4"/>
        <v>BERLING GARY</v>
      </c>
      <c r="H188" s="20" t="str">
        <f t="shared" si="5"/>
        <v>4023</v>
      </c>
    </row>
    <row r="189" spans="1:8" x14ac:dyDescent="0.25">
      <c r="A189" s="8">
        <v>43001.766261574077</v>
      </c>
      <c r="B189" s="20" t="s">
        <v>601</v>
      </c>
      <c r="C189" s="20" t="s">
        <v>774</v>
      </c>
      <c r="D189" s="138">
        <v>2620000</v>
      </c>
      <c r="E189" s="20" t="s">
        <v>383</v>
      </c>
      <c r="F189" s="20" t="s">
        <v>384</v>
      </c>
      <c r="G189" s="8" t="str">
        <f t="shared" si="4"/>
        <v>PERKINS DARREN</v>
      </c>
      <c r="H189" s="20" t="str">
        <f t="shared" si="5"/>
        <v>4026</v>
      </c>
    </row>
    <row r="190" spans="1:8" x14ac:dyDescent="0.25">
      <c r="A190" s="8">
        <v>43001.768275462964</v>
      </c>
      <c r="B190" s="20" t="s">
        <v>525</v>
      </c>
      <c r="C190" s="20" t="s">
        <v>775</v>
      </c>
      <c r="D190" s="138">
        <v>2230000</v>
      </c>
      <c r="E190" s="20" t="s">
        <v>735</v>
      </c>
      <c r="F190" s="20" t="s">
        <v>190</v>
      </c>
      <c r="G190" s="8" t="str">
        <f t="shared" si="4"/>
        <v>SMITH MICHAEL</v>
      </c>
      <c r="H190" s="20" t="str">
        <f t="shared" si="5"/>
        <v>4013</v>
      </c>
    </row>
    <row r="191" spans="1:8" x14ac:dyDescent="0.25">
      <c r="A191" s="8">
        <v>43001.769571759258</v>
      </c>
      <c r="B191" s="20" t="s">
        <v>434</v>
      </c>
      <c r="C191" s="20" t="s">
        <v>776</v>
      </c>
      <c r="D191" s="138">
        <v>3000000</v>
      </c>
      <c r="E191" s="20" t="s">
        <v>453</v>
      </c>
      <c r="F191" s="20" t="s">
        <v>454</v>
      </c>
      <c r="G191" s="8" t="str">
        <f t="shared" si="4"/>
        <v>FORTUNATO FRANK</v>
      </c>
      <c r="H191" s="20" t="str">
        <f t="shared" si="5"/>
        <v>4039</v>
      </c>
    </row>
    <row r="192" spans="1:8" x14ac:dyDescent="0.25">
      <c r="A192" s="8">
        <v>43001.777569444443</v>
      </c>
      <c r="B192" s="20" t="s">
        <v>436</v>
      </c>
      <c r="C192" s="20" t="s">
        <v>777</v>
      </c>
      <c r="D192" s="138">
        <v>2970000</v>
      </c>
      <c r="E192" s="20" t="s">
        <v>710</v>
      </c>
      <c r="F192" s="20" t="s">
        <v>711</v>
      </c>
      <c r="G192" s="8" t="str">
        <f t="shared" si="4"/>
        <v>GUZMAN DANNY</v>
      </c>
      <c r="H192" s="20" t="str">
        <f t="shared" si="5"/>
        <v>4010</v>
      </c>
    </row>
    <row r="193" spans="1:8" x14ac:dyDescent="0.25">
      <c r="A193" s="8">
        <v>43001.787546296298</v>
      </c>
      <c r="B193" s="20" t="s">
        <v>473</v>
      </c>
      <c r="C193" s="20" t="s">
        <v>778</v>
      </c>
      <c r="D193" s="138">
        <v>2420000</v>
      </c>
      <c r="E193" s="20" t="s">
        <v>490</v>
      </c>
      <c r="F193" s="20" t="s">
        <v>491</v>
      </c>
      <c r="G193" s="8" t="str">
        <f t="shared" si="4"/>
        <v>HOLCOMB KAMDEN</v>
      </c>
      <c r="H193" s="20" t="str">
        <f t="shared" si="5"/>
        <v>4001</v>
      </c>
    </row>
    <row r="194" spans="1:8" x14ac:dyDescent="0.25">
      <c r="A194" s="8">
        <v>43001.790833333333</v>
      </c>
      <c r="B194" s="20" t="s">
        <v>407</v>
      </c>
      <c r="C194" s="20" t="s">
        <v>779</v>
      </c>
      <c r="D194" s="138">
        <v>3190000</v>
      </c>
      <c r="E194" s="20" t="s">
        <v>385</v>
      </c>
      <c r="F194" s="20" t="s">
        <v>386</v>
      </c>
      <c r="G194" s="8" t="str">
        <f t="shared" si="4"/>
        <v>HART KEVIN</v>
      </c>
      <c r="H194" s="20" t="str">
        <f t="shared" si="5"/>
        <v>4028</v>
      </c>
    </row>
    <row r="195" spans="1:8" x14ac:dyDescent="0.25">
      <c r="A195" s="8">
        <v>43001.792349537034</v>
      </c>
      <c r="B195" s="20" t="s">
        <v>528</v>
      </c>
      <c r="C195" s="20" t="s">
        <v>780</v>
      </c>
      <c r="D195" s="138">
        <v>2230000</v>
      </c>
      <c r="E195" s="20" t="s">
        <v>735</v>
      </c>
      <c r="F195" s="20" t="s">
        <v>190</v>
      </c>
      <c r="G195" s="8" t="str">
        <f t="shared" ref="G195:G258" si="6">E195&amp;" "&amp;F195</f>
        <v>SMITH MICHAEL</v>
      </c>
      <c r="H195" s="20" t="str">
        <f t="shared" ref="H195:H258" si="7">MID(B195,13,4)</f>
        <v>4014</v>
      </c>
    </row>
    <row r="196" spans="1:8" x14ac:dyDescent="0.25">
      <c r="A196" s="8">
        <v>43001.79414351852</v>
      </c>
      <c r="B196" s="20" t="s">
        <v>418</v>
      </c>
      <c r="C196" s="20" t="s">
        <v>608</v>
      </c>
      <c r="D196" s="138">
        <v>3340000</v>
      </c>
      <c r="E196" s="20" t="s">
        <v>536</v>
      </c>
      <c r="F196" s="20" t="s">
        <v>537</v>
      </c>
      <c r="G196" s="8" t="str">
        <f t="shared" si="6"/>
        <v>ELBAUM MIKE</v>
      </c>
      <c r="H196" s="20" t="str">
        <f t="shared" si="7"/>
        <v>4057</v>
      </c>
    </row>
    <row r="197" spans="1:8" x14ac:dyDescent="0.25">
      <c r="A197" s="8">
        <v>43001.799942129626</v>
      </c>
      <c r="B197" s="20" t="s">
        <v>425</v>
      </c>
      <c r="C197" s="20" t="s">
        <v>781</v>
      </c>
      <c r="D197" s="138">
        <v>2350000</v>
      </c>
      <c r="E197" s="20" t="s">
        <v>488</v>
      </c>
      <c r="F197" s="20" t="s">
        <v>489</v>
      </c>
      <c r="G197" s="8" t="str">
        <f t="shared" si="6"/>
        <v>BERLING GARY</v>
      </c>
      <c r="H197" s="20" t="str">
        <f t="shared" si="7"/>
        <v>4024</v>
      </c>
    </row>
    <row r="198" spans="1:8" x14ac:dyDescent="0.25">
      <c r="A198" s="8">
        <v>43001.801620370374</v>
      </c>
      <c r="B198" s="20" t="s">
        <v>609</v>
      </c>
      <c r="C198" s="20" t="s">
        <v>610</v>
      </c>
      <c r="D198" s="138">
        <v>2620000</v>
      </c>
      <c r="E198" s="20" t="s">
        <v>383</v>
      </c>
      <c r="F198" s="20" t="s">
        <v>384</v>
      </c>
      <c r="G198" s="8" t="str">
        <f t="shared" si="6"/>
        <v>PERKINS DARREN</v>
      </c>
      <c r="H198" s="20" t="str">
        <f t="shared" si="7"/>
        <v>4025</v>
      </c>
    </row>
    <row r="199" spans="1:8" x14ac:dyDescent="0.25">
      <c r="A199" s="8">
        <v>43001.809236111112</v>
      </c>
      <c r="B199" s="20" t="s">
        <v>437</v>
      </c>
      <c r="C199" s="20" t="s">
        <v>782</v>
      </c>
      <c r="D199" s="138">
        <v>3000000</v>
      </c>
      <c r="E199" s="20" t="s">
        <v>453</v>
      </c>
      <c r="F199" s="20" t="s">
        <v>454</v>
      </c>
      <c r="G199" s="8" t="str">
        <f t="shared" si="6"/>
        <v>FORTUNATO FRANK</v>
      </c>
      <c r="H199" s="20" t="str">
        <f t="shared" si="7"/>
        <v>4040</v>
      </c>
    </row>
    <row r="200" spans="1:8" x14ac:dyDescent="0.25">
      <c r="A200" s="8">
        <v>43001.809421296297</v>
      </c>
      <c r="B200" s="20" t="s">
        <v>525</v>
      </c>
      <c r="C200" s="20" t="s">
        <v>783</v>
      </c>
      <c r="D200" s="138">
        <v>2230000</v>
      </c>
      <c r="E200" s="20" t="s">
        <v>735</v>
      </c>
      <c r="F200" s="20" t="s">
        <v>190</v>
      </c>
      <c r="G200" s="8" t="str">
        <f t="shared" si="6"/>
        <v>SMITH MICHAEL</v>
      </c>
      <c r="H200" s="20" t="str">
        <f t="shared" si="7"/>
        <v>4013</v>
      </c>
    </row>
    <row r="201" spans="1:8" x14ac:dyDescent="0.25">
      <c r="A201" s="8">
        <v>43001.817997685182</v>
      </c>
      <c r="B201" s="20" t="s">
        <v>479</v>
      </c>
      <c r="C201" s="20" t="s">
        <v>784</v>
      </c>
      <c r="D201" s="138">
        <v>2420000</v>
      </c>
      <c r="E201" s="20" t="s">
        <v>490</v>
      </c>
      <c r="F201" s="20" t="s">
        <v>491</v>
      </c>
      <c r="G201" s="8" t="str">
        <f t="shared" si="6"/>
        <v>HOLCOMB KAMDEN</v>
      </c>
      <c r="H201" s="20" t="str">
        <f t="shared" si="7"/>
        <v>4002</v>
      </c>
    </row>
    <row r="202" spans="1:8" x14ac:dyDescent="0.25">
      <c r="A202" s="26">
        <v>43001.82712962963</v>
      </c>
      <c r="B202" s="20" t="s">
        <v>402</v>
      </c>
      <c r="C202" s="20" t="s">
        <v>785</v>
      </c>
      <c r="D202" s="138">
        <v>3340000</v>
      </c>
      <c r="E202" s="20" t="s">
        <v>536</v>
      </c>
      <c r="F202" s="20" t="s">
        <v>537</v>
      </c>
      <c r="G202" s="8" t="str">
        <f t="shared" si="6"/>
        <v>ELBAUM MIKE</v>
      </c>
      <c r="H202" s="20" t="str">
        <f t="shared" si="7"/>
        <v>4058</v>
      </c>
    </row>
    <row r="203" spans="1:8" x14ac:dyDescent="0.25">
      <c r="A203" s="8">
        <v>43001.828888888886</v>
      </c>
      <c r="B203" s="20" t="s">
        <v>449</v>
      </c>
      <c r="C203" s="20" t="s">
        <v>611</v>
      </c>
      <c r="D203" s="138">
        <v>3190000</v>
      </c>
      <c r="E203" s="20" t="s">
        <v>385</v>
      </c>
      <c r="F203" s="20" t="s">
        <v>386</v>
      </c>
      <c r="G203" s="8" t="str">
        <f t="shared" si="6"/>
        <v>HART KEVIN</v>
      </c>
      <c r="H203" s="20" t="str">
        <f t="shared" si="7"/>
        <v>4027</v>
      </c>
    </row>
    <row r="204" spans="1:8" x14ac:dyDescent="0.25">
      <c r="A204" s="8">
        <v>43001.834421296298</v>
      </c>
      <c r="B204" s="20" t="s">
        <v>528</v>
      </c>
      <c r="C204" s="20" t="s">
        <v>786</v>
      </c>
      <c r="D204" s="138">
        <v>2230000</v>
      </c>
      <c r="E204" s="20" t="s">
        <v>735</v>
      </c>
      <c r="F204" s="20" t="s">
        <v>190</v>
      </c>
      <c r="G204" s="8" t="str">
        <f t="shared" si="6"/>
        <v>SMITH MICHAEL</v>
      </c>
      <c r="H204" s="20" t="str">
        <f t="shared" si="7"/>
        <v>4014</v>
      </c>
    </row>
    <row r="205" spans="1:8" x14ac:dyDescent="0.25">
      <c r="A205" s="8">
        <v>43001.838900462964</v>
      </c>
      <c r="B205" s="20" t="s">
        <v>601</v>
      </c>
      <c r="C205" s="20" t="s">
        <v>787</v>
      </c>
      <c r="D205" s="138">
        <v>2620000</v>
      </c>
      <c r="E205" s="20" t="s">
        <v>383</v>
      </c>
      <c r="F205" s="20" t="s">
        <v>384</v>
      </c>
      <c r="G205" s="8" t="str">
        <f t="shared" si="6"/>
        <v>PERKINS DARREN</v>
      </c>
      <c r="H205" s="20" t="str">
        <f t="shared" si="7"/>
        <v>4026</v>
      </c>
    </row>
    <row r="206" spans="1:8" x14ac:dyDescent="0.25">
      <c r="A206" s="8">
        <v>43001.839814814812</v>
      </c>
      <c r="B206" s="20" t="s">
        <v>434</v>
      </c>
      <c r="C206" s="20" t="s">
        <v>788</v>
      </c>
      <c r="D206" s="138">
        <v>3000000</v>
      </c>
      <c r="E206" s="20" t="s">
        <v>453</v>
      </c>
      <c r="F206" s="20" t="s">
        <v>454</v>
      </c>
      <c r="G206" s="8" t="str">
        <f t="shared" si="6"/>
        <v>FORTUNATO FRANK</v>
      </c>
      <c r="H206" s="20" t="str">
        <f t="shared" si="7"/>
        <v>4039</v>
      </c>
    </row>
    <row r="207" spans="1:8" x14ac:dyDescent="0.25">
      <c r="A207" s="8">
        <v>43001.8515162037</v>
      </c>
      <c r="B207" s="20" t="s">
        <v>525</v>
      </c>
      <c r="C207" s="20" t="s">
        <v>789</v>
      </c>
      <c r="D207" s="138">
        <v>2230000</v>
      </c>
      <c r="E207" s="20" t="s">
        <v>735</v>
      </c>
      <c r="F207" s="20" t="s">
        <v>190</v>
      </c>
      <c r="G207" s="8" t="str">
        <f t="shared" si="6"/>
        <v>SMITH MICHAEL</v>
      </c>
      <c r="H207" s="20" t="str">
        <f t="shared" si="7"/>
        <v>4013</v>
      </c>
    </row>
    <row r="208" spans="1:8" x14ac:dyDescent="0.25">
      <c r="A208" s="8">
        <v>43001.859016203707</v>
      </c>
      <c r="B208" s="20" t="s">
        <v>418</v>
      </c>
      <c r="C208" s="20" t="s">
        <v>790</v>
      </c>
      <c r="D208" s="138">
        <v>3340000</v>
      </c>
      <c r="E208" s="20" t="s">
        <v>536</v>
      </c>
      <c r="F208" s="20" t="s">
        <v>537</v>
      </c>
      <c r="G208" s="8" t="str">
        <f t="shared" si="6"/>
        <v>ELBAUM MIKE</v>
      </c>
      <c r="H208" s="20" t="str">
        <f t="shared" si="7"/>
        <v>4057</v>
      </c>
    </row>
    <row r="209" spans="1:8" x14ac:dyDescent="0.25">
      <c r="A209" s="8">
        <v>43001.86582175926</v>
      </c>
      <c r="B209" s="20" t="s">
        <v>407</v>
      </c>
      <c r="C209" s="20" t="s">
        <v>791</v>
      </c>
      <c r="D209" s="138">
        <v>3320000</v>
      </c>
      <c r="E209" s="20" t="s">
        <v>389</v>
      </c>
      <c r="F209" s="20" t="s">
        <v>390</v>
      </c>
      <c r="G209" s="8" t="str">
        <f t="shared" si="6"/>
        <v>NICHOLSON WESLEY</v>
      </c>
      <c r="H209" s="20" t="str">
        <f t="shared" si="7"/>
        <v>4028</v>
      </c>
    </row>
    <row r="210" spans="1:8" x14ac:dyDescent="0.25">
      <c r="A210" s="8">
        <v>43001.875358796293</v>
      </c>
      <c r="B210" s="20" t="s">
        <v>528</v>
      </c>
      <c r="C210" s="20" t="s">
        <v>792</v>
      </c>
      <c r="D210" s="138">
        <v>2230000</v>
      </c>
      <c r="E210" s="20" t="s">
        <v>735</v>
      </c>
      <c r="F210" s="20" t="s">
        <v>190</v>
      </c>
      <c r="G210" s="8" t="str">
        <f t="shared" si="6"/>
        <v>SMITH MICHAEL</v>
      </c>
      <c r="H210" s="20" t="str">
        <f t="shared" si="7"/>
        <v>4014</v>
      </c>
    </row>
    <row r="211" spans="1:8" x14ac:dyDescent="0.25">
      <c r="A211" s="8">
        <v>43001.881435185183</v>
      </c>
      <c r="B211" s="20" t="s">
        <v>437</v>
      </c>
      <c r="C211" s="20" t="s">
        <v>793</v>
      </c>
      <c r="D211" s="138">
        <v>3000000</v>
      </c>
      <c r="E211" s="20" t="s">
        <v>453</v>
      </c>
      <c r="F211" s="20" t="s">
        <v>454</v>
      </c>
      <c r="G211" s="8" t="str">
        <f t="shared" si="6"/>
        <v>FORTUNATO FRANK</v>
      </c>
      <c r="H211" s="20" t="str">
        <f t="shared" si="7"/>
        <v>4040</v>
      </c>
    </row>
    <row r="212" spans="1:8" x14ac:dyDescent="0.25">
      <c r="A212" s="8">
        <v>43001.882951388892</v>
      </c>
      <c r="B212" s="20" t="s">
        <v>609</v>
      </c>
      <c r="C212" s="20" t="s">
        <v>794</v>
      </c>
      <c r="D212" s="138">
        <v>2620000</v>
      </c>
      <c r="E212" s="20" t="s">
        <v>383</v>
      </c>
      <c r="F212" s="20" t="s">
        <v>384</v>
      </c>
      <c r="G212" s="8" t="str">
        <f t="shared" si="6"/>
        <v>PERKINS DARREN</v>
      </c>
      <c r="H212" s="20" t="str">
        <f t="shared" si="7"/>
        <v>4025</v>
      </c>
    </row>
    <row r="213" spans="1:8" x14ac:dyDescent="0.25">
      <c r="A213" s="8">
        <v>43001.892685185187</v>
      </c>
      <c r="B213" s="20" t="s">
        <v>525</v>
      </c>
      <c r="C213" s="20" t="s">
        <v>795</v>
      </c>
      <c r="D213" s="138">
        <v>2230000</v>
      </c>
      <c r="E213" s="20" t="s">
        <v>735</v>
      </c>
      <c r="F213" s="20" t="s">
        <v>190</v>
      </c>
      <c r="G213" s="8" t="str">
        <f t="shared" si="6"/>
        <v>SMITH MICHAEL</v>
      </c>
      <c r="H213" s="20" t="str">
        <f t="shared" si="7"/>
        <v>4013</v>
      </c>
    </row>
    <row r="214" spans="1:8" x14ac:dyDescent="0.25">
      <c r="A214" s="8">
        <v>43001.90042824074</v>
      </c>
      <c r="B214" s="20" t="s">
        <v>402</v>
      </c>
      <c r="C214" s="20" t="s">
        <v>796</v>
      </c>
      <c r="D214" s="138">
        <v>3340000</v>
      </c>
      <c r="E214" s="20" t="s">
        <v>536</v>
      </c>
      <c r="F214" s="20" t="s">
        <v>537</v>
      </c>
      <c r="G214" s="8" t="str">
        <f t="shared" si="6"/>
        <v>ELBAUM MIKE</v>
      </c>
      <c r="H214" s="20" t="str">
        <f t="shared" si="7"/>
        <v>4058</v>
      </c>
    </row>
    <row r="215" spans="1:8" x14ac:dyDescent="0.25">
      <c r="A215" s="8">
        <v>43001.906828703701</v>
      </c>
      <c r="B215" s="20" t="s">
        <v>449</v>
      </c>
      <c r="C215" s="20" t="s">
        <v>797</v>
      </c>
      <c r="D215" s="138">
        <v>3320000</v>
      </c>
      <c r="E215" s="20" t="s">
        <v>389</v>
      </c>
      <c r="F215" s="20" t="s">
        <v>390</v>
      </c>
      <c r="G215" s="8" t="str">
        <f t="shared" si="6"/>
        <v>NICHOLSON WESLEY</v>
      </c>
      <c r="H215" s="20" t="str">
        <f t="shared" si="7"/>
        <v>4027</v>
      </c>
    </row>
    <row r="216" spans="1:8" x14ac:dyDescent="0.25">
      <c r="A216" s="8">
        <v>43001.916631944441</v>
      </c>
      <c r="B216" s="20" t="s">
        <v>528</v>
      </c>
      <c r="C216" s="20" t="s">
        <v>612</v>
      </c>
      <c r="D216" s="138">
        <v>2230000</v>
      </c>
      <c r="E216" s="20" t="s">
        <v>735</v>
      </c>
      <c r="F216" s="20" t="s">
        <v>190</v>
      </c>
      <c r="G216" s="8" t="str">
        <f t="shared" si="6"/>
        <v>SMITH MICHAEL</v>
      </c>
      <c r="H216" s="20" t="str">
        <f t="shared" si="7"/>
        <v>4014</v>
      </c>
    </row>
    <row r="217" spans="1:8" x14ac:dyDescent="0.25">
      <c r="A217" s="8">
        <v>43001.923645833333</v>
      </c>
      <c r="B217" s="20" t="s">
        <v>434</v>
      </c>
      <c r="C217" s="20" t="s">
        <v>798</v>
      </c>
      <c r="D217" s="138">
        <v>3000000</v>
      </c>
      <c r="E217" s="20" t="s">
        <v>453</v>
      </c>
      <c r="F217" s="20" t="s">
        <v>454</v>
      </c>
      <c r="G217" s="8" t="str">
        <f t="shared" si="6"/>
        <v>FORTUNATO FRANK</v>
      </c>
      <c r="H217" s="20" t="str">
        <f t="shared" si="7"/>
        <v>4039</v>
      </c>
    </row>
    <row r="218" spans="1:8" x14ac:dyDescent="0.25">
      <c r="A218" s="8">
        <v>43001.925532407404</v>
      </c>
      <c r="B218" s="20" t="s">
        <v>601</v>
      </c>
      <c r="C218" s="20" t="s">
        <v>613</v>
      </c>
      <c r="D218" s="138">
        <v>2620000</v>
      </c>
      <c r="E218" s="20" t="s">
        <v>383</v>
      </c>
      <c r="F218" s="20" t="s">
        <v>384</v>
      </c>
      <c r="G218" s="8" t="str">
        <f t="shared" si="6"/>
        <v>PERKINS DARREN</v>
      </c>
      <c r="H218" s="20" t="str">
        <f t="shared" si="7"/>
        <v>4026</v>
      </c>
    </row>
    <row r="219" spans="1:8" x14ac:dyDescent="0.25">
      <c r="A219" s="8">
        <v>43001.935324074075</v>
      </c>
      <c r="B219" s="20" t="s">
        <v>525</v>
      </c>
      <c r="C219" s="20" t="s">
        <v>799</v>
      </c>
      <c r="D219" s="138">
        <v>2230000</v>
      </c>
      <c r="E219" s="20" t="s">
        <v>735</v>
      </c>
      <c r="F219" s="20" t="s">
        <v>190</v>
      </c>
      <c r="G219" s="8" t="str">
        <f t="shared" si="6"/>
        <v>SMITH MICHAEL</v>
      </c>
      <c r="H219" s="20" t="str">
        <f t="shared" si="7"/>
        <v>4013</v>
      </c>
    </row>
    <row r="220" spans="1:8" x14ac:dyDescent="0.25">
      <c r="A220" s="8">
        <v>43001.942418981482</v>
      </c>
      <c r="B220" s="20" t="s">
        <v>418</v>
      </c>
      <c r="C220" s="20" t="s">
        <v>800</v>
      </c>
      <c r="D220" s="138">
        <v>3340000</v>
      </c>
      <c r="E220" s="20" t="s">
        <v>536</v>
      </c>
      <c r="F220" s="20" t="s">
        <v>537</v>
      </c>
      <c r="G220" s="8" t="str">
        <f t="shared" si="6"/>
        <v>ELBAUM MIKE</v>
      </c>
      <c r="H220" s="20" t="str">
        <f t="shared" si="7"/>
        <v>4057</v>
      </c>
    </row>
    <row r="221" spans="1:8" x14ac:dyDescent="0.25">
      <c r="A221" s="8">
        <v>43001.954027777778</v>
      </c>
      <c r="B221" s="20" t="s">
        <v>407</v>
      </c>
      <c r="C221" s="20" t="s">
        <v>801</v>
      </c>
      <c r="D221" s="138">
        <v>3190000</v>
      </c>
      <c r="E221" s="20" t="s">
        <v>385</v>
      </c>
      <c r="F221" s="20" t="s">
        <v>386</v>
      </c>
      <c r="G221" s="8" t="str">
        <f t="shared" si="6"/>
        <v>HART KEVIN</v>
      </c>
      <c r="H221" s="20" t="str">
        <f t="shared" si="7"/>
        <v>4028</v>
      </c>
    </row>
    <row r="222" spans="1:8" x14ac:dyDescent="0.25">
      <c r="A222" s="8">
        <v>43001.957141203704</v>
      </c>
      <c r="B222" s="20" t="s">
        <v>528</v>
      </c>
      <c r="C222" s="20" t="s">
        <v>802</v>
      </c>
      <c r="D222" s="138">
        <v>2230000</v>
      </c>
      <c r="E222" s="20" t="s">
        <v>735</v>
      </c>
      <c r="F222" s="20" t="s">
        <v>190</v>
      </c>
      <c r="G222" s="8" t="str">
        <f t="shared" si="6"/>
        <v>SMITH MICHAEL</v>
      </c>
      <c r="H222" s="20" t="str">
        <f t="shared" si="7"/>
        <v>4014</v>
      </c>
    </row>
    <row r="223" spans="1:8" x14ac:dyDescent="0.25">
      <c r="A223" s="8">
        <v>43001.963796296295</v>
      </c>
      <c r="B223" s="20" t="s">
        <v>437</v>
      </c>
      <c r="C223" s="20" t="s">
        <v>803</v>
      </c>
      <c r="D223" s="138">
        <v>3000000</v>
      </c>
      <c r="E223" s="20" t="s">
        <v>453</v>
      </c>
      <c r="F223" s="20" t="s">
        <v>454</v>
      </c>
      <c r="G223" s="8" t="str">
        <f t="shared" si="6"/>
        <v>FORTUNATO FRANK</v>
      </c>
      <c r="H223" s="20" t="str">
        <f t="shared" si="7"/>
        <v>4040</v>
      </c>
    </row>
    <row r="224" spans="1:8" x14ac:dyDescent="0.25">
      <c r="A224" s="8">
        <v>43001.972291666665</v>
      </c>
      <c r="B224" t="s">
        <v>609</v>
      </c>
      <c r="C224" t="s">
        <v>804</v>
      </c>
      <c r="D224" s="138">
        <v>2620000</v>
      </c>
      <c r="E224" t="s">
        <v>383</v>
      </c>
      <c r="F224" s="20" t="s">
        <v>384</v>
      </c>
      <c r="G224" s="8" t="str">
        <f t="shared" si="6"/>
        <v>PERKINS DARREN</v>
      </c>
      <c r="H224" s="20" t="str">
        <f t="shared" si="7"/>
        <v>4025</v>
      </c>
    </row>
    <row r="225" spans="1:8" x14ac:dyDescent="0.25">
      <c r="A225" s="8">
        <v>43001.976875</v>
      </c>
      <c r="B225" t="s">
        <v>525</v>
      </c>
      <c r="C225" t="s">
        <v>805</v>
      </c>
      <c r="D225" s="138">
        <v>2230000</v>
      </c>
      <c r="E225" t="s">
        <v>735</v>
      </c>
      <c r="F225" s="20" t="s">
        <v>190</v>
      </c>
      <c r="G225" s="8" t="str">
        <f t="shared" si="6"/>
        <v>SMITH MICHAEL</v>
      </c>
      <c r="H225" s="20" t="str">
        <f t="shared" si="7"/>
        <v>4013</v>
      </c>
    </row>
    <row r="226" spans="1:8" x14ac:dyDescent="0.25">
      <c r="A226" s="8">
        <v>43001.985266203701</v>
      </c>
      <c r="B226" t="s">
        <v>402</v>
      </c>
      <c r="C226" t="s">
        <v>806</v>
      </c>
      <c r="D226" s="138">
        <v>3340000</v>
      </c>
      <c r="E226" t="s">
        <v>536</v>
      </c>
      <c r="F226" s="20" t="s">
        <v>537</v>
      </c>
      <c r="G226" s="8" t="str">
        <f t="shared" si="6"/>
        <v>ELBAUM MIKE</v>
      </c>
      <c r="H226" s="20" t="str">
        <f t="shared" si="7"/>
        <v>4058</v>
      </c>
    </row>
    <row r="227" spans="1:8" x14ac:dyDescent="0.25">
      <c r="A227" s="8">
        <v>43001.993796296294</v>
      </c>
      <c r="B227" t="s">
        <v>449</v>
      </c>
      <c r="C227" t="s">
        <v>807</v>
      </c>
      <c r="D227" s="138">
        <v>3190000</v>
      </c>
      <c r="E227" t="s">
        <v>385</v>
      </c>
      <c r="F227" s="20" t="s">
        <v>386</v>
      </c>
      <c r="G227" s="8" t="str">
        <f t="shared" si="6"/>
        <v>HART KEVIN</v>
      </c>
      <c r="H227" s="20" t="str">
        <f t="shared" si="7"/>
        <v>4027</v>
      </c>
    </row>
    <row r="228" spans="1:8" x14ac:dyDescent="0.25">
      <c r="A228" s="8">
        <v>43002.006516203706</v>
      </c>
      <c r="B228" t="s">
        <v>601</v>
      </c>
      <c r="C228" t="s">
        <v>808</v>
      </c>
      <c r="D228" s="138">
        <v>2620000</v>
      </c>
      <c r="E228" t="s">
        <v>383</v>
      </c>
      <c r="F228" s="20" t="s">
        <v>384</v>
      </c>
      <c r="G228" s="8" t="str">
        <f t="shared" si="6"/>
        <v>PERKINS DARREN</v>
      </c>
      <c r="H228" s="20" t="str">
        <f t="shared" si="7"/>
        <v>4026</v>
      </c>
    </row>
    <row r="229" spans="1:8" x14ac:dyDescent="0.25">
      <c r="A229" s="8">
        <v>43002.006782407407</v>
      </c>
      <c r="B229" t="s">
        <v>434</v>
      </c>
      <c r="C229" t="s">
        <v>809</v>
      </c>
      <c r="D229" s="138">
        <v>3000000</v>
      </c>
      <c r="E229" t="s">
        <v>453</v>
      </c>
      <c r="F229" s="20" t="s">
        <v>454</v>
      </c>
      <c r="G229" s="8" t="str">
        <f t="shared" si="6"/>
        <v>FORTUNATO FRANK</v>
      </c>
      <c r="H229" s="20" t="str">
        <f t="shared" si="7"/>
        <v>4039</v>
      </c>
    </row>
    <row r="230" spans="1:8" x14ac:dyDescent="0.25">
      <c r="A230" s="8">
        <v>43002.027731481481</v>
      </c>
      <c r="B230" t="s">
        <v>418</v>
      </c>
      <c r="C230" t="s">
        <v>810</v>
      </c>
      <c r="D230" s="138">
        <v>3340000</v>
      </c>
      <c r="E230" t="s">
        <v>536</v>
      </c>
      <c r="F230" s="20" t="s">
        <v>537</v>
      </c>
      <c r="G230" s="8" t="str">
        <f t="shared" si="6"/>
        <v>ELBAUM MIKE</v>
      </c>
      <c r="H230" s="20" t="str">
        <f t="shared" si="7"/>
        <v>4057</v>
      </c>
    </row>
    <row r="231" spans="1:8" x14ac:dyDescent="0.25">
      <c r="A231" s="8">
        <v>43002.039884259262</v>
      </c>
      <c r="B231" t="s">
        <v>407</v>
      </c>
      <c r="C231" t="s">
        <v>811</v>
      </c>
      <c r="D231" s="138">
        <v>3190000</v>
      </c>
      <c r="E231" t="s">
        <v>385</v>
      </c>
      <c r="F231" s="20" t="s">
        <v>386</v>
      </c>
      <c r="G231" s="8" t="str">
        <f t="shared" si="6"/>
        <v>HART KEVIN</v>
      </c>
      <c r="H231" s="20" t="str">
        <f t="shared" si="7"/>
        <v>4028</v>
      </c>
    </row>
    <row r="232" spans="1:8" x14ac:dyDescent="0.25">
      <c r="A232" s="8">
        <v>43002.048518518517</v>
      </c>
      <c r="B232" t="s">
        <v>437</v>
      </c>
      <c r="C232" t="s">
        <v>812</v>
      </c>
      <c r="D232" s="138">
        <v>3000000</v>
      </c>
      <c r="E232" t="s">
        <v>453</v>
      </c>
      <c r="F232" s="20" t="s">
        <v>454</v>
      </c>
      <c r="G232" s="8" t="str">
        <f t="shared" si="6"/>
        <v>FORTUNATO FRANK</v>
      </c>
      <c r="H232" s="20" t="str">
        <f t="shared" si="7"/>
        <v>4040</v>
      </c>
    </row>
    <row r="233" spans="1:8" x14ac:dyDescent="0.25">
      <c r="A233" s="8">
        <v>43002.056307870371</v>
      </c>
      <c r="B233" t="s">
        <v>609</v>
      </c>
      <c r="C233" t="s">
        <v>813</v>
      </c>
      <c r="D233" s="138">
        <v>2620000</v>
      </c>
      <c r="E233" t="s">
        <v>383</v>
      </c>
      <c r="F233" s="20" t="s">
        <v>384</v>
      </c>
      <c r="G233" s="8" t="str">
        <f t="shared" si="6"/>
        <v>PERKINS DARREN</v>
      </c>
      <c r="H233" s="20" t="str">
        <f t="shared" si="7"/>
        <v>4025</v>
      </c>
    </row>
    <row r="234" spans="1:8" x14ac:dyDescent="0.25">
      <c r="A234" s="8">
        <v>43002.066782407404</v>
      </c>
      <c r="B234" t="s">
        <v>402</v>
      </c>
      <c r="C234" t="s">
        <v>814</v>
      </c>
      <c r="D234" s="138">
        <v>3340000</v>
      </c>
      <c r="E234" t="s">
        <v>536</v>
      </c>
      <c r="F234" s="20" t="s">
        <v>537</v>
      </c>
      <c r="G234" s="8" t="str">
        <f t="shared" si="6"/>
        <v>ELBAUM MIKE</v>
      </c>
      <c r="H234" s="20" t="str">
        <f t="shared" si="7"/>
        <v>4058</v>
      </c>
    </row>
    <row r="235" spans="1:8" x14ac:dyDescent="0.25">
      <c r="A235" s="8">
        <v>43002.079791666663</v>
      </c>
      <c r="B235" t="s">
        <v>449</v>
      </c>
      <c r="C235" t="s">
        <v>815</v>
      </c>
      <c r="D235" s="138">
        <v>3190000</v>
      </c>
      <c r="E235" t="s">
        <v>385</v>
      </c>
      <c r="F235" s="20" t="s">
        <v>386</v>
      </c>
      <c r="G235" s="8" t="str">
        <f t="shared" si="6"/>
        <v>HART KEVIN</v>
      </c>
      <c r="H235" s="20" t="str">
        <f t="shared" si="7"/>
        <v>4027</v>
      </c>
    </row>
    <row r="236" spans="1:8" x14ac:dyDescent="0.25">
      <c r="A236" s="8">
        <v>43002.089224537034</v>
      </c>
      <c r="B236" t="s">
        <v>601</v>
      </c>
      <c r="C236" t="s">
        <v>816</v>
      </c>
      <c r="D236" s="138">
        <v>2620000</v>
      </c>
      <c r="E236" t="s">
        <v>383</v>
      </c>
      <c r="F236" s="20" t="s">
        <v>384</v>
      </c>
      <c r="G236" s="8" t="str">
        <f t="shared" si="6"/>
        <v>PERKINS DARREN</v>
      </c>
      <c r="H236" s="20" t="str">
        <f t="shared" si="7"/>
        <v>4026</v>
      </c>
    </row>
    <row r="237" spans="1:8" x14ac:dyDescent="0.25">
      <c r="A237" s="8">
        <v>43002.108541666668</v>
      </c>
      <c r="B237" t="s">
        <v>407</v>
      </c>
      <c r="C237" t="s">
        <v>817</v>
      </c>
      <c r="D237" s="138">
        <v>3190000</v>
      </c>
      <c r="E237" t="s">
        <v>385</v>
      </c>
      <c r="F237" s="20" t="s">
        <v>386</v>
      </c>
      <c r="G237" s="8" t="str">
        <f t="shared" si="6"/>
        <v>HART KEVIN</v>
      </c>
      <c r="H237" s="20" t="str">
        <f t="shared" si="7"/>
        <v>4028</v>
      </c>
    </row>
    <row r="238" spans="1:8" x14ac:dyDescent="0.25">
      <c r="A238" s="8">
        <v>43002.113738425927</v>
      </c>
      <c r="B238" t="s">
        <v>521</v>
      </c>
      <c r="C238" t="s">
        <v>818</v>
      </c>
      <c r="D238" s="138">
        <v>3120000</v>
      </c>
      <c r="E238" t="s">
        <v>621</v>
      </c>
      <c r="F238" s="20" t="s">
        <v>622</v>
      </c>
      <c r="G238" s="8" t="str">
        <f t="shared" si="6"/>
        <v>THOMPSON LESTER</v>
      </c>
      <c r="H238" s="20" t="str">
        <f t="shared" si="7"/>
        <v>4051</v>
      </c>
    </row>
    <row r="239" spans="1:8" x14ac:dyDescent="0.25">
      <c r="A239" s="8">
        <v>42999.946875000001</v>
      </c>
      <c r="B239" t="s">
        <v>425</v>
      </c>
      <c r="C239" t="s">
        <v>541</v>
      </c>
      <c r="D239" s="138">
        <v>2440000</v>
      </c>
      <c r="E239" t="s">
        <v>539</v>
      </c>
      <c r="F239" s="20" t="s">
        <v>540</v>
      </c>
      <c r="G239" s="8" t="str">
        <f t="shared" si="6"/>
        <v>LOPES KIMBERLY</v>
      </c>
      <c r="H239" s="20" t="str">
        <f t="shared" si="7"/>
        <v>4024</v>
      </c>
    </row>
    <row r="240" spans="1:8" x14ac:dyDescent="0.25">
      <c r="A240" s="8">
        <v>42999.954953703702</v>
      </c>
      <c r="B240" t="s">
        <v>424</v>
      </c>
      <c r="C240" t="s">
        <v>538</v>
      </c>
      <c r="D240" s="138">
        <v>2440000</v>
      </c>
      <c r="E240" t="s">
        <v>539</v>
      </c>
      <c r="F240" s="20" t="s">
        <v>540</v>
      </c>
      <c r="G240" s="8" t="str">
        <f t="shared" si="6"/>
        <v>LOPES KIMBERLY</v>
      </c>
      <c r="H240" s="20" t="str">
        <f t="shared" si="7"/>
        <v>4023</v>
      </c>
    </row>
    <row r="241" spans="1:8" x14ac:dyDescent="0.25">
      <c r="A241" s="8">
        <v>42999.955046296294</v>
      </c>
      <c r="B241" t="s">
        <v>402</v>
      </c>
      <c r="C241" t="s">
        <v>542</v>
      </c>
      <c r="D241" s="138">
        <v>3190000</v>
      </c>
      <c r="E241" t="s">
        <v>385</v>
      </c>
      <c r="F241" s="20" t="s">
        <v>386</v>
      </c>
      <c r="G241" s="8" t="str">
        <f t="shared" si="6"/>
        <v>HART KEVIN</v>
      </c>
      <c r="H241" s="20" t="str">
        <f t="shared" si="7"/>
        <v>4058</v>
      </c>
    </row>
    <row r="242" spans="1:8" x14ac:dyDescent="0.25">
      <c r="A242" s="8">
        <v>42999.962037037039</v>
      </c>
      <c r="B242" t="s">
        <v>520</v>
      </c>
      <c r="C242" t="s">
        <v>543</v>
      </c>
      <c r="D242" s="138">
        <v>3280000</v>
      </c>
      <c r="E242" t="s">
        <v>459</v>
      </c>
      <c r="F242" s="20" t="s">
        <v>460</v>
      </c>
      <c r="G242" s="8" t="str">
        <f t="shared" si="6"/>
        <v>BIRKHOLZ NADINE</v>
      </c>
      <c r="H242" s="20" t="str">
        <f t="shared" si="7"/>
        <v>4032</v>
      </c>
    </row>
    <row r="243" spans="1:8" x14ac:dyDescent="0.25">
      <c r="A243" s="8">
        <v>42999.967627314814</v>
      </c>
      <c r="B243" t="s">
        <v>372</v>
      </c>
      <c r="C243" t="s">
        <v>544</v>
      </c>
      <c r="D243" s="138">
        <v>890000</v>
      </c>
      <c r="E243" t="s">
        <v>369</v>
      </c>
      <c r="F243" s="20" t="s">
        <v>370</v>
      </c>
      <c r="G243" s="8" t="str">
        <f t="shared" si="6"/>
        <v>LOZA FIDEL</v>
      </c>
      <c r="H243" s="20" t="str">
        <f t="shared" si="7"/>
        <v>4030</v>
      </c>
    </row>
    <row r="244" spans="1:8" x14ac:dyDescent="0.25">
      <c r="A244" s="8">
        <v>42999.971516203703</v>
      </c>
      <c r="B244" t="s">
        <v>519</v>
      </c>
      <c r="C244" t="s">
        <v>545</v>
      </c>
      <c r="D244" s="138">
        <v>2620000</v>
      </c>
      <c r="E244" t="s">
        <v>383</v>
      </c>
      <c r="F244" s="20" t="s">
        <v>384</v>
      </c>
      <c r="G244" s="8" t="str">
        <f t="shared" si="6"/>
        <v>PERKINS DARREN</v>
      </c>
      <c r="H244" s="20" t="str">
        <f t="shared" si="7"/>
        <v>4009</v>
      </c>
    </row>
    <row r="245" spans="1:8" x14ac:dyDescent="0.25">
      <c r="A245" s="8">
        <v>42999.97179398148</v>
      </c>
      <c r="B245" t="s">
        <v>425</v>
      </c>
      <c r="C245" t="s">
        <v>541</v>
      </c>
      <c r="D245" s="138">
        <v>2440000</v>
      </c>
      <c r="E245" t="s">
        <v>539</v>
      </c>
      <c r="F245" s="20" t="s">
        <v>540</v>
      </c>
      <c r="G245" s="8" t="str">
        <f t="shared" si="6"/>
        <v>LOPES KIMBERLY</v>
      </c>
      <c r="H245" s="20" t="str">
        <f t="shared" si="7"/>
        <v>4024</v>
      </c>
    </row>
    <row r="246" spans="1:8" x14ac:dyDescent="0.25">
      <c r="A246" s="8">
        <v>42999.977789351855</v>
      </c>
      <c r="B246" t="s">
        <v>517</v>
      </c>
      <c r="C246" t="s">
        <v>546</v>
      </c>
      <c r="D246" s="138">
        <v>3280000</v>
      </c>
      <c r="E246" t="s">
        <v>459</v>
      </c>
      <c r="F246" s="20" t="s">
        <v>460</v>
      </c>
      <c r="G246" s="8" t="str">
        <f t="shared" si="6"/>
        <v>BIRKHOLZ NADINE</v>
      </c>
      <c r="H246" s="20" t="str">
        <f t="shared" si="7"/>
        <v>4031</v>
      </c>
    </row>
    <row r="247" spans="1:8" x14ac:dyDescent="0.25">
      <c r="A247" s="8">
        <v>42999.981793981482</v>
      </c>
      <c r="B247" t="s">
        <v>424</v>
      </c>
      <c r="C247" t="s">
        <v>538</v>
      </c>
      <c r="D247" s="138">
        <v>2440000</v>
      </c>
      <c r="E247" t="s">
        <v>539</v>
      </c>
      <c r="F247" s="20" t="s">
        <v>540</v>
      </c>
      <c r="G247" s="8" t="str">
        <f t="shared" si="6"/>
        <v>LOPES KIMBERLY</v>
      </c>
      <c r="H247" s="20" t="str">
        <f t="shared" si="7"/>
        <v>4023</v>
      </c>
    </row>
    <row r="248" spans="1:8" x14ac:dyDescent="0.25">
      <c r="A248" s="8">
        <v>42999.98940972222</v>
      </c>
      <c r="B248" t="s">
        <v>528</v>
      </c>
      <c r="C248" t="s">
        <v>547</v>
      </c>
      <c r="D248" s="138">
        <v>3340000</v>
      </c>
      <c r="E248" t="s">
        <v>536</v>
      </c>
      <c r="F248" s="20" t="s">
        <v>537</v>
      </c>
      <c r="G248" s="8" t="str">
        <f t="shared" si="6"/>
        <v>ELBAUM MIKE</v>
      </c>
      <c r="H248" s="20" t="str">
        <f t="shared" si="7"/>
        <v>4014</v>
      </c>
    </row>
    <row r="249" spans="1:8" x14ac:dyDescent="0.25">
      <c r="A249" s="8">
        <v>42999.993564814817</v>
      </c>
      <c r="B249" t="s">
        <v>418</v>
      </c>
      <c r="C249" t="s">
        <v>548</v>
      </c>
      <c r="D249" s="138">
        <v>3190000</v>
      </c>
      <c r="E249" t="s">
        <v>385</v>
      </c>
      <c r="F249" s="20" t="s">
        <v>386</v>
      </c>
      <c r="G249" s="8" t="str">
        <f t="shared" si="6"/>
        <v>HART KEVIN</v>
      </c>
      <c r="H249" s="20" t="str">
        <f t="shared" si="7"/>
        <v>4057</v>
      </c>
    </row>
    <row r="250" spans="1:8" x14ac:dyDescent="0.25">
      <c r="A250" s="8">
        <v>43000.006585648145</v>
      </c>
      <c r="B250" t="s">
        <v>436</v>
      </c>
      <c r="C250" t="s">
        <v>549</v>
      </c>
      <c r="D250" s="138">
        <v>2620000</v>
      </c>
      <c r="E250" t="s">
        <v>383</v>
      </c>
      <c r="F250" s="20" t="s">
        <v>384</v>
      </c>
      <c r="G250" s="8" t="str">
        <f t="shared" si="6"/>
        <v>PERKINS DARREN</v>
      </c>
      <c r="H250" s="20" t="str">
        <f t="shared" si="7"/>
        <v>4010</v>
      </c>
    </row>
    <row r="251" spans="1:8" x14ac:dyDescent="0.25">
      <c r="A251" s="8">
        <v>43000.017881944441</v>
      </c>
      <c r="B251" t="s">
        <v>396</v>
      </c>
      <c r="C251" t="s">
        <v>522</v>
      </c>
      <c r="D251" s="138">
        <v>890000</v>
      </c>
      <c r="E251" t="s">
        <v>369</v>
      </c>
      <c r="F251" s="20" t="s">
        <v>370</v>
      </c>
      <c r="G251" s="8" t="str">
        <f t="shared" si="6"/>
        <v>LOZA FIDEL</v>
      </c>
      <c r="H251" s="20" t="str">
        <f t="shared" si="7"/>
        <v>4029</v>
      </c>
    </row>
    <row r="252" spans="1:8" x14ac:dyDescent="0.25">
      <c r="A252" s="8">
        <v>43000.025775462964</v>
      </c>
      <c r="B252" t="s">
        <v>525</v>
      </c>
      <c r="C252" t="s">
        <v>550</v>
      </c>
      <c r="D252" s="138">
        <v>3340000</v>
      </c>
      <c r="E252" t="s">
        <v>536</v>
      </c>
      <c r="F252" s="20" t="s">
        <v>537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524</v>
      </c>
      <c r="C253" t="s">
        <v>551</v>
      </c>
      <c r="D253" s="138">
        <v>3190000</v>
      </c>
      <c r="E253" t="s">
        <v>385</v>
      </c>
      <c r="F253" s="20" t="s">
        <v>386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425</v>
      </c>
      <c r="C254" t="s">
        <v>541</v>
      </c>
      <c r="D254" s="138">
        <v>2440000</v>
      </c>
      <c r="E254" t="s">
        <v>539</v>
      </c>
      <c r="F254" s="20" t="s">
        <v>540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372</v>
      </c>
      <c r="C255" t="s">
        <v>552</v>
      </c>
      <c r="D255" s="138">
        <v>890000</v>
      </c>
      <c r="E255" t="s">
        <v>369</v>
      </c>
      <c r="F255" s="20" t="s">
        <v>370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519</v>
      </c>
      <c r="C256" t="s">
        <v>523</v>
      </c>
      <c r="D256" s="138">
        <v>2620000</v>
      </c>
      <c r="E256" t="s">
        <v>383</v>
      </c>
      <c r="F256" s="20" t="s">
        <v>384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528</v>
      </c>
      <c r="C257" t="s">
        <v>553</v>
      </c>
      <c r="D257" s="138">
        <v>3340000</v>
      </c>
      <c r="E257" t="s">
        <v>536</v>
      </c>
      <c r="F257" s="20" t="s">
        <v>537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402</v>
      </c>
      <c r="C258" t="s">
        <v>554</v>
      </c>
      <c r="D258" s="138">
        <v>3320000</v>
      </c>
      <c r="E258" t="s">
        <v>389</v>
      </c>
      <c r="F258" s="20" t="s">
        <v>390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436</v>
      </c>
      <c r="C259" t="s">
        <v>555</v>
      </c>
      <c r="D259" s="138">
        <v>2620000</v>
      </c>
      <c r="E259" t="s">
        <v>383</v>
      </c>
      <c r="F259" s="20" t="s">
        <v>384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473</v>
      </c>
      <c r="C260" t="s">
        <v>556</v>
      </c>
      <c r="D260" s="138">
        <v>1830000</v>
      </c>
      <c r="E260" t="s">
        <v>415</v>
      </c>
      <c r="F260" s="20" t="s">
        <v>416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418</v>
      </c>
      <c r="C261" t="s">
        <v>557</v>
      </c>
      <c r="D261" s="138">
        <v>900000</v>
      </c>
      <c r="E261" t="s">
        <v>477</v>
      </c>
      <c r="F261" s="20" t="s">
        <v>478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472</v>
      </c>
      <c r="C262" t="s">
        <v>496</v>
      </c>
      <c r="D262" s="138">
        <v>2620000</v>
      </c>
      <c r="E262" t="s">
        <v>383</v>
      </c>
      <c r="F262" s="20" t="s">
        <v>384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424</v>
      </c>
      <c r="C263" t="s">
        <v>475</v>
      </c>
      <c r="D263" s="138">
        <v>3310000</v>
      </c>
      <c r="E263" t="s">
        <v>494</v>
      </c>
      <c r="F263" s="20" t="s">
        <v>495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424</v>
      </c>
      <c r="C264" t="s">
        <v>475</v>
      </c>
      <c r="D264" s="138">
        <v>3310000</v>
      </c>
      <c r="E264" t="s">
        <v>494</v>
      </c>
      <c r="F264" s="20" t="s">
        <v>495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434</v>
      </c>
      <c r="C265" t="s">
        <v>497</v>
      </c>
      <c r="D265" s="138">
        <v>890000</v>
      </c>
      <c r="E265" t="s">
        <v>369</v>
      </c>
      <c r="F265" s="20" t="s">
        <v>370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474</v>
      </c>
      <c r="C266" t="s">
        <v>498</v>
      </c>
      <c r="D266" s="138">
        <v>2680000</v>
      </c>
      <c r="E266" t="s">
        <v>381</v>
      </c>
      <c r="F266" s="20" t="s">
        <v>382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471</v>
      </c>
      <c r="C267" t="s">
        <v>498</v>
      </c>
      <c r="D267" s="138">
        <v>2680000</v>
      </c>
      <c r="E267" t="s">
        <v>381</v>
      </c>
      <c r="F267" s="20" t="s">
        <v>382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414</v>
      </c>
      <c r="C268" t="s">
        <v>476</v>
      </c>
      <c r="D268" s="138">
        <v>3190000</v>
      </c>
      <c r="E268" t="s">
        <v>385</v>
      </c>
      <c r="F268" s="20" t="s">
        <v>386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437</v>
      </c>
      <c r="C269" t="s">
        <v>499</v>
      </c>
      <c r="D269" s="138">
        <v>890000</v>
      </c>
      <c r="E269" t="s">
        <v>369</v>
      </c>
      <c r="F269" s="20" t="s">
        <v>370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474</v>
      </c>
      <c r="C270" t="s">
        <v>498</v>
      </c>
      <c r="D270" s="138">
        <v>2680000</v>
      </c>
      <c r="E270" t="s">
        <v>381</v>
      </c>
      <c r="F270" s="20" t="s">
        <v>382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414</v>
      </c>
      <c r="C271" t="s">
        <v>476</v>
      </c>
      <c r="D271" s="138">
        <v>3190000</v>
      </c>
      <c r="E271" t="s">
        <v>385</v>
      </c>
      <c r="F271" s="20" t="s">
        <v>386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450</v>
      </c>
      <c r="C272" t="s">
        <v>500</v>
      </c>
      <c r="D272" s="138">
        <v>3190000</v>
      </c>
      <c r="E272" t="s">
        <v>385</v>
      </c>
      <c r="F272" s="20" t="s">
        <v>386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426</v>
      </c>
      <c r="C273" t="s">
        <v>501</v>
      </c>
      <c r="D273" s="138">
        <v>1830000</v>
      </c>
      <c r="E273" t="s">
        <v>415</v>
      </c>
      <c r="F273" s="20" t="s">
        <v>416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activeCell="J32" sqref="J32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819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345</v>
      </c>
      <c r="P1" s="218" t="s">
        <v>155</v>
      </c>
      <c r="Q1" s="218" t="s">
        <v>162</v>
      </c>
      <c r="R1" s="218" t="s">
        <v>346</v>
      </c>
      <c r="S1" s="218" t="s">
        <v>159</v>
      </c>
    </row>
    <row r="2" spans="1:19" x14ac:dyDescent="0.25">
      <c r="A2" s="196">
        <v>55.99</v>
      </c>
      <c r="B2" s="196">
        <v>0.21</v>
      </c>
      <c r="C2" s="196">
        <v>38.770000000000003</v>
      </c>
      <c r="D2" s="8">
        <v>43001</v>
      </c>
      <c r="E2" s="196">
        <v>0.52</v>
      </c>
      <c r="F2" s="196" t="s">
        <v>365</v>
      </c>
      <c r="G2" s="196">
        <v>263.99</v>
      </c>
      <c r="H2" s="196">
        <v>0</v>
      </c>
      <c r="I2" s="196">
        <v>0</v>
      </c>
      <c r="J2" s="196"/>
      <c r="K2" s="196">
        <v>1008.34</v>
      </c>
      <c r="L2" s="196" t="s">
        <v>364</v>
      </c>
      <c r="M2" s="196">
        <v>55.99</v>
      </c>
      <c r="N2" s="196">
        <v>1506146400</v>
      </c>
      <c r="O2" s="196">
        <v>0</v>
      </c>
      <c r="P2" s="196">
        <v>3.69</v>
      </c>
      <c r="Q2" s="196">
        <v>338</v>
      </c>
      <c r="R2" s="196">
        <v>6.25</v>
      </c>
      <c r="S2" s="196">
        <v>2.74</v>
      </c>
    </row>
    <row r="3" spans="1:19" x14ac:dyDescent="0.25">
      <c r="A3" s="196">
        <v>54.45</v>
      </c>
      <c r="B3" s="196">
        <v>0.2</v>
      </c>
      <c r="C3" s="196">
        <v>38.54</v>
      </c>
      <c r="D3" s="8">
        <v>43001.041666666664</v>
      </c>
      <c r="E3" s="196">
        <v>0.55000000000000004</v>
      </c>
      <c r="F3" s="196" t="s">
        <v>365</v>
      </c>
      <c r="G3" s="196">
        <v>263.74</v>
      </c>
      <c r="H3" s="196">
        <v>0</v>
      </c>
      <c r="I3" s="196">
        <v>0</v>
      </c>
      <c r="J3" s="196"/>
      <c r="K3" s="196">
        <v>1008.71</v>
      </c>
      <c r="L3" s="196" t="s">
        <v>364</v>
      </c>
      <c r="M3" s="196">
        <v>54.45</v>
      </c>
      <c r="N3" s="196">
        <v>1506150000</v>
      </c>
      <c r="O3" s="196">
        <v>0</v>
      </c>
      <c r="P3" s="196">
        <v>3.83</v>
      </c>
      <c r="Q3" s="196">
        <v>334</v>
      </c>
      <c r="R3" s="196">
        <v>7.42</v>
      </c>
      <c r="S3" s="196">
        <v>2.86</v>
      </c>
    </row>
    <row r="4" spans="1:19" x14ac:dyDescent="0.25">
      <c r="A4" s="196">
        <v>52.68</v>
      </c>
      <c r="B4" s="196">
        <v>0.21</v>
      </c>
      <c r="C4" s="196">
        <v>38.299999999999997</v>
      </c>
      <c r="D4" s="8">
        <v>43001.083333333336</v>
      </c>
      <c r="E4" s="196">
        <v>0.57999999999999996</v>
      </c>
      <c r="F4" s="196" t="s">
        <v>365</v>
      </c>
      <c r="G4" s="196">
        <v>262.98</v>
      </c>
      <c r="H4" s="196">
        <v>5.0000000000000001E-4</v>
      </c>
      <c r="I4" s="196">
        <v>0.01</v>
      </c>
      <c r="J4" s="196" t="s">
        <v>820</v>
      </c>
      <c r="K4" s="196">
        <v>1008.92</v>
      </c>
      <c r="L4" s="196" t="s">
        <v>364</v>
      </c>
      <c r="M4" s="196">
        <v>52.68</v>
      </c>
      <c r="N4" s="196">
        <v>1506153600</v>
      </c>
      <c r="O4" s="196">
        <v>0</v>
      </c>
      <c r="P4" s="196">
        <v>3.69</v>
      </c>
      <c r="Q4" s="196">
        <v>21</v>
      </c>
      <c r="R4" s="196">
        <v>6.12</v>
      </c>
      <c r="S4" s="196">
        <v>2</v>
      </c>
    </row>
    <row r="5" spans="1:19" x14ac:dyDescent="0.25">
      <c r="A5" s="196">
        <v>51.38</v>
      </c>
      <c r="B5" s="196">
        <v>0.5</v>
      </c>
      <c r="C5" s="196">
        <v>38.33</v>
      </c>
      <c r="D5" s="8">
        <v>43001.125</v>
      </c>
      <c r="E5" s="196">
        <v>0.61</v>
      </c>
      <c r="F5" s="196" t="s">
        <v>821</v>
      </c>
      <c r="G5" s="196">
        <v>262.22000000000003</v>
      </c>
      <c r="H5" s="196">
        <v>0</v>
      </c>
      <c r="I5" s="196">
        <v>0</v>
      </c>
      <c r="J5" s="196"/>
      <c r="K5" s="196">
        <v>1008.9</v>
      </c>
      <c r="L5" s="196" t="s">
        <v>822</v>
      </c>
      <c r="M5" s="196">
        <v>51.38</v>
      </c>
      <c r="N5" s="196">
        <v>1506157200</v>
      </c>
      <c r="O5" s="196">
        <v>0</v>
      </c>
      <c r="P5" s="196">
        <v>3.69</v>
      </c>
      <c r="Q5" s="196">
        <v>17</v>
      </c>
      <c r="R5" s="196">
        <v>3.83</v>
      </c>
      <c r="S5" s="196">
        <v>1.69</v>
      </c>
    </row>
    <row r="6" spans="1:19" x14ac:dyDescent="0.25">
      <c r="A6" s="196">
        <v>49.51</v>
      </c>
      <c r="B6" s="196">
        <v>0.48</v>
      </c>
      <c r="C6" s="196">
        <v>38.54</v>
      </c>
      <c r="D6" s="8">
        <v>43001.166666666664</v>
      </c>
      <c r="E6" s="196">
        <v>0.66</v>
      </c>
      <c r="F6" s="196" t="s">
        <v>821</v>
      </c>
      <c r="G6" s="196">
        <v>261.97000000000003</v>
      </c>
      <c r="H6" s="196">
        <v>6.9999999999999999E-4</v>
      </c>
      <c r="I6" s="196">
        <v>0.02</v>
      </c>
      <c r="J6" s="196" t="s">
        <v>820</v>
      </c>
      <c r="K6" s="196">
        <v>1009.68</v>
      </c>
      <c r="L6" s="196" t="s">
        <v>822</v>
      </c>
      <c r="M6" s="196">
        <v>49.51</v>
      </c>
      <c r="N6" s="196">
        <v>1506160800</v>
      </c>
      <c r="O6" s="196">
        <v>0</v>
      </c>
      <c r="P6" s="196">
        <v>3.69</v>
      </c>
      <c r="Q6" s="196">
        <v>347</v>
      </c>
      <c r="R6" s="196">
        <v>3.76</v>
      </c>
      <c r="S6" s="196">
        <v>1.36</v>
      </c>
    </row>
    <row r="7" spans="1:19" x14ac:dyDescent="0.25">
      <c r="A7" s="196">
        <v>48.78</v>
      </c>
      <c r="B7" s="196">
        <v>0.56999999999999995</v>
      </c>
      <c r="C7" s="196">
        <v>39.090000000000003</v>
      </c>
      <c r="D7" s="8">
        <v>43001.208333333336</v>
      </c>
      <c r="E7" s="196">
        <v>0.69</v>
      </c>
      <c r="F7" s="196" t="s">
        <v>821</v>
      </c>
      <c r="G7" s="196">
        <v>261.58999999999997</v>
      </c>
      <c r="H7" s="196">
        <v>2.9999999999999997E-4</v>
      </c>
      <c r="I7" s="196">
        <v>0.01</v>
      </c>
      <c r="J7" s="196" t="s">
        <v>820</v>
      </c>
      <c r="K7" s="196">
        <v>1010.3</v>
      </c>
      <c r="L7" s="196" t="s">
        <v>822</v>
      </c>
      <c r="M7" s="196">
        <v>48.78</v>
      </c>
      <c r="N7" s="196">
        <v>1506164400</v>
      </c>
      <c r="O7" s="196">
        <v>0</v>
      </c>
      <c r="P7" s="196">
        <v>3.69</v>
      </c>
      <c r="Q7" s="196">
        <v>1</v>
      </c>
      <c r="R7" s="196">
        <v>3.83</v>
      </c>
      <c r="S7" s="196">
        <v>1.36</v>
      </c>
    </row>
    <row r="8" spans="1:19" x14ac:dyDescent="0.25">
      <c r="A8" s="196">
        <v>47.52</v>
      </c>
      <c r="B8" s="196">
        <v>0.56999999999999995</v>
      </c>
      <c r="C8" s="196">
        <v>40.53</v>
      </c>
      <c r="D8" s="8">
        <v>43001.25</v>
      </c>
      <c r="E8" s="196">
        <v>0.77</v>
      </c>
      <c r="F8" s="196" t="s">
        <v>821</v>
      </c>
      <c r="G8" s="196">
        <v>259.92</v>
      </c>
      <c r="H8" s="196">
        <v>0</v>
      </c>
      <c r="I8" s="196">
        <v>0</v>
      </c>
      <c r="J8" s="196"/>
      <c r="K8" s="196">
        <v>1010.62</v>
      </c>
      <c r="L8" s="196" t="s">
        <v>822</v>
      </c>
      <c r="M8" s="196">
        <v>47.52</v>
      </c>
      <c r="N8" s="196">
        <v>1506168000</v>
      </c>
      <c r="O8" s="196">
        <v>0</v>
      </c>
      <c r="P8" s="196">
        <v>3.43</v>
      </c>
      <c r="Q8" s="196">
        <v>342</v>
      </c>
      <c r="R8" s="196">
        <v>4.7699999999999996</v>
      </c>
      <c r="S8" s="196">
        <v>1.71</v>
      </c>
    </row>
    <row r="9" spans="1:19" x14ac:dyDescent="0.25">
      <c r="A9" s="196">
        <v>46.28</v>
      </c>
      <c r="B9" s="196">
        <v>0.56999999999999995</v>
      </c>
      <c r="C9" s="196">
        <v>40.81</v>
      </c>
      <c r="D9" s="8">
        <v>43001.291666666664</v>
      </c>
      <c r="E9" s="196">
        <v>0.81</v>
      </c>
      <c r="F9" s="196" t="s">
        <v>823</v>
      </c>
      <c r="G9" s="196">
        <v>260.18</v>
      </c>
      <c r="H9" s="196">
        <v>0</v>
      </c>
      <c r="I9" s="196">
        <v>0</v>
      </c>
      <c r="J9" s="196"/>
      <c r="K9" s="196">
        <v>1011.55</v>
      </c>
      <c r="L9" s="196" t="s">
        <v>822</v>
      </c>
      <c r="M9" s="196">
        <v>46.28</v>
      </c>
      <c r="N9" s="196">
        <v>1506171600</v>
      </c>
      <c r="O9" s="196">
        <v>0</v>
      </c>
      <c r="P9" s="196">
        <v>3.96</v>
      </c>
      <c r="Q9" s="196">
        <v>340</v>
      </c>
      <c r="R9" s="196">
        <v>4.17</v>
      </c>
      <c r="S9" s="196">
        <v>1.8</v>
      </c>
    </row>
    <row r="10" spans="1:19" x14ac:dyDescent="0.25">
      <c r="A10" s="196">
        <v>46.9</v>
      </c>
      <c r="B10" s="196">
        <v>0.63</v>
      </c>
      <c r="C10" s="196">
        <v>41.47</v>
      </c>
      <c r="D10" s="8">
        <v>43001.333333333336</v>
      </c>
      <c r="E10" s="196">
        <v>0.81</v>
      </c>
      <c r="F10" s="196" t="s">
        <v>823</v>
      </c>
      <c r="G10" s="196">
        <v>260.56</v>
      </c>
      <c r="H10" s="196">
        <v>2.9999999999999997E-4</v>
      </c>
      <c r="I10" s="196">
        <v>0.01</v>
      </c>
      <c r="J10" s="196" t="s">
        <v>820</v>
      </c>
      <c r="K10" s="196">
        <v>1012.02</v>
      </c>
      <c r="L10" s="196" t="s">
        <v>824</v>
      </c>
      <c r="M10" s="196">
        <v>46.9</v>
      </c>
      <c r="N10" s="196">
        <v>1506175200</v>
      </c>
      <c r="O10" s="196">
        <v>1</v>
      </c>
      <c r="P10" s="196">
        <v>3.82</v>
      </c>
      <c r="Q10" s="196">
        <v>351</v>
      </c>
      <c r="R10" s="196">
        <v>4.26</v>
      </c>
      <c r="S10" s="196">
        <v>1.63</v>
      </c>
    </row>
    <row r="11" spans="1:19" x14ac:dyDescent="0.25">
      <c r="A11" s="196">
        <v>47.9</v>
      </c>
      <c r="B11" s="196">
        <v>0.67</v>
      </c>
      <c r="C11" s="196">
        <v>41.98</v>
      </c>
      <c r="D11" s="8">
        <v>43001.375</v>
      </c>
      <c r="E11" s="196">
        <v>0.8</v>
      </c>
      <c r="F11" s="196" t="s">
        <v>823</v>
      </c>
      <c r="G11" s="196">
        <v>261.07</v>
      </c>
      <c r="H11" s="196">
        <v>2.0000000000000001E-4</v>
      </c>
      <c r="I11" s="196">
        <v>0.01</v>
      </c>
      <c r="J11" s="196" t="s">
        <v>820</v>
      </c>
      <c r="K11" s="196">
        <v>1011.54</v>
      </c>
      <c r="L11" s="196" t="s">
        <v>824</v>
      </c>
      <c r="M11" s="196">
        <v>47.9</v>
      </c>
      <c r="N11" s="196">
        <v>1506178800</v>
      </c>
      <c r="O11" s="196">
        <v>1</v>
      </c>
      <c r="P11" s="196">
        <v>3.42</v>
      </c>
      <c r="Q11" s="196">
        <v>354</v>
      </c>
      <c r="R11" s="196">
        <v>4.58</v>
      </c>
      <c r="S11" s="196">
        <v>1.45</v>
      </c>
    </row>
    <row r="12" spans="1:19" x14ac:dyDescent="0.25">
      <c r="A12" s="196">
        <v>49.64</v>
      </c>
      <c r="B12" s="196">
        <v>0.84</v>
      </c>
      <c r="C12" s="196">
        <v>42.36</v>
      </c>
      <c r="D12" s="8">
        <v>43001.416666666664</v>
      </c>
      <c r="E12" s="196">
        <v>0.76</v>
      </c>
      <c r="F12" s="196" t="s">
        <v>823</v>
      </c>
      <c r="G12" s="196">
        <v>261.58</v>
      </c>
      <c r="H12" s="196">
        <v>2.9999999999999997E-4</v>
      </c>
      <c r="I12" s="196">
        <v>0.01</v>
      </c>
      <c r="J12" s="196" t="s">
        <v>820</v>
      </c>
      <c r="K12" s="196">
        <v>1011.45</v>
      </c>
      <c r="L12" s="196" t="s">
        <v>824</v>
      </c>
      <c r="M12" s="196">
        <v>49.64</v>
      </c>
      <c r="N12" s="196">
        <v>1506182400</v>
      </c>
      <c r="O12" s="196">
        <v>2</v>
      </c>
      <c r="P12" s="196">
        <v>3.69</v>
      </c>
      <c r="Q12" s="196">
        <v>23</v>
      </c>
      <c r="R12" s="196">
        <v>4.7699999999999996</v>
      </c>
      <c r="S12" s="196">
        <v>1.8</v>
      </c>
    </row>
    <row r="13" spans="1:19" x14ac:dyDescent="0.25">
      <c r="A13" s="196">
        <v>51.57</v>
      </c>
      <c r="B13" s="196">
        <v>0.82</v>
      </c>
      <c r="C13" s="196">
        <v>42.68</v>
      </c>
      <c r="D13" s="8">
        <v>43001.458333333336</v>
      </c>
      <c r="E13" s="196">
        <v>0.72</v>
      </c>
      <c r="F13" s="196" t="s">
        <v>823</v>
      </c>
      <c r="G13" s="196">
        <v>261.83</v>
      </c>
      <c r="H13" s="196">
        <v>2.9999999999999997E-4</v>
      </c>
      <c r="I13" s="196">
        <v>0.02</v>
      </c>
      <c r="J13" s="196" t="s">
        <v>820</v>
      </c>
      <c r="K13" s="196">
        <v>1011.57</v>
      </c>
      <c r="L13" s="196" t="s">
        <v>824</v>
      </c>
      <c r="M13" s="196">
        <v>51.57</v>
      </c>
      <c r="N13" s="196">
        <v>1506186000</v>
      </c>
      <c r="O13" s="196">
        <v>3</v>
      </c>
      <c r="P13" s="196">
        <v>3.6</v>
      </c>
      <c r="Q13" s="196">
        <v>63</v>
      </c>
      <c r="R13" s="196">
        <v>4.88</v>
      </c>
      <c r="S13" s="196">
        <v>1.45</v>
      </c>
    </row>
    <row r="14" spans="1:19" x14ac:dyDescent="0.25">
      <c r="A14" s="196">
        <v>52.01</v>
      </c>
      <c r="B14" s="196">
        <v>0.82</v>
      </c>
      <c r="C14" s="196">
        <v>42.94</v>
      </c>
      <c r="D14" s="8">
        <v>43001.5</v>
      </c>
      <c r="E14" s="196">
        <v>0.71</v>
      </c>
      <c r="F14" s="196" t="s">
        <v>823</v>
      </c>
      <c r="G14" s="196">
        <v>259.27</v>
      </c>
      <c r="H14" s="196">
        <v>2.9999999999999997E-4</v>
      </c>
      <c r="I14" s="196">
        <v>0.02</v>
      </c>
      <c r="J14" s="196" t="s">
        <v>820</v>
      </c>
      <c r="K14" s="196">
        <v>1011.09</v>
      </c>
      <c r="L14" s="196" t="s">
        <v>824</v>
      </c>
      <c r="M14" s="196">
        <v>52.01</v>
      </c>
      <c r="N14" s="196">
        <v>1506189600</v>
      </c>
      <c r="O14" s="196">
        <v>4</v>
      </c>
      <c r="P14" s="196">
        <v>3.69</v>
      </c>
      <c r="Q14" s="196">
        <v>76</v>
      </c>
      <c r="R14" s="196">
        <v>7.78</v>
      </c>
      <c r="S14" s="196">
        <v>2.67</v>
      </c>
    </row>
    <row r="15" spans="1:19" x14ac:dyDescent="0.25">
      <c r="A15" s="196">
        <v>51.98</v>
      </c>
      <c r="B15" s="196">
        <v>0.77</v>
      </c>
      <c r="C15" s="196">
        <v>43.25</v>
      </c>
      <c r="D15" s="8">
        <v>43001.541666666664</v>
      </c>
      <c r="E15" s="196">
        <v>0.72</v>
      </c>
      <c r="F15" s="196" t="s">
        <v>823</v>
      </c>
      <c r="G15" s="196">
        <v>260.04000000000002</v>
      </c>
      <c r="H15" s="196">
        <v>2.0000000000000001E-4</v>
      </c>
      <c r="I15" s="196">
        <v>0.02</v>
      </c>
      <c r="J15" s="196" t="s">
        <v>820</v>
      </c>
      <c r="K15" s="196">
        <v>1010.52</v>
      </c>
      <c r="L15" s="196" t="s">
        <v>824</v>
      </c>
      <c r="M15" s="196">
        <v>51.98</v>
      </c>
      <c r="N15" s="196">
        <v>1506193200</v>
      </c>
      <c r="O15" s="196">
        <v>5</v>
      </c>
      <c r="P15" s="196">
        <v>3.83</v>
      </c>
      <c r="Q15" s="196">
        <v>44</v>
      </c>
      <c r="R15" s="196">
        <v>5.9</v>
      </c>
      <c r="S15" s="196">
        <v>2.15</v>
      </c>
    </row>
    <row r="16" spans="1:19" x14ac:dyDescent="0.25">
      <c r="A16" s="196">
        <v>52.55</v>
      </c>
      <c r="B16" s="196">
        <v>0.89</v>
      </c>
      <c r="C16" s="196">
        <v>43.53</v>
      </c>
      <c r="D16" s="8">
        <v>43001.583333333336</v>
      </c>
      <c r="E16" s="196">
        <v>0.71</v>
      </c>
      <c r="F16" s="196" t="s">
        <v>823</v>
      </c>
      <c r="G16" s="196">
        <v>261.44</v>
      </c>
      <c r="H16" s="196">
        <v>2.0000000000000001E-4</v>
      </c>
      <c r="I16" s="196">
        <v>0.02</v>
      </c>
      <c r="J16" s="196" t="s">
        <v>820</v>
      </c>
      <c r="K16" s="196">
        <v>1008.88</v>
      </c>
      <c r="L16" s="196" t="s">
        <v>824</v>
      </c>
      <c r="M16" s="196">
        <v>52.55</v>
      </c>
      <c r="N16" s="196">
        <v>1506196800</v>
      </c>
      <c r="O16" s="196">
        <v>4</v>
      </c>
      <c r="P16" s="196">
        <v>3.6</v>
      </c>
      <c r="Q16" s="196">
        <v>5</v>
      </c>
      <c r="R16" s="196">
        <v>6.09</v>
      </c>
      <c r="S16" s="196">
        <v>2.16</v>
      </c>
    </row>
    <row r="17" spans="1:19" x14ac:dyDescent="0.25">
      <c r="A17" s="196">
        <v>51.82</v>
      </c>
      <c r="B17" s="196">
        <v>0.84</v>
      </c>
      <c r="C17" s="196">
        <v>43.73</v>
      </c>
      <c r="D17" s="8">
        <v>43001.625</v>
      </c>
      <c r="E17" s="196">
        <v>0.74</v>
      </c>
      <c r="F17" s="196" t="s">
        <v>823</v>
      </c>
      <c r="G17" s="196">
        <v>262.83</v>
      </c>
      <c r="H17" s="196">
        <v>1.1999999999999999E-3</v>
      </c>
      <c r="I17" s="196">
        <v>0.06</v>
      </c>
      <c r="J17" s="196" t="s">
        <v>820</v>
      </c>
      <c r="K17" s="196">
        <v>1009.35</v>
      </c>
      <c r="L17" s="196" t="s">
        <v>824</v>
      </c>
      <c r="M17" s="196">
        <v>51.82</v>
      </c>
      <c r="N17" s="196">
        <v>1506200400</v>
      </c>
      <c r="O17" s="196">
        <v>3</v>
      </c>
      <c r="P17" s="196">
        <v>3.65</v>
      </c>
      <c r="Q17" s="196">
        <v>10</v>
      </c>
      <c r="R17" s="196">
        <v>6.99</v>
      </c>
      <c r="S17" s="196">
        <v>3.08</v>
      </c>
    </row>
    <row r="18" spans="1:19" x14ac:dyDescent="0.25">
      <c r="A18" s="196">
        <v>50.61</v>
      </c>
      <c r="B18" s="196">
        <v>1</v>
      </c>
      <c r="C18" s="196">
        <v>44.58</v>
      </c>
      <c r="D18" s="8">
        <v>43001.666666666664</v>
      </c>
      <c r="E18" s="196">
        <v>0.8</v>
      </c>
      <c r="F18" s="196" t="s">
        <v>825</v>
      </c>
      <c r="G18" s="196">
        <v>264.35000000000002</v>
      </c>
      <c r="H18" s="196">
        <v>6.9999999999999999E-4</v>
      </c>
      <c r="I18" s="196">
        <v>0.06</v>
      </c>
      <c r="J18" s="196" t="s">
        <v>820</v>
      </c>
      <c r="K18" s="196">
        <v>1009.45</v>
      </c>
      <c r="L18" s="196" t="s">
        <v>826</v>
      </c>
      <c r="M18" s="196">
        <v>50.61</v>
      </c>
      <c r="N18" s="196">
        <v>1506204000</v>
      </c>
      <c r="O18" s="196">
        <v>1</v>
      </c>
      <c r="P18" s="196">
        <v>3.49</v>
      </c>
      <c r="Q18" s="196">
        <v>23</v>
      </c>
      <c r="R18" s="196">
        <v>8.0399999999999991</v>
      </c>
      <c r="S18" s="196">
        <v>3.47</v>
      </c>
    </row>
    <row r="19" spans="1:19" x14ac:dyDescent="0.25">
      <c r="A19" s="196">
        <v>47.2</v>
      </c>
      <c r="B19" s="196">
        <v>0.83</v>
      </c>
      <c r="C19" s="196">
        <v>44.56</v>
      </c>
      <c r="D19" s="8">
        <v>43001.708333333336</v>
      </c>
      <c r="E19" s="196">
        <v>0.85</v>
      </c>
      <c r="F19" s="196" t="s">
        <v>827</v>
      </c>
      <c r="G19" s="196">
        <v>265.86</v>
      </c>
      <c r="H19" s="196">
        <v>2.2000000000000001E-3</v>
      </c>
      <c r="I19" s="196">
        <v>0.19</v>
      </c>
      <c r="J19" s="196" t="s">
        <v>820</v>
      </c>
      <c r="K19" s="196">
        <v>1010.58</v>
      </c>
      <c r="L19" s="196" t="s">
        <v>828</v>
      </c>
      <c r="M19" s="196">
        <v>48.82</v>
      </c>
      <c r="N19" s="196">
        <v>1506207600</v>
      </c>
      <c r="O19" s="196">
        <v>1</v>
      </c>
      <c r="P19" s="196">
        <v>1.66</v>
      </c>
      <c r="Q19" s="196">
        <v>352</v>
      </c>
      <c r="R19" s="196">
        <v>10.17</v>
      </c>
      <c r="S19" s="196">
        <v>4.43</v>
      </c>
    </row>
    <row r="20" spans="1:19" x14ac:dyDescent="0.25">
      <c r="A20" s="196">
        <v>45.17</v>
      </c>
      <c r="B20" s="196">
        <v>0.63</v>
      </c>
      <c r="C20" s="196">
        <v>44.58</v>
      </c>
      <c r="D20" s="8">
        <v>43001.75</v>
      </c>
      <c r="E20" s="196">
        <v>0.91</v>
      </c>
      <c r="F20" s="196" t="s">
        <v>820</v>
      </c>
      <c r="G20" s="196">
        <v>268.35000000000002</v>
      </c>
      <c r="H20" s="196">
        <v>1.1299999999999999E-2</v>
      </c>
      <c r="I20" s="196">
        <v>0.56000000000000005</v>
      </c>
      <c r="J20" s="196" t="s">
        <v>820</v>
      </c>
      <c r="K20" s="196">
        <v>1011.79</v>
      </c>
      <c r="L20" s="196" t="s">
        <v>829</v>
      </c>
      <c r="M20" s="196">
        <v>47.16</v>
      </c>
      <c r="N20" s="196">
        <v>1506211200</v>
      </c>
      <c r="O20" s="196">
        <v>0</v>
      </c>
      <c r="P20" s="196">
        <v>1.58</v>
      </c>
      <c r="Q20" s="196">
        <v>3</v>
      </c>
      <c r="R20" s="196">
        <v>10.06</v>
      </c>
      <c r="S20" s="196">
        <v>4.58</v>
      </c>
    </row>
    <row r="21" spans="1:19" x14ac:dyDescent="0.25">
      <c r="A21" s="196">
        <v>44.52</v>
      </c>
      <c r="B21" s="196">
        <v>0.68</v>
      </c>
      <c r="C21" s="196">
        <v>44.08</v>
      </c>
      <c r="D21" s="8">
        <v>43001.791666666664</v>
      </c>
      <c r="E21" s="196">
        <v>0.93</v>
      </c>
      <c r="F21" s="196" t="s">
        <v>820</v>
      </c>
      <c r="G21" s="196">
        <v>268.72000000000003</v>
      </c>
      <c r="H21" s="196">
        <v>7.7000000000000002E-3</v>
      </c>
      <c r="I21" s="196">
        <v>0.82</v>
      </c>
      <c r="J21" s="196" t="s">
        <v>820</v>
      </c>
      <c r="K21" s="196">
        <v>1012.8</v>
      </c>
      <c r="L21" s="196" t="s">
        <v>830</v>
      </c>
      <c r="M21" s="196">
        <v>46.07</v>
      </c>
      <c r="N21" s="196">
        <v>1506214800</v>
      </c>
      <c r="O21" s="196">
        <v>0</v>
      </c>
      <c r="P21" s="196">
        <v>2.09</v>
      </c>
      <c r="Q21" s="196">
        <v>2</v>
      </c>
      <c r="R21" s="196">
        <v>9.17</v>
      </c>
      <c r="S21" s="196">
        <v>3.78</v>
      </c>
    </row>
    <row r="22" spans="1:19" x14ac:dyDescent="0.25">
      <c r="A22" s="196">
        <v>45.57</v>
      </c>
      <c r="B22" s="196">
        <v>0.75</v>
      </c>
      <c r="C22" s="196">
        <v>43.51</v>
      </c>
      <c r="D22" s="8">
        <v>43001.833333333336</v>
      </c>
      <c r="E22" s="196">
        <v>0.92</v>
      </c>
      <c r="F22" s="196" t="s">
        <v>820</v>
      </c>
      <c r="G22" s="196">
        <v>268.60000000000002</v>
      </c>
      <c r="H22" s="196">
        <v>5.1000000000000004E-3</v>
      </c>
      <c r="I22" s="196">
        <v>0.71</v>
      </c>
      <c r="J22" s="196" t="s">
        <v>820</v>
      </c>
      <c r="K22" s="196">
        <v>1013.2</v>
      </c>
      <c r="L22" s="196" t="s">
        <v>830</v>
      </c>
      <c r="M22" s="196">
        <v>45.57</v>
      </c>
      <c r="N22" s="196">
        <v>1506218400</v>
      </c>
      <c r="O22" s="196">
        <v>0</v>
      </c>
      <c r="P22" s="196">
        <v>2.93</v>
      </c>
      <c r="Q22" s="196">
        <v>19</v>
      </c>
      <c r="R22" s="196">
        <v>7.78</v>
      </c>
      <c r="S22" s="196">
        <v>2.56</v>
      </c>
    </row>
    <row r="23" spans="1:19" x14ac:dyDescent="0.25">
      <c r="A23" s="196">
        <v>45.14</v>
      </c>
      <c r="B23" s="196">
        <v>0.99</v>
      </c>
      <c r="C23" s="196">
        <v>43.08</v>
      </c>
      <c r="D23" s="8">
        <v>43001.875</v>
      </c>
      <c r="E23" s="196">
        <v>0.92</v>
      </c>
      <c r="F23" s="196" t="s">
        <v>820</v>
      </c>
      <c r="G23" s="196">
        <v>268.85000000000002</v>
      </c>
      <c r="H23" s="196">
        <v>5.7099999999999998E-2</v>
      </c>
      <c r="I23" s="196">
        <v>0.78</v>
      </c>
      <c r="J23" s="196" t="s">
        <v>820</v>
      </c>
      <c r="K23" s="196">
        <v>1013.14</v>
      </c>
      <c r="L23" s="196" t="s">
        <v>831</v>
      </c>
      <c r="M23" s="196">
        <v>45.14</v>
      </c>
      <c r="N23" s="196">
        <v>1506222000</v>
      </c>
      <c r="O23" s="196">
        <v>0</v>
      </c>
      <c r="P23" s="196">
        <v>3.38</v>
      </c>
      <c r="Q23" s="196">
        <v>20</v>
      </c>
      <c r="R23" s="196">
        <v>5.04</v>
      </c>
      <c r="S23" s="196">
        <v>2.08</v>
      </c>
    </row>
    <row r="24" spans="1:19" x14ac:dyDescent="0.25">
      <c r="A24" s="196">
        <v>45.08</v>
      </c>
      <c r="B24" s="196">
        <v>0.89</v>
      </c>
      <c r="C24" s="196">
        <v>43.09</v>
      </c>
      <c r="D24" s="8">
        <v>43001.916666666664</v>
      </c>
      <c r="E24" s="196">
        <v>0.93</v>
      </c>
      <c r="F24" s="196" t="s">
        <v>821</v>
      </c>
      <c r="G24" s="196">
        <v>269.83999999999997</v>
      </c>
      <c r="H24" s="196">
        <v>3.7000000000000002E-3</v>
      </c>
      <c r="I24" s="196">
        <v>0.08</v>
      </c>
      <c r="J24" s="196" t="s">
        <v>820</v>
      </c>
      <c r="K24" s="196">
        <v>1013.42</v>
      </c>
      <c r="L24" s="196" t="s">
        <v>824</v>
      </c>
      <c r="M24" s="196">
        <v>45.08</v>
      </c>
      <c r="N24" s="196">
        <v>1506225600</v>
      </c>
      <c r="O24" s="196">
        <v>0</v>
      </c>
      <c r="P24" s="196">
        <v>3.19</v>
      </c>
      <c r="Q24" s="196">
        <v>27</v>
      </c>
      <c r="R24" s="196">
        <v>3.39</v>
      </c>
      <c r="S24" s="196">
        <v>1.07</v>
      </c>
    </row>
    <row r="25" spans="1:19" x14ac:dyDescent="0.25">
      <c r="A25" s="196">
        <v>45.01</v>
      </c>
      <c r="B25" s="196">
        <v>0.92</v>
      </c>
      <c r="C25" s="196">
        <v>43.03</v>
      </c>
      <c r="D25" s="8">
        <v>43001.958333333336</v>
      </c>
      <c r="E25" s="196">
        <v>0.93</v>
      </c>
      <c r="F25" s="196" t="s">
        <v>821</v>
      </c>
      <c r="G25" s="196">
        <v>271.07</v>
      </c>
      <c r="H25" s="196">
        <v>1E-3</v>
      </c>
      <c r="I25" s="196">
        <v>0.05</v>
      </c>
      <c r="J25" s="196" t="s">
        <v>820</v>
      </c>
      <c r="K25" s="196">
        <v>1012.88</v>
      </c>
      <c r="L25" s="196" t="s">
        <v>824</v>
      </c>
      <c r="M25" s="196">
        <v>45.01</v>
      </c>
      <c r="N25" s="196">
        <v>1506229200</v>
      </c>
      <c r="O25" s="196">
        <v>0</v>
      </c>
      <c r="P25" s="196">
        <v>3.59</v>
      </c>
      <c r="Q25" s="196">
        <v>54</v>
      </c>
      <c r="R25" s="196">
        <v>3.29</v>
      </c>
      <c r="S25" s="196">
        <v>1.1299999999999999</v>
      </c>
    </row>
    <row r="26" spans="1:19" x14ac:dyDescent="0.25">
      <c r="A26" s="196">
        <v>45</v>
      </c>
      <c r="B26" s="196">
        <v>0.97</v>
      </c>
      <c r="C26" s="196">
        <v>43.15</v>
      </c>
      <c r="D26" s="8">
        <v>43002</v>
      </c>
      <c r="E26" s="196">
        <v>0.93</v>
      </c>
      <c r="F26" s="196" t="s">
        <v>825</v>
      </c>
      <c r="G26" s="196">
        <v>272.17</v>
      </c>
      <c r="H26" s="196">
        <v>1E-4</v>
      </c>
      <c r="I26" s="196">
        <v>0.01</v>
      </c>
      <c r="J26" s="196" t="s">
        <v>820</v>
      </c>
      <c r="K26" s="196">
        <v>1013.1</v>
      </c>
      <c r="L26" s="196" t="s">
        <v>826</v>
      </c>
      <c r="M26" s="196">
        <v>45</v>
      </c>
      <c r="N26" s="196">
        <v>1506232800</v>
      </c>
      <c r="O26" s="196">
        <v>0</v>
      </c>
      <c r="P26" s="196">
        <v>2.63</v>
      </c>
      <c r="Q26" s="196">
        <v>71</v>
      </c>
      <c r="R26" s="196">
        <v>3.11</v>
      </c>
      <c r="S26" s="196">
        <v>1.23</v>
      </c>
    </row>
    <row r="27" spans="1:19" x14ac:dyDescent="0.25">
      <c r="A27" s="196">
        <v>44.95</v>
      </c>
      <c r="B27" s="196">
        <v>0.79</v>
      </c>
      <c r="C27" s="196">
        <v>43.29</v>
      </c>
      <c r="D27" s="8">
        <v>43002.041666666664</v>
      </c>
      <c r="E27" s="196">
        <v>0.94</v>
      </c>
      <c r="F27" s="196" t="s">
        <v>821</v>
      </c>
      <c r="G27" s="196">
        <v>272.64999999999998</v>
      </c>
      <c r="H27" s="196">
        <v>0</v>
      </c>
      <c r="I27" s="196">
        <v>0</v>
      </c>
      <c r="J27" s="196"/>
      <c r="K27" s="196">
        <v>1012.79</v>
      </c>
      <c r="L27" s="196" t="s">
        <v>824</v>
      </c>
      <c r="M27" s="196">
        <v>44.95</v>
      </c>
      <c r="N27" s="196">
        <v>1506236400</v>
      </c>
      <c r="O27" s="196">
        <v>0</v>
      </c>
      <c r="P27" s="196">
        <v>2.89</v>
      </c>
      <c r="Q27" s="196">
        <v>67</v>
      </c>
      <c r="R27" s="196">
        <v>2.72</v>
      </c>
      <c r="S27" s="196">
        <v>0.68</v>
      </c>
    </row>
    <row r="28" spans="1:19" x14ac:dyDescent="0.25">
      <c r="A28" s="196">
        <v>44.9</v>
      </c>
      <c r="B28" s="196">
        <v>0.78</v>
      </c>
      <c r="C28" s="196">
        <v>43.23</v>
      </c>
      <c r="D28" s="8">
        <v>43002.083333333336</v>
      </c>
      <c r="E28" s="196">
        <v>0.94</v>
      </c>
      <c r="F28" s="196" t="s">
        <v>821</v>
      </c>
      <c r="G28" s="196">
        <v>272.77</v>
      </c>
      <c r="H28" s="196">
        <v>0</v>
      </c>
      <c r="I28" s="196">
        <v>0</v>
      </c>
      <c r="J28" s="196"/>
      <c r="K28" s="196">
        <v>1012.34</v>
      </c>
      <c r="L28" s="196" t="s">
        <v>824</v>
      </c>
      <c r="M28" s="196">
        <v>44.9</v>
      </c>
      <c r="N28" s="196">
        <v>1506240000</v>
      </c>
      <c r="O28" s="196">
        <v>0</v>
      </c>
      <c r="P28" s="196">
        <v>3.32</v>
      </c>
      <c r="Q28" s="196">
        <v>34</v>
      </c>
      <c r="R28" s="196">
        <v>1.37</v>
      </c>
      <c r="S28" s="196">
        <v>0.34</v>
      </c>
    </row>
    <row r="29" spans="1:19" x14ac:dyDescent="0.25">
      <c r="A29" s="196">
        <v>45.01</v>
      </c>
      <c r="B29" s="196">
        <v>0.78</v>
      </c>
      <c r="C29" s="196">
        <v>43.2</v>
      </c>
      <c r="D29" s="8">
        <v>43002.125</v>
      </c>
      <c r="E29" s="196">
        <v>0.93</v>
      </c>
      <c r="F29" s="196" t="s">
        <v>821</v>
      </c>
      <c r="G29" s="196">
        <v>273.38</v>
      </c>
      <c r="H29" s="196">
        <v>0</v>
      </c>
      <c r="I29" s="196">
        <v>0</v>
      </c>
      <c r="J29" s="196"/>
      <c r="K29" s="196">
        <v>1011.97</v>
      </c>
      <c r="L29" s="196" t="s">
        <v>824</v>
      </c>
      <c r="M29" s="196">
        <v>45.01</v>
      </c>
      <c r="N29" s="196">
        <v>1506243600</v>
      </c>
      <c r="O29" s="196">
        <v>0</v>
      </c>
      <c r="P29" s="196">
        <v>3.61</v>
      </c>
      <c r="Q29" s="196">
        <v>64</v>
      </c>
      <c r="R29" s="196">
        <v>1.53</v>
      </c>
      <c r="S29" s="196">
        <v>0.39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43001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349</v>
      </c>
      <c r="AE2" s="56" t="s">
        <v>352</v>
      </c>
      <c r="AF2" s="56" t="s">
        <v>353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354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980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982</v>
      </c>
      <c r="J20" s="140" t="s">
        <v>87</v>
      </c>
      <c r="M20" s="154" t="s">
        <v>342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983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984</v>
      </c>
      <c r="J22" s="140" t="s">
        <v>92</v>
      </c>
      <c r="K22" s="140" t="s">
        <v>516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985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987</v>
      </c>
      <c r="J25" s="140" t="s">
        <v>145</v>
      </c>
      <c r="M25" s="154" t="b">
        <v>1</v>
      </c>
    </row>
    <row r="26" spans="3:24" x14ac:dyDescent="0.25">
      <c r="C26" t="s">
        <v>988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c:\users\stu\Documents\GitHub\eaglep3-reporting\EC\2017-09-23-refined-times.txt</v>
      </c>
    </row>
    <row r="27" spans="3:24" x14ac:dyDescent="0.25">
      <c r="C27" t="s">
        <v>989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c:\users\stu\Documents\GitHub\eaglep3-reporting\EC\2017-09-23-Enforcements.txt</v>
      </c>
    </row>
    <row r="28" spans="3:24" x14ac:dyDescent="0.25">
      <c r="C28" t="s">
        <v>990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c:\users\stu\Documents\GitHub\eaglep3-reporting\EC\2017-09-23-Runs-refined.txt</v>
      </c>
    </row>
    <row r="29" spans="3:24" x14ac:dyDescent="0.25">
      <c r="C29" t="s">
        <v>991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c:\users\stu\Documents\GitHub\eaglep3-reporting\EC\2017-09-23-Trips.txt</v>
      </c>
    </row>
    <row r="30" spans="3:24" x14ac:dyDescent="0.25">
      <c r="C30" t="s">
        <v>992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c:\users\stu\Documents\GitHub\eaglep3-reporting\EC\2017-09-23-Weather.txt</v>
      </c>
    </row>
    <row r="31" spans="3:24" x14ac:dyDescent="0.25">
      <c r="C31" t="s">
        <v>993</v>
      </c>
      <c r="J31" s="140" t="s">
        <v>192</v>
      </c>
      <c r="M31" s="154" t="s">
        <v>193</v>
      </c>
    </row>
    <row r="32" spans="3:24" x14ac:dyDescent="0.25">
      <c r="C32" t="s">
        <v>994</v>
      </c>
    </row>
    <row r="33" spans="3:3" x14ac:dyDescent="0.25">
      <c r="C33" t="s">
        <v>995</v>
      </c>
    </row>
    <row r="34" spans="3:3" x14ac:dyDescent="0.25">
      <c r="C34" t="s">
        <v>996</v>
      </c>
    </row>
    <row r="35" spans="3:3" x14ac:dyDescent="0.25">
      <c r="C35" t="s">
        <v>997</v>
      </c>
    </row>
    <row r="36" spans="3:3" x14ac:dyDescent="0.25">
      <c r="C36" t="s">
        <v>998</v>
      </c>
    </row>
    <row r="37" spans="3:3" x14ac:dyDescent="0.25">
      <c r="C37" t="s">
        <v>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2017-09-25T19:07:32Z</dcterms:modified>
</cp:coreProperties>
</file>