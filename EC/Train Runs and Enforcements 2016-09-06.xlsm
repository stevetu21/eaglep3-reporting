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Enforcements!$A$6:$AA$67</definedName>
    <definedName name="_xlnm._FilterDatabase" localSheetId="2" hidden="1">'Missing Trips'!$B$2:$I$2</definedName>
    <definedName name="_xlnm._FilterDatabase" localSheetId="0" hidden="1">'Train Runs'!$A$12:$AG$224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1" i="1" l="1"/>
  <c r="L161" i="1"/>
  <c r="M161" i="1"/>
  <c r="V161" i="1"/>
  <c r="Y161" i="1"/>
  <c r="Z161" i="1"/>
  <c r="AB161" i="1"/>
  <c r="AC161" i="1"/>
  <c r="AD161" i="1"/>
  <c r="T161" i="1" s="1"/>
  <c r="AE161" i="1"/>
  <c r="AF161" i="1"/>
  <c r="AH161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P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K62" i="1"/>
  <c r="L62" i="1"/>
  <c r="M62" i="1"/>
  <c r="P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P160" i="1" s="1"/>
  <c r="V160" i="1"/>
  <c r="Y160" i="1"/>
  <c r="Z160" i="1"/>
  <c r="AB160" i="1"/>
  <c r="AC160" i="1"/>
  <c r="AD160" i="1"/>
  <c r="AG160" i="1" s="1"/>
  <c r="AE160" i="1"/>
  <c r="AF160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T26" i="3"/>
  <c r="S26" i="3" s="1"/>
  <c r="U26" i="3"/>
  <c r="V26" i="3"/>
  <c r="W26" i="3"/>
  <c r="T19" i="3"/>
  <c r="S19" i="3" s="1"/>
  <c r="U19" i="3"/>
  <c r="V19" i="3"/>
  <c r="W19" i="3"/>
  <c r="T55" i="3"/>
  <c r="S55" i="3" s="1"/>
  <c r="U55" i="3"/>
  <c r="V55" i="3"/>
  <c r="W55" i="3"/>
  <c r="T27" i="3"/>
  <c r="S27" i="3" s="1"/>
  <c r="U27" i="3"/>
  <c r="V27" i="3"/>
  <c r="W27" i="3"/>
  <c r="T45" i="3"/>
  <c r="S45" i="3" s="1"/>
  <c r="U45" i="3"/>
  <c r="V45" i="3"/>
  <c r="W45" i="3"/>
  <c r="T52" i="3"/>
  <c r="S52" i="3" s="1"/>
  <c r="U52" i="3"/>
  <c r="V52" i="3"/>
  <c r="W52" i="3"/>
  <c r="T53" i="3"/>
  <c r="S53" i="3" s="1"/>
  <c r="U53" i="3"/>
  <c r="V53" i="3"/>
  <c r="W53" i="3"/>
  <c r="T50" i="3"/>
  <c r="S50" i="3" s="1"/>
  <c r="U50" i="3"/>
  <c r="V50" i="3"/>
  <c r="W50" i="3"/>
  <c r="T38" i="3"/>
  <c r="S38" i="3" s="1"/>
  <c r="U38" i="3"/>
  <c r="V38" i="3"/>
  <c r="W38" i="3"/>
  <c r="T11" i="3"/>
  <c r="S11" i="3" s="1"/>
  <c r="U11" i="3"/>
  <c r="V11" i="3"/>
  <c r="W11" i="3"/>
  <c r="T20" i="3"/>
  <c r="S20" i="3" s="1"/>
  <c r="U20" i="3"/>
  <c r="V20" i="3"/>
  <c r="W20" i="3"/>
  <c r="T44" i="3"/>
  <c r="S44" i="3" s="1"/>
  <c r="U44" i="3"/>
  <c r="V44" i="3"/>
  <c r="W44" i="3"/>
  <c r="T49" i="3"/>
  <c r="S49" i="3" s="1"/>
  <c r="U49" i="3"/>
  <c r="V49" i="3"/>
  <c r="W49" i="3"/>
  <c r="T28" i="3"/>
  <c r="S28" i="3" s="1"/>
  <c r="U28" i="3"/>
  <c r="V28" i="3"/>
  <c r="W28" i="3"/>
  <c r="T29" i="3"/>
  <c r="S29" i="3" s="1"/>
  <c r="U29" i="3"/>
  <c r="V29" i="3"/>
  <c r="W29" i="3"/>
  <c r="T9" i="3"/>
  <c r="S9" i="3" s="1"/>
  <c r="U9" i="3"/>
  <c r="V9" i="3"/>
  <c r="W9" i="3"/>
  <c r="T30" i="3"/>
  <c r="S30" i="3" s="1"/>
  <c r="U30" i="3"/>
  <c r="V30" i="3"/>
  <c r="W30" i="3"/>
  <c r="T8" i="3"/>
  <c r="S8" i="3" s="1"/>
  <c r="U8" i="3"/>
  <c r="V8" i="3"/>
  <c r="W8" i="3"/>
  <c r="T51" i="3"/>
  <c r="S51" i="3" s="1"/>
  <c r="U51" i="3"/>
  <c r="V51" i="3"/>
  <c r="W51" i="3"/>
  <c r="T16" i="3"/>
  <c r="S16" i="3" s="1"/>
  <c r="U16" i="3"/>
  <c r="V16" i="3"/>
  <c r="W16" i="3"/>
  <c r="T39" i="3"/>
  <c r="S39" i="3" s="1"/>
  <c r="U39" i="3"/>
  <c r="V39" i="3"/>
  <c r="W39" i="3"/>
  <c r="T15" i="3"/>
  <c r="S15" i="3" s="1"/>
  <c r="U15" i="3"/>
  <c r="V15" i="3"/>
  <c r="W15" i="3"/>
  <c r="T31" i="3"/>
  <c r="S31" i="3" s="1"/>
  <c r="U31" i="3"/>
  <c r="V31" i="3"/>
  <c r="W31" i="3"/>
  <c r="T7" i="3"/>
  <c r="S7" i="3" s="1"/>
  <c r="U7" i="3"/>
  <c r="V7" i="3"/>
  <c r="W7" i="3"/>
  <c r="T12" i="3"/>
  <c r="S12" i="3" s="1"/>
  <c r="U12" i="3"/>
  <c r="V12" i="3"/>
  <c r="W12" i="3"/>
  <c r="T54" i="3"/>
  <c r="S54" i="3" s="1"/>
  <c r="U54" i="3"/>
  <c r="V54" i="3"/>
  <c r="W54" i="3"/>
  <c r="T46" i="3"/>
  <c r="S46" i="3" s="1"/>
  <c r="U46" i="3"/>
  <c r="V46" i="3"/>
  <c r="W46" i="3"/>
  <c r="T21" i="3"/>
  <c r="S21" i="3" s="1"/>
  <c r="U21" i="3"/>
  <c r="V21" i="3"/>
  <c r="W21" i="3"/>
  <c r="T43" i="3"/>
  <c r="S43" i="3" s="1"/>
  <c r="U43" i="3"/>
  <c r="V43" i="3"/>
  <c r="W43" i="3"/>
  <c r="T42" i="3"/>
  <c r="S42" i="3" s="1"/>
  <c r="U42" i="3"/>
  <c r="V42" i="3"/>
  <c r="W42" i="3"/>
  <c r="T17" i="3"/>
  <c r="S17" i="3" s="1"/>
  <c r="U17" i="3"/>
  <c r="V17" i="3"/>
  <c r="W17" i="3"/>
  <c r="T10" i="3"/>
  <c r="S10" i="3" s="1"/>
  <c r="U10" i="3"/>
  <c r="V10" i="3"/>
  <c r="W10" i="3"/>
  <c r="T40" i="3"/>
  <c r="S40" i="3" s="1"/>
  <c r="U40" i="3"/>
  <c r="V40" i="3"/>
  <c r="W40" i="3"/>
  <c r="T22" i="3"/>
  <c r="S22" i="3" s="1"/>
  <c r="U22" i="3"/>
  <c r="V22" i="3"/>
  <c r="W22" i="3"/>
  <c r="T23" i="3"/>
  <c r="S23" i="3" s="1"/>
  <c r="U23" i="3"/>
  <c r="V23" i="3"/>
  <c r="W23" i="3"/>
  <c r="T41" i="3"/>
  <c r="S41" i="3" s="1"/>
  <c r="U41" i="3"/>
  <c r="V41" i="3"/>
  <c r="W41" i="3"/>
  <c r="T32" i="3"/>
  <c r="S32" i="3" s="1"/>
  <c r="U32" i="3"/>
  <c r="V32" i="3"/>
  <c r="W32" i="3"/>
  <c r="T13" i="3"/>
  <c r="S13" i="3" s="1"/>
  <c r="U13" i="3"/>
  <c r="V13" i="3"/>
  <c r="W13" i="3"/>
  <c r="T14" i="3"/>
  <c r="S14" i="3" s="1"/>
  <c r="U14" i="3"/>
  <c r="V14" i="3"/>
  <c r="W14" i="3"/>
  <c r="T58" i="3"/>
  <c r="S58" i="3" s="1"/>
  <c r="U58" i="3"/>
  <c r="V58" i="3"/>
  <c r="W58" i="3"/>
  <c r="T33" i="3"/>
  <c r="S33" i="3" s="1"/>
  <c r="U33" i="3"/>
  <c r="V33" i="3"/>
  <c r="W33" i="3"/>
  <c r="T25" i="3"/>
  <c r="S25" i="3" s="1"/>
  <c r="U25" i="3"/>
  <c r="V25" i="3"/>
  <c r="W25" i="3"/>
  <c r="T56" i="3"/>
  <c r="S56" i="3" s="1"/>
  <c r="U56" i="3"/>
  <c r="V56" i="3"/>
  <c r="W56" i="3"/>
  <c r="T57" i="3"/>
  <c r="S57" i="3" s="1"/>
  <c r="U57" i="3"/>
  <c r="V57" i="3"/>
  <c r="W57" i="3"/>
  <c r="T18" i="3"/>
  <c r="S18" i="3" s="1"/>
  <c r="U18" i="3"/>
  <c r="V18" i="3"/>
  <c r="W18" i="3"/>
  <c r="T34" i="3"/>
  <c r="S34" i="3" s="1"/>
  <c r="U34" i="3"/>
  <c r="V34" i="3"/>
  <c r="W34" i="3"/>
  <c r="T59" i="3"/>
  <c r="S59" i="3" s="1"/>
  <c r="U59" i="3"/>
  <c r="V59" i="3"/>
  <c r="W59" i="3"/>
  <c r="T48" i="3"/>
  <c r="S48" i="3" s="1"/>
  <c r="U48" i="3"/>
  <c r="V48" i="3"/>
  <c r="W48" i="3"/>
  <c r="T60" i="3"/>
  <c r="S60" i="3" s="1"/>
  <c r="U60" i="3"/>
  <c r="V60" i="3"/>
  <c r="W60" i="3"/>
  <c r="T64" i="3"/>
  <c r="S64" i="3" s="1"/>
  <c r="U64" i="3"/>
  <c r="V64" i="3"/>
  <c r="W64" i="3"/>
  <c r="T65" i="3"/>
  <c r="S65" i="3" s="1"/>
  <c r="U65" i="3"/>
  <c r="V65" i="3"/>
  <c r="W65" i="3"/>
  <c r="T47" i="3"/>
  <c r="S47" i="3" s="1"/>
  <c r="U47" i="3"/>
  <c r="V47" i="3"/>
  <c r="W47" i="3"/>
  <c r="T61" i="3"/>
  <c r="S61" i="3" s="1"/>
  <c r="U61" i="3"/>
  <c r="V61" i="3"/>
  <c r="W61" i="3"/>
  <c r="T35" i="3"/>
  <c r="S35" i="3" s="1"/>
  <c r="U35" i="3"/>
  <c r="V35" i="3"/>
  <c r="W35" i="3"/>
  <c r="T62" i="3"/>
  <c r="S62" i="3" s="1"/>
  <c r="U62" i="3"/>
  <c r="V62" i="3"/>
  <c r="W62" i="3"/>
  <c r="T36" i="3"/>
  <c r="S36" i="3" s="1"/>
  <c r="U36" i="3"/>
  <c r="V36" i="3"/>
  <c r="W36" i="3"/>
  <c r="T63" i="3"/>
  <c r="S63" i="3" s="1"/>
  <c r="U63" i="3"/>
  <c r="V63" i="3"/>
  <c r="W63" i="3"/>
  <c r="T37" i="3"/>
  <c r="S37" i="3" s="1"/>
  <c r="U37" i="3"/>
  <c r="V37" i="3"/>
  <c r="W37" i="3"/>
  <c r="M59" i="3"/>
  <c r="M48" i="3"/>
  <c r="M60" i="3"/>
  <c r="M64" i="3"/>
  <c r="M65" i="3"/>
  <c r="M47" i="3"/>
  <c r="M61" i="3"/>
  <c r="M35" i="3"/>
  <c r="M62" i="3"/>
  <c r="M36" i="3"/>
  <c r="M63" i="3"/>
  <c r="M37" i="3"/>
  <c r="X97" i="1" l="1"/>
  <c r="X175" i="1"/>
  <c r="X118" i="1"/>
  <c r="X110" i="1"/>
  <c r="X176" i="1"/>
  <c r="T199" i="1"/>
  <c r="X103" i="1"/>
  <c r="X101" i="1"/>
  <c r="AA161" i="1"/>
  <c r="X174" i="1"/>
  <c r="X208" i="1"/>
  <c r="X177" i="1"/>
  <c r="X38" i="3"/>
  <c r="X19" i="3"/>
  <c r="AG161" i="1"/>
  <c r="X161" i="1"/>
  <c r="X99" i="1"/>
  <c r="X60" i="3"/>
  <c r="AA168" i="1"/>
  <c r="W168" i="1" s="1"/>
  <c r="X102" i="1"/>
  <c r="X98" i="1"/>
  <c r="X111" i="1"/>
  <c r="AA111" i="1"/>
  <c r="X107" i="1"/>
  <c r="X100" i="1"/>
  <c r="X59" i="1"/>
  <c r="X23" i="1"/>
  <c r="X62" i="1"/>
  <c r="X109" i="1"/>
  <c r="AA160" i="1"/>
  <c r="X216" i="1"/>
  <c r="AA216" i="1"/>
  <c r="X56" i="1"/>
  <c r="X58" i="1"/>
  <c r="X108" i="1"/>
  <c r="AA135" i="1"/>
  <c r="AG117" i="1"/>
  <c r="U117" i="1" s="1"/>
  <c r="S117" i="1" s="1"/>
  <c r="X117" i="1"/>
  <c r="X61" i="1"/>
  <c r="X57" i="1"/>
  <c r="X58" i="3"/>
  <c r="X40" i="3"/>
  <c r="X10" i="3"/>
  <c r="X17" i="3"/>
  <c r="X43" i="3"/>
  <c r="X21" i="3"/>
  <c r="X54" i="3"/>
  <c r="X12" i="3"/>
  <c r="X15" i="3"/>
  <c r="X30" i="3"/>
  <c r="X28" i="3"/>
  <c r="X49" i="3"/>
  <c r="X20" i="3"/>
  <c r="X11" i="3"/>
  <c r="AA198" i="1"/>
  <c r="AA188" i="1"/>
  <c r="W188" i="1" s="1"/>
  <c r="AA91" i="1"/>
  <c r="AA75" i="1"/>
  <c r="X60" i="1"/>
  <c r="AG190" i="1"/>
  <c r="U190" i="1" s="1"/>
  <c r="S190" i="1" s="1"/>
  <c r="AA126" i="1"/>
  <c r="AI126" i="1" s="1"/>
  <c r="AA107" i="1"/>
  <c r="X36" i="3"/>
  <c r="X61" i="3"/>
  <c r="X65" i="3"/>
  <c r="X33" i="3"/>
  <c r="X26" i="3"/>
  <c r="AA162" i="1"/>
  <c r="AA32" i="1"/>
  <c r="AI32" i="1" s="1"/>
  <c r="AA24" i="1"/>
  <c r="AA15" i="1"/>
  <c r="X171" i="1"/>
  <c r="AA125" i="1"/>
  <c r="AI125" i="1" s="1"/>
  <c r="AG113" i="1"/>
  <c r="AA95" i="1"/>
  <c r="X87" i="1"/>
  <c r="AG19" i="1"/>
  <c r="AA16" i="1"/>
  <c r="X37" i="3"/>
  <c r="X62" i="3"/>
  <c r="X47" i="3"/>
  <c r="AA191" i="1"/>
  <c r="AA190" i="1"/>
  <c r="X190" i="1"/>
  <c r="AA184" i="1"/>
  <c r="AG182" i="1"/>
  <c r="U182" i="1" s="1"/>
  <c r="S182" i="1" s="1"/>
  <c r="AG129" i="1"/>
  <c r="AA89" i="1"/>
  <c r="X88" i="1"/>
  <c r="AA73" i="1"/>
  <c r="AA68" i="1"/>
  <c r="AI68" i="1" s="1"/>
  <c r="AA55" i="1"/>
  <c r="X59" i="3"/>
  <c r="X57" i="3"/>
  <c r="X25" i="3"/>
  <c r="X48" i="3"/>
  <c r="X18" i="3"/>
  <c r="X64" i="3"/>
  <c r="X14" i="3"/>
  <c r="X32" i="3"/>
  <c r="X41" i="3"/>
  <c r="X22" i="3"/>
  <c r="X39" i="3"/>
  <c r="X51" i="3"/>
  <c r="X8" i="3"/>
  <c r="X50" i="3"/>
  <c r="X52" i="3"/>
  <c r="X45" i="3"/>
  <c r="X55" i="3"/>
  <c r="X9" i="3"/>
  <c r="T171" i="1"/>
  <c r="AA169" i="1"/>
  <c r="AA165" i="1"/>
  <c r="AA164" i="1"/>
  <c r="W164" i="1" s="1"/>
  <c r="X220" i="1"/>
  <c r="AG150" i="1"/>
  <c r="X150" i="1"/>
  <c r="AA146" i="1"/>
  <c r="W146" i="1" s="1"/>
  <c r="AA104" i="1"/>
  <c r="AA99" i="1"/>
  <c r="AI99" i="1" s="1"/>
  <c r="AA98" i="1"/>
  <c r="AA93" i="1"/>
  <c r="W93" i="1" s="1"/>
  <c r="AA80" i="1"/>
  <c r="W80" i="1" s="1"/>
  <c r="AA79" i="1"/>
  <c r="AI79" i="1" s="1"/>
  <c r="AG43" i="1"/>
  <c r="U43" i="1" s="1"/>
  <c r="S43" i="1" s="1"/>
  <c r="X43" i="1"/>
  <c r="U129" i="1"/>
  <c r="S129" i="1" s="1"/>
  <c r="T137" i="1"/>
  <c r="U137" i="1" s="1"/>
  <c r="S137" i="1" s="1"/>
  <c r="T87" i="1"/>
  <c r="AA211" i="1"/>
  <c r="AA201" i="1"/>
  <c r="AI201" i="1" s="1"/>
  <c r="AA192" i="1"/>
  <c r="W192" i="1" s="1"/>
  <c r="AA179" i="1"/>
  <c r="W179" i="1" s="1"/>
  <c r="AA173" i="1"/>
  <c r="AG171" i="1"/>
  <c r="U171" i="1" s="1"/>
  <c r="S171" i="1" s="1"/>
  <c r="AA151" i="1"/>
  <c r="AG145" i="1"/>
  <c r="X145" i="1"/>
  <c r="AA141" i="1"/>
  <c r="AA131" i="1"/>
  <c r="AA130" i="1"/>
  <c r="AI130" i="1" s="1"/>
  <c r="X96" i="1"/>
  <c r="AA86" i="1"/>
  <c r="AA48" i="1"/>
  <c r="AA42" i="1"/>
  <c r="AA40" i="1"/>
  <c r="AA36" i="1"/>
  <c r="AA29" i="1"/>
  <c r="W125" i="1"/>
  <c r="AA166" i="1"/>
  <c r="X164" i="1"/>
  <c r="AA159" i="1"/>
  <c r="AI159" i="1" s="1"/>
  <c r="AA222" i="1"/>
  <c r="X215" i="1"/>
  <c r="AA152" i="1"/>
  <c r="AA150" i="1"/>
  <c r="AA142" i="1"/>
  <c r="AG136" i="1"/>
  <c r="U136" i="1" s="1"/>
  <c r="S136" i="1" s="1"/>
  <c r="X136" i="1"/>
  <c r="AG132" i="1"/>
  <c r="U132" i="1" s="1"/>
  <c r="S132" i="1" s="1"/>
  <c r="AA113" i="1"/>
  <c r="AA94" i="1"/>
  <c r="AA84" i="1"/>
  <c r="X82" i="1"/>
  <c r="AA77" i="1"/>
  <c r="W77" i="1" s="1"/>
  <c r="AA60" i="1"/>
  <c r="AI60" i="1" s="1"/>
  <c r="AA59" i="1"/>
  <c r="AA45" i="1"/>
  <c r="AG39" i="1"/>
  <c r="U39" i="1" s="1"/>
  <c r="S39" i="1" s="1"/>
  <c r="AG36" i="1"/>
  <c r="AA20" i="1"/>
  <c r="AA189" i="1"/>
  <c r="X181" i="1"/>
  <c r="T220" i="1"/>
  <c r="X212" i="1"/>
  <c r="T121" i="1"/>
  <c r="U121" i="1" s="1"/>
  <c r="S121" i="1" s="1"/>
  <c r="AG199" i="1"/>
  <c r="U199" i="1" s="1"/>
  <c r="S199" i="1" s="1"/>
  <c r="AG191" i="1"/>
  <c r="U191" i="1" s="1"/>
  <c r="S191" i="1" s="1"/>
  <c r="X191" i="1"/>
  <c r="AA178" i="1"/>
  <c r="W178" i="1" s="1"/>
  <c r="X167" i="1"/>
  <c r="AA163" i="1"/>
  <c r="AG158" i="1"/>
  <c r="U158" i="1" s="1"/>
  <c r="S158" i="1" s="1"/>
  <c r="AA218" i="1"/>
  <c r="AG141" i="1"/>
  <c r="AA132" i="1"/>
  <c r="X130" i="1"/>
  <c r="X128" i="1"/>
  <c r="AA119" i="1"/>
  <c r="AA106" i="1"/>
  <c r="AG95" i="1"/>
  <c r="U95" i="1" s="1"/>
  <c r="S95" i="1" s="1"/>
  <c r="X95" i="1"/>
  <c r="AG83" i="1"/>
  <c r="U83" i="1" s="1"/>
  <c r="S83" i="1" s="1"/>
  <c r="AA64" i="1"/>
  <c r="AI64" i="1" s="1"/>
  <c r="AA54" i="1"/>
  <c r="AA49" i="1"/>
  <c r="X48" i="1"/>
  <c r="AA39" i="1"/>
  <c r="X24" i="1"/>
  <c r="AA17" i="1"/>
  <c r="T133" i="1"/>
  <c r="X133" i="1"/>
  <c r="AG133" i="1"/>
  <c r="AG107" i="1"/>
  <c r="T107" i="1"/>
  <c r="T56" i="1"/>
  <c r="AA209" i="1"/>
  <c r="W209" i="1" s="1"/>
  <c r="AA203" i="1"/>
  <c r="X195" i="1"/>
  <c r="T195" i="1"/>
  <c r="AA172" i="1"/>
  <c r="T163" i="1"/>
  <c r="X163" i="1"/>
  <c r="AG163" i="1"/>
  <c r="AA158" i="1"/>
  <c r="AG154" i="1"/>
  <c r="T154" i="1"/>
  <c r="X151" i="1"/>
  <c r="AA123" i="1"/>
  <c r="W123" i="1" s="1"/>
  <c r="AA116" i="1"/>
  <c r="AA115" i="1"/>
  <c r="T106" i="1"/>
  <c r="AG106" i="1"/>
  <c r="X51" i="1"/>
  <c r="AG51" i="1"/>
  <c r="T27" i="1"/>
  <c r="AG27" i="1"/>
  <c r="AA206" i="1"/>
  <c r="W206" i="1" s="1"/>
  <c r="AA205" i="1"/>
  <c r="AA156" i="1"/>
  <c r="AI156" i="1" s="1"/>
  <c r="AA138" i="1"/>
  <c r="T116" i="1"/>
  <c r="AG116" i="1"/>
  <c r="AG114" i="1"/>
  <c r="T114" i="1"/>
  <c r="AA85" i="1"/>
  <c r="AI85" i="1" s="1"/>
  <c r="T40" i="1"/>
  <c r="X40" i="1"/>
  <c r="AG40" i="1"/>
  <c r="AA213" i="1"/>
  <c r="W213" i="1" s="1"/>
  <c r="AA212" i="1"/>
  <c r="T205" i="1"/>
  <c r="AG205" i="1"/>
  <c r="W150" i="1"/>
  <c r="AG118" i="1"/>
  <c r="T118" i="1"/>
  <c r="AG84" i="1"/>
  <c r="X84" i="1"/>
  <c r="X32" i="1"/>
  <c r="T31" i="1"/>
  <c r="AG31" i="1"/>
  <c r="T20" i="1"/>
  <c r="X20" i="1"/>
  <c r="AG20" i="1"/>
  <c r="AA100" i="1"/>
  <c r="AI100" i="1" s="1"/>
  <c r="AA72" i="1"/>
  <c r="AI72" i="1" s="1"/>
  <c r="T67" i="1"/>
  <c r="AA53" i="1"/>
  <c r="W53" i="1" s="1"/>
  <c r="AA44" i="1"/>
  <c r="T35" i="1"/>
  <c r="U35" i="1" s="1"/>
  <c r="S35" i="1" s="1"/>
  <c r="X31" i="1"/>
  <c r="AA197" i="1"/>
  <c r="AA196" i="1"/>
  <c r="W196" i="1" s="1"/>
  <c r="AA187" i="1"/>
  <c r="AA183" i="1"/>
  <c r="AI183" i="1" s="1"/>
  <c r="AA175" i="1"/>
  <c r="AA174" i="1"/>
  <c r="W174" i="1" s="1"/>
  <c r="AA167" i="1"/>
  <c r="AA217" i="1"/>
  <c r="W217" i="1" s="1"/>
  <c r="AG149" i="1"/>
  <c r="U149" i="1" s="1"/>
  <c r="S149" i="1" s="1"/>
  <c r="X146" i="1"/>
  <c r="AA145" i="1"/>
  <c r="W145" i="1" s="1"/>
  <c r="AA139" i="1"/>
  <c r="AI139" i="1" s="1"/>
  <c r="AA129" i="1"/>
  <c r="AA118" i="1"/>
  <c r="AA112" i="1"/>
  <c r="AA97" i="1"/>
  <c r="AG94" i="1"/>
  <c r="AI94" i="1" s="1"/>
  <c r="X94" i="1"/>
  <c r="AA88" i="1"/>
  <c r="AA78" i="1"/>
  <c r="X71" i="1"/>
  <c r="AA71" i="1"/>
  <c r="AA70" i="1"/>
  <c r="AI70" i="1" s="1"/>
  <c r="X63" i="1"/>
  <c r="AA62" i="1"/>
  <c r="AA61" i="1"/>
  <c r="AG58" i="1"/>
  <c r="U58" i="1" s="1"/>
  <c r="S58" i="1" s="1"/>
  <c r="X53" i="1"/>
  <c r="X47" i="1"/>
  <c r="AG44" i="1"/>
  <c r="U44" i="1" s="1"/>
  <c r="S44" i="1" s="1"/>
  <c r="X44" i="1"/>
  <c r="AA43" i="1"/>
  <c r="AA41" i="1"/>
  <c r="AA38" i="1"/>
  <c r="AA37" i="1"/>
  <c r="AA28" i="1"/>
  <c r="AI28" i="1" s="1"/>
  <c r="AG24" i="1"/>
  <c r="W24" i="1" s="1"/>
  <c r="X15" i="1"/>
  <c r="AA14" i="1"/>
  <c r="W14" i="1" s="1"/>
  <c r="AA114" i="1"/>
  <c r="AI114" i="1" s="1"/>
  <c r="W113" i="1"/>
  <c r="AA110" i="1"/>
  <c r="AA109" i="1"/>
  <c r="AI109" i="1" s="1"/>
  <c r="AA108" i="1"/>
  <c r="AI108" i="1" s="1"/>
  <c r="AA96" i="1"/>
  <c r="AA92" i="1"/>
  <c r="AI92" i="1" s="1"/>
  <c r="AA76" i="1"/>
  <c r="W76" i="1" s="1"/>
  <c r="AA65" i="1"/>
  <c r="X52" i="1"/>
  <c r="AA31" i="1"/>
  <c r="AI178" i="1"/>
  <c r="T196" i="1"/>
  <c r="U196" i="1" s="1"/>
  <c r="S196" i="1" s="1"/>
  <c r="T183" i="1"/>
  <c r="U183" i="1" s="1"/>
  <c r="S183" i="1" s="1"/>
  <c r="T174" i="1"/>
  <c r="U174" i="1" s="1"/>
  <c r="S174" i="1" s="1"/>
  <c r="W160" i="1"/>
  <c r="T216" i="1"/>
  <c r="AA147" i="1"/>
  <c r="T146" i="1"/>
  <c r="U146" i="1" s="1"/>
  <c r="S146" i="1" s="1"/>
  <c r="U145" i="1"/>
  <c r="S145" i="1" s="1"/>
  <c r="AA143" i="1"/>
  <c r="W143" i="1" s="1"/>
  <c r="X134" i="1"/>
  <c r="T111" i="1"/>
  <c r="AG111" i="1"/>
  <c r="AA195" i="1"/>
  <c r="AG194" i="1"/>
  <c r="U194" i="1" s="1"/>
  <c r="S194" i="1" s="1"/>
  <c r="AG189" i="1"/>
  <c r="AG187" i="1"/>
  <c r="W187" i="1" s="1"/>
  <c r="AA185" i="1"/>
  <c r="AA182" i="1"/>
  <c r="W182" i="1" s="1"/>
  <c r="T178" i="1"/>
  <c r="U178" i="1" s="1"/>
  <c r="S178" i="1" s="1"/>
  <c r="AA170" i="1"/>
  <c r="T168" i="1"/>
  <c r="AI179" i="1"/>
  <c r="AA220" i="1"/>
  <c r="AG219" i="1"/>
  <c r="U219" i="1" s="1"/>
  <c r="S219" i="1" s="1"/>
  <c r="X219" i="1"/>
  <c r="X217" i="1"/>
  <c r="AG216" i="1"/>
  <c r="T212" i="1"/>
  <c r="AG153" i="1"/>
  <c r="U153" i="1" s="1"/>
  <c r="S153" i="1" s="1"/>
  <c r="X153" i="1"/>
  <c r="T125" i="1"/>
  <c r="U125" i="1" s="1"/>
  <c r="S125" i="1" s="1"/>
  <c r="AG120" i="1"/>
  <c r="U120" i="1" s="1"/>
  <c r="S120" i="1" s="1"/>
  <c r="X120" i="1"/>
  <c r="AI16" i="1"/>
  <c r="AG203" i="1"/>
  <c r="U203" i="1" s="1"/>
  <c r="S203" i="1" s="1"/>
  <c r="X211" i="1"/>
  <c r="AA210" i="1"/>
  <c r="W210" i="1" s="1"/>
  <c r="X203" i="1"/>
  <c r="AA199" i="1"/>
  <c r="AG198" i="1"/>
  <c r="U198" i="1" s="1"/>
  <c r="S198" i="1" s="1"/>
  <c r="X198" i="1"/>
  <c r="X196" i="1"/>
  <c r="AG195" i="1"/>
  <c r="X192" i="1"/>
  <c r="X183" i="1"/>
  <c r="X182" i="1"/>
  <c r="T167" i="1"/>
  <c r="AA221" i="1"/>
  <c r="AG220" i="1"/>
  <c r="AA215" i="1"/>
  <c r="AA214" i="1"/>
  <c r="X213" i="1"/>
  <c r="AG212" i="1"/>
  <c r="AA207" i="1"/>
  <c r="AA154" i="1"/>
  <c r="AI145" i="1"/>
  <c r="AA144" i="1"/>
  <c r="AA137" i="1"/>
  <c r="W137" i="1" s="1"/>
  <c r="AA134" i="1"/>
  <c r="W134" i="1" s="1"/>
  <c r="T134" i="1"/>
  <c r="U134" i="1" s="1"/>
  <c r="S134" i="1" s="1"/>
  <c r="AA200" i="1"/>
  <c r="W200" i="1" s="1"/>
  <c r="AA194" i="1"/>
  <c r="AA193" i="1"/>
  <c r="W193" i="1" s="1"/>
  <c r="AG185" i="1"/>
  <c r="U185" i="1" s="1"/>
  <c r="S185" i="1" s="1"/>
  <c r="AA181" i="1"/>
  <c r="AA180" i="1"/>
  <c r="X179" i="1"/>
  <c r="AA177" i="1"/>
  <c r="AA176" i="1"/>
  <c r="W176" i="1" s="1"/>
  <c r="AA171" i="1"/>
  <c r="AG170" i="1"/>
  <c r="U170" i="1" s="1"/>
  <c r="S170" i="1" s="1"/>
  <c r="X170" i="1"/>
  <c r="X168" i="1"/>
  <c r="AG167" i="1"/>
  <c r="AA219" i="1"/>
  <c r="T217" i="1"/>
  <c r="U217" i="1" s="1"/>
  <c r="S217" i="1" s="1"/>
  <c r="AA208" i="1"/>
  <c r="AA155" i="1"/>
  <c r="X129" i="1"/>
  <c r="AA133" i="1"/>
  <c r="T130" i="1"/>
  <c r="U130" i="1" s="1"/>
  <c r="S130" i="1" s="1"/>
  <c r="AA128" i="1"/>
  <c r="AA122" i="1"/>
  <c r="AA117" i="1"/>
  <c r="W117" i="1" s="1"/>
  <c r="X112" i="1"/>
  <c r="AA103" i="1"/>
  <c r="AG102" i="1"/>
  <c r="U102" i="1" s="1"/>
  <c r="S102" i="1" s="1"/>
  <c r="AG98" i="1"/>
  <c r="AG91" i="1"/>
  <c r="AG87" i="1"/>
  <c r="U87" i="1" s="1"/>
  <c r="S87" i="1" s="1"/>
  <c r="AA83" i="1"/>
  <c r="AA81" i="1"/>
  <c r="X79" i="1"/>
  <c r="AG75" i="1"/>
  <c r="T72" i="1"/>
  <c r="U72" i="1" s="1"/>
  <c r="S72" i="1" s="1"/>
  <c r="T71" i="1"/>
  <c r="AA69" i="1"/>
  <c r="X68" i="1"/>
  <c r="AG63" i="1"/>
  <c r="U63" i="1" s="1"/>
  <c r="S63" i="1" s="1"/>
  <c r="T60" i="1"/>
  <c r="U60" i="1" s="1"/>
  <c r="S60" i="1" s="1"/>
  <c r="T59" i="1"/>
  <c r="AA57" i="1"/>
  <c r="AG56" i="1"/>
  <c r="T53" i="1"/>
  <c r="U53" i="1" s="1"/>
  <c r="S53" i="1" s="1"/>
  <c r="AA50" i="1"/>
  <c r="W50" i="1" s="1"/>
  <c r="T47" i="1"/>
  <c r="X36" i="1"/>
  <c r="AA30" i="1"/>
  <c r="T28" i="1"/>
  <c r="U28" i="1" s="1"/>
  <c r="S28" i="1" s="1"/>
  <c r="AA25" i="1"/>
  <c r="T24" i="1"/>
  <c r="U24" i="1" s="1"/>
  <c r="S24" i="1" s="1"/>
  <c r="T23" i="1"/>
  <c r="AA18" i="1"/>
  <c r="X16" i="1"/>
  <c r="U113" i="1"/>
  <c r="S113" i="1" s="1"/>
  <c r="AA101" i="1"/>
  <c r="T99" i="1"/>
  <c r="U99" i="1" s="1"/>
  <c r="S99" i="1" s="1"/>
  <c r="T92" i="1"/>
  <c r="T76" i="1"/>
  <c r="U76" i="1" s="1"/>
  <c r="S76" i="1" s="1"/>
  <c r="U67" i="1"/>
  <c r="S67" i="1" s="1"/>
  <c r="T64" i="1"/>
  <c r="U64" i="1" s="1"/>
  <c r="S64" i="1" s="1"/>
  <c r="T52" i="1"/>
  <c r="T48" i="1"/>
  <c r="W16" i="1"/>
  <c r="T109" i="1"/>
  <c r="U109" i="1" s="1"/>
  <c r="S109" i="1" s="1"/>
  <c r="T79" i="1"/>
  <c r="U79" i="1" s="1"/>
  <c r="S79" i="1" s="1"/>
  <c r="X72" i="1"/>
  <c r="AG71" i="1"/>
  <c r="T68" i="1"/>
  <c r="U68" i="1" s="1"/>
  <c r="S68" i="1" s="1"/>
  <c r="AG59" i="1"/>
  <c r="AA52" i="1"/>
  <c r="AG48" i="1"/>
  <c r="AG47" i="1"/>
  <c r="T32" i="1"/>
  <c r="U32" i="1" s="1"/>
  <c r="S32" i="1" s="1"/>
  <c r="AG30" i="1"/>
  <c r="X28" i="1"/>
  <c r="AG23" i="1"/>
  <c r="U19" i="1"/>
  <c r="S19" i="1" s="1"/>
  <c r="T16" i="1"/>
  <c r="U16" i="1" s="1"/>
  <c r="S16" i="1" s="1"/>
  <c r="T15" i="1"/>
  <c r="AA121" i="1"/>
  <c r="W121" i="1" s="1"/>
  <c r="AI113" i="1"/>
  <c r="AA102" i="1"/>
  <c r="AG101" i="1"/>
  <c r="AA87" i="1"/>
  <c r="AG86" i="1"/>
  <c r="X86" i="1"/>
  <c r="T84" i="1"/>
  <c r="X80" i="1"/>
  <c r="AG78" i="1"/>
  <c r="U78" i="1" s="1"/>
  <c r="S78" i="1" s="1"/>
  <c r="X78" i="1"/>
  <c r="AA67" i="1"/>
  <c r="W67" i="1" s="1"/>
  <c r="X64" i="1"/>
  <c r="AA63" i="1"/>
  <c r="AG62" i="1"/>
  <c r="AA56" i="1"/>
  <c r="AG55" i="1"/>
  <c r="AG52" i="1"/>
  <c r="T51" i="1"/>
  <c r="AA33" i="1"/>
  <c r="AA21" i="1"/>
  <c r="AG15" i="1"/>
  <c r="T186" i="1"/>
  <c r="X186" i="1"/>
  <c r="T165" i="1"/>
  <c r="X165" i="1"/>
  <c r="AG165" i="1"/>
  <c r="W165" i="1" s="1"/>
  <c r="T148" i="1"/>
  <c r="X148" i="1"/>
  <c r="AG148" i="1"/>
  <c r="X149" i="1"/>
  <c r="T200" i="1"/>
  <c r="T197" i="1"/>
  <c r="X197" i="1"/>
  <c r="X187" i="1"/>
  <c r="AG186" i="1"/>
  <c r="T184" i="1"/>
  <c r="X184" i="1"/>
  <c r="AG184" i="1"/>
  <c r="W184" i="1" s="1"/>
  <c r="AG177" i="1"/>
  <c r="AG175" i="1"/>
  <c r="T175" i="1"/>
  <c r="X158" i="1"/>
  <c r="X157" i="1"/>
  <c r="AG157" i="1"/>
  <c r="X205" i="1"/>
  <c r="X204" i="1"/>
  <c r="AG204" i="1"/>
  <c r="AG155" i="1"/>
  <c r="X155" i="1"/>
  <c r="T155" i="1"/>
  <c r="T202" i="1"/>
  <c r="U200" i="1"/>
  <c r="S200" i="1" s="1"/>
  <c r="T193" i="1"/>
  <c r="U193" i="1" s="1"/>
  <c r="S193" i="1" s="1"/>
  <c r="X193" i="1"/>
  <c r="X166" i="1"/>
  <c r="T214" i="1"/>
  <c r="X214" i="1"/>
  <c r="AG214" i="1"/>
  <c r="AG103" i="1"/>
  <c r="T103" i="1"/>
  <c r="T211" i="1"/>
  <c r="AG202" i="1"/>
  <c r="X202" i="1"/>
  <c r="AG211" i="1"/>
  <c r="T209" i="1"/>
  <c r="U209" i="1" s="1"/>
  <c r="S209" i="1" s="1"/>
  <c r="T201" i="1"/>
  <c r="U201" i="1" s="1"/>
  <c r="S201" i="1" s="1"/>
  <c r="X201" i="1"/>
  <c r="X200" i="1"/>
  <c r="AG197" i="1"/>
  <c r="T188" i="1"/>
  <c r="U188" i="1" s="1"/>
  <c r="S188" i="1" s="1"/>
  <c r="T180" i="1"/>
  <c r="X180" i="1"/>
  <c r="X178" i="1"/>
  <c r="AI182" i="1"/>
  <c r="W126" i="1"/>
  <c r="T210" i="1"/>
  <c r="U210" i="1" s="1"/>
  <c r="S210" i="1" s="1"/>
  <c r="X210" i="1"/>
  <c r="X209" i="1"/>
  <c r="AA202" i="1"/>
  <c r="X194" i="1"/>
  <c r="T192" i="1"/>
  <c r="U192" i="1" s="1"/>
  <c r="S192" i="1" s="1"/>
  <c r="T189" i="1"/>
  <c r="X189" i="1"/>
  <c r="X188" i="1"/>
  <c r="AA186" i="1"/>
  <c r="X185" i="1"/>
  <c r="AG180" i="1"/>
  <c r="AG172" i="1"/>
  <c r="X172" i="1"/>
  <c r="T172" i="1"/>
  <c r="T157" i="1"/>
  <c r="AG221" i="1"/>
  <c r="AI221" i="1" s="1"/>
  <c r="X221" i="1"/>
  <c r="T221" i="1"/>
  <c r="AI160" i="1"/>
  <c r="T204" i="1"/>
  <c r="T169" i="1"/>
  <c r="X169" i="1"/>
  <c r="T162" i="1"/>
  <c r="T218" i="1"/>
  <c r="X218" i="1"/>
  <c r="T208" i="1"/>
  <c r="T152" i="1"/>
  <c r="X152" i="1"/>
  <c r="AG142" i="1"/>
  <c r="W142" i="1" s="1"/>
  <c r="X142" i="1"/>
  <c r="T142" i="1"/>
  <c r="T74" i="1"/>
  <c r="X74" i="1"/>
  <c r="X75" i="1"/>
  <c r="AG74" i="1"/>
  <c r="T181" i="1"/>
  <c r="T173" i="1"/>
  <c r="X173" i="1"/>
  <c r="AG169" i="1"/>
  <c r="W169" i="1" s="1"/>
  <c r="T166" i="1"/>
  <c r="AG162" i="1"/>
  <c r="T159" i="1"/>
  <c r="U159" i="1" s="1"/>
  <c r="S159" i="1" s="1"/>
  <c r="T222" i="1"/>
  <c r="X222" i="1"/>
  <c r="AG218" i="1"/>
  <c r="T215" i="1"/>
  <c r="AG208" i="1"/>
  <c r="T206" i="1"/>
  <c r="U206" i="1" s="1"/>
  <c r="S206" i="1" s="1"/>
  <c r="T156" i="1"/>
  <c r="U156" i="1" s="1"/>
  <c r="S156" i="1" s="1"/>
  <c r="X156" i="1"/>
  <c r="X154" i="1"/>
  <c r="AA153" i="1"/>
  <c r="AG152" i="1"/>
  <c r="X144" i="1"/>
  <c r="AG144" i="1"/>
  <c r="AI143" i="1"/>
  <c r="X141" i="1"/>
  <c r="X140" i="1"/>
  <c r="AG140" i="1"/>
  <c r="AG138" i="1"/>
  <c r="X138" i="1"/>
  <c r="T138" i="1"/>
  <c r="T131" i="1"/>
  <c r="X131" i="1"/>
  <c r="X132" i="1"/>
  <c r="AG131" i="1"/>
  <c r="AA127" i="1"/>
  <c r="W127" i="1" s="1"/>
  <c r="X125" i="1"/>
  <c r="X124" i="1"/>
  <c r="AG124" i="1"/>
  <c r="AG122" i="1"/>
  <c r="X122" i="1"/>
  <c r="T122" i="1"/>
  <c r="T115" i="1"/>
  <c r="X115" i="1"/>
  <c r="X116" i="1"/>
  <c r="AG115" i="1"/>
  <c r="T104" i="1"/>
  <c r="X104" i="1"/>
  <c r="AG104" i="1"/>
  <c r="U101" i="1"/>
  <c r="S101" i="1" s="1"/>
  <c r="T54" i="1"/>
  <c r="X54" i="1"/>
  <c r="AG54" i="1"/>
  <c r="AG181" i="1"/>
  <c r="T179" i="1"/>
  <c r="U179" i="1" s="1"/>
  <c r="S179" i="1" s="1"/>
  <c r="T176" i="1"/>
  <c r="U176" i="1" s="1"/>
  <c r="S176" i="1" s="1"/>
  <c r="AG173" i="1"/>
  <c r="U168" i="1"/>
  <c r="S168" i="1" s="1"/>
  <c r="AG166" i="1"/>
  <c r="T164" i="1"/>
  <c r="U164" i="1" s="1"/>
  <c r="S164" i="1" s="1"/>
  <c r="T160" i="1"/>
  <c r="U160" i="1" s="1"/>
  <c r="S160" i="1" s="1"/>
  <c r="X160" i="1"/>
  <c r="X159" i="1"/>
  <c r="AA157" i="1"/>
  <c r="AG222" i="1"/>
  <c r="AG215" i="1"/>
  <c r="T213" i="1"/>
  <c r="U213" i="1" s="1"/>
  <c r="S213" i="1" s="1"/>
  <c r="T207" i="1"/>
  <c r="U207" i="1" s="1"/>
  <c r="S207" i="1" s="1"/>
  <c r="X207" i="1"/>
  <c r="X206" i="1"/>
  <c r="AA204" i="1"/>
  <c r="T151" i="1"/>
  <c r="AG151" i="1"/>
  <c r="AA149" i="1"/>
  <c r="AA148" i="1"/>
  <c r="T147" i="1"/>
  <c r="X147" i="1"/>
  <c r="AG147" i="1"/>
  <c r="T110" i="1"/>
  <c r="AG110" i="1"/>
  <c r="T135" i="1"/>
  <c r="X135" i="1"/>
  <c r="T128" i="1"/>
  <c r="T119" i="1"/>
  <c r="X119" i="1"/>
  <c r="U55" i="1"/>
  <c r="S55" i="1" s="1"/>
  <c r="T139" i="1"/>
  <c r="U139" i="1" s="1"/>
  <c r="S139" i="1" s="1"/>
  <c r="X139" i="1"/>
  <c r="X137" i="1"/>
  <c r="AA136" i="1"/>
  <c r="W136" i="1" s="1"/>
  <c r="AG135" i="1"/>
  <c r="W135" i="1" s="1"/>
  <c r="AG128" i="1"/>
  <c r="T126" i="1"/>
  <c r="U126" i="1" s="1"/>
  <c r="S126" i="1" s="1"/>
  <c r="T123" i="1"/>
  <c r="U123" i="1" s="1"/>
  <c r="S123" i="1" s="1"/>
  <c r="X123" i="1"/>
  <c r="X121" i="1"/>
  <c r="AA120" i="1"/>
  <c r="AG119" i="1"/>
  <c r="X114" i="1"/>
  <c r="X91" i="1"/>
  <c r="X90" i="1"/>
  <c r="AG90" i="1"/>
  <c r="T81" i="1"/>
  <c r="X81" i="1"/>
  <c r="AG81" i="1"/>
  <c r="T143" i="1"/>
  <c r="U143" i="1" s="1"/>
  <c r="S143" i="1" s="1"/>
  <c r="X143" i="1"/>
  <c r="AA140" i="1"/>
  <c r="T127" i="1"/>
  <c r="U127" i="1" s="1"/>
  <c r="S127" i="1" s="1"/>
  <c r="X127" i="1"/>
  <c r="X126" i="1"/>
  <c r="AA124" i="1"/>
  <c r="AG112" i="1"/>
  <c r="X113" i="1"/>
  <c r="X106" i="1"/>
  <c r="X105" i="1"/>
  <c r="AG105" i="1"/>
  <c r="T97" i="1"/>
  <c r="AG97" i="1"/>
  <c r="AG96" i="1"/>
  <c r="T96" i="1"/>
  <c r="T89" i="1"/>
  <c r="X89" i="1"/>
  <c r="AG89" i="1"/>
  <c r="AG88" i="1"/>
  <c r="W88" i="1" s="1"/>
  <c r="T88" i="1"/>
  <c r="U86" i="1"/>
  <c r="S86" i="1" s="1"/>
  <c r="T34" i="1"/>
  <c r="X34" i="1"/>
  <c r="AG34" i="1"/>
  <c r="X35" i="1"/>
  <c r="T100" i="1"/>
  <c r="U100" i="1" s="1"/>
  <c r="S100" i="1" s="1"/>
  <c r="U92" i="1"/>
  <c r="S92" i="1" s="1"/>
  <c r="T85" i="1"/>
  <c r="U85" i="1" s="1"/>
  <c r="S85" i="1" s="1"/>
  <c r="X85" i="1"/>
  <c r="X83" i="1"/>
  <c r="AA82" i="1"/>
  <c r="AA66" i="1"/>
  <c r="T65" i="1"/>
  <c r="X65" i="1"/>
  <c r="AG65" i="1"/>
  <c r="AA58" i="1"/>
  <c r="T82" i="1"/>
  <c r="T69" i="1"/>
  <c r="X69" i="1"/>
  <c r="AG69" i="1"/>
  <c r="T66" i="1"/>
  <c r="X66" i="1"/>
  <c r="T61" i="1"/>
  <c r="AG61" i="1"/>
  <c r="W61" i="1" s="1"/>
  <c r="AG49" i="1"/>
  <c r="X49" i="1"/>
  <c r="T49" i="1"/>
  <c r="T37" i="1"/>
  <c r="X37" i="1"/>
  <c r="AG37" i="1"/>
  <c r="T108" i="1"/>
  <c r="U108" i="1" s="1"/>
  <c r="S108" i="1" s="1"/>
  <c r="AA105" i="1"/>
  <c r="T93" i="1"/>
  <c r="U93" i="1" s="1"/>
  <c r="S93" i="1" s="1"/>
  <c r="X93" i="1"/>
  <c r="X92" i="1"/>
  <c r="AA90" i="1"/>
  <c r="AG82" i="1"/>
  <c r="T80" i="1"/>
  <c r="U80" i="1" s="1"/>
  <c r="S80" i="1" s="1"/>
  <c r="T77" i="1"/>
  <c r="U77" i="1" s="1"/>
  <c r="S77" i="1" s="1"/>
  <c r="X77" i="1"/>
  <c r="X76" i="1"/>
  <c r="AA74" i="1"/>
  <c r="T73" i="1"/>
  <c r="X73" i="1"/>
  <c r="AG73" i="1"/>
  <c r="T70" i="1"/>
  <c r="U70" i="1" s="1"/>
  <c r="S70" i="1" s="1"/>
  <c r="X70" i="1"/>
  <c r="X67" i="1"/>
  <c r="AG66" i="1"/>
  <c r="T57" i="1"/>
  <c r="AG57" i="1"/>
  <c r="AA51" i="1"/>
  <c r="T26" i="1"/>
  <c r="X26" i="1"/>
  <c r="AG26" i="1"/>
  <c r="X27" i="1"/>
  <c r="X55" i="1"/>
  <c r="W42" i="1"/>
  <c r="T41" i="1"/>
  <c r="X41" i="1"/>
  <c r="AG41" i="1"/>
  <c r="T38" i="1"/>
  <c r="X38" i="1"/>
  <c r="T29" i="1"/>
  <c r="X29" i="1"/>
  <c r="AG29" i="1"/>
  <c r="AA19" i="1"/>
  <c r="T17" i="1"/>
  <c r="X17" i="1"/>
  <c r="AG17" i="1"/>
  <c r="W17" i="1" s="1"/>
  <c r="T14" i="1"/>
  <c r="U14" i="1" s="1"/>
  <c r="S14" i="1" s="1"/>
  <c r="T50" i="1"/>
  <c r="U50" i="1" s="1"/>
  <c r="S50" i="1" s="1"/>
  <c r="X50" i="1"/>
  <c r="AA47" i="1"/>
  <c r="AA46" i="1"/>
  <c r="W46" i="1" s="1"/>
  <c r="T45" i="1"/>
  <c r="X45" i="1"/>
  <c r="AG45" i="1"/>
  <c r="T42" i="1"/>
  <c r="U42" i="1" s="1"/>
  <c r="S42" i="1" s="1"/>
  <c r="X42" i="1"/>
  <c r="X39" i="1"/>
  <c r="AG38" i="1"/>
  <c r="T30" i="1"/>
  <c r="X30" i="1"/>
  <c r="AA23" i="1"/>
  <c r="AA22" i="1"/>
  <c r="W22" i="1" s="1"/>
  <c r="T21" i="1"/>
  <c r="X21" i="1"/>
  <c r="AG21" i="1"/>
  <c r="T18" i="1"/>
  <c r="X18" i="1"/>
  <c r="T46" i="1"/>
  <c r="U46" i="1" s="1"/>
  <c r="S46" i="1" s="1"/>
  <c r="X46" i="1"/>
  <c r="AI42" i="1"/>
  <c r="AA35" i="1"/>
  <c r="W35" i="1" s="1"/>
  <c r="AA34" i="1"/>
  <c r="T33" i="1"/>
  <c r="X33" i="1"/>
  <c r="AG33" i="1"/>
  <c r="AA27" i="1"/>
  <c r="W27" i="1" s="1"/>
  <c r="AA26" i="1"/>
  <c r="T25" i="1"/>
  <c r="X25" i="1"/>
  <c r="AG25" i="1"/>
  <c r="T22" i="1"/>
  <c r="U22" i="1" s="1"/>
  <c r="S22" i="1" s="1"/>
  <c r="X22" i="1"/>
  <c r="X19" i="1"/>
  <c r="AG18" i="1"/>
  <c r="X63" i="3"/>
  <c r="X35" i="3"/>
  <c r="X34" i="3"/>
  <c r="X56" i="3"/>
  <c r="X13" i="3"/>
  <c r="X23" i="3"/>
  <c r="X42" i="3"/>
  <c r="X46" i="3"/>
  <c r="X31" i="3"/>
  <c r="X16" i="3"/>
  <c r="X29" i="3"/>
  <c r="X44" i="3"/>
  <c r="X53" i="3"/>
  <c r="X27" i="3"/>
  <c r="X7" i="3"/>
  <c r="R35" i="3"/>
  <c r="Q35" i="3"/>
  <c r="R26" i="3"/>
  <c r="Q26" i="3"/>
  <c r="M26" i="3"/>
  <c r="M19" i="3"/>
  <c r="M55" i="3"/>
  <c r="M27" i="3"/>
  <c r="M45" i="3"/>
  <c r="M52" i="3"/>
  <c r="M53" i="3"/>
  <c r="M50" i="3"/>
  <c r="M38" i="3"/>
  <c r="M11" i="3"/>
  <c r="M20" i="3"/>
  <c r="M44" i="3"/>
  <c r="M49" i="3"/>
  <c r="M28" i="3"/>
  <c r="M29" i="3"/>
  <c r="M9" i="3"/>
  <c r="M30" i="3"/>
  <c r="M8" i="3"/>
  <c r="M51" i="3"/>
  <c r="M16" i="3"/>
  <c r="M39" i="3"/>
  <c r="M15" i="3"/>
  <c r="M31" i="3"/>
  <c r="M7" i="3"/>
  <c r="M12" i="3"/>
  <c r="M54" i="3"/>
  <c r="M46" i="3"/>
  <c r="M21" i="3"/>
  <c r="M43" i="3"/>
  <c r="M42" i="3"/>
  <c r="M17" i="3"/>
  <c r="M10" i="3"/>
  <c r="M40" i="3"/>
  <c r="M22" i="3"/>
  <c r="M23" i="3"/>
  <c r="M41" i="3"/>
  <c r="M32" i="3"/>
  <c r="M13" i="3"/>
  <c r="M14" i="3"/>
  <c r="M58" i="3"/>
  <c r="M33" i="3"/>
  <c r="M25" i="3"/>
  <c r="M56" i="3"/>
  <c r="M57" i="3"/>
  <c r="M18" i="3"/>
  <c r="M34" i="3"/>
  <c r="T24" i="3"/>
  <c r="S24" i="3" s="1"/>
  <c r="U24" i="3"/>
  <c r="V24" i="3"/>
  <c r="W24" i="3"/>
  <c r="AI134" i="1" l="1"/>
  <c r="AI111" i="1"/>
  <c r="AI71" i="1"/>
  <c r="W129" i="1"/>
  <c r="W110" i="1"/>
  <c r="W122" i="1"/>
  <c r="W118" i="1"/>
  <c r="U154" i="1"/>
  <c r="S154" i="1" s="1"/>
  <c r="W141" i="1"/>
  <c r="W132" i="1"/>
  <c r="AI161" i="1"/>
  <c r="U161" i="1"/>
  <c r="S161" i="1" s="1"/>
  <c r="W161" i="1"/>
  <c r="W68" i="1"/>
  <c r="AI52" i="1"/>
  <c r="W81" i="1"/>
  <c r="W56" i="1"/>
  <c r="AI107" i="1"/>
  <c r="AI59" i="1"/>
  <c r="W133" i="1"/>
  <c r="AI53" i="1"/>
  <c r="AI168" i="1"/>
  <c r="AI93" i="1"/>
  <c r="AI205" i="1"/>
  <c r="W98" i="1"/>
  <c r="W19" i="1"/>
  <c r="AI80" i="1"/>
  <c r="AI77" i="1"/>
  <c r="W107" i="1"/>
  <c r="W130" i="1"/>
  <c r="U23" i="1"/>
  <c r="S23" i="1" s="1"/>
  <c r="W91" i="1"/>
  <c r="W154" i="1"/>
  <c r="W201" i="1"/>
  <c r="W43" i="1"/>
  <c r="AI78" i="1"/>
  <c r="AI150" i="1"/>
  <c r="U40" i="1"/>
  <c r="S40" i="1" s="1"/>
  <c r="AI116" i="1"/>
  <c r="AI20" i="1"/>
  <c r="AI86" i="1"/>
  <c r="W32" i="1"/>
  <c r="AI210" i="1"/>
  <c r="U52" i="1"/>
  <c r="S52" i="1" s="1"/>
  <c r="W219" i="1"/>
  <c r="U84" i="1"/>
  <c r="S84" i="1" s="1"/>
  <c r="AI154" i="1"/>
  <c r="W62" i="1"/>
  <c r="W79" i="1"/>
  <c r="W159" i="1"/>
  <c r="W84" i="1"/>
  <c r="AI129" i="1"/>
  <c r="AI190" i="1"/>
  <c r="AI56" i="1"/>
  <c r="AI67" i="1"/>
  <c r="W64" i="1"/>
  <c r="AI132" i="1"/>
  <c r="W72" i="1"/>
  <c r="W99" i="1"/>
  <c r="W147" i="1"/>
  <c r="AI192" i="1"/>
  <c r="AI198" i="1"/>
  <c r="AI214" i="1"/>
  <c r="W85" i="1"/>
  <c r="U56" i="1"/>
  <c r="S56" i="1" s="1"/>
  <c r="U167" i="1"/>
  <c r="S167" i="1" s="1"/>
  <c r="W189" i="1"/>
  <c r="U150" i="1"/>
  <c r="S150" i="1" s="1"/>
  <c r="AI174" i="1"/>
  <c r="W20" i="1"/>
  <c r="W190" i="1"/>
  <c r="AI141" i="1"/>
  <c r="W36" i="1"/>
  <c r="AI176" i="1"/>
  <c r="W198" i="1"/>
  <c r="AI24" i="1"/>
  <c r="W55" i="1"/>
  <c r="W30" i="1"/>
  <c r="W103" i="1"/>
  <c r="W106" i="1"/>
  <c r="W86" i="1"/>
  <c r="U107" i="1"/>
  <c r="S107" i="1" s="1"/>
  <c r="AI133" i="1"/>
  <c r="W186" i="1"/>
  <c r="AI209" i="1"/>
  <c r="AI76" i="1"/>
  <c r="AI170" i="1"/>
  <c r="U216" i="1"/>
  <c r="S216" i="1" s="1"/>
  <c r="AI95" i="1"/>
  <c r="W34" i="1"/>
  <c r="W23" i="1"/>
  <c r="W120" i="1"/>
  <c r="W149" i="1"/>
  <c r="W152" i="1"/>
  <c r="W162" i="1"/>
  <c r="U15" i="1"/>
  <c r="S15" i="1" s="1"/>
  <c r="U36" i="1"/>
  <c r="S36" i="1" s="1"/>
  <c r="AI106" i="1"/>
  <c r="W116" i="1"/>
  <c r="U59" i="1"/>
  <c r="S59" i="1" s="1"/>
  <c r="AI63" i="1"/>
  <c r="W83" i="1"/>
  <c r="W92" i="1"/>
  <c r="W171" i="1"/>
  <c r="W199" i="1"/>
  <c r="U20" i="1"/>
  <c r="S20" i="1" s="1"/>
  <c r="AI36" i="1"/>
  <c r="AI118" i="1"/>
  <c r="AI101" i="1"/>
  <c r="U141" i="1"/>
  <c r="S141" i="1" s="1"/>
  <c r="W31" i="1"/>
  <c r="AI84" i="1"/>
  <c r="AI43" i="1"/>
  <c r="U30" i="1"/>
  <c r="S30" i="1" s="1"/>
  <c r="AI55" i="1"/>
  <c r="W138" i="1"/>
  <c r="W216" i="1"/>
  <c r="W175" i="1"/>
  <c r="AI203" i="1"/>
  <c r="W39" i="1"/>
  <c r="AI146" i="1"/>
  <c r="W194" i="1"/>
  <c r="AI212" i="1"/>
  <c r="AI220" i="1"/>
  <c r="W95" i="1"/>
  <c r="W44" i="1"/>
  <c r="U31" i="1"/>
  <c r="S31" i="1" s="1"/>
  <c r="AI164" i="1"/>
  <c r="AI215" i="1"/>
  <c r="AI30" i="1"/>
  <c r="W66" i="1"/>
  <c r="W166" i="1"/>
  <c r="W144" i="1"/>
  <c r="AI167" i="1"/>
  <c r="W211" i="1"/>
  <c r="AI216" i="1"/>
  <c r="W108" i="1"/>
  <c r="W158" i="1"/>
  <c r="W94" i="1"/>
  <c r="W25" i="1"/>
  <c r="W101" i="1"/>
  <c r="W28" i="1"/>
  <c r="U94" i="1"/>
  <c r="S94" i="1" s="1"/>
  <c r="U118" i="1"/>
  <c r="S118" i="1" s="1"/>
  <c r="AI117" i="1"/>
  <c r="AI171" i="1"/>
  <c r="W54" i="1"/>
  <c r="W78" i="1"/>
  <c r="AI40" i="1"/>
  <c r="U220" i="1"/>
  <c r="S220" i="1" s="1"/>
  <c r="U212" i="1"/>
  <c r="S212" i="1" s="1"/>
  <c r="W87" i="1"/>
  <c r="U116" i="1"/>
  <c r="S116" i="1" s="1"/>
  <c r="W60" i="1"/>
  <c r="W156" i="1"/>
  <c r="U205" i="1"/>
  <c r="S205" i="1" s="1"/>
  <c r="W40" i="1"/>
  <c r="U114" i="1"/>
  <c r="S114" i="1" s="1"/>
  <c r="AI14" i="1"/>
  <c r="W71" i="1"/>
  <c r="AI87" i="1"/>
  <c r="W204" i="1"/>
  <c r="U47" i="1"/>
  <c r="S47" i="1" s="1"/>
  <c r="AI158" i="1"/>
  <c r="U106" i="1"/>
  <c r="S106" i="1" s="1"/>
  <c r="AI163" i="1"/>
  <c r="U195" i="1"/>
  <c r="S195" i="1" s="1"/>
  <c r="W191" i="1"/>
  <c r="AI31" i="1"/>
  <c r="AI15" i="1"/>
  <c r="AI39" i="1"/>
  <c r="W105" i="1"/>
  <c r="U71" i="1"/>
  <c r="S71" i="1" s="1"/>
  <c r="W153" i="1"/>
  <c r="U189" i="1"/>
  <c r="S189" i="1" s="1"/>
  <c r="W139" i="1"/>
  <c r="AI123" i="1"/>
  <c r="U51" i="1"/>
  <c r="S51" i="1" s="1"/>
  <c r="U133" i="1"/>
  <c r="S133" i="1" s="1"/>
  <c r="AI50" i="1"/>
  <c r="W51" i="1"/>
  <c r="AI186" i="1"/>
  <c r="W183" i="1"/>
  <c r="AI208" i="1"/>
  <c r="W170" i="1"/>
  <c r="W185" i="1"/>
  <c r="U187" i="1"/>
  <c r="S187" i="1" s="1"/>
  <c r="AI206" i="1"/>
  <c r="AI185" i="1"/>
  <c r="W100" i="1"/>
  <c r="AI217" i="1"/>
  <c r="W33" i="1"/>
  <c r="W65" i="1"/>
  <c r="AI121" i="1"/>
  <c r="AI137" i="1"/>
  <c r="W47" i="1"/>
  <c r="W37" i="1"/>
  <c r="AI62" i="1"/>
  <c r="W70" i="1"/>
  <c r="W124" i="1"/>
  <c r="AI83" i="1"/>
  <c r="W157" i="1"/>
  <c r="W202" i="1"/>
  <c r="W177" i="1"/>
  <c r="W102" i="1"/>
  <c r="W52" i="1"/>
  <c r="W109" i="1"/>
  <c r="W167" i="1"/>
  <c r="U27" i="1"/>
  <c r="S27" i="1" s="1"/>
  <c r="W163" i="1"/>
  <c r="U62" i="1"/>
  <c r="S62" i="1" s="1"/>
  <c r="AI102" i="1"/>
  <c r="W58" i="1"/>
  <c r="W148" i="1"/>
  <c r="U163" i="1"/>
  <c r="S163" i="1" s="1"/>
  <c r="AI44" i="1"/>
  <c r="W59" i="1"/>
  <c r="AI195" i="1"/>
  <c r="U111" i="1"/>
  <c r="S111" i="1" s="1"/>
  <c r="W114" i="1"/>
  <c r="W205" i="1"/>
  <c r="U75" i="1"/>
  <c r="S75" i="1" s="1"/>
  <c r="AI75" i="1"/>
  <c r="W207" i="1"/>
  <c r="AI207" i="1"/>
  <c r="AI219" i="1"/>
  <c r="W208" i="1"/>
  <c r="AI211" i="1"/>
  <c r="W63" i="1"/>
  <c r="U48" i="1"/>
  <c r="S48" i="1" s="1"/>
  <c r="AI48" i="1"/>
  <c r="U91" i="1"/>
  <c r="S91" i="1" s="1"/>
  <c r="AI91" i="1"/>
  <c r="W220" i="1"/>
  <c r="AI194" i="1"/>
  <c r="W75" i="1"/>
  <c r="W203" i="1"/>
  <c r="AI199" i="1"/>
  <c r="W212" i="1"/>
  <c r="W26" i="1"/>
  <c r="U98" i="1"/>
  <c r="S98" i="1" s="1"/>
  <c r="AI98" i="1"/>
  <c r="W48" i="1"/>
  <c r="W195" i="1"/>
  <c r="W111" i="1"/>
  <c r="AI175" i="1"/>
  <c r="AI27" i="1"/>
  <c r="AI35" i="1"/>
  <c r="AI136" i="1"/>
  <c r="AI204" i="1"/>
  <c r="W15" i="1"/>
  <c r="AI57" i="1"/>
  <c r="U57" i="1"/>
  <c r="S57" i="1" s="1"/>
  <c r="AI197" i="1"/>
  <c r="U181" i="1"/>
  <c r="S181" i="1" s="1"/>
  <c r="AI131" i="1"/>
  <c r="U131" i="1"/>
  <c r="S131" i="1" s="1"/>
  <c r="AI140" i="1"/>
  <c r="U140" i="1"/>
  <c r="S140" i="1" s="1"/>
  <c r="U172" i="1"/>
  <c r="S172" i="1" s="1"/>
  <c r="AI187" i="1"/>
  <c r="AI165" i="1"/>
  <c r="U214" i="1"/>
  <c r="S214" i="1" s="1"/>
  <c r="U41" i="1"/>
  <c r="S41" i="1" s="1"/>
  <c r="AI41" i="1"/>
  <c r="U37" i="1"/>
  <c r="S37" i="1" s="1"/>
  <c r="AI37" i="1"/>
  <c r="AI47" i="1"/>
  <c r="U49" i="1"/>
  <c r="S49" i="1" s="1"/>
  <c r="AI49" i="1"/>
  <c r="AI61" i="1"/>
  <c r="U61" i="1"/>
  <c r="S61" i="1" s="1"/>
  <c r="AI23" i="1"/>
  <c r="W41" i="1"/>
  <c r="W49" i="1"/>
  <c r="AI34" i="1"/>
  <c r="U34" i="1"/>
  <c r="S34" i="1" s="1"/>
  <c r="AI105" i="1"/>
  <c r="U105" i="1"/>
  <c r="S105" i="1" s="1"/>
  <c r="W140" i="1"/>
  <c r="AI81" i="1"/>
  <c r="U81" i="1"/>
  <c r="S81" i="1" s="1"/>
  <c r="U119" i="1"/>
  <c r="S119" i="1" s="1"/>
  <c r="AI119" i="1"/>
  <c r="U151" i="1"/>
  <c r="S151" i="1" s="1"/>
  <c r="AI151" i="1"/>
  <c r="U222" i="1"/>
  <c r="S222" i="1" s="1"/>
  <c r="AI173" i="1"/>
  <c r="W222" i="1"/>
  <c r="AI115" i="1"/>
  <c r="U115" i="1"/>
  <c r="S115" i="1" s="1"/>
  <c r="AI144" i="1"/>
  <c r="U144" i="1"/>
  <c r="S144" i="1" s="1"/>
  <c r="W115" i="1"/>
  <c r="U142" i="1"/>
  <c r="S142" i="1" s="1"/>
  <c r="AI142" i="1"/>
  <c r="U221" i="1"/>
  <c r="S221" i="1" s="1"/>
  <c r="AI172" i="1"/>
  <c r="AI196" i="1"/>
  <c r="U180" i="1"/>
  <c r="S180" i="1" s="1"/>
  <c r="W119" i="1"/>
  <c r="AI153" i="1"/>
  <c r="W221" i="1"/>
  <c r="AI218" i="1"/>
  <c r="U202" i="1"/>
  <c r="S202" i="1" s="1"/>
  <c r="AI189" i="1"/>
  <c r="AI157" i="1"/>
  <c r="U204" i="1"/>
  <c r="S204" i="1" s="1"/>
  <c r="U157" i="1"/>
  <c r="S157" i="1" s="1"/>
  <c r="W180" i="1"/>
  <c r="AI202" i="1"/>
  <c r="U186" i="1"/>
  <c r="S186" i="1" s="1"/>
  <c r="W151" i="1"/>
  <c r="AI82" i="1"/>
  <c r="U82" i="1"/>
  <c r="S82" i="1" s="1"/>
  <c r="W57" i="1"/>
  <c r="W82" i="1"/>
  <c r="AI124" i="1"/>
  <c r="U124" i="1"/>
  <c r="S124" i="1" s="1"/>
  <c r="AI74" i="1"/>
  <c r="U74" i="1"/>
  <c r="S74" i="1" s="1"/>
  <c r="U96" i="1"/>
  <c r="S96" i="1" s="1"/>
  <c r="AI96" i="1"/>
  <c r="AI90" i="1"/>
  <c r="U90" i="1"/>
  <c r="S90" i="1" s="1"/>
  <c r="W96" i="1"/>
  <c r="U135" i="1"/>
  <c r="S135" i="1" s="1"/>
  <c r="AI135" i="1"/>
  <c r="AI120" i="1"/>
  <c r="AI166" i="1"/>
  <c r="U215" i="1"/>
  <c r="S215" i="1" s="1"/>
  <c r="AI104" i="1"/>
  <c r="U104" i="1"/>
  <c r="S104" i="1" s="1"/>
  <c r="W104" i="1"/>
  <c r="AI162" i="1"/>
  <c r="U208" i="1"/>
  <c r="S208" i="1" s="1"/>
  <c r="U218" i="1"/>
  <c r="S218" i="1" s="1"/>
  <c r="AI169" i="1"/>
  <c r="W131" i="1"/>
  <c r="W214" i="1"/>
  <c r="W181" i="1"/>
  <c r="AI213" i="1"/>
  <c r="U197" i="1"/>
  <c r="S197" i="1" s="1"/>
  <c r="U175" i="1"/>
  <c r="S175" i="1" s="1"/>
  <c r="AI191" i="1"/>
  <c r="U184" i="1"/>
  <c r="S184" i="1" s="1"/>
  <c r="AI200" i="1"/>
  <c r="AI148" i="1"/>
  <c r="U148" i="1"/>
  <c r="S148" i="1" s="1"/>
  <c r="AI180" i="1"/>
  <c r="U165" i="1"/>
  <c r="S165" i="1" s="1"/>
  <c r="W197" i="1"/>
  <c r="AI18" i="1"/>
  <c r="U18" i="1"/>
  <c r="S18" i="1" s="1"/>
  <c r="U21" i="1"/>
  <c r="S21" i="1" s="1"/>
  <c r="AI21" i="1"/>
  <c r="W21" i="1"/>
  <c r="AI38" i="1"/>
  <c r="U38" i="1"/>
  <c r="S38" i="1" s="1"/>
  <c r="U17" i="1"/>
  <c r="S17" i="1" s="1"/>
  <c r="AI17" i="1"/>
  <c r="U29" i="1"/>
  <c r="S29" i="1" s="1"/>
  <c r="AI29" i="1"/>
  <c r="AI89" i="1"/>
  <c r="U89" i="1"/>
  <c r="S89" i="1" s="1"/>
  <c r="W89" i="1"/>
  <c r="AI128" i="1"/>
  <c r="U128" i="1"/>
  <c r="S128" i="1" s="1"/>
  <c r="U110" i="1"/>
  <c r="S110" i="1" s="1"/>
  <c r="AI110" i="1"/>
  <c r="AI181" i="1"/>
  <c r="U166" i="1"/>
  <c r="S166" i="1" s="1"/>
  <c r="W128" i="1"/>
  <c r="U155" i="1"/>
  <c r="S155" i="1" s="1"/>
  <c r="AI155" i="1"/>
  <c r="AI19" i="1"/>
  <c r="U25" i="1"/>
  <c r="S25" i="1" s="1"/>
  <c r="AI25" i="1"/>
  <c r="U45" i="1"/>
  <c r="S45" i="1" s="1"/>
  <c r="AI45" i="1"/>
  <c r="W45" i="1"/>
  <c r="W74" i="1"/>
  <c r="W29" i="1"/>
  <c r="U69" i="1"/>
  <c r="S69" i="1" s="1"/>
  <c r="AI69" i="1"/>
  <c r="W69" i="1"/>
  <c r="AI51" i="1"/>
  <c r="U33" i="1"/>
  <c r="S33" i="1" s="1"/>
  <c r="AI33" i="1"/>
  <c r="W18" i="1"/>
  <c r="AI26" i="1"/>
  <c r="U26" i="1"/>
  <c r="S26" i="1" s="1"/>
  <c r="W38" i="1"/>
  <c r="AI58" i="1"/>
  <c r="AI66" i="1"/>
  <c r="U66" i="1"/>
  <c r="S66" i="1" s="1"/>
  <c r="U73" i="1"/>
  <c r="S73" i="1" s="1"/>
  <c r="AI73" i="1"/>
  <c r="W90" i="1"/>
  <c r="AI46" i="1"/>
  <c r="U65" i="1"/>
  <c r="S65" i="1" s="1"/>
  <c r="AI65" i="1"/>
  <c r="W73" i="1"/>
  <c r="U88" i="1"/>
  <c r="S88" i="1" s="1"/>
  <c r="AI88" i="1"/>
  <c r="AI97" i="1"/>
  <c r="U97" i="1"/>
  <c r="S97" i="1" s="1"/>
  <c r="W97" i="1"/>
  <c r="AI112" i="1"/>
  <c r="U112" i="1"/>
  <c r="S112" i="1" s="1"/>
  <c r="W112" i="1"/>
  <c r="U147" i="1"/>
  <c r="S147" i="1" s="1"/>
  <c r="AI147" i="1"/>
  <c r="U173" i="1"/>
  <c r="S173" i="1" s="1"/>
  <c r="AI188" i="1"/>
  <c r="W173" i="1"/>
  <c r="AI54" i="1"/>
  <c r="U54" i="1"/>
  <c r="S54" i="1" s="1"/>
  <c r="U122" i="1"/>
  <c r="S122" i="1" s="1"/>
  <c r="AI122" i="1"/>
  <c r="U138" i="1"/>
  <c r="S138" i="1" s="1"/>
  <c r="AI138" i="1"/>
  <c r="U152" i="1"/>
  <c r="S152" i="1" s="1"/>
  <c r="AI152" i="1"/>
  <c r="AI177" i="1"/>
  <c r="U162" i="1"/>
  <c r="S162" i="1" s="1"/>
  <c r="U169" i="1"/>
  <c r="S169" i="1" s="1"/>
  <c r="AI184" i="1"/>
  <c r="AI22" i="1"/>
  <c r="AI149" i="1"/>
  <c r="W215" i="1"/>
  <c r="AI127" i="1"/>
  <c r="W218" i="1"/>
  <c r="W172" i="1"/>
  <c r="AI222" i="1"/>
  <c r="U211" i="1"/>
  <c r="S211" i="1" s="1"/>
  <c r="U103" i="1"/>
  <c r="S103" i="1" s="1"/>
  <c r="AI103" i="1"/>
  <c r="W155" i="1"/>
  <c r="AI193" i="1"/>
  <c r="U177" i="1"/>
  <c r="S177" i="1" s="1"/>
  <c r="X24" i="3"/>
  <c r="R19" i="3"/>
  <c r="Q19" i="3"/>
  <c r="R27" i="3"/>
  <c r="Q27" i="3"/>
  <c r="R11" i="3"/>
  <c r="Q11" i="3"/>
  <c r="R38" i="3"/>
  <c r="Q38" i="3"/>
  <c r="R20" i="3"/>
  <c r="Q20" i="3"/>
  <c r="R28" i="3"/>
  <c r="Q28" i="3"/>
  <c r="R29" i="3"/>
  <c r="Q29" i="3"/>
  <c r="R9" i="3"/>
  <c r="Q9" i="3"/>
  <c r="R30" i="3"/>
  <c r="Q30" i="3"/>
  <c r="R8" i="3"/>
  <c r="Q8" i="3"/>
  <c r="R31" i="3"/>
  <c r="Q31" i="3"/>
  <c r="R15" i="3"/>
  <c r="Q15" i="3"/>
  <c r="R7" i="3"/>
  <c r="Q7" i="3"/>
  <c r="R12" i="3"/>
  <c r="Q12" i="3"/>
  <c r="R17" i="3"/>
  <c r="Q17" i="3"/>
  <c r="R40" i="3"/>
  <c r="Q40" i="3"/>
  <c r="R32" i="3"/>
  <c r="Q32" i="3"/>
  <c r="R41" i="3"/>
  <c r="Q41" i="3"/>
  <c r="R13" i="3"/>
  <c r="Q13" i="3"/>
  <c r="R25" i="3"/>
  <c r="Q25" i="3"/>
  <c r="R36" i="3"/>
  <c r="Q36" i="3"/>
  <c r="R37" i="3"/>
  <c r="Q37" i="3"/>
  <c r="R59" i="3"/>
  <c r="Q59" i="3"/>
  <c r="R48" i="3"/>
  <c r="Q48" i="3"/>
  <c r="R60" i="3"/>
  <c r="Q60" i="3"/>
  <c r="R62" i="3"/>
  <c r="Q62" i="3"/>
  <c r="R63" i="3"/>
  <c r="Q63" i="3"/>
  <c r="R55" i="3"/>
  <c r="Q55" i="3"/>
  <c r="R45" i="3"/>
  <c r="Q45" i="3"/>
  <c r="R44" i="3"/>
  <c r="Q44" i="3"/>
  <c r="R49" i="3"/>
  <c r="Q49" i="3"/>
  <c r="R51" i="3"/>
  <c r="Q51" i="3"/>
  <c r="R58" i="3"/>
  <c r="Q58" i="3"/>
  <c r="R46" i="3" l="1"/>
  <c r="R54" i="3"/>
  <c r="R52" i="3"/>
  <c r="R50" i="3"/>
  <c r="R53" i="3"/>
  <c r="Q21" i="3"/>
  <c r="Q10" i="3"/>
  <c r="R56" i="3"/>
  <c r="R57" i="3"/>
  <c r="R43" i="3"/>
  <c r="R42" i="3"/>
  <c r="Q18" i="3"/>
  <c r="Q34" i="3"/>
  <c r="R33" i="3"/>
  <c r="R14" i="3"/>
  <c r="Q16" i="3"/>
  <c r="Q39" i="3"/>
  <c r="R22" i="3"/>
  <c r="R23" i="3"/>
  <c r="Q61" i="3"/>
  <c r="Q47" i="3"/>
  <c r="R64" i="3"/>
  <c r="R65" i="3"/>
  <c r="Q46" i="3"/>
  <c r="Q54" i="3"/>
  <c r="Q52" i="3"/>
  <c r="Q50" i="3"/>
  <c r="Q53" i="3"/>
  <c r="Q22" i="3"/>
  <c r="Q23" i="3"/>
  <c r="R21" i="3"/>
  <c r="R10" i="3"/>
  <c r="R61" i="3"/>
  <c r="R47" i="3"/>
  <c r="Q56" i="3"/>
  <c r="Q57" i="3"/>
  <c r="Q43" i="3"/>
  <c r="Q42" i="3"/>
  <c r="Q64" i="3"/>
  <c r="Q65" i="3"/>
  <c r="R18" i="3"/>
  <c r="R34" i="3"/>
  <c r="Q14" i="3"/>
  <c r="Q33" i="3"/>
  <c r="R16" i="3"/>
  <c r="R39" i="3"/>
  <c r="Q24" i="3"/>
  <c r="R24" i="3"/>
  <c r="M24" i="3"/>
  <c r="B3" i="6" l="1"/>
  <c r="F3" i="6" s="1"/>
  <c r="B4" i="6"/>
  <c r="H4" i="6" s="1"/>
  <c r="B5" i="6"/>
  <c r="G5" i="6" s="1"/>
  <c r="B6" i="6"/>
  <c r="F6" i="6" s="1"/>
  <c r="B7" i="6"/>
  <c r="F7" i="6" s="1"/>
  <c r="F4" i="6" l="1"/>
  <c r="G4" i="6"/>
  <c r="I7" i="6"/>
  <c r="F5" i="6"/>
  <c r="G6" i="6"/>
  <c r="I6" i="6"/>
  <c r="H5" i="6"/>
  <c r="I5" i="6"/>
  <c r="I4" i="6"/>
  <c r="I3" i="6"/>
  <c r="H7" i="6"/>
  <c r="G7" i="6"/>
  <c r="H6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4" i="1" l="1"/>
  <c r="AH15" i="1"/>
  <c r="AH21" i="1"/>
  <c r="AH32" i="1"/>
  <c r="AH33" i="1"/>
  <c r="AH34" i="1"/>
  <c r="AH35" i="1"/>
  <c r="AH39" i="1"/>
  <c r="AH40" i="1"/>
  <c r="AH45" i="1"/>
  <c r="AH60" i="1"/>
  <c r="AH61" i="1"/>
  <c r="AH62" i="1"/>
  <c r="AH86" i="1"/>
  <c r="AH91" i="1"/>
  <c r="AH92" i="1"/>
  <c r="AH93" i="1"/>
  <c r="AH97" i="1"/>
  <c r="AH98" i="1"/>
  <c r="AH99" i="1"/>
  <c r="AH100" i="1"/>
  <c r="AH101" i="1"/>
  <c r="AH102" i="1"/>
  <c r="AH113" i="1"/>
  <c r="AH114" i="1"/>
  <c r="AH115" i="1"/>
  <c r="AH116" i="1"/>
  <c r="AH121" i="1"/>
  <c r="AH16" i="1"/>
  <c r="AH17" i="1"/>
  <c r="AH18" i="1"/>
  <c r="AH22" i="1"/>
  <c r="AH23" i="1"/>
  <c r="AH24" i="1"/>
  <c r="AH25" i="1"/>
  <c r="AH26" i="1"/>
  <c r="AH27" i="1"/>
  <c r="AH28" i="1"/>
  <c r="AH36" i="1"/>
  <c r="AH41" i="1"/>
  <c r="AH42" i="1"/>
  <c r="AH46" i="1"/>
  <c r="AH47" i="1"/>
  <c r="AH48" i="1"/>
  <c r="AH49" i="1"/>
  <c r="AH50" i="1"/>
  <c r="AH51" i="1"/>
  <c r="AH52" i="1"/>
  <c r="AH63" i="1"/>
  <c r="AH64" i="1"/>
  <c r="AH65" i="1"/>
  <c r="AH66" i="1"/>
  <c r="AH67" i="1"/>
  <c r="AH70" i="1"/>
  <c r="AH71" i="1"/>
  <c r="AH72" i="1"/>
  <c r="AH73" i="1"/>
  <c r="AH74" i="1"/>
  <c r="AH75" i="1"/>
  <c r="AH76" i="1"/>
  <c r="AH77" i="1"/>
  <c r="AH87" i="1"/>
  <c r="AH94" i="1"/>
  <c r="AH103" i="1"/>
  <c r="AH104" i="1"/>
  <c r="AH105" i="1"/>
  <c r="AH106" i="1"/>
  <c r="AH134" i="1"/>
  <c r="AH137" i="1"/>
  <c r="AH138" i="1"/>
  <c r="AH150" i="1"/>
  <c r="AH151" i="1"/>
  <c r="AH152" i="1"/>
  <c r="AH153" i="1"/>
  <c r="AH154" i="1"/>
  <c r="AH155" i="1"/>
  <c r="AH156" i="1"/>
  <c r="AH157" i="1"/>
  <c r="AH158" i="1"/>
  <c r="AH159" i="1"/>
  <c r="AH171" i="1"/>
  <c r="AH172" i="1"/>
  <c r="AH176" i="1"/>
  <c r="AH177" i="1"/>
  <c r="AH178" i="1"/>
  <c r="AH192" i="1"/>
  <c r="AH193" i="1"/>
  <c r="AH194" i="1"/>
  <c r="AH204" i="1"/>
  <c r="AH207" i="1"/>
  <c r="AH208" i="1"/>
  <c r="AH209" i="1"/>
  <c r="AH210" i="1"/>
  <c r="AH211" i="1"/>
  <c r="AH215" i="1"/>
  <c r="AH216" i="1"/>
  <c r="AH217" i="1"/>
  <c r="AH218" i="1"/>
  <c r="AH219" i="1"/>
  <c r="AH220" i="1"/>
  <c r="AH19" i="1"/>
  <c r="AH29" i="1"/>
  <c r="AH30" i="1"/>
  <c r="AH43" i="1"/>
  <c r="AH44" i="1"/>
  <c r="AH57" i="1"/>
  <c r="AH58" i="1"/>
  <c r="AH68" i="1"/>
  <c r="AH69" i="1"/>
  <c r="AH84" i="1"/>
  <c r="AH85" i="1"/>
  <c r="AH90" i="1"/>
  <c r="AH95" i="1"/>
  <c r="AH37" i="1"/>
  <c r="AH38" i="1"/>
  <c r="AH53" i="1"/>
  <c r="AH54" i="1"/>
  <c r="AH55" i="1"/>
  <c r="AH56" i="1"/>
  <c r="AH78" i="1"/>
  <c r="AH79" i="1"/>
  <c r="AH80" i="1"/>
  <c r="AH81" i="1"/>
  <c r="AH82" i="1"/>
  <c r="AH88" i="1"/>
  <c r="AH107" i="1"/>
  <c r="AH108" i="1"/>
  <c r="AH109" i="1"/>
  <c r="AH110" i="1"/>
  <c r="AH111" i="1"/>
  <c r="AH117" i="1"/>
  <c r="AH129" i="1"/>
  <c r="AH135" i="1"/>
  <c r="AH139" i="1"/>
  <c r="AH140" i="1"/>
  <c r="AH145" i="1"/>
  <c r="AH173" i="1"/>
  <c r="AH179" i="1"/>
  <c r="AH180" i="1"/>
  <c r="AH181" i="1"/>
  <c r="AH182" i="1"/>
  <c r="AH195" i="1"/>
  <c r="AH196" i="1"/>
  <c r="AH197" i="1"/>
  <c r="AH205" i="1"/>
  <c r="AH212" i="1"/>
  <c r="AH213" i="1"/>
  <c r="AH214" i="1"/>
  <c r="AH20" i="1"/>
  <c r="AH31" i="1"/>
  <c r="AH59" i="1"/>
  <c r="AH83" i="1"/>
  <c r="AH89" i="1"/>
  <c r="AH96" i="1"/>
  <c r="AH132" i="1"/>
  <c r="AH133" i="1"/>
  <c r="AH146" i="1"/>
  <c r="AH147" i="1"/>
  <c r="AH148" i="1"/>
  <c r="AH149" i="1"/>
  <c r="AH174" i="1"/>
  <c r="AH175" i="1"/>
  <c r="AH186" i="1"/>
  <c r="AH118" i="1"/>
  <c r="AH119" i="1"/>
  <c r="AH120" i="1"/>
  <c r="AH122" i="1"/>
  <c r="AH123" i="1"/>
  <c r="AH124" i="1"/>
  <c r="AH125" i="1"/>
  <c r="AH126" i="1"/>
  <c r="AH127" i="1"/>
  <c r="AH128" i="1"/>
  <c r="AH141" i="1"/>
  <c r="AH183" i="1"/>
  <c r="AH184" i="1"/>
  <c r="AH185" i="1"/>
  <c r="AH189" i="1"/>
  <c r="AH190" i="1"/>
  <c r="AH191" i="1"/>
  <c r="AH165" i="1"/>
  <c r="AH166" i="1"/>
  <c r="AH198" i="1"/>
  <c r="AH199" i="1"/>
  <c r="AH201" i="1"/>
  <c r="AH202" i="1"/>
  <c r="AH221" i="1"/>
  <c r="AH222" i="1"/>
  <c r="AH131" i="1"/>
  <c r="AH168" i="1"/>
  <c r="AH170" i="1"/>
  <c r="AH188" i="1"/>
  <c r="AH206" i="1"/>
  <c r="AH112" i="1"/>
  <c r="AH136" i="1"/>
  <c r="AH142" i="1"/>
  <c r="AH143" i="1"/>
  <c r="AH144" i="1"/>
  <c r="AH160" i="1"/>
  <c r="AH162" i="1"/>
  <c r="AH163" i="1"/>
  <c r="AH164" i="1"/>
  <c r="AH167" i="1"/>
  <c r="AH200" i="1"/>
  <c r="AH203" i="1"/>
  <c r="AH130" i="1"/>
  <c r="AH169" i="1"/>
  <c r="AH18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3" i="6" s="1"/>
  <c r="G156" i="4"/>
  <c r="H3" i="6" s="1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N2" i="3" l="1"/>
  <c r="N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<sst xmlns="http://schemas.openxmlformats.org/spreadsheetml/2006/main" count="2199" uniqueCount="734">
  <si>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</si>
  <si>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</si>
  <si>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</si>
  <si>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</si>
  <si>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</si>
  <si>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</si>
  <si>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</si>
  <si>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</si>
  <si>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</si>
  <si>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</si>
  <si>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</si>
  <si>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</si>
  <si>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</si>
  <si>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</si>
  <si>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</si>
  <si>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</si>
  <si>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</si>
  <si>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</si>
  <si>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</si>
  <si>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</si>
  <si>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</si>
  <si>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</si>
  <si>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</si>
  <si>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</si>
  <si>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</si>
  <si>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</si>
  <si>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</si>
  <si>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</si>
  <si>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</si>
  <si>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</si>
  <si>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</si>
  <si>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</si>
  <si>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</si>
  <si>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</si>
  <si>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</si>
  <si>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</si>
  <si>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</si>
  <si>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</si>
  <si>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</si>
  <si>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</si>
  <si>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</si>
  <si>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</si>
  <si>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</si>
  <si>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</si>
  <si>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</si>
  <si>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</si>
  <si>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</si>
  <si>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</si>
  <si>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</si>
  <si>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</si>
  <si>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</si>
  <si>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</si>
  <si>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</si>
  <si>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</si>
  <si>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</si>
  <si>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</si>
  <si>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</si>
  <si>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</si>
  <si>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</si>
  <si>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</si>
  <si>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</si>
  <si>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</si>
  <si>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</si>
  <si>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</si>
  <si>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</si>
  <si>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</si>
  <si>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</si>
  <si>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</si>
  <si>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</si>
  <si>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</si>
  <si>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</si>
  <si>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</si>
  <si>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</si>
  <si>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</si>
  <si>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</si>
  <si>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</si>
  <si>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</si>
  <si>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</si>
  <si>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</si>
  <si>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</si>
  <si>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</si>
  <si>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</si>
  <si>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</si>
  <si>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</si>
  <si>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</si>
  <si>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</si>
  <si>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</si>
  <si>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</si>
  <si>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</si>
  <si>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</si>
  <si>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</si>
  <si>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</si>
  <si>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</si>
  <si>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</si>
  <si>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</si>
  <si>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</si>
  <si>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</si>
  <si>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</si>
  <si>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</si>
  <si>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</si>
  <si>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</si>
  <si>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</si>
  <si>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</si>
  <si>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</si>
  <si>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</si>
  <si>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</si>
  <si>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</si>
  <si>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</si>
  <si>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</si>
  <si>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</si>
  <si>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</si>
  <si>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</si>
  <si>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</si>
  <si>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</si>
  <si>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</si>
  <si>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</si>
  <si>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</si>
  <si>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</si>
  <si>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</si>
  <si>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</si>
  <si>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</si>
  <si>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</si>
  <si>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</si>
  <si>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</si>
  <si>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</si>
  <si>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</si>
  <si>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</si>
  <si>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</si>
  <si>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</si>
  <si>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</si>
  <si>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</si>
  <si>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</si>
  <si>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</si>
  <si>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</si>
  <si>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</si>
  <si>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</si>
  <si>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</si>
  <si>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</si>
  <si>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</si>
  <si>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</si>
  <si>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</si>
  <si>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</si>
  <si>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</si>
  <si>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</si>
  <si>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</si>
  <si>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</si>
  <si>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</si>
  <si>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</si>
  <si>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</si>
  <si>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</si>
  <si>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</si>
  <si>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</si>
  <si>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</si>
  <si>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</si>
  <si>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</si>
  <si>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</si>
  <si>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</si>
  <si>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</si>
  <si>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</si>
  <si>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</si>
  <si>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</si>
  <si>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</si>
  <si>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</si>
  <si>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</si>
  <si>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</si>
  <si>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</si>
  <si>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</si>
  <si>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</si>
  <si>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</si>
  <si>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</si>
  <si>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</si>
  <si>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</si>
  <si>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</si>
  <si>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</si>
  <si>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</si>
  <si>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HAITHCOX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</si>
  <si>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</si>
  <si>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</si>
  <si>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</si>
  <si>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</si>
  <si>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</si>
  <si>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</si>
  <si>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</si>
  <si>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</si>
  <si>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</si>
  <si>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</si>
  <si>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</si>
  <si>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</si>
  <si>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</si>
  <si>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</si>
  <si>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</si>
  <si>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</si>
  <si>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</si>
  <si>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</si>
  <si>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</si>
  <si>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</si>
  <si>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</si>
  <si>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</si>
  <si>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</si>
  <si>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</si>
  <si>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</si>
  <si>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</si>
  <si>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</si>
  <si>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</si>
  <si>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</si>
  <si>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</si>
  <si>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</si>
  <si>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</si>
  <si>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</si>
  <si>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</si>
  <si>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</si>
  <si>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</si>
  <si>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</si>
  <si>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</si>
  <si>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</si>
  <si>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</si>
  <si>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</si>
  <si>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</si>
  <si>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</si>
  <si>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rtdc.l.rtdc.4028:itc</t>
  </si>
  <si>
    <t>246-26</t>
  </si>
  <si>
    <t>313-26</t>
  </si>
  <si>
    <t>Bulletin (2)</t>
  </si>
  <si>
    <t>GRADE CROSSING</t>
  </si>
  <si>
    <t>204:232971</t>
  </si>
  <si>
    <t>204:458</t>
  </si>
  <si>
    <t>204:466</t>
  </si>
  <si>
    <t>204:233297</t>
  </si>
  <si>
    <t>204:442</t>
  </si>
  <si>
    <t>Trip Number</t>
  </si>
  <si>
    <t>rtdc.l.rtdc.4011:itc</t>
  </si>
  <si>
    <t>204:233314</t>
  </si>
  <si>
    <t>204:163</t>
  </si>
  <si>
    <t>204:232996</t>
  </si>
  <si>
    <t>204:233307</t>
  </si>
  <si>
    <t>HILLS</t>
  </si>
  <si>
    <t>204:233302</t>
  </si>
  <si>
    <t>204:138</t>
  </si>
  <si>
    <t>204:141</t>
  </si>
  <si>
    <t>204:150</t>
  </si>
  <si>
    <t>204:444</t>
  </si>
  <si>
    <t>204:233304</t>
  </si>
  <si>
    <t>204:233317</t>
  </si>
  <si>
    <t>rtdc.l.rtdc.4043:itc</t>
  </si>
  <si>
    <t>rtdc.l.rtdc.4001:itc</t>
  </si>
  <si>
    <t>rtdc.l.rtdc.4044:itc</t>
  </si>
  <si>
    <t>Reactive Warning (1)</t>
  </si>
  <si>
    <t>204:233280</t>
  </si>
  <si>
    <t>204:233315</t>
  </si>
  <si>
    <t>204:233312</t>
  </si>
  <si>
    <t>204:232998</t>
  </si>
  <si>
    <t>204:136</t>
  </si>
  <si>
    <t>204:464</t>
  </si>
  <si>
    <t>204:478</t>
  </si>
  <si>
    <t>204:233000</t>
  </si>
  <si>
    <t>204:232986</t>
  </si>
  <si>
    <t>204:167</t>
  </si>
  <si>
    <t>204:232969</t>
  </si>
  <si>
    <t>204:233316</t>
  </si>
  <si>
    <t>300:58929</t>
  </si>
  <si>
    <t>Y</t>
  </si>
  <si>
    <t>CLARK</t>
  </si>
  <si>
    <t>rtdc.l.rtdc.4017:itc</t>
  </si>
  <si>
    <t>KILLION</t>
  </si>
  <si>
    <t>rtdc.l.rtdc.4018:itc</t>
  </si>
  <si>
    <t>BRUDER</t>
  </si>
  <si>
    <t>NEWELL</t>
  </si>
  <si>
    <t>204:233301</t>
  </si>
  <si>
    <t>204:233295</t>
  </si>
  <si>
    <t>204:232972</t>
  </si>
  <si>
    <t>204:233310</t>
  </si>
  <si>
    <t>204:132</t>
  </si>
  <si>
    <t>204:233299</t>
  </si>
  <si>
    <t>204:232957</t>
  </si>
  <si>
    <t>rtdc.l.rtdc.4025:itc</t>
  </si>
  <si>
    <t>DAVIS</t>
  </si>
  <si>
    <t>STARKS</t>
  </si>
  <si>
    <t>rtdc.l.rtdc.4026:itc</t>
  </si>
  <si>
    <t>BARTLETT</t>
  </si>
  <si>
    <t>YOUNG</t>
  </si>
  <si>
    <t>COOLAHAN</t>
  </si>
  <si>
    <t>204:232979</t>
  </si>
  <si>
    <t>204:462</t>
  </si>
  <si>
    <t>204:232991</t>
  </si>
  <si>
    <t>204:232984</t>
  </si>
  <si>
    <t>204:233274</t>
  </si>
  <si>
    <t>300:58609</t>
  </si>
  <si>
    <t>300:58613</t>
  </si>
  <si>
    <t>204:971</t>
  </si>
  <si>
    <t>204:972</t>
  </si>
  <si>
    <t>204:233336</t>
  </si>
  <si>
    <t>204:233283</t>
  </si>
  <si>
    <t>204:232978</t>
  </si>
  <si>
    <t>204:233306</t>
  </si>
  <si>
    <t>204:488</t>
  </si>
  <si>
    <t>204:446</t>
  </si>
  <si>
    <t>300:22856</t>
  </si>
  <si>
    <t>Pena 2N dropped from PROCEED CAB to STOP at approx 17:40:14. The train had not yet gone past the signal (it was about to). Do we have an OS circuit issue here, or does anything else seem out of the ordinary?</t>
  </si>
  <si>
    <t>204:233387</t>
  </si>
  <si>
    <t>204:232961</t>
  </si>
  <si>
    <t>204:734</t>
  </si>
  <si>
    <t>204:233289</t>
  </si>
  <si>
    <t>204:233305</t>
  </si>
  <si>
    <t>204:440</t>
  </si>
  <si>
    <t>204:233001</t>
  </si>
  <si>
    <t>204:233255</t>
  </si>
  <si>
    <t>204:169</t>
  </si>
  <si>
    <t>204:232951</t>
  </si>
  <si>
    <t>204:232975</t>
  </si>
  <si>
    <t>204:232983</t>
  </si>
  <si>
    <t>204:233006</t>
  </si>
  <si>
    <t>204:495</t>
  </si>
  <si>
    <t>204:484</t>
  </si>
  <si>
    <t>204:178</t>
  </si>
  <si>
    <t>204:165</t>
  </si>
  <si>
    <t>204:435</t>
  </si>
  <si>
    <t>204:486</t>
  </si>
  <si>
    <t>242-05</t>
  </si>
  <si>
    <t>204:232959</t>
  </si>
  <si>
    <t>244-05</t>
  </si>
  <si>
    <t>311-05</t>
  </si>
  <si>
    <t>313-05</t>
  </si>
  <si>
    <t>315-05</t>
  </si>
  <si>
    <t>300:22255</t>
  </si>
  <si>
    <t>64-05</t>
  </si>
  <si>
    <t>DE.1.0.8.0.ENG1</t>
  </si>
  <si>
    <t>204:127813</t>
  </si>
  <si>
    <t>204:10347</t>
  </si>
  <si>
    <t>65-05</t>
  </si>
  <si>
    <t>204:10515</t>
  </si>
  <si>
    <t>204:128079</t>
  </si>
  <si>
    <t>204:10583</t>
  </si>
  <si>
    <t>204:128131</t>
  </si>
  <si>
    <t>300:58931</t>
  </si>
  <si>
    <t>300:58611</t>
  </si>
  <si>
    <t>300:58926</t>
  </si>
  <si>
    <t>204:652</t>
  </si>
  <si>
    <t>204:946</t>
  </si>
  <si>
    <t>300:58935</t>
  </si>
  <si>
    <t>300:58647</t>
  </si>
  <si>
    <t>300:58615</t>
  </si>
  <si>
    <t>204:677</t>
  </si>
  <si>
    <t>204:689</t>
  </si>
  <si>
    <t>rtdc.l.rtdc.4012:itc</t>
  </si>
  <si>
    <t>TEMPORARY SPEED RESTRICTION</t>
  </si>
  <si>
    <t>rtdc.l.rtdc.4051:itc</t>
  </si>
  <si>
    <t>BRANNON</t>
  </si>
  <si>
    <t>SPECTOR</t>
  </si>
  <si>
    <t>ROCHA</t>
  </si>
  <si>
    <t>rtdc.l.rtdc.4052:itc</t>
  </si>
  <si>
    <t>Time (US/Mountain)</t>
  </si>
  <si>
    <t>Source</t>
  </si>
  <si>
    <t>Employee Identifier</t>
  </si>
  <si>
    <t>Employee Last Name</t>
  </si>
  <si>
    <t>HELVIE</t>
  </si>
  <si>
    <t>SWITCH UNKNOWN</t>
  </si>
  <si>
    <t>Track device (7)</t>
  </si>
  <si>
    <t>Onboard in-route failure</t>
  </si>
  <si>
    <t>Early arrival</t>
  </si>
  <si>
    <t>Wi-MAX outage</t>
  </si>
  <si>
    <t>Went active too close to signal</t>
  </si>
  <si>
    <t>101-06</t>
  </si>
  <si>
    <t>103-06</t>
  </si>
  <si>
    <t>105-06</t>
  </si>
  <si>
    <t>102-06</t>
  </si>
  <si>
    <t>107-06</t>
  </si>
  <si>
    <t>104-06</t>
  </si>
  <si>
    <t>109-06</t>
  </si>
  <si>
    <t>111-06</t>
  </si>
  <si>
    <t>GEBRETEKLE</t>
  </si>
  <si>
    <t>113-06</t>
  </si>
  <si>
    <t>rtdc.l.rtdc.4041:itc</t>
  </si>
  <si>
    <t>106-06</t>
  </si>
  <si>
    <t>rtdc.l.rtdc.4010:itc</t>
  </si>
  <si>
    <t>800-06</t>
  </si>
  <si>
    <t>108-06</t>
  </si>
  <si>
    <t>110-06</t>
  </si>
  <si>
    <t>115-06</t>
  </si>
  <si>
    <t>117-06</t>
  </si>
  <si>
    <t>801-06</t>
  </si>
  <si>
    <t>112-06</t>
  </si>
  <si>
    <t>119-06</t>
  </si>
  <si>
    <t>114-06</t>
  </si>
  <si>
    <t>802-06</t>
  </si>
  <si>
    <t>803-06</t>
  </si>
  <si>
    <t>121-06</t>
  </si>
  <si>
    <t>116-06</t>
  </si>
  <si>
    <t>123-06</t>
  </si>
  <si>
    <t>118-06</t>
  </si>
  <si>
    <t>125-06</t>
  </si>
  <si>
    <t>805-06</t>
  </si>
  <si>
    <t>120-06</t>
  </si>
  <si>
    <t>127-06</t>
  </si>
  <si>
    <t>122-06</t>
  </si>
  <si>
    <t>806-06</t>
  </si>
  <si>
    <t>129-06</t>
  </si>
  <si>
    <t>807-06</t>
  </si>
  <si>
    <t>124-06</t>
  </si>
  <si>
    <t>131-06</t>
  </si>
  <si>
    <t>126-06</t>
  </si>
  <si>
    <t>808-06</t>
  </si>
  <si>
    <t>133-06</t>
  </si>
  <si>
    <t>128-06</t>
  </si>
  <si>
    <t>809-06</t>
  </si>
  <si>
    <t>135-06</t>
  </si>
  <si>
    <t>810-06</t>
  </si>
  <si>
    <t>130-06</t>
  </si>
  <si>
    <t>137-06</t>
  </si>
  <si>
    <t>811-06</t>
  </si>
  <si>
    <t>132-06</t>
  </si>
  <si>
    <t>139-06</t>
  </si>
  <si>
    <t>812-06</t>
  </si>
  <si>
    <t>134-06</t>
  </si>
  <si>
    <t>141-06</t>
  </si>
  <si>
    <t>136-06</t>
  </si>
  <si>
    <t>143-06</t>
  </si>
  <si>
    <t>145-06</t>
  </si>
  <si>
    <t>138-06</t>
  </si>
  <si>
    <t>813-06</t>
  </si>
  <si>
    <t>140-06</t>
  </si>
  <si>
    <t>147-06</t>
  </si>
  <si>
    <t>142-06</t>
  </si>
  <si>
    <t>814-06</t>
  </si>
  <si>
    <t>149-06</t>
  </si>
  <si>
    <t>144-06</t>
  </si>
  <si>
    <t>151-06</t>
  </si>
  <si>
    <t>146-06</t>
  </si>
  <si>
    <t>815-06</t>
  </si>
  <si>
    <t>153-06</t>
  </si>
  <si>
    <t>148-06</t>
  </si>
  <si>
    <t>155-06</t>
  </si>
  <si>
    <t>150-06</t>
  </si>
  <si>
    <t>816-06</t>
  </si>
  <si>
    <t>157-06</t>
  </si>
  <si>
    <t>152-06</t>
  </si>
  <si>
    <t>159-06</t>
  </si>
  <si>
    <t>154-06</t>
  </si>
  <si>
    <t>161-06</t>
  </si>
  <si>
    <t>SANTIZO</t>
  </si>
  <si>
    <t>817-06</t>
  </si>
  <si>
    <t>rtdc.l.rtdc.4042:itc</t>
  </si>
  <si>
    <t>163-06</t>
  </si>
  <si>
    <t>156-06</t>
  </si>
  <si>
    <t>158-06</t>
  </si>
  <si>
    <t>818-06</t>
  </si>
  <si>
    <t>165-06</t>
  </si>
  <si>
    <t>CRAYTON</t>
  </si>
  <si>
    <t>160-06</t>
  </si>
  <si>
    <t>162-06</t>
  </si>
  <si>
    <t>167-06</t>
  </si>
  <si>
    <t>819-06</t>
  </si>
  <si>
    <t>169-06</t>
  </si>
  <si>
    <t>171-06</t>
  </si>
  <si>
    <t>164-06</t>
  </si>
  <si>
    <t>166-06</t>
  </si>
  <si>
    <t>820-06</t>
  </si>
  <si>
    <t>173-06</t>
  </si>
  <si>
    <t>168-06</t>
  </si>
  <si>
    <t>175-06</t>
  </si>
  <si>
    <t>170-06</t>
  </si>
  <si>
    <t>821-06</t>
  </si>
  <si>
    <t>177-06</t>
  </si>
  <si>
    <t>172-06</t>
  </si>
  <si>
    <t>179-06</t>
  </si>
  <si>
    <t>174-06</t>
  </si>
  <si>
    <t>822-06</t>
  </si>
  <si>
    <t>181-06</t>
  </si>
  <si>
    <t>176-06</t>
  </si>
  <si>
    <t>183-06</t>
  </si>
  <si>
    <t>178-06</t>
  </si>
  <si>
    <t>185-06</t>
  </si>
  <si>
    <t>823-06</t>
  </si>
  <si>
    <t>180-06</t>
  </si>
  <si>
    <t>187-06</t>
  </si>
  <si>
    <t>182-06</t>
  </si>
  <si>
    <t>824-06</t>
  </si>
  <si>
    <t>189-06</t>
  </si>
  <si>
    <t>184-06</t>
  </si>
  <si>
    <t>191-06</t>
  </si>
  <si>
    <t>186-06</t>
  </si>
  <si>
    <t>193-06</t>
  </si>
  <si>
    <t>825-06</t>
  </si>
  <si>
    <t>STURG-06</t>
  </si>
  <si>
    <t>STURGEON</t>
  </si>
  <si>
    <t>188-06</t>
  </si>
  <si>
    <t>904-06</t>
  </si>
  <si>
    <t>190-06</t>
  </si>
  <si>
    <t>195-06</t>
  </si>
  <si>
    <t>826-06</t>
  </si>
  <si>
    <t>827-06</t>
  </si>
  <si>
    <t>BROWN</t>
  </si>
  <si>
    <t>197-06</t>
  </si>
  <si>
    <t>192-06</t>
  </si>
  <si>
    <t>199-06</t>
  </si>
  <si>
    <t>194-06</t>
  </si>
  <si>
    <t>201-06</t>
  </si>
  <si>
    <t>828-06</t>
  </si>
  <si>
    <t>829-06</t>
  </si>
  <si>
    <t>196-06</t>
  </si>
  <si>
    <t>203-06</t>
  </si>
  <si>
    <t>830-06</t>
  </si>
  <si>
    <t>198-06</t>
  </si>
  <si>
    <t>831-06</t>
  </si>
  <si>
    <t>205-06</t>
  </si>
  <si>
    <t>200-06</t>
  </si>
  <si>
    <t>207-06</t>
  </si>
  <si>
    <t>202-06</t>
  </si>
  <si>
    <t>832-06</t>
  </si>
  <si>
    <t>209-06</t>
  </si>
  <si>
    <t>833-06</t>
  </si>
  <si>
    <t>204-06</t>
  </si>
  <si>
    <t>211-06</t>
  </si>
  <si>
    <t>64-06</t>
  </si>
  <si>
    <t>206-06</t>
  </si>
  <si>
    <t>834-06</t>
  </si>
  <si>
    <t>rtdc.l.rtdc.4022:itc</t>
  </si>
  <si>
    <t>66-06</t>
  </si>
  <si>
    <t>213-06</t>
  </si>
  <si>
    <t>835-06</t>
  </si>
  <si>
    <t>208-06</t>
  </si>
  <si>
    <t>215-06</t>
  </si>
  <si>
    <t>ROBINSON</t>
  </si>
  <si>
    <t>63-06</t>
  </si>
  <si>
    <t>STORY</t>
  </si>
  <si>
    <t>210-06</t>
  </si>
  <si>
    <t>836-06</t>
  </si>
  <si>
    <t>217-06</t>
  </si>
  <si>
    <t>SMITH</t>
  </si>
  <si>
    <t>837-06</t>
  </si>
  <si>
    <t>212-06</t>
  </si>
  <si>
    <t>219-06</t>
  </si>
  <si>
    <t>214-06</t>
  </si>
  <si>
    <t>838-06</t>
  </si>
  <si>
    <t>839-06</t>
  </si>
  <si>
    <t>303-06</t>
  </si>
  <si>
    <t>216-06</t>
  </si>
  <si>
    <t>221-06</t>
  </si>
  <si>
    <t>218-06</t>
  </si>
  <si>
    <t>906-06</t>
  </si>
  <si>
    <t>841-06</t>
  </si>
  <si>
    <t>220-06</t>
  </si>
  <si>
    <t>223-06</t>
  </si>
  <si>
    <t>840-06</t>
  </si>
  <si>
    <t>307-06</t>
  </si>
  <si>
    <t>222-06</t>
  </si>
  <si>
    <t>225-06</t>
  </si>
  <si>
    <t>843-06</t>
  </si>
  <si>
    <t>224-06</t>
  </si>
  <si>
    <t>227-06</t>
  </si>
  <si>
    <t>842-06</t>
  </si>
  <si>
    <t>226-06</t>
  </si>
  <si>
    <t>229-06</t>
  </si>
  <si>
    <t>845-06</t>
  </si>
  <si>
    <t>228-06</t>
  </si>
  <si>
    <t>231-06</t>
  </si>
  <si>
    <t>844-06</t>
  </si>
  <si>
    <t>230-06</t>
  </si>
  <si>
    <t>233-06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</si>
  <si>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</si>
  <si>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</si>
  <si>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</si>
  <si>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</si>
  <si>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</si>
  <si>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</si>
  <si>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</si>
  <si>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</si>
  <si>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</si>
  <si>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241-06</t>
  </si>
  <si>
    <t>240-06</t>
  </si>
  <si>
    <t>243-06</t>
  </si>
  <si>
    <t>309-06</t>
  </si>
  <si>
    <t>242-06</t>
  </si>
  <si>
    <t>67-06</t>
  </si>
  <si>
    <t>311-06</t>
  </si>
  <si>
    <t>69-06</t>
  </si>
  <si>
    <t>244-06</t>
  </si>
  <si>
    <t>313-06</t>
  </si>
  <si>
    <t>315-06</t>
  </si>
  <si>
    <t>40th 4S STOP, cleared shortly after</t>
  </si>
  <si>
    <t>Pena 4S STOP, cleared shortly after</t>
  </si>
  <si>
    <t>204:770</t>
  </si>
  <si>
    <t>204:233288</t>
  </si>
  <si>
    <t>204:232639</t>
  </si>
  <si>
    <t>204:233364</t>
  </si>
  <si>
    <t>204:232723</t>
  </si>
  <si>
    <t>204:750</t>
  </si>
  <si>
    <t>204:232662</t>
  </si>
  <si>
    <t>204:294</t>
  </si>
  <si>
    <t>204:233276</t>
  </si>
  <si>
    <t>204:433</t>
  </si>
  <si>
    <t>204:232988</t>
  </si>
  <si>
    <t>204:777</t>
  </si>
  <si>
    <t>204:134</t>
  </si>
  <si>
    <t>204:233284</t>
  </si>
  <si>
    <t>204:232982</t>
  </si>
  <si>
    <t>204:765</t>
  </si>
  <si>
    <t>204:761</t>
  </si>
  <si>
    <t>204:232990</t>
  </si>
  <si>
    <t>204:233244</t>
  </si>
  <si>
    <t>204:232928</t>
  </si>
  <si>
    <t>204:232992</t>
  </si>
  <si>
    <t>204:7617</t>
  </si>
  <si>
    <t>204:473</t>
  </si>
  <si>
    <t>204:233013</t>
  </si>
  <si>
    <t>204:189</t>
  </si>
  <si>
    <t>204:233318</t>
  </si>
  <si>
    <t>204:1942</t>
  </si>
  <si>
    <t>204:174</t>
  </si>
  <si>
    <t>204:194480</t>
  </si>
  <si>
    <t>204:233300</t>
  </si>
  <si>
    <t>204:232976</t>
  </si>
  <si>
    <t>204:212</t>
  </si>
  <si>
    <t>300:23306</t>
  </si>
  <si>
    <t>204:233010</t>
  </si>
  <si>
    <t>204:10674</t>
  </si>
  <si>
    <t>204:498</t>
  </si>
  <si>
    <t>204:233330</t>
  </si>
  <si>
    <t>204:233383</t>
  </si>
  <si>
    <t>204:233079</t>
  </si>
  <si>
    <t>204:529</t>
  </si>
  <si>
    <t>204:181</t>
  </si>
  <si>
    <t>204:475</t>
  </si>
  <si>
    <t>204:232993</t>
  </si>
  <si>
    <t>204:233238</t>
  </si>
  <si>
    <t>204:232925</t>
  </si>
  <si>
    <t>204:139</t>
  </si>
  <si>
    <t>204:233309</t>
  </si>
  <si>
    <t>204:232973</t>
  </si>
  <si>
    <t>204:232981</t>
  </si>
  <si>
    <t>204:482</t>
  </si>
  <si>
    <t>204:233331</t>
  </si>
  <si>
    <t>204:233008</t>
  </si>
  <si>
    <t>204:233374</t>
  </si>
  <si>
    <t>204:233055</t>
  </si>
  <si>
    <t>204:233009</t>
  </si>
  <si>
    <t>204:232964</t>
  </si>
  <si>
    <t>204:209</t>
  </si>
  <si>
    <t>204:426</t>
  </si>
  <si>
    <t>204:233346</t>
  </si>
  <si>
    <t>204:517</t>
  </si>
  <si>
    <t>204:497</t>
  </si>
  <si>
    <t>204:127</t>
  </si>
  <si>
    <t>204:232953</t>
  </si>
  <si>
    <t>204:467</t>
  </si>
  <si>
    <t>204:431</t>
  </si>
  <si>
    <t>204:233319</t>
  </si>
  <si>
    <t>204:233002</t>
  </si>
  <si>
    <t>204:232328</t>
  </si>
  <si>
    <t>204:161</t>
  </si>
  <si>
    <t>204:176</t>
  </si>
  <si>
    <t>204:233303</t>
  </si>
  <si>
    <t>204:232955</t>
  </si>
  <si>
    <t>300:23312</t>
  </si>
  <si>
    <t>204:506</t>
  </si>
  <si>
    <t>300:23132</t>
  </si>
  <si>
    <t>300:22829</t>
  </si>
  <si>
    <t>204:1601</t>
  </si>
  <si>
    <t>204:127861</t>
  </si>
  <si>
    <t>204:9646</t>
  </si>
  <si>
    <t>300:23342</t>
  </si>
  <si>
    <t>204:908</t>
  </si>
  <si>
    <t>204:370</t>
  </si>
  <si>
    <t>300:24208</t>
  </si>
  <si>
    <t>204:10561</t>
  </si>
  <si>
    <t>204:128118</t>
  </si>
  <si>
    <t>204:10624</t>
  </si>
  <si>
    <t>204:128093</t>
  </si>
  <si>
    <t>204:127825</t>
  </si>
  <si>
    <t>204:10326</t>
  </si>
  <si>
    <t>204:127845</t>
  </si>
  <si>
    <t>204:10325</t>
  </si>
  <si>
    <t>300:58617</t>
  </si>
  <si>
    <t>204:703</t>
  </si>
  <si>
    <t>300:58927</t>
  </si>
  <si>
    <t>300:58598</t>
  </si>
  <si>
    <t>204:696</t>
  </si>
  <si>
    <t>300:31606</t>
  </si>
  <si>
    <t>204:983</t>
  </si>
  <si>
    <t>300:58941</t>
  </si>
  <si>
    <t>204:715</t>
  </si>
  <si>
    <t>204:1034</t>
  </si>
  <si>
    <t>300:58901</t>
  </si>
  <si>
    <t>300:58579</t>
  </si>
  <si>
    <t>204:712</t>
  </si>
  <si>
    <t>204:1006</t>
  </si>
  <si>
    <t>204:706</t>
  </si>
  <si>
    <t>204:999</t>
  </si>
  <si>
    <t>300:58907</t>
  </si>
  <si>
    <t>300:58594</t>
  </si>
  <si>
    <t>204:720</t>
  </si>
  <si>
    <t>204:1013</t>
  </si>
  <si>
    <t>300:58911</t>
  </si>
  <si>
    <t>300:58602</t>
  </si>
  <si>
    <t>204:694</t>
  </si>
  <si>
    <t>204:1007</t>
  </si>
  <si>
    <t>300:58894</t>
  </si>
  <si>
    <t>300:57320</t>
  </si>
  <si>
    <t>204:719</t>
  </si>
  <si>
    <t>204:1004</t>
  </si>
  <si>
    <t>300:58581</t>
  </si>
  <si>
    <t>204:713</t>
  </si>
  <si>
    <t>300:58892</t>
  </si>
  <si>
    <t>300:58576</t>
  </si>
  <si>
    <t>204:724</t>
  </si>
  <si>
    <t>300:58922</t>
  </si>
  <si>
    <t>204:691</t>
  </si>
  <si>
    <t>204:976</t>
  </si>
  <si>
    <t>204:673</t>
  </si>
  <si>
    <t>300:58937</t>
  </si>
  <si>
    <t>204:831</t>
  </si>
  <si>
    <t>204:1142</t>
  </si>
  <si>
    <t>300:58954</t>
  </si>
  <si>
    <t>204:748</t>
  </si>
  <si>
    <t>300:58608</t>
  </si>
  <si>
    <t>204:687</t>
  </si>
  <si>
    <t>204:743</t>
  </si>
  <si>
    <t>204:964</t>
  </si>
  <si>
    <t>204:1028</t>
  </si>
  <si>
    <t>300:58621</t>
  </si>
  <si>
    <t>204:661</t>
  </si>
  <si>
    <t>204:978</t>
  </si>
  <si>
    <t>204:965</t>
  </si>
  <si>
    <t>300:58933</t>
  </si>
  <si>
    <t>204:1035</t>
  </si>
  <si>
    <t>300:58077</t>
  </si>
  <si>
    <t>300:23413</t>
  </si>
  <si>
    <t>300:58638</t>
  </si>
  <si>
    <t>300:28784</t>
  </si>
  <si>
    <t>300:58630</t>
  </si>
  <si>
    <t>300:21750</t>
  </si>
  <si>
    <t>804-06</t>
  </si>
  <si>
    <t>Did not init</t>
  </si>
  <si>
    <t>Operator error - cut out just past Bright</t>
  </si>
  <si>
    <t>Data.Current Information Milepost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</si>
</sst>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</xdr:row>
          <xdr:rowOff>28575</xdr:rowOff>
        </xdr:from>
        <xdr:to>
          <xdr:col>14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4"/>
  <sheetViews>
    <sheetView topLeftCell="A142" zoomScaleNormal="100" workbookViewId="0">
      <selection activeCell="R163" sqref="R16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121</v>
      </c>
      <c r="J1" s="43"/>
      <c r="K1" s="30"/>
      <c r="L1" s="30"/>
      <c r="M1" s="42"/>
      <c r="N1" s="43"/>
      <c r="O1" s="2"/>
      <c r="P1" s="2"/>
      <c r="R1" s="40" t="s">
        <v>122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42619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COUNTIFS($N$13:$N$9379,"&gt;0",$AG$13:$AG$9379,I1)</f>
        <v>141</v>
      </c>
      <c r="K5" s="46"/>
      <c r="L5" s="46"/>
      <c r="M5" s="47">
        <f>AVERAGEIFS($N$13:$N$9379,$AG$13:$AG$9379,I1)</f>
        <v>38.96111111129396</v>
      </c>
      <c r="N5" s="45">
        <f t="array" ref="N5">MIN(IF($AG$13:$AG$9379=I1,IF(ISNUMBER($N$13:$N$9379),IF($N$13:$N$9379&gt;0,$N$13:$N$9379))))</f>
        <v>33.75</v>
      </c>
      <c r="O5" s="3">
        <f t="array" ref="O5">MAX(IF($AG$13:$AG$9379=I1,IF(ISNUMBER($N$13:$N$9379),IF($N$13:$N$9379&gt;0,$N$13:$N$9379))))</f>
        <v>52.033333332510665</v>
      </c>
      <c r="P5" s="2"/>
      <c r="R5" s="87" t="s">
        <v>17</v>
      </c>
      <c r="S5" s="57">
        <f>COUNTIFS($N$13:$N$9379,"&gt;0",$AG$13:$AG$9379,R1)</f>
        <v>44</v>
      </c>
      <c r="T5" s="46"/>
      <c r="U5" s="124"/>
      <c r="V5" s="47">
        <f>AVERAGEIFS($N$13:$N$9379,$AG$13:$AG$9379,R1)</f>
        <v>14.821481480961666</v>
      </c>
      <c r="W5" s="45">
        <f t="array" ref="W5">MIN(IF($AG$13:$AG$9379=R1,IF(ISNUMBER($N$13:$N$9379),IF($N$13:$N$9379&gt;0,$N$13:$N$9379))))</f>
        <v>12.516666669398546</v>
      </c>
      <c r="X5" s="116">
        <f t="array" ref="X5">MAX(IF($AG$13:$AG$9379=R1,IF(ISNUMBER($N$13:$N$9379),IF($N$13:$N$9379&gt;0,$N$13:$N$9379))))</f>
        <v>24.516666666604578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COUNT($O$13:$O$149)</f>
        <v>0</v>
      </c>
      <c r="K6" s="46"/>
      <c r="L6" s="46"/>
      <c r="M6" s="47">
        <f>IFERROR(AVERAGE($O$13:$O$149),0)</f>
        <v>0</v>
      </c>
      <c r="N6" s="45">
        <f>MIN($O$13:$O$149)</f>
        <v>0</v>
      </c>
      <c r="O6" s="3">
        <f>MAX($O$13:$O$149)</f>
        <v>0</v>
      </c>
      <c r="P6" s="2"/>
      <c r="R6" s="88" t="s">
        <v>43</v>
      </c>
      <c r="S6" s="57">
        <f>COUNT($O$13:$O$149)</f>
        <v>0</v>
      </c>
      <c r="T6" s="46"/>
      <c r="U6" s="124"/>
      <c r="V6" s="47">
        <f>IFERROR(AVERAGE($O$13:$O$149),0)</f>
        <v>0</v>
      </c>
      <c r="W6" s="45">
        <f>MIN($O$13:$O$149)</f>
        <v>0</v>
      </c>
      <c r="X6" s="116">
        <f>MAX($O$13:$O$149)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COUNTIFS($P$13:$P$9379,"&gt;0",$AG$13:$AG$9379,I1)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COUNTIFS($P$13:$P$9379,"&gt;0",$AG$13:$AG$9379,R1)</f>
        <v>2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38.96111111129396</v>
      </c>
      <c r="N8" s="45">
        <f>N5</f>
        <v>33.75</v>
      </c>
      <c r="O8" s="3">
        <f>O5</f>
        <v>52.033333332510665</v>
      </c>
      <c r="P8" s="2"/>
      <c r="R8" s="87" t="s">
        <v>16</v>
      </c>
      <c r="S8" s="57">
        <f>S5</f>
        <v>44</v>
      </c>
      <c r="T8" s="46"/>
      <c r="U8" s="124"/>
      <c r="V8" s="47">
        <f>V5</f>
        <v>14.821481480961666</v>
      </c>
      <c r="W8" s="45">
        <f>W5</f>
        <v>12.516666669398546</v>
      </c>
      <c r="X8" s="116">
        <f>X5</f>
        <v>24.516666666604578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0.95652173913043481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- 2016-09-06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AVERAGE(S13:S99)</f>
        <v>0.9885057471264368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123</v>
      </c>
      <c r="AH12" s="101" t="s">
        <v>126</v>
      </c>
      <c r="AI12" s="148" t="s">
        <v>209</v>
      </c>
      <c r="AJ12" s="53" t="s">
        <v>210</v>
      </c>
      <c r="AK12" s="53" t="s">
        <v>182</v>
      </c>
      <c r="AL12" s="53" t="s">
        <v>211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361</v>
      </c>
      <c r="B13" s="7">
        <v>4038</v>
      </c>
      <c r="C13" s="24" t="s">
        <v>112</v>
      </c>
      <c r="D13" s="24" t="s">
        <v>580</v>
      </c>
      <c r="E13" s="15">
        <v>42619.127986111111</v>
      </c>
      <c r="F13" s="15">
        <v>42619.135810185187</v>
      </c>
      <c r="G13" s="7">
        <v>1</v>
      </c>
      <c r="H13" s="15" t="s">
        <v>581</v>
      </c>
      <c r="I13" s="15">
        <v>42619.160694444443</v>
      </c>
      <c r="J13" s="7">
        <v>0</v>
      </c>
      <c r="K13" s="132" t="str">
        <f t="shared" ref="K13:K76" si="0">IF(ISEVEN(B13),(B13-1)&amp;"/"&amp;B13,B13&amp;"/"&amp;(B13+1))</f>
        <v>4037/4038</v>
      </c>
      <c r="L13" s="24" t="str">
        <f>VLOOKUP(A13,'Trips&amp;Operators'!$C$1:$E$10000,3,FALSE)</f>
        <v>KILLION</v>
      </c>
      <c r="M13" s="6">
        <f t="shared" ref="M13:M76" si="1">I13-F13</f>
        <v>2.488425925548654E-2</v>
      </c>
      <c r="N13" s="7">
        <f t="shared" ref="N13:N35" si="2">24*60*SUM($M13:$M13)</f>
        <v>35.833333327900618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https://search-rtdc-monitor-bjffxe2xuh6vdkpspy63sjmuny.us-east-1.es.amazonaws.com/_plugin/kibana/#/discover/Steve-Slow-Train-Analysis-(2080s-and-2083s)?_g=(refreshInterval:(display:Off,section:0,value:0),time:(from:'2016-09-06 02:04:18-0600',mode:absolute,to:'2016-09-06 04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" s="54" t="str">
        <f t="shared" ref="W13:W76" si="6">IF(AA13&lt;IF(AG13="EC",23,5.65),"Y","N")</f>
        <v>N</v>
      </c>
      <c r="X13" s="120" t="e">
        <f t="shared" ref="X13:X55" si="7">VALUE(LEFT(AD13,4))-VALUE(LEFT(AD12,4))</f>
        <v>#VALUE!</v>
      </c>
      <c r="Y13" s="69">
        <f t="shared" ref="Y13:Y76" si="8">RIGHT(D13,LEN(D13)-4)/10000</f>
        <v>7.6999999999999999E-2</v>
      </c>
      <c r="Z13" s="69">
        <f t="shared" ref="Z13:Z76" si="9">RIGHT(H13,LEN(H13)-4)/10000</f>
        <v>23.328800000000001</v>
      </c>
      <c r="AA13" s="69">
        <f t="shared" ref="AA13:AA76" si="10">ABS(Z13-Y13)</f>
        <v>23.251799999999999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0101-06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3" s="96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/stypes="*4038*20160906*"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4038 --swversion DE.1.0.7.0 --startMP 204:770 --initTime 2016-09-06T03:04:18 --startdatetime 2016-09-06T03:15:34 --delay 1 --endMP 204:233288 --enddatetime 2016-09-06T03:51:24 --enforcementcount 0 &gt;&gt;C:\Users\stu\Documents\GitHub\eaglep3-reporting\EC\2016-09-06-refined-times.txt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{"issue":{"subject":"","project_id":79,"tracker_id":40,"status_id":1,"priority_id":2,"assigned_to_id":23,"start_date":"2016-09-06","description":"","custom_fields":[{"id":1,"name":"Subdivision","value":"EC"},{"id":4,"name":"Milepost","value":"23.2518"},{"id":17,"name":"Train ID","value":"101-06"},{"id":16,"name":"Locomotive ID","value":"4038"},{"id":130,"name":"Impact","value":""},{"id":150,"name":"Time of Event (Mountain Time)","value":"03:51:24"},{"id":151,"name":"Denver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364</v>
      </c>
      <c r="B14" s="7">
        <v>4026</v>
      </c>
      <c r="C14" s="24" t="s">
        <v>112</v>
      </c>
      <c r="D14" s="24" t="s">
        <v>582</v>
      </c>
      <c r="E14" s="15">
        <v>42619.167962962965</v>
      </c>
      <c r="F14" s="15">
        <v>42619.174618055556</v>
      </c>
      <c r="G14" s="7">
        <v>1</v>
      </c>
      <c r="H14" s="15" t="s">
        <v>164</v>
      </c>
      <c r="I14" s="15">
        <v>42619.204664351855</v>
      </c>
      <c r="J14" s="7">
        <v>0</v>
      </c>
      <c r="K14" s="132" t="str">
        <f t="shared" si="0"/>
        <v>4025/4026</v>
      </c>
      <c r="L14" s="24" t="str">
        <f>VLOOKUP(A14,'Trips&amp;Operators'!$C$1:$E$10000,3,FALSE)</f>
        <v>KILLION</v>
      </c>
      <c r="M14" s="6">
        <f t="shared" si="1"/>
        <v>3.0046296298678499E-2</v>
      </c>
      <c r="N14" s="7">
        <f t="shared" si="2"/>
        <v>43.266666670097038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03:01:52-0600',mode:absolute,to:'2016-09-06 05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23.2639</v>
      </c>
      <c r="Z14" s="69">
        <f t="shared" si="9"/>
        <v>1.52E-2</v>
      </c>
      <c r="AA14" s="69">
        <f t="shared" si="10"/>
        <v>23.248699999999999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0102-06</v>
      </c>
      <c r="AE14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4" s="96" t="str">
        <f t="shared" si="13"/>
        <v>"C:\Program Files (x86)\AstroGrep\AstroGrep.exe" /spath="%USERPROFILE%\AppData\Local\Temp\OnboardLogs" /stypes="*4026*20160906*"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4026 --swversion DE.1.0.7.0 --startMP 204:232639 --initTime 2016-09-06T04:01:52 --startdatetime 2016-09-06T04:11:27 --delay 1 --endMP 204:152 --enddatetime 2016-09-06T04:54:43 --enforcementcount 0 &gt;&gt;C:\Users\stu\Documents\GitHub\eaglep3-reporting\EC\2016-09-06-refined-times.txt</v>
      </c>
      <c r="AI14" s="14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{"issue":{"subject":"","project_id":79,"tracker_id":40,"status_id":1,"priority_id":2,"assigned_to_id":23,"start_date":"2016-09-06","description":"","custom_fields":[{"id":1,"name":"Subdivision","value":"EC"},{"id":4,"name":"Milepost","value":"23.2487"},{"id":17,"name":"Train ID","value":"102-06"},{"id":16,"name":"Locomotive ID","value":"4026"},{"id":130,"name":"Impact","value":""},{"id":150,"name":"Time of Event (Mountain Time)","value":"04:54:43"},{"id":151,"name":"Denver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362</v>
      </c>
      <c r="B15" s="7">
        <v>4029</v>
      </c>
      <c r="C15" s="24" t="s">
        <v>112</v>
      </c>
      <c r="D15" s="24" t="s">
        <v>336</v>
      </c>
      <c r="E15" s="15">
        <v>42619.151956018519</v>
      </c>
      <c r="F15" s="15">
        <v>42619.156446759262</v>
      </c>
      <c r="G15" s="7">
        <v>2</v>
      </c>
      <c r="H15" s="15" t="s">
        <v>583</v>
      </c>
      <c r="I15" s="15">
        <v>42619.183506944442</v>
      </c>
      <c r="J15" s="7">
        <v>0</v>
      </c>
      <c r="K15" s="132" t="str">
        <f t="shared" si="0"/>
        <v>4029/4030</v>
      </c>
      <c r="L15" s="24" t="str">
        <f>VLOOKUP(A15,'Trips&amp;Operators'!$C$1:$E$10000,3,FALSE)</f>
        <v>HILLS</v>
      </c>
      <c r="M15" s="6">
        <f t="shared" si="1"/>
        <v>2.7060185180744156E-2</v>
      </c>
      <c r="N15" s="7">
        <f t="shared" si="2"/>
        <v>38.966666660271585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02:38:49-0600',mode:absolute,to:'2016-09-06 05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6.5199999999999994E-2</v>
      </c>
      <c r="Z15" s="69">
        <f t="shared" si="9"/>
        <v>23.336400000000001</v>
      </c>
      <c r="AA15" s="69">
        <f t="shared" si="10"/>
        <v>23.2712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0103-06</v>
      </c>
      <c r="AE15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5" s="96" t="str">
        <f t="shared" si="13"/>
        <v>"C:\Program Files (x86)\AstroGrep\AstroGrep.exe" /spath="%USERPROFILE%\AppData\Local\Temp\OnboardLogs" /stypes="*4029*20160906*"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103-06 --locoid 4029 --swversion DE.1.0.7.0 --startMP 204:652 --initTime 2016-09-06T03:38:49 --startdatetime 2016-09-06T03:45:17 --delay 2 --endMP 204:233364 --enddatetime 2016-09-06T04:24:15 --enforcementcount 0 &gt;&gt;C:\Users\stu\Documents\GitHub\eaglep3-reporting\EC\2016-09-06-refined-times.txt</v>
      </c>
      <c r="AI1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{"issue":{"subject":"","project_id":79,"tracker_id":40,"status_id":1,"priority_id":2,"assigned_to_id":23,"start_date":"2016-09-06","description":"","custom_fields":[{"id":1,"name":"Subdivision","value":"EC"},{"id":4,"name":"Milepost","value":"23.2712"},{"id":17,"name":"Train ID","value":"103-06"},{"id":16,"name":"Locomotive ID","value":"4029"},{"id":130,"name":"Impact","value":""},{"id":150,"name":"Time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366</v>
      </c>
      <c r="B16" s="7">
        <v>4012</v>
      </c>
      <c r="C16" s="24" t="s">
        <v>112</v>
      </c>
      <c r="D16" s="24" t="s">
        <v>584</v>
      </c>
      <c r="E16" s="15">
        <v>42619.190486111111</v>
      </c>
      <c r="F16" s="15">
        <v>42619.195324074077</v>
      </c>
      <c r="G16" s="7">
        <v>1</v>
      </c>
      <c r="H16" s="15" t="s">
        <v>146</v>
      </c>
      <c r="I16" s="15">
        <v>42619.231458333335</v>
      </c>
      <c r="J16" s="7">
        <v>0</v>
      </c>
      <c r="K16" s="132" t="str">
        <f t="shared" si="0"/>
        <v>4011/4012</v>
      </c>
      <c r="L16" s="24" t="str">
        <f>VLOOKUP(A16,'Trips&amp;Operators'!$C$1:$E$10000,3,FALSE)</f>
        <v>HILLS</v>
      </c>
      <c r="M16" s="6">
        <f t="shared" si="1"/>
        <v>3.6134259258687962E-2</v>
      </c>
      <c r="N16" s="7">
        <f t="shared" si="2"/>
        <v>52.033333332510665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03:34:18-0600',mode:absolute,to:'2016-09-06 06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23.272300000000001</v>
      </c>
      <c r="Z16" s="69">
        <f t="shared" si="9"/>
        <v>1.5599999999999999E-2</v>
      </c>
      <c r="AA16" s="69">
        <f t="shared" si="10"/>
        <v>23.256700000000002</v>
      </c>
      <c r="AB16" s="66" t="str">
        <f>VLOOKUP(A16,Enforcements!$C$7:$K$21,8,0)</f>
        <v>Signal based authority (5)</v>
      </c>
      <c r="AC16" s="62" t="str">
        <f>VLOOKUP(A16,Enforcements!$C$7:$E$21,3,0)</f>
        <v>SIGNAL</v>
      </c>
      <c r="AD16" s="63" t="str">
        <f t="shared" si="11"/>
        <v>0104-06</v>
      </c>
      <c r="AE16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6" s="96" t="str">
        <f t="shared" si="13"/>
        <v>"C:\Program Files (x86)\AstroGrep\AstroGrep.exe" /spath="%USERPROFILE%\AppData\Local\Temp\OnboardLogs" /stypes="*4012*20160906*"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104-06 --locoid 4012 --swversion DE.1.0.7.0 --startMP 204:232723 --initTime 2016-09-06T04:34:18 --startdatetime 2016-09-06T04:41:16 --delay 1 --endMP 204:156 --enddatetime 2016-09-06T05:33:18 --enforcementcount 0 &gt;&gt;C:\Users\stu\Documents\GitHub\eaglep3-reporting\EC\2016-09-06-refined-times.txt</v>
      </c>
      <c r="AI1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{"issue":{"subject":"","project_id":79,"tracker_id":40,"status_id":1,"priority_id":2,"assigned_to_id":23,"start_date":"2016-09-06","description":"","custom_fields":[{"id":1,"name":"Subdivision","value":"EC"},{"id":4,"name":"Milepost","value":"23.2567"},{"id":17,"name":"Train ID","value":"104-06"},{"id":16,"name":"Locomotive ID","value":"4012"},{"id":130,"name":"Impact","value":""},{"id":150,"name":"Time of Event (Mountain Time)","value":"05:33:18"},{"id":151,"name":"Denver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363</v>
      </c>
      <c r="B17" s="7">
        <v>4002</v>
      </c>
      <c r="C17" s="24" t="s">
        <v>112</v>
      </c>
      <c r="D17" s="24" t="s">
        <v>585</v>
      </c>
      <c r="E17" s="15">
        <v>42619.167453703703</v>
      </c>
      <c r="F17" s="15">
        <v>42619.177268518521</v>
      </c>
      <c r="G17" s="7">
        <v>2</v>
      </c>
      <c r="H17" s="15" t="s">
        <v>272</v>
      </c>
      <c r="I17" s="15">
        <v>42619.202835648146</v>
      </c>
      <c r="J17" s="7">
        <v>0</v>
      </c>
      <c r="K17" s="132" t="str">
        <f t="shared" si="0"/>
        <v>4001/4002</v>
      </c>
      <c r="L17" s="24" t="str">
        <f>VLOOKUP(A17,'Trips&amp;Operators'!$C$1:$E$10000,3,FALSE)</f>
        <v>BRANNON</v>
      </c>
      <c r="M17" s="6">
        <f t="shared" si="1"/>
        <v>2.5567129625414964E-2</v>
      </c>
      <c r="N17" s="7">
        <f t="shared" si="2"/>
        <v>36.816666660597548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03:01:08-0600',mode:absolute,to:'2016-09-06 05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7.4999999999999997E-2</v>
      </c>
      <c r="Z17" s="69">
        <f t="shared" si="9"/>
        <v>23.329899999999999</v>
      </c>
      <c r="AA17" s="69">
        <f t="shared" si="10"/>
        <v>23.254899999999999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0105-06</v>
      </c>
      <c r="AE17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7" s="96" t="str">
        <f t="shared" si="13"/>
        <v>"C:\Program Files (x86)\AstroGrep\AstroGrep.exe" /spath="%USERPROFILE%\AppData\Local\Temp\OnboardLogs" /stypes="*4002*20160906*"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105-06 --locoid 4002 --swversion DE.1.0.7.0 --startMP 204:750 --initTime 2016-09-06T04:01:08 --startdatetime 2016-09-06T04:15:16 --delay 2 --endMP 204:233299 --enddatetime 2016-09-06T04:52:05 --enforcementcount 0 &gt;&gt;C:\Users\stu\Documents\GitHub\eaglep3-reporting\EC\2016-09-06-refined-times.txt</v>
      </c>
      <c r="AI1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{"issue":{"subject":"","project_id":79,"tracker_id":40,"status_id":1,"priority_id":2,"assigned_to_id":23,"start_date":"2016-09-06","description":"","custom_fields":[{"id":1,"name":"Subdivision","value":"EC"},{"id":4,"name":"Milepost","value":"23.2549"},{"id":17,"name":"Train ID","value":"105-06"},{"id":16,"name":"Locomotive ID","value":"4002"},{"id":130,"name":"Impact","value":""},{"id":150,"name":"Time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372</v>
      </c>
      <c r="B18" s="7">
        <v>4041</v>
      </c>
      <c r="C18" s="24" t="s">
        <v>112</v>
      </c>
      <c r="D18" s="24" t="s">
        <v>586</v>
      </c>
      <c r="E18" s="15">
        <v>42619.208969907406</v>
      </c>
      <c r="F18" s="15">
        <v>42619.216192129628</v>
      </c>
      <c r="G18" s="7">
        <v>1</v>
      </c>
      <c r="H18" s="15" t="s">
        <v>587</v>
      </c>
      <c r="I18" s="15">
        <v>42619.247129629628</v>
      </c>
      <c r="J18" s="7">
        <v>0</v>
      </c>
      <c r="K18" s="132" t="str">
        <f t="shared" si="0"/>
        <v>4041/4042</v>
      </c>
      <c r="L18" s="24" t="str">
        <f>VLOOKUP(A18,'Trips&amp;Operators'!$C$1:$E$10000,3,FALSE)</f>
        <v>BRANNON</v>
      </c>
      <c r="M18" s="6">
        <f t="shared" si="1"/>
        <v>3.0937499999708962E-2</v>
      </c>
      <c r="N18" s="7">
        <f t="shared" si="2"/>
        <v>44.549999999580905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04:00:55-0600',mode:absolute,to:'2016-09-06 06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23.266200000000001</v>
      </c>
      <c r="Z18" s="69">
        <f t="shared" si="9"/>
        <v>2.9399999999999999E-2</v>
      </c>
      <c r="AA18" s="69">
        <f t="shared" si="10"/>
        <v>23.236800000000002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0106-06</v>
      </c>
      <c r="AE18" s="99" t="str">
        <f t="shared" si="12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8" s="96" t="str">
        <f t="shared" si="13"/>
        <v>"C:\Program Files (x86)\AstroGrep\AstroGrep.exe" /spath="%USERPROFILE%\AppData\Local\Temp\OnboardLogs" /stypes="*4041*20160906*"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106-06 --locoid 4041 --swversion DE.1.0.7.0 --startMP 204:232662 --initTime 2016-09-06T05:00:55 --startdatetime 2016-09-06T05:11:19 --delay 1 --endMP 204:294 --enddatetime 2016-09-06T05:55:52 --enforcementcount 0 &gt;&gt;C:\Users\stu\Documents\GitHub\eaglep3-reporting\EC\2016-09-06-refined-times.txt</v>
      </c>
      <c r="AI1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{"issue":{"subject":"","project_id":79,"tracker_id":40,"status_id":1,"priority_id":2,"assigned_to_id":23,"start_date":"2016-09-06","description":"","custom_fields":[{"id":1,"name":"Subdivision","value":"EC"},{"id":4,"name":"Milepost","value":"23.2368"},{"id":17,"name":"Train ID","value":"106-06"},{"id":16,"name":"Locomotive ID","value":"4041"},{"id":130,"name":"Impact","value":""},{"id":150,"name":"Time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365</v>
      </c>
      <c r="B19" s="7">
        <v>4014</v>
      </c>
      <c r="C19" s="24" t="s">
        <v>112</v>
      </c>
      <c r="D19" s="24" t="s">
        <v>171</v>
      </c>
      <c r="E19" s="15">
        <v>42619.180868055555</v>
      </c>
      <c r="F19" s="15">
        <v>42619.187777777777</v>
      </c>
      <c r="G19" s="7">
        <v>2</v>
      </c>
      <c r="H19" s="15" t="s">
        <v>588</v>
      </c>
      <c r="I19" s="15">
        <v>42619.213240740741</v>
      </c>
      <c r="J19" s="7">
        <v>0</v>
      </c>
      <c r="K19" s="132" t="str">
        <f t="shared" si="0"/>
        <v>4013/4014</v>
      </c>
      <c r="L19" s="24" t="str">
        <f>VLOOKUP(A19,'Trips&amp;Operators'!$C$1:$E$10000,3,FALSE)</f>
        <v>SPECTOR</v>
      </c>
      <c r="M19" s="6">
        <f t="shared" si="1"/>
        <v>2.5462962963501923E-2</v>
      </c>
      <c r="N19" s="7">
        <f t="shared" si="2"/>
        <v>36.666666667442769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03:20:27-0600',mode:absolute,to:'2016-09-06 06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4.4699999999999997E-2</v>
      </c>
      <c r="Z19" s="69">
        <f t="shared" si="9"/>
        <v>23.3276</v>
      </c>
      <c r="AA19" s="69">
        <f t="shared" si="10"/>
        <v>23.282900000000001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0107-06</v>
      </c>
      <c r="AE19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19" s="96" t="str">
        <f t="shared" si="13"/>
        <v>"C:\Program Files (x86)\AstroGrep\AstroGrep.exe" /spath="%USERPROFILE%\AppData\Local\Temp\OnboardLogs" /stypes="*4014*20160906*"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107-06 --locoid 4014 --swversion DE.1.0.7.0 --startMP 204:447 --initTime 2016-09-06T04:20:27 --startdatetime 2016-09-06T04:30:24 --delay 2 --endMP 204:233276 --enddatetime 2016-09-06T05:07:04 --enforcementcount 0 &gt;&gt;C:\Users\stu\Documents\GitHub\eaglep3-reporting\EC\2016-09-06-refined-times.txt</v>
      </c>
      <c r="AI1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ID","value":"107-06"},{"id":16,"name":"Locomotive ID","value":"4014"},{"id":130,"name":"Impact","value":""},{"id":150,"name":"Time of Event (Mountain Time)","value":"05:07:04"},{"id":151,"name":"Denver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375</v>
      </c>
      <c r="B20" s="7">
        <v>4013</v>
      </c>
      <c r="C20" s="24" t="s">
        <v>112</v>
      </c>
      <c r="D20" s="24" t="s">
        <v>307</v>
      </c>
      <c r="E20" s="15">
        <v>42619.221932870372</v>
      </c>
      <c r="F20" s="15">
        <v>42619.226736111108</v>
      </c>
      <c r="G20" s="7">
        <v>2</v>
      </c>
      <c r="H20" s="15" t="s">
        <v>135</v>
      </c>
      <c r="I20" s="15">
        <v>42619.25712962963</v>
      </c>
      <c r="J20" s="7">
        <v>0</v>
      </c>
      <c r="K20" s="132" t="str">
        <f t="shared" si="0"/>
        <v>4013/4014</v>
      </c>
      <c r="L20" s="24" t="str">
        <f>VLOOKUP(A20,'Trips&amp;Operators'!$C$1:$E$10000,3,FALSE)</f>
        <v>SPECTOR</v>
      </c>
      <c r="M20" s="6">
        <f t="shared" si="1"/>
        <v>3.0393518522032537E-2</v>
      </c>
      <c r="N20" s="7">
        <f t="shared" si="2"/>
        <v>43.766666671726853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04:19:35-0600',mode:absolute,to:'2016-09-06 07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23.295100000000001</v>
      </c>
      <c r="Z20" s="69">
        <f t="shared" si="9"/>
        <v>1.49E-2</v>
      </c>
      <c r="AA20" s="69">
        <f t="shared" si="10"/>
        <v>23.280200000000001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0108-06</v>
      </c>
      <c r="AE20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20" s="96" t="str">
        <f t="shared" si="13"/>
        <v>"C:\Program Files (x86)\AstroGrep\AstroGrep.exe" /spath="%USERPROFILE%\AppData\Local\Temp\OnboardLogs" /stypes="*4013*20160906*"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108-06 --locoid 4013 --swversion DE.1.0.7.0 --startMP 204:232951 --initTime 2016-09-06T05:19:35 --startdatetime 2016-09-06T05:26:30 --delay 2 --endMP 204:149 --enddatetime 2016-09-06T06:10:16 --enforcementcount 0 &gt;&gt;C:\Users\stu\Documents\GitHub\eaglep3-reporting\EC\2016-09-06-refined-times.txt</v>
      </c>
      <c r="AI2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{"issue":{"subject":"","project_id":79,"tracker_id":40,"status_id":1,"priority_id":2,"assigned_to_id":23,"start_date":"2016-09-06","description":"","custom_fields":[{"id":1,"name":"Subdivision","value":"EC"},{"id":4,"name":"Milepost","value":"23.2802"},{"id":17,"name":"Train ID","value":"108-06"},{"id":16,"name":"Locomotive ID","value":"4013"},{"id":130,"name":"Impact","value":""},{"id":150,"name":"Time of Event (Mountain Time)","value":"06:10:16"},{"id":151,"name":"Denver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367</v>
      </c>
      <c r="B21" s="7">
        <v>4027</v>
      </c>
      <c r="C21" s="24" t="s">
        <v>112</v>
      </c>
      <c r="D21" s="24" t="s">
        <v>589</v>
      </c>
      <c r="E21" s="15">
        <v>42619.194409722222</v>
      </c>
      <c r="F21" s="15">
        <v>42619.198495370372</v>
      </c>
      <c r="G21" s="7">
        <v>1</v>
      </c>
      <c r="H21" s="15" t="s">
        <v>268</v>
      </c>
      <c r="I21" s="15">
        <v>42619.226354166669</v>
      </c>
      <c r="J21" s="7">
        <v>0</v>
      </c>
      <c r="K21" s="132" t="str">
        <f t="shared" si="0"/>
        <v>4027/4028</v>
      </c>
      <c r="L21" s="24" t="str">
        <f>VLOOKUP(A21,'Trips&amp;Operators'!$C$1:$E$10000,3,FALSE)</f>
        <v>DAVIS</v>
      </c>
      <c r="M21" s="6">
        <f t="shared" si="1"/>
        <v>2.7858796296641231E-2</v>
      </c>
      <c r="N21" s="7">
        <f t="shared" si="2"/>
        <v>40.116666667163372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03:39:57-0600',mode:absolute,to:'2016-09-06 06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4.3299999999999998E-2</v>
      </c>
      <c r="Z21" s="69">
        <f t="shared" si="9"/>
        <v>23.329499999999999</v>
      </c>
      <c r="AA21" s="69">
        <f t="shared" si="10"/>
        <v>23.286200000000001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0109-06</v>
      </c>
      <c r="AE21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21" s="96" t="str">
        <f t="shared" si="13"/>
        <v>"C:\Program Files (x86)\AstroGrep\AstroGrep.exe" /spath="%USERPROFILE%\AppData\Local\Temp\OnboardLogs" /stypes="*4027*20160906*"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109-06 --locoid 4027 --swversion DE.1.0.7.0 --startMP 204:433 --initTime 2016-09-06T04:39:57 --startdatetime 2016-09-06T04:45:50 --delay 1 --endMP 204:233295 --enddatetime 2016-09-06T05:25:57 --enforcementcount 0 &gt;&gt;C:\Users\stu\Documents\GitHub\eaglep3-reporting\EC\2016-09-06-refined-times.txt</v>
      </c>
      <c r="AI2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{"issue":{"subject":"","project_id":79,"tracker_id":40,"status_id":1,"priority_id":2,"assigned_to_id":23,"start_date":"2016-09-06","description":"","custom_fields":[{"id":1,"name":"Subdivision","value":"EC"},{"id":4,"name":"Milepost","value":"23.2862"},{"id":17,"name":"Train ID","value":"109-06"},{"id":16,"name":"Locomotive ID","value":"4027"},{"id":130,"name":"Impact","value":""},{"id":150,"name":"Time of Event (Mountain Time)","value":"05:25:57"},{"id":151,"name":"Denver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376</v>
      </c>
      <c r="B22" s="7">
        <v>4028</v>
      </c>
      <c r="C22" s="24" t="s">
        <v>112</v>
      </c>
      <c r="D22" s="24" t="s">
        <v>590</v>
      </c>
      <c r="E22" s="15">
        <v>42619.234317129631</v>
      </c>
      <c r="F22" s="15">
        <v>42619.236979166664</v>
      </c>
      <c r="G22" s="7">
        <v>1</v>
      </c>
      <c r="H22" s="15" t="s">
        <v>239</v>
      </c>
      <c r="I22" s="15">
        <v>42619.268587962964</v>
      </c>
      <c r="J22" s="7">
        <v>0</v>
      </c>
      <c r="K22" s="132" t="str">
        <f t="shared" si="0"/>
        <v>4027/4028</v>
      </c>
      <c r="L22" s="24" t="str">
        <f>VLOOKUP(A22,'Trips&amp;Operators'!$C$1:$E$10000,3,FALSE)</f>
        <v>DAVIS</v>
      </c>
      <c r="M22" s="6">
        <f t="shared" si="1"/>
        <v>3.160879630013369E-2</v>
      </c>
      <c r="N22" s="7">
        <f t="shared" si="2"/>
        <v>45.516666672192514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04:37:25-0600',mode:absolute,to:'2016-09-06 07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23.2988</v>
      </c>
      <c r="Z22" s="69">
        <f t="shared" si="9"/>
        <v>1.4999999999999999E-2</v>
      </c>
      <c r="AA22" s="69">
        <f t="shared" si="10"/>
        <v>23.283799999999999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0110-06</v>
      </c>
      <c r="AE22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22" s="96" t="str">
        <f t="shared" si="13"/>
        <v>"C:\Program Files (x86)\AstroGrep\AstroGrep.exe" /spath="%USERPROFILE%\AppData\Local\Temp\OnboardLogs" /stypes="*4028*20160906*"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110-06 --locoid 4028 --swversion DE.1.0.7.0 --startMP 204:232988 --initTime 2016-09-06T05:37:25 --startdatetime 2016-09-06T05:41:15 --delay 1 --endMP 204:150 --enddatetime 2016-09-06T06:26:46 --enforcementcount 0 &gt;&gt;C:\Users\stu\Documents\GitHub\eaglep3-reporting\EC\2016-09-06-refined-times.txt</v>
      </c>
      <c r="AI2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{"issue":{"subject":"","project_id":79,"tracker_id":40,"status_id":1,"priority_id":2,"assigned_to_id":23,"start_date":"2016-09-06","description":"","custom_fields":[{"id":1,"name":"Subdivision","value":"EC"},{"id":4,"name":"Milepost","value":"23.2838"},{"id":17,"name":"Train ID","value":"110-06"},{"id":16,"name":"Locomotive ID","value":"4028"},{"id":130,"name":"Impact","value":""},{"id":150,"name":"Time of Event (Mountain Time)","value":"06:26:46"},{"id":151,"name":"Denver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368</v>
      </c>
      <c r="B23" s="7">
        <v>4038</v>
      </c>
      <c r="C23" s="24" t="s">
        <v>112</v>
      </c>
      <c r="D23" s="24" t="s">
        <v>591</v>
      </c>
      <c r="E23" s="15">
        <v>42619.206597222219</v>
      </c>
      <c r="F23" s="15">
        <v>42619.209247685183</v>
      </c>
      <c r="G23" s="7">
        <v>2</v>
      </c>
      <c r="H23" s="15" t="s">
        <v>248</v>
      </c>
      <c r="I23" s="15">
        <v>42619.23678240741</v>
      </c>
      <c r="J23" s="7">
        <v>0</v>
      </c>
      <c r="K23" s="132" t="str">
        <f t="shared" si="0"/>
        <v>4037/4038</v>
      </c>
      <c r="L23" s="24" t="str">
        <f>VLOOKUP(A23,'Trips&amp;Operators'!$C$1:$E$10000,3,FALSE)</f>
        <v>GEBRETEKLE</v>
      </c>
      <c r="M23" s="6">
        <f t="shared" si="1"/>
        <v>2.7534722226846498E-2</v>
      </c>
      <c r="N23" s="7">
        <f t="shared" si="2"/>
        <v>39.650000006658956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03:57:30-0600',mode:absolute,to:'2016-09-06 06:40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7.7700000000000005E-2</v>
      </c>
      <c r="Z23" s="69">
        <f t="shared" si="9"/>
        <v>23.331499999999998</v>
      </c>
      <c r="AA23" s="69">
        <f t="shared" si="10"/>
        <v>23.253799999999998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0111-06</v>
      </c>
      <c r="AE23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23" s="96" t="str">
        <f t="shared" si="13"/>
        <v>"C:\Program Files (x86)\AstroGrep\AstroGrep.exe" /spath="%USERPROFILE%\AppData\Local\Temp\OnboardLogs" /stypes="*4038*20160906*"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111-06 --locoid 4038 --swversion DE.1.0.7.0 --startMP 204:777 --initTime 2016-09-06T04:57:30 --startdatetime 2016-09-06T05:01:19 --delay 2 --endMP 204:233315 --enddatetime 2016-09-06T05:40:58 --enforcementcount 0 &gt;&gt;C:\Users\stu\Documents\GitHub\eaglep3-reporting\EC\2016-09-06-refined-times.txt</v>
      </c>
      <c r="AI2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{"issue":{"subject":"","project_id":79,"tracker_id":40,"status_id":1,"priority_id":2,"assigned_to_id":23,"start_date":"2016-09-06","description":"","custom_fields":[{"id":1,"name":"Subdivision","value":"EC"},{"id":4,"name":"Milepost","value":"23.2538"},{"id":17,"name":"Train ID","value":"111-06"},{"id":16,"name":"Locomotive ID","value":"4038"},{"id":130,"name":"Impact","value":""},{"id":150,"name":"Time of Event (Mountain Time)","value":"05:40:58"},{"id":151,"name":"Denver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380</v>
      </c>
      <c r="B24" s="7">
        <v>4037</v>
      </c>
      <c r="C24" s="24" t="s">
        <v>112</v>
      </c>
      <c r="D24" s="24" t="s">
        <v>250</v>
      </c>
      <c r="E24" s="15">
        <v>42619.243645833332</v>
      </c>
      <c r="F24" s="15">
        <v>42619.247499999998</v>
      </c>
      <c r="G24" s="7">
        <v>1</v>
      </c>
      <c r="H24" s="15" t="s">
        <v>592</v>
      </c>
      <c r="I24" s="15">
        <v>42619.27542824074</v>
      </c>
      <c r="J24" s="7">
        <v>0</v>
      </c>
      <c r="K24" s="132" t="str">
        <f t="shared" si="0"/>
        <v>4037/4038</v>
      </c>
      <c r="L24" s="24" t="str">
        <f>VLOOKUP(A24,'Trips&amp;Operators'!$C$1:$E$10000,3,FALSE)</f>
        <v>GEBRETEKLE</v>
      </c>
      <c r="M24" s="6">
        <f t="shared" si="1"/>
        <v>2.792824074276723E-2</v>
      </c>
      <c r="N24" s="7">
        <f t="shared" si="2"/>
        <v>40.216666669584811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04:50:51-0600',mode:absolute,to:'2016-09-06 07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23.299800000000001</v>
      </c>
      <c r="Z24" s="69">
        <f t="shared" si="9"/>
        <v>1.34E-2</v>
      </c>
      <c r="AA24" s="69">
        <f t="shared" si="10"/>
        <v>23.2864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0112-06</v>
      </c>
      <c r="AE24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24" s="96" t="str">
        <f t="shared" si="13"/>
        <v>"C:\Program Files (x86)\AstroGrep\AstroGrep.exe" /spath="%USERPROFILE%\AppData\Local\Temp\OnboardLogs" /stypes="*4037*20160906*"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112-06 --locoid 4037 --swversion DE.1.0.7.0 --startMP 204:232998 --initTime 2016-09-06T05:50:51 --startdatetime 2016-09-06T05:56:24 --delay 1 --endMP 204:134 --enddatetime 2016-09-06T06:36:37 --enforcementcount 0 &gt;&gt;C:\Users\stu\Documents\GitHub\eaglep3-reporting\EC\2016-09-06-refined-times.txt</v>
      </c>
      <c r="AI2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{"issue":{"subject":"","project_id":79,"tracker_id":40,"status_id":1,"priority_id":2,"assigned_to_id":23,"start_date":"2016-09-06","description":"","custom_fields":[{"id":1,"name":"Subdivision","value":"EC"},{"id":4,"name":"Milepost","value":"23.2864"},{"id":17,"name":"Train ID","value":"112-06"},{"id":16,"name":"Locomotive ID","value":"4037"},{"id":130,"name":"Impact","value":""},{"id":150,"name":"Time of Event (Mountain Time)","value":"06:36:37"},{"id":151,"name":"Denver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370</v>
      </c>
      <c r="B25" s="7">
        <v>4025</v>
      </c>
      <c r="C25" s="24" t="s">
        <v>112</v>
      </c>
      <c r="D25" s="24" t="s">
        <v>315</v>
      </c>
      <c r="E25" s="15">
        <v>42619.207511574074</v>
      </c>
      <c r="F25" s="15">
        <v>42619.218969907408</v>
      </c>
      <c r="G25" s="7">
        <v>2</v>
      </c>
      <c r="H25" s="15" t="s">
        <v>593</v>
      </c>
      <c r="I25" s="15">
        <v>42619.245023148149</v>
      </c>
      <c r="J25" s="7">
        <v>0</v>
      </c>
      <c r="K25" s="132" t="str">
        <f t="shared" si="0"/>
        <v>4025/4026</v>
      </c>
      <c r="L25" s="24" t="str">
        <f>VLOOKUP(A25,'Trips&amp;Operators'!$C$1:$E$10000,3,FALSE)</f>
        <v>KILLION</v>
      </c>
      <c r="M25" s="6">
        <f t="shared" si="1"/>
        <v>2.6053240741021E-2</v>
      </c>
      <c r="N25" s="7">
        <f t="shared" si="2"/>
        <v>37.51666666707024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03:58:49-0600',mode:absolute,to:'2016-09-06 06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4.3499999999999997E-2</v>
      </c>
      <c r="Z25" s="69">
        <f t="shared" si="9"/>
        <v>23.328399999999998</v>
      </c>
      <c r="AA25" s="69">
        <f t="shared" si="10"/>
        <v>23.284899999999997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0113-06</v>
      </c>
      <c r="AE25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25" s="96" t="str">
        <f t="shared" si="13"/>
        <v>"C:\Program Files (x86)\AstroGrep\AstroGrep.exe" /spath="%USERPROFILE%\AppData\Local\Temp\OnboardLogs" /stypes="*4025*20160906*"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113-06 --locoid 4025 --swversion DE.1.0.7.0 --startMP 204:435 --initTime 2016-09-06T04:58:49 --startdatetime 2016-09-06T05:15:19 --delay 2 --endMP 204:233284 --enddatetime 2016-09-06T05:52:50 --enforcementcount 0 &gt;&gt;C:\Users\stu\Documents\GitHub\eaglep3-reporting\EC\2016-09-06-refined-times.txt</v>
      </c>
      <c r="AI2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ID","value":"113-06"},{"id":16,"name":"Locomotive ID","value":"4025"},{"id":130,"name":"Impact","value":""},{"id":150,"name":"Time of Event (Mountain Time)","value":"05:52:50"},{"id":151,"name":"Denver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382</v>
      </c>
      <c r="B26" s="7">
        <v>4026</v>
      </c>
      <c r="C26" s="24" t="s">
        <v>112</v>
      </c>
      <c r="D26" s="24" t="s">
        <v>594</v>
      </c>
      <c r="E26" s="15">
        <v>42619.252129629633</v>
      </c>
      <c r="F26" s="15">
        <v>42619.258125</v>
      </c>
      <c r="G26" s="7">
        <v>1</v>
      </c>
      <c r="H26" s="15" t="s">
        <v>135</v>
      </c>
      <c r="I26" s="15">
        <v>42619.284618055557</v>
      </c>
      <c r="J26" s="7">
        <v>0</v>
      </c>
      <c r="K26" s="132" t="str">
        <f t="shared" si="0"/>
        <v>4025/4026</v>
      </c>
      <c r="L26" s="24" t="str">
        <f>VLOOKUP(A26,'Trips&amp;Operators'!$C$1:$E$10000,3,FALSE)</f>
        <v>KILLION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05:03:04-0600',mode:absolute,to:'2016-09-06 07:49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23.298200000000001</v>
      </c>
      <c r="Z26" s="69">
        <f t="shared" si="9"/>
        <v>1.49E-2</v>
      </c>
      <c r="AA26" s="69">
        <f t="shared" si="10"/>
        <v>23.283300000000001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0114-06</v>
      </c>
      <c r="AE26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26" s="96" t="str">
        <f t="shared" si="13"/>
        <v>"C:\Program Files (x86)\AstroGrep\AstroGrep.exe" /spath="%USERPROFILE%\AppData\Local\Temp\OnboardLogs" /stypes="*4026*20160906*"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114-06 --locoid 4026 --swversion DE.1.0.7.0 --startMP 204:232982 --initTime 2016-09-06T06:03:04 --startdatetime 2016-09-06T06:11:42 --delay 1 --endMP 204:149 --enddatetime 2016-09-06T06:49:51 --enforcementcount 0 &gt;&gt;C:\Users\stu\Documents\GitHub\eaglep3-reporting\EC\2016-09-06-refined-times.txt</v>
      </c>
      <c r="AI2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{"issue":{"subject":"","project_id":79,"tracker_id":40,"status_id":1,"priority_id":2,"assigned_to_id":23,"start_date":"2016-09-06","description":"","custom_fields":[{"id":1,"name":"Subdivision","value":"EC"},{"id":4,"name":"Milepost","value":"23.2833"},{"id":17,"name":"Train ID","value":"114-06"},{"id":16,"name":"Locomotive ID","value":"4026"},{"id":130,"name":"Impact","value":""},{"id":150,"name":"Time of Event (Mountain Time)","value":"06:49:51"},{"id":151,"name":"Denver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377</v>
      </c>
      <c r="B27" s="7">
        <v>4029</v>
      </c>
      <c r="C27" s="24" t="s">
        <v>112</v>
      </c>
      <c r="D27" s="24" t="s">
        <v>595</v>
      </c>
      <c r="E27" s="15">
        <v>42619.235879629632</v>
      </c>
      <c r="F27" s="15">
        <v>42619.238726851851</v>
      </c>
      <c r="G27" s="7">
        <v>1</v>
      </c>
      <c r="H27" s="15" t="s">
        <v>227</v>
      </c>
      <c r="I27" s="15">
        <v>42619.263645833336</v>
      </c>
      <c r="J27" s="7">
        <v>0</v>
      </c>
      <c r="K27" s="132" t="str">
        <f t="shared" si="0"/>
        <v>4029/4030</v>
      </c>
      <c r="L27" s="24" t="str">
        <f>VLOOKUP(A27,'Trips&amp;Operators'!$C$1:$E$10000,3,FALSE)</f>
        <v>ROCHA</v>
      </c>
      <c r="M27" s="6">
        <f t="shared" si="1"/>
        <v>2.4918981485825498E-2</v>
      </c>
      <c r="N27" s="7">
        <f t="shared" si="2"/>
        <v>35.883333339588717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04:39:40-0600',mode:absolute,to:'2016-09-06 07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7.6499999999999999E-2</v>
      </c>
      <c r="Z27" s="69">
        <f t="shared" si="9"/>
        <v>23.329699999999999</v>
      </c>
      <c r="AA27" s="69">
        <f t="shared" si="10"/>
        <v>23.2532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0115-06</v>
      </c>
      <c r="AE27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27" s="96" t="str">
        <f t="shared" si="13"/>
        <v>"C:\Program Files (x86)\AstroGrep\AstroGrep.exe" /spath="%USERPROFILE%\AppData\Local\Temp\OnboardLogs" /stypes="*4029*20160906*"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115-06 --locoid 4029 --swversion DE.1.0.7.0 --startMP 204:765 --initTime 2016-09-06T05:39:40 --startdatetime 2016-09-06T05:43:46 --delay 1 --endMP 204:233297 --enddatetime 2016-09-06T06:19:39 --enforcementcount 0 &gt;&gt;C:\Users\stu\Documents\GitHub\eaglep3-reporting\EC\2016-09-06-refined-times.txt</v>
      </c>
      <c r="AI2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{"issue":{"subject":"","project_id":79,"tracker_id":40,"status_id":1,"priority_id":2,"assigned_to_id":23,"start_date":"2016-09-06","description":"","custom_fields":[{"id":1,"name":"Subdivision","value":"EC"},{"id":4,"name":"Milepost","value":"23.2532"},{"id":17,"name":"Train ID","value":"115-06"},{"id":16,"name":"Locomotive ID","value":"4029"},{"id":130,"name":"Impact","value":""},{"id":150,"name":"Time of Event (Mountain Time)","value":"06:19:39"},{"id":151,"name":"Denver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386</v>
      </c>
      <c r="B28" s="7">
        <v>4030</v>
      </c>
      <c r="C28" s="24" t="s">
        <v>112</v>
      </c>
      <c r="D28" s="24" t="s">
        <v>212</v>
      </c>
      <c r="E28" s="15">
        <v>42619.266967592594</v>
      </c>
      <c r="F28" s="15">
        <v>42619.302442129629</v>
      </c>
      <c r="G28" s="7">
        <v>1</v>
      </c>
      <c r="H28" s="15" t="s">
        <v>164</v>
      </c>
      <c r="I28" s="15">
        <v>42619.327048611114</v>
      </c>
      <c r="J28" s="7">
        <v>0</v>
      </c>
      <c r="K28" s="132" t="str">
        <f t="shared" si="0"/>
        <v>4029/4030</v>
      </c>
      <c r="L28" s="24" t="str">
        <f>VLOOKUP(A28,'Trips&amp;Operators'!$C$1:$E$10000,3,FALSE)</f>
        <v>ROCHA</v>
      </c>
      <c r="M28" s="6">
        <f t="shared" si="1"/>
        <v>2.4606481485534459E-2</v>
      </c>
      <c r="N28" s="7">
        <f t="shared" si="2"/>
        <v>35.433333339169621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05:24:26-0600',mode:absolute,to:'2016-09-06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23.297999999999998</v>
      </c>
      <c r="Z28" s="69">
        <f t="shared" si="9"/>
        <v>1.52E-2</v>
      </c>
      <c r="AA28" s="69">
        <f t="shared" si="10"/>
        <v>23.282799999999998</v>
      </c>
      <c r="AB28" s="66" t="str">
        <f>VLOOKUP(A28,Enforcements!$C$7:$K$21,8,0)</f>
        <v>Speed (6)</v>
      </c>
      <c r="AC28" s="62" t="str">
        <f>VLOOKUP(A28,Enforcements!$C$7:$E$21,3,0)</f>
        <v>PERMANENT SPEED RESTRICTION</v>
      </c>
      <c r="AD28" s="63" t="str">
        <f t="shared" si="11"/>
        <v>0116-06</v>
      </c>
      <c r="AE28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28" s="96" t="str">
        <f t="shared" si="13"/>
        <v>"C:\Program Files (x86)\AstroGrep\AstroGrep.exe" /spath="%USERPROFILE%\AppData\Local\Temp\OnboardLogs" /stypes="*4030*20160906*"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116-06 --locoid 4030 --swversion DE.1.0.7.0 --startMP 204:232980 --initTime 2016-09-06T06:24:26 --startdatetime 2016-09-06T07:15:31 --delay 1 --endMP 204:152 --enddatetime 2016-09-06T07:50:57 --enforcementcount 0 &gt;&gt;C:\Users\stu\Documents\GitHub\eaglep3-reporting\EC\2016-09-06-refined-times.txt</v>
      </c>
      <c r="AI2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ID","value":"116-06"},{"id":16,"name":"Locomotive ID","value":"4030"},{"id":130,"name":"Impact","value":""},{"id":150,"name":"Time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378</v>
      </c>
      <c r="B29" s="7">
        <v>4011</v>
      </c>
      <c r="C29" s="24" t="s">
        <v>112</v>
      </c>
      <c r="D29" s="24" t="s">
        <v>295</v>
      </c>
      <c r="E29" s="15">
        <v>42619.239386574074</v>
      </c>
      <c r="F29" s="15">
        <v>42619.242002314815</v>
      </c>
      <c r="G29" s="7">
        <v>1</v>
      </c>
      <c r="H29" s="15" t="s">
        <v>268</v>
      </c>
      <c r="I29" s="15">
        <v>42619.272418981483</v>
      </c>
      <c r="J29" s="7">
        <v>0</v>
      </c>
      <c r="K29" s="132" t="str">
        <f t="shared" si="0"/>
        <v>4011/4012</v>
      </c>
      <c r="L29" s="24" t="str">
        <f>VLOOKUP(A29,'Trips&amp;Operators'!$C$1:$E$10000,3,FALSE)</f>
        <v>HILLS</v>
      </c>
      <c r="M29" s="6">
        <f t="shared" si="1"/>
        <v>3.0416666668315884E-2</v>
      </c>
      <c r="N29" s="7">
        <f t="shared" si="2"/>
        <v>43.800000002374873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04:44:43-0600',mode:absolute,to:'2016-09-06 07:32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4.4600000000000001E-2</v>
      </c>
      <c r="Z29" s="69">
        <f t="shared" si="9"/>
        <v>23.329499999999999</v>
      </c>
      <c r="AA29" s="69">
        <f t="shared" si="10"/>
        <v>23.2849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0117-06</v>
      </c>
      <c r="AE29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29" s="96" t="str">
        <f t="shared" si="13"/>
        <v>"C:\Program Files (x86)\AstroGrep\AstroGrep.exe" /spath="%USERPROFILE%\AppData\Local\Temp\OnboardLogs" /stypes="*4011*20160906*"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117-06 --locoid 4011 --swversion DE.1.0.7.0 --startMP 204:446 --initTime 2016-09-06T05:44:43 --startdatetime 2016-09-06T05:48:29 --delay 1 --endMP 204:233295 --enddatetime 2016-09-06T06:32:17 --enforcementcount 0 &gt;&gt;C:\Users\stu\Documents\GitHub\eaglep3-reporting\EC\2016-09-06-refined-times.txt</v>
      </c>
      <c r="AI2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ID","value":"117-06"},{"id":16,"name":"Locomotive ID","value":"4011"},{"id":130,"name":"Impact","value":""},{"id":150,"name":"Time of Event (Mountain Time)","value":"06:32:17"},{"id":151,"name":"Denver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388</v>
      </c>
      <c r="B30" s="7">
        <v>4012</v>
      </c>
      <c r="C30" s="24" t="s">
        <v>112</v>
      </c>
      <c r="D30" s="24" t="s">
        <v>233</v>
      </c>
      <c r="E30" s="15">
        <v>42619.273842592593</v>
      </c>
      <c r="F30" s="15">
        <v>42619.278773148151</v>
      </c>
      <c r="G30" s="7">
        <v>1</v>
      </c>
      <c r="H30" s="15" t="s">
        <v>146</v>
      </c>
      <c r="I30" s="15">
        <v>42619.306631944448</v>
      </c>
      <c r="J30" s="7">
        <v>0</v>
      </c>
      <c r="K30" s="132" t="str">
        <f t="shared" si="0"/>
        <v>4011/4012</v>
      </c>
      <c r="L30" s="24" t="str">
        <f>VLOOKUP(A30,'Trips&amp;Operators'!$C$1:$E$10000,3,FALSE)</f>
        <v>HILLS</v>
      </c>
      <c r="M30" s="6">
        <f t="shared" si="1"/>
        <v>2.7858796296641231E-2</v>
      </c>
      <c r="N30" s="7">
        <f t="shared" si="2"/>
        <v>40.116666667163372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05:34:20-0600',mode:absolute,to:'2016-09-06 08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23.299600000000002</v>
      </c>
      <c r="Z30" s="69">
        <f t="shared" si="9"/>
        <v>1.5599999999999999E-2</v>
      </c>
      <c r="AA30" s="69">
        <f t="shared" si="10"/>
        <v>23.284000000000002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0118-06</v>
      </c>
      <c r="AE30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30" s="96" t="str">
        <f t="shared" si="13"/>
        <v>"C:\Program Files (x86)\AstroGrep\AstroGrep.exe" /spath="%USERPROFILE%\AppData\Local\Temp\OnboardLogs" /stypes="*4012*20160906*"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118-06 --locoid 4012 --swversion DE.1.0.7.0 --startMP 204:232996 --initTime 2016-09-06T06:34:20 --startdatetime 2016-09-06T06:41:26 --delay 1 --endMP 204:156 --enddatetime 2016-09-06T07:21:33 --enforcementcount 0 &gt;&gt;C:\Users\stu\Documents\GitHub\eaglep3-reporting\EC\2016-09-06-refined-times.txt</v>
      </c>
      <c r="AI3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ID","value":"118-06"},{"id":16,"name":"Locomotive ID","value":"4012"},{"id":130,"name":"Impact","value":""},{"id":150,"name":"Time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381</v>
      </c>
      <c r="B31" s="7">
        <v>4002</v>
      </c>
      <c r="C31" s="24" t="s">
        <v>112</v>
      </c>
      <c r="D31" s="24" t="s">
        <v>596</v>
      </c>
      <c r="E31" s="15">
        <v>42619.253842592596</v>
      </c>
      <c r="F31" s="15">
        <v>42619.258553240739</v>
      </c>
      <c r="G31" s="7">
        <v>1</v>
      </c>
      <c r="H31" s="15" t="s">
        <v>267</v>
      </c>
      <c r="I31" s="15">
        <v>42619.283680555556</v>
      </c>
      <c r="J31" s="7">
        <v>0</v>
      </c>
      <c r="K31" s="132" t="str">
        <f t="shared" si="0"/>
        <v>4001/4002</v>
      </c>
      <c r="L31" s="24" t="str">
        <f>VLOOKUP(A31,'Trips&amp;Operators'!$C$1:$E$10000,3,FALSE)</f>
        <v>BRANNON</v>
      </c>
      <c r="M31" s="6">
        <f t="shared" si="1"/>
        <v>2.5127314816927537E-2</v>
      </c>
      <c r="N31" s="7">
        <f t="shared" si="2"/>
        <v>36.183333336375654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05:05:32-0600',mode:absolute,to:'2016-09-06 07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7.6100000000000001E-2</v>
      </c>
      <c r="Z31" s="69">
        <f t="shared" si="9"/>
        <v>23.330100000000002</v>
      </c>
      <c r="AA31" s="69">
        <f t="shared" si="10"/>
        <v>23.254000000000001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0119-06</v>
      </c>
      <c r="AE31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31" s="96" t="str">
        <f t="shared" si="13"/>
        <v>"C:\Program Files (x86)\AstroGrep\AstroGrep.exe" /spath="%USERPROFILE%\AppData\Local\Temp\OnboardLogs" /stypes="*4002*20160906*"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119-06 --locoid 4002 --swversion DE.1.0.7.0 --startMP 204:761 --initTime 2016-09-06T06:05:32 --startdatetime 2016-09-06T06:12:19 --delay 1 --endMP 204:233301 --enddatetime 2016-09-06T06:48:30 --enforcementcount 0 &gt;&gt;C:\Users\stu\Documents\GitHub\eaglep3-reporting\EC\2016-09-06-refined-times.txt</v>
      </c>
      <c r="AI3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{"issue":{"subject":"","project_id":79,"tracker_id":40,"status_id":1,"priority_id":2,"assigned_to_id":23,"start_date":"2016-09-06","description":"","custom_fields":[{"id":1,"name":"Subdivision","value":"EC"},{"id":4,"name":"Milepost","value":"23.254"},{"id":17,"name":"Train ID","value":"119-06"},{"id":16,"name":"Locomotive ID","value":"4002"},{"id":130,"name":"Impact","value":""},{"id":150,"name":"Time of Event (Mountain Time)","value":"06:48:30"},{"id":151,"name":"Denver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391</v>
      </c>
      <c r="B32" s="7">
        <v>4001</v>
      </c>
      <c r="C32" s="24" t="s">
        <v>112</v>
      </c>
      <c r="D32" s="24" t="s">
        <v>597</v>
      </c>
      <c r="E32" s="15">
        <v>42619.285185185188</v>
      </c>
      <c r="F32" s="15">
        <v>42619.2890625</v>
      </c>
      <c r="G32" s="7">
        <v>1</v>
      </c>
      <c r="H32" s="15" t="s">
        <v>170</v>
      </c>
      <c r="I32" s="15">
        <v>42619.31763888889</v>
      </c>
      <c r="J32" s="7">
        <v>0</v>
      </c>
      <c r="K32" s="132" t="str">
        <f t="shared" si="0"/>
        <v>4001/4002</v>
      </c>
      <c r="L32" s="24" t="str">
        <f>VLOOKUP(A32,'Trips&amp;Operators'!$C$1:$E$10000,3,FALSE)</f>
        <v>BRANNON</v>
      </c>
      <c r="M32" s="6">
        <f t="shared" si="1"/>
        <v>2.8576388889632653E-2</v>
      </c>
      <c r="N32" s="7">
        <f t="shared" si="2"/>
        <v>41.150000001071021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05:50:40-0600',mode:absolute,to:'2016-09-06 08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23.298999999999999</v>
      </c>
      <c r="Z32" s="69">
        <f t="shared" si="9"/>
        <v>1.4500000000000001E-2</v>
      </c>
      <c r="AA32" s="69">
        <f t="shared" si="10"/>
        <v>23.284499999999998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0120-06</v>
      </c>
      <c r="AE32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32" s="96" t="str">
        <f t="shared" si="13"/>
        <v>"C:\Program Files (x86)\AstroGrep\AstroGrep.exe" /spath="%USERPROFILE%\AppData\Local\Temp\OnboardLogs" /stypes="*4001*20160906*"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120-06 --locoid 4001 --swversion DE.1.0.7.0 --startMP 204:232990 --initTime 2016-09-06T06:50:40 --startdatetime 2016-09-06T06:56:15 --delay 1 --endMP 204:145 --enddatetime 2016-09-06T07:37:24 --enforcementcount 0 &gt;&gt;C:\Users\stu\Documents\GitHub\eaglep3-reporting\EC\2016-09-06-refined-times.txt</v>
      </c>
      <c r="AI3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{"issue":{"subject":"","project_id":79,"tracker_id":40,"status_id":1,"priority_id":2,"assigned_to_id":23,"start_date":"2016-09-06","description":"","custom_fields":[{"id":1,"name":"Subdivision","value":"EC"},{"id":4,"name":"Milepost","value":"23.2845"},{"id":17,"name":"Train ID","value":"120-06"},{"id":16,"name":"Locomotive ID","value":"4001"},{"id":130,"name":"Impact","value":""},{"id":150,"name":"Time of Event (Mountain Time)","value":"07:37:24"},{"id":151,"name":"Denver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385</v>
      </c>
      <c r="B33" s="7">
        <v>4014</v>
      </c>
      <c r="C33" s="24" t="s">
        <v>112</v>
      </c>
      <c r="D33" s="24" t="s">
        <v>294</v>
      </c>
      <c r="E33" s="15">
        <v>42619.259664351855</v>
      </c>
      <c r="F33" s="15">
        <v>42619.262511574074</v>
      </c>
      <c r="G33" s="7">
        <v>1</v>
      </c>
      <c r="H33" s="15" t="s">
        <v>598</v>
      </c>
      <c r="I33" s="15">
        <v>42619.287199074075</v>
      </c>
      <c r="J33" s="7">
        <v>0</v>
      </c>
      <c r="K33" s="132" t="str">
        <f t="shared" si="0"/>
        <v>4013/4014</v>
      </c>
      <c r="L33" s="24" t="str">
        <f>VLOOKUP(A33,'Trips&amp;Operators'!$C$1:$E$10000,3,FALSE)</f>
        <v>SPECTOR</v>
      </c>
      <c r="M33" s="6">
        <f t="shared" si="1"/>
        <v>2.4687500001164153E-2</v>
      </c>
      <c r="N33" s="7">
        <f t="shared" si="2"/>
        <v>35.550000001676381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05:13:55-0600',mode:absolute,to:'2016-09-06 07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4.8800000000000003E-2</v>
      </c>
      <c r="Z33" s="69">
        <f t="shared" si="9"/>
        <v>23.324400000000001</v>
      </c>
      <c r="AA33" s="69">
        <f t="shared" si="10"/>
        <v>23.275600000000001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0121-06</v>
      </c>
      <c r="AE33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33" s="96" t="str">
        <f t="shared" si="13"/>
        <v>"C:\Program Files (x86)\AstroGrep\AstroGrep.exe" /spath="%USERPROFILE%\AppData\Local\Temp\OnboardLogs" /stypes="*4014*20160906*"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121-06 --locoid 4014 --swversion DE.1.0.7.0 --startMP 204:488 --initTime 2016-09-06T06:13:55 --startdatetime 2016-09-06T06:18:01 --delay 1 --endMP 204:233244 --enddatetime 2016-09-06T06:53:34 --enforcementcount 0 &gt;&gt;C:\Users\stu\Documents\GitHub\eaglep3-reporting\EC\2016-09-06-refined-times.txt</v>
      </c>
      <c r="AI3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{"issue":{"subject":"","project_id":79,"tracker_id":40,"status_id":1,"priority_id":2,"assigned_to_id":23,"start_date":"2016-09-06","description":"","custom_fields":[{"id":1,"name":"Subdivision","value":"EC"},{"id":4,"name":"Milepost","value":"23.2756"},{"id":17,"name":"Train ID","value":"121-06"},{"id":16,"name":"Locomotive ID","value":"4014"},{"id":130,"name":"Impact","value":""},{"id":150,"name":"Time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393</v>
      </c>
      <c r="B34" s="7">
        <v>4013</v>
      </c>
      <c r="C34" s="24" t="s">
        <v>112</v>
      </c>
      <c r="D34" s="24" t="s">
        <v>599</v>
      </c>
      <c r="E34" s="15">
        <v>42619.293680555558</v>
      </c>
      <c r="F34" s="15">
        <v>42619.299537037034</v>
      </c>
      <c r="G34" s="7">
        <v>1</v>
      </c>
      <c r="H34" s="15" t="s">
        <v>237</v>
      </c>
      <c r="I34" s="15">
        <v>42619.326006944444</v>
      </c>
      <c r="J34" s="7">
        <v>0</v>
      </c>
      <c r="K34" s="132" t="str">
        <f t="shared" si="0"/>
        <v>4013/4014</v>
      </c>
      <c r="L34" s="24" t="str">
        <f>VLOOKUP(A34,'Trips&amp;Operators'!$C$1:$E$10000,3,FALSE)</f>
        <v>SPECTOR</v>
      </c>
      <c r="M34" s="6">
        <f t="shared" si="1"/>
        <v>2.6469907410501037E-2</v>
      </c>
      <c r="N34" s="7">
        <f t="shared" si="2"/>
        <v>38.116666671121493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06:02:54-0600',mode:absolute,to:'2016-09-06 08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23.2928</v>
      </c>
      <c r="Z34" s="69">
        <f t="shared" si="9"/>
        <v>1.38E-2</v>
      </c>
      <c r="AA34" s="69">
        <f t="shared" si="10"/>
        <v>23.279</v>
      </c>
      <c r="AB34" s="66" t="str">
        <f>VLOOKUP(A34,Enforcements!$C$7:$K$21,8,0)</f>
        <v>Signal based authority (5)</v>
      </c>
      <c r="AC34" s="62" t="str">
        <f>VLOOKUP(A34,Enforcements!$C$7:$E$21,3,0)</f>
        <v>SIGNAL</v>
      </c>
      <c r="AD34" s="63" t="str">
        <f t="shared" si="11"/>
        <v>0122-06</v>
      </c>
      <c r="AE34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34" s="96" t="str">
        <f t="shared" si="13"/>
        <v>"C:\Program Files (x86)\AstroGrep\AstroGrep.exe" /spath="%USERPROFILE%\AppData\Local\Temp\OnboardLogs" /stypes="*4013*20160906*"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122-06 --locoid 4013 --swversion DE.1.0.7.0 --startMP 204:232928 --initTime 2016-09-06T07:02:54 --startdatetime 2016-09-06T07:11:20 --delay 1 --endMP 204:138 --enddatetime 2016-09-06T07:49:27 --enforcementcount 0 &gt;&gt;C:\Users\stu\Documents\GitHub\eaglep3-reporting\EC\2016-09-06-refined-times.txt</v>
      </c>
      <c r="AI3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{"issue":{"subject":"","project_id":79,"tracker_id":40,"status_id":1,"priority_id":2,"assigned_to_id":23,"start_date":"2016-09-06","description":"","custom_fields":[{"id":1,"name":"Subdivision","value":"EC"},{"id":4,"name":"Milepost","value":"23.279"},{"id":17,"name":"Train ID","value":"122-06"},{"id":16,"name":"Locomotive ID","value":"4013"},{"id":130,"name":"Impact","value":""},{"id":150,"name":"Time of Event (Mountain Time)","value":"07:49:27"},{"id":151,"name":"Denver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387</v>
      </c>
      <c r="B35" s="7">
        <v>4027</v>
      </c>
      <c r="C35" s="24" t="s">
        <v>112</v>
      </c>
      <c r="D35" s="24" t="s">
        <v>124</v>
      </c>
      <c r="E35" s="15">
        <v>42619.269456018519</v>
      </c>
      <c r="F35" s="15">
        <v>42619.271377314813</v>
      </c>
      <c r="G35" s="7">
        <v>1</v>
      </c>
      <c r="H35" s="15" t="s">
        <v>249</v>
      </c>
      <c r="I35" s="15">
        <v>42619.297812500001</v>
      </c>
      <c r="J35" s="7">
        <v>0</v>
      </c>
      <c r="K35" s="132" t="str">
        <f t="shared" si="0"/>
        <v>4027/4028</v>
      </c>
      <c r="L35" s="24" t="str">
        <f>VLOOKUP(A35,'Trips&amp;Operators'!$C$1:$E$10000,3,FALSE)</f>
        <v>DAVIS</v>
      </c>
      <c r="M35" s="6">
        <f t="shared" si="1"/>
        <v>2.6435185187438037E-2</v>
      </c>
      <c r="N35" s="7">
        <f t="shared" si="2"/>
        <v>38.066666669910774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05:28:01-0600',mode:absolute,to:'2016-09-06 08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4.5499999999999999E-2</v>
      </c>
      <c r="Z35" s="69">
        <f t="shared" si="9"/>
        <v>23.331199999999999</v>
      </c>
      <c r="AA35" s="69">
        <f t="shared" si="10"/>
        <v>23.285699999999999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0123-06</v>
      </c>
      <c r="AE35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35" s="96" t="str">
        <f t="shared" si="13"/>
        <v>"C:\Program Files (x86)\AstroGrep\AstroGrep.exe" /spath="%USERPROFILE%\AppData\Local\Temp\OnboardLogs" /stypes="*4027*20160906*"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123-06 --locoid 4027 --swversion DE.1.0.7.0 --startMP 204:455 --initTime 2016-09-06T06:28:01 --startdatetime 2016-09-06T06:30:47 --delay 1 --endMP 204:233312 --enddatetime 2016-09-06T07:08:51 --enforcementcount 0 &gt;&gt;C:\Users\stu\Documents\GitHub\eaglep3-reporting\EC\2016-09-06-refined-times.txt</v>
      </c>
      <c r="AI3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{"issue":{"subject":"","project_id":79,"tracker_id":40,"status_id":1,"priority_id":2,"assigned_to_id":23,"start_date":"2016-09-06","description":"","custom_fields":[{"id":1,"name":"Subdivision","value":"EC"},{"id":4,"name":"Milepost","value":"23.2857"},{"id":17,"name":"Train ID","value":"123-06"},{"id":16,"name":"Locomotive ID","value":"4027"},{"id":130,"name":"Impact","value":""},{"id":150,"name":"Time of Event (Mountain Time)","value":"07:08:51"},{"id":151,"name":"Denver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ht="16.5" customHeight="1" x14ac:dyDescent="0.25">
      <c r="A36" s="39" t="s">
        <v>397</v>
      </c>
      <c r="B36" s="7">
        <v>4028</v>
      </c>
      <c r="C36" s="24" t="s">
        <v>112</v>
      </c>
      <c r="D36" s="24" t="s">
        <v>600</v>
      </c>
      <c r="E36" s="15">
        <v>42619.305405092593</v>
      </c>
      <c r="F36" s="15">
        <v>42619.309930555559</v>
      </c>
      <c r="G36" s="7">
        <v>1</v>
      </c>
      <c r="H36" s="15" t="s">
        <v>601</v>
      </c>
      <c r="I36" s="15">
        <v>42619.336226851854</v>
      </c>
      <c r="J36" s="7">
        <v>0</v>
      </c>
      <c r="K36" s="132" t="str">
        <f t="shared" si="0"/>
        <v>4027/4028</v>
      </c>
      <c r="L36" s="24" t="str">
        <f>VLOOKUP(A36,'Trips&amp;Operators'!$C$1:$E$10000,3,FALSE)</f>
        <v>DAVIS</v>
      </c>
      <c r="M36" s="6">
        <f t="shared" si="1"/>
        <v>2.6296296295186039E-2</v>
      </c>
      <c r="N36" s="7">
        <f>24*60*SUM($M36:$M36)</f>
        <v>37.866666665067896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06:19:47-0600',mode:absolute,to:'2016-09-06 09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6" s="54" t="str">
        <f t="shared" si="6"/>
        <v>Y</v>
      </c>
      <c r="X36" s="120">
        <f t="shared" si="7"/>
        <v>1</v>
      </c>
      <c r="Y36" s="69">
        <f t="shared" si="8"/>
        <v>23.299199999999999</v>
      </c>
      <c r="Z36" s="69">
        <f t="shared" si="9"/>
        <v>0.76170000000000004</v>
      </c>
      <c r="AA36" s="69">
        <f t="shared" si="10"/>
        <v>22.537499999999998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0124-06</v>
      </c>
      <c r="AE36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36" s="96" t="str">
        <f t="shared" si="13"/>
        <v>"C:\Program Files (x86)\AstroGrep\AstroGrep.exe" /spath="%USERPROFILE%\AppData\Local\Temp\OnboardLogs" /stypes="*4028*20160906*"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124-06 --locoid 4028 --swversion DE.1.0.7.0 --startMP 204:232992 --initTime 2016-09-06T07:19:47 --startdatetime 2016-09-06T07:26:18 --delay 1 --endMP 204:7617 --enddatetime 2016-09-06T08:04:10 --enforcementcount 0 &gt;&gt;C:\Users\stu\Documents\GitHub\eaglep3-reporting\EC\2016-09-06-refined-times.txt</v>
      </c>
      <c r="AI3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{"issue":{"subject":"","project_id":79,"tracker_id":40,"status_id":1,"priority_id":2,"assigned_to_id":23,"start_date":"2016-09-06","description":"","custom_fields":[{"id":1,"name":"Subdivision","value":"EC"},{"id":4,"name":"Milepost","value":"22.5375"},{"id":17,"name":"Train ID","value":"124-06"},{"id":16,"name":"Locomotive ID","value":"4028"},{"id":130,"name":"Impact","value":""},{"id":150,"name":"Time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389</v>
      </c>
      <c r="B37" s="7">
        <v>4038</v>
      </c>
      <c r="C37" s="24" t="s">
        <v>112</v>
      </c>
      <c r="D37" s="24" t="s">
        <v>602</v>
      </c>
      <c r="E37" s="15">
        <v>42619.278263888889</v>
      </c>
      <c r="F37" s="15">
        <v>42619.281435185185</v>
      </c>
      <c r="G37" s="7">
        <v>1</v>
      </c>
      <c r="H37" s="15" t="s">
        <v>270</v>
      </c>
      <c r="I37" s="15">
        <v>42619.306192129632</v>
      </c>
      <c r="J37" s="7">
        <v>0</v>
      </c>
      <c r="K37" s="132" t="str">
        <f t="shared" si="0"/>
        <v>4037/4038</v>
      </c>
      <c r="L37" s="24" t="str">
        <f>VLOOKUP(A37,'Trips&amp;Operators'!$C$1:$E$10000,3,FALSE)</f>
        <v>GEBRETEKLE</v>
      </c>
      <c r="M37" s="6">
        <f t="shared" si="1"/>
        <v>2.4756944447290152E-2</v>
      </c>
      <c r="N37" s="7">
        <f t="shared" ref="N37:N55" si="19">24*60*SUM($M37:$M37)</f>
        <v>35.650000004097819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05:40:42-0600',mode:absolute,to:'2016-09-06 08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4.7300000000000002E-2</v>
      </c>
      <c r="Z37" s="69">
        <f t="shared" si="9"/>
        <v>23.331</v>
      </c>
      <c r="AA37" s="69">
        <f t="shared" si="10"/>
        <v>23.2837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0125-06</v>
      </c>
      <c r="AE37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37" s="96" t="str">
        <f t="shared" si="13"/>
        <v>"C:\Program Files (x86)\AstroGrep\AstroGrep.exe" /spath="%USERPROFILE%\AppData\Local\Temp\OnboardLogs" /stypes="*4038*20160906*"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125-06 --locoid 4038 --swversion DE.1.0.7.0 --startMP 204:473 --initTime 2016-09-06T06:40:42 --startdatetime 2016-09-06T06:45:16 --delay 1 --endMP 204:233310 --enddatetime 2016-09-06T07:20:55 --enforcementcount 0 &gt;&gt;C:\Users\stu\Documents\GitHub\eaglep3-reporting\EC\2016-09-06-refined-times.txt</v>
      </c>
      <c r="AI3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ID","value":"125-06"},{"id":16,"name":"Locomotive ID","value":"4038"},{"id":130,"name":"Impact","value":""},{"id":150,"name":"Time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399</v>
      </c>
      <c r="B38" s="7">
        <v>4037</v>
      </c>
      <c r="C38" s="24" t="s">
        <v>112</v>
      </c>
      <c r="D38" s="24" t="s">
        <v>603</v>
      </c>
      <c r="E38" s="15">
        <v>42619.315578703703</v>
      </c>
      <c r="F38" s="15">
        <v>42619.320324074077</v>
      </c>
      <c r="G38" s="7">
        <v>1</v>
      </c>
      <c r="H38" s="15" t="s">
        <v>149</v>
      </c>
      <c r="I38" s="15">
        <v>42619.348715277774</v>
      </c>
      <c r="J38" s="7">
        <v>0</v>
      </c>
      <c r="K38" s="132" t="str">
        <f t="shared" si="0"/>
        <v>4037/4038</v>
      </c>
      <c r="L38" s="24" t="str">
        <f>VLOOKUP(A38,'Trips&amp;Operators'!$C$1:$E$10000,3,FALSE)</f>
        <v>GEBRETEKLE</v>
      </c>
      <c r="M38" s="6">
        <f t="shared" si="1"/>
        <v>2.8391203697538003E-2</v>
      </c>
      <c r="N38" s="7">
        <f t="shared" si="19"/>
        <v>40.883333324454725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06:34:26-0600',mode:absolute,to:'2016-09-06 09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23.301300000000001</v>
      </c>
      <c r="Z38" s="69">
        <f t="shared" si="9"/>
        <v>1.54E-2</v>
      </c>
      <c r="AA38" s="69">
        <f t="shared" si="10"/>
        <v>23.285900000000002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0126-06</v>
      </c>
      <c r="AE38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38" s="96" t="str">
        <f t="shared" si="13"/>
        <v>"C:\Program Files (x86)\AstroGrep\AstroGrep.exe" /spath="%USERPROFILE%\AppData\Local\Temp\OnboardLogs" /stypes="*4037*20160906*"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126-06 --locoid 4037 --swversion DE.1.0.7.0 --startMP 204:233013 --initTime 2016-09-06T07:34:26 --startdatetime 2016-09-06T07:41:16 --delay 1 --endMP 204:154 --enddatetime 2016-09-06T08:22:09 --enforcementcount 0 &gt;&gt;C:\Users\stu\Documents\GitHub\eaglep3-reporting\EC\2016-09-06-refined-times.txt</v>
      </c>
      <c r="AI3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{"issue":{"subject":"","project_id":79,"tracker_id":40,"status_id":1,"priority_id":2,"assigned_to_id":23,"start_date":"2016-09-06","description":"","custom_fields":[{"id":1,"name":"Subdivision","value":"EC"},{"id":4,"name":"Milepost","value":"23.2859"},{"id":17,"name":"Train ID","value":"126-06"},{"id":16,"name":"Locomotive ID","value":"4037"},{"id":130,"name":"Impact","value":""},{"id":150,"name":"Time of Event (Mountain Time)","value":"08:22:09"},{"id":151,"name":"Denver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392</v>
      </c>
      <c r="B39" s="7">
        <v>4025</v>
      </c>
      <c r="C39" s="24" t="s">
        <v>112</v>
      </c>
      <c r="D39" s="24" t="s">
        <v>134</v>
      </c>
      <c r="E39" s="15">
        <v>42619.286481481482</v>
      </c>
      <c r="F39" s="15">
        <v>42619.292141203703</v>
      </c>
      <c r="G39" s="7">
        <v>1</v>
      </c>
      <c r="H39" s="15" t="s">
        <v>148</v>
      </c>
      <c r="I39" s="15">
        <v>42619.317002314812</v>
      </c>
      <c r="J39" s="7">
        <v>0</v>
      </c>
      <c r="K39" s="132" t="str">
        <f t="shared" si="0"/>
        <v>4025/4026</v>
      </c>
      <c r="L39" s="24" t="str">
        <f>VLOOKUP(A39,'Trips&amp;Operators'!$C$1:$E$10000,3,FALSE)</f>
        <v>KILLION</v>
      </c>
      <c r="M39" s="6">
        <f t="shared" si="1"/>
        <v>2.4861111109203193E-2</v>
      </c>
      <c r="N39" s="7">
        <f t="shared" si="19"/>
        <v>35.799999997252598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05:52:32-0600',mode:absolute,to:'2016-09-06 08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9" s="54" t="str">
        <f t="shared" si="6"/>
        <v>N</v>
      </c>
      <c r="X39" s="120">
        <f t="shared" si="7"/>
        <v>1</v>
      </c>
      <c r="Y39" s="69">
        <f t="shared" si="8"/>
        <v>4.4900000000000002E-2</v>
      </c>
      <c r="Z39" s="69">
        <f t="shared" si="9"/>
        <v>23.3291</v>
      </c>
      <c r="AA39" s="69">
        <f t="shared" si="10"/>
        <v>23.284200000000002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0127-06</v>
      </c>
      <c r="AE39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39" s="96" t="str">
        <f t="shared" si="13"/>
        <v>"C:\Program Files (x86)\AstroGrep\AstroGrep.exe" /spath="%USERPROFILE%\AppData\Local\Temp\OnboardLogs" /stypes="*4025*20160906*"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127-06 --locoid 4025 --swversion DE.1.0.7.0 --startMP 204:449 --initTime 2016-09-06T06:52:32 --startdatetime 2016-09-06T07:00:41 --delay 1 --endMP 204:233291 --enddatetime 2016-09-06T07:36:29 --enforcementcount 0 &gt;&gt;C:\Users\stu\Documents\GitHub\eaglep3-reporting\EC\2016-09-06-refined-times.txt</v>
      </c>
      <c r="AI3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ID","value":"127-06"},{"id":16,"name":"Locomotive ID","value":"4025"},{"id":130,"name":"Impact","value":""},{"id":150,"name":"Time of Event (Mountain Time)","value":"07:36:29"},{"id":151,"name":"Denver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402</v>
      </c>
      <c r="B40" s="7">
        <v>4026</v>
      </c>
      <c r="C40" s="24" t="s">
        <v>112</v>
      </c>
      <c r="D40" s="24" t="s">
        <v>299</v>
      </c>
      <c r="E40" s="15">
        <v>42619.323888888888</v>
      </c>
      <c r="F40" s="15">
        <v>42619.330775462964</v>
      </c>
      <c r="G40" s="7">
        <v>1</v>
      </c>
      <c r="H40" s="15" t="s">
        <v>146</v>
      </c>
      <c r="I40" s="15">
        <v>42619.359837962962</v>
      </c>
      <c r="J40" s="7">
        <v>0</v>
      </c>
      <c r="K40" s="132" t="str">
        <f t="shared" si="0"/>
        <v>4025/4026</v>
      </c>
      <c r="L40" s="24" t="str">
        <f>VLOOKUP(A40,'Trips&amp;Operators'!$C$1:$E$10000,3,FALSE)</f>
        <v>KILLION</v>
      </c>
      <c r="M40" s="6">
        <f t="shared" si="1"/>
        <v>2.9062499997962732E-2</v>
      </c>
      <c r="N40" s="7">
        <f t="shared" si="19"/>
        <v>41.849999997066334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06:46:24-0600',mode:absolute,to:'2016-09-06 09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23.296099999999999</v>
      </c>
      <c r="Z40" s="69">
        <f t="shared" si="9"/>
        <v>1.5599999999999999E-2</v>
      </c>
      <c r="AA40" s="69">
        <f t="shared" si="10"/>
        <v>23.2805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0128-06</v>
      </c>
      <c r="AE40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40" s="96" t="str">
        <f t="shared" si="13"/>
        <v>"C:\Program Files (x86)\AstroGrep\AstroGrep.exe" /spath="%USERPROFILE%\AppData\Local\Temp\OnboardLogs" /stypes="*4026*20160906*"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128-06 --locoid 4026 --swversion DE.1.0.7.0 --startMP 204:232961 --initTime 2016-09-06T07:46:24 --startdatetime 2016-09-06T07:56:19 --delay 1 --endMP 204:156 --enddatetime 2016-09-06T08:38:10 --enforcementcount 0 &gt;&gt;C:\Users\stu\Documents\GitHub\eaglep3-reporting\EC\2016-09-06-refined-times.txt</v>
      </c>
      <c r="AI4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ID","value":"128-06"},{"id":16,"name":"Locomotive ID","value":"4026"},{"id":130,"name":"Impact","value":""},{"id":150,"name":"Time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395</v>
      </c>
      <c r="B41" s="7">
        <v>4029</v>
      </c>
      <c r="C41" s="24" t="s">
        <v>112</v>
      </c>
      <c r="D41" s="24" t="s">
        <v>214</v>
      </c>
      <c r="E41" s="15">
        <v>42619.300428240742</v>
      </c>
      <c r="F41" s="15">
        <v>42619.302442129629</v>
      </c>
      <c r="G41" s="7">
        <v>2</v>
      </c>
      <c r="H41" s="15" t="s">
        <v>173</v>
      </c>
      <c r="I41" s="15">
        <v>42619.327048611114</v>
      </c>
      <c r="J41" s="7">
        <v>0</v>
      </c>
      <c r="K41" s="132" t="str">
        <f t="shared" si="0"/>
        <v>4029/4030</v>
      </c>
      <c r="L41" s="24" t="str">
        <f>VLOOKUP(A41,'Trips&amp;Operators'!$C$1:$E$10000,3,FALSE)</f>
        <v>ROCHA</v>
      </c>
      <c r="M41" s="6">
        <f t="shared" si="1"/>
        <v>2.4606481485534459E-2</v>
      </c>
      <c r="N41" s="7">
        <f t="shared" si="19"/>
        <v>35.433333339169621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06:12:37-0600',mode:absolute,to:'2016-09-06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4.3799999999999999E-2</v>
      </c>
      <c r="Z41" s="69">
        <f t="shared" si="9"/>
        <v>23.3293</v>
      </c>
      <c r="AA41" s="69">
        <f t="shared" si="10"/>
        <v>23.285499999999999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0129-06</v>
      </c>
      <c r="AE41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41" s="96" t="str">
        <f t="shared" si="13"/>
        <v>"C:\Program Files (x86)\AstroGrep\AstroGrep.exe" /spath="%USERPROFILE%\AppData\Local\Temp\OnboardLogs" /stypes="*4029*20160906*"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129-06 --locoid 4029 --swversion DE.1.0.7.0 --startMP 204:438 --initTime 2016-09-06T07:12:37 --startdatetime 2016-09-06T07:15:31 --delay 2 --endMP 204:233293 --enddatetime 2016-09-06T07:50:57 --enforcementcount 0 &gt;&gt;C:\Users\stu\Documents\GitHub\eaglep3-reporting\EC\2016-09-06-refined-times.txt</v>
      </c>
      <c r="AI4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{"issue":{"subject":"","project_id":79,"tracker_id":40,"status_id":1,"priority_id":2,"assigned_to_id":23,"start_date":"2016-09-06","description":"","custom_fields":[{"id":1,"name":"Subdivision","value":"EC"},{"id":4,"name":"Milepost","value":"23.2855"},{"id":17,"name":"Train ID","value":"129-06"},{"id":16,"name":"Locomotive ID","value":"4029"},{"id":130,"name":"Impact","value":""},{"id":150,"name":"Time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406</v>
      </c>
      <c r="B42" s="7">
        <v>4030</v>
      </c>
      <c r="C42" s="24" t="s">
        <v>112</v>
      </c>
      <c r="D42" s="24" t="s">
        <v>309</v>
      </c>
      <c r="E42" s="15">
        <v>42619.340231481481</v>
      </c>
      <c r="F42" s="15">
        <v>42619.341504629629</v>
      </c>
      <c r="G42" s="7">
        <v>1</v>
      </c>
      <c r="H42" s="15" t="s">
        <v>164</v>
      </c>
      <c r="I42" s="15">
        <v>42619.366932870369</v>
      </c>
      <c r="J42" s="7">
        <v>0</v>
      </c>
      <c r="K42" s="132" t="str">
        <f t="shared" si="0"/>
        <v>4029/4030</v>
      </c>
      <c r="L42" s="24" t="str">
        <f>VLOOKUP(A42,'Trips&amp;Operators'!$C$1:$E$10000,3,FALSE)</f>
        <v>ROCHA</v>
      </c>
      <c r="M42" s="6">
        <f t="shared" si="1"/>
        <v>2.5428240740438923E-2</v>
      </c>
      <c r="N42" s="7">
        <f t="shared" si="19"/>
        <v>36.616666666232049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07:09:56-0600',mode:absolute,to:'2016-09-06 09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23.298300000000001</v>
      </c>
      <c r="Z42" s="69">
        <f t="shared" si="9"/>
        <v>1.52E-2</v>
      </c>
      <c r="AA42" s="69">
        <f t="shared" si="10"/>
        <v>23.283100000000001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0130-06</v>
      </c>
      <c r="AE42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42" s="96" t="str">
        <f t="shared" si="13"/>
        <v>"C:\Program Files (x86)\AstroGrep\AstroGrep.exe" /spath="%USERPROFILE%\AppData\Local\Temp\OnboardLogs" /stypes="*4030*20160906*"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130-06 --locoid 4030 --swversion DE.1.0.7.0 --startMP 204:232983 --initTime 2016-09-06T08:09:56 --startdatetime 2016-09-06T08:11:46 --delay 1 --endMP 204:152 --enddatetime 2016-09-06T08:48:23 --enforcementcount 0 &gt;&gt;C:\Users\stu\Documents\GitHub\eaglep3-reporting\EC\2016-09-06-refined-times.txt</v>
      </c>
      <c r="AI4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{"issue":{"subject":"","project_id":79,"tracker_id":40,"status_id":1,"priority_id":2,"assigned_to_id":23,"start_date":"2016-09-06","description":"","custom_fields":[{"id":1,"name":"Subdivision","value":"EC"},{"id":4,"name":"Milepost","value":"23.2831"},{"id":17,"name":"Train ID","value":"130-06"},{"id":16,"name":"Locomotive ID","value":"4030"},{"id":130,"name":"Impact","value":""},{"id":150,"name":"Time of Event (Mountain Time)","value":"08:48:23"},{"id":151,"name":"Denver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398</v>
      </c>
      <c r="B43" s="7">
        <v>4011</v>
      </c>
      <c r="C43" s="24" t="s">
        <v>112</v>
      </c>
      <c r="D43" s="24" t="s">
        <v>252</v>
      </c>
      <c r="E43" s="15">
        <v>42619.308229166665</v>
      </c>
      <c r="F43" s="15">
        <v>42619.315150462964</v>
      </c>
      <c r="G43" s="7">
        <v>1</v>
      </c>
      <c r="H43" s="15" t="s">
        <v>249</v>
      </c>
      <c r="I43" s="15">
        <v>42619.340219907404</v>
      </c>
      <c r="J43" s="7">
        <v>0</v>
      </c>
      <c r="K43" s="132" t="str">
        <f t="shared" si="0"/>
        <v>4011/4012</v>
      </c>
      <c r="L43" s="24" t="str">
        <f>VLOOKUP(A43,'Trips&amp;Operators'!$C$1:$E$10000,3,FALSE)</f>
        <v>HILLS</v>
      </c>
      <c r="M43" s="6">
        <f t="shared" si="1"/>
        <v>2.5069444440305233E-2</v>
      </c>
      <c r="N43" s="7">
        <f t="shared" si="19"/>
        <v>36.099999994039536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06:23:51-0600',mode:absolute,to:'2016-09-06 09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4.6399999999999997E-2</v>
      </c>
      <c r="Z43" s="69">
        <f t="shared" si="9"/>
        <v>23.331199999999999</v>
      </c>
      <c r="AA43" s="69">
        <f t="shared" si="10"/>
        <v>23.284800000000001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0131-06</v>
      </c>
      <c r="AE43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43" s="96" t="str">
        <f t="shared" si="13"/>
        <v>"C:\Program Files (x86)\AstroGrep\AstroGrep.exe" /spath="%USERPROFILE%\AppData\Local\Temp\OnboardLogs" /stypes="*4011*20160906*"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131-06 --locoid 4011 --swversion DE.1.0.7.0 --startMP 204:464 --initTime 2016-09-06T07:23:51 --startdatetime 2016-09-06T07:33:49 --delay 1 --endMP 204:233312 --enddatetime 2016-09-06T08:09:55 --enforcementcount 0 &gt;&gt;C:\Users\stu\Documents\GitHub\eaglep3-reporting\EC\2016-09-06-refined-times.txt</v>
      </c>
      <c r="AI4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ID","value":"131-06"},{"id":16,"name":"Locomotive ID","value":"4011"},{"id":130,"name":"Impact","value":""},{"id":150,"name":"Time of Event (Mountain Time)","value":"08:09:55"},{"id":151,"name":"Denver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409</v>
      </c>
      <c r="B44" s="7">
        <v>4012</v>
      </c>
      <c r="C44" s="24" t="s">
        <v>112</v>
      </c>
      <c r="D44" s="24" t="s">
        <v>233</v>
      </c>
      <c r="E44" s="15">
        <v>42619.346261574072</v>
      </c>
      <c r="F44" s="15">
        <v>42619.351712962962</v>
      </c>
      <c r="G44" s="7">
        <v>1</v>
      </c>
      <c r="H44" s="15" t="s">
        <v>251</v>
      </c>
      <c r="I44" s="15">
        <v>42619.378287037034</v>
      </c>
      <c r="J44" s="7">
        <v>0</v>
      </c>
      <c r="K44" s="132" t="str">
        <f t="shared" si="0"/>
        <v>4011/4012</v>
      </c>
      <c r="L44" s="24" t="str">
        <f>VLOOKUP(A44,'Trips&amp;Operators'!$C$1:$E$10000,3,FALSE)</f>
        <v>HILLS</v>
      </c>
      <c r="M44" s="6">
        <f t="shared" si="1"/>
        <v>2.6574074072414078E-2</v>
      </c>
      <c r="N44" s="7">
        <f t="shared" si="19"/>
        <v>38.266666664276272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07:18:37-0600',mode:absolute,to:'2016-09-06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44" s="54" t="str">
        <f t="shared" si="6"/>
        <v>N</v>
      </c>
      <c r="X44" s="120">
        <f t="shared" si="7"/>
        <v>1</v>
      </c>
      <c r="Y44" s="69">
        <f t="shared" si="8"/>
        <v>23.299600000000002</v>
      </c>
      <c r="Z44" s="69">
        <f t="shared" si="9"/>
        <v>1.3599999999999999E-2</v>
      </c>
      <c r="AA44" s="69">
        <f t="shared" si="10"/>
        <v>23.286000000000001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0132-06</v>
      </c>
      <c r="AE44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44" s="96" t="str">
        <f t="shared" si="13"/>
        <v>"C:\Program Files (x86)\AstroGrep\AstroGrep.exe" /spath="%USERPROFILE%\AppData\Local\Temp\OnboardLogs" /stypes="*4012*20160906*"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132-06 --locoid 4012 --swversion DE.1.0.7.0 --startMP 204:232996 --initTime 2016-09-06T08:18:37 --startdatetime 2016-09-06T08:26:28 --delay 1 --endMP 204:136 --enddatetime 2016-09-06T09:04:44 --enforcementcount 0 &gt;&gt;C:\Users\stu\Documents\GitHub\eaglep3-reporting\EC\2016-09-06-refined-times.txt</v>
      </c>
      <c r="AI4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{"issue":{"subject":"","project_id":79,"tracker_id":40,"status_id":1,"priority_id":2,"assigned_to_id":23,"start_date":"2016-09-06","description":"","custom_fields":[{"id":1,"name":"Subdivision","value":"EC"},{"id":4,"name":"Milepost","value":"23.286"},{"id":17,"name":"Train ID","value":"132-06"},{"id":16,"name":"Locomotive ID","value":"4012"},{"id":130,"name":"Impact","value":""},{"id":150,"name":"Time of Event (Mountain Time)","value":"09:04:44"},{"id":151,"name":"Denver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401</v>
      </c>
      <c r="B45" s="7">
        <v>4002</v>
      </c>
      <c r="C45" s="24" t="s">
        <v>112</v>
      </c>
      <c r="D45" s="24" t="s">
        <v>228</v>
      </c>
      <c r="E45" s="15">
        <v>42619.319282407407</v>
      </c>
      <c r="F45" s="15">
        <v>42619.323078703703</v>
      </c>
      <c r="G45" s="7">
        <v>1</v>
      </c>
      <c r="H45" s="15" t="s">
        <v>236</v>
      </c>
      <c r="I45" s="15">
        <v>42619.348032407404</v>
      </c>
      <c r="J45" s="7">
        <v>0</v>
      </c>
      <c r="K45" s="132" t="str">
        <f t="shared" si="0"/>
        <v>4001/4002</v>
      </c>
      <c r="L45" s="24" t="str">
        <f>VLOOKUP(A45,'Trips&amp;Operators'!$C$1:$E$10000,3,FALSE)</f>
        <v>BRANNON</v>
      </c>
      <c r="M45" s="6">
        <f t="shared" si="1"/>
        <v>2.495370370161254E-2</v>
      </c>
      <c r="N45" s="7">
        <f t="shared" si="19"/>
        <v>35.933333330322057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06:39:46-0600',mode:absolute,to:'2016-09-06 09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5" s="54" t="str">
        <f t="shared" si="6"/>
        <v>N</v>
      </c>
      <c r="X45" s="120">
        <f t="shared" si="7"/>
        <v>1</v>
      </c>
      <c r="Y45" s="69">
        <f t="shared" si="8"/>
        <v>4.4200000000000003E-2</v>
      </c>
      <c r="Z45" s="69">
        <f t="shared" si="9"/>
        <v>23.330200000000001</v>
      </c>
      <c r="AA45" s="69">
        <f t="shared" si="10"/>
        <v>23.286000000000001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0133-06</v>
      </c>
      <c r="AE45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45" s="96" t="str">
        <f t="shared" si="13"/>
        <v>"C:\Program Files (x86)\AstroGrep\AstroGrep.exe" /spath="%USERPROFILE%\AppData\Local\Temp\OnboardLogs" /stypes="*4002*20160906*"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133-06 --locoid 4002 --swversion DE.1.0.7.0 --startMP 204:442 --initTime 2016-09-06T07:39:46 --startdatetime 2016-09-06T07:45:14 --delay 1 --endMP 204:233302 --enddatetime 2016-09-06T08:21:10 --enforcementcount 0 &gt;&gt;C:\Users\stu\Documents\GitHub\eaglep3-reporting\EC\2016-09-06-refined-times.txt</v>
      </c>
      <c r="AI4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{"issue":{"subject":"","project_id":79,"tracker_id":40,"status_id":1,"priority_id":2,"assigned_to_id":23,"start_date":"2016-09-06","description":"","custom_fields":[{"id":1,"name":"Subdivision","value":"EC"},{"id":4,"name":"Milepost","value":"23.286"},{"id":17,"name":"Train ID","value":"133-06"},{"id":16,"name":"Locomotive ID","value":"4002"},{"id":130,"name":"Impact","value":""},{"id":150,"name":"Time of Event (Mountain Time)","value":"08:21:10"},{"id":151,"name":"Denver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412</v>
      </c>
      <c r="B46" s="7">
        <v>4001</v>
      </c>
      <c r="C46" s="24" t="s">
        <v>112</v>
      </c>
      <c r="D46" s="24" t="s">
        <v>254</v>
      </c>
      <c r="E46" s="15">
        <v>42619.359189814815</v>
      </c>
      <c r="F46" s="15">
        <v>42619.361967592595</v>
      </c>
      <c r="G46" s="7">
        <v>1</v>
      </c>
      <c r="H46" s="15" t="s">
        <v>604</v>
      </c>
      <c r="I46" s="15">
        <v>42619.387766203705</v>
      </c>
      <c r="J46" s="7">
        <v>0</v>
      </c>
      <c r="K46" s="132" t="str">
        <f t="shared" si="0"/>
        <v>4001/4002</v>
      </c>
      <c r="L46" s="24" t="str">
        <f>VLOOKUP(A46,'Trips&amp;Operators'!$C$1:$E$10000,3,FALSE)</f>
        <v>BRANNON</v>
      </c>
      <c r="M46" s="6">
        <f t="shared" si="1"/>
        <v>2.5798611110076308E-2</v>
      </c>
      <c r="N46" s="7">
        <f t="shared" si="19"/>
        <v>37.149999998509884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07:37:14-0600',mode:absolute,to:'2016-09-06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6" s="54" t="str">
        <f t="shared" si="6"/>
        <v>N</v>
      </c>
      <c r="X46" s="120">
        <f t="shared" si="7"/>
        <v>1</v>
      </c>
      <c r="Y46" s="69">
        <f t="shared" si="8"/>
        <v>23.3</v>
      </c>
      <c r="Z46" s="69">
        <f t="shared" si="9"/>
        <v>1.89E-2</v>
      </c>
      <c r="AA46" s="69">
        <f t="shared" si="10"/>
        <v>23.281100000000002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0134-06</v>
      </c>
      <c r="AE46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46" s="96" t="str">
        <f t="shared" si="13"/>
        <v>"C:\Program Files (x86)\AstroGrep\AstroGrep.exe" /spath="%USERPROFILE%\AppData\Local\Temp\OnboardLogs" /stypes="*4001*20160906*"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134-06 --locoid 4001 --swversion DE.1.0.7.0 --startMP 204:233000 --initTime 2016-09-06T08:37:14 --startdatetime 2016-09-06T08:41:14 --delay 1 --endMP 204:189 --enddatetime 2016-09-06T09:18:23 --enforcementcount 0 &gt;&gt;C:\Users\stu\Documents\GitHub\eaglep3-reporting\EC\2016-09-06-refined-times.txt</v>
      </c>
      <c r="AI4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{"issue":{"subject":"","project_id":79,"tracker_id":40,"status_id":1,"priority_id":2,"assigned_to_id":23,"start_date":"2016-09-06","description":"","custom_fields":[{"id":1,"name":"Subdivision","value":"EC"},{"id":4,"name":"Milepost","value":"23.2811"},{"id":17,"name":"Train ID","value":"134-06"},{"id":16,"name":"Locomotive ID","value":"4001"},{"id":130,"name":"Impact","value":""},{"id":150,"name":"Time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404</v>
      </c>
      <c r="B47" s="7">
        <v>4014</v>
      </c>
      <c r="C47" s="24" t="s">
        <v>112</v>
      </c>
      <c r="D47" s="24" t="s">
        <v>132</v>
      </c>
      <c r="E47" s="15">
        <v>42619.329895833333</v>
      </c>
      <c r="F47" s="15">
        <v>42619.333506944444</v>
      </c>
      <c r="G47" s="7">
        <v>1</v>
      </c>
      <c r="H47" s="15" t="s">
        <v>605</v>
      </c>
      <c r="I47" s="15">
        <v>42619.358414351853</v>
      </c>
      <c r="J47" s="7">
        <v>0</v>
      </c>
      <c r="K47" s="132" t="str">
        <f t="shared" si="0"/>
        <v>4013/4014</v>
      </c>
      <c r="L47" s="24" t="str">
        <f>VLOOKUP(A47,'Trips&amp;Operators'!$C$1:$E$10000,3,FALSE)</f>
        <v>SPECTOR</v>
      </c>
      <c r="M47" s="6">
        <f t="shared" si="1"/>
        <v>2.4907407409045845E-2</v>
      </c>
      <c r="N47" s="7">
        <f t="shared" si="19"/>
        <v>35.866666669026017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06:55:03-0600',mode:absolute,to:'2016-09-06 09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6"/>
        <v>N</v>
      </c>
      <c r="X47" s="120">
        <f t="shared" si="7"/>
        <v>1</v>
      </c>
      <c r="Y47" s="69">
        <f t="shared" si="8"/>
        <v>4.53E-2</v>
      </c>
      <c r="Z47" s="69">
        <f t="shared" si="9"/>
        <v>23.331800000000001</v>
      </c>
      <c r="AA47" s="69">
        <f t="shared" si="10"/>
        <v>23.2865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0135-06</v>
      </c>
      <c r="AE47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47" s="96" t="str">
        <f t="shared" si="13"/>
        <v>"C:\Program Files (x86)\AstroGrep\AstroGrep.exe" /spath="%USERPROFILE%\AppData\Local\Temp\OnboardLogs" /stypes="*4014*20160906*"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135-06 --locoid 4014 --swversion DE.1.0.7.0 --startMP 204:453 --initTime 2016-09-06T07:55:03 --startdatetime 2016-09-06T08:00:15 --delay 1 --endMP 204:233318 --enddatetime 2016-09-06T08:36:07 --enforcementcount 0 &gt;&gt;C:\Users\stu\Documents\GitHub\eaglep3-reporting\EC\2016-09-06-refined-times.txt</v>
      </c>
      <c r="AI4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{"issue":{"subject":"","project_id":79,"tracker_id":40,"status_id":1,"priority_id":2,"assigned_to_id":23,"start_date":"2016-09-06","description":"","custom_fields":[{"id":1,"name":"Subdivision","value":"EC"},{"id":4,"name":"Milepost","value":"23.2865"},{"id":17,"name":"Train ID","value":"135-06"},{"id":16,"name":"Locomotive ID","value":"4014"},{"id":130,"name":"Impact","value":""},{"id":150,"name":"Time of Event (Mountain Time)","value":"08:36:07"},{"id":151,"name":"Denver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414</v>
      </c>
      <c r="B48" s="7">
        <v>4013</v>
      </c>
      <c r="C48" s="24" t="s">
        <v>112</v>
      </c>
      <c r="D48" s="24" t="s">
        <v>304</v>
      </c>
      <c r="E48" s="15">
        <v>42619.366481481484</v>
      </c>
      <c r="F48" s="15">
        <v>42619.37290509259</v>
      </c>
      <c r="G48" s="7">
        <v>2</v>
      </c>
      <c r="H48" s="15" t="s">
        <v>606</v>
      </c>
      <c r="I48" s="15">
        <v>42619.40011574074</v>
      </c>
      <c r="J48" s="7">
        <v>0</v>
      </c>
      <c r="K48" s="132" t="str">
        <f t="shared" si="0"/>
        <v>4013/4014</v>
      </c>
      <c r="L48" s="24" t="str">
        <f>VLOOKUP(A48,'Trips&amp;Operators'!$C$1:$E$10000,3,FALSE)</f>
        <v>SPECTOR</v>
      </c>
      <c r="M48" s="6">
        <f t="shared" si="1"/>
        <v>2.7210648149775807E-2</v>
      </c>
      <c r="N48" s="7">
        <f t="shared" si="19"/>
        <v>39.183333335677162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07:47:44-0600',mode:absolute,to:'2016-09-06 10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6"/>
        <v>N</v>
      </c>
      <c r="X48" s="120">
        <f t="shared" si="7"/>
        <v>1</v>
      </c>
      <c r="Y48" s="69">
        <f t="shared" si="8"/>
        <v>23.3001</v>
      </c>
      <c r="Z48" s="69">
        <f t="shared" si="9"/>
        <v>0.19420000000000001</v>
      </c>
      <c r="AA48" s="69">
        <f t="shared" si="10"/>
        <v>23.105900000000002</v>
      </c>
      <c r="AB48" s="66" t="str">
        <f>VLOOKUP(A48,Enforcements!$C$7:$K$21,8,0)</f>
        <v>Speed (6)</v>
      </c>
      <c r="AC48" s="62" t="str">
        <f>VLOOKUP(A48,Enforcements!$C$7:$E$21,3,0)</f>
        <v>PERMANENT SPEED RESTRICTION</v>
      </c>
      <c r="AD48" s="63" t="str">
        <f t="shared" si="11"/>
        <v>0136-06</v>
      </c>
      <c r="AE48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48" s="96" t="str">
        <f t="shared" si="13"/>
        <v>"C:\Program Files (x86)\AstroGrep\AstroGrep.exe" /spath="%USERPROFILE%\AppData\Local\Temp\OnboardLogs" /stypes="*4013*20160906*"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136-06 --locoid 4013 --swversion DE.1.0.7.0 --startMP 204:233001 --initTime 2016-09-06T08:47:44 --startdatetime 2016-09-06T08:56:59 --delay 2 --endMP 204:1942 --enddatetime 2016-09-06T09:36:10 --enforcementcount 0 &gt;&gt;C:\Users\stu\Documents\GitHub\eaglep3-reporting\EC\2016-09-06-refined-times.txt</v>
      </c>
      <c r="AI4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{"issue":{"subject":"","project_id":79,"tracker_id":40,"status_id":1,"priority_id":2,"assigned_to_id":23,"start_date":"2016-09-06","description":"","custom_fields":[{"id":1,"name":"Subdivision","value":"EC"},{"id":4,"name":"Milepost","value":"23.1059"},{"id":17,"name":"Train ID","value":"136-06"},{"id":16,"name":"Locomotive ID","value":"4013"},{"id":130,"name":"Impact","value":""},{"id":150,"name":"Time of Event (Mountain Time)","value":"09:36:10"},{"id":151,"name":"Denver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407</v>
      </c>
      <c r="B49" s="7">
        <v>4027</v>
      </c>
      <c r="C49" s="24" t="s">
        <v>112</v>
      </c>
      <c r="D49" s="24" t="s">
        <v>252</v>
      </c>
      <c r="E49" s="15">
        <v>42619.341145833336</v>
      </c>
      <c r="F49" s="15">
        <v>42619.343900462962</v>
      </c>
      <c r="G49" s="7">
        <v>1</v>
      </c>
      <c r="H49" s="15" t="s">
        <v>241</v>
      </c>
      <c r="I49" s="15">
        <v>42619.369143518517</v>
      </c>
      <c r="J49" s="7">
        <v>0</v>
      </c>
      <c r="K49" s="132" t="str">
        <f t="shared" si="0"/>
        <v>4027/4028</v>
      </c>
      <c r="L49" s="24" t="str">
        <f>VLOOKUP(A49,'Trips&amp;Operators'!$C$1:$E$10000,3,FALSE)</f>
        <v>DAVIS</v>
      </c>
      <c r="M49" s="6">
        <f t="shared" si="1"/>
        <v>2.5243055555620231E-2</v>
      </c>
      <c r="N49" s="7">
        <f t="shared" si="19"/>
        <v>36.350000000093132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07:11:15-0600',mode:absolute,to:'2016-09-06 09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9" s="54" t="str">
        <f t="shared" si="6"/>
        <v>N</v>
      </c>
      <c r="X49" s="120">
        <f t="shared" si="7"/>
        <v>1</v>
      </c>
      <c r="Y49" s="69">
        <f t="shared" si="8"/>
        <v>4.6399999999999997E-2</v>
      </c>
      <c r="Z49" s="69">
        <f t="shared" si="9"/>
        <v>23.330400000000001</v>
      </c>
      <c r="AA49" s="69">
        <f t="shared" si="10"/>
        <v>23.284000000000002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0137-06</v>
      </c>
      <c r="AE49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49" s="96" t="str">
        <f t="shared" si="13"/>
        <v>"C:\Program Files (x86)\AstroGrep\AstroGrep.exe" /spath="%USERPROFILE%\AppData\Local\Temp\OnboardLogs" /stypes="*4027*20160906*"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137-06 --locoid 4027 --swversion DE.1.0.7.0 --startMP 204:464 --initTime 2016-09-06T08:11:15 --startdatetime 2016-09-06T08:15:13 --delay 1 --endMP 204:233304 --enddatetime 2016-09-06T08:51:34 --enforcementcount 0 &gt;&gt;C:\Users\stu\Documents\GitHub\eaglep3-reporting\EC\2016-09-06-refined-times.txt</v>
      </c>
      <c r="AI4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ID","value":"137-06"},{"id":16,"name":"Locomotive ID","value":"4027"},{"id":130,"name":"Impact","value":""},{"id":150,"name":"Time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417</v>
      </c>
      <c r="B50" s="7">
        <v>4028</v>
      </c>
      <c r="C50" s="24" t="s">
        <v>112</v>
      </c>
      <c r="D50" s="24" t="s">
        <v>254</v>
      </c>
      <c r="E50" s="15">
        <v>42619.380543981482</v>
      </c>
      <c r="F50" s="15">
        <v>42619.382789351854</v>
      </c>
      <c r="G50" s="7">
        <v>1</v>
      </c>
      <c r="H50" s="15" t="s">
        <v>172</v>
      </c>
      <c r="I50" s="15">
        <v>42619.410011574073</v>
      </c>
      <c r="J50" s="7">
        <v>0</v>
      </c>
      <c r="K50" s="132" t="str">
        <f t="shared" si="0"/>
        <v>4027/4028</v>
      </c>
      <c r="L50" s="24" t="str">
        <f>VLOOKUP(A50,'Trips&amp;Operators'!$C$1:$E$10000,3,FALSE)</f>
        <v>DAVIS</v>
      </c>
      <c r="M50" s="6">
        <f t="shared" si="1"/>
        <v>2.7222222219279502E-2</v>
      </c>
      <c r="N50" s="7">
        <f t="shared" si="19"/>
        <v>39.199999995762482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08:07:59-0600',mode:absolute,to:'2016-09-06 10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0" s="54" t="str">
        <f t="shared" si="6"/>
        <v>N</v>
      </c>
      <c r="X50" s="120">
        <f t="shared" si="7"/>
        <v>1</v>
      </c>
      <c r="Y50" s="69">
        <f t="shared" si="8"/>
        <v>23.3</v>
      </c>
      <c r="Z50" s="69">
        <f t="shared" si="9"/>
        <v>1.6E-2</v>
      </c>
      <c r="AA50" s="69">
        <f t="shared" si="10"/>
        <v>23.284000000000002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0138-06</v>
      </c>
      <c r="AE50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50" s="96" t="str">
        <f t="shared" si="13"/>
        <v>"C:\Program Files (x86)\AstroGrep\AstroGrep.exe" /spath="%USERPROFILE%\AppData\Local\Temp\OnboardLogs" /stypes="*4028*20160906*"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138-06 --locoid 4028 --swversion DE.1.0.7.0 --startMP 204:233000 --initTime 2016-09-06T09:07:59 --startdatetime 2016-09-06T09:11:13 --delay 1 --endMP 204:160 --enddatetime 2016-09-06T09:50:25 --enforcementcount 0 &gt;&gt;C:\Users\stu\Documents\GitHub\eaglep3-reporting\EC\2016-09-06-refined-times.txt</v>
      </c>
      <c r="AI5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ID","value":"138-06"},{"id":16,"name":"Locomotive ID","value":"4028"},{"id":130,"name":"Impact","value":""},{"id":150,"name":"Time of Event (Mountain Time)","value":"09:50:25"},{"id":151,"name":"Denver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410</v>
      </c>
      <c r="B51" s="7">
        <v>4038</v>
      </c>
      <c r="C51" s="24" t="s">
        <v>112</v>
      </c>
      <c r="D51" s="24" t="s">
        <v>174</v>
      </c>
      <c r="E51" s="15">
        <v>42619.351666666669</v>
      </c>
      <c r="F51" s="15">
        <v>42619.354837962965</v>
      </c>
      <c r="G51" s="7">
        <v>1</v>
      </c>
      <c r="H51" s="15" t="s">
        <v>581</v>
      </c>
      <c r="I51" s="15">
        <v>42619.379224537035</v>
      </c>
      <c r="J51" s="7">
        <v>0</v>
      </c>
      <c r="K51" s="132" t="str">
        <f t="shared" si="0"/>
        <v>4037/4038</v>
      </c>
      <c r="L51" s="24" t="str">
        <f>VLOOKUP(A51,'Trips&amp;Operators'!$C$1:$E$10000,3,FALSE)</f>
        <v>GEBRETEKLE</v>
      </c>
      <c r="M51" s="6">
        <f t="shared" si="1"/>
        <v>2.438657407037681E-2</v>
      </c>
      <c r="N51" s="7">
        <f t="shared" si="19"/>
        <v>35.116666661342606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07:26:24-0600',mode:absolute,to:'2016-09-06 10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1" s="54" t="str">
        <f t="shared" si="6"/>
        <v>N</v>
      </c>
      <c r="X51" s="120">
        <f t="shared" si="7"/>
        <v>1</v>
      </c>
      <c r="Y51" s="69">
        <f t="shared" si="8"/>
        <v>4.5999999999999999E-2</v>
      </c>
      <c r="Z51" s="69">
        <f t="shared" si="9"/>
        <v>23.328800000000001</v>
      </c>
      <c r="AA51" s="69">
        <f t="shared" si="10"/>
        <v>23.282800000000002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0139-06</v>
      </c>
      <c r="AE51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51" s="96" t="str">
        <f t="shared" si="13"/>
        <v>"C:\Program Files (x86)\AstroGrep\AstroGrep.exe" /spath="%USERPROFILE%\AppData\Local\Temp\OnboardLogs" /stypes="*4038*20160906*"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139-06 --locoid 4038 --swversion DE.1.0.7.0 --startMP 204:460 --initTime 2016-09-06T08:26:24 --startdatetime 2016-09-06T08:30:58 --delay 1 --endMP 204:233288 --enddatetime 2016-09-06T09:06:05 --enforcementcount 0 &gt;&gt;C:\Users\stu\Documents\GitHub\eaglep3-reporting\EC\2016-09-06-refined-times.txt</v>
      </c>
      <c r="AI5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ID","value":"139-06"},{"id":16,"name":"Locomotive ID","value":"4038"},{"id":130,"name":"Impact","value":""},{"id":150,"name":"Time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419</v>
      </c>
      <c r="B52" s="7">
        <v>4037</v>
      </c>
      <c r="C52" s="24" t="s">
        <v>112</v>
      </c>
      <c r="D52" s="24" t="s">
        <v>213</v>
      </c>
      <c r="E52" s="15">
        <v>42619.38894675926</v>
      </c>
      <c r="F52" s="15">
        <v>42619.393217592595</v>
      </c>
      <c r="G52" s="7">
        <v>1</v>
      </c>
      <c r="H52" s="15" t="s">
        <v>146</v>
      </c>
      <c r="I52" s="15">
        <v>42619.419583333336</v>
      </c>
      <c r="J52" s="7">
        <v>0</v>
      </c>
      <c r="K52" s="132" t="str">
        <f t="shared" si="0"/>
        <v>4037/4038</v>
      </c>
      <c r="L52" s="24" t="str">
        <f>VLOOKUP(A52,'Trips&amp;Operators'!$C$1:$E$10000,3,FALSE)</f>
        <v>GEBRETEKLE</v>
      </c>
      <c r="M52" s="6">
        <f t="shared" si="1"/>
        <v>2.6365740741312038E-2</v>
      </c>
      <c r="N52" s="7">
        <f t="shared" si="19"/>
        <v>37.966666667489335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08:20:05-0600',mode:absolute,to:'2016-09-06 11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2" s="54" t="str">
        <f t="shared" si="6"/>
        <v>N</v>
      </c>
      <c r="X52" s="120">
        <f t="shared" si="7"/>
        <v>1</v>
      </c>
      <c r="Y52" s="69">
        <f t="shared" si="8"/>
        <v>23.297699999999999</v>
      </c>
      <c r="Z52" s="69">
        <f t="shared" si="9"/>
        <v>1.5599999999999999E-2</v>
      </c>
      <c r="AA52" s="69">
        <f t="shared" si="10"/>
        <v>23.2821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0140-06</v>
      </c>
      <c r="AE52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52" s="96" t="str">
        <f t="shared" si="13"/>
        <v>"C:\Program Files (x86)\AstroGrep\AstroGrep.exe" /spath="%USERPROFILE%\AppData\Local\Temp\OnboardLogs" /stypes="*4037*20160906*"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140-06 --locoid 4037 --swversion DE.1.0.7.0 --startMP 204:232977 --initTime 2016-09-06T09:20:05 --startdatetime 2016-09-06T09:26:14 --delay 1 --endMP 204:156 --enddatetime 2016-09-06T10:04:12 --enforcementcount 0 &gt;&gt;C:\Users\stu\Documents\GitHub\eaglep3-reporting\EC\2016-09-06-refined-times.txt</v>
      </c>
      <c r="AI5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{"issue":{"subject":"","project_id":79,"tracker_id":40,"status_id":1,"priority_id":2,"assigned_to_id":23,"start_date":"2016-09-06","description":"","custom_fields":[{"id":1,"name":"Subdivision","value":"EC"},{"id":4,"name":"Milepost","value":"23.2821"},{"id":17,"name":"Train ID","value":"140-06"},{"id":16,"name":"Locomotive ID","value":"4037"},{"id":130,"name":"Impact","value":""},{"id":150,"name":"Time of Event (Mountain Time)","value":"10:04:12"},{"id":151,"name":"Denver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413</v>
      </c>
      <c r="B53" s="7">
        <v>4025</v>
      </c>
      <c r="C53" s="24" t="s">
        <v>112</v>
      </c>
      <c r="D53" s="24" t="s">
        <v>282</v>
      </c>
      <c r="E53" s="15">
        <v>42619.36383101852</v>
      </c>
      <c r="F53" s="15">
        <v>42619.365601851852</v>
      </c>
      <c r="G53" s="7">
        <v>1</v>
      </c>
      <c r="H53" s="15" t="s">
        <v>285</v>
      </c>
      <c r="I53" s="15">
        <v>42619.389872685184</v>
      </c>
      <c r="J53" s="7">
        <v>0</v>
      </c>
      <c r="K53" s="132" t="str">
        <f t="shared" si="0"/>
        <v>4025/4026</v>
      </c>
      <c r="L53" s="24" t="str">
        <f>VLOOKUP(A53,'Trips&amp;Operators'!$C$1:$E$10000,3,FALSE)</f>
        <v>KILLION</v>
      </c>
      <c r="M53" s="6">
        <f t="shared" si="1"/>
        <v>2.4270833331684116E-2</v>
      </c>
      <c r="N53" s="7">
        <f t="shared" si="19"/>
        <v>34.949999997625127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07:43:55-0600',mode:absolute,to:'2016-09-06 10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3" s="54" t="str">
        <f t="shared" si="6"/>
        <v>N</v>
      </c>
      <c r="X53" s="120">
        <f t="shared" si="7"/>
        <v>1</v>
      </c>
      <c r="Y53" s="69">
        <f t="shared" si="8"/>
        <v>4.6199999999999998E-2</v>
      </c>
      <c r="Z53" s="69">
        <f t="shared" si="9"/>
        <v>23.327400000000001</v>
      </c>
      <c r="AA53" s="69">
        <f t="shared" si="10"/>
        <v>23.281200000000002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0141-06</v>
      </c>
      <c r="AE53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53" s="96" t="str">
        <f t="shared" si="13"/>
        <v>"C:\Program Files (x86)\AstroGrep\AstroGrep.exe" /spath="%USERPROFILE%\AppData\Local\Temp\OnboardLogs" /stypes="*4025*20160906*"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141-06 --locoid 4025 --swversion DE.1.0.7.0 --startMP 204:462 --initTime 2016-09-06T08:43:55 --startdatetime 2016-09-06T08:46:28 --delay 1 --endMP 204:233274 --enddatetime 2016-09-06T09:21:25 --enforcementcount 0 &gt;&gt;C:\Users\stu\Documents\GitHub\eaglep3-reporting\EC\2016-09-06-refined-times.txt</v>
      </c>
      <c r="AI5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{"issue":{"subject":"","project_id":79,"tracker_id":40,"status_id":1,"priority_id":2,"assigned_to_id":23,"start_date":"2016-09-06","description":"","custom_fields":[{"id":1,"name":"Subdivision","value":"EC"},{"id":4,"name":"Milepost","value":"23.2812"},{"id":17,"name":"Train ID","value":"141-06"},{"id":16,"name":"Locomotive ID","value":"4025"},{"id":130,"name":"Impact","value":""},{"id":150,"name":"Time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421</v>
      </c>
      <c r="B54" s="7">
        <v>4026</v>
      </c>
      <c r="C54" s="24" t="s">
        <v>112</v>
      </c>
      <c r="D54" s="24" t="s">
        <v>281</v>
      </c>
      <c r="E54" s="15">
        <v>42619.39638888889</v>
      </c>
      <c r="F54" s="15">
        <v>42619.403726851851</v>
      </c>
      <c r="G54" s="7">
        <v>1</v>
      </c>
      <c r="H54" s="15" t="s">
        <v>607</v>
      </c>
      <c r="I54" s="15">
        <v>42619.430462962962</v>
      </c>
      <c r="J54" s="7">
        <v>0</v>
      </c>
      <c r="K54" s="132" t="str">
        <f t="shared" si="0"/>
        <v>4025/4026</v>
      </c>
      <c r="L54" s="24" t="str">
        <f>VLOOKUP(A54,'Trips&amp;Operators'!$C$1:$E$10000,3,FALSE)</f>
        <v>KILLION</v>
      </c>
      <c r="M54" s="6">
        <f t="shared" si="1"/>
        <v>2.6736111110949423E-2</v>
      </c>
      <c r="N54" s="7">
        <f t="shared" si="19"/>
        <v>38.499999999767169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08:30:48-0600',mode:absolute,to:'2016-09-06 11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54" s="54" t="str">
        <f t="shared" si="6"/>
        <v>N</v>
      </c>
      <c r="X54" s="120">
        <f t="shared" si="7"/>
        <v>1</v>
      </c>
      <c r="Y54" s="69">
        <f t="shared" si="8"/>
        <v>23.297899999999998</v>
      </c>
      <c r="Z54" s="69">
        <f t="shared" si="9"/>
        <v>1.7399999999999999E-2</v>
      </c>
      <c r="AA54" s="69">
        <f t="shared" si="10"/>
        <v>23.2805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0142-06</v>
      </c>
      <c r="AE54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54" s="96" t="str">
        <f t="shared" si="13"/>
        <v>"C:\Program Files (x86)\AstroGrep\AstroGrep.exe" /spath="%USERPROFILE%\AppData\Local\Temp\OnboardLogs" /stypes="*4026*20160906*"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142-06 --locoid 4026 --swversion DE.1.0.7.0 --startMP 204:232979 --initTime 2016-09-06T09:30:48 --startdatetime 2016-09-06T09:41:22 --delay 1 --endMP 204:174 --enddatetime 2016-09-06T10:19:52 --enforcementcount 0 &gt;&gt;C:\Users\stu\Documents\GitHub\eaglep3-reporting\EC\2016-09-06-refined-times.txt</v>
      </c>
      <c r="AI5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ID","value":"142-06"},{"id":16,"name":"Locomotive ID","value":"4026"},{"id":130,"name":"Impact","value":""},{"id":150,"name":"Time of Event (Mountain Time)","value":"10:19:52"},{"id":151,"name":"Denver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415</v>
      </c>
      <c r="B55" s="7">
        <v>4029</v>
      </c>
      <c r="C55" s="24" t="s">
        <v>112</v>
      </c>
      <c r="D55" s="24" t="s">
        <v>252</v>
      </c>
      <c r="E55" s="15">
        <v>42619.373761574076</v>
      </c>
      <c r="F55" s="15">
        <v>42619.376331018517</v>
      </c>
      <c r="G55" s="7">
        <v>1</v>
      </c>
      <c r="H55" s="15" t="s">
        <v>247</v>
      </c>
      <c r="I55" s="15">
        <v>42619.399768518517</v>
      </c>
      <c r="J55" s="7">
        <v>0</v>
      </c>
      <c r="K55" s="132" t="str">
        <f t="shared" si="0"/>
        <v>4029/4030</v>
      </c>
      <c r="L55" s="24" t="str">
        <f>VLOOKUP(A55,'Trips&amp;Operators'!$C$1:$E$10000,3,FALSE)</f>
        <v>ROCHA</v>
      </c>
      <c r="M55" s="6">
        <f t="shared" si="1"/>
        <v>2.34375E-2</v>
      </c>
      <c r="N55" s="7">
        <f t="shared" si="19"/>
        <v>33.75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07:58:13-0600',mode:absolute,to:'2016-09-06 10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55" s="54" t="str">
        <f t="shared" si="6"/>
        <v>N</v>
      </c>
      <c r="X55" s="120">
        <f t="shared" si="7"/>
        <v>1</v>
      </c>
      <c r="Y55" s="69">
        <f t="shared" si="8"/>
        <v>4.6399999999999997E-2</v>
      </c>
      <c r="Z55" s="69">
        <f t="shared" si="9"/>
        <v>23.327999999999999</v>
      </c>
      <c r="AA55" s="69">
        <f t="shared" si="10"/>
        <v>23.281600000000001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0143-06</v>
      </c>
      <c r="AE55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55" s="96" t="str">
        <f t="shared" si="13"/>
        <v>"C:\Program Files (x86)\AstroGrep\AstroGrep.exe" /spath="%USERPROFILE%\AppData\Local\Temp\OnboardLogs" /stypes="*4029*20160906*"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143-06 --locoid 4029 --swversion DE.1.0.7.0 --startMP 204:464 --initTime 2016-09-06T08:58:13 --startdatetime 2016-09-06T09:01:55 --delay 1 --endMP 204:233280 --enddatetime 2016-09-06T09:35:40 --enforcementcount 0 &gt;&gt;C:\Users\stu\Documents\GitHub\eaglep3-reporting\EC\2016-09-06-refined-times.txt</v>
      </c>
      <c r="AI5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ID","value":"143-06"},{"id":16,"name":"Locomotive ID","value":"4029"},{"id":130,"name":"Impact","value":""},{"id":150,"name":"Time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424</v>
      </c>
      <c r="B56" s="7">
        <v>4030</v>
      </c>
      <c r="C56" s="24" t="s">
        <v>112</v>
      </c>
      <c r="D56" s="24" t="s">
        <v>608</v>
      </c>
      <c r="E56" s="15">
        <v>42619.41851851852</v>
      </c>
      <c r="F56" s="15">
        <v>42619.420277777775</v>
      </c>
      <c r="G56" s="7">
        <v>1</v>
      </c>
      <c r="H56" s="15" t="s">
        <v>164</v>
      </c>
      <c r="I56" s="15">
        <v>42619.442650462966</v>
      </c>
      <c r="J56" s="7">
        <v>0</v>
      </c>
      <c r="K56" s="132" t="str">
        <f t="shared" si="0"/>
        <v>4029/4030</v>
      </c>
      <c r="L56" s="24" t="str">
        <f>VLOOKUP(A56,'Trips&amp;Operators'!$C$1:$E$10000,3,FALSE)</f>
        <v>ROCHA</v>
      </c>
      <c r="M56" s="6">
        <f t="shared" si="1"/>
        <v>2.2372685190930497E-2</v>
      </c>
      <c r="N56" s="7"/>
      <c r="O56" s="7"/>
      <c r="P56" s="7">
        <f>24*60*SUM($M56:$M56)</f>
        <v>32.216666674939916</v>
      </c>
      <c r="Q56" s="25"/>
      <c r="R56" s="25" t="s">
        <v>357</v>
      </c>
      <c r="S56" s="37">
        <f t="shared" si="3"/>
        <v>1</v>
      </c>
      <c r="T56" s="52" t="str">
        <f t="shared" si="4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09:02:40-0600',mode:absolute,to:'2016-09-06 11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56" s="54" t="str">
        <f t="shared" si="6"/>
        <v>Y</v>
      </c>
      <c r="X56" s="120">
        <f t="shared" ref="X56:X62" si="20">VALUE(LEFT(AD56,4))-VALUE(LEFT(AD55,4))</f>
        <v>1</v>
      </c>
      <c r="Y56" s="69">
        <f t="shared" si="8"/>
        <v>19.448</v>
      </c>
      <c r="Z56" s="69">
        <f t="shared" si="9"/>
        <v>1.52E-2</v>
      </c>
      <c r="AA56" s="69">
        <f t="shared" si="10"/>
        <v>19.4328</v>
      </c>
      <c r="AB56" s="66" t="str">
        <f>VLOOKUP(A56,Enforcements!$C$7:$K$21,8,0)</f>
        <v>Bulletin (2)</v>
      </c>
      <c r="AC56" s="62" t="str">
        <f>VLOOKUP(A56,Enforcements!$C$7:$E$21,3,0)</f>
        <v>GRADE CROSSING</v>
      </c>
      <c r="AD56" s="63" t="str">
        <f t="shared" si="11"/>
        <v>0144-06</v>
      </c>
      <c r="AE56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56" s="96" t="str">
        <f t="shared" si="13"/>
        <v>"C:\Program Files (x86)\AstroGrep\AstroGrep.exe" /spath="%USERPROFILE%\AppData\Local\Temp\OnboardLogs" /stypes="*4030*20160906*"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144-06 --locoid 4030 --swversion DE.1.0.7.0 --startMP 204:194480 --initTime 2016-09-06T10:02:40 --startdatetime 2016-09-06T10:05:12 --delay 1 --endMP 204:152 --enddatetime 2016-09-06T10:37:25 --enforcementcount 0 &gt;&gt;C:\Users\stu\Documents\GitHub\eaglep3-reporting\EC\2016-09-06-refined-times.txt</v>
      </c>
      <c r="AI56" s="149" t="str">
        <f t="shared" si="18"/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failure","project_id":79,"tracker_id":40,"status_id":1,"priority_id":2,"assigned_to_id":23,"start_date":"2016-09-06","description":"","custom_fields":[{"id":1,"name":"Subdivision","value":"EC"},{"id":4,"name":"Milepost","value":"19.4328"},{"id":17,"name":"Train ID","value":"144-06"},{"id":16,"name":"Locomotive ID","value":"4030"},{"id":130,"name":"Impact","value":""},{"id":150,"name":"Time of Event (Mountain Time)","value":"10:37:25"},{"id":151,"name":"Denver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416</v>
      </c>
      <c r="B57" s="7">
        <v>4011</v>
      </c>
      <c r="C57" s="24" t="s">
        <v>112</v>
      </c>
      <c r="D57" s="24" t="s">
        <v>214</v>
      </c>
      <c r="E57" s="15">
        <v>42619.379502314812</v>
      </c>
      <c r="F57" s="15">
        <v>42619.385613425926</v>
      </c>
      <c r="G57" s="7">
        <v>1</v>
      </c>
      <c r="H57" s="15" t="s">
        <v>609</v>
      </c>
      <c r="I57" s="15">
        <v>42619.410844907405</v>
      </c>
      <c r="J57" s="7">
        <v>0</v>
      </c>
      <c r="K57" s="132" t="str">
        <f t="shared" si="0"/>
        <v>4011/4012</v>
      </c>
      <c r="L57" s="24" t="str">
        <f>VLOOKUP(A57,'Trips&amp;Operators'!$C$1:$E$10000,3,FALSE)</f>
        <v>HILLS</v>
      </c>
      <c r="M57" s="6">
        <f t="shared" si="1"/>
        <v>2.5231481478840578E-2</v>
      </c>
      <c r="N57" s="7">
        <f>24*60*SUM($M57:$M57)</f>
        <v>36.333333329530433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08:06:29-0600',mode:absolute,to:'2016-09-06 10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7" s="54" t="str">
        <f t="shared" si="6"/>
        <v>N</v>
      </c>
      <c r="X57" s="120">
        <f t="shared" si="20"/>
        <v>1</v>
      </c>
      <c r="Y57" s="69">
        <f t="shared" si="8"/>
        <v>4.3799999999999999E-2</v>
      </c>
      <c r="Z57" s="69">
        <f t="shared" si="9"/>
        <v>23.33</v>
      </c>
      <c r="AA57" s="69">
        <f t="shared" si="10"/>
        <v>23.286199999999997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0145-06</v>
      </c>
      <c r="AE57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57" s="96" t="str">
        <f t="shared" si="13"/>
        <v>"C:\Program Files (x86)\AstroGrep\AstroGrep.exe" /spath="%USERPROFILE%\AppData\Local\Temp\OnboardLogs" /stypes="*4011*20160906*"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145-06 --locoid 4011 --swversion DE.1.0.7.0 --startMP 204:438 --initTime 2016-09-06T09:06:29 --startdatetime 2016-09-06T09:15:17 --delay 1 --endMP 204:233300 --enddatetime 2016-09-06T09:51:37 --enforcementcount 0 &gt;&gt;C:\Users\stu\Documents\GitHub\eaglep3-reporting\EC\2016-09-06-refined-times.txt</v>
      </c>
      <c r="AI5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{"issue":{"subject":"","project_id":79,"tracker_id":40,"status_id":1,"priority_id":2,"assigned_to_id":23,"start_date":"2016-09-06","description":"","custom_fields":[{"id":1,"name":"Subdivision","value":"EC"},{"id":4,"name":"Milepost","value":"23.2862"},{"id":17,"name":"Train ID","value":"145-06"},{"id":16,"name":"Locomotive ID","value":"4011"},{"id":130,"name":"Impact","value":""},{"id":150,"name":"Time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426</v>
      </c>
      <c r="B58" s="7">
        <v>4012</v>
      </c>
      <c r="C58" s="24" t="s">
        <v>112</v>
      </c>
      <c r="D58" s="24" t="s">
        <v>610</v>
      </c>
      <c r="E58" s="15">
        <v>42619.415972222225</v>
      </c>
      <c r="F58" s="15">
        <v>42619.424537037034</v>
      </c>
      <c r="G58" s="7">
        <v>1</v>
      </c>
      <c r="H58" s="15" t="s">
        <v>130</v>
      </c>
      <c r="I58" s="15">
        <v>42619.453287037039</v>
      </c>
      <c r="J58" s="7">
        <v>0</v>
      </c>
      <c r="K58" s="132" t="str">
        <f t="shared" si="0"/>
        <v>4011/4012</v>
      </c>
      <c r="L58" s="24" t="str">
        <f>VLOOKUP(A58,'Trips&amp;Operators'!$C$1:$E$10000,3,FALSE)</f>
        <v>HILLS</v>
      </c>
      <c r="M58" s="6">
        <f t="shared" si="1"/>
        <v>2.8750000004947651E-2</v>
      </c>
      <c r="N58" s="7">
        <f>24*60*SUM($M58:$M58)</f>
        <v>41.400000007124618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08:59:00-0600',mode:absolute,to:'2016-09-06 11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8" s="54" t="str">
        <f t="shared" si="6"/>
        <v>N</v>
      </c>
      <c r="X58" s="120">
        <f t="shared" si="20"/>
        <v>1</v>
      </c>
      <c r="Y58" s="69">
        <f t="shared" si="8"/>
        <v>23.297599999999999</v>
      </c>
      <c r="Z58" s="69">
        <f t="shared" si="9"/>
        <v>1.5800000000000002E-2</v>
      </c>
      <c r="AA58" s="69">
        <f t="shared" si="10"/>
        <v>23.2818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0146-06</v>
      </c>
      <c r="AE58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58" s="96" t="str">
        <f t="shared" si="13"/>
        <v>"C:\Program Files (x86)\AstroGrep\AstroGrep.exe" /spath="%USERPROFILE%\AppData\Local\Temp\OnboardLogs" /stypes="*4012*20160906*"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146-06 --locoid 4012 --swversion DE.1.0.7.0 --startMP 204:232976 --initTime 2016-09-06T09:59:00 --startdatetime 2016-09-06T10:11:20 --delay 1 --endMP 204:158 --enddatetime 2016-09-06T10:52:44 --enforcementcount 0 &gt;&gt;C:\Users\stu\Documents\GitHub\eaglep3-reporting\EC\2016-09-06-refined-times.txt</v>
      </c>
      <c r="AI5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{"issue":{"subject":"","project_id":79,"tracker_id":40,"status_id":1,"priority_id":2,"assigned_to_id":23,"start_date":"2016-09-06","description":"","custom_fields":[{"id":1,"name":"Subdivision","value":"EC"},{"id":4,"name":"Milepost","value":"23.2818"},{"id":17,"name":"Train ID","value":"146-06"},{"id":16,"name":"Locomotive ID","value":"4012"},{"id":130,"name":"Impact","value":""},{"id":150,"name":"Time of Event (Mountain Time)","value":"10:52:44"},{"id":151,"name":"Denver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420</v>
      </c>
      <c r="B59" s="7">
        <v>4002</v>
      </c>
      <c r="C59" s="24" t="s">
        <v>112</v>
      </c>
      <c r="D59" s="24" t="s">
        <v>311</v>
      </c>
      <c r="E59" s="15">
        <v>42619.390868055554</v>
      </c>
      <c r="F59" s="15">
        <v>42619.397546296299</v>
      </c>
      <c r="G59" s="7">
        <v>1</v>
      </c>
      <c r="H59" s="15" t="s">
        <v>148</v>
      </c>
      <c r="I59" s="15">
        <v>42619.422465277778</v>
      </c>
      <c r="J59" s="7">
        <v>0</v>
      </c>
      <c r="K59" s="132" t="str">
        <f t="shared" si="0"/>
        <v>4001/4002</v>
      </c>
      <c r="L59" s="24" t="str">
        <f>VLOOKUP(A59,'Trips&amp;Operators'!$C$1:$E$10000,3,FALSE)</f>
        <v>BRANNON</v>
      </c>
      <c r="M59" s="6">
        <f t="shared" si="1"/>
        <v>2.491898147854954E-2</v>
      </c>
      <c r="N59" s="7">
        <f>24*60*SUM($M59:$M59)</f>
        <v>35.883333329111338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08:22:51-0600',mode:absolute,to:'2016-09-06 11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9" s="54" t="str">
        <f t="shared" si="6"/>
        <v>N</v>
      </c>
      <c r="X59" s="120">
        <f t="shared" si="20"/>
        <v>1</v>
      </c>
      <c r="Y59" s="69">
        <f t="shared" si="8"/>
        <v>4.9500000000000002E-2</v>
      </c>
      <c r="Z59" s="69">
        <f t="shared" si="9"/>
        <v>23.3291</v>
      </c>
      <c r="AA59" s="69">
        <f t="shared" si="10"/>
        <v>23.279600000000002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0147-06</v>
      </c>
      <c r="AE59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59" s="96" t="str">
        <f t="shared" si="13"/>
        <v>"C:\Program Files (x86)\AstroGrep\AstroGrep.exe" /spath="%USERPROFILE%\AppData\Local\Temp\OnboardLogs" /stypes="*4002*20160906*"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147-06 --locoid 4002 --swversion DE.1.0.7.0 --startMP 204:495 --initTime 2016-09-06T09:22:51 --startdatetime 2016-09-06T09:32:28 --delay 1 --endMP 204:233291 --enddatetime 2016-09-06T10:08:21 --enforcementcount 0 &gt;&gt;C:\Users\stu\Documents\GitHub\eaglep3-reporting\EC\2016-09-06-refined-times.txt</v>
      </c>
      <c r="AI5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{"issue":{"subject":"","project_id":79,"tracker_id":40,"status_id":1,"priority_id":2,"assigned_to_id":23,"start_date":"2016-09-06","description":"","custom_fields":[{"id":1,"name":"Subdivision","value":"EC"},{"id":4,"name":"Milepost","value":"23.2796"},{"id":17,"name":"Train ID","value":"147-06"},{"id":16,"name":"Locomotive ID","value":"4002"},{"id":130,"name":"Impact","value":""},{"id":150,"name":"Time of Event (Mountain Time)","value":"10:08:21"},{"id":151,"name":"Denver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429</v>
      </c>
      <c r="B60" s="7">
        <v>4001</v>
      </c>
      <c r="C60" s="24" t="s">
        <v>112</v>
      </c>
      <c r="D60" s="24" t="s">
        <v>292</v>
      </c>
      <c r="E60" s="15">
        <v>42619.427777777775</v>
      </c>
      <c r="F60" s="15">
        <v>42619.434895833336</v>
      </c>
      <c r="G60" s="7">
        <v>1</v>
      </c>
      <c r="H60" s="15" t="s">
        <v>611</v>
      </c>
      <c r="I60" s="15">
        <v>42619.461006944446</v>
      </c>
      <c r="J60" s="7">
        <v>0</v>
      </c>
      <c r="K60" s="132" t="str">
        <f t="shared" si="0"/>
        <v>4001/4002</v>
      </c>
      <c r="L60" s="24" t="str">
        <f>VLOOKUP(A60,'Trips&amp;Operators'!$C$1:$E$10000,3,FALSE)</f>
        <v>BRANNON</v>
      </c>
      <c r="M60" s="6">
        <f t="shared" si="1"/>
        <v>2.6111111110367347E-2</v>
      </c>
      <c r="N60" s="7">
        <f>24*60*SUM($M60:$M60)</f>
        <v>37.599999998928979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09:16:00-0600',mode:absolute,to:'2016-09-06 12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0" s="54" t="str">
        <f t="shared" si="6"/>
        <v>N</v>
      </c>
      <c r="X60" s="120">
        <f t="shared" si="20"/>
        <v>1</v>
      </c>
      <c r="Y60" s="69">
        <f t="shared" si="8"/>
        <v>23.297799999999999</v>
      </c>
      <c r="Z60" s="69">
        <f t="shared" si="9"/>
        <v>2.12E-2</v>
      </c>
      <c r="AA60" s="69">
        <f t="shared" si="10"/>
        <v>23.276599999999998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0148-06</v>
      </c>
      <c r="AE60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60" s="96" t="str">
        <f t="shared" si="13"/>
        <v>"C:\Program Files (x86)\AstroGrep\AstroGrep.exe" /spath="%USERPROFILE%\AppData\Local\Temp\OnboardLogs" /stypes="*4001*20160906*"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148-06 --locoid 4001 --swversion DE.1.0.7.0 --startMP 204:232978 --initTime 2016-09-06T10:16:00 --startdatetime 2016-09-06T10:26:15 --delay 1 --endMP 204:212 --enddatetime 2016-09-06T11:03:51 --enforcementcount 0 &gt;&gt;C:\Users\stu\Documents\GitHub\eaglep3-reporting\EC\2016-09-06-refined-times.txt</v>
      </c>
      <c r="AI6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{"issue":{"subject":"","project_id":79,"tracker_id":40,"status_id":1,"priority_id":2,"assigned_to_id":23,"start_date":"2016-09-06","description":"","custom_fields":[{"id":1,"name":"Subdivision","value":"EC"},{"id":4,"name":"Milepost","value":"23.2766"},{"id":17,"name":"Train ID","value":"148-06"},{"id":16,"name":"Locomotive ID","value":"4001"},{"id":130,"name":"Impact","value":""},{"id":150,"name":"Time of Event (Mountain Time)","value":"11:03:51"},{"id":151,"name":"Denver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423</v>
      </c>
      <c r="B61" s="7">
        <v>4014</v>
      </c>
      <c r="C61" s="24" t="s">
        <v>112</v>
      </c>
      <c r="D61" s="24" t="s">
        <v>171</v>
      </c>
      <c r="E61" s="15">
        <v>42619.404814814814</v>
      </c>
      <c r="F61" s="15">
        <v>42619.405914351853</v>
      </c>
      <c r="G61" s="7">
        <v>1</v>
      </c>
      <c r="H61" s="15" t="s">
        <v>612</v>
      </c>
      <c r="I61" s="15">
        <v>42619.406863425924</v>
      </c>
      <c r="J61" s="7">
        <v>0</v>
      </c>
      <c r="K61" s="132" t="str">
        <f t="shared" si="0"/>
        <v>4013/4014</v>
      </c>
      <c r="L61" s="24" t="str">
        <f>VLOOKUP(A61,'Trips&amp;Operators'!$C$1:$E$10000,3,FALSE)</f>
        <v>SPECTOR</v>
      </c>
      <c r="M61" s="6">
        <f t="shared" si="1"/>
        <v>9.4907407037680969E-4</v>
      </c>
      <c r="N61" s="7"/>
      <c r="O61" s="7"/>
      <c r="P61" s="7">
        <f>24*60*SUM($M61:$M61)</f>
        <v>1.3666666613426059</v>
      </c>
      <c r="Q61" s="25"/>
      <c r="R61" s="25" t="s">
        <v>357</v>
      </c>
      <c r="S61" s="37">
        <f t="shared" si="3"/>
        <v>0</v>
      </c>
      <c r="T61" s="52" t="str">
        <f t="shared" si="4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08:42:56-0600',mode:absolute,to:'2016-09-06 10:45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6"/>
        <v>Y</v>
      </c>
      <c r="X61" s="120">
        <f t="shared" si="20"/>
        <v>1</v>
      </c>
      <c r="Y61" s="69">
        <f t="shared" si="8"/>
        <v>4.4699999999999997E-2</v>
      </c>
      <c r="Z61" s="69">
        <f t="shared" si="9"/>
        <v>2.3306</v>
      </c>
      <c r="AA61" s="69">
        <f t="shared" si="10"/>
        <v>2.2858999999999998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0149-06</v>
      </c>
      <c r="AE61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61" s="96" t="str">
        <f t="shared" si="13"/>
        <v>"C:\Program Files (x86)\AstroGrep\AstroGrep.exe" /spath="%USERPROFILE%\AppData\Local\Temp\OnboardLogs" /stypes="*4014*20160906*" /stext=" 15:.+((SYSTEM_STATE.+slice.+state.+changed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149-06 --locoid 4014 --swversion DE.1.0.7.0 --startMP 204:447 --initTime 2016-09-06T09:42:56 --startdatetime 2016-09-06T09:44:31 --delay 1 --endMP 300:23306 --enddatetime 2016-09-06T09:45:53 --enforcementcount 0 &gt;&gt;C:\Users\stu\Documents\GitHub\eaglep3-reporting\EC\2016-09-06-refined-times.txt</v>
      </c>
      <c r="AI61" s="149" t="str">
        <f t="shared" si="18"/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failure","project_id":79,"tracker_id":40,"status_id":1,"priority_id":2,"assigned_to_id":23,"start_date":"2016-09-06","description":"","custom_fields":[{"id":1,"name":"Subdivision","value":"EC"},{"id":4,"name":"Milepost","value":"2.2859"},{"id":17,"name":"Train ID","value":"149-06"},{"id":16,"name":"Locomotive ID","value":"4014"},{"id":130,"name":"Impact","value":""},{"id":150,"name":"Time of Event (Mountain Time)","value":"09:45:53"},{"id":151,"name":"Denver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431</v>
      </c>
      <c r="B62" s="7">
        <v>4013</v>
      </c>
      <c r="C62" s="24" t="s">
        <v>112</v>
      </c>
      <c r="D62" s="24" t="s">
        <v>613</v>
      </c>
      <c r="E62" s="15">
        <v>42619.440775462965</v>
      </c>
      <c r="F62" s="15">
        <v>42619.4453125</v>
      </c>
      <c r="G62" s="7">
        <v>1</v>
      </c>
      <c r="H62" s="15" t="s">
        <v>614</v>
      </c>
      <c r="I62" s="15">
        <v>42619.470555555556</v>
      </c>
      <c r="J62" s="7">
        <v>0</v>
      </c>
      <c r="K62" s="132" t="str">
        <f t="shared" si="0"/>
        <v>4013/4014</v>
      </c>
      <c r="L62" s="24" t="str">
        <f>VLOOKUP(A62,'Trips&amp;Operators'!$C$1:$E$10000,3,FALSE)</f>
        <v>SPECTOR</v>
      </c>
      <c r="M62" s="6">
        <f t="shared" si="1"/>
        <v>2.5243055555620231E-2</v>
      </c>
      <c r="N62" s="7"/>
      <c r="O62" s="7"/>
      <c r="P62" s="7">
        <f>24*60*SUM($M62:$M62)</f>
        <v>36.350000000093132</v>
      </c>
      <c r="Q62" s="25"/>
      <c r="R62" s="25" t="s">
        <v>732</v>
      </c>
      <c r="S62" s="37">
        <f t="shared" si="3"/>
        <v>1</v>
      </c>
      <c r="T62" s="52" t="str">
        <f t="shared" si="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09:34:43-0600',mode:absolute,to:'2016-09-06 12:17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6"/>
        <v>Y</v>
      </c>
      <c r="X62" s="120">
        <f t="shared" si="20"/>
        <v>1</v>
      </c>
      <c r="Y62" s="69">
        <f t="shared" si="8"/>
        <v>23.300999999999998</v>
      </c>
      <c r="Z62" s="69">
        <f t="shared" si="9"/>
        <v>1.0673999999999999</v>
      </c>
      <c r="AA62" s="69">
        <f t="shared" si="10"/>
        <v>22.233599999999999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0150-06</v>
      </c>
      <c r="AE62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62" s="96" t="str">
        <f t="shared" si="13"/>
        <v>"C:\Program Files (x86)\AstroGrep\AstroGrep.exe" /spath="%USERPROFILE%\AppData\Local\Temp\OnboardLogs" /stypes="*4013*20160906*"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150-06 --locoid 4013 --swversion DE.1.0.7.0 --startMP 204:233010 --initTime 2016-09-06T10:34:43 --startdatetime 2016-09-06T10:41:15 --delay 1 --endMP 204:10674 --enddatetime 2016-09-06T11:17:36 --enforcementcount 0 &gt;&gt;C:\Users\stu\Documents\GitHub\eaglep3-reporting\EC\2016-09-06-refined-times.txt</v>
      </c>
      <c r="AI62" s="149" t="str">
        <f t="shared" si="18"/>
        <v>echo {"issue":{"subject":"Operator error - cut out just past Bright","project_id":79,"tracker_id":40,"status_id":1,"priority_id":2,"assigned_to_id":23,"start_date":"2016-09-06","description":"","custom_fields":[{"id":1,"name":"Subdivision","value":"EC"},{"id":4,"name":"Milepost","value":"22.2336"},{"id":17,"name":"Train ID","value":"150-06"},{"id":16,"name":"Locomotive ID","value":"4013"},{"id":130,"name":"Impact","value":""},{"id":150,"name":"Time of Event (Mountain Time)","value":"11:17:36"},{"id":151,"name":"Denver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425</v>
      </c>
      <c r="B63" s="7">
        <v>4027</v>
      </c>
      <c r="C63" s="24" t="s">
        <v>112</v>
      </c>
      <c r="D63" s="24" t="s">
        <v>147</v>
      </c>
      <c r="E63" s="15">
        <v>42619.411550925928</v>
      </c>
      <c r="F63" s="15">
        <v>42619.417083333334</v>
      </c>
      <c r="G63" s="7">
        <v>1</v>
      </c>
      <c r="H63" s="15" t="s">
        <v>173</v>
      </c>
      <c r="I63" s="15">
        <v>42619.442314814813</v>
      </c>
      <c r="J63" s="7">
        <v>0</v>
      </c>
      <c r="K63" s="132" t="str">
        <f t="shared" si="0"/>
        <v>4027/4028</v>
      </c>
      <c r="L63" s="24" t="str">
        <f>VLOOKUP(A63,'Trips&amp;Operators'!$C$1:$E$10000,3,FALSE)</f>
        <v>DAVIS</v>
      </c>
      <c r="M63" s="6">
        <f t="shared" si="1"/>
        <v>2.5231481478840578E-2</v>
      </c>
      <c r="N63" s="7">
        <f t="shared" ref="N63:N94" si="21">24*60*SUM($M63:$M63)</f>
        <v>36.333333329530433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08:52:38-0600',mode:absolute,to:'2016-09-06 11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3" s="54" t="str">
        <f t="shared" si="6"/>
        <v>N</v>
      </c>
      <c r="X63" s="120">
        <f t="shared" ref="X63:X96" si="22">VALUE(LEFT(AD63,4))-VALUE(LEFT(AD62,4))</f>
        <v>1</v>
      </c>
      <c r="Y63" s="69">
        <f t="shared" si="8"/>
        <v>4.5100000000000001E-2</v>
      </c>
      <c r="Z63" s="69">
        <f t="shared" si="9"/>
        <v>23.3293</v>
      </c>
      <c r="AA63" s="69">
        <f t="shared" si="10"/>
        <v>23.284199999999998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0151-06</v>
      </c>
      <c r="AE63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63" s="96" t="str">
        <f t="shared" si="13"/>
        <v>"C:\Program Files (x86)\AstroGrep\AstroGrep.exe" /spath="%USERPROFILE%\AppData\Local\Temp\OnboardLogs" /stypes="*4027*20160906*"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151-06 --locoid 4027 --swversion DE.1.0.7.0 --startMP 204:451 --initTime 2016-09-06T09:52:38 --startdatetime 2016-09-06T10:00:36 --delay 1 --endMP 204:233293 --enddatetime 2016-09-06T10:36:56 --enforcementcount 0 &gt;&gt;C:\Users\stu\Documents\GitHub\eaglep3-reporting\EC\2016-09-06-refined-times.txt</v>
      </c>
      <c r="AI6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ID","value":"151-06"},{"id":16,"name":"Locomotive ID","value":"4027"},{"id":130,"name":"Impact","value":""},{"id":150,"name":"Time of Event (Mountain Time)","value":"10:36:56"},{"id":151,"name":"Denver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434</v>
      </c>
      <c r="B64" s="7">
        <v>4028</v>
      </c>
      <c r="C64" s="24" t="s">
        <v>112</v>
      </c>
      <c r="D64" s="24" t="s">
        <v>212</v>
      </c>
      <c r="E64" s="15">
        <v>42619.450578703705</v>
      </c>
      <c r="F64" s="15">
        <v>42619.455694444441</v>
      </c>
      <c r="G64" s="7">
        <v>0</v>
      </c>
      <c r="H64" s="15" t="s">
        <v>239</v>
      </c>
      <c r="I64" s="15">
        <v>42619.483414351853</v>
      </c>
      <c r="J64" s="7">
        <v>0</v>
      </c>
      <c r="K64" s="132" t="str">
        <f t="shared" si="0"/>
        <v>4027/4028</v>
      </c>
      <c r="L64" s="24" t="str">
        <f>VLOOKUP(A64,'Trips&amp;Operators'!$C$1:$E$10000,3,FALSE)</f>
        <v>DAVIS</v>
      </c>
      <c r="M64" s="6">
        <f t="shared" si="1"/>
        <v>2.771990741166519E-2</v>
      </c>
      <c r="N64" s="7">
        <f t="shared" si="21"/>
        <v>39.916666672797874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09:48:50-0600',mode:absolute,to:'2016-09-06 12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4" s="54" t="str">
        <f t="shared" si="6"/>
        <v>N</v>
      </c>
      <c r="X64" s="120">
        <f t="shared" si="22"/>
        <v>1</v>
      </c>
      <c r="Y64" s="69">
        <f t="shared" si="8"/>
        <v>23.297999999999998</v>
      </c>
      <c r="Z64" s="69">
        <f t="shared" si="9"/>
        <v>1.4999999999999999E-2</v>
      </c>
      <c r="AA64" s="69">
        <f t="shared" si="10"/>
        <v>23.282999999999998</v>
      </c>
      <c r="AB64" s="66" t="str">
        <f>VLOOKUP(A64,Enforcements!$C$7:$K$21,8,0)</f>
        <v>Speed (6)</v>
      </c>
      <c r="AC64" s="62" t="str">
        <f>VLOOKUP(A64,Enforcements!$C$7:$E$21,3,0)</f>
        <v>PERMANENT SPEED RESTRICTION</v>
      </c>
      <c r="AD64" s="63" t="str">
        <f t="shared" si="11"/>
        <v>0152-06</v>
      </c>
      <c r="AE64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64" s="96" t="str">
        <f t="shared" si="13"/>
        <v>"C:\Program Files (x86)\AstroGrep\AstroGrep.exe" /spath="%USERPROFILE%\AppData\Local\Temp\OnboardLogs" /stypes="*4028*20160906*"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152-06 --locoid 4028 --swversion DE.1.0.7.0 --startMP 204:232980 --initTime 2016-09-06T10:48:50 --startdatetime 2016-09-06T10:56:12 --delay 0 --endMP 204:150 --enddatetime 2016-09-06T11:36:07 --enforcementcount 0 &gt;&gt;C:\Users\stu\Documents\GitHub\eaglep3-reporting\EC\2016-09-06-refined-times.txt</v>
      </c>
      <c r="AI6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ID","value":"152-06"},{"id":16,"name":"Locomotive ID","value":"4028"},{"id":130,"name":"Impact","value":""},{"id":150,"name":"Time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428</v>
      </c>
      <c r="B65" s="7">
        <v>4038</v>
      </c>
      <c r="C65" s="24" t="s">
        <v>112</v>
      </c>
      <c r="D65" s="24" t="s">
        <v>589</v>
      </c>
      <c r="E65" s="15">
        <v>42619.423449074071</v>
      </c>
      <c r="F65" s="15">
        <v>42619.427291666667</v>
      </c>
      <c r="G65" s="7">
        <v>5</v>
      </c>
      <c r="H65" s="15" t="s">
        <v>249</v>
      </c>
      <c r="I65" s="15">
        <v>42619.452453703707</v>
      </c>
      <c r="J65" s="7">
        <v>0</v>
      </c>
      <c r="K65" s="132" t="str">
        <f t="shared" si="0"/>
        <v>4037/4038</v>
      </c>
      <c r="L65" s="24" t="str">
        <f>VLOOKUP(A65,'Trips&amp;Operators'!$C$1:$E$10000,3,FALSE)</f>
        <v>GEBRETEKLE</v>
      </c>
      <c r="M65" s="6">
        <f t="shared" si="1"/>
        <v>2.5162037039990537E-2</v>
      </c>
      <c r="N65" s="7">
        <f t="shared" si="21"/>
        <v>36.233333337586373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09:09:46-0600',mode:absolute,to:'2016-09-06 11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5" s="54" t="str">
        <f t="shared" si="6"/>
        <v>N</v>
      </c>
      <c r="X65" s="120">
        <f t="shared" si="22"/>
        <v>1</v>
      </c>
      <c r="Y65" s="69">
        <f t="shared" si="8"/>
        <v>4.3299999999999998E-2</v>
      </c>
      <c r="Z65" s="69">
        <f t="shared" si="9"/>
        <v>23.331199999999999</v>
      </c>
      <c r="AA65" s="69">
        <f t="shared" si="10"/>
        <v>23.2879</v>
      </c>
      <c r="AB65" s="66" t="str">
        <f>VLOOKUP(A65,Enforcements!$C$7:$K$21,8,0)</f>
        <v>Speed (6)</v>
      </c>
      <c r="AC65" s="62" t="str">
        <f>VLOOKUP(A65,Enforcements!$C$7:$E$21,3,0)</f>
        <v>PERMANENT SPEED RESTRICTION</v>
      </c>
      <c r="AD65" s="63" t="str">
        <f t="shared" si="11"/>
        <v>0153-06</v>
      </c>
      <c r="AE65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65" s="96" t="str">
        <f t="shared" si="13"/>
        <v>"C:\Program Files (x86)\AstroGrep\AstroGrep.exe" /spath="%USERPROFILE%\AppData\Local\Temp\OnboardLogs" /stypes="*4038*20160906*"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153-06 --locoid 4038 --swversion DE.1.0.7.0 --startMP 204:433 --initTime 2016-09-06T10:09:46 --startdatetime 2016-09-06T10:15:18 --delay 5 --endMP 204:233312 --enddatetime 2016-09-06T10:51:32 --enforcementcount 0 &gt;&gt;C:\Users\stu\Documents\GitHub\eaglep3-reporting\EC\2016-09-06-refined-times.txt</v>
      </c>
      <c r="AI6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{"issue":{"subject":"","project_id":79,"tracker_id":40,"status_id":1,"priority_id":2,"assigned_to_id":23,"start_date":"2016-09-06","description":"","custom_fields":[{"id":1,"name":"Subdivision","value":"EC"},{"id":4,"name":"Milepost","value":"23.2879"},{"id":17,"name":"Train ID","value":"153-06"},{"id":16,"name":"Locomotive ID","value":"4038"},{"id":130,"name":"Impact","value":""},{"id":150,"name":"Time of Event (Mountain Time)","value":"10:51:32"},{"id":151,"name":"Denver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436</v>
      </c>
      <c r="B66" s="7">
        <v>4037</v>
      </c>
      <c r="C66" s="24" t="s">
        <v>112</v>
      </c>
      <c r="D66" s="24" t="s">
        <v>233</v>
      </c>
      <c r="E66" s="15">
        <v>42619.462696759256</v>
      </c>
      <c r="F66" s="15">
        <v>42619.466145833336</v>
      </c>
      <c r="G66" s="7">
        <v>1</v>
      </c>
      <c r="H66" s="15" t="s">
        <v>239</v>
      </c>
      <c r="I66" s="15">
        <v>42619.493263888886</v>
      </c>
      <c r="J66" s="7">
        <v>0</v>
      </c>
      <c r="K66" s="132" t="str">
        <f t="shared" si="0"/>
        <v>4037/4038</v>
      </c>
      <c r="L66" s="24" t="str">
        <f>VLOOKUP(A66,'Trips&amp;Operators'!$C$1:$E$10000,3,FALSE)</f>
        <v>GEBRETEKLE</v>
      </c>
      <c r="M66" s="6">
        <f t="shared" si="1"/>
        <v>2.7118055550090503E-2</v>
      </c>
      <c r="N66" s="7">
        <f t="shared" si="21"/>
        <v>39.049999992130324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10:06:17-0600',mode:absolute,to:'2016-09-06 12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6" s="54" t="str">
        <f t="shared" si="6"/>
        <v>N</v>
      </c>
      <c r="X66" s="120">
        <f t="shared" si="22"/>
        <v>1</v>
      </c>
      <c r="Y66" s="69">
        <f t="shared" si="8"/>
        <v>23.299600000000002</v>
      </c>
      <c r="Z66" s="69">
        <f t="shared" si="9"/>
        <v>1.4999999999999999E-2</v>
      </c>
      <c r="AA66" s="69">
        <f t="shared" si="10"/>
        <v>23.284600000000001</v>
      </c>
      <c r="AB66" s="66" t="str">
        <f>VLOOKUP(A66,Enforcements!$C$7:$K$21,8,0)</f>
        <v>Bulletin (2)</v>
      </c>
      <c r="AC66" s="62" t="str">
        <f>VLOOKUP(A66,Enforcements!$C$7:$E$21,3,0)</f>
        <v>GRADE CROSSING</v>
      </c>
      <c r="AD66" s="63" t="str">
        <f t="shared" si="11"/>
        <v>0154-06</v>
      </c>
      <c r="AE66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66" s="96" t="str">
        <f t="shared" si="13"/>
        <v>"C:\Program Files (x86)\AstroGrep\AstroGrep.exe" /spath="%USERPROFILE%\AppData\Local\Temp\OnboardLogs" /stypes="*4037*20160906*"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154-06 --locoid 4037 --swversion DE.1.0.7.0 --startMP 204:232996 --initTime 2016-09-06T11:06:17 --startdatetime 2016-09-06T11:11:15 --delay 1 --endMP 204:150 --enddatetime 2016-09-06T11:50:18 --enforcementcount 0 &gt;&gt;C:\Users\stu\Documents\GitHub\eaglep3-reporting\EC\2016-09-06-refined-times.txt</v>
      </c>
      <c r="AI6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{"issue":{"subject":"","project_id":79,"tracker_id":40,"status_id":1,"priority_id":2,"assigned_to_id":23,"start_date":"2016-09-06","description":"","custom_fields":[{"id":1,"name":"Subdivision","value":"EC"},{"id":4,"name":"Milepost","value":"23.2846"},{"id":17,"name":"Train ID","value":"154-06"},{"id":16,"name":"Locomotive ID","value":"4037"},{"id":130,"name":"Impact","value":""},{"id":150,"name":"Time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430</v>
      </c>
      <c r="B67" s="7">
        <v>4025</v>
      </c>
      <c r="C67" s="24" t="s">
        <v>112</v>
      </c>
      <c r="D67" s="24" t="s">
        <v>615</v>
      </c>
      <c r="E67" s="15">
        <v>42619.435057870367</v>
      </c>
      <c r="F67" s="15">
        <v>42619.43787037037</v>
      </c>
      <c r="G67" s="7">
        <v>1</v>
      </c>
      <c r="H67" s="15" t="s">
        <v>242</v>
      </c>
      <c r="I67" s="15">
        <v>42619.46979166667</v>
      </c>
      <c r="J67" s="7">
        <v>0</v>
      </c>
      <c r="K67" s="132" t="str">
        <f t="shared" si="0"/>
        <v>4025/4026</v>
      </c>
      <c r="L67" s="24" t="str">
        <f>VLOOKUP(A67,'Trips&amp;Operators'!$C$1:$E$10000,3,FALSE)</f>
        <v>STARKS</v>
      </c>
      <c r="M67" s="6">
        <f t="shared" si="1"/>
        <v>3.1921296300424729E-2</v>
      </c>
      <c r="N67" s="7">
        <f t="shared" si="21"/>
        <v>45.966666672611609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09:26:29-0600',mode:absolute,to:'2016-09-06 12:16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7" s="54" t="str">
        <f t="shared" si="6"/>
        <v>N</v>
      </c>
      <c r="X67" s="120">
        <f t="shared" si="22"/>
        <v>1</v>
      </c>
      <c r="Y67" s="69">
        <f t="shared" si="8"/>
        <v>4.9799999999999997E-2</v>
      </c>
      <c r="Z67" s="69">
        <f t="shared" si="9"/>
        <v>23.331700000000001</v>
      </c>
      <c r="AA67" s="69">
        <f t="shared" si="10"/>
        <v>23.2819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0155-06</v>
      </c>
      <c r="AE67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67" s="96" t="str">
        <f t="shared" si="13"/>
        <v>"C:\Program Files (x86)\AstroGrep\AstroGrep.exe" /spath="%USERPROFILE%\AppData\Local\Temp\OnboardLogs" /stypes="*4025*20160906*"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155-06 --locoid 4025 --swversion DE.1.0.7.0 --startMP 204:498 --initTime 2016-09-06T10:26:29 --startdatetime 2016-09-06T10:30:32 --delay 1 --endMP 204:233317 --enddatetime 2016-09-06T11:16:30 --enforcementcount 0 &gt;&gt;C:\Users\stu\Documents\GitHub\eaglep3-reporting\EC\2016-09-06-refined-times.txt</v>
      </c>
      <c r="AI67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ID","value":"155-06"},{"id":16,"name":"Locomotive ID","value":"4025"},{"id":130,"name":"Impact","value":""},{"id":150,"name":"Time of Event (Mountain Time)","value":"11:16:30"},{"id":151,"name":"Denver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442</v>
      </c>
      <c r="B68" s="7">
        <v>4026</v>
      </c>
      <c r="C68" s="24" t="s">
        <v>112</v>
      </c>
      <c r="D68" s="24" t="s">
        <v>283</v>
      </c>
      <c r="E68" s="15">
        <v>42619.47415509259</v>
      </c>
      <c r="F68" s="15">
        <v>42619.476712962962</v>
      </c>
      <c r="G68" s="7">
        <v>1</v>
      </c>
      <c r="H68" s="15" t="s">
        <v>135</v>
      </c>
      <c r="I68" s="15">
        <v>42619.503437500003</v>
      </c>
      <c r="J68" s="7">
        <v>0</v>
      </c>
      <c r="K68" s="132" t="str">
        <f t="shared" si="0"/>
        <v>4025/4026</v>
      </c>
      <c r="L68" s="24" t="str">
        <f>VLOOKUP(A68,'Trips&amp;Operators'!$C$1:$E$10000,3,FALSE)</f>
        <v>STARKS</v>
      </c>
      <c r="M68" s="6">
        <f t="shared" si="1"/>
        <v>2.6724537041445728E-2</v>
      </c>
      <c r="N68" s="7">
        <f t="shared" si="21"/>
        <v>38.483333339681849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10:22:47-0600',mode:absolute,to:'2016-09-06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8" s="54" t="str">
        <f t="shared" si="6"/>
        <v>N</v>
      </c>
      <c r="X68" s="120">
        <f t="shared" si="22"/>
        <v>1</v>
      </c>
      <c r="Y68" s="69">
        <f t="shared" si="8"/>
        <v>23.299099999999999</v>
      </c>
      <c r="Z68" s="69">
        <f t="shared" si="9"/>
        <v>1.49E-2</v>
      </c>
      <c r="AA68" s="69">
        <f t="shared" si="10"/>
        <v>23.284199999999998</v>
      </c>
      <c r="AB68" s="66" t="str">
        <f>VLOOKUP(A68,Enforcements!$C$7:$K$21,8,0)</f>
        <v>Speed (6)</v>
      </c>
      <c r="AC68" s="62" t="str">
        <f>VLOOKUP(A68,Enforcements!$C$7:$E$21,3,0)</f>
        <v>PERMANENT SPEED RESTRICTION</v>
      </c>
      <c r="AD68" s="63" t="str">
        <f t="shared" si="11"/>
        <v>0156-06</v>
      </c>
      <c r="AE68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68" s="96" t="str">
        <f t="shared" si="13"/>
        <v>"C:\Program Files (x86)\AstroGrep\AstroGrep.exe" /spath="%USERPROFILE%\AppData\Local\Temp\OnboardLogs" /stypes="*4026*20160906*"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156-06 --locoid 4026 --swversion DE.1.0.7.0 --startMP 204:232991 --initTime 2016-09-06T11:22:47 --startdatetime 2016-09-06T11:26:28 --delay 1 --endMP 204:149 --enddatetime 2016-09-06T12:04:57 --enforcementcount 0 &gt;&gt;C:\Users\stu\Documents\GitHub\eaglep3-reporting\EC\2016-09-06-refined-times.txt</v>
      </c>
      <c r="AI68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ID","value":"156-06"},{"id":16,"name":"Locomotive ID","value":"4026"},{"id":130,"name":"Impact","value":""},{"id":150,"name":"Time of Event (Mountain Time)","value":"12:04:57"},{"id":151,"name":"Denver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433</v>
      </c>
      <c r="B69" s="7">
        <v>4029</v>
      </c>
      <c r="C69" s="24" t="s">
        <v>112</v>
      </c>
      <c r="D69" s="24" t="s">
        <v>282</v>
      </c>
      <c r="E69" s="15">
        <v>42619.445196759261</v>
      </c>
      <c r="F69" s="15">
        <v>42619.448275462964</v>
      </c>
      <c r="G69" s="7">
        <v>1</v>
      </c>
      <c r="H69" s="15" t="s">
        <v>616</v>
      </c>
      <c r="I69" s="15">
        <v>42619.472824074073</v>
      </c>
      <c r="J69" s="7">
        <v>0</v>
      </c>
      <c r="K69" s="132" t="str">
        <f t="shared" si="0"/>
        <v>4029/4030</v>
      </c>
      <c r="L69" s="24" t="str">
        <f>VLOOKUP(A69,'Trips&amp;Operators'!$C$1:$E$10000,3,FALSE)</f>
        <v>ROCHA</v>
      </c>
      <c r="M69" s="6">
        <f t="shared" si="1"/>
        <v>2.4548611108912155E-2</v>
      </c>
      <c r="N69" s="7">
        <f t="shared" si="21"/>
        <v>35.349999996833503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09:41:05-0600',mode:absolute,to:'2016-09-06 12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69" s="54" t="str">
        <f t="shared" si="6"/>
        <v>N</v>
      </c>
      <c r="X69" s="120">
        <f t="shared" si="22"/>
        <v>1</v>
      </c>
      <c r="Y69" s="69">
        <f t="shared" si="8"/>
        <v>4.6199999999999998E-2</v>
      </c>
      <c r="Z69" s="69">
        <f t="shared" si="9"/>
        <v>23.332999999999998</v>
      </c>
      <c r="AA69" s="69">
        <f t="shared" si="10"/>
        <v>23.286799999999999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0157-06</v>
      </c>
      <c r="AE69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69" s="96" t="str">
        <f t="shared" si="13"/>
        <v>"C:\Program Files (x86)\AstroGrep\AstroGrep.exe" /spath="%USERPROFILE%\AppData\Local\Temp\OnboardLogs" /stypes="*4029*20160906*"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157-06 --locoid 4029 --swversion DE.1.0.7.0 --startMP 204:462 --initTime 2016-09-06T10:41:05 --startdatetime 2016-09-06T10:45:31 --delay 1 --endMP 204:233330 --enddatetime 2016-09-06T11:20:52 --enforcementcount 0 &gt;&gt;C:\Users\stu\Documents\GitHub\eaglep3-reporting\EC\2016-09-06-refined-times.txt</v>
      </c>
      <c r="AI69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ID","value":"157-06"},{"id":16,"name":"Locomotive ID","value":"4029"},{"id":130,"name":"Impact","value":""},{"id":150,"name":"Time of Event (Mountain Time)","value":"11:20:52"},{"id":151,"name":"Denver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443</v>
      </c>
      <c r="B70" s="7">
        <v>4030</v>
      </c>
      <c r="C70" s="24" t="s">
        <v>112</v>
      </c>
      <c r="D70" s="24" t="s">
        <v>212</v>
      </c>
      <c r="E70" s="15">
        <v>42619.482395833336</v>
      </c>
      <c r="F70" s="15">
        <v>42619.487511574072</v>
      </c>
      <c r="G70" s="7">
        <v>1</v>
      </c>
      <c r="H70" s="15" t="s">
        <v>89</v>
      </c>
      <c r="I70" s="15">
        <v>42619.51226851852</v>
      </c>
      <c r="J70" s="7">
        <v>0</v>
      </c>
      <c r="K70" s="132" t="str">
        <f t="shared" si="0"/>
        <v>4029/4030</v>
      </c>
      <c r="L70" s="24" t="str">
        <f>VLOOKUP(A70,'Trips&amp;Operators'!$C$1:$E$10000,3,FALSE)</f>
        <v>ROCHA</v>
      </c>
      <c r="M70" s="6">
        <f t="shared" si="1"/>
        <v>2.4756944447290152E-2</v>
      </c>
      <c r="N70" s="7">
        <f t="shared" si="21"/>
        <v>35.650000004097819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10:34:39-0600',mode:absolute,to:'2016-09-06 13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70" s="54" t="str">
        <f t="shared" si="6"/>
        <v>N</v>
      </c>
      <c r="X70" s="120">
        <f t="shared" si="22"/>
        <v>1</v>
      </c>
      <c r="Y70" s="69">
        <f t="shared" si="8"/>
        <v>23.297999999999998</v>
      </c>
      <c r="Z70" s="69">
        <f t="shared" si="9"/>
        <v>1.43E-2</v>
      </c>
      <c r="AA70" s="69">
        <f t="shared" si="10"/>
        <v>23.2837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0158-06</v>
      </c>
      <c r="AE70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70" s="96" t="str">
        <f t="shared" si="13"/>
        <v>"C:\Program Files (x86)\AstroGrep\AstroGrep.exe" /spath="%USERPROFILE%\AppData\Local\Temp\OnboardLogs" /stypes="*4030*20160906*"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158-06 --locoid 4030 --swversion DE.1.0.7.0 --startMP 204:232980 --initTime 2016-09-06T11:34:39 --startdatetime 2016-09-06T11:42:01 --delay 1 --endMP 204:143 --enddatetime 2016-09-06T12:17:40 --enforcementcount 0 &gt;&gt;C:\Users\stu\Documents\GitHub\eaglep3-reporting\EC\2016-09-06-refined-times.txt</v>
      </c>
      <c r="AI70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ID","value":"158-06"},{"id":16,"name":"Locomotive ID","value":"4030"},{"id":130,"name":"Impact","value":""},{"id":150,"name":"Time of Event (Mountain Time)","value":"12:17:40"},{"id":151,"name":"Denver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435</v>
      </c>
      <c r="B71" s="7">
        <v>4011</v>
      </c>
      <c r="C71" s="24" t="s">
        <v>112</v>
      </c>
      <c r="D71" s="24" t="s">
        <v>282</v>
      </c>
      <c r="E71" s="15">
        <v>42619.45480324074</v>
      </c>
      <c r="F71" s="15">
        <v>42619.458506944444</v>
      </c>
      <c r="G71" s="7">
        <v>1</v>
      </c>
      <c r="H71" s="15" t="s">
        <v>617</v>
      </c>
      <c r="I71" s="15">
        <v>42619.484189814815</v>
      </c>
      <c r="J71" s="7">
        <v>0</v>
      </c>
      <c r="K71" s="132" t="str">
        <f t="shared" si="0"/>
        <v>4011/4012</v>
      </c>
      <c r="L71" s="24" t="str">
        <f>VLOOKUP(A71,'Trips&amp;Operators'!$C$1:$E$10000,3,FALSE)</f>
        <v>BARTLETT</v>
      </c>
      <c r="M71" s="6">
        <f t="shared" si="1"/>
        <v>2.5682870371383615E-2</v>
      </c>
      <c r="N71" s="7">
        <f t="shared" si="21"/>
        <v>36.983333334792405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09:54:55-0600',mode:absolute,to:'2016-09-06 12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71" s="54" t="str">
        <f t="shared" si="6"/>
        <v>N</v>
      </c>
      <c r="X71" s="120">
        <f t="shared" si="22"/>
        <v>1</v>
      </c>
      <c r="Y71" s="69">
        <f t="shared" si="8"/>
        <v>4.6199999999999998E-2</v>
      </c>
      <c r="Z71" s="69">
        <f t="shared" si="9"/>
        <v>23.3383</v>
      </c>
      <c r="AA71" s="69">
        <f t="shared" si="10"/>
        <v>23.292100000000001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0159-06</v>
      </c>
      <c r="AE71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71" s="96" t="str">
        <f t="shared" si="13"/>
        <v>"C:\Program Files (x86)\AstroGrep\AstroGrep.exe" /spath="%USERPROFILE%\AppData\Local\Temp\OnboardLogs" /stypes="*4011*20160906*"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159-06 --locoid 4011 --swversion DE.1.0.7.0 --startMP 204:462 --initTime 2016-09-06T10:54:55 --startdatetime 2016-09-06T11:00:15 --delay 1 --endMP 204:233383 --enddatetime 2016-09-06T11:37:14 --enforcementcount 0 &gt;&gt;C:\Users\stu\Documents\GitHub\eaglep3-reporting\EC\2016-09-06-refined-times.txt</v>
      </c>
      <c r="AI71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{"issue":{"subject":"","project_id":79,"tracker_id":40,"status_id":1,"priority_id":2,"assigned_to_id":23,"start_date":"2016-09-06","description":"","custom_fields":[{"id":1,"name":"Subdivision","value":"EC"},{"id":4,"name":"Milepost","value":"23.2921"},{"id":17,"name":"Train ID","value":"159-06"},{"id":16,"name":"Locomotive ID","value":"4011"},{"id":130,"name":"Impact","value":""},{"id":150,"name":"Time of Event (Mountain Time)","value":"11:37:14"},{"id":151,"name":"Denver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447</v>
      </c>
      <c r="B72" s="7">
        <v>4012</v>
      </c>
      <c r="C72" s="24" t="s">
        <v>112</v>
      </c>
      <c r="D72" s="24" t="s">
        <v>618</v>
      </c>
      <c r="E72" s="15">
        <v>42619.492025462961</v>
      </c>
      <c r="F72" s="15">
        <v>42619.497384259259</v>
      </c>
      <c r="G72" s="7">
        <v>3</v>
      </c>
      <c r="H72" s="15" t="s">
        <v>251</v>
      </c>
      <c r="I72" s="15">
        <v>42619.526886574073</v>
      </c>
      <c r="J72" s="7">
        <v>0</v>
      </c>
      <c r="K72" s="132" t="str">
        <f t="shared" si="0"/>
        <v>4011/4012</v>
      </c>
      <c r="L72" s="24" t="str">
        <f>VLOOKUP(A72,'Trips&amp;Operators'!$C$1:$E$10000,3,FALSE)</f>
        <v>BARTLETT</v>
      </c>
      <c r="M72" s="6">
        <f t="shared" si="1"/>
        <v>2.9502314813726116E-2</v>
      </c>
      <c r="N72" s="7">
        <f t="shared" si="21"/>
        <v>42.483333331765607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10:48:31-0600',mode:absolute,to:'2016-09-06 13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72" s="54" t="str">
        <f t="shared" si="6"/>
        <v>N</v>
      </c>
      <c r="X72" s="120">
        <f t="shared" si="22"/>
        <v>1</v>
      </c>
      <c r="Y72" s="69">
        <f t="shared" si="8"/>
        <v>23.3079</v>
      </c>
      <c r="Z72" s="69">
        <f t="shared" si="9"/>
        <v>1.3599999999999999E-2</v>
      </c>
      <c r="AA72" s="69">
        <f t="shared" si="10"/>
        <v>23.2943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0160-06</v>
      </c>
      <c r="AE72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72" s="96" t="str">
        <f t="shared" si="13"/>
        <v>"C:\Program Files (x86)\AstroGrep\AstroGrep.exe" /spath="%USERPROFILE%\AppData\Local\Temp\OnboardLogs" /stypes="*4012*20160906*"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160-06 --locoid 4012 --swversion DE.1.0.7.0 --startMP 204:233079 --initTime 2016-09-06T11:48:31 --startdatetime 2016-09-06T11:56:14 --delay 3 --endMP 204:136 --enddatetime 2016-09-06T12:38:43 --enforcementcount 0 &gt;&gt;C:\Users\stu\Documents\GitHub\eaglep3-reporting\EC\2016-09-06-refined-times.txt</v>
      </c>
      <c r="AI72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{"issue":{"subject":"","project_id":79,"tracker_id":40,"status_id":1,"priority_id":2,"assigned_to_id":23,"start_date":"2016-09-06","description":"","custom_fields":[{"id":1,"name":"Subdivision","value":"EC"},{"id":4,"name":"Milepost","value":"23.2943"},{"id":17,"name":"Train ID","value":"160-06"},{"id":16,"name":"Locomotive ID","value":"4012"},{"id":130,"name":"Impact","value":""},{"id":150,"name":"Time of Event (Mountain Time)","value":"12:38:43"},{"id":151,"name":"Denver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437</v>
      </c>
      <c r="B73" s="7">
        <v>4002</v>
      </c>
      <c r="C73" s="24" t="s">
        <v>112</v>
      </c>
      <c r="D73" s="24" t="s">
        <v>619</v>
      </c>
      <c r="E73" s="15">
        <v>42619.464201388888</v>
      </c>
      <c r="F73" s="15">
        <v>42619.469027777777</v>
      </c>
      <c r="G73" s="7">
        <v>1</v>
      </c>
      <c r="H73" s="15" t="s">
        <v>290</v>
      </c>
      <c r="I73" s="15">
        <v>42619.493310185186</v>
      </c>
      <c r="J73" s="7">
        <v>0</v>
      </c>
      <c r="K73" s="132" t="str">
        <f t="shared" si="0"/>
        <v>4001/4002</v>
      </c>
      <c r="L73" s="24" t="str">
        <f>VLOOKUP(A73,'Trips&amp;Operators'!$C$1:$E$10000,3,FALSE)</f>
        <v>SANTIZO</v>
      </c>
      <c r="M73" s="6">
        <f t="shared" si="1"/>
        <v>2.4282407408463769E-2</v>
      </c>
      <c r="N73" s="7">
        <f t="shared" si="21"/>
        <v>34.966666668187827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10:08:27-0600',mode:absolute,to:'2016-09-06 12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3" s="54" t="str">
        <f t="shared" si="6"/>
        <v>N</v>
      </c>
      <c r="X73" s="120">
        <f t="shared" si="22"/>
        <v>1</v>
      </c>
      <c r="Y73" s="69">
        <f t="shared" si="8"/>
        <v>5.2900000000000003E-2</v>
      </c>
      <c r="Z73" s="69">
        <f t="shared" si="9"/>
        <v>23.333600000000001</v>
      </c>
      <c r="AA73" s="69">
        <f t="shared" si="10"/>
        <v>23.2807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0161-06</v>
      </c>
      <c r="AE73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73" s="96" t="str">
        <f t="shared" si="13"/>
        <v>"C:\Program Files (x86)\AstroGrep\AstroGrep.exe" /spath="%USERPROFILE%\AppData\Local\Temp\OnboardLogs" /stypes="*4002*20160906*"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161-06 --locoid 4002 --swversion DE.1.0.7.0 --startMP 204:529 --initTime 2016-09-06T11:08:27 --startdatetime 2016-09-06T11:15:24 --delay 1 --endMP 204:233336 --enddatetime 2016-09-06T11:50:22 --enforcementcount 0 &gt;&gt;C:\Users\stu\Documents\GitHub\eaglep3-reporting\EC\2016-09-06-refined-times.txt</v>
      </c>
      <c r="AI73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{"issue":{"subject":"","project_id":79,"tracker_id":40,"status_id":1,"priority_id":2,"assigned_to_id":23,"start_date":"2016-09-06","description":"","custom_fields":[{"id":1,"name":"Subdivision","value":"EC"},{"id":4,"name":"Milepost","value":"23.2807"},{"id":17,"name":"Train ID","value":"161-06"},{"id":16,"name":"Locomotive ID","value":"4002"},{"id":130,"name":"Impact","value":""},{"id":150,"name":"Time of Event (Mountain Time)","value":"11:50:22"},{"id":151,"name":"Denver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448</v>
      </c>
      <c r="B74" s="7">
        <v>4001</v>
      </c>
      <c r="C74" s="24" t="s">
        <v>112</v>
      </c>
      <c r="D74" s="24" t="s">
        <v>233</v>
      </c>
      <c r="E74" s="15">
        <v>42619.494768518518</v>
      </c>
      <c r="F74" s="15">
        <v>42619.507939814815</v>
      </c>
      <c r="G74" s="7">
        <v>1</v>
      </c>
      <c r="H74" s="15" t="s">
        <v>135</v>
      </c>
      <c r="I74" s="15">
        <v>42619.54010416667</v>
      </c>
      <c r="J74" s="7">
        <v>0</v>
      </c>
      <c r="K74" s="132" t="str">
        <f t="shared" si="0"/>
        <v>4001/4002</v>
      </c>
      <c r="L74" s="24" t="str">
        <f>VLOOKUP(A74,'Trips&amp;Operators'!$C$1:$E$10000,3,FALSE)</f>
        <v>SANTIZO</v>
      </c>
      <c r="M74" s="6">
        <f t="shared" si="1"/>
        <v>3.2164351854589768E-2</v>
      </c>
      <c r="N74" s="7">
        <f t="shared" si="21"/>
        <v>46.316666670609266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10:52:28-0600',mode:absolute,to:'2016-09-06 13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4" s="54" t="str">
        <f t="shared" si="6"/>
        <v>N</v>
      </c>
      <c r="X74" s="120">
        <f t="shared" si="22"/>
        <v>1</v>
      </c>
      <c r="Y74" s="69">
        <f t="shared" si="8"/>
        <v>23.299600000000002</v>
      </c>
      <c r="Z74" s="69">
        <f t="shared" si="9"/>
        <v>1.49E-2</v>
      </c>
      <c r="AA74" s="69">
        <f t="shared" si="10"/>
        <v>23.284700000000001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0162-06</v>
      </c>
      <c r="AE74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74" s="96" t="str">
        <f t="shared" si="13"/>
        <v>"C:\Program Files (x86)\AstroGrep\AstroGrep.exe" /spath="%USERPROFILE%\AppData\Local\Temp\OnboardLogs" /stypes="*4001*20160906*"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162-06 --locoid 4001 --swversion DE.1.0.7.0 --startMP 204:232996 --initTime 2016-09-06T11:52:28 --startdatetime 2016-09-06T12:11:26 --delay 1 --endMP 204:149 --enddatetime 2016-09-06T12:57:45 --enforcementcount 0 &gt;&gt;C:\Users\stu\Documents\GitHub\eaglep3-reporting\EC\2016-09-06-refined-times.txt</v>
      </c>
      <c r="AI74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{"issue":{"subject":"","project_id":79,"tracker_id":40,"status_id":1,"priority_id":2,"assigned_to_id":23,"start_date":"2016-09-06","description":"","custom_fields":[{"id":1,"name":"Subdivision","value":"EC"},{"id":4,"name":"Milepost","value":"23.2847"},{"id":17,"name":"Train ID","value":"162-06"},{"id":16,"name":"Locomotive ID","value":"4001"},{"id":130,"name":"Impact","value":""},{"id":150,"name":"Time of Event (Mountain Time)","value":"12:57:45"},{"id":151,"name":"Denver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441</v>
      </c>
      <c r="B75" s="7">
        <v>4042</v>
      </c>
      <c r="C75" s="24" t="s">
        <v>112</v>
      </c>
      <c r="D75" s="24" t="s">
        <v>174</v>
      </c>
      <c r="E75" s="15">
        <v>42619.474270833336</v>
      </c>
      <c r="F75" s="15">
        <v>42619.479409722226</v>
      </c>
      <c r="G75" s="7">
        <v>1</v>
      </c>
      <c r="H75" s="15" t="s">
        <v>609</v>
      </c>
      <c r="I75" s="15">
        <v>42619.504849537036</v>
      </c>
      <c r="J75" s="7">
        <v>0</v>
      </c>
      <c r="K75" s="132" t="str">
        <f t="shared" si="0"/>
        <v>4041/4042</v>
      </c>
      <c r="L75" s="24" t="str">
        <f>VLOOKUP(A75,'Trips&amp;Operators'!$C$1:$E$10000,3,FALSE)</f>
        <v>HELVIE</v>
      </c>
      <c r="M75" s="6">
        <f t="shared" si="1"/>
        <v>2.5439814809942618E-2</v>
      </c>
      <c r="N75" s="7">
        <f t="shared" si="21"/>
        <v>36.63333332631737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10:22:57-0600',mode:absolute,to:'2016-09-06 13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N</v>
      </c>
      <c r="X75" s="120">
        <f t="shared" si="22"/>
        <v>1</v>
      </c>
      <c r="Y75" s="69">
        <f t="shared" si="8"/>
        <v>4.5999999999999999E-2</v>
      </c>
      <c r="Z75" s="69">
        <f t="shared" si="9"/>
        <v>23.33</v>
      </c>
      <c r="AA75" s="69">
        <f t="shared" si="10"/>
        <v>23.283999999999999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0163-06</v>
      </c>
      <c r="AE75" s="99" t="str">
        <f t="shared" si="12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75" s="96" t="str">
        <f t="shared" si="13"/>
        <v>"C:\Program Files (x86)\AstroGrep\AstroGrep.exe" /spath="%USERPROFILE%\AppData\Local\Temp\OnboardLogs" /stypes="*4042*20160906*"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163-06 --locoid 4042 --swversion DE.1.0.7.0 --startMP 204:460 --initTime 2016-09-06T11:22:57 --startdatetime 2016-09-06T11:30:21 --delay 1 --endMP 204:233300 --enddatetime 2016-09-06T12:06:59 --enforcementcount 0 &gt;&gt;C:\Users\stu\Documents\GitHub\eaglep3-reporting\EC\2016-09-06-refined-times.txt</v>
      </c>
      <c r="AI75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ID","value":"163-06"},{"id":16,"name":"Locomotive ID","value":"4042"},{"id":130,"name":"Impact","value":""},{"id":150,"name":"Time of Event (Mountain Time)","value":"12:06:59"},{"id":151,"name":"Denver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453</v>
      </c>
      <c r="B76" s="7">
        <v>4041</v>
      </c>
      <c r="C76" s="24" t="s">
        <v>112</v>
      </c>
      <c r="D76" s="24" t="s">
        <v>309</v>
      </c>
      <c r="E76" s="15">
        <v>42619.515752314815</v>
      </c>
      <c r="F76" s="15">
        <v>42619.518252314818</v>
      </c>
      <c r="G76" s="7">
        <v>1</v>
      </c>
      <c r="H76" s="15" t="s">
        <v>256</v>
      </c>
      <c r="I76" s="15">
        <v>42619.54923611111</v>
      </c>
      <c r="J76" s="7">
        <v>0</v>
      </c>
      <c r="K76" s="132" t="str">
        <f t="shared" si="0"/>
        <v>4041/4042</v>
      </c>
      <c r="L76" s="24" t="str">
        <f>VLOOKUP(A76,'Trips&amp;Operators'!$C$1:$E$10000,3,FALSE)</f>
        <v>HELVIE</v>
      </c>
      <c r="M76" s="6">
        <f t="shared" si="1"/>
        <v>3.0983796292275656E-2</v>
      </c>
      <c r="N76" s="7">
        <f t="shared" si="21"/>
        <v>44.616666660876945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11:22:41-0600',mode:absolute,to:'2016-09-06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6" s="54" t="str">
        <f t="shared" si="6"/>
        <v>N</v>
      </c>
      <c r="X76" s="120">
        <f t="shared" si="22"/>
        <v>1</v>
      </c>
      <c r="Y76" s="69">
        <f t="shared" si="8"/>
        <v>23.298300000000001</v>
      </c>
      <c r="Z76" s="69">
        <f t="shared" si="9"/>
        <v>1.67E-2</v>
      </c>
      <c r="AA76" s="69">
        <f t="shared" si="10"/>
        <v>23.281600000000001</v>
      </c>
      <c r="AB76" s="66" t="str">
        <f>VLOOKUP(A76,Enforcements!$C$7:$K$21,8,0)</f>
        <v>Speed (6)</v>
      </c>
      <c r="AC76" s="62" t="str">
        <f>VLOOKUP(A76,Enforcements!$C$7:$E$21,3,0)</f>
        <v>PERMANENT SPEED RESTRICTION</v>
      </c>
      <c r="AD76" s="63" t="str">
        <f t="shared" si="11"/>
        <v>0164-06</v>
      </c>
      <c r="AE76" s="99" t="str">
        <f t="shared" si="12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76" s="96" t="str">
        <f t="shared" si="13"/>
        <v>"C:\Program Files (x86)\AstroGrep\AstroGrep.exe" /spath="%USERPROFILE%\AppData\Local\Temp\OnboardLogs" /stypes="*4041*20160906*"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164-06 --locoid 4041 --swversion DE.1.0.7.0 --startMP 204:232983 --initTime 2016-09-06T12:22:41 --startdatetime 2016-09-06T12:26:17 --delay 1 --endMP 204:167 --enddatetime 2016-09-06T13:10:54 --enforcementcount 0 &gt;&gt;C:\Users\stu\Documents\GitHub\eaglep3-reporting\EC\2016-09-06-refined-times.txt</v>
      </c>
      <c r="AI76" s="149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ID","value":"164-06"},{"id":16,"name":"Locomotive ID","value":"4041"},{"id":130,"name":"Impact","value":""},{"id":150,"name":"Time of Event (Mountain Time)","value":"13:10:54"},{"id":151,"name":"Denver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445</v>
      </c>
      <c r="B77" s="7">
        <v>4027</v>
      </c>
      <c r="C77" s="24" t="s">
        <v>112</v>
      </c>
      <c r="D77" s="24" t="s">
        <v>282</v>
      </c>
      <c r="E77" s="15">
        <v>42619.485567129632</v>
      </c>
      <c r="F77" s="15">
        <v>42619.489756944444</v>
      </c>
      <c r="G77" s="7">
        <v>1</v>
      </c>
      <c r="H77" s="15" t="s">
        <v>258</v>
      </c>
      <c r="I77" s="15">
        <v>42619.515439814815</v>
      </c>
      <c r="J77" s="7">
        <v>0</v>
      </c>
      <c r="K77" s="132" t="str">
        <f t="shared" ref="K77:K140" si="23">IF(ISEVEN(B77),(B77-1)&amp;"/"&amp;B77,B77&amp;"/"&amp;(B77+1))</f>
        <v>4027/4028</v>
      </c>
      <c r="L77" s="24" t="str">
        <f>VLOOKUP(A77,'Trips&amp;Operators'!$C$1:$E$10000,3,FALSE)</f>
        <v>CRAYTON</v>
      </c>
      <c r="M77" s="6">
        <f t="shared" ref="M77:M140" si="24">I77-F77</f>
        <v>2.5682870371383615E-2</v>
      </c>
      <c r="N77" s="7">
        <f t="shared" si="21"/>
        <v>36.983333334792405</v>
      </c>
      <c r="O77" s="7"/>
      <c r="P77" s="7"/>
      <c r="Q77" s="25"/>
      <c r="R77" s="25"/>
      <c r="S77" s="37">
        <f t="shared" ref="S77:S140" si="25">SUM(U77:U77)/IF(AG77="EC",12,1)</f>
        <v>1</v>
      </c>
      <c r="T77" s="52" t="str">
        <f t="shared" ref="T77:T140" si="26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https://search-rtdc-monitor-bjffxe2xuh6vdkpspy63sjmuny.us-east-1.es.amazonaws.com/_plugin/kibana/#/discover/Steve-Slow-Train-Analysis-(2080s-and-2083s)?_g=(refreshInterval:(display:Off,section:0,value:0),time:(from:'2016-09-06 10:39:13-0600',mode:absolute,to:'2016-09-06 13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7" s="54" t="str">
        <f t="shared" ref="W77:W140" si="28">IF(AA77&lt;IF(AG77="EC",23,5.65),"Y","N")</f>
        <v>N</v>
      </c>
      <c r="X77" s="120">
        <f t="shared" si="22"/>
        <v>1</v>
      </c>
      <c r="Y77" s="69">
        <f t="shared" ref="Y77:Y140" si="29">RIGHT(D77,LEN(D77)-4)/10000</f>
        <v>4.6199999999999998E-2</v>
      </c>
      <c r="Z77" s="69">
        <f t="shared" ref="Z77:Z140" si="30">RIGHT(H77,LEN(H77)-4)/10000</f>
        <v>23.331600000000002</v>
      </c>
      <c r="AA77" s="69">
        <f t="shared" ref="AA77:AA140" si="31">ABS(Z77-Y77)</f>
        <v>23.285400000000003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2">IF(LEN(A77)=6,"0"&amp;A77,A77)</f>
        <v>0165-06</v>
      </c>
      <c r="AE77" s="99" t="str">
        <f t="shared" ref="AE77:AE140" si="33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77" s="96" t="str">
        <f t="shared" ref="AF77:AF140" si="34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/stypes="*4027*20160906*" /stext=" 18:.+((SYSTEM_STATE.+slice.+state.+changed )|(ment ac)|(system.+state.+changed )|(\|lc)|(penalty)|(\[timeout)|(PRM\|1\|D)|(kpr)|(kdp))"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100" t="str">
        <f t="shared" ref="AH77:AH138" si="3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165-06 --locoid 4027 --swversion DE.1.0.7.0 --startMP 204:462 --initTime 2016-09-06T11:39:13 --startdatetime 2016-09-06T11:45:15 --delay 1 --endMP 204:233316 --enddatetime 2016-09-06T12:22:14 --enforcementcount 0 &gt;&gt;C:\Users\stu\Documents\GitHub\eaglep3-reporting\EC\2016-09-06-refined-times.txt</v>
      </c>
      <c r="AI77" s="149" t="str">
        <f t="shared" ref="AI77:AI138" si="3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{"issue":{"subject":"","project_id":79,"tracker_id":40,"status_id":1,"priority_id":2,"assigned_to_id":23,"start_date":"2016-09-06","description":"","custom_fields":[{"id":1,"name":"Subdivision","value":"EC"},{"id":4,"name":"Milepost","value":"23.2854"},{"id":17,"name":"Train ID","value":"165-06"},{"id":16,"name":"Locomotive ID","value":"4027"},{"id":130,"name":"Impact","value":""},{"id":150,"name":"Time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454</v>
      </c>
      <c r="B78" s="7">
        <v>4028</v>
      </c>
      <c r="C78" s="24" t="s">
        <v>112</v>
      </c>
      <c r="D78" s="24" t="s">
        <v>250</v>
      </c>
      <c r="E78" s="15">
        <v>42619.521643518521</v>
      </c>
      <c r="F78" s="15">
        <v>42619.528634259259</v>
      </c>
      <c r="G78" s="7">
        <v>1</v>
      </c>
      <c r="H78" s="15" t="s">
        <v>271</v>
      </c>
      <c r="I78" s="15">
        <v>42619.555798611109</v>
      </c>
      <c r="J78" s="7">
        <v>0</v>
      </c>
      <c r="K78" s="132" t="str">
        <f t="shared" si="23"/>
        <v>4027/4028</v>
      </c>
      <c r="L78" s="24" t="str">
        <f>VLOOKUP(A78,'Trips&amp;Operators'!$C$1:$E$10000,3,FALSE)</f>
        <v>CRAYTON</v>
      </c>
      <c r="M78" s="6">
        <f t="shared" si="24"/>
        <v>2.7164351849933155E-2</v>
      </c>
      <c r="N78" s="7">
        <f t="shared" si="21"/>
        <v>39.116666663903743</v>
      </c>
      <c r="O78" s="7"/>
      <c r="P78" s="7"/>
      <c r="Q78" s="25"/>
      <c r="R78" s="25"/>
      <c r="S78" s="37">
        <f t="shared" si="25"/>
        <v>1</v>
      </c>
      <c r="T78" s="52" t="str">
        <f t="shared" si="26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11:31:10-0600',mode:absolute,to:'2016-09-06 14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8" s="54" t="str">
        <f t="shared" si="28"/>
        <v>N</v>
      </c>
      <c r="X78" s="120">
        <f t="shared" si="22"/>
        <v>1</v>
      </c>
      <c r="Y78" s="69">
        <f t="shared" si="29"/>
        <v>23.299800000000001</v>
      </c>
      <c r="Z78" s="69">
        <f t="shared" si="30"/>
        <v>1.32E-2</v>
      </c>
      <c r="AA78" s="69">
        <f t="shared" si="31"/>
        <v>23.2866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2"/>
        <v>0166-06</v>
      </c>
      <c r="AE78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78" s="96" t="str">
        <f t="shared" si="34"/>
        <v>"C:\Program Files (x86)\AstroGrep\AstroGrep.exe" /spath="%USERPROFILE%\AppData\Local\Temp\OnboardLogs" /stypes="*4028*20160906*" /stext=" 19:.+((SYSTEM_STATE.+slice.+state.+changed )|(ment ac)|(system.+state.+changed )|(\|lc)|(penalty)|(\[timeout)|(PRM\|1\|D)|(kpr)|(kdp))" /e /r /s</v>
      </c>
      <c r="AG78" s="1" t="str">
        <f t="shared" si="35"/>
        <v>EC</v>
      </c>
      <c r="AH78" s="100" t="str">
        <f t="shared" si="36"/>
        <v>"%USERPROFILE%\Documents\GitHub\eaglep3\Utilities\RefineRTDCRunTimes.py" --tripid 166-06 --locoid 4028 --swversion DE.1.0.7.0 --startMP 204:232998 --initTime 2016-09-06T12:31:10 --startdatetime 2016-09-06T12:41:14 --delay 1 --endMP 204:132 --enddatetime 2016-09-06T13:20:21 --enforcementcount 0 &gt;&gt;C:\Users\stu\Documents\GitHub\eaglep3-reporting\EC\2016-09-06-refined-times.txt</v>
      </c>
      <c r="AI7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{"issue":{"subject":"","project_id":79,"tracker_id":40,"status_id":1,"priority_id":2,"assigned_to_id":23,"start_date":"2016-09-06","description":"","custom_fields":[{"id":1,"name":"Subdivision","value":"EC"},{"id":4,"name":"Milepost","value":"23.2866"},{"id":17,"name":"Train ID","value":"166-06"},{"id":16,"name":"Locomotive ID","value":"4028"},{"id":130,"name":"Impact","value":""},{"id":150,"name":"Time of Event (Mountain Time)","value":"13:20:21"},{"id":151,"name":"Denver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449</v>
      </c>
      <c r="B79" s="7">
        <v>4038</v>
      </c>
      <c r="C79" s="24" t="s">
        <v>112</v>
      </c>
      <c r="D79" s="24" t="s">
        <v>602</v>
      </c>
      <c r="E79" s="15">
        <v>42619.49659722222</v>
      </c>
      <c r="F79" s="15">
        <v>42619.5003125</v>
      </c>
      <c r="G79" s="7">
        <v>1</v>
      </c>
      <c r="H79" s="15" t="s">
        <v>236</v>
      </c>
      <c r="I79" s="15">
        <v>42619.532002314816</v>
      </c>
      <c r="J79" s="7">
        <v>0</v>
      </c>
      <c r="K79" s="132" t="str">
        <f t="shared" si="23"/>
        <v>4037/4038</v>
      </c>
      <c r="L79" s="24" t="str">
        <f>VLOOKUP(A79,'Trips&amp;Operators'!$C$1:$E$10000,3,FALSE)</f>
        <v>YOUNG</v>
      </c>
      <c r="M79" s="6">
        <f t="shared" si="24"/>
        <v>3.1689814815763384E-2</v>
      </c>
      <c r="N79" s="7">
        <f t="shared" si="21"/>
        <v>45.633333334699273</v>
      </c>
      <c r="O79" s="7"/>
      <c r="P79" s="7"/>
      <c r="Q79" s="25"/>
      <c r="R79" s="25"/>
      <c r="S79" s="37">
        <f t="shared" si="25"/>
        <v>1</v>
      </c>
      <c r="T79" s="52" t="str">
        <f t="shared" si="26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10:55:06-0600',mode:absolute,to:'2016-09-06 13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9" s="54" t="str">
        <f t="shared" si="28"/>
        <v>N</v>
      </c>
      <c r="X79" s="120">
        <f t="shared" si="22"/>
        <v>1</v>
      </c>
      <c r="Y79" s="69">
        <f t="shared" si="29"/>
        <v>4.7300000000000002E-2</v>
      </c>
      <c r="Z79" s="69">
        <f t="shared" si="30"/>
        <v>23.330200000000001</v>
      </c>
      <c r="AA79" s="69">
        <f t="shared" si="31"/>
        <v>23.282900000000001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2"/>
        <v>0167-06</v>
      </c>
      <c r="AE79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79" s="96" t="str">
        <f t="shared" si="34"/>
        <v>"C:\Program Files (x86)\AstroGrep\AstroGrep.exe" /spath="%USERPROFILE%\AppData\Local\Temp\OnboardLogs" /stypes="*4038*20160906*" /stext=" 18:.+((SYSTEM_STATE.+slice.+state.+changed )|(ment ac)|(system.+state.+changed )|(\|lc)|(penalty)|(\[timeout)|(PRM\|1\|D)|(kpr)|(kdp))" /e /r /s</v>
      </c>
      <c r="AG79" s="1" t="str">
        <f t="shared" si="35"/>
        <v>EC</v>
      </c>
      <c r="AH79" s="100" t="str">
        <f t="shared" si="36"/>
        <v>"%USERPROFILE%\Documents\GitHub\eaglep3\Utilities\RefineRTDCRunTimes.py" --tripid 167-06 --locoid 4038 --swversion DE.1.0.7.0 --startMP 204:473 --initTime 2016-09-06T11:55:06 --startdatetime 2016-09-06T12:00:27 --delay 1 --endMP 204:233302 --enddatetime 2016-09-06T12:46:05 --enforcementcount 0 &gt;&gt;C:\Users\stu\Documents\GitHub\eaglep3-reporting\EC\2016-09-06-refined-times.txt</v>
      </c>
      <c r="AI7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ID","value":"167-06"},{"id":16,"name":"Locomotive ID","value":"4038"},{"id":130,"name":"Impact","value":""},{"id":150,"name":"Time of Event (Mountain Time)","value":"12:46:05"},{"id":151,"name":"Denver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457</v>
      </c>
      <c r="B80" s="7">
        <v>4037</v>
      </c>
      <c r="C80" s="24" t="s">
        <v>112</v>
      </c>
      <c r="D80" s="24" t="s">
        <v>310</v>
      </c>
      <c r="E80" s="15">
        <v>42619.534062500003</v>
      </c>
      <c r="F80" s="15">
        <v>42619.539513888885</v>
      </c>
      <c r="G80" s="7">
        <v>1</v>
      </c>
      <c r="H80" s="15" t="s">
        <v>620</v>
      </c>
      <c r="I80" s="15">
        <v>42619.56958333333</v>
      </c>
      <c r="J80" s="7">
        <v>0</v>
      </c>
      <c r="K80" s="132" t="str">
        <f t="shared" si="23"/>
        <v>4037/4038</v>
      </c>
      <c r="L80" s="24" t="str">
        <f>VLOOKUP(A80,'Trips&amp;Operators'!$C$1:$E$10000,3,FALSE)</f>
        <v>YOUNG</v>
      </c>
      <c r="M80" s="6">
        <f t="shared" si="24"/>
        <v>3.0069444444961846E-2</v>
      </c>
      <c r="N80" s="7">
        <f t="shared" si="21"/>
        <v>43.300000000745058</v>
      </c>
      <c r="O80" s="7"/>
      <c r="P80" s="7"/>
      <c r="Q80" s="25"/>
      <c r="R80" s="25"/>
      <c r="S80" s="37">
        <f t="shared" si="25"/>
        <v>1</v>
      </c>
      <c r="T80" s="52" t="str">
        <f t="shared" si="26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11:49:03-0600',mode:absolute,to:'2016-09-06 14:40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80" s="54" t="str">
        <f t="shared" si="28"/>
        <v>N</v>
      </c>
      <c r="X80" s="120">
        <f t="shared" si="22"/>
        <v>1</v>
      </c>
      <c r="Y80" s="69">
        <f t="shared" si="29"/>
        <v>23.300599999999999</v>
      </c>
      <c r="Z80" s="69">
        <f t="shared" si="30"/>
        <v>1.8100000000000002E-2</v>
      </c>
      <c r="AA80" s="69">
        <f t="shared" si="31"/>
        <v>23.282499999999999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2"/>
        <v>0168-06</v>
      </c>
      <c r="AE80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80" s="96" t="str">
        <f t="shared" si="34"/>
        <v>"C:\Program Files (x86)\AstroGrep\AstroGrep.exe" /spath="%USERPROFILE%\AppData\Local\Temp\OnboardLogs" /stypes="*4037*20160906*" /stext=" 19:.+((SYSTEM_STATE.+slice.+state.+changed )|(ment ac)|(system.+state.+changed )|(\|lc)|(penalty)|(\[timeout)|(PRM\|1\|D)|(kpr)|(kdp))" /e /r /s</v>
      </c>
      <c r="AG80" s="1" t="str">
        <f t="shared" si="35"/>
        <v>EC</v>
      </c>
      <c r="AH80" s="100" t="str">
        <f t="shared" si="36"/>
        <v>"%USERPROFILE%\Documents\GitHub\eaglep3\Utilities\RefineRTDCRunTimes.py" --tripid 168-06 --locoid 4037 --swversion DE.1.0.7.0 --startMP 204:233006 --initTime 2016-09-06T12:49:03 --startdatetime 2016-09-06T12:56:54 --delay 1 --endMP 204:181 --enddatetime 2016-09-06T13:40:12 --enforcementcount 0 &gt;&gt;C:\Users\stu\Documents\GitHub\eaglep3-reporting\EC\2016-09-06-refined-times.txt</v>
      </c>
      <c r="AI8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ID","value":"168-06"},{"id":16,"name":"Locomotive ID","value":"4037"},{"id":130,"name":"Impact","value":""},{"id":150,"name":"Time of Event (Mountain Time)","value":"13:40:12"},{"id":151,"name":"Denver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451</v>
      </c>
      <c r="B81" s="7">
        <v>4025</v>
      </c>
      <c r="C81" s="24" t="s">
        <v>112</v>
      </c>
      <c r="D81" s="24" t="s">
        <v>621</v>
      </c>
      <c r="E81" s="15">
        <v>42619.506701388891</v>
      </c>
      <c r="F81" s="15">
        <v>42619.51253472222</v>
      </c>
      <c r="G81" s="7">
        <v>4</v>
      </c>
      <c r="H81" s="15" t="s">
        <v>298</v>
      </c>
      <c r="I81" s="15">
        <v>42619.542939814812</v>
      </c>
      <c r="J81" s="7">
        <v>0</v>
      </c>
      <c r="K81" s="132" t="str">
        <f t="shared" si="23"/>
        <v>4025/4026</v>
      </c>
      <c r="L81" s="24" t="str">
        <f>VLOOKUP(A81,'Trips&amp;Operators'!$C$1:$E$10000,3,FALSE)</f>
        <v>CLARK</v>
      </c>
      <c r="M81" s="6">
        <f t="shared" si="24"/>
        <v>3.0405092591536231E-2</v>
      </c>
      <c r="N81" s="7">
        <f t="shared" si="21"/>
        <v>43.783333331812173</v>
      </c>
      <c r="O81" s="7"/>
      <c r="P81" s="7"/>
      <c r="Q81" s="25"/>
      <c r="R81" s="25"/>
      <c r="S81" s="37">
        <f t="shared" si="25"/>
        <v>1</v>
      </c>
      <c r="T81" s="52" t="str">
        <f t="shared" si="26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11:09:39-0600',mode:absolute,to:'2016-09-06 14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1" s="54" t="str">
        <f t="shared" si="28"/>
        <v>N</v>
      </c>
      <c r="X81" s="120">
        <f t="shared" si="22"/>
        <v>1</v>
      </c>
      <c r="Y81" s="69">
        <f t="shared" si="29"/>
        <v>4.7500000000000001E-2</v>
      </c>
      <c r="Z81" s="69">
        <f t="shared" si="30"/>
        <v>23.338699999999999</v>
      </c>
      <c r="AA81" s="69">
        <f t="shared" si="31"/>
        <v>23.2912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2"/>
        <v>0169-06</v>
      </c>
      <c r="AE81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81" s="96" t="str">
        <f t="shared" si="34"/>
        <v>"C:\Program Files (x86)\AstroGrep\AstroGrep.exe" /spath="%USERPROFILE%\AppData\Local\Temp\OnboardLogs" /stypes="*4025*20160906*" /stext=" 19:.+((SYSTEM_STATE.+slice.+state.+changed )|(ment ac)|(system.+state.+changed )|(\|lc)|(penalty)|(\[timeout)|(PRM\|1\|D)|(kpr)|(kdp))" /e /r /s</v>
      </c>
      <c r="AG81" s="1" t="str">
        <f t="shared" si="35"/>
        <v>EC</v>
      </c>
      <c r="AH81" s="100" t="str">
        <f t="shared" si="36"/>
        <v>"%USERPROFILE%\Documents\GitHub\eaglep3\Utilities\RefineRTDCRunTimes.py" --tripid 169-06 --locoid 4025 --swversion DE.1.0.7.0 --startMP 204:475 --initTime 2016-09-06T12:09:39 --startdatetime 2016-09-06T12:18:03 --delay 4 --endMP 204:233387 --enddatetime 2016-09-06T13:01:50 --enforcementcount 0 &gt;&gt;C:\Users\stu\Documents\GitHub\eaglep3-reporting\EC\2016-09-06-refined-times.txt</v>
      </c>
      <c r="AI8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{"issue":{"subject":"","project_id":79,"tracker_id":40,"status_id":1,"priority_id":2,"assigned_to_id":23,"start_date":"2016-09-06","description":"","custom_fields":[{"id":1,"name":"Subdivision","value":"EC"},{"id":4,"name":"Milepost","value":"23.2912"},{"id":17,"name":"Train ID","value":"169-06"},{"id":16,"name":"Locomotive ID","value":"4025"},{"id":130,"name":"Impact","value":""},{"id":150,"name":"Time of Event (Mountain Time)","value":"13:01:50"},{"id":151,"name":"Denver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459</v>
      </c>
      <c r="B82" s="7">
        <v>4026</v>
      </c>
      <c r="C82" s="24" t="s">
        <v>112</v>
      </c>
      <c r="D82" s="24" t="s">
        <v>590</v>
      </c>
      <c r="E82" s="15">
        <v>42619.546817129631</v>
      </c>
      <c r="F82" s="15">
        <v>42619.550046296295</v>
      </c>
      <c r="G82" s="7">
        <v>1</v>
      </c>
      <c r="H82" s="15" t="s">
        <v>149</v>
      </c>
      <c r="I82" s="15">
        <v>42619.580370370371</v>
      </c>
      <c r="J82" s="7">
        <v>0</v>
      </c>
      <c r="K82" s="132" t="str">
        <f t="shared" si="23"/>
        <v>4025/4026</v>
      </c>
      <c r="L82" s="24" t="str">
        <f>VLOOKUP(A82,'Trips&amp;Operators'!$C$1:$E$10000,3,FALSE)</f>
        <v>CLARK</v>
      </c>
      <c r="M82" s="6">
        <f t="shared" si="24"/>
        <v>3.0324074075906537E-2</v>
      </c>
      <c r="N82" s="7">
        <f t="shared" si="21"/>
        <v>43.666666669305414</v>
      </c>
      <c r="O82" s="7"/>
      <c r="P82" s="7"/>
      <c r="Q82" s="25"/>
      <c r="R82" s="25"/>
      <c r="S82" s="37">
        <f t="shared" si="25"/>
        <v>1</v>
      </c>
      <c r="T82" s="52" t="str">
        <f t="shared" si="26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12:07:25-0600',mode:absolute,to:'2016-09-06 14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82" s="54" t="str">
        <f t="shared" si="28"/>
        <v>N</v>
      </c>
      <c r="X82" s="120">
        <f t="shared" si="22"/>
        <v>1</v>
      </c>
      <c r="Y82" s="69">
        <f t="shared" si="29"/>
        <v>23.2988</v>
      </c>
      <c r="Z82" s="69">
        <f t="shared" si="30"/>
        <v>1.54E-2</v>
      </c>
      <c r="AA82" s="69">
        <f t="shared" si="31"/>
        <v>23.2834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2"/>
        <v>0170-06</v>
      </c>
      <c r="AE82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82" s="96" t="str">
        <f t="shared" si="34"/>
        <v>"C:\Program Files (x86)\AstroGrep\AstroGrep.exe" /spath="%USERPROFILE%\AppData\Local\Temp\OnboardLogs" /stypes="*4026*20160906*" /stext=" 19:.+((SYSTEM_STATE.+slice.+state.+changed )|(ment ac)|(system.+state.+changed )|(\|lc)|(penalty)|(\[timeout)|(PRM\|1\|D)|(kpr)|(kdp))" /e /r /s</v>
      </c>
      <c r="AG82" s="1" t="str">
        <f t="shared" si="35"/>
        <v>EC</v>
      </c>
      <c r="AH82" s="100" t="str">
        <f t="shared" si="36"/>
        <v>"%USERPROFILE%\Documents\GitHub\eaglep3\Utilities\RefineRTDCRunTimes.py" --tripid 170-06 --locoid 4026 --swversion DE.1.0.7.0 --startMP 204:232988 --initTime 2016-09-06T13:07:25 --startdatetime 2016-09-06T13:12:04 --delay 1 --endMP 204:154 --enddatetime 2016-09-06T13:55:44 --enforcementcount 0 &gt;&gt;C:\Users\stu\Documents\GitHub\eaglep3-reporting\EC\2016-09-06-refined-times.txt</v>
      </c>
      <c r="AI8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{"issue":{"subject":"","project_id":79,"tracker_id":40,"status_id":1,"priority_id":2,"assigned_to_id":23,"start_date":"2016-09-06","description":"","custom_fields":[{"id":1,"name":"Subdivision","value":"EC"},{"id":4,"name":"Milepost","value":"23.2834"},{"id":17,"name":"Train ID","value":"170-06"},{"id":16,"name":"Locomotive ID","value":"4026"},{"id":130,"name":"Impact","value":""},{"id":150,"name":"Time of Event (Mountain Time)","value":"13:55:44"},{"id":151,"name":"Denver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23" customFormat="1" x14ac:dyDescent="0.25">
      <c r="A83" s="39" t="s">
        <v>452</v>
      </c>
      <c r="B83" s="7">
        <v>4029</v>
      </c>
      <c r="C83" s="24" t="s">
        <v>112</v>
      </c>
      <c r="D83" s="24" t="s">
        <v>147</v>
      </c>
      <c r="E83" s="15">
        <v>42619.515601851854</v>
      </c>
      <c r="F83" s="15">
        <v>42619.521226851852</v>
      </c>
      <c r="G83" s="7">
        <v>2</v>
      </c>
      <c r="H83" s="15" t="s">
        <v>236</v>
      </c>
      <c r="I83" s="15">
        <v>42619.548344907409</v>
      </c>
      <c r="J83" s="7">
        <v>0</v>
      </c>
      <c r="K83" s="132" t="str">
        <f t="shared" si="23"/>
        <v>4029/4030</v>
      </c>
      <c r="L83" s="24" t="str">
        <f>VLOOKUP(A83,'Trips&amp;Operators'!$C$1:$E$10000,3,FALSE)</f>
        <v>ROCHA</v>
      </c>
      <c r="M83" s="6">
        <f t="shared" si="24"/>
        <v>2.7118055557366461E-2</v>
      </c>
      <c r="N83" s="7">
        <f t="shared" si="21"/>
        <v>39.050000002607703</v>
      </c>
      <c r="O83" s="7"/>
      <c r="P83" s="7"/>
      <c r="Q83" s="25"/>
      <c r="R83" s="25"/>
      <c r="S83" s="37">
        <f t="shared" si="25"/>
        <v>1</v>
      </c>
      <c r="T83" s="52" t="str">
        <f t="shared" si="26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11:22:28-0600',mode:absolute,to:'2016-09-06 14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83" s="54" t="str">
        <f t="shared" si="28"/>
        <v>N</v>
      </c>
      <c r="X83" s="120">
        <f t="shared" si="22"/>
        <v>1</v>
      </c>
      <c r="Y83" s="69">
        <f t="shared" si="29"/>
        <v>4.5100000000000001E-2</v>
      </c>
      <c r="Z83" s="69">
        <f t="shared" si="30"/>
        <v>23.330200000000001</v>
      </c>
      <c r="AA83" s="69">
        <f t="shared" si="31"/>
        <v>23.2851</v>
      </c>
      <c r="AB83" s="66" t="str">
        <f>VLOOKUP(A83,Enforcements!$C$7:$K$21,8,0)</f>
        <v>Speed (6)</v>
      </c>
      <c r="AC83" s="62" t="str">
        <f>VLOOKUP(A83,Enforcements!$C$7:$E$21,3,0)</f>
        <v>PERMANENT SPEED RESTRICTION</v>
      </c>
      <c r="AD83" s="63" t="str">
        <f t="shared" si="32"/>
        <v>0171-06</v>
      </c>
      <c r="AE83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83" s="96" t="str">
        <f t="shared" si="34"/>
        <v>"C:\Program Files (x86)\AstroGrep\AstroGrep.exe" /spath="%USERPROFILE%\AppData\Local\Temp\OnboardLogs" /stypes="*4029*20160906*" /stext=" 19:.+((SYSTEM_STATE.+slice.+state.+changed )|(ment ac)|(system.+state.+changed )|(\|lc)|(penalty)|(\[timeout)|(PRM\|1\|D)|(kpr)|(kdp))" /e /r /s</v>
      </c>
      <c r="AG83" s="1" t="str">
        <f t="shared" si="35"/>
        <v>EC</v>
      </c>
      <c r="AH83" s="100" t="str">
        <f t="shared" si="36"/>
        <v>"%USERPROFILE%\Documents\GitHub\eaglep3\Utilities\RefineRTDCRunTimes.py" --tripid 171-06 --locoid 4029 --swversion DE.1.0.7.0 --startMP 204:451 --initTime 2016-09-06T12:22:28 --startdatetime 2016-09-06T12:30:34 --delay 2 --endMP 204:233302 --enddatetime 2016-09-06T13:09:37 --enforcementcount 0 &gt;&gt;C:\Users\stu\Documents\GitHub\eaglep3-reporting\EC\2016-09-06-refined-times.txt</v>
      </c>
      <c r="AI8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{"issue":{"subject":"","project_id":79,"tracker_id":40,"status_id":1,"priority_id":2,"assigned_to_id":23,"start_date":"2016-09-06","description":"","custom_fields":[{"id":1,"name":"Subdivision","value":"EC"},{"id":4,"name":"Milepost","value":"23.2851"},{"id":17,"name":"Train ID","value":"171-06"},{"id":16,"name":"Locomotive ID","value":"4029"},{"id":130,"name":"Impact","value":""},{"id":150,"name":"Time of Event (Mountain Time)","value":"13:09:37"},{"id":151,"name":"Denver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462</v>
      </c>
      <c r="B84" s="7">
        <v>4030</v>
      </c>
      <c r="C84" s="24" t="s">
        <v>112</v>
      </c>
      <c r="D84" s="24" t="s">
        <v>622</v>
      </c>
      <c r="E84" s="15">
        <v>42619.552766203706</v>
      </c>
      <c r="F84" s="15">
        <v>42619.56</v>
      </c>
      <c r="G84" s="7">
        <v>1</v>
      </c>
      <c r="H84" s="15" t="s">
        <v>271</v>
      </c>
      <c r="I84" s="15">
        <v>42619.586608796293</v>
      </c>
      <c r="J84" s="7">
        <v>0</v>
      </c>
      <c r="K84" s="132" t="str">
        <f t="shared" si="23"/>
        <v>4029/4030</v>
      </c>
      <c r="L84" s="24" t="str">
        <f>VLOOKUP(A84,'Trips&amp;Operators'!$C$1:$E$10000,3,FALSE)</f>
        <v>ROCHA</v>
      </c>
      <c r="M84" s="6">
        <f t="shared" si="24"/>
        <v>2.6608796295477077E-2</v>
      </c>
      <c r="N84" s="7">
        <f t="shared" si="21"/>
        <v>38.316666665486991</v>
      </c>
      <c r="O84" s="7"/>
      <c r="P84" s="7"/>
      <c r="Q84" s="25"/>
      <c r="R84" s="25"/>
      <c r="S84" s="37">
        <f t="shared" si="25"/>
        <v>1</v>
      </c>
      <c r="T84" s="52" t="str">
        <f t="shared" si="26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12:15:59-0600',mode:absolute,to:'2016-09-06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84" s="54" t="str">
        <f t="shared" si="28"/>
        <v>N</v>
      </c>
      <c r="X84" s="120">
        <f t="shared" si="22"/>
        <v>1</v>
      </c>
      <c r="Y84" s="69">
        <f t="shared" si="29"/>
        <v>23.299299999999999</v>
      </c>
      <c r="Z84" s="69">
        <f t="shared" si="30"/>
        <v>1.32E-2</v>
      </c>
      <c r="AA84" s="69">
        <f t="shared" si="31"/>
        <v>23.286099999999998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2"/>
        <v>0172-06</v>
      </c>
      <c r="AE84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84" s="96" t="str">
        <f t="shared" si="34"/>
        <v>"C:\Program Files (x86)\AstroGrep\AstroGrep.exe" /spath="%USERPROFILE%\AppData\Local\Temp\OnboardLogs" /stypes="*4030*20160906*" /stext=" 20:.+((SYSTEM_STATE.+slice.+state.+changed )|(ment ac)|(system.+state.+changed )|(\|lc)|(penalty)|(\[timeout)|(PRM\|1\|D)|(kpr)|(kdp))" /e /r /s</v>
      </c>
      <c r="AG84" s="1" t="str">
        <f t="shared" si="35"/>
        <v>EC</v>
      </c>
      <c r="AH84" s="100" t="str">
        <f t="shared" si="36"/>
        <v>"%USERPROFILE%\Documents\GitHub\eaglep3\Utilities\RefineRTDCRunTimes.py" --tripid 172-06 --locoid 4030 --swversion DE.1.0.7.0 --startMP 204:232993 --initTime 2016-09-06T13:15:59 --startdatetime 2016-09-06T13:26:24 --delay 1 --endMP 204:132 --enddatetime 2016-09-06T14:04:43 --enforcementcount 0 &gt;&gt;C:\Users\stu\Documents\GitHub\eaglep3-reporting\EC\2016-09-06-refined-times.txt</v>
      </c>
      <c r="AI8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{"issue":{"subject":"","project_id":79,"tracker_id":40,"status_id":1,"priority_id":2,"assigned_to_id":23,"start_date":"2016-09-06","description":"","custom_fields":[{"id":1,"name":"Subdivision","value":"EC"},{"id":4,"name":"Milepost","value":"23.2861"},{"id":17,"name":"Train ID","value":"172-06"},{"id":16,"name":"Locomotive ID","value":"4030"},{"id":130,"name":"Impact","value":""},{"id":150,"name":"Time of Event (Mountain Time)","value":"14:04:43"},{"id":151,"name":"Denver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x14ac:dyDescent="0.25">
      <c r="A85" s="39" t="s">
        <v>456</v>
      </c>
      <c r="B85" s="7">
        <v>4011</v>
      </c>
      <c r="C85" s="24" t="s">
        <v>112</v>
      </c>
      <c r="D85" s="24" t="s">
        <v>147</v>
      </c>
      <c r="E85" s="15">
        <v>42619.528136574074</v>
      </c>
      <c r="F85" s="15">
        <v>42619.531435185185</v>
      </c>
      <c r="G85" s="7">
        <v>1</v>
      </c>
      <c r="H85" s="15" t="s">
        <v>302</v>
      </c>
      <c r="I85" s="15">
        <v>42619.557233796295</v>
      </c>
      <c r="J85" s="7">
        <v>0</v>
      </c>
      <c r="K85" s="132" t="str">
        <f t="shared" si="23"/>
        <v>4011/4012</v>
      </c>
      <c r="L85" s="24" t="str">
        <f>VLOOKUP(A85,'Trips&amp;Operators'!$C$1:$E$10000,3,FALSE)</f>
        <v>BARTLETT</v>
      </c>
      <c r="M85" s="6">
        <f t="shared" si="24"/>
        <v>2.5798611110076308E-2</v>
      </c>
      <c r="N85" s="7">
        <f t="shared" si="21"/>
        <v>37.149999998509884</v>
      </c>
      <c r="O85" s="7"/>
      <c r="P85" s="7"/>
      <c r="Q85" s="25"/>
      <c r="R85" s="25"/>
      <c r="S85" s="37">
        <f t="shared" si="25"/>
        <v>1</v>
      </c>
      <c r="T85" s="52" t="str">
        <f t="shared" si="26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11:40:31-0600',mode:absolute,to:'2016-09-06 14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5" s="54" t="str">
        <f t="shared" si="28"/>
        <v>N</v>
      </c>
      <c r="X85" s="120">
        <f t="shared" si="22"/>
        <v>1</v>
      </c>
      <c r="Y85" s="69">
        <f t="shared" si="29"/>
        <v>4.5100000000000001E-2</v>
      </c>
      <c r="Z85" s="69">
        <f t="shared" si="30"/>
        <v>23.330500000000001</v>
      </c>
      <c r="AA85" s="69">
        <f t="shared" si="31"/>
        <v>23.285399999999999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2"/>
        <v>0173-06</v>
      </c>
      <c r="AE85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85" s="96" t="str">
        <f t="shared" si="34"/>
        <v>"C:\Program Files (x86)\AstroGrep\AstroGrep.exe" /spath="%USERPROFILE%\AppData\Local\Temp\OnboardLogs" /stypes="*4011*20160906*" /stext=" 19:.+((SYSTEM_STATE.+slice.+state.+changed )|(ment ac)|(system.+state.+changed )|(\|lc)|(penalty)|(\[timeout)|(PRM\|1\|D)|(kpr)|(kdp))" /e /r /s</v>
      </c>
      <c r="AG85" s="1" t="str">
        <f t="shared" si="35"/>
        <v>EC</v>
      </c>
      <c r="AH85" s="100" t="str">
        <f t="shared" si="36"/>
        <v>"%USERPROFILE%\Documents\GitHub\eaglep3\Utilities\RefineRTDCRunTimes.py" --tripid 173-06 --locoid 4011 --swversion DE.1.0.7.0 --startMP 204:451 --initTime 2016-09-06T12:40:31 --startdatetime 2016-09-06T12:45:16 --delay 1 --endMP 204:233305 --enddatetime 2016-09-06T13:22:25 --enforcementcount 0 &gt;&gt;C:\Users\stu\Documents\GitHub\eaglep3-reporting\EC\2016-09-06-refined-times.txt</v>
      </c>
      <c r="AI8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{"issue":{"subject":"","project_id":79,"tracker_id":40,"status_id":1,"priority_id":2,"assigned_to_id":23,"start_date":"2016-09-06","description":"","custom_fields":[{"id":1,"name":"Subdivision","value":"EC"},{"id":4,"name":"Milepost","value":"23.2854"},{"id":17,"name":"Train ID","value":"173-06"},{"id":16,"name":"Locomotive ID","value":"4011"},{"id":130,"name":"Impact","value":""},{"id":150,"name":"Time of Event (Mountain Time)","value":"13:22:25"},{"id":151,"name":"Denver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23" customFormat="1" x14ac:dyDescent="0.25">
      <c r="A86" s="39" t="s">
        <v>464</v>
      </c>
      <c r="B86" s="7">
        <v>4012</v>
      </c>
      <c r="C86" s="24" t="s">
        <v>112</v>
      </c>
      <c r="D86" s="24" t="s">
        <v>590</v>
      </c>
      <c r="E86" s="15">
        <v>42619.559236111112</v>
      </c>
      <c r="F86" s="15">
        <v>42619.570324074077</v>
      </c>
      <c r="G86" s="7">
        <v>1</v>
      </c>
      <c r="H86" s="15" t="s">
        <v>238</v>
      </c>
      <c r="I86" s="15">
        <v>42619.598217592589</v>
      </c>
      <c r="J86" s="7">
        <v>0</v>
      </c>
      <c r="K86" s="132" t="str">
        <f t="shared" si="23"/>
        <v>4011/4012</v>
      </c>
      <c r="L86" s="24" t="str">
        <f>VLOOKUP(A86,'Trips&amp;Operators'!$C$1:$E$10000,3,FALSE)</f>
        <v>BARTLETT</v>
      </c>
      <c r="M86" s="6">
        <f t="shared" si="24"/>
        <v>2.7893518512428273E-2</v>
      </c>
      <c r="N86" s="7">
        <f t="shared" si="21"/>
        <v>40.166666657896712</v>
      </c>
      <c r="O86" s="7"/>
      <c r="P86" s="7"/>
      <c r="Q86" s="25"/>
      <c r="R86" s="25"/>
      <c r="S86" s="37">
        <f t="shared" si="25"/>
        <v>1</v>
      </c>
      <c r="T86" s="52" t="str">
        <f t="shared" si="26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12:25:18-0600',mode:absolute,to:'2016-09-06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6" s="54" t="str">
        <f t="shared" si="28"/>
        <v>N</v>
      </c>
      <c r="X86" s="120">
        <f t="shared" si="22"/>
        <v>1</v>
      </c>
      <c r="Y86" s="69">
        <f t="shared" si="29"/>
        <v>23.2988</v>
      </c>
      <c r="Z86" s="69">
        <f t="shared" si="30"/>
        <v>1.41E-2</v>
      </c>
      <c r="AA86" s="69">
        <f t="shared" si="31"/>
        <v>23.284700000000001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2"/>
        <v>0174-06</v>
      </c>
      <c r="AE86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86" s="96" t="str">
        <f t="shared" si="34"/>
        <v>"C:\Program Files (x86)\AstroGrep\AstroGrep.exe" /spath="%USERPROFILE%\AppData\Local\Temp\OnboardLogs" /stypes="*4012*20160906*" /stext=" 20:.+((SYSTEM_STATE.+slice.+state.+changed )|(ment ac)|(system.+state.+changed )|(\|lc)|(penalty)|(\[timeout)|(PRM\|1\|D)|(kpr)|(kdp))" /e /r /s</v>
      </c>
      <c r="AG86" s="1" t="str">
        <f t="shared" si="35"/>
        <v>EC</v>
      </c>
      <c r="AH86" s="100" t="str">
        <f t="shared" si="36"/>
        <v>"%USERPROFILE%\Documents\GitHub\eaglep3\Utilities\RefineRTDCRunTimes.py" --tripid 174-06 --locoid 4012 --swversion DE.1.0.7.0 --startMP 204:232988 --initTime 2016-09-06T13:25:18 --startdatetime 2016-09-06T13:41:16 --delay 1 --endMP 204:141 --enddatetime 2016-09-06T14:21:26 --enforcementcount 0 &gt;&gt;C:\Users\stu\Documents\GitHub\eaglep3-reporting\EC\2016-09-06-refined-times.txt</v>
      </c>
      <c r="AI8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{"issue":{"subject":"","project_id":79,"tracker_id":40,"status_id":1,"priority_id":2,"assigned_to_id":23,"start_date":"2016-09-06","description":"","custom_fields":[{"id":1,"name":"Subdivision","value":"EC"},{"id":4,"name":"Milepost","value":"23.2847"},{"id":17,"name":"Train ID","value":"174-06"},{"id":16,"name":"Locomotive ID","value":"4012"},{"id":130,"name":"Impact","value":""},{"id":150,"name":"Time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458</v>
      </c>
      <c r="B87" s="7">
        <v>4002</v>
      </c>
      <c r="C87" s="24" t="s">
        <v>112</v>
      </c>
      <c r="D87" s="24" t="s">
        <v>174</v>
      </c>
      <c r="E87" s="15">
        <v>42619.541863425926</v>
      </c>
      <c r="F87" s="15">
        <v>42619.543668981481</v>
      </c>
      <c r="G87" s="7">
        <v>1</v>
      </c>
      <c r="H87" s="15" t="s">
        <v>623</v>
      </c>
      <c r="I87" s="15">
        <v>42619.572951388887</v>
      </c>
      <c r="J87" s="7">
        <v>0</v>
      </c>
      <c r="K87" s="132" t="str">
        <f t="shared" si="23"/>
        <v>4001/4002</v>
      </c>
      <c r="L87" s="24" t="str">
        <f>VLOOKUP(A87,'Trips&amp;Operators'!$C$1:$E$10000,3,FALSE)</f>
        <v>SANTIZO</v>
      </c>
      <c r="M87" s="6">
        <f t="shared" si="24"/>
        <v>2.9282407405844424E-2</v>
      </c>
      <c r="N87" s="7">
        <f t="shared" si="21"/>
        <v>42.16666666441597</v>
      </c>
      <c r="O87" s="7"/>
      <c r="P87" s="7"/>
      <c r="Q87" s="25"/>
      <c r="R87" s="25"/>
      <c r="S87" s="37">
        <f t="shared" si="25"/>
        <v>1</v>
      </c>
      <c r="T87" s="52" t="str">
        <f t="shared" si="26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12:00:17-0600',mode:absolute,to:'2016-09-06 14:45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7" s="54" t="str">
        <f t="shared" si="28"/>
        <v>N</v>
      </c>
      <c r="X87" s="120">
        <f t="shared" si="22"/>
        <v>1</v>
      </c>
      <c r="Y87" s="69">
        <f t="shared" si="29"/>
        <v>4.5999999999999999E-2</v>
      </c>
      <c r="Z87" s="69">
        <f t="shared" si="30"/>
        <v>23.323799999999999</v>
      </c>
      <c r="AA87" s="69">
        <f t="shared" si="31"/>
        <v>23.277799999999999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2"/>
        <v>0175-06</v>
      </c>
      <c r="AE87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87" s="96" t="str">
        <f t="shared" si="34"/>
        <v>"C:\Program Files (x86)\AstroGrep\AstroGrep.exe" /spath="%USERPROFILE%\AppData\Local\Temp\OnboardLogs" /stypes="*4002*20160906*" /stext=" 19:.+((SYSTEM_STATE.+slice.+state.+changed )|(ment ac)|(system.+state.+changed )|(\|lc)|(penalty)|(\[timeout)|(PRM\|1\|D)|(kpr)|(kdp))" /e /r /s</v>
      </c>
      <c r="AG87" s="1" t="str">
        <f t="shared" si="35"/>
        <v>EC</v>
      </c>
      <c r="AH87" s="100" t="str">
        <f t="shared" si="36"/>
        <v>"%USERPROFILE%\Documents\GitHub\eaglep3\Utilities\RefineRTDCRunTimes.py" --tripid 175-06 --locoid 4002 --swversion DE.1.0.7.0 --startMP 204:460 --initTime 2016-09-06T13:00:17 --startdatetime 2016-09-06T13:02:53 --delay 1 --endMP 204:233238 --enddatetime 2016-09-06T13:45:03 --enforcementcount 0 &gt;&gt;C:\Users\stu\Documents\GitHub\eaglep3-reporting\EC\2016-09-06-refined-times.txt</v>
      </c>
      <c r="AI8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{"issue":{"subject":"","project_id":79,"tracker_id":40,"status_id":1,"priority_id":2,"assigned_to_id":23,"start_date":"2016-09-06","description":"","custom_fields":[{"id":1,"name":"Subdivision","value":"EC"},{"id":4,"name":"Milepost","value":"23.2778"},{"id":17,"name":"Train ID","value":"175-06"},{"id":16,"name":"Locomotive ID","value":"4002"},{"id":130,"name":"Impact","value":""},{"id":150,"name":"Time of Event (Mountain Time)","value":"13:45:03"},{"id":151,"name":"Denver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467</v>
      </c>
      <c r="B88" s="7">
        <v>4001</v>
      </c>
      <c r="C88" s="24" t="s">
        <v>112</v>
      </c>
      <c r="D88" s="24" t="s">
        <v>624</v>
      </c>
      <c r="E88" s="15">
        <v>42619.576423611114</v>
      </c>
      <c r="F88" s="15">
        <v>42619.580821759257</v>
      </c>
      <c r="G88" s="7">
        <v>1</v>
      </c>
      <c r="H88" s="15" t="s">
        <v>625</v>
      </c>
      <c r="I88" s="15">
        <v>42619.611296296294</v>
      </c>
      <c r="J88" s="7">
        <v>0</v>
      </c>
      <c r="K88" s="132" t="str">
        <f t="shared" si="23"/>
        <v>4001/4002</v>
      </c>
      <c r="L88" s="24" t="str">
        <f>VLOOKUP(A88,'Trips&amp;Operators'!$C$1:$E$10000,3,FALSE)</f>
        <v>SANTIZO</v>
      </c>
      <c r="M88" s="6">
        <f t="shared" si="24"/>
        <v>3.047453703766223E-2</v>
      </c>
      <c r="N88" s="7">
        <f t="shared" si="21"/>
        <v>43.883333334233612</v>
      </c>
      <c r="O88" s="7"/>
      <c r="P88" s="7"/>
      <c r="Q88" s="25"/>
      <c r="R88" s="25"/>
      <c r="S88" s="37">
        <f t="shared" si="25"/>
        <v>1</v>
      </c>
      <c r="T88" s="52" t="str">
        <f t="shared" si="26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12:50:03-0600',mode:absolute,to:'2016-09-06 15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8" s="54" t="str">
        <f t="shared" si="28"/>
        <v>N</v>
      </c>
      <c r="X88" s="120">
        <f t="shared" si="22"/>
        <v>1</v>
      </c>
      <c r="Y88" s="69">
        <f t="shared" si="29"/>
        <v>23.2925</v>
      </c>
      <c r="Z88" s="69">
        <f t="shared" si="30"/>
        <v>1.3899999999999999E-2</v>
      </c>
      <c r="AA88" s="69">
        <f t="shared" si="31"/>
        <v>23.278600000000001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2"/>
        <v>0176-06</v>
      </c>
      <c r="AE88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88" s="96" t="str">
        <f t="shared" si="34"/>
        <v>"C:\Program Files (x86)\AstroGrep\AstroGrep.exe" /spath="%USERPROFILE%\AppData\Local\Temp\OnboardLogs" /stypes="*4001*20160906*" /stext=" 20:.+((SYSTEM_STATE.+slice.+state.+changed )|(ment ac)|(system.+state.+changed )|(\|lc)|(penalty)|(\[timeout)|(PRM\|1\|D)|(kpr)|(kdp))" /e /r /s</v>
      </c>
      <c r="AG88" s="1" t="str">
        <f t="shared" si="35"/>
        <v>EC</v>
      </c>
      <c r="AH88" s="100" t="str">
        <f t="shared" si="36"/>
        <v>"%USERPROFILE%\Documents\GitHub\eaglep3\Utilities\RefineRTDCRunTimes.py" --tripid 176-06 --locoid 4001 --swversion DE.1.0.7.0 --startMP 204:232925 --initTime 2016-09-06T13:50:03 --startdatetime 2016-09-06T13:56:23 --delay 1 --endMP 204:139 --enddatetime 2016-09-06T14:40:16 --enforcementcount 0 &gt;&gt;C:\Users\stu\Documents\GitHub\eaglep3-reporting\EC\2016-09-06-refined-times.txt</v>
      </c>
      <c r="AI8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{"issue":{"subject":"","project_id":79,"tracker_id":40,"status_id":1,"priority_id":2,"assigned_to_id":23,"start_date":"2016-09-06","description":"","custom_fields":[{"id":1,"name":"Subdivision","value":"EC"},{"id":4,"name":"Milepost","value":"23.2786"},{"id":17,"name":"Train ID","value":"176-06"},{"id":16,"name":"Locomotive ID","value":"4001"},{"id":130,"name":"Impact","value":""},{"id":150,"name":"Time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461</v>
      </c>
      <c r="B89" s="7">
        <v>4042</v>
      </c>
      <c r="C89" s="24" t="s">
        <v>112</v>
      </c>
      <c r="D89" s="24" t="s">
        <v>295</v>
      </c>
      <c r="E89" s="15">
        <v>42619.552025462966</v>
      </c>
      <c r="F89" s="15">
        <v>42619.553287037037</v>
      </c>
      <c r="G89" s="7">
        <v>1</v>
      </c>
      <c r="H89" s="15" t="s">
        <v>626</v>
      </c>
      <c r="I89" s="15">
        <v>42619.583819444444</v>
      </c>
      <c r="J89" s="7">
        <v>0</v>
      </c>
      <c r="K89" s="132" t="str">
        <f t="shared" si="23"/>
        <v>4041/4042</v>
      </c>
      <c r="L89" s="24" t="str">
        <f>VLOOKUP(A89,'Trips&amp;Operators'!$C$1:$E$10000,3,FALSE)</f>
        <v>HELVIE</v>
      </c>
      <c r="M89" s="6">
        <f t="shared" si="24"/>
        <v>3.0532407407008577E-2</v>
      </c>
      <c r="N89" s="7">
        <f t="shared" si="21"/>
        <v>43.966666666092351</v>
      </c>
      <c r="O89" s="7"/>
      <c r="P89" s="7"/>
      <c r="Q89" s="25"/>
      <c r="R89" s="25"/>
      <c r="S89" s="37">
        <f t="shared" si="25"/>
        <v>1</v>
      </c>
      <c r="T89" s="52" t="str">
        <f t="shared" si="26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12:14:55-0600',mode:absolute,to:'2016-09-06 15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9" s="54" t="str">
        <f t="shared" si="28"/>
        <v>N</v>
      </c>
      <c r="X89" s="120">
        <f t="shared" si="22"/>
        <v>1</v>
      </c>
      <c r="Y89" s="69">
        <f t="shared" si="29"/>
        <v>4.4600000000000001E-2</v>
      </c>
      <c r="Z89" s="69">
        <f t="shared" si="30"/>
        <v>23.3309</v>
      </c>
      <c r="AA89" s="69">
        <f t="shared" si="31"/>
        <v>23.286300000000001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2"/>
        <v>0177-06</v>
      </c>
      <c r="AE89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89" s="96" t="str">
        <f t="shared" si="34"/>
        <v>"C:\Program Files (x86)\AstroGrep\AstroGrep.exe" /spath="%USERPROFILE%\AppData\Local\Temp\OnboardLogs" /stypes="*4042*20160906*" /stext=" 20:.+((SYSTEM_STATE.+slice.+state.+changed )|(ment ac)|(system.+state.+changed )|(\|lc)|(penalty)|(\[timeout)|(PRM\|1\|D)|(kpr)|(kdp))" /e /r /s</v>
      </c>
      <c r="AG89" s="1" t="str">
        <f t="shared" si="35"/>
        <v>EC</v>
      </c>
      <c r="AH89" s="100" t="str">
        <f t="shared" si="36"/>
        <v>"%USERPROFILE%\Documents\GitHub\eaglep3\Utilities\RefineRTDCRunTimes.py" --tripid 177-06 --locoid 4042 --swversion DE.1.0.7.0 --startMP 204:446 --initTime 2016-09-06T13:14:55 --startdatetime 2016-09-06T13:16:44 --delay 1 --endMP 204:233309 --enddatetime 2016-09-06T14:00:42 --enforcementcount 0 &gt;&gt;C:\Users\stu\Documents\GitHub\eaglep3-reporting\EC\2016-09-06-refined-times.txt</v>
      </c>
      <c r="AI8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{"issue":{"subject":"","project_id":79,"tracker_id":40,"status_id":1,"priority_id":2,"assigned_to_id":23,"start_date":"2016-09-06","description":"","custom_fields":[{"id":1,"name":"Subdivision","value":"EC"},{"id":4,"name":"Milepost","value":"23.2863"},{"id":17,"name":"Train ID","value":"177-06"},{"id":16,"name":"Locomotive ID","value":"4042"},{"id":130,"name":"Impact","value":""},{"id":150,"name":"Time of Event (Mountain Time)","value":"14:00:42"},{"id":151,"name":"Denver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469</v>
      </c>
      <c r="B90" s="7">
        <v>4041</v>
      </c>
      <c r="C90" s="24" t="s">
        <v>112</v>
      </c>
      <c r="D90" s="24" t="s">
        <v>627</v>
      </c>
      <c r="E90" s="15">
        <v>42619.588113425925</v>
      </c>
      <c r="F90" s="15">
        <v>42619.591238425928</v>
      </c>
      <c r="G90" s="7">
        <v>1</v>
      </c>
      <c r="H90" s="15" t="s">
        <v>314</v>
      </c>
      <c r="I90" s="15">
        <v>42619.619155092594</v>
      </c>
      <c r="J90" s="7">
        <v>0</v>
      </c>
      <c r="K90" s="132" t="str">
        <f t="shared" si="23"/>
        <v>4041/4042</v>
      </c>
      <c r="L90" s="24" t="str">
        <f>VLOOKUP(A90,'Trips&amp;Operators'!$C$1:$E$10000,3,FALSE)</f>
        <v>HELVIE</v>
      </c>
      <c r="M90" s="6">
        <f t="shared" si="24"/>
        <v>2.7916666665987577E-2</v>
      </c>
      <c r="N90" s="7">
        <f t="shared" si="21"/>
        <v>40.199999999022111</v>
      </c>
      <c r="O90" s="7"/>
      <c r="P90" s="7"/>
      <c r="Q90" s="25"/>
      <c r="R90" s="25"/>
      <c r="S90" s="37">
        <f t="shared" si="25"/>
        <v>1</v>
      </c>
      <c r="T90" s="52" t="str">
        <f t="shared" si="26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13:06:53-0600',mode:absolute,to:'2016-09-06 15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0" s="54" t="str">
        <f t="shared" si="28"/>
        <v>N</v>
      </c>
      <c r="X90" s="120">
        <f t="shared" si="22"/>
        <v>1</v>
      </c>
      <c r="Y90" s="69">
        <f t="shared" si="29"/>
        <v>23.2973</v>
      </c>
      <c r="Z90" s="69">
        <f t="shared" si="30"/>
        <v>1.6500000000000001E-2</v>
      </c>
      <c r="AA90" s="69">
        <f t="shared" si="31"/>
        <v>23.280799999999999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2"/>
        <v>0178-06</v>
      </c>
      <c r="AE90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90" s="96" t="str">
        <f t="shared" si="34"/>
        <v>"C:\Program Files (x86)\AstroGrep\AstroGrep.exe" /spath="%USERPROFILE%\AppData\Local\Temp\OnboardLogs" /stypes="*4041*20160906*" /stext=" 20:.+((SYSTEM_STATE.+slice.+state.+changed )|(ment ac)|(system.+state.+changed )|(\|lc)|(penalty)|(\[timeout)|(PRM\|1\|D)|(kpr)|(kdp))" /e /r /s</v>
      </c>
      <c r="AG90" s="1" t="str">
        <f t="shared" si="35"/>
        <v>EC</v>
      </c>
      <c r="AH90" s="100" t="str">
        <f t="shared" si="36"/>
        <v>"%USERPROFILE%\Documents\GitHub\eaglep3\Utilities\RefineRTDCRunTimes.py" --tripid 178-06 --locoid 4041 --swversion DE.1.0.7.0 --startMP 204:232973 --initTime 2016-09-06T14:06:53 --startdatetime 2016-09-06T14:11:23 --delay 1 --endMP 204:165 --enddatetime 2016-09-06T14:51:35 --enforcementcount 0 &gt;&gt;C:\Users\stu\Documents\GitHub\eaglep3-reporting\EC\2016-09-06-refined-times.txt</v>
      </c>
      <c r="AI9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{"issue":{"subject":"","project_id":79,"tracker_id":40,"status_id":1,"priority_id":2,"assigned_to_id":23,"start_date":"2016-09-06","description":"","custom_fields":[{"id":1,"name":"Subdivision","value":"EC"},{"id":4,"name":"Milepost","value":"23.2808"},{"id":17,"name":"Train ID","value":"178-06"},{"id":16,"name":"Locomotive ID","value":"4041"},{"id":130,"name":"Impact","value":""},{"id":150,"name":"Time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463</v>
      </c>
      <c r="B91" s="7">
        <v>4027</v>
      </c>
      <c r="C91" s="24" t="s">
        <v>112</v>
      </c>
      <c r="D91" s="24" t="s">
        <v>252</v>
      </c>
      <c r="E91" s="15">
        <v>42619.557326388887</v>
      </c>
      <c r="F91" s="15">
        <v>42619.562650462962</v>
      </c>
      <c r="G91" s="7">
        <v>1</v>
      </c>
      <c r="H91" s="15" t="s">
        <v>173</v>
      </c>
      <c r="I91" s="15">
        <v>42619.590613425928</v>
      </c>
      <c r="J91" s="7">
        <v>0</v>
      </c>
      <c r="K91" s="132" t="str">
        <f t="shared" si="23"/>
        <v>4027/4028</v>
      </c>
      <c r="L91" s="24" t="str">
        <f>VLOOKUP(A91,'Trips&amp;Operators'!$C$1:$E$10000,3,FALSE)</f>
        <v>CRAYTON</v>
      </c>
      <c r="M91" s="6">
        <f t="shared" si="24"/>
        <v>2.7962962965830229E-2</v>
      </c>
      <c r="N91" s="7">
        <f t="shared" si="21"/>
        <v>40.26666667079553</v>
      </c>
      <c r="O91" s="7"/>
      <c r="P91" s="7"/>
      <c r="Q91" s="25"/>
      <c r="R91" s="25"/>
      <c r="S91" s="37">
        <f t="shared" si="25"/>
        <v>1</v>
      </c>
      <c r="T91" s="52" t="str">
        <f t="shared" si="26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12:22:33-0600',mode:absolute,to:'2016-09-06 15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1" s="54" t="str">
        <f t="shared" si="28"/>
        <v>N</v>
      </c>
      <c r="X91" s="120">
        <f t="shared" si="22"/>
        <v>1</v>
      </c>
      <c r="Y91" s="69">
        <f t="shared" si="29"/>
        <v>4.6399999999999997E-2</v>
      </c>
      <c r="Z91" s="69">
        <f t="shared" si="30"/>
        <v>23.3293</v>
      </c>
      <c r="AA91" s="69">
        <f t="shared" si="31"/>
        <v>23.282900000000001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2"/>
        <v>0179-06</v>
      </c>
      <c r="AE91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91" s="96" t="str">
        <f t="shared" si="34"/>
        <v>"C:\Program Files (x86)\AstroGrep\AstroGrep.exe" /spath="%USERPROFILE%\AppData\Local\Temp\OnboardLogs" /stypes="*4027*20160906*" /stext=" 20:.+((SYSTEM_STATE.+slice.+state.+changed )|(ment ac)|(system.+state.+changed )|(\|lc)|(penalty)|(\[timeout)|(PRM\|1\|D)|(kpr)|(kdp))" /e /r /s</v>
      </c>
      <c r="AG91" s="1" t="str">
        <f t="shared" si="35"/>
        <v>EC</v>
      </c>
      <c r="AH91" s="100" t="str">
        <f t="shared" si="36"/>
        <v>"%USERPROFILE%\Documents\GitHub\eaglep3\Utilities\RefineRTDCRunTimes.py" --tripid 179-06 --locoid 4027 --swversion DE.1.0.7.0 --startMP 204:464 --initTime 2016-09-06T13:22:33 --startdatetime 2016-09-06T13:30:13 --delay 1 --endMP 204:233293 --enddatetime 2016-09-06T14:10:29 --enforcementcount 0 &gt;&gt;C:\Users\stu\Documents\GitHub\eaglep3-reporting\EC\2016-09-06-refined-times.txt</v>
      </c>
      <c r="AI9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ID","value":"179-06"},{"id":16,"name":"Locomotive ID","value":"4027"},{"id":130,"name":"Impact","value":""},{"id":150,"name":"Time of Event (Mountain Time)","value":"14:10:29"},{"id":151,"name":"Denver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472</v>
      </c>
      <c r="B92" s="7">
        <v>4028</v>
      </c>
      <c r="C92" s="24" t="s">
        <v>112</v>
      </c>
      <c r="D92" s="24" t="s">
        <v>628</v>
      </c>
      <c r="E92" s="15">
        <v>42619.596655092595</v>
      </c>
      <c r="F92" s="15">
        <v>42619.601539351854</v>
      </c>
      <c r="G92" s="7">
        <v>1</v>
      </c>
      <c r="H92" s="15" t="s">
        <v>251</v>
      </c>
      <c r="I92" s="15">
        <v>42619.630798611113</v>
      </c>
      <c r="J92" s="7">
        <v>0</v>
      </c>
      <c r="K92" s="132" t="str">
        <f t="shared" si="23"/>
        <v>4027/4028</v>
      </c>
      <c r="L92" s="24" t="str">
        <f>VLOOKUP(A92,'Trips&amp;Operators'!$C$1:$E$10000,3,FALSE)</f>
        <v>CRAYTON</v>
      </c>
      <c r="M92" s="6">
        <f t="shared" si="24"/>
        <v>2.9259259259561077E-2</v>
      </c>
      <c r="N92" s="7">
        <f t="shared" si="21"/>
        <v>42.133333333767951</v>
      </c>
      <c r="O92" s="7"/>
      <c r="P92" s="7"/>
      <c r="Q92" s="25"/>
      <c r="R92" s="25"/>
      <c r="S92" s="37">
        <f t="shared" si="25"/>
        <v>1</v>
      </c>
      <c r="T92" s="52" t="str">
        <f t="shared" si="26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13:19:11-0600',mode:absolute,to:'2016-09-06 16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2" s="54" t="str">
        <f t="shared" si="28"/>
        <v>N</v>
      </c>
      <c r="X92" s="120">
        <f t="shared" si="22"/>
        <v>1</v>
      </c>
      <c r="Y92" s="69">
        <f t="shared" si="29"/>
        <v>23.298100000000002</v>
      </c>
      <c r="Z92" s="69">
        <f t="shared" si="30"/>
        <v>1.3599999999999999E-2</v>
      </c>
      <c r="AA92" s="69">
        <f t="shared" si="31"/>
        <v>23.284500000000001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2"/>
        <v>0180-06</v>
      </c>
      <c r="AE92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92" s="96" t="str">
        <f t="shared" si="34"/>
        <v>"C:\Program Files (x86)\AstroGrep\AstroGrep.exe" /spath="%USERPROFILE%\AppData\Local\Temp\OnboardLogs" /stypes="*4028*20160906*" /stext=" 21:.+((SYSTEM_STATE.+slice.+state.+changed )|(ment ac)|(system.+state.+changed )|(\|lc)|(penalty)|(\[timeout)|(PRM\|1\|D)|(kpr)|(kdp))" /e /r /s</v>
      </c>
      <c r="AG92" s="1" t="str">
        <f t="shared" si="35"/>
        <v>EC</v>
      </c>
      <c r="AH92" s="100" t="str">
        <f t="shared" si="36"/>
        <v>"%USERPROFILE%\Documents\GitHub\eaglep3\Utilities\RefineRTDCRunTimes.py" --tripid 180-06 --locoid 4028 --swversion DE.1.0.7.0 --startMP 204:232981 --initTime 2016-09-06T14:19:11 --startdatetime 2016-09-06T14:26:13 --delay 1 --endMP 204:136 --enddatetime 2016-09-06T15:08:21 --enforcementcount 0 &gt;&gt;C:\Users\stu\Documents\GitHub\eaglep3-reporting\EC\2016-09-06-refined-times.txt</v>
      </c>
      <c r="AI9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{"issue":{"subject":"","project_id":79,"tracker_id":40,"status_id":1,"priority_id":2,"assigned_to_id":23,"start_date":"2016-09-06","description":"","custom_fields":[{"id":1,"name":"Subdivision","value":"EC"},{"id":4,"name":"Milepost","value":"23.2845"},{"id":17,"name":"Train ID","value":"180-06"},{"id":16,"name":"Locomotive ID","value":"4028"},{"id":130,"name":"Impact","value":""},{"id":150,"name":"Time of Event (Mountain Time)","value":"15:08:21"},{"id":151,"name":"Denver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466</v>
      </c>
      <c r="B93" s="7">
        <v>4038</v>
      </c>
      <c r="C93" s="24" t="s">
        <v>112</v>
      </c>
      <c r="D93" s="24" t="s">
        <v>629</v>
      </c>
      <c r="E93" s="15">
        <v>42619.571504629632</v>
      </c>
      <c r="F93" s="15">
        <v>42619.573321759257</v>
      </c>
      <c r="G93" s="7">
        <v>1</v>
      </c>
      <c r="H93" s="15" t="s">
        <v>301</v>
      </c>
      <c r="I93" s="15">
        <v>42619.600613425922</v>
      </c>
      <c r="J93" s="7">
        <v>0</v>
      </c>
      <c r="K93" s="132" t="str">
        <f t="shared" si="23"/>
        <v>4037/4038</v>
      </c>
      <c r="L93" s="24" t="str">
        <f>VLOOKUP(A93,'Trips&amp;Operators'!$C$1:$E$10000,3,FALSE)</f>
        <v>YOUNG</v>
      </c>
      <c r="M93" s="6">
        <f t="shared" si="24"/>
        <v>2.7291666665405501E-2</v>
      </c>
      <c r="N93" s="7">
        <f t="shared" si="21"/>
        <v>39.299999998183921</v>
      </c>
      <c r="O93" s="7"/>
      <c r="P93" s="7"/>
      <c r="Q93" s="25"/>
      <c r="R93" s="25"/>
      <c r="S93" s="37">
        <f t="shared" si="25"/>
        <v>1</v>
      </c>
      <c r="T93" s="52" t="str">
        <f t="shared" si="26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12:42:58-0600',mode:absolute,to:'2016-09-06 15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3" s="54" t="str">
        <f t="shared" si="28"/>
        <v>N</v>
      </c>
      <c r="X93" s="120">
        <f t="shared" si="22"/>
        <v>1</v>
      </c>
      <c r="Y93" s="69">
        <f t="shared" si="29"/>
        <v>4.82E-2</v>
      </c>
      <c r="Z93" s="69">
        <f t="shared" si="30"/>
        <v>23.328900000000001</v>
      </c>
      <c r="AA93" s="69">
        <f t="shared" si="31"/>
        <v>23.2807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2"/>
        <v>0181-06</v>
      </c>
      <c r="AE93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93" s="96" t="str">
        <f t="shared" si="34"/>
        <v>"C:\Program Files (x86)\AstroGrep\AstroGrep.exe" /spath="%USERPROFILE%\AppData\Local\Temp\OnboardLogs" /stypes="*4038*20160906*" /stext=" 20:.+((SYSTEM_STATE.+slice.+state.+changed )|(ment ac)|(system.+state.+changed )|(\|lc)|(penalty)|(\[timeout)|(PRM\|1\|D)|(kpr)|(kdp))" /e /r /s</v>
      </c>
      <c r="AG93" s="1" t="str">
        <f t="shared" si="35"/>
        <v>EC</v>
      </c>
      <c r="AH93" s="100" t="str">
        <f t="shared" si="36"/>
        <v>"%USERPROFILE%\Documents\GitHub\eaglep3\Utilities\RefineRTDCRunTimes.py" --tripid 181-06 --locoid 4038 --swversion DE.1.0.7.0 --startMP 204:482 --initTime 2016-09-06T13:42:58 --startdatetime 2016-09-06T13:45:35 --delay 1 --endMP 204:233289 --enddatetime 2016-09-06T14:24:53 --enforcementcount 0 &gt;&gt;C:\Users\stu\Documents\GitHub\eaglep3-reporting\EC\2016-09-06-refined-times.txt</v>
      </c>
      <c r="AI9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{"issue":{"subject":"","project_id":79,"tracker_id":40,"status_id":1,"priority_id":2,"assigned_to_id":23,"start_date":"2016-09-06","description":"","custom_fields":[{"id":1,"name":"Subdivision","value":"EC"},{"id":4,"name":"Milepost","value":"23.2807"},{"id":17,"name":"Train ID","value":"181-06"},{"id":16,"name":"Locomotive ID","value":"4038"},{"id":130,"name":"Impact","value":""},{"id":150,"name":"Time of Event (Mountain Time)","value":"14:24:53"},{"id":151,"name":"Denver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474</v>
      </c>
      <c r="B94" s="7">
        <v>4037</v>
      </c>
      <c r="C94" s="24" t="s">
        <v>112</v>
      </c>
      <c r="D94" s="24" t="s">
        <v>255</v>
      </c>
      <c r="E94" s="15">
        <v>42619.60738425926</v>
      </c>
      <c r="F94" s="15">
        <v>42619.612280092595</v>
      </c>
      <c r="G94" s="7">
        <v>1</v>
      </c>
      <c r="H94" s="15" t="s">
        <v>89</v>
      </c>
      <c r="I94" s="15">
        <v>42619.642939814818</v>
      </c>
      <c r="J94" s="7">
        <v>0</v>
      </c>
      <c r="K94" s="132" t="str">
        <f t="shared" si="23"/>
        <v>4037/4038</v>
      </c>
      <c r="L94" s="24" t="str">
        <f>VLOOKUP(A94,'Trips&amp;Operators'!$C$1:$E$10000,3,FALSE)</f>
        <v>YOUNG</v>
      </c>
      <c r="M94" s="6">
        <f t="shared" si="24"/>
        <v>3.0659722222480923E-2</v>
      </c>
      <c r="N94" s="7">
        <f t="shared" si="21"/>
        <v>44.150000000372529</v>
      </c>
      <c r="O94" s="7"/>
      <c r="P94" s="7"/>
      <c r="Q94" s="25"/>
      <c r="R94" s="25"/>
      <c r="S94" s="37">
        <f t="shared" si="25"/>
        <v>1</v>
      </c>
      <c r="T94" s="52" t="str">
        <f t="shared" si="26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13:34:38-0600',mode:absolute,to:'2016-09-06 16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4" s="54" t="str">
        <f t="shared" si="28"/>
        <v>N</v>
      </c>
      <c r="X94" s="120">
        <f t="shared" si="22"/>
        <v>1</v>
      </c>
      <c r="Y94" s="69">
        <f t="shared" si="29"/>
        <v>23.2986</v>
      </c>
      <c r="Z94" s="69">
        <f t="shared" si="30"/>
        <v>1.43E-2</v>
      </c>
      <c r="AA94" s="69">
        <f t="shared" si="31"/>
        <v>23.284300000000002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2"/>
        <v>0182-06</v>
      </c>
      <c r="AE94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94" s="96" t="str">
        <f t="shared" si="34"/>
        <v>"C:\Program Files (x86)\AstroGrep\AstroGrep.exe" /spath="%USERPROFILE%\AppData\Local\Temp\OnboardLogs" /stypes="*4037*20160906*" /stext=" 21:.+((SYSTEM_STATE.+slice.+state.+changed )|(ment ac)|(system.+state.+changed )|(\|lc)|(penalty)|(\[timeout)|(PRM\|1\|D)|(kpr)|(kdp))" /e /r /s</v>
      </c>
      <c r="AG94" s="1" t="str">
        <f t="shared" si="35"/>
        <v>EC</v>
      </c>
      <c r="AH94" s="100" t="str">
        <f t="shared" si="36"/>
        <v>"%USERPROFILE%\Documents\GitHub\eaglep3\Utilities\RefineRTDCRunTimes.py" --tripid 182-06 --locoid 4037 --swversion DE.1.0.7.0 --startMP 204:232986 --initTime 2016-09-06T14:34:38 --startdatetime 2016-09-06T14:41:41 --delay 1 --endMP 204:143 --enddatetime 2016-09-06T15:25:50 --enforcementcount 0 &gt;&gt;C:\Users\stu\Documents\GitHub\eaglep3-reporting\EC\2016-09-06-refined-times.txt</v>
      </c>
      <c r="AI9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{"issue":{"subject":"","project_id":79,"tracker_id":40,"status_id":1,"priority_id":2,"assigned_to_id":23,"start_date":"2016-09-06","description":"","custom_fields":[{"id":1,"name":"Subdivision","value":"EC"},{"id":4,"name":"Milepost","value":"23.2843"},{"id":17,"name":"Train ID","value":"182-06"},{"id":16,"name":"Locomotive ID","value":"4037"},{"id":130,"name":"Impact","value":""},{"id":150,"name":"Time of Event (Mountain Time)","value":"15:25:50"},{"id":151,"name":"Denver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468</v>
      </c>
      <c r="B95" s="7">
        <v>4025</v>
      </c>
      <c r="C95" s="24" t="s">
        <v>112</v>
      </c>
      <c r="D95" s="24" t="s">
        <v>629</v>
      </c>
      <c r="E95" s="15">
        <v>42619.582175925927</v>
      </c>
      <c r="F95" s="15">
        <v>42619.584097222221</v>
      </c>
      <c r="G95" s="7">
        <v>1</v>
      </c>
      <c r="H95" s="15" t="s">
        <v>630</v>
      </c>
      <c r="I95" s="15">
        <v>42619.610798611109</v>
      </c>
      <c r="J95" s="7">
        <v>0</v>
      </c>
      <c r="K95" s="132" t="str">
        <f t="shared" si="23"/>
        <v>4025/4026</v>
      </c>
      <c r="L95" s="24" t="str">
        <f>VLOOKUP(A95,'Trips&amp;Operators'!$C$1:$E$10000,3,FALSE)</f>
        <v>CLARK</v>
      </c>
      <c r="M95" s="6">
        <f t="shared" si="24"/>
        <v>2.6701388887886424E-2</v>
      </c>
      <c r="N95" s="7">
        <f t="shared" ref="N95:N126" si="38">24*60*SUM($M95:$M95)</f>
        <v>38.44999999855645</v>
      </c>
      <c r="O95" s="7"/>
      <c r="P95" s="7"/>
      <c r="Q95" s="25"/>
      <c r="R95" s="25"/>
      <c r="S95" s="37">
        <f t="shared" si="25"/>
        <v>1</v>
      </c>
      <c r="T95" s="52" t="str">
        <f t="shared" si="26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12:58:20-0600',mode:absolute,to:'2016-09-06 15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95" s="54" t="str">
        <f t="shared" si="28"/>
        <v>N</v>
      </c>
      <c r="X95" s="120">
        <f t="shared" si="22"/>
        <v>1</v>
      </c>
      <c r="Y95" s="69">
        <f t="shared" si="29"/>
        <v>4.82E-2</v>
      </c>
      <c r="Z95" s="69">
        <f t="shared" si="30"/>
        <v>23.333100000000002</v>
      </c>
      <c r="AA95" s="69">
        <f t="shared" si="31"/>
        <v>23.2849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2"/>
        <v>0183-06</v>
      </c>
      <c r="AE95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95" s="96" t="str">
        <f t="shared" si="34"/>
        <v>"C:\Program Files (x86)\AstroGrep\AstroGrep.exe" /spath="%USERPROFILE%\AppData\Local\Temp\OnboardLogs" /stypes="*4025*20160906*" /stext=" 20:.+((SYSTEM_STATE.+slice.+state.+changed )|(ment ac)|(system.+state.+changed )|(\|lc)|(penalty)|(\[timeout)|(PRM\|1\|D)|(kpr)|(kdp))" /e /r /s</v>
      </c>
      <c r="AG95" s="1" t="str">
        <f t="shared" si="35"/>
        <v>EC</v>
      </c>
      <c r="AH95" s="100" t="str">
        <f t="shared" si="36"/>
        <v>"%USERPROFILE%\Documents\GitHub\eaglep3\Utilities\RefineRTDCRunTimes.py" --tripid 183-06 --locoid 4025 --swversion DE.1.0.7.0 --startMP 204:482 --initTime 2016-09-06T13:58:20 --startdatetime 2016-09-06T14:01:06 --delay 1 --endMP 204:233331 --enddatetime 2016-09-06T14:39:33 --enforcementcount 0 &gt;&gt;C:\Users\stu\Documents\GitHub\eaglep3-reporting\EC\2016-09-06-refined-times.txt</v>
      </c>
      <c r="AI9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ID","value":"183-06"},{"id":16,"name":"Locomotive ID","value":"4025"},{"id":130,"name":"Impact","value":""},{"id":150,"name":"Time of Event (Mountain Time)","value":"14:39:33"},{"id":151,"name":"Denver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477</v>
      </c>
      <c r="B96" s="7">
        <v>4026</v>
      </c>
      <c r="C96" s="24" t="s">
        <v>112</v>
      </c>
      <c r="D96" s="24" t="s">
        <v>631</v>
      </c>
      <c r="E96" s="15">
        <v>42619.619317129633</v>
      </c>
      <c r="F96" s="15">
        <v>42619.62263888889</v>
      </c>
      <c r="G96" s="7">
        <v>1</v>
      </c>
      <c r="H96" s="15" t="s">
        <v>592</v>
      </c>
      <c r="I96" s="15">
        <v>42619.651712962965</v>
      </c>
      <c r="J96" s="7">
        <v>0</v>
      </c>
      <c r="K96" s="132" t="str">
        <f t="shared" si="23"/>
        <v>4025/4026</v>
      </c>
      <c r="L96" s="24" t="str">
        <f>VLOOKUP(A96,'Trips&amp;Operators'!$C$1:$E$10000,3,FALSE)</f>
        <v>CLARK</v>
      </c>
      <c r="M96" s="6">
        <f t="shared" si="24"/>
        <v>2.9074074074742384E-2</v>
      </c>
      <c r="N96" s="7">
        <f t="shared" si="38"/>
        <v>41.866666667629033</v>
      </c>
      <c r="O96" s="7"/>
      <c r="P96" s="7"/>
      <c r="Q96" s="25"/>
      <c r="R96" s="25"/>
      <c r="S96" s="37">
        <f t="shared" si="25"/>
        <v>1</v>
      </c>
      <c r="T96" s="52" t="str">
        <f t="shared" si="26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13:51:49-0600',mode:absolute,to:'2016-09-06 16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6" s="54" t="str">
        <f t="shared" si="28"/>
        <v>N</v>
      </c>
      <c r="X96" s="120">
        <f t="shared" si="22"/>
        <v>1</v>
      </c>
      <c r="Y96" s="69">
        <f t="shared" si="29"/>
        <v>23.300799999999999</v>
      </c>
      <c r="Z96" s="69">
        <f t="shared" si="30"/>
        <v>1.34E-2</v>
      </c>
      <c r="AA96" s="69">
        <f t="shared" si="31"/>
        <v>23.287399999999998</v>
      </c>
      <c r="AB96" s="66" t="str">
        <f>VLOOKUP(A96,Enforcements!$C$7:$K$21,8,0)</f>
        <v>Speed (6)</v>
      </c>
      <c r="AC96" s="62" t="str">
        <f>VLOOKUP(A96,Enforcements!$C$7:$E$21,3,0)</f>
        <v>PERMANENT SPEED RESTRICTION</v>
      </c>
      <c r="AD96" s="63" t="str">
        <f t="shared" si="32"/>
        <v>0184-06</v>
      </c>
      <c r="AE96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96" s="96" t="str">
        <f t="shared" si="34"/>
        <v>"C:\Program Files (x86)\AstroGrep\AstroGrep.exe" /spath="%USERPROFILE%\AppData\Local\Temp\OnboardLogs" /stypes="*4026*20160906*" /stext=" 21:.+((SYSTEM_STATE.+slice.+state.+changed )|(ment ac)|(system.+state.+changed )|(\|lc)|(penalty)|(\[timeout)|(PRM\|1\|D)|(kpr)|(kdp))" /e /r /s</v>
      </c>
      <c r="AG96" s="1" t="str">
        <f t="shared" si="35"/>
        <v>EC</v>
      </c>
      <c r="AH96" s="100" t="str">
        <f t="shared" si="36"/>
        <v>"%USERPROFILE%\Documents\GitHub\eaglep3\Utilities\RefineRTDCRunTimes.py" --tripid 184-06 --locoid 4026 --swversion DE.1.0.7.0 --startMP 204:233008 --initTime 2016-09-06T14:51:49 --startdatetime 2016-09-06T14:56:36 --delay 1 --endMP 204:134 --enddatetime 2016-09-06T15:38:28 --enforcementcount 0 &gt;&gt;C:\Users\stu\Documents\GitHub\eaglep3-reporting\EC\2016-09-06-refined-times.txt</v>
      </c>
      <c r="AI9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{"issue":{"subject":"","project_id":79,"tracker_id":40,"status_id":1,"priority_id":2,"assigned_to_id":23,"start_date":"2016-09-06","description":"","custom_fields":[{"id":1,"name":"Subdivision","value":"EC"},{"id":4,"name":"Milepost","value":"23.2874"},{"id":17,"name":"Train ID","value":"184-06"},{"id":16,"name":"Locomotive ID","value":"4026"},{"id":130,"name":"Impact","value":""},{"id":150,"name":"Time of Event (Mountain Time)","value":"15:38:28"},{"id":151,"name":"Denver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470</v>
      </c>
      <c r="B97" s="7">
        <v>4029</v>
      </c>
      <c r="C97" s="24" t="s">
        <v>112</v>
      </c>
      <c r="D97" s="24" t="s">
        <v>124</v>
      </c>
      <c r="E97" s="15">
        <v>42619.588553240741</v>
      </c>
      <c r="F97" s="15">
        <v>42619.593877314815</v>
      </c>
      <c r="G97" s="7">
        <v>1</v>
      </c>
      <c r="H97" s="15" t="s">
        <v>227</v>
      </c>
      <c r="I97" s="15">
        <v>42619.621550925927</v>
      </c>
      <c r="J97" s="7">
        <v>0</v>
      </c>
      <c r="K97" s="132" t="str">
        <f t="shared" si="23"/>
        <v>4029/4030</v>
      </c>
      <c r="L97" s="24" t="str">
        <f>VLOOKUP(A97,'Trips&amp;Operators'!$C$1:$E$10000,3,FALSE)</f>
        <v>ROCHA</v>
      </c>
      <c r="M97" s="6">
        <f t="shared" si="24"/>
        <v>2.7673611111822538E-2</v>
      </c>
      <c r="N97" s="7">
        <f t="shared" si="38"/>
        <v>39.850000001024455</v>
      </c>
      <c r="O97" s="7"/>
      <c r="P97" s="7"/>
      <c r="Q97" s="25"/>
      <c r="R97" s="25"/>
      <c r="S97" s="37">
        <f t="shared" si="25"/>
        <v>1</v>
      </c>
      <c r="T97" s="52" t="str">
        <f t="shared" si="26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13:07:31-0600',mode:absolute,to:'2016-09-06 15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7" s="54" t="str">
        <f t="shared" si="28"/>
        <v>N</v>
      </c>
      <c r="X97" s="120">
        <f t="shared" ref="X97:X103" si="39">VALUE(LEFT(AD97,4))-VALUE(LEFT(AD96,4))</f>
        <v>1</v>
      </c>
      <c r="Y97" s="69">
        <f t="shared" si="29"/>
        <v>4.5499999999999999E-2</v>
      </c>
      <c r="Z97" s="69">
        <f t="shared" si="30"/>
        <v>23.329699999999999</v>
      </c>
      <c r="AA97" s="69">
        <f t="shared" si="31"/>
        <v>23.284199999999998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2"/>
        <v>0185-06</v>
      </c>
      <c r="AE97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97" s="96" t="str">
        <f t="shared" si="34"/>
        <v>"C:\Program Files (x86)\AstroGrep\AstroGrep.exe" /spath="%USERPROFILE%\AppData\Local\Temp\OnboardLogs" /stypes="*4029*20160906*" /stext=" 20:.+((SYSTEM_STATE.+slice.+state.+changed )|(ment ac)|(system.+state.+changed )|(\|lc)|(penalty)|(\[timeout)|(PRM\|1\|D)|(kpr)|(kdp))" /e /r /s</v>
      </c>
      <c r="AG97" s="1" t="str">
        <f t="shared" si="35"/>
        <v>EC</v>
      </c>
      <c r="AH97" s="100" t="str">
        <f t="shared" si="36"/>
        <v>"%USERPROFILE%\Documents\GitHub\eaglep3\Utilities\RefineRTDCRunTimes.py" --tripid 185-06 --locoid 4029 --swversion DE.1.0.7.0 --startMP 204:455 --initTime 2016-09-06T14:07:31 --startdatetime 2016-09-06T14:15:11 --delay 1 --endMP 204:233297 --enddatetime 2016-09-06T14:55:02 --enforcementcount 0 &gt;&gt;C:\Users\stu\Documents\GitHub\eaglep3-reporting\EC\2016-09-06-refined-times.txt</v>
      </c>
      <c r="AI9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ID","value":"185-06"},{"id":16,"name":"Locomotive ID","value":"4029"},{"id":130,"name":"Impact","value":""},{"id":150,"name":"Time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479</v>
      </c>
      <c r="B98" s="7">
        <v>4030</v>
      </c>
      <c r="C98" s="24" t="s">
        <v>112</v>
      </c>
      <c r="D98" s="24" t="s">
        <v>308</v>
      </c>
      <c r="E98" s="15">
        <v>42619.624050925922</v>
      </c>
      <c r="F98" s="15">
        <v>42619.6328587963</v>
      </c>
      <c r="G98" s="7">
        <v>1</v>
      </c>
      <c r="H98" s="15" t="s">
        <v>625</v>
      </c>
      <c r="I98" s="15">
        <v>42619.661296296297</v>
      </c>
      <c r="J98" s="7">
        <v>0</v>
      </c>
      <c r="K98" s="132" t="str">
        <f t="shared" si="23"/>
        <v>4029/4030</v>
      </c>
      <c r="L98" s="24" t="str">
        <f>VLOOKUP(A98,'Trips&amp;Operators'!$C$1:$E$10000,3,FALSE)</f>
        <v>ROCHA</v>
      </c>
      <c r="M98" s="6">
        <f t="shared" si="24"/>
        <v>2.8437499997380655E-2</v>
      </c>
      <c r="N98" s="7">
        <f t="shared" si="38"/>
        <v>40.949999996228144</v>
      </c>
      <c r="O98" s="7"/>
      <c r="P98" s="7"/>
      <c r="Q98" s="25"/>
      <c r="R98" s="25"/>
      <c r="S98" s="37">
        <f t="shared" si="25"/>
        <v>1</v>
      </c>
      <c r="T98" s="52" t="str">
        <f t="shared" si="26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13:58:38-0600',mode:absolute,to:'2016-09-06 16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8" s="54" t="str">
        <f t="shared" si="28"/>
        <v>N</v>
      </c>
      <c r="X98" s="120">
        <f t="shared" si="39"/>
        <v>1</v>
      </c>
      <c r="Y98" s="69">
        <f t="shared" si="29"/>
        <v>23.297499999999999</v>
      </c>
      <c r="Z98" s="69">
        <f t="shared" si="30"/>
        <v>1.3899999999999999E-2</v>
      </c>
      <c r="AA98" s="69">
        <f t="shared" si="31"/>
        <v>23.2836</v>
      </c>
      <c r="AB98" s="66" t="str">
        <f>VLOOKUP(A98,Enforcements!$C$7:$K$21,8,0)</f>
        <v>Speed (6)</v>
      </c>
      <c r="AC98" s="62" t="str">
        <f>VLOOKUP(A98,Enforcements!$C$7:$E$21,3,0)</f>
        <v>PERMANENT SPEED RESTRICTION</v>
      </c>
      <c r="AD98" s="63" t="str">
        <f t="shared" si="32"/>
        <v>0186-06</v>
      </c>
      <c r="AE98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98" s="96" t="str">
        <f t="shared" si="34"/>
        <v>"C:\Program Files (x86)\AstroGrep\AstroGrep.exe" /spath="%USERPROFILE%\AppData\Local\Temp\OnboardLogs" /stypes="*4030*20160906*" /stext=" 21:.+((SYSTEM_STATE.+slice.+state.+changed )|(ment ac)|(system.+state.+changed )|(\|lc)|(penalty)|(\[timeout)|(PRM\|1\|D)|(kpr)|(kdp))" /e /r /s</v>
      </c>
      <c r="AG98" s="1" t="str">
        <f t="shared" si="35"/>
        <v>EC</v>
      </c>
      <c r="AH98" s="100" t="str">
        <f t="shared" si="36"/>
        <v>"%USERPROFILE%\Documents\GitHub\eaglep3\Utilities\RefineRTDCRunTimes.py" --tripid 186-06 --locoid 4030 --swversion DE.1.0.7.0 --startMP 204:232975 --initTime 2016-09-06T14:58:38 --startdatetime 2016-09-06T15:11:19 --delay 1 --endMP 204:139 --enddatetime 2016-09-06T15:52:16 --enforcementcount 0 &gt;&gt;C:\Users\stu\Documents\GitHub\eaglep3-reporting\EC\2016-09-06-refined-times.txt</v>
      </c>
      <c r="AI9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{"issue":{"subject":"","project_id":79,"tracker_id":40,"status_id":1,"priority_id":2,"assigned_to_id":23,"start_date":"2016-09-06","description":"","custom_fields":[{"id":1,"name":"Subdivision","value":"EC"},{"id":4,"name":"Milepost","value":"23.2836"},{"id":17,"name":"Train ID","value":"186-06"},{"id":16,"name":"Locomotive ID","value":"4030"},{"id":130,"name":"Impact","value":""},{"id":150,"name":"Time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473</v>
      </c>
      <c r="B99" s="7">
        <v>4011</v>
      </c>
      <c r="C99" s="24" t="s">
        <v>112</v>
      </c>
      <c r="D99" s="24" t="s">
        <v>225</v>
      </c>
      <c r="E99" s="15">
        <v>42619.600902777776</v>
      </c>
      <c r="F99" s="15">
        <v>42619.604386574072</v>
      </c>
      <c r="G99" s="7">
        <v>1</v>
      </c>
      <c r="H99" s="15" t="s">
        <v>632</v>
      </c>
      <c r="I99" s="15">
        <v>42619.630057870374</v>
      </c>
      <c r="J99" s="7">
        <v>0</v>
      </c>
      <c r="K99" s="132" t="str">
        <f t="shared" si="23"/>
        <v>4011/4012</v>
      </c>
      <c r="L99" s="24" t="str">
        <f>VLOOKUP(A99,'Trips&amp;Operators'!$C$1:$E$10000,3,FALSE)</f>
        <v>BARTLETT</v>
      </c>
      <c r="M99" s="6">
        <f t="shared" si="24"/>
        <v>2.567129630187992E-2</v>
      </c>
      <c r="N99" s="7">
        <f t="shared" si="38"/>
        <v>36.966666674707085</v>
      </c>
      <c r="O99" s="7"/>
      <c r="P99" s="7"/>
      <c r="Q99" s="25"/>
      <c r="R99" s="25"/>
      <c r="S99" s="37">
        <f t="shared" si="25"/>
        <v>1</v>
      </c>
      <c r="T99" s="52" t="str">
        <f t="shared" si="26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13:25:18-0600',mode:absolute,to:'2016-09-06 16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9" s="54" t="str">
        <f t="shared" si="28"/>
        <v>N</v>
      </c>
      <c r="X99" s="120">
        <f t="shared" si="39"/>
        <v>1</v>
      </c>
      <c r="Y99" s="69">
        <f t="shared" si="29"/>
        <v>4.58E-2</v>
      </c>
      <c r="Z99" s="69">
        <f t="shared" si="30"/>
        <v>23.337399999999999</v>
      </c>
      <c r="AA99" s="69">
        <f t="shared" si="31"/>
        <v>23.291599999999999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2"/>
        <v>0187-06</v>
      </c>
      <c r="AE99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99" s="96" t="str">
        <f t="shared" si="34"/>
        <v>"C:\Program Files (x86)\AstroGrep\AstroGrep.exe" /spath="%USERPROFILE%\AppData\Local\Temp\OnboardLogs" /stypes="*4011*20160906*" /stext=" 21:.+((SYSTEM_STATE.+slice.+state.+changed )|(ment ac)|(system.+state.+changed )|(\|lc)|(penalty)|(\[timeout)|(PRM\|1\|D)|(kpr)|(kdp))" /e /r /s</v>
      </c>
      <c r="AG99" s="1" t="str">
        <f t="shared" si="35"/>
        <v>EC</v>
      </c>
      <c r="AH99" s="100" t="str">
        <f t="shared" si="36"/>
        <v>"%USERPROFILE%\Documents\GitHub\eaglep3\Utilities\RefineRTDCRunTimes.py" --tripid 187-06 --locoid 4011 --swversion DE.1.0.7.0 --startMP 204:458 --initTime 2016-09-06T14:25:18 --startdatetime 2016-09-06T14:30:19 --delay 1 --endMP 204:233374 --enddatetime 2016-09-06T15:07:17 --enforcementcount 0 &gt;&gt;C:\Users\stu\Documents\GitHub\eaglep3-reporting\EC\2016-09-06-refined-times.txt</v>
      </c>
      <c r="AI9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{"issue":{"subject":"","project_id":79,"tracker_id":40,"status_id":1,"priority_id":2,"assigned_to_id":23,"start_date":"2016-09-06","description":"","custom_fields":[{"id":1,"name":"Subdivision","value":"EC"},{"id":4,"name":"Milepost","value":"23.2916"},{"id":17,"name":"Train ID","value":"187-06"},{"id":16,"name":"Locomotive ID","value":"4011"},{"id":130,"name":"Impact","value":""},{"id":150,"name":"Time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484</v>
      </c>
      <c r="B100" s="7">
        <v>4012</v>
      </c>
      <c r="C100" s="24" t="s">
        <v>112</v>
      </c>
      <c r="D100" s="24" t="s">
        <v>633</v>
      </c>
      <c r="E100" s="15">
        <v>42619.638819444444</v>
      </c>
      <c r="F100" s="15">
        <v>42619.643692129626</v>
      </c>
      <c r="G100" s="7">
        <v>1</v>
      </c>
      <c r="H100" s="15" t="s">
        <v>232</v>
      </c>
      <c r="I100" s="15">
        <v>42619.670451388891</v>
      </c>
      <c r="J100" s="7">
        <v>0</v>
      </c>
      <c r="K100" s="132" t="str">
        <f t="shared" si="23"/>
        <v>4011/4012</v>
      </c>
      <c r="L100" s="24" t="str">
        <f>VLOOKUP(A100,'Trips&amp;Operators'!$C$1:$E$10000,3,FALSE)</f>
        <v>BARTLETT</v>
      </c>
      <c r="M100" s="6">
        <f t="shared" si="24"/>
        <v>2.6759259264508728E-2</v>
      </c>
      <c r="N100" s="7">
        <f t="shared" si="38"/>
        <v>38.533333340892568</v>
      </c>
      <c r="O100" s="7"/>
      <c r="P100" s="7"/>
      <c r="Q100" s="25"/>
      <c r="R100" s="25"/>
      <c r="S100" s="37">
        <f t="shared" si="25"/>
        <v>1</v>
      </c>
      <c r="T100" s="52" t="str">
        <f t="shared" si="26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14:19:54-0600',mode:absolute,to:'2016-09-06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00" s="54" t="str">
        <f t="shared" si="28"/>
        <v>N</v>
      </c>
      <c r="X100" s="120">
        <f t="shared" si="39"/>
        <v>1</v>
      </c>
      <c r="Y100" s="69">
        <f t="shared" si="29"/>
        <v>23.305499999999999</v>
      </c>
      <c r="Z100" s="69">
        <f t="shared" si="30"/>
        <v>1.6299999999999999E-2</v>
      </c>
      <c r="AA100" s="69">
        <f t="shared" si="31"/>
        <v>23.289199999999997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2"/>
        <v>0188-06</v>
      </c>
      <c r="AE100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00" s="96" t="str">
        <f t="shared" si="34"/>
        <v>"C:\Program Files (x86)\AstroGrep\AstroGrep.exe" /spath="%USERPROFILE%\AppData\Local\Temp\OnboardLogs" /stypes="*4012*20160906*" /stext=" 22:.+((SYSTEM_STATE.+slice.+state.+changed )|(ment ac)|(system.+state.+changed )|(\|lc)|(penalty)|(\[timeout)|(PRM\|1\|D)|(kpr)|(kdp))" /e /r /s</v>
      </c>
      <c r="AG100" s="1" t="str">
        <f t="shared" si="35"/>
        <v>EC</v>
      </c>
      <c r="AH100" s="100" t="str">
        <f t="shared" si="36"/>
        <v>"%USERPROFILE%\Documents\GitHub\eaglep3\Utilities\RefineRTDCRunTimes.py" --tripid 188-06 --locoid 4012 --swversion DE.1.0.7.0 --startMP 204:233055 --initTime 2016-09-06T15:19:54 --startdatetime 2016-09-06T15:26:55 --delay 1 --endMP 204:163 --enddatetime 2016-09-06T16:05:27 --enforcementcount 0 &gt;&gt;C:\Users\stu\Documents\GitHub\eaglep3-reporting\EC\2016-09-06-refined-times.txt</v>
      </c>
      <c r="AI10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{"issue":{"subject":"","project_id":79,"tracker_id":40,"status_id":1,"priority_id":2,"assigned_to_id":23,"start_date":"2016-09-06","description":"","custom_fields":[{"id":1,"name":"Subdivision","value":"EC"},{"id":4,"name":"Milepost","value":"23.2892"},{"id":17,"name":"Train ID","value":"188-06"},{"id":16,"name":"Locomotive ID","value":"4012"},{"id":130,"name":"Impact","value":""},{"id":150,"name":"Time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476</v>
      </c>
      <c r="B101" s="7">
        <v>4002</v>
      </c>
      <c r="C101" s="24" t="s">
        <v>112</v>
      </c>
      <c r="D101" s="24" t="s">
        <v>225</v>
      </c>
      <c r="E101" s="15">
        <v>42619.612627314818</v>
      </c>
      <c r="F101" s="15">
        <v>42619.615115740744</v>
      </c>
      <c r="G101" s="7">
        <v>1</v>
      </c>
      <c r="H101" s="15" t="s">
        <v>616</v>
      </c>
      <c r="I101" s="15">
        <v>42619.639444444445</v>
      </c>
      <c r="J101" s="7">
        <v>0</v>
      </c>
      <c r="K101" s="132" t="str">
        <f t="shared" si="23"/>
        <v>4001/4002</v>
      </c>
      <c r="L101" s="24" t="str">
        <f>VLOOKUP(A101,'Trips&amp;Operators'!$C$1:$E$10000,3,FALSE)</f>
        <v>SANTIZO</v>
      </c>
      <c r="M101" s="6">
        <f t="shared" si="24"/>
        <v>2.4328703701030463E-2</v>
      </c>
      <c r="N101" s="7">
        <f t="shared" si="38"/>
        <v>35.033333329483867</v>
      </c>
      <c r="O101" s="7"/>
      <c r="P101" s="7"/>
      <c r="Q101" s="25"/>
      <c r="R101" s="25"/>
      <c r="S101" s="37">
        <f t="shared" si="25"/>
        <v>1</v>
      </c>
      <c r="T101" s="52" t="str">
        <f t="shared" si="26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13:42:11-0600',mode:absolute,to:'2016-09-06 16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1" s="54" t="str">
        <f t="shared" si="28"/>
        <v>N</v>
      </c>
      <c r="X101" s="120">
        <f t="shared" si="39"/>
        <v>1</v>
      </c>
      <c r="Y101" s="69">
        <f t="shared" si="29"/>
        <v>4.58E-2</v>
      </c>
      <c r="Z101" s="69">
        <f t="shared" si="30"/>
        <v>23.332999999999998</v>
      </c>
      <c r="AA101" s="69">
        <f t="shared" si="31"/>
        <v>23.287199999999999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2"/>
        <v>0189-06</v>
      </c>
      <c r="AE101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01" s="96" t="str">
        <f t="shared" si="34"/>
        <v>"C:\Program Files (x86)\AstroGrep\AstroGrep.exe" /spath="%USERPROFILE%\AppData\Local\Temp\OnboardLogs" /stypes="*4002*20160906*" /stext=" 21:.+((SYSTEM_STATE.+slice.+state.+changed )|(ment ac)|(system.+state.+changed )|(\|lc)|(penalty)|(\[timeout)|(PRM\|1\|D)|(kpr)|(kdp))" /e /r /s</v>
      </c>
      <c r="AG101" s="1" t="str">
        <f t="shared" si="35"/>
        <v>EC</v>
      </c>
      <c r="AH101" s="100" t="str">
        <f t="shared" si="36"/>
        <v>"%USERPROFILE%\Documents\GitHub\eaglep3\Utilities\RefineRTDCRunTimes.py" --tripid 189-06 --locoid 4002 --swversion DE.1.0.7.0 --startMP 204:458 --initTime 2016-09-06T14:42:11 --startdatetime 2016-09-06T14:45:46 --delay 1 --endMP 204:233330 --enddatetime 2016-09-06T15:20:48 --enforcementcount 0 &gt;&gt;C:\Users\stu\Documents\GitHub\eaglep3-reporting\EC\2016-09-06-refined-times.txt</v>
      </c>
      <c r="AI10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{"issue":{"subject":"","project_id":79,"tracker_id":40,"status_id":1,"priority_id":2,"assigned_to_id":23,"start_date":"2016-09-06","description":"","custom_fields":[{"id":1,"name":"Subdivision","value":"EC"},{"id":4,"name":"Milepost","value":"23.2872"},{"id":17,"name":"Train ID","value":"189-06"},{"id":16,"name":"Locomotive ID","value":"4002"},{"id":130,"name":"Impact","value":""},{"id":150,"name":"Time of Event (Mountain Time)","value":"15:20:48"},{"id":151,"name":"Denver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486</v>
      </c>
      <c r="B102" s="7">
        <v>4001</v>
      </c>
      <c r="C102" s="24" t="s">
        <v>112</v>
      </c>
      <c r="D102" s="24" t="s">
        <v>634</v>
      </c>
      <c r="E102" s="15">
        <v>42619.641053240739</v>
      </c>
      <c r="F102" s="15">
        <v>42619.653703703705</v>
      </c>
      <c r="G102" s="7">
        <v>1</v>
      </c>
      <c r="H102" s="15" t="s">
        <v>238</v>
      </c>
      <c r="I102" s="15">
        <v>42619.68037037037</v>
      </c>
      <c r="J102" s="7">
        <v>0</v>
      </c>
      <c r="K102" s="132" t="str">
        <f t="shared" si="23"/>
        <v>4001/4002</v>
      </c>
      <c r="L102" s="24" t="str">
        <f>VLOOKUP(A102,'Trips&amp;Operators'!$C$1:$E$10000,3,FALSE)</f>
        <v>SANTIZO</v>
      </c>
      <c r="M102" s="6">
        <f t="shared" si="24"/>
        <v>2.6666666664823424E-2</v>
      </c>
      <c r="N102" s="7">
        <f t="shared" si="38"/>
        <v>38.399999997345731</v>
      </c>
      <c r="O102" s="7"/>
      <c r="P102" s="7"/>
      <c r="Q102" s="25"/>
      <c r="R102" s="25"/>
      <c r="S102" s="37">
        <f t="shared" si="25"/>
        <v>1</v>
      </c>
      <c r="T102" s="52" t="str">
        <f t="shared" si="26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14:23:07-0600',mode:absolute,to:'2016-09-06 17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2" s="54" t="str">
        <f t="shared" si="28"/>
        <v>N</v>
      </c>
      <c r="X102" s="120">
        <f t="shared" si="39"/>
        <v>1</v>
      </c>
      <c r="Y102" s="69">
        <f t="shared" si="29"/>
        <v>23.300899999999999</v>
      </c>
      <c r="Z102" s="69">
        <f t="shared" si="30"/>
        <v>1.41E-2</v>
      </c>
      <c r="AA102" s="69">
        <f t="shared" si="31"/>
        <v>23.286799999999999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2"/>
        <v>0190-06</v>
      </c>
      <c r="AE102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02" s="96" t="str">
        <f t="shared" si="34"/>
        <v>"C:\Program Files (x86)\AstroGrep\AstroGrep.exe" /spath="%USERPROFILE%\AppData\Local\Temp\OnboardLogs" /stypes="*4001*20160906*" /stext=" 22:.+((SYSTEM_STATE.+slice.+state.+changed )|(ment ac)|(system.+state.+changed )|(\|lc)|(penalty)|(\[timeout)|(PRM\|1\|D)|(kpr)|(kdp))" /e /r /s</v>
      </c>
      <c r="AG102" s="1" t="str">
        <f t="shared" si="35"/>
        <v>EC</v>
      </c>
      <c r="AH102" s="100" t="str">
        <f t="shared" si="36"/>
        <v>"%USERPROFILE%\Documents\GitHub\eaglep3\Utilities\RefineRTDCRunTimes.py" --tripid 190-06 --locoid 4001 --swversion DE.1.0.7.0 --startMP 204:233009 --initTime 2016-09-06T15:23:07 --startdatetime 2016-09-06T15:41:20 --delay 1 --endMP 204:141 --enddatetime 2016-09-06T16:19:44 --enforcementcount 0 &gt;&gt;C:\Users\stu\Documents\GitHub\eaglep3-reporting\EC\2016-09-06-refined-times.txt</v>
      </c>
      <c r="AI10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ID","value":"190-06"},{"id":16,"name":"Locomotive ID","value":"4001"},{"id":130,"name":"Impact","value":""},{"id":150,"name":"Time of Event (Mountain Time)","value":"16:19:44"},{"id":151,"name":"Denver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478</v>
      </c>
      <c r="B103" s="7">
        <v>4042</v>
      </c>
      <c r="C103" s="24" t="s">
        <v>112</v>
      </c>
      <c r="D103" s="24" t="s">
        <v>240</v>
      </c>
      <c r="E103" s="15">
        <v>42619.622800925928</v>
      </c>
      <c r="F103" s="15">
        <v>42619.625520833331</v>
      </c>
      <c r="G103" s="7">
        <v>1</v>
      </c>
      <c r="H103" s="15" t="s">
        <v>291</v>
      </c>
      <c r="I103" s="15">
        <v>42619.650821759256</v>
      </c>
      <c r="J103" s="7">
        <v>0</v>
      </c>
      <c r="K103" s="132" t="str">
        <f t="shared" si="23"/>
        <v>4041/4042</v>
      </c>
      <c r="L103" s="24" t="str">
        <f>VLOOKUP(A103,'Trips&amp;Operators'!$C$1:$E$10000,3,FALSE)</f>
        <v>HELVIE</v>
      </c>
      <c r="M103" s="6">
        <f t="shared" si="24"/>
        <v>2.5300925924966577E-2</v>
      </c>
      <c r="N103" s="7">
        <f t="shared" si="38"/>
        <v>36.433333331951872</v>
      </c>
      <c r="O103" s="7"/>
      <c r="P103" s="7"/>
      <c r="Q103" s="25"/>
      <c r="R103" s="25"/>
      <c r="S103" s="37">
        <f t="shared" si="25"/>
        <v>1</v>
      </c>
      <c r="T103" s="52" t="str">
        <f t="shared" si="26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13:56:50-0600',mode:absolute,to:'2016-09-06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3" s="54" t="str">
        <f t="shared" si="28"/>
        <v>N</v>
      </c>
      <c r="X103" s="120">
        <f t="shared" si="39"/>
        <v>1</v>
      </c>
      <c r="Y103" s="69">
        <f t="shared" si="29"/>
        <v>4.4400000000000002E-2</v>
      </c>
      <c r="Z103" s="69">
        <f t="shared" si="30"/>
        <v>23.328299999999999</v>
      </c>
      <c r="AA103" s="69">
        <f t="shared" si="31"/>
        <v>23.283899999999999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2"/>
        <v>0191-06</v>
      </c>
      <c r="AE103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03" s="96" t="str">
        <f t="shared" si="34"/>
        <v>"C:\Program Files (x86)\AstroGrep\AstroGrep.exe" /spath="%USERPROFILE%\AppData\Local\Temp\OnboardLogs" /stypes="*4042*20160906*" /stext=" 21:.+((SYSTEM_STATE.+slice.+state.+changed )|(ment ac)|(system.+state.+changed )|(\|lc)|(penalty)|(\[timeout)|(PRM\|1\|D)|(kpr)|(kdp))" /e /r /s</v>
      </c>
      <c r="AG103" s="1" t="str">
        <f t="shared" si="35"/>
        <v>EC</v>
      </c>
      <c r="AH103" s="100" t="str">
        <f t="shared" si="36"/>
        <v>"%USERPROFILE%\Documents\GitHub\eaglep3\Utilities\RefineRTDCRunTimes.py" --tripid 191-06 --locoid 4042 --swversion DE.1.0.7.0 --startMP 204:444 --initTime 2016-09-06T14:56:50 --startdatetime 2016-09-06T15:00:45 --delay 1 --endMP 204:233283 --enddatetime 2016-09-06T15:37:11 --enforcementcount 0 &gt;&gt;C:\Users\stu\Documents\GitHub\eaglep3-reporting\EC\2016-09-06-refined-times.txt</v>
      </c>
      <c r="AI10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ID","value":"191-06"},{"id":16,"name":"Locomotive ID","value":"4042"},{"id":130,"name":"Impact","value":""},{"id":150,"name":"Time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492</v>
      </c>
      <c r="B104" s="7">
        <v>4041</v>
      </c>
      <c r="C104" s="24" t="s">
        <v>112</v>
      </c>
      <c r="D104" s="24" t="s">
        <v>635</v>
      </c>
      <c r="E104" s="15">
        <v>42619.661076388889</v>
      </c>
      <c r="F104" s="15">
        <v>42619.664039351854</v>
      </c>
      <c r="G104" s="7">
        <v>1</v>
      </c>
      <c r="H104" s="15" t="s">
        <v>130</v>
      </c>
      <c r="I104" s="15">
        <v>42619.692743055559</v>
      </c>
      <c r="J104" s="7">
        <v>0</v>
      </c>
      <c r="K104" s="132" t="str">
        <f t="shared" si="23"/>
        <v>4041/4042</v>
      </c>
      <c r="L104" s="24" t="str">
        <f>VLOOKUP(A104,'Trips&amp;Operators'!$C$1:$E$10000,3,FALSE)</f>
        <v>HELVIE</v>
      </c>
      <c r="M104" s="6">
        <f t="shared" si="24"/>
        <v>2.8703703705104999E-2</v>
      </c>
      <c r="N104" s="7">
        <f t="shared" si="38"/>
        <v>41.333333335351199</v>
      </c>
      <c r="O104" s="7"/>
      <c r="P104" s="7"/>
      <c r="Q104" s="25"/>
      <c r="R104" s="25"/>
      <c r="S104" s="37">
        <f t="shared" si="25"/>
        <v>1</v>
      </c>
      <c r="T104" s="52" t="str">
        <f t="shared" si="26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14:51:57-0600',mode:absolute,to:'2016-09-06 17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4" s="54" t="str">
        <f t="shared" si="28"/>
        <v>N</v>
      </c>
      <c r="X104" s="120">
        <f>VALUE(LEFT(AD104,4))-VALUE(LEFT(AD103,4))</f>
        <v>1</v>
      </c>
      <c r="Y104" s="69">
        <f t="shared" si="29"/>
        <v>23.296399999999998</v>
      </c>
      <c r="Z104" s="69">
        <f t="shared" si="30"/>
        <v>1.5800000000000002E-2</v>
      </c>
      <c r="AA104" s="69">
        <f t="shared" si="31"/>
        <v>23.2806</v>
      </c>
      <c r="AB104" s="66" t="str">
        <f>VLOOKUP(A104,Enforcements!$C$7:$K$21,8,0)</f>
        <v>Signal based authority (5)</v>
      </c>
      <c r="AC104" s="62" t="str">
        <f>VLOOKUP(A104,Enforcements!$C$7:$E$21,3,0)</f>
        <v>SIGNAL</v>
      </c>
      <c r="AD104" s="63" t="str">
        <f t="shared" si="32"/>
        <v>0192-06</v>
      </c>
      <c r="AE104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04" s="96" t="str">
        <f t="shared" si="34"/>
        <v>"C:\Program Files (x86)\AstroGrep\AstroGrep.exe" /spath="%USERPROFILE%\AppData\Local\Temp\OnboardLogs" /stypes="*4041*20160906*" /stext=" 22:.+((SYSTEM_STATE.+slice.+state.+changed )|(ment ac)|(system.+state.+changed )|(\|lc)|(penalty)|(\[timeout)|(PRM\|1\|D)|(kpr)|(kdp))" /e /r /s</v>
      </c>
      <c r="AG104" s="1" t="str">
        <f t="shared" si="35"/>
        <v>EC</v>
      </c>
      <c r="AH104" s="100" t="str">
        <f t="shared" si="36"/>
        <v>"%USERPROFILE%\Documents\GitHub\eaglep3\Utilities\RefineRTDCRunTimes.py" --tripid 192-06 --locoid 4041 --swversion DE.1.0.7.0 --startMP 204:232964 --initTime 2016-09-06T15:51:57 --startdatetime 2016-09-06T15:56:13 --delay 1 --endMP 204:158 --enddatetime 2016-09-06T16:37:33 --enforcementcount 0 &gt;&gt;C:\Users\stu\Documents\GitHub\eaglep3-reporting\EC\2016-09-06-refined-times.txt</v>
      </c>
      <c r="AI10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{"issue":{"subject":"","project_id":79,"tracker_id":40,"status_id":1,"priority_id":2,"assigned_to_id":23,"start_date":"2016-09-06","description":"","custom_fields":[{"id":1,"name":"Subdivision","value":"EC"},{"id":4,"name":"Milepost","value":"23.2806"},{"id":17,"name":"Train ID","value":"192-06"},{"id":16,"name":"Locomotive ID","value":"4041"},{"id":130,"name":"Impact","value":""},{"id":150,"name":"Time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480</v>
      </c>
      <c r="B105" s="7">
        <v>4027</v>
      </c>
      <c r="C105" s="24" t="s">
        <v>112</v>
      </c>
      <c r="D105" s="24" t="s">
        <v>134</v>
      </c>
      <c r="E105" s="15">
        <v>42619.632048611114</v>
      </c>
      <c r="F105" s="15">
        <v>42619.63559027778</v>
      </c>
      <c r="G105" s="7">
        <v>2</v>
      </c>
      <c r="H105" s="15" t="s">
        <v>234</v>
      </c>
      <c r="I105" s="15">
        <v>42619.660879629628</v>
      </c>
      <c r="J105" s="7">
        <v>0</v>
      </c>
      <c r="K105" s="132" t="str">
        <f t="shared" si="23"/>
        <v>4027/4028</v>
      </c>
      <c r="L105" s="24" t="str">
        <f>VLOOKUP(A105,'Trips&amp;Operators'!$C$1:$E$10000,3,FALSE)</f>
        <v>CRAYTON</v>
      </c>
      <c r="M105" s="6">
        <f t="shared" si="24"/>
        <v>2.5289351848186925E-2</v>
      </c>
      <c r="N105" s="7">
        <f t="shared" si="38"/>
        <v>36.416666661389172</v>
      </c>
      <c r="O105" s="7"/>
      <c r="P105" s="7"/>
      <c r="Q105" s="25"/>
      <c r="R105" s="25"/>
      <c r="S105" s="37">
        <f t="shared" si="25"/>
        <v>1</v>
      </c>
      <c r="T105" s="52" t="str">
        <f t="shared" si="26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14:10:09-0600',mode:absolute,to:'2016-09-06 16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5" s="54" t="str">
        <f t="shared" si="28"/>
        <v>N</v>
      </c>
      <c r="X105" s="120">
        <f>VALUE(LEFT(AD105,4))-VALUE(LEFT(AD104,4))</f>
        <v>1</v>
      </c>
      <c r="Y105" s="69">
        <f t="shared" si="29"/>
        <v>4.4900000000000002E-2</v>
      </c>
      <c r="Z105" s="69">
        <f t="shared" si="30"/>
        <v>23.3307</v>
      </c>
      <c r="AA105" s="69">
        <f t="shared" si="31"/>
        <v>23.285800000000002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2"/>
        <v>0193-06</v>
      </c>
      <c r="AE105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105" s="96" t="str">
        <f t="shared" si="34"/>
        <v>"C:\Program Files (x86)\AstroGrep\AstroGrep.exe" /spath="%USERPROFILE%\AppData\Local\Temp\OnboardLogs" /stypes="*4027*20160906*" /stext=" 21:.+((SYSTEM_STATE.+slice.+state.+changed )|(ment ac)|(system.+state.+changed )|(\|lc)|(penalty)|(\[timeout)|(PRM\|1\|D)|(kpr)|(kdp))" /e /r /s</v>
      </c>
      <c r="AG105" s="1" t="str">
        <f t="shared" si="35"/>
        <v>EC</v>
      </c>
      <c r="AH105" s="100" t="str">
        <f t="shared" si="36"/>
        <v>"%USERPROFILE%\Documents\GitHub\eaglep3\Utilities\RefineRTDCRunTimes.py" --tripid 193-06 --locoid 4027 --swversion DE.1.0.7.0 --startMP 204:449 --initTime 2016-09-06T15:10:09 --startdatetime 2016-09-06T15:15:15 --delay 2 --endMP 204:233307 --enddatetime 2016-09-06T15:51:40 --enforcementcount 0 &gt;&gt;C:\Users\stu\Documents\GitHub\eaglep3-reporting\EC\2016-09-06-refined-times.txt</v>
      </c>
      <c r="AI10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{"issue":{"subject":"","project_id":79,"tracker_id":40,"status_id":1,"priority_id":2,"assigned_to_id":23,"start_date":"2016-09-06","description":"","custom_fields":[{"id":1,"name":"Subdivision","value":"EC"},{"id":4,"name":"Milepost","value":"23.2858"},{"id":17,"name":"Train ID","value":"193-06"},{"id":16,"name":"Locomotive ID","value":"4027"},{"id":130,"name":"Impact","value":""},{"id":150,"name":"Time of Event (Mountain Time)","value":"15:51:40"},{"id":151,"name":"Denver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494</v>
      </c>
      <c r="B106" s="7">
        <v>4028</v>
      </c>
      <c r="C106" s="24" t="s">
        <v>112</v>
      </c>
      <c r="D106" s="24" t="s">
        <v>133</v>
      </c>
      <c r="E106" s="15">
        <v>42619.667291666665</v>
      </c>
      <c r="F106" s="15">
        <v>42619.674780092595</v>
      </c>
      <c r="G106" s="7">
        <v>1</v>
      </c>
      <c r="H106" s="15" t="s">
        <v>625</v>
      </c>
      <c r="I106" s="15">
        <v>42619.701481481483</v>
      </c>
      <c r="J106" s="7">
        <v>0</v>
      </c>
      <c r="K106" s="132" t="str">
        <f t="shared" si="23"/>
        <v>4027/4028</v>
      </c>
      <c r="L106" s="24" t="str">
        <f>VLOOKUP(A106,'Trips&amp;Operators'!$C$1:$E$10000,3,FALSE)</f>
        <v>CRAYTON</v>
      </c>
      <c r="M106" s="6">
        <f t="shared" si="24"/>
        <v>2.6701388887886424E-2</v>
      </c>
      <c r="N106" s="7">
        <f t="shared" si="38"/>
        <v>38.44999999855645</v>
      </c>
      <c r="O106" s="7"/>
      <c r="P106" s="7"/>
      <c r="Q106" s="25"/>
      <c r="R106" s="25"/>
      <c r="S106" s="37">
        <f t="shared" si="25"/>
        <v>1</v>
      </c>
      <c r="T106" s="52" t="str">
        <f t="shared" si="26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15:00:54-0600',mode:absolute,to:'2016-09-06 17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6" s="54" t="str">
        <f t="shared" si="28"/>
        <v>N</v>
      </c>
      <c r="X106" s="120">
        <f>VALUE(LEFT(AD106,4))-VALUE(LEFT(AD105,4))</f>
        <v>1</v>
      </c>
      <c r="Y106" s="69">
        <f t="shared" si="29"/>
        <v>23.299399999999999</v>
      </c>
      <c r="Z106" s="69">
        <f t="shared" si="30"/>
        <v>1.3899999999999999E-2</v>
      </c>
      <c r="AA106" s="69">
        <f t="shared" si="31"/>
        <v>23.285499999999999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2"/>
        <v>0194-06</v>
      </c>
      <c r="AE106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06" s="96" t="str">
        <f t="shared" si="34"/>
        <v>"C:\Program Files (x86)\AstroGrep\AstroGrep.exe" /spath="%USERPROFILE%\AppData\Local\Temp\OnboardLogs" /stypes="*4028*20160906*" /stext=" 22:.+((SYSTEM_STATE.+slice.+state.+changed )|(ment ac)|(system.+state.+changed )|(\|lc)|(penalty)|(\[timeout)|(PRM\|1\|D)|(kpr)|(kdp))" /e /r /s</v>
      </c>
      <c r="AG106" s="1" t="str">
        <f t="shared" si="35"/>
        <v>EC</v>
      </c>
      <c r="AH106" s="100" t="str">
        <f t="shared" si="36"/>
        <v>"%USERPROFILE%\Documents\GitHub\eaglep3\Utilities\RefineRTDCRunTimes.py" --tripid 194-06 --locoid 4028 --swversion DE.1.0.7.0 --startMP 204:232994 --initTime 2016-09-06T16:00:54 --startdatetime 2016-09-06T16:11:41 --delay 1 --endMP 204:139 --enddatetime 2016-09-06T16:50:08 --enforcementcount 0 &gt;&gt;C:\Users\stu\Documents\GitHub\eaglep3-reporting\EC\2016-09-06-refined-times.txt</v>
      </c>
      <c r="AI10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{"issue":{"subject":"","project_id":79,"tracker_id":40,"status_id":1,"priority_id":2,"assigned_to_id":23,"start_date":"2016-09-06","description":"","custom_fields":[{"id":1,"name":"Subdivision","value":"EC"},{"id":4,"name":"Milepost","value":"23.2855"},{"id":17,"name":"Train ID","value":"194-06"},{"id":16,"name":"Locomotive ID","value":"4028"},{"id":130,"name":"Impact","value":""},{"id":150,"name":"Time of Event (Mountain Time)","value":"16:50:08"},{"id":151,"name":"Denver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487</v>
      </c>
      <c r="B107" s="7">
        <v>4038</v>
      </c>
      <c r="C107" s="24" t="s">
        <v>112</v>
      </c>
      <c r="D107" s="24" t="s">
        <v>174</v>
      </c>
      <c r="E107" s="15">
        <v>42619.644328703704</v>
      </c>
      <c r="F107" s="15">
        <v>42619.646481481483</v>
      </c>
      <c r="G107" s="7">
        <v>1</v>
      </c>
      <c r="H107" s="15" t="s">
        <v>242</v>
      </c>
      <c r="I107" s="15">
        <v>42619.673587962963</v>
      </c>
      <c r="J107" s="7">
        <v>0</v>
      </c>
      <c r="K107" s="132" t="str">
        <f t="shared" si="23"/>
        <v>4037/4038</v>
      </c>
      <c r="L107" s="24" t="str">
        <f>VLOOKUP(A107,'Trips&amp;Operators'!$C$1:$E$10000,3,FALSE)</f>
        <v>YOUNG</v>
      </c>
      <c r="M107" s="6">
        <f t="shared" si="24"/>
        <v>2.7106481480586808E-2</v>
      </c>
      <c r="N107" s="7">
        <f t="shared" si="38"/>
        <v>39.033333332045004</v>
      </c>
      <c r="O107" s="7"/>
      <c r="P107" s="7"/>
      <c r="Q107" s="25"/>
      <c r="R107" s="25"/>
      <c r="S107" s="37">
        <f t="shared" si="25"/>
        <v>1</v>
      </c>
      <c r="T107" s="52" t="str">
        <f t="shared" si="26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14:27:50-0600',mode:absolute,to:'2016-09-06 17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7" s="54" t="str">
        <f t="shared" si="28"/>
        <v>N</v>
      </c>
      <c r="X107" s="120">
        <f t="shared" ref="X107:X111" si="40">VALUE(LEFT(AD107,4))-VALUE(LEFT(AD106,4))</f>
        <v>1</v>
      </c>
      <c r="Y107" s="69">
        <f t="shared" si="29"/>
        <v>4.5999999999999999E-2</v>
      </c>
      <c r="Z107" s="69">
        <f t="shared" si="30"/>
        <v>23.331700000000001</v>
      </c>
      <c r="AA107" s="69">
        <f t="shared" si="31"/>
        <v>23.285700000000002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2"/>
        <v>0195-06</v>
      </c>
      <c r="AE107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07" s="96" t="str">
        <f t="shared" si="34"/>
        <v>"C:\Program Files (x86)\AstroGrep\AstroGrep.exe" /spath="%USERPROFILE%\AppData\Local\Temp\OnboardLogs" /stypes="*4038*20160906*" /stext=" 22:.+((SYSTEM_STATE.+slice.+state.+changed )|(ment ac)|(system.+state.+changed )|(\|lc)|(penalty)|(\[timeout)|(PRM\|1\|D)|(kpr)|(kdp))" /e /r /s</v>
      </c>
      <c r="AG107" s="1" t="str">
        <f t="shared" si="35"/>
        <v>EC</v>
      </c>
      <c r="AH107" s="100" t="str">
        <f t="shared" si="36"/>
        <v>"%USERPROFILE%\Documents\GitHub\eaglep3\Utilities\RefineRTDCRunTimes.py" --tripid 195-06 --locoid 4038 --swversion DE.1.0.7.0 --startMP 204:460 --initTime 2016-09-06T15:27:50 --startdatetime 2016-09-06T15:30:56 --delay 1 --endMP 204:233317 --enddatetime 2016-09-06T16:09:58 --enforcementcount 0 &gt;&gt;C:\Users\stu\Documents\GitHub\eaglep3-reporting\EC\2016-09-06-refined-times.txt</v>
      </c>
      <c r="AI10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{"issue":{"subject":"","project_id":79,"tracker_id":40,"status_id":1,"priority_id":2,"assigned_to_id":23,"start_date":"2016-09-06","description":"","custom_fields":[{"id":1,"name":"Subdivision","value":"EC"},{"id":4,"name":"Milepost","value":"23.2857"},{"id":17,"name":"Train ID","value":"195-06"},{"id":16,"name":"Locomotive ID","value":"4038"},{"id":130,"name":"Impact","value":""},{"id":150,"name":"Time of Event (Mountain Time)","value":"16:09:58"},{"id":151,"name":"Denver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498</v>
      </c>
      <c r="B108" s="7">
        <v>4037</v>
      </c>
      <c r="C108" s="24" t="s">
        <v>112</v>
      </c>
      <c r="D108" s="24" t="s">
        <v>622</v>
      </c>
      <c r="E108" s="15">
        <v>42619.680462962962</v>
      </c>
      <c r="F108" s="15">
        <v>42619.685381944444</v>
      </c>
      <c r="G108" s="7">
        <v>1</v>
      </c>
      <c r="H108" s="15" t="s">
        <v>636</v>
      </c>
      <c r="I108" s="15">
        <v>42619.713506944441</v>
      </c>
      <c r="J108" s="7">
        <v>0</v>
      </c>
      <c r="K108" s="132" t="str">
        <f t="shared" si="23"/>
        <v>4037/4038</v>
      </c>
      <c r="L108" s="24" t="str">
        <f>VLOOKUP(A108,'Trips&amp;Operators'!$C$1:$E$10000,3,FALSE)</f>
        <v>YOUNG</v>
      </c>
      <c r="M108" s="6">
        <f t="shared" si="24"/>
        <v>2.8124999997089617E-2</v>
      </c>
      <c r="N108" s="7">
        <f t="shared" si="38"/>
        <v>40.499999995809048</v>
      </c>
      <c r="O108" s="7"/>
      <c r="P108" s="7"/>
      <c r="Q108" s="25"/>
      <c r="R108" s="25"/>
      <c r="S108" s="37">
        <f t="shared" si="25"/>
        <v>1</v>
      </c>
      <c r="T108" s="52" t="str">
        <f t="shared" si="26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15:19:52-0600',mode:absolute,to:'2016-09-06 18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8" s="54" t="str">
        <f t="shared" si="28"/>
        <v>N</v>
      </c>
      <c r="X108" s="120">
        <f t="shared" si="40"/>
        <v>1</v>
      </c>
      <c r="Y108" s="69">
        <f t="shared" si="29"/>
        <v>23.299299999999999</v>
      </c>
      <c r="Z108" s="69">
        <f t="shared" si="30"/>
        <v>2.0899999999999998E-2</v>
      </c>
      <c r="AA108" s="69">
        <f t="shared" si="31"/>
        <v>23.278399999999998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2"/>
        <v>0196-06</v>
      </c>
      <c r="AE108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08" s="96" t="str">
        <f t="shared" si="34"/>
        <v>"C:\Program Files (x86)\AstroGrep\AstroGrep.exe" /spath="%USERPROFILE%\AppData\Local\Temp\OnboardLogs" /stypes="*4037*20160906*" /stext=" 23:.+((SYSTEM_STATE.+slice.+state.+changed )|(ment ac)|(system.+state.+changed )|(\|lc)|(penalty)|(\[timeout)|(PRM\|1\|D)|(kpr)|(kdp))" /e /r /s</v>
      </c>
      <c r="AG108" s="1" t="str">
        <f t="shared" si="35"/>
        <v>EC</v>
      </c>
      <c r="AH108" s="100" t="str">
        <f t="shared" si="36"/>
        <v>"%USERPROFILE%\Documents\GitHub\eaglep3\Utilities\RefineRTDCRunTimes.py" --tripid 196-06 --locoid 4037 --swversion DE.1.0.7.0 --startMP 204:232993 --initTime 2016-09-06T16:19:52 --startdatetime 2016-09-06T16:26:57 --delay 1 --endMP 204:209 --enddatetime 2016-09-06T17:07:27 --enforcementcount 0 &gt;&gt;C:\Users\stu\Documents\GitHub\eaglep3-reporting\EC\2016-09-06-refined-times.txt</v>
      </c>
      <c r="AI10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{"issue":{"subject":"","project_id":79,"tracker_id":40,"status_id":1,"priority_id":2,"assigned_to_id":23,"start_date":"2016-09-06","description":"","custom_fields":[{"id":1,"name":"Subdivision","value":"EC"},{"id":4,"name":"Milepost","value":"23.2784"},{"id":17,"name":"Train ID","value":"196-06"},{"id":16,"name":"Locomotive ID","value":"4037"},{"id":130,"name":"Impact","value":""},{"id":150,"name":"Time of Event (Mountain Time)","value":"17:07:27"},{"id":151,"name":"Denver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491</v>
      </c>
      <c r="B109" s="7">
        <v>4025</v>
      </c>
      <c r="C109" s="24" t="s">
        <v>112</v>
      </c>
      <c r="D109" s="24" t="s">
        <v>637</v>
      </c>
      <c r="E109" s="15">
        <v>42619.654386574075</v>
      </c>
      <c r="F109" s="15">
        <v>42619.656643518516</v>
      </c>
      <c r="G109" s="7">
        <v>1</v>
      </c>
      <c r="H109" s="15" t="s">
        <v>605</v>
      </c>
      <c r="I109" s="15">
        <v>42619.683310185188</v>
      </c>
      <c r="J109" s="7">
        <v>0</v>
      </c>
      <c r="K109" s="132" t="str">
        <f t="shared" si="23"/>
        <v>4025/4026</v>
      </c>
      <c r="L109" s="24" t="str">
        <f>VLOOKUP(A109,'Trips&amp;Operators'!$C$1:$E$10000,3,FALSE)</f>
        <v>CLARK</v>
      </c>
      <c r="M109" s="6">
        <f t="shared" si="24"/>
        <v>2.6666666672099382E-2</v>
      </c>
      <c r="N109" s="7">
        <f t="shared" si="38"/>
        <v>38.40000000782311</v>
      </c>
      <c r="O109" s="7"/>
      <c r="P109" s="7"/>
      <c r="Q109" s="25"/>
      <c r="R109" s="25"/>
      <c r="S109" s="37">
        <f t="shared" si="25"/>
        <v>1</v>
      </c>
      <c r="T109" s="52" t="str">
        <f t="shared" si="26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14:42:19-0600',mode:absolute,to:'2016-09-06 17:23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9" s="54" t="str">
        <f t="shared" si="28"/>
        <v>N</v>
      </c>
      <c r="X109" s="120">
        <f t="shared" si="40"/>
        <v>1</v>
      </c>
      <c r="Y109" s="69">
        <f t="shared" si="29"/>
        <v>4.2599999999999999E-2</v>
      </c>
      <c r="Z109" s="69">
        <f t="shared" si="30"/>
        <v>23.331800000000001</v>
      </c>
      <c r="AA109" s="69">
        <f t="shared" si="31"/>
        <v>23.289200000000001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2"/>
        <v>0197-06</v>
      </c>
      <c r="AE109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109" s="96" t="str">
        <f t="shared" si="34"/>
        <v>"C:\Program Files (x86)\AstroGrep\AstroGrep.exe" /spath="%USERPROFILE%\AppData\Local\Temp\OnboardLogs" /stypes="*4025*20160906*" /stext=" 22:.+((SYSTEM_STATE.+slice.+state.+changed )|(ment ac)|(system.+state.+changed )|(\|lc)|(penalty)|(\[timeout)|(PRM\|1\|D)|(kpr)|(kdp))" /e /r /s</v>
      </c>
      <c r="AG109" s="1" t="str">
        <f t="shared" si="35"/>
        <v>EC</v>
      </c>
      <c r="AH109" s="100" t="str">
        <f t="shared" si="36"/>
        <v>"%USERPROFILE%\Documents\GitHub\eaglep3\Utilities\RefineRTDCRunTimes.py" --tripid 197-06 --locoid 4025 --swversion DE.1.0.7.0 --startMP 204:426 --initTime 2016-09-06T15:42:19 --startdatetime 2016-09-06T15:45:34 --delay 1 --endMP 204:233318 --enddatetime 2016-09-06T16:23:58 --enforcementcount 0 &gt;&gt;C:\Users\stu\Documents\GitHub\eaglep3-reporting\EC\2016-09-06-refined-times.txt</v>
      </c>
      <c r="AI10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{"issue":{"subject":"","project_id":79,"tracker_id":40,"status_id":1,"priority_id":2,"assigned_to_id":23,"start_date":"2016-09-06","description":"","custom_fields":[{"id":1,"name":"Subdivision","value":"EC"},{"id":4,"name":"Milepost","value":"23.2892"},{"id":17,"name":"Train ID","value":"197-06"},{"id":16,"name":"Locomotive ID","value":"4025"},{"id":130,"name":"Impact","value":""},{"id":150,"name":"Time of Event (Mountain Time)","value":"16:23:58"},{"id":151,"name":"Denver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501</v>
      </c>
      <c r="B110" s="7">
        <v>4026</v>
      </c>
      <c r="C110" s="24" t="s">
        <v>112</v>
      </c>
      <c r="D110" s="24" t="s">
        <v>594</v>
      </c>
      <c r="E110" s="15">
        <v>42619.692789351851</v>
      </c>
      <c r="F110" s="15">
        <v>42619.695381944446</v>
      </c>
      <c r="G110" s="7">
        <v>1</v>
      </c>
      <c r="H110" s="15" t="s">
        <v>135</v>
      </c>
      <c r="I110" s="15">
        <v>42619.724097222221</v>
      </c>
      <c r="J110" s="7">
        <v>0</v>
      </c>
      <c r="K110" s="132" t="str">
        <f t="shared" si="23"/>
        <v>4025/4026</v>
      </c>
      <c r="L110" s="24" t="str">
        <f>VLOOKUP(A110,'Trips&amp;Operators'!$C$1:$E$10000,3,FALSE)</f>
        <v>CLARK</v>
      </c>
      <c r="M110" s="6">
        <f t="shared" si="24"/>
        <v>2.8715277774608694E-2</v>
      </c>
      <c r="N110" s="7">
        <f t="shared" si="38"/>
        <v>41.349999995436519</v>
      </c>
      <c r="O110" s="7"/>
      <c r="P110" s="7"/>
      <c r="Q110" s="25"/>
      <c r="R110" s="25"/>
      <c r="S110" s="37">
        <f t="shared" si="25"/>
        <v>1</v>
      </c>
      <c r="T110" s="52" t="str">
        <f t="shared" si="26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15:37:37-0600',mode:absolute,to:'2016-09-06 18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0" s="54" t="str">
        <f t="shared" si="28"/>
        <v>N</v>
      </c>
      <c r="X110" s="120">
        <f t="shared" si="40"/>
        <v>1</v>
      </c>
      <c r="Y110" s="69">
        <f t="shared" si="29"/>
        <v>23.298200000000001</v>
      </c>
      <c r="Z110" s="69">
        <f t="shared" si="30"/>
        <v>1.49E-2</v>
      </c>
      <c r="AA110" s="69">
        <f t="shared" si="31"/>
        <v>23.283300000000001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2"/>
        <v>0198-06</v>
      </c>
      <c r="AE110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10" s="96" t="str">
        <f t="shared" si="34"/>
        <v>"C:\Program Files (x86)\AstroGrep\AstroGrep.exe" /spath="%USERPROFILE%\AppData\Local\Temp\OnboardLogs" /stypes="*4026*20160906*" /stext=" 23:.+((SYSTEM_STATE.+slice.+state.+changed )|(ment ac)|(system.+state.+changed )|(\|lc)|(penalty)|(\[timeout)|(PRM\|1\|D)|(kpr)|(kdp))" /e /r /s</v>
      </c>
      <c r="AG110" s="1" t="str">
        <f t="shared" si="35"/>
        <v>EC</v>
      </c>
      <c r="AH110" s="100" t="str">
        <f t="shared" si="36"/>
        <v>"%USERPROFILE%\Documents\GitHub\eaglep3\Utilities\RefineRTDCRunTimes.py" --tripid 198-06 --locoid 4026 --swversion DE.1.0.7.0 --startMP 204:232982 --initTime 2016-09-06T16:37:37 --startdatetime 2016-09-06T16:41:21 --delay 1 --endMP 204:149 --enddatetime 2016-09-06T17:22:42 --enforcementcount 0 &gt;&gt;C:\Users\stu\Documents\GitHub\eaglep3-reporting\EC\2016-09-06-refined-times.txt</v>
      </c>
      <c r="AI11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{"issue":{"subject":"","project_id":79,"tracker_id":40,"status_id":1,"priority_id":2,"assigned_to_id":23,"start_date":"2016-09-06","description":"","custom_fields":[{"id":1,"name":"Subdivision","value":"EC"},{"id":4,"name":"Milepost","value":"23.2833"},{"id":17,"name":"Train ID","value":"198-06"},{"id":16,"name":"Locomotive ID","value":"4026"},{"id":130,"name":"Impact","value":""},{"id":150,"name":"Time of Event (Mountain Time)","value":"17:22:42"},{"id":151,"name":"Denver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493</v>
      </c>
      <c r="B111" s="7">
        <v>4029</v>
      </c>
      <c r="C111" s="24" t="s">
        <v>112</v>
      </c>
      <c r="D111" s="24" t="s">
        <v>171</v>
      </c>
      <c r="E111" s="15">
        <v>42619.662858796299</v>
      </c>
      <c r="F111" s="15">
        <v>42619.666817129626</v>
      </c>
      <c r="G111" s="7">
        <v>1</v>
      </c>
      <c r="H111" s="15" t="s">
        <v>290</v>
      </c>
      <c r="I111" s="15">
        <v>42619.693171296298</v>
      </c>
      <c r="J111" s="7">
        <v>0</v>
      </c>
      <c r="K111" s="132" t="str">
        <f t="shared" si="23"/>
        <v>4029/4030</v>
      </c>
      <c r="L111" s="24" t="str">
        <f>VLOOKUP(A111,'Trips&amp;Operators'!$C$1:$E$10000,3,FALSE)</f>
        <v>ROCHA</v>
      </c>
      <c r="M111" s="6">
        <f t="shared" si="24"/>
        <v>2.6354166671808343E-2</v>
      </c>
      <c r="N111" s="7">
        <f t="shared" si="38"/>
        <v>37.950000007404014</v>
      </c>
      <c r="O111" s="7"/>
      <c r="P111" s="7"/>
      <c r="Q111" s="25"/>
      <c r="R111" s="25"/>
      <c r="S111" s="37">
        <f t="shared" si="25"/>
        <v>1</v>
      </c>
      <c r="T111" s="52" t="str">
        <f t="shared" si="26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14:54:31-0600',mode:absolute,to:'2016-09-06 17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11" s="54" t="str">
        <f t="shared" si="28"/>
        <v>N</v>
      </c>
      <c r="X111" s="120">
        <f t="shared" si="40"/>
        <v>1</v>
      </c>
      <c r="Y111" s="69">
        <f t="shared" si="29"/>
        <v>4.4699999999999997E-2</v>
      </c>
      <c r="Z111" s="69">
        <f t="shared" si="30"/>
        <v>23.333600000000001</v>
      </c>
      <c r="AA111" s="69">
        <f t="shared" si="31"/>
        <v>23.288900000000002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2"/>
        <v>0199-06</v>
      </c>
      <c r="AE111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11" s="96" t="str">
        <f t="shared" si="34"/>
        <v>"C:\Program Files (x86)\AstroGrep\AstroGrep.exe" /spath="%USERPROFILE%\AppData\Local\Temp\OnboardLogs" /stypes="*4029*20160906*" /stext=" 22:.+((SYSTEM_STATE.+slice.+state.+changed )|(ment ac)|(system.+state.+changed )|(\|lc)|(penalty)|(\[timeout)|(PRM\|1\|D)|(kpr)|(kdp))" /e /r /s</v>
      </c>
      <c r="AG111" s="1" t="str">
        <f t="shared" si="35"/>
        <v>EC</v>
      </c>
      <c r="AH111" s="100" t="str">
        <f t="shared" si="36"/>
        <v>"%USERPROFILE%\Documents\GitHub\eaglep3\Utilities\RefineRTDCRunTimes.py" --tripid 199-06 --locoid 4029 --swversion DE.1.0.7.0 --startMP 204:447 --initTime 2016-09-06T15:54:31 --startdatetime 2016-09-06T16:00:13 --delay 1 --endMP 204:233336 --enddatetime 2016-09-06T16:38:10 --enforcementcount 0 &gt;&gt;C:\Users\stu\Documents\GitHub\eaglep3-reporting\EC\2016-09-06-refined-times.txt</v>
      </c>
      <c r="AI11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{"issue":{"subject":"","project_id":79,"tracker_id":40,"status_id":1,"priority_id":2,"assigned_to_id":23,"start_date":"2016-09-06","description":"","custom_fields":[{"id":1,"name":"Subdivision","value":"EC"},{"id":4,"name":"Milepost","value":"23.2889"},{"id":17,"name":"Train ID","value":"199-06"},{"id":16,"name":"Locomotive ID","value":"4029"},{"id":130,"name":"Impact","value":""},{"id":150,"name":"Time of Event (Mountain Time)","value":"16:38:10"},{"id":151,"name":"Denver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504</v>
      </c>
      <c r="B112" s="7">
        <v>4030</v>
      </c>
      <c r="C112" s="24" t="s">
        <v>112</v>
      </c>
      <c r="D112" s="24" t="s">
        <v>603</v>
      </c>
      <c r="E112" s="15">
        <v>42619.698483796295</v>
      </c>
      <c r="F112" s="15">
        <v>42619.705775462964</v>
      </c>
      <c r="G112" s="7">
        <v>1</v>
      </c>
      <c r="H112" s="15" t="s">
        <v>592</v>
      </c>
      <c r="I112" s="15">
        <v>42619.733726851853</v>
      </c>
      <c r="J112" s="7">
        <v>0</v>
      </c>
      <c r="K112" s="132" t="str">
        <f t="shared" si="23"/>
        <v>4029/4030</v>
      </c>
      <c r="L112" s="24" t="str">
        <f>VLOOKUP(A112,'Trips&amp;Operators'!$C$1:$E$10000,3,FALSE)</f>
        <v>ROCHA</v>
      </c>
      <c r="M112" s="6">
        <f t="shared" si="24"/>
        <v>2.7951388889050577E-2</v>
      </c>
      <c r="N112" s="7">
        <f t="shared" si="38"/>
        <v>40.250000000232831</v>
      </c>
      <c r="O112" s="7"/>
      <c r="P112" s="7"/>
      <c r="Q112" s="25"/>
      <c r="R112" s="25"/>
      <c r="S112" s="37">
        <f t="shared" si="25"/>
        <v>1</v>
      </c>
      <c r="T112" s="52" t="str">
        <f t="shared" si="26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15:45:49-0600',mode:absolute,to:'2016-09-06 18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2" s="54" t="str">
        <f t="shared" si="28"/>
        <v>N</v>
      </c>
      <c r="X112" s="120">
        <f t="shared" ref="X112:X143" si="41">VALUE(LEFT(AD112,4))-VALUE(LEFT(AD111,4))</f>
        <v>1</v>
      </c>
      <c r="Y112" s="69">
        <f t="shared" si="29"/>
        <v>23.301300000000001</v>
      </c>
      <c r="Z112" s="69">
        <f t="shared" si="30"/>
        <v>1.34E-2</v>
      </c>
      <c r="AA112" s="69">
        <f t="shared" si="31"/>
        <v>23.2879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2"/>
        <v>0200-06</v>
      </c>
      <c r="AE112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12" s="96" t="str">
        <f t="shared" si="34"/>
        <v>"C:\Program Files (x86)\AstroGrep\AstroGrep.exe" /spath="%USERPROFILE%\AppData\Local\Temp\OnboardLogs" /stypes="*4030*20160906*" /stext=" 23:.+((SYSTEM_STATE.+slice.+state.+changed )|(ment ac)|(system.+state.+changed )|(\|lc)|(penalty)|(\[timeout)|(PRM\|1\|D)|(kpr)|(kdp))" /e /r /s</v>
      </c>
      <c r="AG112" s="1" t="str">
        <f t="shared" si="35"/>
        <v>EC</v>
      </c>
      <c r="AH112" s="100" t="str">
        <f t="shared" si="36"/>
        <v>"%USERPROFILE%\Documents\GitHub\eaglep3\Utilities\RefineRTDCRunTimes.py" --tripid 200-06 --locoid 4030 --swversion DE.1.0.7.0 --startMP 204:233013 --initTime 2016-09-06T16:45:49 --startdatetime 2016-09-06T16:56:19 --delay 1 --endMP 204:134 --enddatetime 2016-09-06T17:36:34 --enforcementcount 0 &gt;&gt;C:\Users\stu\Documents\GitHub\eaglep3-reporting\EC\2016-09-06-refined-times.txt</v>
      </c>
      <c r="AI11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{"issue":{"subject":"","project_id":79,"tracker_id":40,"status_id":1,"priority_id":2,"assigned_to_id":23,"start_date":"2016-09-06","description":"","custom_fields":[{"id":1,"name":"Subdivision","value":"EC"},{"id":4,"name":"Milepost","value":"23.2879"},{"id":17,"name":"Train ID","value":"200-06"},{"id":16,"name":"Locomotive ID","value":"4030"},{"id":130,"name":"Impact","value":""},{"id":150,"name":"Time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495</v>
      </c>
      <c r="B113" s="7">
        <v>4011</v>
      </c>
      <c r="C113" s="24" t="s">
        <v>112</v>
      </c>
      <c r="D113" s="24" t="s">
        <v>295</v>
      </c>
      <c r="E113" s="15">
        <v>42619.672442129631</v>
      </c>
      <c r="F113" s="15">
        <v>42619.677361111113</v>
      </c>
      <c r="G113" s="7">
        <v>2</v>
      </c>
      <c r="H113" s="15" t="s">
        <v>249</v>
      </c>
      <c r="I113" s="15">
        <v>42619.703773148147</v>
      </c>
      <c r="J113" s="7">
        <v>0</v>
      </c>
      <c r="K113" s="132" t="str">
        <f t="shared" si="23"/>
        <v>4011/4012</v>
      </c>
      <c r="L113" s="24" t="str">
        <f>VLOOKUP(A113,'Trips&amp;Operators'!$C$1:$E$10000,3,FALSE)</f>
        <v>BARTLETT</v>
      </c>
      <c r="M113" s="6">
        <f t="shared" si="24"/>
        <v>2.6412037033878732E-2</v>
      </c>
      <c r="N113" s="7">
        <f t="shared" si="38"/>
        <v>38.033333328785375</v>
      </c>
      <c r="O113" s="7"/>
      <c r="P113" s="7"/>
      <c r="Q113" s="25"/>
      <c r="R113" s="25"/>
      <c r="S113" s="37">
        <f t="shared" si="25"/>
        <v>1</v>
      </c>
      <c r="T113" s="52" t="str">
        <f t="shared" si="26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15:08:19-0600',mode:absolute,to:'2016-09-06 17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13" s="54" t="str">
        <f t="shared" si="28"/>
        <v>N</v>
      </c>
      <c r="X113" s="120">
        <f t="shared" si="41"/>
        <v>1</v>
      </c>
      <c r="Y113" s="69">
        <f t="shared" si="29"/>
        <v>4.4600000000000001E-2</v>
      </c>
      <c r="Z113" s="69">
        <f t="shared" si="30"/>
        <v>23.331199999999999</v>
      </c>
      <c r="AA113" s="69">
        <f t="shared" si="31"/>
        <v>23.2866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2"/>
        <v>0201-06</v>
      </c>
      <c r="AE113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113" s="96" t="str">
        <f t="shared" si="34"/>
        <v>"C:\Program Files (x86)\AstroGrep\AstroGrep.exe" /spath="%USERPROFILE%\AppData\Local\Temp\OnboardLogs" /stypes="*4011*20160906*" /stext=" 22:.+((SYSTEM_STATE.+slice.+state.+changed )|(ment ac)|(system.+state.+changed )|(\|lc)|(penalty)|(\[timeout)|(PRM\|1\|D)|(kpr)|(kdp))" /e /r /s</v>
      </c>
      <c r="AG113" s="1" t="str">
        <f t="shared" si="35"/>
        <v>EC</v>
      </c>
      <c r="AH113" s="100" t="str">
        <f t="shared" si="36"/>
        <v>"%USERPROFILE%\Documents\GitHub\eaglep3\Utilities\RefineRTDCRunTimes.py" --tripid 201-06 --locoid 4011 --swversion DE.1.0.7.0 --startMP 204:446 --initTime 2016-09-06T16:08:19 --startdatetime 2016-09-06T16:15:24 --delay 2 --endMP 204:233312 --enddatetime 2016-09-06T16:53:26 --enforcementcount 0 &gt;&gt;C:\Users\stu\Documents\GitHub\eaglep3-reporting\EC\2016-09-06-refined-times.txt</v>
      </c>
      <c r="AI11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{"issue":{"subject":"","project_id":79,"tracker_id":40,"status_id":1,"priority_id":2,"assigned_to_id":23,"start_date":"2016-09-06","description":"","custom_fields":[{"id":1,"name":"Subdivision","value":"EC"},{"id":4,"name":"Milepost","value":"23.2866"},{"id":17,"name":"Train ID","value":"201-06"},{"id":16,"name":"Locomotive ID","value":"4011"},{"id":130,"name":"Impact","value":""},{"id":150,"name":"Time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506</v>
      </c>
      <c r="B114" s="7">
        <v>4012</v>
      </c>
      <c r="C114" s="24" t="s">
        <v>112</v>
      </c>
      <c r="D114" s="24" t="s">
        <v>627</v>
      </c>
      <c r="E114" s="15">
        <v>42619.706990740742</v>
      </c>
      <c r="F114" s="15">
        <v>42619.716087962966</v>
      </c>
      <c r="G114" s="7">
        <v>1</v>
      </c>
      <c r="H114" s="15" t="s">
        <v>164</v>
      </c>
      <c r="I114" s="15">
        <v>42619.743333333332</v>
      </c>
      <c r="J114" s="7">
        <v>0</v>
      </c>
      <c r="K114" s="132" t="str">
        <f t="shared" si="23"/>
        <v>4011/4012</v>
      </c>
      <c r="L114" s="24" t="str">
        <f>VLOOKUP(A114,'Trips&amp;Operators'!$C$1:$E$10000,3,FALSE)</f>
        <v>BARTLETT</v>
      </c>
      <c r="M114" s="6">
        <f t="shared" si="24"/>
        <v>2.7245370365562849E-2</v>
      </c>
      <c r="N114" s="7">
        <f t="shared" si="38"/>
        <v>39.233333326410502</v>
      </c>
      <c r="O114" s="7"/>
      <c r="P114" s="7"/>
      <c r="Q114" s="25"/>
      <c r="R114" s="25"/>
      <c r="S114" s="37">
        <f t="shared" si="25"/>
        <v>1</v>
      </c>
      <c r="T114" s="52" t="str">
        <f t="shared" si="26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15:58:04-0600',mode:absolute,to:'2016-09-06 18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4" s="54" t="str">
        <f t="shared" si="28"/>
        <v>N</v>
      </c>
      <c r="X114" s="120">
        <f t="shared" si="41"/>
        <v>1</v>
      </c>
      <c r="Y114" s="69">
        <f t="shared" si="29"/>
        <v>23.2973</v>
      </c>
      <c r="Z114" s="69">
        <f t="shared" si="30"/>
        <v>1.52E-2</v>
      </c>
      <c r="AA114" s="69">
        <f t="shared" si="31"/>
        <v>23.2821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2"/>
        <v>0202-06</v>
      </c>
      <c r="AE114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14" s="96" t="str">
        <f t="shared" si="34"/>
        <v>"C:\Program Files (x86)\AstroGrep\AstroGrep.exe" /spath="%USERPROFILE%\AppData\Local\Temp\OnboardLogs" /stypes="*4012*20160906*" /stext=" 23:.+((SYSTEM_STATE.+slice.+state.+changed )|(ment ac)|(system.+state.+changed )|(\|lc)|(penalty)|(\[timeout)|(PRM\|1\|D)|(kpr)|(kdp))" /e /r /s</v>
      </c>
      <c r="AG114" s="1" t="str">
        <f t="shared" si="35"/>
        <v>EC</v>
      </c>
      <c r="AH114" s="100" t="str">
        <f t="shared" si="36"/>
        <v>"%USERPROFILE%\Documents\GitHub\eaglep3\Utilities\RefineRTDCRunTimes.py" --tripid 202-06 --locoid 4012 --swversion DE.1.0.7.0 --startMP 204:232973 --initTime 2016-09-06T16:58:04 --startdatetime 2016-09-06T17:11:10 --delay 1 --endMP 204:152 --enddatetime 2016-09-06T17:50:24 --enforcementcount 0 &gt;&gt;C:\Users\stu\Documents\GitHub\eaglep3-reporting\EC\2016-09-06-refined-times.txt</v>
      </c>
      <c r="AI11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{"issue":{"subject":"","project_id":79,"tracker_id":40,"status_id":1,"priority_id":2,"assigned_to_id":23,"start_date":"2016-09-06","description":"","custom_fields":[{"id":1,"name":"Subdivision","value":"EC"},{"id":4,"name":"Milepost","value":"23.2821"},{"id":17,"name":"Train ID","value":"202-06"},{"id":16,"name":"Locomotive ID","value":"4012"},{"id":130,"name":"Impact","value":""},{"id":150,"name":"Time of Event (Mountain Time)","value":"17:50:24"},{"id":151,"name":"Denver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499</v>
      </c>
      <c r="B115" s="7">
        <v>4002</v>
      </c>
      <c r="C115" s="24" t="s">
        <v>112</v>
      </c>
      <c r="D115" s="24" t="s">
        <v>240</v>
      </c>
      <c r="E115" s="15">
        <v>42619.682673611111</v>
      </c>
      <c r="F115" s="15">
        <v>42619.687974537039</v>
      </c>
      <c r="G115" s="7">
        <v>1</v>
      </c>
      <c r="H115" s="15" t="s">
        <v>609</v>
      </c>
      <c r="I115" s="15">
        <v>42619.71371527778</v>
      </c>
      <c r="J115" s="7">
        <v>0</v>
      </c>
      <c r="K115" s="132" t="str">
        <f t="shared" si="23"/>
        <v>4001/4002</v>
      </c>
      <c r="L115" s="24" t="str">
        <f>VLOOKUP(A115,'Trips&amp;Operators'!$C$1:$E$10000,3,FALSE)</f>
        <v>SANTIZO</v>
      </c>
      <c r="M115" s="6">
        <f t="shared" si="24"/>
        <v>2.5740740740729962E-2</v>
      </c>
      <c r="N115" s="7">
        <f t="shared" si="38"/>
        <v>37.066666666651145</v>
      </c>
      <c r="O115" s="7"/>
      <c r="P115" s="7"/>
      <c r="Q115" s="25"/>
      <c r="R115" s="25"/>
      <c r="S115" s="37">
        <f t="shared" si="25"/>
        <v>1</v>
      </c>
      <c r="T115" s="52" t="str">
        <f t="shared" si="26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15:23:03-0600',mode:absolute,to:'2016-09-06 18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5" s="54" t="str">
        <f t="shared" si="28"/>
        <v>N</v>
      </c>
      <c r="X115" s="120">
        <f t="shared" si="41"/>
        <v>1</v>
      </c>
      <c r="Y115" s="69">
        <f t="shared" si="29"/>
        <v>4.4400000000000002E-2</v>
      </c>
      <c r="Z115" s="69">
        <f t="shared" si="30"/>
        <v>23.33</v>
      </c>
      <c r="AA115" s="69">
        <f t="shared" si="31"/>
        <v>23.285599999999999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2"/>
        <v>0203-06</v>
      </c>
      <c r="AE115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15" s="96" t="str">
        <f t="shared" si="34"/>
        <v>"C:\Program Files (x86)\AstroGrep\AstroGrep.exe" /spath="%USERPROFILE%\AppData\Local\Temp\OnboardLogs" /stypes="*4002*20160906*" /stext=" 23:.+((SYSTEM_STATE.+slice.+state.+changed )|(ment ac)|(system.+state.+changed )|(\|lc)|(penalty)|(\[timeout)|(PRM\|1\|D)|(kpr)|(kdp))" /e /r /s</v>
      </c>
      <c r="AG115" s="1" t="str">
        <f t="shared" si="35"/>
        <v>EC</v>
      </c>
      <c r="AH115" s="100" t="str">
        <f t="shared" si="36"/>
        <v>"%USERPROFILE%\Documents\GitHub\eaglep3\Utilities\RefineRTDCRunTimes.py" --tripid 203-06 --locoid 4002 --swversion DE.1.0.7.0 --startMP 204:444 --initTime 2016-09-06T16:23:03 --startdatetime 2016-09-06T16:30:41 --delay 1 --endMP 204:233300 --enddatetime 2016-09-06T17:07:45 --enforcementcount 0 &gt;&gt;C:\Users\stu\Documents\GitHub\eaglep3-reporting\EC\2016-09-06-refined-times.txt</v>
      </c>
      <c r="AI11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{"issue":{"subject":"","project_id":79,"tracker_id":40,"status_id":1,"priority_id":2,"assigned_to_id":23,"start_date":"2016-09-06","description":"","custom_fields":[{"id":1,"name":"Subdivision","value":"EC"},{"id":4,"name":"Milepost","value":"23.2856"},{"id":17,"name":"Train ID","value":"203-06"},{"id":16,"name":"Locomotive ID","value":"4002"},{"id":130,"name":"Impact","value":""},{"id":150,"name":"Time of Event (Mountain Time)","value":"17:07:45"},{"id":151,"name":"Denver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510</v>
      </c>
      <c r="B116" s="7">
        <v>4001</v>
      </c>
      <c r="C116" s="24" t="s">
        <v>112</v>
      </c>
      <c r="D116" s="24" t="s">
        <v>622</v>
      </c>
      <c r="E116" s="15">
        <v>42619.722037037034</v>
      </c>
      <c r="F116" s="15">
        <v>42619.726724537039</v>
      </c>
      <c r="G116" s="7">
        <v>1</v>
      </c>
      <c r="H116" s="15" t="s">
        <v>232</v>
      </c>
      <c r="I116" s="15">
        <v>42619.75708333333</v>
      </c>
      <c r="J116" s="7">
        <v>0</v>
      </c>
      <c r="K116" s="132" t="str">
        <f t="shared" si="23"/>
        <v>4001/4002</v>
      </c>
      <c r="L116" s="24" t="str">
        <f>VLOOKUP(A116,'Trips&amp;Operators'!$C$1:$E$10000,3,FALSE)</f>
        <v>SANTIZO</v>
      </c>
      <c r="M116" s="6">
        <f t="shared" si="24"/>
        <v>3.0358796291693579E-2</v>
      </c>
      <c r="N116" s="7">
        <f t="shared" si="38"/>
        <v>43.716666660038754</v>
      </c>
      <c r="O116" s="7"/>
      <c r="P116" s="7"/>
      <c r="Q116" s="25"/>
      <c r="R116" s="25"/>
      <c r="S116" s="37">
        <f t="shared" si="25"/>
        <v>1</v>
      </c>
      <c r="T116" s="52" t="str">
        <f t="shared" si="26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16:19:44-0600',mode:absolute,to:'2016-09-06 19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6" s="54" t="str">
        <f t="shared" si="28"/>
        <v>N</v>
      </c>
      <c r="X116" s="120">
        <f t="shared" si="41"/>
        <v>1</v>
      </c>
      <c r="Y116" s="69">
        <f t="shared" si="29"/>
        <v>23.299299999999999</v>
      </c>
      <c r="Z116" s="69">
        <f t="shared" si="30"/>
        <v>1.6299999999999999E-2</v>
      </c>
      <c r="AA116" s="69">
        <f t="shared" si="31"/>
        <v>23.282999999999998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2"/>
        <v>0204-06</v>
      </c>
      <c r="AE116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16" s="96" t="str">
        <f t="shared" si="34"/>
        <v>"C:\Program Files (x86)\AstroGrep\AstroGrep.exe" /spath="%USERPROFILE%\AppData\Local\Temp\OnboardLogs" /stypes="*4001*20160907*" /stext=" 00:.+((SYSTEM_STATE.+slice.+state.+changed )|(ment ac)|(system.+state.+changed )|(\|lc)|(penalty)|(\[timeout)|(PRM\|1\|D)|(kpr)|(kdp))" /e /r /s</v>
      </c>
      <c r="AG116" s="1" t="str">
        <f t="shared" si="35"/>
        <v>EC</v>
      </c>
      <c r="AH116" s="100" t="str">
        <f t="shared" si="36"/>
        <v>"%USERPROFILE%\Documents\GitHub\eaglep3\Utilities\RefineRTDCRunTimes.py" --tripid 204-06 --locoid 4001 --swversion DE.1.0.7.0 --startMP 204:232993 --initTime 2016-09-06T17:19:44 --startdatetime 2016-09-06T17:26:29 --delay 1 --endMP 204:163 --enddatetime 2016-09-06T18:10:12 --enforcementcount 0 &gt;&gt;C:\Users\stu\Documents\GitHub\eaglep3-reporting\EC\2016-09-06-refined-times.txt</v>
      </c>
      <c r="AI11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ID","value":"204-06"},{"id":16,"name":"Locomotive ID","value":"4001"},{"id":130,"name":"Impact","value":""},{"id":150,"name":"Time of Event (Mountain Time)","value":"18:10:12"},{"id":151,"name":"Denver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503</v>
      </c>
      <c r="B117" s="7">
        <v>4042</v>
      </c>
      <c r="C117" s="24" t="s">
        <v>112</v>
      </c>
      <c r="D117" s="24" t="s">
        <v>167</v>
      </c>
      <c r="E117" s="15">
        <v>42619.695590277777</v>
      </c>
      <c r="F117" s="15">
        <v>42619.698287037034</v>
      </c>
      <c r="G117" s="7">
        <v>1</v>
      </c>
      <c r="H117" s="15" t="s">
        <v>272</v>
      </c>
      <c r="I117" s="15">
        <v>42619.72278935185</v>
      </c>
      <c r="J117" s="7">
        <v>0</v>
      </c>
      <c r="K117" s="132" t="str">
        <f t="shared" si="23"/>
        <v>4041/4042</v>
      </c>
      <c r="L117" s="24" t="str">
        <f>VLOOKUP(A117,'Trips&amp;Operators'!$C$1:$E$10000,3,FALSE)</f>
        <v>HELVIE</v>
      </c>
      <c r="M117" s="6">
        <f t="shared" si="24"/>
        <v>2.4502314816345461E-2</v>
      </c>
      <c r="N117" s="7">
        <f t="shared" si="38"/>
        <v>35.283333335537463</v>
      </c>
      <c r="O117" s="7"/>
      <c r="P117" s="7"/>
      <c r="Q117" s="25"/>
      <c r="R117" s="25"/>
      <c r="S117" s="37">
        <f t="shared" si="25"/>
        <v>1</v>
      </c>
      <c r="T117" s="52" t="str">
        <f t="shared" si="26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15:41:39-0600',mode:absolute,to:'2016-09-06 18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7" s="54" t="str">
        <f t="shared" si="28"/>
        <v>N</v>
      </c>
      <c r="X117" s="120">
        <f t="shared" si="41"/>
        <v>1</v>
      </c>
      <c r="Y117" s="69">
        <f t="shared" si="29"/>
        <v>4.7100000000000003E-2</v>
      </c>
      <c r="Z117" s="69">
        <f t="shared" si="30"/>
        <v>23.329899999999999</v>
      </c>
      <c r="AA117" s="69">
        <f t="shared" si="31"/>
        <v>23.282799999999998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2"/>
        <v>0205-06</v>
      </c>
      <c r="AE117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17" s="96" t="str">
        <f t="shared" si="34"/>
        <v>"C:\Program Files (x86)\AstroGrep\AstroGrep.exe" /spath="%USERPROFILE%\AppData\Local\Temp\OnboardLogs" /stypes="*4042*20160906*" /stext=" 23:.+((SYSTEM_STATE.+slice.+state.+changed )|(ment ac)|(system.+state.+changed )|(\|lc)|(penalty)|(\[timeout)|(PRM\|1\|D)|(kpr)|(kdp))" /e /r /s</v>
      </c>
      <c r="AG117" s="1" t="str">
        <f t="shared" si="35"/>
        <v>EC</v>
      </c>
      <c r="AH117" s="100" t="str">
        <f t="shared" si="36"/>
        <v>"%USERPROFILE%\Documents\GitHub\eaglep3\Utilities\RefineRTDCRunTimes.py" --tripid 205-06 --locoid 4042 --swversion DE.1.0.7.0 --startMP 204:471 --initTime 2016-09-06T16:41:39 --startdatetime 2016-09-06T16:45:32 --delay 1 --endMP 204:233299 --enddatetime 2016-09-06T17:20:49 --enforcementcount 0 &gt;&gt;C:\Users\stu\Documents\GitHub\eaglep3-reporting\EC\2016-09-06-refined-times.txt</v>
      </c>
      <c r="AI11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ID","value":"205-06"},{"id":16,"name":"Locomotive ID","value":"4042"},{"id":130,"name":"Impact","value":""},{"id":150,"name":"Time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513</v>
      </c>
      <c r="B118" s="7">
        <v>4041</v>
      </c>
      <c r="C118" s="24" t="s">
        <v>112</v>
      </c>
      <c r="D118" s="24" t="s">
        <v>284</v>
      </c>
      <c r="E118" s="15">
        <v>42619.732766203706</v>
      </c>
      <c r="F118" s="15">
        <v>42619.736979166664</v>
      </c>
      <c r="G118" s="7">
        <v>1</v>
      </c>
      <c r="H118" s="15" t="s">
        <v>172</v>
      </c>
      <c r="I118" s="15">
        <v>42619.764201388891</v>
      </c>
      <c r="J118" s="7">
        <v>0</v>
      </c>
      <c r="K118" s="132" t="str">
        <f t="shared" si="23"/>
        <v>4041/4042</v>
      </c>
      <c r="L118" s="24" t="str">
        <f>VLOOKUP(A118,'Trips&amp;Operators'!$C$1:$E$10000,3,FALSE)</f>
        <v>HELVIE</v>
      </c>
      <c r="M118" s="6">
        <f t="shared" si="24"/>
        <v>2.7222222226555459E-2</v>
      </c>
      <c r="N118" s="7">
        <f t="shared" si="38"/>
        <v>39.200000006239861</v>
      </c>
      <c r="O118" s="7"/>
      <c r="P118" s="7"/>
      <c r="Q118" s="25"/>
      <c r="R118" s="25"/>
      <c r="S118" s="37">
        <f t="shared" si="25"/>
        <v>1</v>
      </c>
      <c r="T118" s="52" t="str">
        <f t="shared" si="26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16:35:11-0600',mode:absolute,to:'2016-09-06 19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8" s="54" t="str">
        <f t="shared" si="28"/>
        <v>N</v>
      </c>
      <c r="X118" s="120">
        <f t="shared" si="41"/>
        <v>1</v>
      </c>
      <c r="Y118" s="69">
        <f t="shared" si="29"/>
        <v>23.298400000000001</v>
      </c>
      <c r="Z118" s="69">
        <f t="shared" si="30"/>
        <v>1.6E-2</v>
      </c>
      <c r="AA118" s="69">
        <f t="shared" si="31"/>
        <v>23.282400000000003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2"/>
        <v>0206-06</v>
      </c>
      <c r="AE118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18" s="96" t="str">
        <f t="shared" si="34"/>
        <v>"C:\Program Files (x86)\AstroGrep\AstroGrep.exe" /spath="%USERPROFILE%\AppData\Local\Temp\OnboardLogs" /stypes="*4041*20160907*" /stext=" 00:.+((SYSTEM_STATE.+slice.+state.+changed )|(ment ac)|(system.+state.+changed )|(\|lc)|(penalty)|(\[timeout)|(PRM\|1\|D)|(kpr)|(kdp))" /e /r /s</v>
      </c>
      <c r="AG118" s="1" t="str">
        <f t="shared" si="35"/>
        <v>EC</v>
      </c>
      <c r="AH118" s="100" t="str">
        <f t="shared" si="36"/>
        <v>"%USERPROFILE%\Documents\GitHub\eaglep3\Utilities\RefineRTDCRunTimes.py" --tripid 206-06 --locoid 4041 --swversion DE.1.0.7.0 --startMP 204:232984 --initTime 2016-09-06T17:35:11 --startdatetime 2016-09-06T17:41:15 --delay 1 --endMP 204:160 --enddatetime 2016-09-06T18:20:27 --enforcementcount 0 &gt;&gt;C:\Users\stu\Documents\GitHub\eaglep3-reporting\EC\2016-09-06-refined-times.txt</v>
      </c>
      <c r="AI11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{"issue":{"subject":"","project_id":79,"tracker_id":40,"status_id":1,"priority_id":2,"assigned_to_id":23,"start_date":"2016-09-06","description":"","custom_fields":[{"id":1,"name":"Subdivision","value":"EC"},{"id":4,"name":"Milepost","value":"23.2824"},{"id":17,"name":"Train ID","value":"206-06"},{"id":16,"name":"Locomotive ID","value":"4041"},{"id":130,"name":"Impact","value":""},{"id":150,"name":"Time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505</v>
      </c>
      <c r="B119" s="7">
        <v>4027</v>
      </c>
      <c r="C119" s="24" t="s">
        <v>112</v>
      </c>
      <c r="D119" s="24" t="s">
        <v>303</v>
      </c>
      <c r="E119" s="15">
        <v>42619.703032407408</v>
      </c>
      <c r="F119" s="15">
        <v>42619.708495370367</v>
      </c>
      <c r="G119" s="7">
        <v>1</v>
      </c>
      <c r="H119" s="15" t="s">
        <v>638</v>
      </c>
      <c r="I119" s="15">
        <v>42619.734467592592</v>
      </c>
      <c r="J119" s="7">
        <v>0</v>
      </c>
      <c r="K119" s="132" t="str">
        <f t="shared" si="23"/>
        <v>4027/4028</v>
      </c>
      <c r="L119" s="24" t="str">
        <f>VLOOKUP(A119,'Trips&amp;Operators'!$C$1:$E$10000,3,FALSE)</f>
        <v>CRAYTON</v>
      </c>
      <c r="M119" s="6">
        <f t="shared" si="24"/>
        <v>2.5972222225391306E-2</v>
      </c>
      <c r="N119" s="7">
        <f t="shared" si="38"/>
        <v>37.400000004563481</v>
      </c>
      <c r="O119" s="7"/>
      <c r="P119" s="7"/>
      <c r="Q119" s="25"/>
      <c r="R119" s="25"/>
      <c r="S119" s="37">
        <f t="shared" si="25"/>
        <v>1</v>
      </c>
      <c r="T119" s="52" t="str">
        <f t="shared" si="26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15:52:22-0600',mode:absolute,to:'2016-09-06 18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9" s="54" t="str">
        <f t="shared" si="28"/>
        <v>N</v>
      </c>
      <c r="X119" s="120">
        <f t="shared" si="41"/>
        <v>1</v>
      </c>
      <c r="Y119" s="69">
        <f t="shared" si="29"/>
        <v>4.3999999999999997E-2</v>
      </c>
      <c r="Z119" s="69">
        <f t="shared" si="30"/>
        <v>23.334599999999998</v>
      </c>
      <c r="AA119" s="69">
        <f t="shared" si="31"/>
        <v>23.290599999999998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2"/>
        <v>0207-06</v>
      </c>
      <c r="AE119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119" s="96" t="str">
        <f t="shared" si="34"/>
        <v>"C:\Program Files (x86)\AstroGrep\AstroGrep.exe" /spath="%USERPROFILE%\AppData\Local\Temp\OnboardLogs" /stypes="*4027*20160906*" /stext=" 23:.+((SYSTEM_STATE.+slice.+state.+changed )|(ment ac)|(system.+state.+changed )|(\|lc)|(penalty)|(\[timeout)|(PRM\|1\|D)|(kpr)|(kdp))" /e /r /s</v>
      </c>
      <c r="AG119" s="1" t="str">
        <f t="shared" si="35"/>
        <v>EC</v>
      </c>
      <c r="AH119" s="100" t="str">
        <f t="shared" si="36"/>
        <v>"%USERPROFILE%\Documents\GitHub\eaglep3\Utilities\RefineRTDCRunTimes.py" --tripid 207-06 --locoid 4027 --swversion DE.1.0.7.0 --startMP 204:440 --initTime 2016-09-06T16:52:22 --startdatetime 2016-09-06T17:00:14 --delay 1 --endMP 204:233346 --enddatetime 2016-09-06T17:37:38 --enforcementcount 0 &gt;&gt;C:\Users\stu\Documents\GitHub\eaglep3-reporting\EC\2016-09-06-refined-times.txt</v>
      </c>
      <c r="AI11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{"issue":{"subject":"","project_id":79,"tracker_id":40,"status_id":1,"priority_id":2,"assigned_to_id":23,"start_date":"2016-09-06","description":"","custom_fields":[{"id":1,"name":"Subdivision","value":"EC"},{"id":4,"name":"Milepost","value":"23.2906"},{"id":17,"name":"Train ID","value":"207-06"},{"id":16,"name":"Locomotive ID","value":"4027"},{"id":130,"name":"Impact","value":""},{"id":150,"name":"Time of Event (Mountain Time)","value":"17:37:38"},{"id":151,"name":"Denver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519</v>
      </c>
      <c r="B120" s="7">
        <v>4028</v>
      </c>
      <c r="C120" s="24" t="s">
        <v>112</v>
      </c>
      <c r="D120" s="24" t="s">
        <v>309</v>
      </c>
      <c r="E120" s="15">
        <v>42619.740914351853</v>
      </c>
      <c r="F120" s="15">
        <v>42619.74763888889</v>
      </c>
      <c r="G120" s="7">
        <v>1</v>
      </c>
      <c r="H120" s="15" t="s">
        <v>313</v>
      </c>
      <c r="I120" s="15">
        <v>42619.776342592595</v>
      </c>
      <c r="J120" s="7">
        <v>0</v>
      </c>
      <c r="K120" s="132" t="str">
        <f t="shared" si="23"/>
        <v>4027/4028</v>
      </c>
      <c r="L120" s="24" t="str">
        <f>VLOOKUP(A120,'Trips&amp;Operators'!$C$1:$E$10000,3,FALSE)</f>
        <v>CRAYTON</v>
      </c>
      <c r="M120" s="6">
        <f t="shared" si="24"/>
        <v>2.8703703705104999E-2</v>
      </c>
      <c r="N120" s="7">
        <f t="shared" si="38"/>
        <v>41.333333335351199</v>
      </c>
      <c r="O120" s="7"/>
      <c r="P120" s="7"/>
      <c r="Q120" s="25"/>
      <c r="R120" s="25"/>
      <c r="S120" s="37">
        <f t="shared" si="25"/>
        <v>1</v>
      </c>
      <c r="T120" s="52" t="str">
        <f t="shared" si="26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16:46:55-0600',mode:absolute,to:'2016-09-06 19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0" s="54" t="str">
        <f t="shared" si="28"/>
        <v>N</v>
      </c>
      <c r="X120" s="120">
        <f t="shared" si="41"/>
        <v>1</v>
      </c>
      <c r="Y120" s="69">
        <f t="shared" si="29"/>
        <v>23.298300000000001</v>
      </c>
      <c r="Z120" s="69">
        <f t="shared" si="30"/>
        <v>1.78E-2</v>
      </c>
      <c r="AA120" s="69">
        <f t="shared" si="31"/>
        <v>23.2805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2"/>
        <v>0208-06</v>
      </c>
      <c r="AE120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20" s="96" t="str">
        <f t="shared" si="34"/>
        <v>"C:\Program Files (x86)\AstroGrep\AstroGrep.exe" /spath="%USERPROFILE%\AppData\Local\Temp\OnboardLogs" /stypes="*4028*20160907*" /stext=" 00:.+((SYSTEM_STATE.+slice.+state.+changed )|(ment ac)|(system.+state.+changed )|(\|lc)|(penalty)|(\[timeout)|(PRM\|1\|D)|(kpr)|(kdp))" /e /r /s</v>
      </c>
      <c r="AG120" s="1" t="str">
        <f t="shared" si="35"/>
        <v>EC</v>
      </c>
      <c r="AH120" s="100" t="str">
        <f t="shared" si="36"/>
        <v>"%USERPROFILE%\Documents\GitHub\eaglep3\Utilities\RefineRTDCRunTimes.py" --tripid 208-06 --locoid 4028 --swversion DE.1.0.7.0 --startMP 204:232983 --initTime 2016-09-06T17:46:55 --startdatetime 2016-09-06T17:56:36 --delay 1 --endMP 204:178 --enddatetime 2016-09-06T18:37:56 --enforcementcount 0 &gt;&gt;C:\Users\stu\Documents\GitHub\eaglep3-reporting\EC\2016-09-06-refined-times.txt</v>
      </c>
      <c r="AI12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ID","value":"208-06"},{"id":16,"name":"Locomotive ID","value":"4028"},{"id":130,"name":"Impact","value":""},{"id":150,"name":"Time of Event (Mountain Time)","value":"18:37:56"},{"id":151,"name":"Denver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508</v>
      </c>
      <c r="B121" s="7">
        <v>4038</v>
      </c>
      <c r="C121" s="24" t="s">
        <v>112</v>
      </c>
      <c r="D121" s="24" t="s">
        <v>639</v>
      </c>
      <c r="E121" s="15">
        <v>42619.715937499997</v>
      </c>
      <c r="F121" s="15">
        <v>42619.719039351854</v>
      </c>
      <c r="G121" s="7">
        <v>2</v>
      </c>
      <c r="H121" s="15" t="s">
        <v>302</v>
      </c>
      <c r="I121" s="15">
        <v>42619.745925925927</v>
      </c>
      <c r="J121" s="7">
        <v>0</v>
      </c>
      <c r="K121" s="132" t="str">
        <f t="shared" si="23"/>
        <v>4037/4038</v>
      </c>
      <c r="L121" s="24" t="str">
        <f>VLOOKUP(A121,'Trips&amp;Operators'!$C$1:$E$10000,3,FALSE)</f>
        <v>ARVIDSON</v>
      </c>
      <c r="M121" s="6">
        <f t="shared" si="24"/>
        <v>2.6886574072705116E-2</v>
      </c>
      <c r="N121" s="7">
        <f t="shared" si="38"/>
        <v>38.716666664695367</v>
      </c>
      <c r="O121" s="7"/>
      <c r="P121" s="7"/>
      <c r="Q121" s="25"/>
      <c r="R121" s="25"/>
      <c r="S121" s="37">
        <f t="shared" si="25"/>
        <v>1</v>
      </c>
      <c r="T121" s="52" t="str">
        <f t="shared" si="26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16:10:57-0600',mode:absolute,to:'2016-09-06 18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21" s="54" t="str">
        <f t="shared" si="28"/>
        <v>N</v>
      </c>
      <c r="X121" s="120">
        <f t="shared" si="41"/>
        <v>1</v>
      </c>
      <c r="Y121" s="69">
        <f t="shared" si="29"/>
        <v>5.1700000000000003E-2</v>
      </c>
      <c r="Z121" s="69">
        <f t="shared" si="30"/>
        <v>23.330500000000001</v>
      </c>
      <c r="AA121" s="69">
        <f t="shared" si="31"/>
        <v>23.2788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2"/>
        <v>0209-06</v>
      </c>
      <c r="AE121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21" s="96" t="str">
        <f t="shared" si="34"/>
        <v>"C:\Program Files (x86)\AstroGrep\AstroGrep.exe" /spath="%USERPROFILE%\AppData\Local\Temp\OnboardLogs" /stypes="*4038*20160906*" /stext=" 23:.+((SYSTEM_STATE.+slice.+state.+changed )|(ment ac)|(system.+state.+changed )|(\|lc)|(penalty)|(\[timeout)|(PRM\|1\|D)|(kpr)|(kdp))" /e /r /s</v>
      </c>
      <c r="AG121" s="1" t="str">
        <f t="shared" si="35"/>
        <v>EC</v>
      </c>
      <c r="AH121" s="100" t="str">
        <f t="shared" si="36"/>
        <v>"%USERPROFILE%\Documents\GitHub\eaglep3\Utilities\RefineRTDCRunTimes.py" --tripid 209-06 --locoid 4038 --swversion DE.1.0.7.0 --startMP 204:517 --initTime 2016-09-06T17:10:57 --startdatetime 2016-09-06T17:15:25 --delay 2 --endMP 204:233305 --enddatetime 2016-09-06T17:54:08 --enforcementcount 0 &gt;&gt;C:\Users\stu\Documents\GitHub\eaglep3-reporting\EC\2016-09-06-refined-times.txt</v>
      </c>
      <c r="AI12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{"issue":{"subject":"","project_id":79,"tracker_id":40,"status_id":1,"priority_id":2,"assigned_to_id":23,"start_date":"2016-09-06","description":"","custom_fields":[{"id":1,"name":"Subdivision","value":"EC"},{"id":4,"name":"Milepost","value":"23.2788"},{"id":17,"name":"Train ID","value":"209-06"},{"id":16,"name":"Locomotive ID","value":"4038"},{"id":130,"name":"Impact","value":""},{"id":150,"name":"Time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524</v>
      </c>
      <c r="B122" s="7">
        <v>4037</v>
      </c>
      <c r="C122" s="24" t="s">
        <v>112</v>
      </c>
      <c r="D122" s="24" t="s">
        <v>257</v>
      </c>
      <c r="E122" s="15">
        <v>42619.749594907407</v>
      </c>
      <c r="F122" s="15">
        <v>42619.757893518516</v>
      </c>
      <c r="G122" s="7">
        <v>1</v>
      </c>
      <c r="H122" s="15" t="s">
        <v>314</v>
      </c>
      <c r="I122" s="15">
        <v>42619.785324074073</v>
      </c>
      <c r="J122" s="7">
        <v>0</v>
      </c>
      <c r="K122" s="132" t="str">
        <f t="shared" si="23"/>
        <v>4037/4038</v>
      </c>
      <c r="L122" s="24" t="str">
        <f>VLOOKUP(A122,'Trips&amp;Operators'!$C$1:$E$10000,3,FALSE)</f>
        <v>ARVIDSON</v>
      </c>
      <c r="M122" s="6">
        <f t="shared" si="24"/>
        <v>2.7430555557657499E-2</v>
      </c>
      <c r="N122" s="7">
        <f t="shared" si="38"/>
        <v>39.500000003026798</v>
      </c>
      <c r="O122" s="7"/>
      <c r="P122" s="7"/>
      <c r="Q122" s="25"/>
      <c r="R122" s="25"/>
      <c r="S122" s="37">
        <f t="shared" si="25"/>
        <v>1</v>
      </c>
      <c r="T122" s="52" t="str">
        <f t="shared" si="26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16:59:25-0600',mode:absolute,to:'2016-09-06 19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2" s="54" t="str">
        <f t="shared" si="28"/>
        <v>N</v>
      </c>
      <c r="X122" s="120">
        <f t="shared" si="41"/>
        <v>1</v>
      </c>
      <c r="Y122" s="69">
        <f t="shared" si="29"/>
        <v>23.296900000000001</v>
      </c>
      <c r="Z122" s="69">
        <f t="shared" si="30"/>
        <v>1.6500000000000001E-2</v>
      </c>
      <c r="AA122" s="69">
        <f t="shared" si="31"/>
        <v>23.2804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2"/>
        <v>0210-06</v>
      </c>
      <c r="AE122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22" s="96" t="str">
        <f t="shared" si="34"/>
        <v>"C:\Program Files (x86)\AstroGrep\AstroGrep.exe" /spath="%USERPROFILE%\AppData\Local\Temp\OnboardLogs" /stypes="*4037*20160907*" /stext=" 00:.+((SYSTEM_STATE.+slice.+state.+changed )|(ment ac)|(system.+state.+changed )|(\|lc)|(penalty)|(\[timeout)|(PRM\|1\|D)|(kpr)|(kdp))" /e /r /s</v>
      </c>
      <c r="AG122" s="1" t="str">
        <f t="shared" si="35"/>
        <v>EC</v>
      </c>
      <c r="AH122" s="100" t="str">
        <f t="shared" si="36"/>
        <v>"%USERPROFILE%\Documents\GitHub\eaglep3\Utilities\RefineRTDCRunTimes.py" --tripid 210-06 --locoid 4037 --swversion DE.1.0.7.0 --startMP 204:232969 --initTime 2016-09-06T17:59:25 --startdatetime 2016-09-06T18:11:22 --delay 1 --endMP 204:165 --enddatetime 2016-09-06T18:50:52 --enforcementcount 0 &gt;&gt;C:\Users\stu\Documents\GitHub\eaglep3-reporting\EC\2016-09-06-refined-times.txt</v>
      </c>
      <c r="AI12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{"issue":{"subject":"","project_id":79,"tracker_id":40,"status_id":1,"priority_id":2,"assigned_to_id":23,"start_date":"2016-09-06","description":"","custom_fields":[{"id":1,"name":"Subdivision","value":"EC"},{"id":4,"name":"Milepost","value":"23.2804"},{"id":17,"name":"Train ID","value":"210-06"},{"id":16,"name":"Locomotive ID","value":"4037"},{"id":130,"name":"Impact","value":""},{"id":150,"name":"Time of Event (Mountain Time)","value":"18:50:52"},{"id":151,"name":"Denver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511</v>
      </c>
      <c r="B123" s="7">
        <v>4025</v>
      </c>
      <c r="C123" s="24" t="s">
        <v>112</v>
      </c>
      <c r="D123" s="24" t="s">
        <v>252</v>
      </c>
      <c r="E123" s="15">
        <v>42619.726469907408</v>
      </c>
      <c r="F123" s="15">
        <v>42619.729363425926</v>
      </c>
      <c r="G123" s="7">
        <v>1</v>
      </c>
      <c r="H123" s="15" t="s">
        <v>249</v>
      </c>
      <c r="I123" s="15">
        <v>42619.756504629629</v>
      </c>
      <c r="J123" s="7">
        <v>0</v>
      </c>
      <c r="K123" s="132" t="str">
        <f t="shared" si="23"/>
        <v>4025/4026</v>
      </c>
      <c r="L123" s="24" t="str">
        <f>VLOOKUP(A123,'Trips&amp;Operators'!$C$1:$E$10000,3,FALSE)</f>
        <v>YOUNG</v>
      </c>
      <c r="M123" s="6">
        <f t="shared" si="24"/>
        <v>2.7141203703649808E-2</v>
      </c>
      <c r="N123" s="7">
        <f t="shared" si="38"/>
        <v>39.083333333255723</v>
      </c>
      <c r="O123" s="7"/>
      <c r="P123" s="7"/>
      <c r="Q123" s="25"/>
      <c r="R123" s="25"/>
      <c r="S123" s="37">
        <f t="shared" si="25"/>
        <v>1</v>
      </c>
      <c r="T123" s="52" t="str">
        <f t="shared" si="26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16:26:07-0600',mode:absolute,to:'2016-09-06 19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23" s="54" t="str">
        <f t="shared" si="28"/>
        <v>N</v>
      </c>
      <c r="X123" s="120">
        <f t="shared" si="41"/>
        <v>1</v>
      </c>
      <c r="Y123" s="69">
        <f t="shared" si="29"/>
        <v>4.6399999999999997E-2</v>
      </c>
      <c r="Z123" s="69">
        <f t="shared" si="30"/>
        <v>23.331199999999999</v>
      </c>
      <c r="AA123" s="69">
        <f t="shared" si="31"/>
        <v>23.284800000000001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2"/>
        <v>0211-06</v>
      </c>
      <c r="AE123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123" s="96" t="str">
        <f t="shared" si="34"/>
        <v>"C:\Program Files (x86)\AstroGrep\AstroGrep.exe" /spath="%USERPROFILE%\AppData\Local\Temp\OnboardLogs" /stypes="*4025*20160907*" /stext=" 00:.+((SYSTEM_STATE.+slice.+state.+changed )|(ment ac)|(system.+state.+changed )|(\|lc)|(penalty)|(\[timeout)|(PRM\|1\|D)|(kpr)|(kdp))" /e /r /s</v>
      </c>
      <c r="AG123" s="1" t="str">
        <f t="shared" si="35"/>
        <v>EC</v>
      </c>
      <c r="AH123" s="100" t="str">
        <f t="shared" si="36"/>
        <v>"%USERPROFILE%\Documents\GitHub\eaglep3\Utilities\RefineRTDCRunTimes.py" --tripid 211-06 --locoid 4025 --swversion DE.1.0.7.0 --startMP 204:464 --initTime 2016-09-06T17:26:07 --startdatetime 2016-09-06T17:30:17 --delay 1 --endMP 204:233312 --enddatetime 2016-09-06T18:09:22 --enforcementcount 0 &gt;&gt;C:\Users\stu\Documents\GitHub\eaglep3-reporting\EC\2016-09-06-refined-times.txt</v>
      </c>
      <c r="AI12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ID","value":"211-06"},{"id":16,"name":"Locomotive ID","value":"4025"},{"id":130,"name":"Impact","value":""},{"id":150,"name":"Time of Event (Mountain Time)","value":"18:09:22"},{"id":151,"name":"Denver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529</v>
      </c>
      <c r="B124" s="7">
        <v>4026</v>
      </c>
      <c r="C124" s="24" t="s">
        <v>112</v>
      </c>
      <c r="D124" s="24" t="s">
        <v>310</v>
      </c>
      <c r="E124" s="15">
        <v>42619.760451388887</v>
      </c>
      <c r="F124" s="15">
        <v>42619.768750000003</v>
      </c>
      <c r="G124" s="7">
        <v>1</v>
      </c>
      <c r="H124" s="15" t="s">
        <v>130</v>
      </c>
      <c r="I124" s="15">
        <v>42619.797222222223</v>
      </c>
      <c r="J124" s="7">
        <v>0</v>
      </c>
      <c r="K124" s="132" t="str">
        <f t="shared" si="23"/>
        <v>4025/4026</v>
      </c>
      <c r="L124" s="24" t="str">
        <f>VLOOKUP(A124,'Trips&amp;Operators'!$C$1:$E$10000,3,FALSE)</f>
        <v>YOUNG</v>
      </c>
      <c r="M124" s="6">
        <f t="shared" si="24"/>
        <v>2.8472222220443655E-2</v>
      </c>
      <c r="N124" s="7">
        <f t="shared" si="38"/>
        <v>40.999999997438863</v>
      </c>
      <c r="O124" s="7"/>
      <c r="P124" s="7"/>
      <c r="Q124" s="25"/>
      <c r="R124" s="25"/>
      <c r="S124" s="37">
        <f t="shared" si="25"/>
        <v>1</v>
      </c>
      <c r="T124" s="52" t="str">
        <f t="shared" si="26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17:15:03-0600',mode:absolute,to:'2016-09-06 20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24" s="54" t="str">
        <f t="shared" si="28"/>
        <v>N</v>
      </c>
      <c r="X124" s="120">
        <f t="shared" si="41"/>
        <v>1</v>
      </c>
      <c r="Y124" s="69">
        <f t="shared" si="29"/>
        <v>23.300599999999999</v>
      </c>
      <c r="Z124" s="69">
        <f t="shared" si="30"/>
        <v>1.5800000000000002E-2</v>
      </c>
      <c r="AA124" s="69">
        <f t="shared" si="31"/>
        <v>23.284800000000001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2"/>
        <v>0212-06</v>
      </c>
      <c r="AE124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24" s="96" t="str">
        <f t="shared" si="34"/>
        <v>"C:\Program Files (x86)\AstroGrep\AstroGrep.exe" /spath="%USERPROFILE%\AppData\Local\Temp\OnboardLogs" /stypes="*4026*20160907*" /stext=" 01:.+((SYSTEM_STATE.+slice.+state.+changed )|(ment ac)|(system.+state.+changed )|(\|lc)|(penalty)|(\[timeout)|(PRM\|1\|D)|(kpr)|(kdp))" /e /r /s</v>
      </c>
      <c r="AG124" s="1" t="str">
        <f t="shared" si="35"/>
        <v>EC</v>
      </c>
      <c r="AH124" s="100" t="str">
        <f t="shared" si="36"/>
        <v>"%USERPROFILE%\Documents\GitHub\eaglep3\Utilities\RefineRTDCRunTimes.py" --tripid 212-06 --locoid 4026 --swversion DE.1.0.7.0 --startMP 204:233006 --initTime 2016-09-06T18:15:03 --startdatetime 2016-09-06T18:27:00 --delay 1 --endMP 204:158 --enddatetime 2016-09-06T19:08:00 --enforcementcount 0 &gt;&gt;C:\Users\stu\Documents\GitHub\eaglep3-reporting\EC\2016-09-06-refined-times.txt</v>
      </c>
      <c r="AI12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ID","value":"212-06"},{"id":16,"name":"Locomotive ID","value":"4026"},{"id":130,"name":"Impact","value":""},{"id":150,"name":"Time of Event (Mountain Time)","value":"19:08:00"},{"id":151,"name":"Denver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517</v>
      </c>
      <c r="B125" s="7">
        <v>4029</v>
      </c>
      <c r="C125" s="24" t="s">
        <v>112</v>
      </c>
      <c r="D125" s="24" t="s">
        <v>640</v>
      </c>
      <c r="E125" s="15">
        <v>42619.735567129632</v>
      </c>
      <c r="F125" s="15">
        <v>42619.739768518521</v>
      </c>
      <c r="G125" s="7">
        <v>5</v>
      </c>
      <c r="H125" s="15" t="s">
        <v>231</v>
      </c>
      <c r="I125" s="15">
        <v>42619.764143518521</v>
      </c>
      <c r="J125" s="7">
        <v>0</v>
      </c>
      <c r="K125" s="132" t="str">
        <f t="shared" si="23"/>
        <v>4029/4030</v>
      </c>
      <c r="L125" s="24" t="str">
        <f>VLOOKUP(A125,'Trips&amp;Operators'!$C$1:$E$10000,3,FALSE)</f>
        <v>COOLAHAN</v>
      </c>
      <c r="M125" s="6">
        <f t="shared" si="24"/>
        <v>2.4375000000873115E-2</v>
      </c>
      <c r="N125" s="7">
        <f t="shared" si="38"/>
        <v>35.100000001257285</v>
      </c>
      <c r="O125" s="7"/>
      <c r="P125" s="7"/>
      <c r="Q125" s="25"/>
      <c r="R125" s="25"/>
      <c r="S125" s="37">
        <f t="shared" si="25"/>
        <v>1</v>
      </c>
      <c r="T125" s="52" t="str">
        <f t="shared" si="26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16:39:13-0600',mode:absolute,to:'2016-09-06 19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5" s="54" t="str">
        <f t="shared" si="28"/>
        <v>N</v>
      </c>
      <c r="X125" s="120">
        <f t="shared" si="41"/>
        <v>1</v>
      </c>
      <c r="Y125" s="69">
        <f t="shared" si="29"/>
        <v>4.9700000000000001E-2</v>
      </c>
      <c r="Z125" s="69">
        <f t="shared" si="30"/>
        <v>23.331399999999999</v>
      </c>
      <c r="AA125" s="69">
        <f t="shared" si="31"/>
        <v>23.281699999999997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2"/>
        <v>0213-06</v>
      </c>
      <c r="AE125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25" s="96" t="str">
        <f t="shared" si="34"/>
        <v>"C:\Program Files (x86)\AstroGrep\AstroGrep.exe" /spath="%USERPROFILE%\AppData\Local\Temp\OnboardLogs" /stypes="*4029*20160907*" /stext=" 00:.+((SYSTEM_STATE.+slice.+state.+changed )|(ment ac)|(system.+state.+changed )|(\|lc)|(penalty)|(\[timeout)|(PRM\|1\|D)|(kpr)|(kdp))" /e /r /s</v>
      </c>
      <c r="AG125" s="1" t="str">
        <f t="shared" si="35"/>
        <v>EC</v>
      </c>
      <c r="AH125" s="100" t="str">
        <f t="shared" si="36"/>
        <v>"%USERPROFILE%\Documents\GitHub\eaglep3\Utilities\RefineRTDCRunTimes.py" --tripid 213-06 --locoid 4029 --swversion DE.1.0.7.0 --startMP 204:497 --initTime 2016-09-06T17:39:13 --startdatetime 2016-09-06T17:45:16 --delay 5 --endMP 204:233314 --enddatetime 2016-09-06T18:20:22 --enforcementcount 0 &gt;&gt;C:\Users\stu\Documents\GitHub\eaglep3-reporting\EC\2016-09-06-refined-times.txt</v>
      </c>
      <c r="AI12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{"issue":{"subject":"","project_id":79,"tracker_id":40,"status_id":1,"priority_id":2,"assigned_to_id":23,"start_date":"2016-09-06","description":"","custom_fields":[{"id":1,"name":"Subdivision","value":"EC"},{"id":4,"name":"Milepost","value":"23.2817"},{"id":17,"name":"Train ID","value":"213-06"},{"id":16,"name":"Locomotive ID","value":"4029"},{"id":130,"name":"Impact","value":""},{"id":150,"name":"Time of Event (Mountain Time)","value":"18:20:22"},{"id":151,"name":"Denver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531</v>
      </c>
      <c r="B126" s="7">
        <v>4030</v>
      </c>
      <c r="C126" s="24" t="s">
        <v>112</v>
      </c>
      <c r="D126" s="24" t="s">
        <v>594</v>
      </c>
      <c r="E126" s="15">
        <v>42619.771296296298</v>
      </c>
      <c r="F126" s="15">
        <v>42619.778657407405</v>
      </c>
      <c r="G126" s="7">
        <v>2</v>
      </c>
      <c r="H126" s="15" t="s">
        <v>149</v>
      </c>
      <c r="I126" s="15">
        <v>42619.805694444447</v>
      </c>
      <c r="J126" s="7">
        <v>0</v>
      </c>
      <c r="K126" s="132" t="str">
        <f t="shared" si="23"/>
        <v>4029/4030</v>
      </c>
      <c r="L126" s="24" t="str">
        <f>VLOOKUP(A126,'Trips&amp;Operators'!$C$1:$E$10000,3,FALSE)</f>
        <v>COOLAHAN</v>
      </c>
      <c r="M126" s="6">
        <f t="shared" si="24"/>
        <v>2.7037037041736767E-2</v>
      </c>
      <c r="N126" s="7">
        <f t="shared" si="38"/>
        <v>38.933333340100944</v>
      </c>
      <c r="O126" s="7"/>
      <c r="P126" s="7"/>
      <c r="Q126" s="25"/>
      <c r="R126" s="25"/>
      <c r="S126" s="37">
        <f t="shared" si="25"/>
        <v>1</v>
      </c>
      <c r="T126" s="52" t="str">
        <f t="shared" si="26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17:30:40-0600',mode:absolute,to:'2016-09-06 20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6" s="54" t="str">
        <f t="shared" si="28"/>
        <v>N</v>
      </c>
      <c r="X126" s="120">
        <f t="shared" si="41"/>
        <v>1</v>
      </c>
      <c r="Y126" s="69">
        <f t="shared" si="29"/>
        <v>23.298200000000001</v>
      </c>
      <c r="Z126" s="69">
        <f t="shared" si="30"/>
        <v>1.54E-2</v>
      </c>
      <c r="AA126" s="69">
        <f t="shared" si="31"/>
        <v>23.282800000000002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2"/>
        <v>0214-06</v>
      </c>
      <c r="AE126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26" s="96" t="str">
        <f t="shared" si="34"/>
        <v>"C:\Program Files (x86)\AstroGrep\AstroGrep.exe" /spath="%USERPROFILE%\AppData\Local\Temp\OnboardLogs" /stypes="*4030*20160907*" /stext=" 01:.+((SYSTEM_STATE.+slice.+state.+changed )|(ment ac)|(system.+state.+changed )|(\|lc)|(penalty)|(\[timeout)|(PRM\|1\|D)|(kpr)|(kdp))" /e /r /s</v>
      </c>
      <c r="AG126" s="1" t="str">
        <f t="shared" si="35"/>
        <v>EC</v>
      </c>
      <c r="AH126" s="100" t="str">
        <f t="shared" si="36"/>
        <v>"%USERPROFILE%\Documents\GitHub\eaglep3\Utilities\RefineRTDCRunTimes.py" --tripid 214-06 --locoid 4030 --swversion DE.1.0.7.0 --startMP 204:232982 --initTime 2016-09-06T18:30:40 --startdatetime 2016-09-06T18:41:16 --delay 2 --endMP 204:154 --enddatetime 2016-09-06T19:20:12 --enforcementcount 0 &gt;&gt;C:\Users\stu\Documents\GitHub\eaglep3-reporting\EC\2016-09-06-refined-times.txt</v>
      </c>
      <c r="AI12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ID","value":"214-06"},{"id":16,"name":"Locomotive ID","value":"4030"},{"id":130,"name":"Impact","value":""},{"id":150,"name":"Time of Event (Mountain Time)","value":"19:20:12"},{"id":151,"name":"Denver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520</v>
      </c>
      <c r="B127" s="7">
        <v>4011</v>
      </c>
      <c r="C127" s="24" t="s">
        <v>112</v>
      </c>
      <c r="D127" s="24" t="s">
        <v>253</v>
      </c>
      <c r="E127" s="15">
        <v>42619.74659722222</v>
      </c>
      <c r="F127" s="15">
        <v>42619.750300925924</v>
      </c>
      <c r="G127" s="7">
        <v>1</v>
      </c>
      <c r="H127" s="15" t="s">
        <v>242</v>
      </c>
      <c r="I127" s="15">
        <v>42619.77579861111</v>
      </c>
      <c r="J127" s="7">
        <v>0</v>
      </c>
      <c r="K127" s="132" t="str">
        <f t="shared" si="23"/>
        <v>4011/4012</v>
      </c>
      <c r="L127" s="24" t="str">
        <f>VLOOKUP(A127,'Trips&amp;Operators'!$C$1:$E$10000,3,FALSE)</f>
        <v>ROBINSON</v>
      </c>
      <c r="M127" s="6">
        <f t="shared" si="24"/>
        <v>2.5497685186564922E-2</v>
      </c>
      <c r="N127" s="7">
        <f t="shared" ref="N127:N159" si="42">24*60*SUM($M127:$M127)</f>
        <v>36.716666668653488</v>
      </c>
      <c r="O127" s="7"/>
      <c r="P127" s="7"/>
      <c r="Q127" s="25"/>
      <c r="R127" s="25"/>
      <c r="S127" s="37">
        <f t="shared" si="25"/>
        <v>1</v>
      </c>
      <c r="T127" s="52" t="str">
        <f t="shared" si="26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16:55:06-0600',mode:absolute,to:'2016-09-06 19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7" s="54" t="str">
        <f t="shared" si="28"/>
        <v>N</v>
      </c>
      <c r="X127" s="120">
        <f t="shared" si="41"/>
        <v>1</v>
      </c>
      <c r="Y127" s="69">
        <f t="shared" si="29"/>
        <v>4.7800000000000002E-2</v>
      </c>
      <c r="Z127" s="69">
        <f t="shared" si="30"/>
        <v>23.331700000000001</v>
      </c>
      <c r="AA127" s="69">
        <f t="shared" si="31"/>
        <v>23.283900000000003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2"/>
        <v>0215-06</v>
      </c>
      <c r="AE127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127" s="96" t="str">
        <f t="shared" si="34"/>
        <v>"C:\Program Files (x86)\AstroGrep\AstroGrep.exe" /spath="%USERPROFILE%\AppData\Local\Temp\OnboardLogs" /stypes="*4011*20160907*" /stext=" 00:.+((SYSTEM_STATE.+slice.+state.+changed )|(ment ac)|(system.+state.+changed )|(\|lc)|(penalty)|(\[timeout)|(PRM\|1\|D)|(kpr)|(kdp))" /e /r /s</v>
      </c>
      <c r="AG127" s="1" t="str">
        <f t="shared" si="35"/>
        <v>EC</v>
      </c>
      <c r="AH127" s="100" t="str">
        <f t="shared" si="36"/>
        <v>"%USERPROFILE%\Documents\GitHub\eaglep3\Utilities\RefineRTDCRunTimes.py" --tripid 215-06 --locoid 4011 --swversion DE.1.0.7.0 --startMP 204:478 --initTime 2016-09-06T17:55:06 --startdatetime 2016-09-06T18:00:26 --delay 1 --endMP 204:233317 --enddatetime 2016-09-06T18:37:09 --enforcementcount 0 &gt;&gt;C:\Users\stu\Documents\GitHub\eaglep3-reporting\EC\2016-09-06-refined-times.txt</v>
      </c>
      <c r="AI12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ID","value":"215-06"},{"id":16,"name":"Locomotive ID","value":"4011"},{"id":130,"name":"Impact","value":""},{"id":150,"name":"Time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535</v>
      </c>
      <c r="B128" s="7">
        <v>4012</v>
      </c>
      <c r="C128" s="24" t="s">
        <v>112</v>
      </c>
      <c r="D128" s="24" t="s">
        <v>250</v>
      </c>
      <c r="E128" s="15">
        <v>42619.779293981483</v>
      </c>
      <c r="F128" s="15">
        <v>42619.789143518516</v>
      </c>
      <c r="G128" s="7">
        <v>2</v>
      </c>
      <c r="H128" s="15" t="s">
        <v>641</v>
      </c>
      <c r="I128" s="15">
        <v>42619.816307870373</v>
      </c>
      <c r="J128" s="7">
        <v>0</v>
      </c>
      <c r="K128" s="132" t="str">
        <f t="shared" si="23"/>
        <v>4011/4012</v>
      </c>
      <c r="L128" s="24" t="str">
        <f>VLOOKUP(A128,'Trips&amp;Operators'!$C$1:$E$10000,3,FALSE)</f>
        <v>ROBINSON</v>
      </c>
      <c r="M128" s="6">
        <f t="shared" si="24"/>
        <v>2.7164351857209112E-2</v>
      </c>
      <c r="N128" s="7">
        <f t="shared" si="42"/>
        <v>39.116666674381122</v>
      </c>
      <c r="O128" s="7"/>
      <c r="P128" s="7"/>
      <c r="Q128" s="25"/>
      <c r="R128" s="25"/>
      <c r="S128" s="37">
        <f t="shared" si="25"/>
        <v>1</v>
      </c>
      <c r="T128" s="52" t="str">
        <f t="shared" si="26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17:42:11-0600',mode:absolute,to:'2016-09-06 20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8" s="54" t="str">
        <f t="shared" si="28"/>
        <v>N</v>
      </c>
      <c r="X128" s="120">
        <f t="shared" si="41"/>
        <v>1</v>
      </c>
      <c r="Y128" s="69">
        <f t="shared" si="29"/>
        <v>23.299800000000001</v>
      </c>
      <c r="Z128" s="69">
        <f t="shared" si="30"/>
        <v>1.2699999999999999E-2</v>
      </c>
      <c r="AA128" s="69">
        <f t="shared" si="31"/>
        <v>23.287100000000002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2"/>
        <v>0216-06</v>
      </c>
      <c r="AE128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28" s="96" t="str">
        <f t="shared" si="34"/>
        <v>"C:\Program Files (x86)\AstroGrep\AstroGrep.exe" /spath="%USERPROFILE%\AppData\Local\Temp\OnboardLogs" /stypes="*4012*20160907*" /stext=" 01:.+((SYSTEM_STATE.+slice.+state.+changed )|(ment ac)|(system.+state.+changed )|(\|lc)|(penalty)|(\[timeout)|(PRM\|1\|D)|(kpr)|(kdp))" /e /r /s</v>
      </c>
      <c r="AG128" s="1" t="str">
        <f t="shared" si="35"/>
        <v>EC</v>
      </c>
      <c r="AH128" s="100" t="str">
        <f t="shared" si="36"/>
        <v>"%USERPROFILE%\Documents\GitHub\eaglep3\Utilities\RefineRTDCRunTimes.py" --tripid 216-06 --locoid 4012 --swversion DE.1.0.7.0 --startMP 204:232998 --initTime 2016-09-06T18:42:11 --startdatetime 2016-09-06T18:56:22 --delay 2 --endMP 204:127 --enddatetime 2016-09-06T19:35:29 --enforcementcount 0 &gt;&gt;C:\Users\stu\Documents\GitHub\eaglep3-reporting\EC\2016-09-06-refined-times.txt</v>
      </c>
      <c r="AI12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{"issue":{"subject":"","project_id":79,"tracker_id":40,"status_id":1,"priority_id":2,"assigned_to_id":23,"start_date":"2016-09-06","description":"","custom_fields":[{"id":1,"name":"Subdivision","value":"EC"},{"id":4,"name":"Milepost","value":"23.2871"},{"id":17,"name":"Train ID","value":"216-06"},{"id":16,"name":"Locomotive ID","value":"4012"},{"id":130,"name":"Impact","value":""},{"id":150,"name":"Time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526</v>
      </c>
      <c r="B129" s="7">
        <v>4002</v>
      </c>
      <c r="C129" s="24" t="s">
        <v>112</v>
      </c>
      <c r="D129" s="24" t="s">
        <v>303</v>
      </c>
      <c r="E129" s="15">
        <v>42619.758819444447</v>
      </c>
      <c r="F129" s="15">
        <v>42619.761412037034</v>
      </c>
      <c r="G129" s="7">
        <v>3</v>
      </c>
      <c r="H129" s="15" t="s">
        <v>593</v>
      </c>
      <c r="I129" s="15">
        <v>42619.786689814813</v>
      </c>
      <c r="J129" s="7">
        <v>0</v>
      </c>
      <c r="K129" s="132" t="str">
        <f t="shared" si="23"/>
        <v>4001/4002</v>
      </c>
      <c r="L129" s="24" t="str">
        <f>VLOOKUP(A129,'Trips&amp;Operators'!$C$1:$E$10000,3,FALSE)</f>
        <v>SMITH</v>
      </c>
      <c r="M129" s="6">
        <f t="shared" si="24"/>
        <v>2.527777777868323E-2</v>
      </c>
      <c r="N129" s="7">
        <f t="shared" si="42"/>
        <v>36.400000001303852</v>
      </c>
      <c r="O129" s="7"/>
      <c r="P129" s="7"/>
      <c r="Q129" s="25"/>
      <c r="R129" s="25"/>
      <c r="S129" s="37">
        <f t="shared" si="25"/>
        <v>1</v>
      </c>
      <c r="T129" s="52" t="str">
        <f t="shared" si="26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17:12:42-0600',mode:absolute,to:'2016-09-06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9" s="54" t="str">
        <f t="shared" si="28"/>
        <v>N</v>
      </c>
      <c r="X129" s="120">
        <f t="shared" si="41"/>
        <v>1</v>
      </c>
      <c r="Y129" s="69">
        <f t="shared" si="29"/>
        <v>4.3999999999999997E-2</v>
      </c>
      <c r="Z129" s="69">
        <f t="shared" si="30"/>
        <v>23.328399999999998</v>
      </c>
      <c r="AA129" s="69">
        <f t="shared" si="31"/>
        <v>23.284399999999998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2"/>
        <v>0217-06</v>
      </c>
      <c r="AE129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29" s="96" t="str">
        <f t="shared" si="34"/>
        <v>"C:\Program Files (x86)\AstroGrep\AstroGrep.exe" /spath="%USERPROFILE%\AppData\Local\Temp\OnboardLogs" /stypes="*4002*20160907*" /stext=" 00:.+((SYSTEM_STATE.+slice.+state.+changed )|(ment ac)|(system.+state.+changed )|(\|lc)|(penalty)|(\[timeout)|(PRM\|1\|D)|(kpr)|(kdp))" /e /r /s</v>
      </c>
      <c r="AG129" s="1" t="str">
        <f t="shared" si="35"/>
        <v>EC</v>
      </c>
      <c r="AH129" s="100" t="str">
        <f t="shared" si="36"/>
        <v>"%USERPROFILE%\Documents\GitHub\eaglep3\Utilities\RefineRTDCRunTimes.py" --tripid 217-06 --locoid 4002 --swversion DE.1.0.7.0 --startMP 204:440 --initTime 2016-09-06T18:12:42 --startdatetime 2016-09-06T18:16:26 --delay 3 --endMP 204:233284 --enddatetime 2016-09-06T18:52:50 --enforcementcount 0 &gt;&gt;C:\Users\stu\Documents\GitHub\eaglep3-reporting\EC\2016-09-06-refined-times.txt</v>
      </c>
      <c r="AI129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{"issue":{"subject":"","project_id":79,"tracker_id":40,"status_id":1,"priority_id":2,"assigned_to_id":23,"start_date":"2016-09-06","description":"","custom_fields":[{"id":1,"name":"Subdivision","value":"EC"},{"id":4,"name":"Milepost","value":"23.2844"},{"id":17,"name":"Train ID","value":"217-06"},{"id":16,"name":"Locomotive ID","value":"4002"},{"id":130,"name":"Impact","value":""},{"id":150,"name":"Time of Event (Mountain Time)","value":"18:52:50"},{"id":151,"name":"Denver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537</v>
      </c>
      <c r="B130" s="7">
        <v>4001</v>
      </c>
      <c r="C130" s="24" t="s">
        <v>112</v>
      </c>
      <c r="D130" s="24" t="s">
        <v>642</v>
      </c>
      <c r="E130" s="15">
        <v>42619.788182870368</v>
      </c>
      <c r="F130" s="15">
        <v>42619.799930555557</v>
      </c>
      <c r="G130" s="7">
        <v>1</v>
      </c>
      <c r="H130" s="15" t="s">
        <v>131</v>
      </c>
      <c r="I130" s="15">
        <v>42619.826701388891</v>
      </c>
      <c r="J130" s="7">
        <v>0</v>
      </c>
      <c r="K130" s="132" t="str">
        <f t="shared" si="23"/>
        <v>4001/4002</v>
      </c>
      <c r="L130" s="24" t="str">
        <f>VLOOKUP(A130,'Trips&amp;Operators'!$C$1:$E$10000,3,FALSE)</f>
        <v>SMITH</v>
      </c>
      <c r="M130" s="6">
        <f t="shared" si="24"/>
        <v>2.6770833334012423E-2</v>
      </c>
      <c r="N130" s="7">
        <f t="shared" si="42"/>
        <v>38.550000000977889</v>
      </c>
      <c r="O130" s="7"/>
      <c r="P130" s="7"/>
      <c r="Q130" s="25"/>
      <c r="R130" s="25"/>
      <c r="S130" s="37">
        <f t="shared" si="25"/>
        <v>1</v>
      </c>
      <c r="T130" s="52" t="str">
        <f t="shared" si="26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17:54:59-0600',mode:absolute,to:'2016-09-06 20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0" s="54" t="str">
        <f t="shared" si="28"/>
        <v>N</v>
      </c>
      <c r="X130" s="120">
        <f t="shared" si="41"/>
        <v>1</v>
      </c>
      <c r="Y130" s="69">
        <f t="shared" si="29"/>
        <v>23.295300000000001</v>
      </c>
      <c r="Z130" s="69">
        <f t="shared" si="30"/>
        <v>1.47E-2</v>
      </c>
      <c r="AA130" s="69">
        <f t="shared" si="31"/>
        <v>23.2806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2"/>
        <v>0218-06</v>
      </c>
      <c r="AE130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30" s="96" t="str">
        <f t="shared" si="34"/>
        <v>"C:\Program Files (x86)\AstroGrep\AstroGrep.exe" /spath="%USERPROFILE%\AppData\Local\Temp\OnboardLogs" /stypes="*4001*20160907*" /stext=" 01:.+((SYSTEM_STATE.+slice.+state.+changed )|(ment ac)|(system.+state.+changed )|(\|lc)|(penalty)|(\[timeout)|(PRM\|1\|D)|(kpr)|(kdp))" /e /r /s</v>
      </c>
      <c r="AG130" s="1" t="str">
        <f t="shared" si="35"/>
        <v>EC</v>
      </c>
      <c r="AH130" s="100" t="str">
        <f t="shared" si="36"/>
        <v>"%USERPROFILE%\Documents\GitHub\eaglep3\Utilities\RefineRTDCRunTimes.py" --tripid 218-06 --locoid 4001 --swversion DE.1.0.7.0 --startMP 204:232953 --initTime 2016-09-06T18:54:59 --startdatetime 2016-09-06T19:11:54 --delay 1 --endMP 204:147 --enddatetime 2016-09-06T19:50:27 --enforcementcount 0 &gt;&gt;C:\Users\stu\Documents\GitHub\eaglep3-reporting\EC\2016-09-06-refined-times.txt</v>
      </c>
      <c r="AI130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{"issue":{"subject":"","project_id":79,"tracker_id":40,"status_id":1,"priority_id":2,"assigned_to_id":23,"start_date":"2016-09-06","description":"","custom_fields":[{"id":1,"name":"Subdivision","value":"EC"},{"id":4,"name":"Milepost","value":"23.2806"},{"id":17,"name":"Train ID","value":"218-06"},{"id":16,"name":"Locomotive ID","value":"4001"},{"id":130,"name":"Impact","value":""},{"id":150,"name":"Time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530</v>
      </c>
      <c r="B131" s="7">
        <v>4042</v>
      </c>
      <c r="C131" s="24" t="s">
        <v>112</v>
      </c>
      <c r="D131" s="24" t="s">
        <v>643</v>
      </c>
      <c r="E131" s="15">
        <v>42619.769293981481</v>
      </c>
      <c r="F131" s="15">
        <v>42619.771203703705</v>
      </c>
      <c r="G131" s="7">
        <v>2</v>
      </c>
      <c r="H131" s="15" t="s">
        <v>293</v>
      </c>
      <c r="I131" s="15">
        <v>42619.796990740739</v>
      </c>
      <c r="J131" s="7">
        <v>0</v>
      </c>
      <c r="K131" s="132" t="str">
        <f t="shared" si="23"/>
        <v>4041/4042</v>
      </c>
      <c r="L131" s="24" t="str">
        <f>VLOOKUP(A131,'Trips&amp;Operators'!$C$1:$E$10000,3,FALSE)</f>
        <v>CHANDLER</v>
      </c>
      <c r="M131" s="6">
        <f t="shared" si="24"/>
        <v>2.5787037033296656E-2</v>
      </c>
      <c r="N131" s="7">
        <f t="shared" si="42"/>
        <v>37.133333327947184</v>
      </c>
      <c r="O131" s="7"/>
      <c r="P131" s="7"/>
      <c r="Q131" s="25"/>
      <c r="R131" s="25"/>
      <c r="S131" s="37">
        <f t="shared" si="25"/>
        <v>1</v>
      </c>
      <c r="T131" s="52" t="str">
        <f t="shared" si="26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17:27:47-0600',mode:absolute,to:'2016-09-06 20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1" s="54" t="str">
        <f t="shared" si="28"/>
        <v>N</v>
      </c>
      <c r="X131" s="120">
        <f t="shared" si="41"/>
        <v>1</v>
      </c>
      <c r="Y131" s="69">
        <f t="shared" si="29"/>
        <v>4.6699999999999998E-2</v>
      </c>
      <c r="Z131" s="69">
        <f t="shared" si="30"/>
        <v>23.3306</v>
      </c>
      <c r="AA131" s="69">
        <f t="shared" si="31"/>
        <v>23.283899999999999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2"/>
        <v>0219-06</v>
      </c>
      <c r="AE131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31" s="96" t="str">
        <f t="shared" si="34"/>
        <v>"C:\Program Files (x86)\AstroGrep\AstroGrep.exe" /spath="%USERPROFILE%\AppData\Local\Temp\OnboardLogs" /stypes="*4042*20160907*" /stext=" 01:.+((SYSTEM_STATE.+slice.+state.+changed )|(ment ac)|(system.+state.+changed )|(\|lc)|(penalty)|(\[timeout)|(PRM\|1\|D)|(kpr)|(kdp))" /e /r /s</v>
      </c>
      <c r="AG131" s="1" t="str">
        <f t="shared" si="35"/>
        <v>EC</v>
      </c>
      <c r="AH131" s="100" t="str">
        <f t="shared" si="36"/>
        <v>"%USERPROFILE%\Documents\GitHub\eaglep3\Utilities\RefineRTDCRunTimes.py" --tripid 219-06 --locoid 4042 --swversion DE.1.0.7.0 --startMP 204:467 --initTime 2016-09-06T18:27:47 --startdatetime 2016-09-06T18:30:32 --delay 2 --endMP 204:233306 --enddatetime 2016-09-06T19:07:40 --enforcementcount 0 &gt;&gt;C:\Users\stu\Documents\GitHub\eaglep3-reporting\EC\2016-09-06-refined-times.txt</v>
      </c>
      <c r="AI131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ID","value":"219-06"},{"id":16,"name":"Locomotive ID","value":"4042"},{"id":130,"name":"Impact","value":""},{"id":150,"name":"Time of Event (Mountain Time)","value":"19:07:40"},{"id":151,"name":"Denver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540</v>
      </c>
      <c r="B132" s="7">
        <v>4041</v>
      </c>
      <c r="C132" s="24" t="s">
        <v>112</v>
      </c>
      <c r="D132" s="24" t="s">
        <v>269</v>
      </c>
      <c r="E132" s="15">
        <v>42619.807615740741</v>
      </c>
      <c r="F132" s="15">
        <v>42619.809953703705</v>
      </c>
      <c r="G132" s="7">
        <v>1</v>
      </c>
      <c r="H132" s="15" t="s">
        <v>131</v>
      </c>
      <c r="I132" s="15">
        <v>42619.838599537034</v>
      </c>
      <c r="J132" s="7">
        <v>0</v>
      </c>
      <c r="K132" s="132" t="str">
        <f t="shared" si="23"/>
        <v>4041/4042</v>
      </c>
      <c r="L132" s="24" t="str">
        <f>VLOOKUP(A132,'Trips&amp;Operators'!$C$1:$E$10000,3,FALSE)</f>
        <v>CHANDLER</v>
      </c>
      <c r="M132" s="6">
        <f t="shared" si="24"/>
        <v>2.8645833328482695E-2</v>
      </c>
      <c r="N132" s="7">
        <f t="shared" si="42"/>
        <v>41.249999993015081</v>
      </c>
      <c r="O132" s="7"/>
      <c r="P132" s="7"/>
      <c r="Q132" s="25"/>
      <c r="R132" s="25"/>
      <c r="S132" s="37">
        <f t="shared" si="25"/>
        <v>1</v>
      </c>
      <c r="T132" s="52" t="str">
        <f t="shared" si="26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18:22:58-0600',mode:absolute,to:'2016-09-06 21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2" s="54" t="str">
        <f t="shared" si="28"/>
        <v>N</v>
      </c>
      <c r="X132" s="120">
        <f t="shared" si="41"/>
        <v>1</v>
      </c>
      <c r="Y132" s="69">
        <f t="shared" si="29"/>
        <v>23.2972</v>
      </c>
      <c r="Z132" s="69">
        <f t="shared" si="30"/>
        <v>1.47E-2</v>
      </c>
      <c r="AA132" s="69">
        <f t="shared" si="31"/>
        <v>23.282499999999999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2"/>
        <v>0220-06</v>
      </c>
      <c r="AE132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32" s="96" t="str">
        <f t="shared" si="34"/>
        <v>"C:\Program Files (x86)\AstroGrep\AstroGrep.exe" /spath="%USERPROFILE%\AppData\Local\Temp\OnboardLogs" /stypes="*4041*20160907*" /stext=" 02:.+((SYSTEM_STATE.+slice.+state.+changed )|(ment ac)|(system.+state.+changed )|(\|lc)|(penalty)|(\[timeout)|(PRM\|1\|D)|(kpr)|(kdp))" /e /r /s</v>
      </c>
      <c r="AG132" s="1" t="str">
        <f t="shared" si="35"/>
        <v>EC</v>
      </c>
      <c r="AH132" s="100" t="str">
        <f t="shared" si="36"/>
        <v>"%USERPROFILE%\Documents\GitHub\eaglep3\Utilities\RefineRTDCRunTimes.py" --tripid 220-06 --locoid 4041 --swversion DE.1.0.7.0 --startMP 204:232972 --initTime 2016-09-06T19:22:58 --startdatetime 2016-09-06T19:26:20 --delay 1 --endMP 204:147 --enddatetime 2016-09-06T20:07:35 --enforcementcount 0 &gt;&gt;C:\Users\stu\Documents\GitHub\eaglep3-reporting\EC\2016-09-06-refined-times.txt</v>
      </c>
      <c r="AI132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ID","value":"220-06"},{"id":16,"name":"Locomotive ID","value":"4041"},{"id":130,"name":"Impact","value":""},{"id":150,"name":"Time of Event (Mountain Time)","value":"20:07:35"},{"id":151,"name":"Denver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536</v>
      </c>
      <c r="B133" s="7">
        <v>4038</v>
      </c>
      <c r="C133" s="24" t="s">
        <v>112</v>
      </c>
      <c r="D133" s="24" t="s">
        <v>174</v>
      </c>
      <c r="E133" s="15">
        <v>42619.787303240744</v>
      </c>
      <c r="F133" s="15">
        <v>42619.791898148149</v>
      </c>
      <c r="G133" s="7">
        <v>1</v>
      </c>
      <c r="H133" s="15" t="s">
        <v>588</v>
      </c>
      <c r="I133" s="15">
        <v>42619.817777777775</v>
      </c>
      <c r="J133" s="7">
        <v>0</v>
      </c>
      <c r="K133" s="132" t="str">
        <f t="shared" si="23"/>
        <v>4037/4038</v>
      </c>
      <c r="L133" s="24" t="str">
        <f>VLOOKUP(A133,'Trips&amp;Operators'!$C$1:$E$10000,3,FALSE)</f>
        <v>ARVIDSON</v>
      </c>
      <c r="M133" s="6">
        <f t="shared" si="24"/>
        <v>2.5879629625706002E-2</v>
      </c>
      <c r="N133" s="7">
        <f t="shared" si="42"/>
        <v>37.266666661016643</v>
      </c>
      <c r="O133" s="7"/>
      <c r="P133" s="7"/>
      <c r="Q133" s="25"/>
      <c r="R133" s="25"/>
      <c r="S133" s="37">
        <f t="shared" si="25"/>
        <v>1</v>
      </c>
      <c r="T133" s="52" t="str">
        <f t="shared" si="26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17:53:43-0600',mode:absolute,to:'2016-09-06 20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3" s="54" t="str">
        <f t="shared" si="28"/>
        <v>N</v>
      </c>
      <c r="X133" s="120">
        <f t="shared" si="41"/>
        <v>1</v>
      </c>
      <c r="Y133" s="69">
        <f t="shared" si="29"/>
        <v>4.5999999999999999E-2</v>
      </c>
      <c r="Z133" s="69">
        <f t="shared" si="30"/>
        <v>23.3276</v>
      </c>
      <c r="AA133" s="69">
        <f t="shared" si="31"/>
        <v>23.281600000000001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2"/>
        <v>0221-06</v>
      </c>
      <c r="AE133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33" s="96" t="str">
        <f t="shared" si="34"/>
        <v>"C:\Program Files (x86)\AstroGrep\AstroGrep.exe" /spath="%USERPROFILE%\AppData\Local\Temp\OnboardLogs" /stypes="*4038*20160907*" /stext=" 01:.+((SYSTEM_STATE.+slice.+state.+changed )|(ment ac)|(system.+state.+changed )|(\|lc)|(penalty)|(\[timeout)|(PRM\|1\|D)|(kpr)|(kdp))" /e /r /s</v>
      </c>
      <c r="AG133" s="1" t="str">
        <f t="shared" si="35"/>
        <v>EC</v>
      </c>
      <c r="AH133" s="100" t="str">
        <f t="shared" si="36"/>
        <v>"%USERPROFILE%\Documents\GitHub\eaglep3\Utilities\RefineRTDCRunTimes.py" --tripid 221-06 --locoid 4038 --swversion DE.1.0.7.0 --startMP 204:460 --initTime 2016-09-06T18:53:43 --startdatetime 2016-09-06T19:00:20 --delay 1 --endMP 204:233276 --enddatetime 2016-09-06T19:37:36 --enforcementcount 0 &gt;&gt;C:\Users\stu\Documents\GitHub\eaglep3-reporting\EC\2016-09-06-refined-times.txt</v>
      </c>
      <c r="AI133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ID","value":"221-06"},{"id":16,"name":"Locomotive ID","value":"4038"},{"id":130,"name":"Impact","value":""},{"id":150,"name":"Time of Event (Mountain Time)","value":"19:37:36"},{"id":151,"name":"Denver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544</v>
      </c>
      <c r="B134" s="7">
        <v>4037</v>
      </c>
      <c r="C134" s="24" t="s">
        <v>112</v>
      </c>
      <c r="D134" s="24" t="s">
        <v>273</v>
      </c>
      <c r="E134" s="15">
        <v>42619.824664351851</v>
      </c>
      <c r="F134" s="15">
        <v>42619.830925925926</v>
      </c>
      <c r="G134" s="7">
        <v>1</v>
      </c>
      <c r="H134" s="15" t="s">
        <v>164</v>
      </c>
      <c r="I134" s="15">
        <v>42619.857847222222</v>
      </c>
      <c r="J134" s="7">
        <v>0</v>
      </c>
      <c r="K134" s="132" t="str">
        <f t="shared" si="23"/>
        <v>4037/4038</v>
      </c>
      <c r="L134" s="24" t="str">
        <f>VLOOKUP(A134,'Trips&amp;Operators'!$C$1:$E$10000,3,FALSE)</f>
        <v>ARVIDSON</v>
      </c>
      <c r="M134" s="6">
        <f t="shared" si="24"/>
        <v>2.6921296295768116E-2</v>
      </c>
      <c r="N134" s="7">
        <f t="shared" si="42"/>
        <v>38.766666665906087</v>
      </c>
      <c r="O134" s="7"/>
      <c r="P134" s="7"/>
      <c r="Q134" s="25"/>
      <c r="R134" s="25"/>
      <c r="S134" s="37">
        <f t="shared" si="25"/>
        <v>1</v>
      </c>
      <c r="T134" s="52" t="str">
        <f t="shared" si="26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18:47:31-0600',mode:absolute,to:'2016-09-06 21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34" s="54" t="str">
        <f t="shared" si="28"/>
        <v>N</v>
      </c>
      <c r="X134" s="120">
        <f t="shared" si="41"/>
        <v>1</v>
      </c>
      <c r="Y134" s="69">
        <f t="shared" si="29"/>
        <v>23.2957</v>
      </c>
      <c r="Z134" s="69">
        <f t="shared" si="30"/>
        <v>1.52E-2</v>
      </c>
      <c r="AA134" s="69">
        <f t="shared" si="31"/>
        <v>23.2805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2"/>
        <v>0222-06</v>
      </c>
      <c r="AE134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34" s="96" t="str">
        <f t="shared" si="34"/>
        <v>"C:\Program Files (x86)\AstroGrep\AstroGrep.exe" /spath="%USERPROFILE%\AppData\Local\Temp\OnboardLogs" /stypes="*4037*20160907*" /stext=" 02:.+((SYSTEM_STATE.+slice.+state.+changed )|(ment ac)|(system.+state.+changed )|(\|lc)|(penalty)|(\[timeout)|(PRM\|1\|D)|(kpr)|(kdp))" /e /r /s</v>
      </c>
      <c r="AG134" s="1" t="str">
        <f t="shared" si="35"/>
        <v>EC</v>
      </c>
      <c r="AH134" s="100" t="str">
        <f t="shared" si="36"/>
        <v>"%USERPROFILE%\Documents\GitHub\eaglep3\Utilities\RefineRTDCRunTimes.py" --tripid 222-06 --locoid 4037 --swversion DE.1.0.7.0 --startMP 204:232957 --initTime 2016-09-06T19:47:31 --startdatetime 2016-09-06T19:56:32 --delay 1 --endMP 204:152 --enddatetime 2016-09-06T20:35:18 --enforcementcount 0 &gt;&gt;C:\Users\stu\Documents\GitHub\eaglep3-reporting\EC\2016-09-06-refined-times.txt</v>
      </c>
      <c r="AI134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ID","value":"222-06"},{"id":16,"name":"Locomotive ID","value":"4037"},{"id":130,"name":"Impact","value":""},{"id":150,"name":"Time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541</v>
      </c>
      <c r="B135" s="7">
        <v>4029</v>
      </c>
      <c r="C135" s="24" t="s">
        <v>112</v>
      </c>
      <c r="D135" s="24" t="s">
        <v>644</v>
      </c>
      <c r="E135" s="15">
        <v>42619.808622685188</v>
      </c>
      <c r="F135" s="15">
        <v>42619.812719907408</v>
      </c>
      <c r="G135" s="7">
        <v>5</v>
      </c>
      <c r="H135" s="15" t="s">
        <v>645</v>
      </c>
      <c r="I135" s="15">
        <v>42619.837256944447</v>
      </c>
      <c r="J135" s="7">
        <v>0</v>
      </c>
      <c r="K135" s="132" t="str">
        <f t="shared" si="23"/>
        <v>4029/4030</v>
      </c>
      <c r="L135" s="24" t="str">
        <f>VLOOKUP(A135,'Trips&amp;Operators'!$C$1:$E$10000,3,FALSE)</f>
        <v>COOLAHAN</v>
      </c>
      <c r="M135" s="6">
        <f t="shared" si="24"/>
        <v>2.453703703940846E-2</v>
      </c>
      <c r="N135" s="7">
        <f t="shared" si="42"/>
        <v>35.333333336748183</v>
      </c>
      <c r="O135" s="7"/>
      <c r="P135" s="7"/>
      <c r="Q135" s="25"/>
      <c r="R135" s="25"/>
      <c r="S135" s="37">
        <f t="shared" si="25"/>
        <v>1</v>
      </c>
      <c r="T135" s="52" t="str">
        <f t="shared" si="26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18:24:25-0600',mode:absolute,to:'2016-09-06 21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35" s="54" t="str">
        <f t="shared" si="28"/>
        <v>N</v>
      </c>
      <c r="X135" s="120">
        <f t="shared" si="41"/>
        <v>1</v>
      </c>
      <c r="Y135" s="69">
        <f t="shared" si="29"/>
        <v>4.3099999999999999E-2</v>
      </c>
      <c r="Z135" s="69">
        <f t="shared" si="30"/>
        <v>23.331900000000001</v>
      </c>
      <c r="AA135" s="69">
        <f t="shared" si="31"/>
        <v>23.288800000000002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2"/>
        <v>0223-06</v>
      </c>
      <c r="AE135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35" s="96" t="str">
        <f t="shared" si="34"/>
        <v>"C:\Program Files (x86)\AstroGrep\AstroGrep.exe" /spath="%USERPROFILE%\AppData\Local\Temp\OnboardLogs" /stypes="*4029*20160907*" /stext=" 02:.+((SYSTEM_STATE.+slice.+state.+changed )|(ment ac)|(system.+state.+changed )|(\|lc)|(penalty)|(\[timeout)|(PRM\|1\|D)|(kpr)|(kdp))" /e /r /s</v>
      </c>
      <c r="AG135" s="1" t="str">
        <f t="shared" si="35"/>
        <v>EC</v>
      </c>
      <c r="AH135" s="100" t="str">
        <f t="shared" si="36"/>
        <v>"%USERPROFILE%\Documents\GitHub\eaglep3\Utilities\RefineRTDCRunTimes.py" --tripid 223-06 --locoid 4029 --swversion DE.1.0.7.0 --startMP 204:431 --initTime 2016-09-06T19:24:25 --startdatetime 2016-09-06T19:30:19 --delay 5 --endMP 204:233319 --enddatetime 2016-09-06T20:05:39 --enforcementcount 0 &gt;&gt;C:\Users\stu\Documents\GitHub\eaglep3-reporting\EC\2016-09-06-refined-times.txt</v>
      </c>
      <c r="AI135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{"issue":{"subject":"","project_id":79,"tracker_id":40,"status_id":1,"priority_id":2,"assigned_to_id":23,"start_date":"2016-09-06","description":"","custom_fields":[{"id":1,"name":"Subdivision","value":"EC"},{"id":4,"name":"Milepost","value":"23.2888"},{"id":17,"name":"Train ID","value":"223-06"},{"id":16,"name":"Locomotive ID","value":"4029"},{"id":130,"name":"Impact","value":""},{"id":150,"name":"Time of Event (Mountain Time)","value":"20:05:39"},{"id":151,"name":"Denver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547</v>
      </c>
      <c r="B136" s="7">
        <v>4030</v>
      </c>
      <c r="C136" s="24" t="s">
        <v>112</v>
      </c>
      <c r="D136" s="24" t="s">
        <v>646</v>
      </c>
      <c r="E136" s="15">
        <v>42619.846990740742</v>
      </c>
      <c r="F136" s="15">
        <v>42619.851631944446</v>
      </c>
      <c r="G136" s="7">
        <v>1</v>
      </c>
      <c r="H136" s="15" t="s">
        <v>238</v>
      </c>
      <c r="I136" s="15">
        <v>42619.878599537034</v>
      </c>
      <c r="J136" s="7">
        <v>0</v>
      </c>
      <c r="K136" s="132" t="str">
        <f t="shared" si="23"/>
        <v>4029/4030</v>
      </c>
      <c r="L136" s="24" t="str">
        <f>VLOOKUP(A136,'Trips&amp;Operators'!$C$1:$E$10000,3,FALSE)</f>
        <v>COOLAHAN</v>
      </c>
      <c r="M136" s="6">
        <f t="shared" si="24"/>
        <v>2.696759258833481E-2</v>
      </c>
      <c r="N136" s="7">
        <f t="shared" si="42"/>
        <v>38.833333327202126</v>
      </c>
      <c r="O136" s="7"/>
      <c r="P136" s="7"/>
      <c r="Q136" s="25"/>
      <c r="R136" s="25"/>
      <c r="S136" s="37">
        <f t="shared" si="25"/>
        <v>1</v>
      </c>
      <c r="T136" s="52" t="str">
        <f t="shared" si="26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19:19:40-0600',mode:absolute,to:'2016-09-06 22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6" s="54" t="str">
        <f t="shared" si="28"/>
        <v>N</v>
      </c>
      <c r="X136" s="120">
        <f t="shared" si="41"/>
        <v>1</v>
      </c>
      <c r="Y136" s="69">
        <f t="shared" si="29"/>
        <v>23.3002</v>
      </c>
      <c r="Z136" s="69">
        <f t="shared" si="30"/>
        <v>1.41E-2</v>
      </c>
      <c r="AA136" s="69">
        <f t="shared" si="31"/>
        <v>23.286100000000001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2"/>
        <v>0224-06</v>
      </c>
      <c r="AE136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36" s="96" t="str">
        <f t="shared" si="34"/>
        <v>"C:\Program Files (x86)\AstroGrep\AstroGrep.exe" /spath="%USERPROFILE%\AppData\Local\Temp\OnboardLogs" /stypes="*4030*20160907*" /stext=" 03:.+((SYSTEM_STATE.+slice.+state.+changed )|(ment ac)|(system.+state.+changed )|(\|lc)|(penalty)|(\[timeout)|(PRM\|1\|D)|(kpr)|(kdp))" /e /r /s</v>
      </c>
      <c r="AG136" s="1" t="str">
        <f t="shared" si="35"/>
        <v>EC</v>
      </c>
      <c r="AH136" s="100" t="str">
        <f t="shared" si="36"/>
        <v>"%USERPROFILE%\Documents\GitHub\eaglep3\Utilities\RefineRTDCRunTimes.py" --tripid 224-06 --locoid 4030 --swversion DE.1.0.7.0 --startMP 204:233002 --initTime 2016-09-06T20:19:40 --startdatetime 2016-09-06T20:26:21 --delay 1 --endMP 204:141 --enddatetime 2016-09-06T21:05:11 --enforcementcount 0 &gt;&gt;C:\Users\stu\Documents\GitHub\eaglep3-reporting\EC\2016-09-06-refined-times.txt</v>
      </c>
      <c r="AI136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{"issue":{"subject":"","project_id":79,"tracker_id":40,"status_id":1,"priority_id":2,"assigned_to_id":23,"start_date":"2016-09-06","description":"","custom_fields":[{"id":1,"name":"Subdivision","value":"EC"},{"id":4,"name":"Milepost","value":"23.2861"},{"id":17,"name":"Train ID","value":"224-06"},{"id":16,"name":"Locomotive ID","value":"4030"},{"id":130,"name":"Impact","value":""},{"id":150,"name":"Time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545</v>
      </c>
      <c r="B137" s="7">
        <v>4002</v>
      </c>
      <c r="C137" s="24" t="s">
        <v>112</v>
      </c>
      <c r="D137" s="24" t="s">
        <v>147</v>
      </c>
      <c r="E137" s="15">
        <v>42619.829062500001</v>
      </c>
      <c r="F137" s="15">
        <v>42619.833657407406</v>
      </c>
      <c r="G137" s="7">
        <v>1</v>
      </c>
      <c r="H137" s="15" t="s">
        <v>241</v>
      </c>
      <c r="I137" s="15">
        <v>42619.860023148147</v>
      </c>
      <c r="J137" s="7">
        <v>0</v>
      </c>
      <c r="K137" s="132" t="str">
        <f t="shared" si="23"/>
        <v>4001/4002</v>
      </c>
      <c r="L137" s="24" t="str">
        <f>VLOOKUP(A137,'Trips&amp;Operators'!$C$1:$E$10000,3,FALSE)</f>
        <v>SMITH</v>
      </c>
      <c r="M137" s="6">
        <f t="shared" si="24"/>
        <v>2.6365740741312038E-2</v>
      </c>
      <c r="N137" s="7">
        <f t="shared" si="42"/>
        <v>37.966666667489335</v>
      </c>
      <c r="O137" s="7"/>
      <c r="P137" s="7"/>
      <c r="Q137" s="25"/>
      <c r="R137" s="25"/>
      <c r="S137" s="37">
        <f t="shared" si="25"/>
        <v>1</v>
      </c>
      <c r="T137" s="52" t="str">
        <f t="shared" si="26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18:53:51-0600',mode:absolute,to:'2016-09-06 21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7" s="54" t="str">
        <f t="shared" si="28"/>
        <v>N</v>
      </c>
      <c r="X137" s="120">
        <f t="shared" si="41"/>
        <v>1</v>
      </c>
      <c r="Y137" s="69">
        <f t="shared" si="29"/>
        <v>4.5100000000000001E-2</v>
      </c>
      <c r="Z137" s="69">
        <f t="shared" si="30"/>
        <v>23.330400000000001</v>
      </c>
      <c r="AA137" s="69">
        <f t="shared" si="31"/>
        <v>23.285299999999999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2"/>
        <v>0225-06</v>
      </c>
      <c r="AE137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37" s="96" t="str">
        <f t="shared" si="34"/>
        <v>"C:\Program Files (x86)\AstroGrep\AstroGrep.exe" /spath="%USERPROFILE%\AppData\Local\Temp\OnboardLogs" /stypes="*4002*20160907*" /stext=" 02:.+((SYSTEM_STATE.+slice.+state.+changed )|(ment ac)|(system.+state.+changed )|(\|lc)|(penalty)|(\[timeout)|(PRM\|1\|D)|(kpr)|(kdp))" /e /r /s</v>
      </c>
      <c r="AG137" s="1" t="str">
        <f t="shared" si="35"/>
        <v>EC</v>
      </c>
      <c r="AH137" s="100" t="str">
        <f t="shared" si="36"/>
        <v>"%USERPROFILE%\Documents\GitHub\eaglep3\Utilities\RefineRTDCRunTimes.py" --tripid 225-06 --locoid 4002 --swversion DE.1.0.7.0 --startMP 204:451 --initTime 2016-09-06T19:53:51 --startdatetime 2016-09-06T20:00:28 --delay 1 --endMP 204:233304 --enddatetime 2016-09-06T20:38:26 --enforcementcount 0 &gt;&gt;C:\Users\stu\Documents\GitHub\eaglep3-reporting\EC\2016-09-06-refined-times.txt</v>
      </c>
      <c r="AI137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{"issue":{"subject":"","project_id":79,"tracker_id":40,"status_id":1,"priority_id":2,"assigned_to_id":23,"start_date":"2016-09-06","description":"","custom_fields":[{"id":1,"name":"Subdivision","value":"EC"},{"id":4,"name":"Milepost","value":"23.2853"},{"id":17,"name":"Train ID","value":"225-06"},{"id":16,"name":"Locomotive ID","value":"4002"},{"id":130,"name":"Impact","value":""},{"id":150,"name":"Time of Event (Mountain Time)","value":"20:38:26"},{"id":151,"name":"Denver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550</v>
      </c>
      <c r="B138" s="7">
        <v>4001</v>
      </c>
      <c r="C138" s="24" t="s">
        <v>112</v>
      </c>
      <c r="D138" s="24" t="s">
        <v>281</v>
      </c>
      <c r="E138" s="15">
        <v>42619.864756944444</v>
      </c>
      <c r="F138" s="15">
        <v>42619.872418981482</v>
      </c>
      <c r="G138" s="7">
        <v>1</v>
      </c>
      <c r="H138" s="15" t="s">
        <v>172</v>
      </c>
      <c r="I138" s="15">
        <v>42619.900625000002</v>
      </c>
      <c r="J138" s="7">
        <v>0</v>
      </c>
      <c r="K138" s="132" t="str">
        <f t="shared" si="23"/>
        <v>4001/4002</v>
      </c>
      <c r="L138" s="24" t="str">
        <f>VLOOKUP(A138,'Trips&amp;Operators'!$C$1:$E$10000,3,FALSE)</f>
        <v>SMITH</v>
      </c>
      <c r="M138" s="6">
        <f t="shared" si="24"/>
        <v>2.8206018519995268E-2</v>
      </c>
      <c r="N138" s="7">
        <f t="shared" si="42"/>
        <v>40.616666668793187</v>
      </c>
      <c r="O138" s="7"/>
      <c r="P138" s="7"/>
      <c r="Q138" s="25"/>
      <c r="R138" s="25"/>
      <c r="S138" s="37">
        <f t="shared" si="25"/>
        <v>1</v>
      </c>
      <c r="T138" s="52" t="str">
        <f t="shared" si="26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19:45:15-0600',mode:absolute,to:'2016-09-06 22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8" s="54" t="str">
        <f t="shared" si="28"/>
        <v>N</v>
      </c>
      <c r="X138" s="120">
        <f t="shared" si="41"/>
        <v>1</v>
      </c>
      <c r="Y138" s="69">
        <f t="shared" si="29"/>
        <v>23.297899999999998</v>
      </c>
      <c r="Z138" s="69">
        <f t="shared" si="30"/>
        <v>1.6E-2</v>
      </c>
      <c r="AA138" s="69">
        <f t="shared" si="31"/>
        <v>23.2819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2"/>
        <v>0226-06</v>
      </c>
      <c r="AE138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38" s="96" t="str">
        <f t="shared" si="34"/>
        <v>"C:\Program Files (x86)\AstroGrep\AstroGrep.exe" /spath="%USERPROFILE%\AppData\Local\Temp\OnboardLogs" /stypes="*4001*20160907*" /stext=" 03:.+((SYSTEM_STATE.+slice.+state.+changed )|(ment ac)|(system.+state.+changed )|(\|lc)|(penalty)|(\[timeout)|(PRM\|1\|D)|(kpr)|(kdp))" /e /r /s</v>
      </c>
      <c r="AG138" s="1" t="str">
        <f t="shared" si="35"/>
        <v>EC</v>
      </c>
      <c r="AH138" s="100" t="str">
        <f t="shared" si="36"/>
        <v>"%USERPROFILE%\Documents\GitHub\eaglep3\Utilities\RefineRTDCRunTimes.py" --tripid 226-06 --locoid 4001 --swversion DE.1.0.7.0 --startMP 204:232979 --initTime 2016-09-06T20:45:15 --startdatetime 2016-09-06T20:56:17 --delay 1 --endMP 204:160 --enddatetime 2016-09-06T21:36:54 --enforcementcount 0 &gt;&gt;C:\Users\stu\Documents\GitHub\eaglep3-reporting\EC\2016-09-06-refined-times.txt</v>
      </c>
      <c r="AI138" s="149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ID","value":"226-06"},{"id":16,"name":"Locomotive ID","value":"4001"},{"id":130,"name":"Impact","value":""},{"id":150,"name":"Time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548</v>
      </c>
      <c r="B139" s="7">
        <v>4042</v>
      </c>
      <c r="C139" s="24" t="s">
        <v>112</v>
      </c>
      <c r="D139" s="24" t="s">
        <v>174</v>
      </c>
      <c r="E139" s="15">
        <v>42619.853298611109</v>
      </c>
      <c r="F139" s="15">
        <v>42619.854502314818</v>
      </c>
      <c r="G139" s="7">
        <v>1</v>
      </c>
      <c r="H139" s="15" t="s">
        <v>227</v>
      </c>
      <c r="I139" s="15">
        <v>42619.880868055552</v>
      </c>
      <c r="J139" s="7">
        <v>0</v>
      </c>
      <c r="K139" s="132" t="str">
        <f t="shared" si="23"/>
        <v>4041/4042</v>
      </c>
      <c r="L139" s="24" t="str">
        <f>VLOOKUP(A139,'Trips&amp;Operators'!$C$1:$E$10000,3,FALSE)</f>
        <v>CHANDLER</v>
      </c>
      <c r="M139" s="6">
        <f t="shared" si="24"/>
        <v>2.6365740734036081E-2</v>
      </c>
      <c r="N139" s="7">
        <f t="shared" si="42"/>
        <v>37.966666657011956</v>
      </c>
      <c r="O139" s="7"/>
      <c r="P139" s="7"/>
      <c r="Q139" s="25"/>
      <c r="R139" s="25"/>
      <c r="S139" s="37">
        <f t="shared" si="25"/>
        <v>1</v>
      </c>
      <c r="T139" s="52" t="str">
        <f t="shared" si="26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19:28:45-0600',mode:absolute,to:'2016-09-06 22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9" s="54" t="str">
        <f t="shared" si="28"/>
        <v>N</v>
      </c>
      <c r="X139" s="120">
        <f t="shared" si="41"/>
        <v>1</v>
      </c>
      <c r="Y139" s="69">
        <f t="shared" si="29"/>
        <v>4.5999999999999999E-2</v>
      </c>
      <c r="Z139" s="69">
        <f t="shared" si="30"/>
        <v>23.329699999999999</v>
      </c>
      <c r="AA139" s="69">
        <f t="shared" si="31"/>
        <v>23.2837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2"/>
        <v>0227-06</v>
      </c>
      <c r="AE139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39" s="96" t="str">
        <f t="shared" si="34"/>
        <v>"C:\Program Files (x86)\AstroGrep\AstroGrep.exe" /spath="%USERPROFILE%\AppData\Local\Temp\OnboardLogs" /stypes="*4042*20160907*" /stext=" 03:.+((SYSTEM_STATE.+slice.+state.+changed )|(ment ac)|(system.+state.+changed )|(\|lc)|(penalty)|(\[timeout)|(PRM\|1\|D)|(kpr)|(kdp))" /e /r /s</v>
      </c>
      <c r="AG139" s="1" t="str">
        <f t="shared" si="35"/>
        <v>EC</v>
      </c>
      <c r="AH139" s="100" t="str">
        <f t="shared" ref="AH139:AH202" si="43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227-06 --locoid 4042 --swversion DE.1.0.7.0 --startMP 204:460 --initTime 2016-09-06T20:28:45 --startdatetime 2016-09-06T20:30:29 --delay 1 --endMP 204:233297 --enddatetime 2016-09-06T21:08:27 --enforcementcount 0 &gt;&gt;C:\Users\stu\Documents\GitHub\eaglep3-reporting\EC\2016-09-06-refined-times.txt</v>
      </c>
      <c r="AI139" s="149" t="str">
        <f t="shared" ref="AI139:AI202" si="44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AA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ID","value":"227-06"},{"id":16,"name":"Locomotive ID","value":"4042"},{"id":130,"name":"Impact","value":""},{"id":150,"name":"Time of Event (Mountain Time)","value":"21:08:27"},{"id":151,"name":"Denver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553</v>
      </c>
      <c r="B140" s="7">
        <v>4041</v>
      </c>
      <c r="C140" s="24" t="s">
        <v>112</v>
      </c>
      <c r="D140" s="24" t="s">
        <v>647</v>
      </c>
      <c r="E140" s="15">
        <v>42619.892847222225</v>
      </c>
      <c r="F140" s="15">
        <v>42619.893993055557</v>
      </c>
      <c r="G140" s="7">
        <v>1</v>
      </c>
      <c r="H140" s="15" t="s">
        <v>130</v>
      </c>
      <c r="I140" s="15">
        <v>42619.922118055554</v>
      </c>
      <c r="J140" s="7">
        <v>0</v>
      </c>
      <c r="K140" s="132" t="str">
        <f t="shared" si="23"/>
        <v>4041/4042</v>
      </c>
      <c r="L140" s="24" t="str">
        <f>VLOOKUP(A140,'Trips&amp;Operators'!$C$1:$E$10000,3,FALSE)</f>
        <v>CHANDLER</v>
      </c>
      <c r="M140" s="6">
        <f t="shared" si="24"/>
        <v>2.8124999997089617E-2</v>
      </c>
      <c r="N140" s="7">
        <f t="shared" si="42"/>
        <v>40.499999995809048</v>
      </c>
      <c r="O140" s="7"/>
      <c r="P140" s="7"/>
      <c r="Q140" s="25"/>
      <c r="R140" s="25"/>
      <c r="S140" s="37">
        <f t="shared" si="25"/>
        <v>1</v>
      </c>
      <c r="T140" s="52" t="str">
        <f t="shared" si="26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20:25:42-0600',mode:absolute,to:'2016-09-06 23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0" s="54" t="str">
        <f t="shared" si="28"/>
        <v>N</v>
      </c>
      <c r="X140" s="120">
        <f t="shared" si="41"/>
        <v>1</v>
      </c>
      <c r="Y140" s="69">
        <f t="shared" si="29"/>
        <v>23.232800000000001</v>
      </c>
      <c r="Z140" s="69">
        <f t="shared" si="30"/>
        <v>1.5800000000000002E-2</v>
      </c>
      <c r="AA140" s="69">
        <f t="shared" si="31"/>
        <v>23.217000000000002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2"/>
        <v>0228-06</v>
      </c>
      <c r="AE140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40" s="96" t="str">
        <f t="shared" si="34"/>
        <v>"C:\Program Files (x86)\AstroGrep\AstroGrep.exe" /spath="%USERPROFILE%\AppData\Local\Temp\OnboardLogs" /stypes="*4041*20160907*" /stext=" 04:.+((SYSTEM_STATE.+slice.+state.+changed )|(ment ac)|(system.+state.+changed )|(\|lc)|(penalty)|(\[timeout)|(PRM\|1\|D)|(kpr)|(kdp))" /e /r /s</v>
      </c>
      <c r="AG140" s="1" t="str">
        <f t="shared" si="35"/>
        <v>EC</v>
      </c>
      <c r="AH140" s="100" t="str">
        <f t="shared" si="43"/>
        <v>"%USERPROFILE%\Documents\GitHub\eaglep3\Utilities\RefineRTDCRunTimes.py" --tripid 228-06 --locoid 4041 --swversion DE.1.0.7.0 --startMP 204:232328 --initTime 2016-09-06T21:25:42 --startdatetime 2016-09-06T21:27:21 --delay 1 --endMP 204:158 --enddatetime 2016-09-06T22:07:51 --enforcementcount 0 &gt;&gt;C:\Users\stu\Documents\GitHub\eaglep3-reporting\EC\2016-09-06-refined-times.txt</v>
      </c>
      <c r="AI140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{"issue":{"subject":"","project_id":79,"tracker_id":40,"status_id":1,"priority_id":2,"assigned_to_id":23,"start_date":"2016-09-06","description":"","custom_fields":[{"id":1,"name":"Subdivision","value":"EC"},{"id":4,"name":"Milepost","value":"23.217"},{"id":17,"name":"Train ID","value":"228-06"},{"id":16,"name":"Locomotive ID","value":"4041"},{"id":130,"name":"Impact","value":""},{"id":150,"name":"Time of Event (Mountain Time)","value":"22:07:51"},{"id":151,"name":"Denver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551</v>
      </c>
      <c r="B141" s="7">
        <v>4038</v>
      </c>
      <c r="C141" s="24" t="s">
        <v>112</v>
      </c>
      <c r="D141" s="24" t="s">
        <v>134</v>
      </c>
      <c r="E141" s="15">
        <v>42619.868854166663</v>
      </c>
      <c r="F141" s="15">
        <v>42619.8753125</v>
      </c>
      <c r="G141" s="7">
        <v>1</v>
      </c>
      <c r="H141" s="15" t="s">
        <v>173</v>
      </c>
      <c r="I141" s="15">
        <v>42619.900381944448</v>
      </c>
      <c r="J141" s="7">
        <v>0</v>
      </c>
      <c r="K141" s="132" t="str">
        <f t="shared" ref="K141:K204" si="45">IF(ISEVEN(B141),(B141-1)&amp;"/"&amp;B141,B141&amp;"/"&amp;(B141+1))</f>
        <v>4037/4038</v>
      </c>
      <c r="L141" s="24" t="str">
        <f>VLOOKUP(A141,'Trips&amp;Operators'!$C$1:$E$10000,3,FALSE)</f>
        <v>ARVIDSON</v>
      </c>
      <c r="M141" s="6">
        <f t="shared" ref="M141:M204" si="46">I141-F141</f>
        <v>2.5069444447581191E-2</v>
      </c>
      <c r="N141" s="7">
        <f t="shared" si="42"/>
        <v>36.100000004516914</v>
      </c>
      <c r="O141" s="7"/>
      <c r="P141" s="7"/>
      <c r="Q141" s="25"/>
      <c r="R141" s="25"/>
      <c r="S141" s="37">
        <f t="shared" ref="S141:S204" si="47">SUM(U141:U141)/IF(AG141="EC",12,1)</f>
        <v>1</v>
      </c>
      <c r="T141" s="52" t="str">
        <f t="shared" ref="T141:T204" si="48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9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https://search-rtdc-monitor-bjffxe2xuh6vdkpspy63sjmuny.us-east-1.es.amazonaws.com/_plugin/kibana/#/discover/Steve-Slow-Train-Analysis-(2080s-and-2083s)?_g=(refreshInterval:(display:Off,section:0,value:0),time:(from:'2016-09-06 19:51:09-0600',mode:absolute,to:'2016-09-06 22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1" s="54" t="str">
        <f t="shared" ref="W141:W204" si="50">IF(AA141&lt;IF(AG141="EC",23,5.65),"Y","N")</f>
        <v>N</v>
      </c>
      <c r="X141" s="120">
        <f t="shared" si="41"/>
        <v>1</v>
      </c>
      <c r="Y141" s="69">
        <f t="shared" ref="Y141:Y204" si="51">RIGHT(D141,LEN(D141)-4)/10000</f>
        <v>4.4900000000000002E-2</v>
      </c>
      <c r="Z141" s="69">
        <f t="shared" ref="Z141:Z204" si="52">RIGHT(H141,LEN(H141)-4)/10000</f>
        <v>23.3293</v>
      </c>
      <c r="AA141" s="69">
        <f t="shared" ref="AA141:AA204" si="53">ABS(Z141-Y141)</f>
        <v>23.284400000000002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54">IF(LEN(A141)=6,"0"&amp;A141,A141)</f>
        <v>0229-06</v>
      </c>
      <c r="AE141" s="99" t="str">
        <f t="shared" ref="AE141:AE204" si="5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41" s="96" t="str">
        <f t="shared" ref="AF141:AF204" si="56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/stypes="*4038*20160907*" /stext=" 03:.+((SYSTEM_STATE.+slice.+state.+changed )|(ment ac)|(system.+state.+changed )|(\|lc)|(penalty)|(\[timeout)|(PRM\|1\|D)|(kpr)|(kdp))"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100" t="str">
        <f t="shared" si="43"/>
        <v>"%USERPROFILE%\Documents\GitHub\eaglep3\Utilities\RefineRTDCRunTimes.py" --tripid 229-06 --locoid 4038 --swversion DE.1.0.7.0 --startMP 204:449 --initTime 2016-09-06T20:51:09 --startdatetime 2016-09-06T21:00:27 --delay 1 --endMP 204:233293 --enddatetime 2016-09-06T21:36:33 --enforcementcount 0 &gt;&gt;C:\Users\stu\Documents\GitHub\eaglep3-reporting\EC\2016-09-06-refined-times.txt</v>
      </c>
      <c r="AI141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{"issue":{"subject":"","project_id":79,"tracker_id":40,"status_id":1,"priority_id":2,"assigned_to_id":23,"start_date":"2016-09-06","description":"","custom_fields":[{"id":1,"name":"Subdivision","value":"EC"},{"id":4,"name":"Milepost","value":"23.2844"},{"id":17,"name":"Train ID","value":"229-06"},{"id":16,"name":"Locomotive ID","value":"4038"},{"id":130,"name":"Impact","value":""},{"id":150,"name":"Time of Event (Mountain Time)","value":"21:36:33"},{"id":151,"name":"Denver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556</v>
      </c>
      <c r="B142" s="7">
        <v>4037</v>
      </c>
      <c r="C142" s="24" t="s">
        <v>112</v>
      </c>
      <c r="D142" s="24" t="s">
        <v>635</v>
      </c>
      <c r="E142" s="15">
        <v>42619.910636574074</v>
      </c>
      <c r="F142" s="15">
        <v>42619.914143518516</v>
      </c>
      <c r="G142" s="7">
        <v>1</v>
      </c>
      <c r="H142" s="15" t="s">
        <v>170</v>
      </c>
      <c r="I142" s="15">
        <v>42619.941076388888</v>
      </c>
      <c r="J142" s="7">
        <v>0</v>
      </c>
      <c r="K142" s="132" t="str">
        <f t="shared" si="45"/>
        <v>4037/4038</v>
      </c>
      <c r="L142" s="24" t="str">
        <f>VLOOKUP(A142,'Trips&amp;Operators'!$C$1:$E$10000,3,FALSE)</f>
        <v>ARVIDSON</v>
      </c>
      <c r="M142" s="6">
        <f t="shared" si="46"/>
        <v>2.6932870372547768E-2</v>
      </c>
      <c r="N142" s="7">
        <f t="shared" si="42"/>
        <v>38.783333336468786</v>
      </c>
      <c r="O142" s="7"/>
      <c r="P142" s="7"/>
      <c r="Q142" s="25"/>
      <c r="R142" s="25"/>
      <c r="S142" s="37">
        <f t="shared" si="47"/>
        <v>1</v>
      </c>
      <c r="T142" s="52" t="str">
        <f t="shared" si="48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20:51:19-0600',mode:absolute,to:'2016-09-06 23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2" s="54" t="str">
        <f t="shared" si="50"/>
        <v>N</v>
      </c>
      <c r="X142" s="120">
        <f t="shared" si="41"/>
        <v>1</v>
      </c>
      <c r="Y142" s="69">
        <f t="shared" si="51"/>
        <v>23.296399999999998</v>
      </c>
      <c r="Z142" s="69">
        <f t="shared" si="52"/>
        <v>1.4500000000000001E-2</v>
      </c>
      <c r="AA142" s="69">
        <f t="shared" si="53"/>
        <v>23.281899999999997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54"/>
        <v>0230-06</v>
      </c>
      <c r="AE142" s="99" t="str">
        <f t="shared" si="55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42" s="96" t="str">
        <f t="shared" si="56"/>
        <v>"C:\Program Files (x86)\AstroGrep\AstroGrep.exe" /spath="%USERPROFILE%\AppData\Local\Temp\OnboardLogs" /stypes="*4037*20160907*" /stext=" 04:.+((SYSTEM_STATE.+slice.+state.+changed )|(ment ac)|(system.+state.+changed )|(\|lc)|(penalty)|(\[timeout)|(PRM\|1\|D)|(kpr)|(kdp))" /e /r /s</v>
      </c>
      <c r="AG142" s="1" t="str">
        <f t="shared" si="57"/>
        <v>EC</v>
      </c>
      <c r="AH142" s="100" t="str">
        <f t="shared" si="43"/>
        <v>"%USERPROFILE%\Documents\GitHub\eaglep3\Utilities\RefineRTDCRunTimes.py" --tripid 230-06 --locoid 4037 --swversion DE.1.0.7.0 --startMP 204:232964 --initTime 2016-09-06T21:51:19 --startdatetime 2016-09-06T21:56:22 --delay 1 --endMP 204:145 --enddatetime 2016-09-06T22:35:09 --enforcementcount 0 &gt;&gt;C:\Users\stu\Documents\GitHub\eaglep3-reporting\EC\2016-09-06-refined-times.txt</v>
      </c>
      <c r="AI142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ID","value":"230-06"},{"id":16,"name":"Locomotive ID","value":"4037"},{"id":130,"name":"Impact","value":""},{"id":150,"name":"Time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554</v>
      </c>
      <c r="B143" s="7">
        <v>4029</v>
      </c>
      <c r="C143" s="24" t="s">
        <v>112</v>
      </c>
      <c r="D143" s="24" t="s">
        <v>171</v>
      </c>
      <c r="E143" s="15">
        <v>42619.893009259256</v>
      </c>
      <c r="F143" s="15">
        <v>42619.896157407406</v>
      </c>
      <c r="G143" s="7">
        <v>4</v>
      </c>
      <c r="H143" s="15" t="s">
        <v>248</v>
      </c>
      <c r="I143" s="15">
        <v>42619.920613425929</v>
      </c>
      <c r="J143" s="7">
        <v>0</v>
      </c>
      <c r="K143" s="132" t="str">
        <f t="shared" si="45"/>
        <v>4029/4030</v>
      </c>
      <c r="L143" s="24" t="str">
        <f>VLOOKUP(A143,'Trips&amp;Operators'!$C$1:$E$10000,3,FALSE)</f>
        <v>COOLAHAN</v>
      </c>
      <c r="M143" s="6">
        <f t="shared" si="46"/>
        <v>2.4456018523778766E-2</v>
      </c>
      <c r="N143" s="7">
        <f t="shared" si="42"/>
        <v>35.216666674241424</v>
      </c>
      <c r="O143" s="7"/>
      <c r="P143" s="7"/>
      <c r="Q143" s="25"/>
      <c r="R143" s="25"/>
      <c r="S143" s="37">
        <f t="shared" si="47"/>
        <v>1</v>
      </c>
      <c r="T143" s="52" t="str">
        <f t="shared" si="48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20:25:56-0600',mode:absolute,to:'2016-09-06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3" s="54" t="str">
        <f t="shared" si="50"/>
        <v>N</v>
      </c>
      <c r="X143" s="120">
        <f t="shared" si="41"/>
        <v>1</v>
      </c>
      <c r="Y143" s="69">
        <f t="shared" si="51"/>
        <v>4.4699999999999997E-2</v>
      </c>
      <c r="Z143" s="69">
        <f t="shared" si="52"/>
        <v>23.331499999999998</v>
      </c>
      <c r="AA143" s="69">
        <f t="shared" si="53"/>
        <v>23.286799999999999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54"/>
        <v>0231-06</v>
      </c>
      <c r="AE143" s="99" t="str">
        <f t="shared" si="55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43" s="96" t="str">
        <f t="shared" si="56"/>
        <v>"C:\Program Files (x86)\AstroGrep\AstroGrep.exe" /spath="%USERPROFILE%\AppData\Local\Temp\OnboardLogs" /stypes="*4029*20160907*" /stext=" 04:.+((SYSTEM_STATE.+slice.+state.+changed )|(ment ac)|(system.+state.+changed )|(\|lc)|(penalty)|(\[timeout)|(PRM\|1\|D)|(kpr)|(kdp))" /e /r /s</v>
      </c>
      <c r="AG143" s="1" t="str">
        <f t="shared" si="57"/>
        <v>EC</v>
      </c>
      <c r="AH143" s="100" t="str">
        <f t="shared" si="43"/>
        <v>"%USERPROFILE%\Documents\GitHub\eaglep3\Utilities\RefineRTDCRunTimes.py" --tripid 231-06 --locoid 4029 --swversion DE.1.0.7.0 --startMP 204:447 --initTime 2016-09-06T21:25:56 --startdatetime 2016-09-06T21:30:28 --delay 4 --endMP 204:233315 --enddatetime 2016-09-06T22:05:41 --enforcementcount 0 &gt;&gt;C:\Users\stu\Documents\GitHub\eaglep3-reporting\EC\2016-09-06-refined-times.txt</v>
      </c>
      <c r="AI143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ID","value":"231-06"},{"id":16,"name":"Locomotive ID","value":"4029"},{"id":130,"name":"Impact","value":""},{"id":150,"name":"Time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559</v>
      </c>
      <c r="B144" s="7">
        <v>4030</v>
      </c>
      <c r="C144" s="24" t="s">
        <v>112</v>
      </c>
      <c r="D144" s="24" t="s">
        <v>250</v>
      </c>
      <c r="E144" s="15">
        <v>42619.929444444446</v>
      </c>
      <c r="F144" s="15">
        <v>42619.934965277775</v>
      </c>
      <c r="G144" s="7">
        <v>1</v>
      </c>
      <c r="H144" s="15" t="s">
        <v>607</v>
      </c>
      <c r="I144" s="15">
        <v>42619.962500000001</v>
      </c>
      <c r="J144" s="7">
        <v>0</v>
      </c>
      <c r="K144" s="132" t="str">
        <f t="shared" si="45"/>
        <v>4029/4030</v>
      </c>
      <c r="L144" s="24" t="str">
        <f>VLOOKUP(A144,'Trips&amp;Operators'!$C$1:$E$10000,3,FALSE)</f>
        <v>COOLAHAN</v>
      </c>
      <c r="M144" s="6">
        <f t="shared" si="46"/>
        <v>2.7534722226846498E-2</v>
      </c>
      <c r="N144" s="7">
        <f t="shared" si="42"/>
        <v>39.650000006658956</v>
      </c>
      <c r="O144" s="7"/>
      <c r="P144" s="7"/>
      <c r="Q144" s="25"/>
      <c r="R144" s="25"/>
      <c r="S144" s="37">
        <f t="shared" si="47"/>
        <v>1</v>
      </c>
      <c r="T144" s="52" t="str">
        <f t="shared" si="48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21:18:24-0600',mode:absolute,to:'2016-09-07 00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4" s="54" t="str">
        <f t="shared" si="50"/>
        <v>N</v>
      </c>
      <c r="X144" s="120">
        <f t="shared" ref="X144:X173" si="58">VALUE(LEFT(AD144,4))-VALUE(LEFT(AD143,4))</f>
        <v>1</v>
      </c>
      <c r="Y144" s="69">
        <f t="shared" si="51"/>
        <v>23.299800000000001</v>
      </c>
      <c r="Z144" s="69">
        <f t="shared" si="52"/>
        <v>1.7399999999999999E-2</v>
      </c>
      <c r="AA144" s="69">
        <f t="shared" si="53"/>
        <v>23.282400000000003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54"/>
        <v>0232-06</v>
      </c>
      <c r="AE144" s="99" t="str">
        <f t="shared" si="55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44" s="96" t="str">
        <f t="shared" si="56"/>
        <v>"C:\Program Files (x86)\AstroGrep\AstroGrep.exe" /spath="%USERPROFILE%\AppData\Local\Temp\OnboardLogs" /stypes="*4030*20160907*" /stext=" 05:.+((SYSTEM_STATE.+slice.+state.+changed )|(ment ac)|(system.+state.+changed )|(\|lc)|(penalty)|(\[timeout)|(PRM\|1\|D)|(kpr)|(kdp))" /e /r /s</v>
      </c>
      <c r="AG144" s="1" t="str">
        <f t="shared" si="57"/>
        <v>EC</v>
      </c>
      <c r="AH144" s="100" t="str">
        <f t="shared" si="43"/>
        <v>"%USERPROFILE%\Documents\GitHub\eaglep3\Utilities\RefineRTDCRunTimes.py" --tripid 232-06 --locoid 4030 --swversion DE.1.0.7.0 --startMP 204:232998 --initTime 2016-09-06T22:18:24 --startdatetime 2016-09-06T22:26:21 --delay 1 --endMP 204:174 --enddatetime 2016-09-06T23:06:00 --enforcementcount 0 &gt;&gt;C:\Users\stu\Documents\GitHub\eaglep3-reporting\EC\2016-09-06-refined-times.txt</v>
      </c>
      <c r="AI144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{"issue":{"subject":"","project_id":79,"tracker_id":40,"status_id":1,"priority_id":2,"assigned_to_id":23,"start_date":"2016-09-06","description":"","custom_fields":[{"id":1,"name":"Subdivision","value":"EC"},{"id":4,"name":"Milepost","value":"23.2824"},{"id":17,"name":"Train ID","value":"232-06"},{"id":16,"name":"Locomotive ID","value":"4030"},{"id":130,"name":"Impact","value":""},{"id":150,"name":"Time of Event (Mountain Time)","value":"23:06:00"},{"id":151,"name":"Denver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557</v>
      </c>
      <c r="B145" s="7">
        <v>4002</v>
      </c>
      <c r="C145" s="24" t="s">
        <v>112</v>
      </c>
      <c r="D145" s="24" t="s">
        <v>295</v>
      </c>
      <c r="E145" s="15">
        <v>42619.913344907407</v>
      </c>
      <c r="F145" s="15">
        <v>42619.916851851849</v>
      </c>
      <c r="G145" s="7">
        <v>1</v>
      </c>
      <c r="H145" s="15" t="s">
        <v>268</v>
      </c>
      <c r="I145" s="15">
        <v>42619.941238425927</v>
      </c>
      <c r="J145" s="7">
        <v>0</v>
      </c>
      <c r="K145" s="132" t="str">
        <f t="shared" si="45"/>
        <v>4001/4002</v>
      </c>
      <c r="L145" s="24" t="str">
        <f>VLOOKUP(A145,'Trips&amp;Operators'!$C$1:$E$10000,3,FALSE)</f>
        <v>SMITH</v>
      </c>
      <c r="M145" s="6">
        <f t="shared" si="46"/>
        <v>2.4386574077652767E-2</v>
      </c>
      <c r="N145" s="7">
        <f t="shared" si="42"/>
        <v>35.116666671819985</v>
      </c>
      <c r="O145" s="7"/>
      <c r="P145" s="7"/>
      <c r="Q145" s="25"/>
      <c r="R145" s="25"/>
      <c r="S145" s="37">
        <f t="shared" si="47"/>
        <v>1</v>
      </c>
      <c r="T145" s="52" t="str">
        <f t="shared" si="48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20:55:13-0600',mode:absolute,to:'2016-09-06 23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5" s="54" t="str">
        <f t="shared" si="50"/>
        <v>N</v>
      </c>
      <c r="X145" s="120">
        <f t="shared" si="58"/>
        <v>1</v>
      </c>
      <c r="Y145" s="69">
        <f t="shared" si="51"/>
        <v>4.4600000000000001E-2</v>
      </c>
      <c r="Z145" s="69">
        <f t="shared" si="52"/>
        <v>23.329499999999999</v>
      </c>
      <c r="AA145" s="69">
        <f t="shared" si="53"/>
        <v>23.2849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54"/>
        <v>0233-06</v>
      </c>
      <c r="AE145" s="99" t="str">
        <f t="shared" si="55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45" s="96" t="str">
        <f t="shared" si="56"/>
        <v>"C:\Program Files (x86)\AstroGrep\AstroGrep.exe" /spath="%USERPROFILE%\AppData\Local\Temp\OnboardLogs" /stypes="*4002*20160907*" /stext=" 04:.+((SYSTEM_STATE.+slice.+state.+changed )|(ment ac)|(system.+state.+changed )|(\|lc)|(penalty)|(\[timeout)|(PRM\|1\|D)|(kpr)|(kdp))" /e /r /s</v>
      </c>
      <c r="AG145" s="1" t="str">
        <f t="shared" si="57"/>
        <v>EC</v>
      </c>
      <c r="AH145" s="100" t="str">
        <f t="shared" si="43"/>
        <v>"%USERPROFILE%\Documents\GitHub\eaglep3\Utilities\RefineRTDCRunTimes.py" --tripid 233-06 --locoid 4002 --swversion DE.1.0.7.0 --startMP 204:446 --initTime 2016-09-06T21:55:13 --startdatetime 2016-09-06T22:00:16 --delay 1 --endMP 204:233295 --enddatetime 2016-09-06T22:35:23 --enforcementcount 0 &gt;&gt;C:\Users\stu\Documents\GitHub\eaglep3-reporting\EC\2016-09-06-refined-times.txt</v>
      </c>
      <c r="AI145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ID","value":"233-06"},{"id":16,"name":"Locomotive ID","value":"4002"},{"id":130,"name":"Impact","value":""},{"id":150,"name":"Time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562</v>
      </c>
      <c r="B146" s="7">
        <v>4001</v>
      </c>
      <c r="C146" s="24" t="s">
        <v>112</v>
      </c>
      <c r="D146" s="24" t="s">
        <v>213</v>
      </c>
      <c r="E146" s="15">
        <v>42619.951793981483</v>
      </c>
      <c r="F146" s="15">
        <v>42619.955706018518</v>
      </c>
      <c r="G146" s="7">
        <v>1</v>
      </c>
      <c r="H146" s="15" t="s">
        <v>648</v>
      </c>
      <c r="I146" s="15">
        <v>42619.983298611114</v>
      </c>
      <c r="J146" s="7">
        <v>0</v>
      </c>
      <c r="K146" s="132" t="str">
        <f t="shared" si="45"/>
        <v>4001/4002</v>
      </c>
      <c r="L146" s="24" t="str">
        <f>VLOOKUP(A146,'Trips&amp;Operators'!$C$1:$E$10000,3,FALSE)</f>
        <v>SMITH</v>
      </c>
      <c r="M146" s="6">
        <f t="shared" si="46"/>
        <v>2.7592592596192844E-2</v>
      </c>
      <c r="N146" s="7">
        <f t="shared" si="42"/>
        <v>39.733333338517696</v>
      </c>
      <c r="O146" s="7"/>
      <c r="P146" s="7"/>
      <c r="Q146" s="25"/>
      <c r="R146" s="25"/>
      <c r="S146" s="37">
        <f t="shared" si="47"/>
        <v>1</v>
      </c>
      <c r="T146" s="52" t="str">
        <f t="shared" si="48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21:50:35-0600',mode:absolute,to:'2016-09-07 00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6" s="54" t="str">
        <f t="shared" si="50"/>
        <v>N</v>
      </c>
      <c r="X146" s="120">
        <f t="shared" si="58"/>
        <v>1</v>
      </c>
      <c r="Y146" s="69">
        <f t="shared" si="51"/>
        <v>23.297699999999999</v>
      </c>
      <c r="Z146" s="69">
        <f t="shared" si="52"/>
        <v>1.61E-2</v>
      </c>
      <c r="AA146" s="69">
        <f t="shared" si="53"/>
        <v>23.281599999999997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54"/>
        <v>0234-06</v>
      </c>
      <c r="AE146" s="99" t="str">
        <f t="shared" si="55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46" s="96" t="str">
        <f t="shared" si="56"/>
        <v>"C:\Program Files (x86)\AstroGrep\AstroGrep.exe" /spath="%USERPROFILE%\AppData\Local\Temp\OnboardLogs" /stypes="*4001*20160907*" /stext=" 05:.+((SYSTEM_STATE.+slice.+state.+changed )|(ment ac)|(system.+state.+changed )|(\|lc)|(penalty)|(\[timeout)|(PRM\|1\|D)|(kpr)|(kdp))" /e /r /s</v>
      </c>
      <c r="AG146" s="1" t="str">
        <f t="shared" si="57"/>
        <v>EC</v>
      </c>
      <c r="AH146" s="100" t="str">
        <f t="shared" si="43"/>
        <v>"%USERPROFILE%\Documents\GitHub\eaglep3\Utilities\RefineRTDCRunTimes.py" --tripid 234-06 --locoid 4001 --swversion DE.1.0.7.0 --startMP 204:232977 --initTime 2016-09-06T22:50:35 --startdatetime 2016-09-06T22:56:13 --delay 1 --endMP 204:161 --enddatetime 2016-09-06T23:35:57 --enforcementcount 0 &gt;&gt;C:\Users\stu\Documents\GitHub\eaglep3-reporting\EC\2016-09-06-refined-times.txt</v>
      </c>
      <c r="AI146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ID","value":"234-06"},{"id":16,"name":"Locomotive ID","value":"4001"},{"id":130,"name":"Impact","value":""},{"id":150,"name":"Time of Event (Mountain Time)","value":"23:35:57"},{"id":151,"name":"Denver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560</v>
      </c>
      <c r="B147" s="7">
        <v>4042</v>
      </c>
      <c r="C147" s="24" t="s">
        <v>112</v>
      </c>
      <c r="D147" s="24" t="s">
        <v>132</v>
      </c>
      <c r="E147" s="15">
        <v>42619.935868055552</v>
      </c>
      <c r="F147" s="15">
        <v>42619.937708333331</v>
      </c>
      <c r="G147" s="7">
        <v>1</v>
      </c>
      <c r="H147" s="15" t="s">
        <v>305</v>
      </c>
      <c r="I147" s="15">
        <v>42619.963506944441</v>
      </c>
      <c r="J147" s="7">
        <v>0</v>
      </c>
      <c r="K147" s="132" t="str">
        <f t="shared" si="45"/>
        <v>4041/4042</v>
      </c>
      <c r="L147" s="24" t="str">
        <f>VLOOKUP(A147,'Trips&amp;Operators'!$C$1:$E$10000,3,FALSE)</f>
        <v>CHANDLER</v>
      </c>
      <c r="M147" s="6">
        <f t="shared" si="46"/>
        <v>2.5798611110076308E-2</v>
      </c>
      <c r="N147" s="7">
        <f t="shared" si="42"/>
        <v>37.149999998509884</v>
      </c>
      <c r="O147" s="7"/>
      <c r="P147" s="7"/>
      <c r="Q147" s="25"/>
      <c r="R147" s="25"/>
      <c r="S147" s="37">
        <f t="shared" si="47"/>
        <v>1</v>
      </c>
      <c r="T147" s="52" t="str">
        <f t="shared" si="48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21:27:39-0600',mode:absolute,to:'2016-09-07 00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7" s="54" t="str">
        <f t="shared" si="50"/>
        <v>N</v>
      </c>
      <c r="X147" s="120">
        <f t="shared" si="58"/>
        <v>1</v>
      </c>
      <c r="Y147" s="69">
        <f t="shared" si="51"/>
        <v>4.53E-2</v>
      </c>
      <c r="Z147" s="69">
        <f t="shared" si="52"/>
        <v>23.325500000000002</v>
      </c>
      <c r="AA147" s="69">
        <f t="shared" si="53"/>
        <v>23.280200000000001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54"/>
        <v>0235-06</v>
      </c>
      <c r="AE147" s="99" t="str">
        <f t="shared" si="55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47" s="96" t="str">
        <f t="shared" si="56"/>
        <v>"C:\Program Files (x86)\AstroGrep\AstroGrep.exe" /spath="%USERPROFILE%\AppData\Local\Temp\OnboardLogs" /stypes="*4042*20160907*" /stext=" 05:.+((SYSTEM_STATE.+slice.+state.+changed )|(ment ac)|(system.+state.+changed )|(\|lc)|(penalty)|(\[timeout)|(PRM\|1\|D)|(kpr)|(kdp))" /e /r /s</v>
      </c>
      <c r="AG147" s="1" t="str">
        <f t="shared" si="57"/>
        <v>EC</v>
      </c>
      <c r="AH147" s="100" t="str">
        <f t="shared" si="43"/>
        <v>"%USERPROFILE%\Documents\GitHub\eaglep3\Utilities\RefineRTDCRunTimes.py" --tripid 235-06 --locoid 4042 --swversion DE.1.0.7.0 --startMP 204:453 --initTime 2016-09-06T22:27:39 --startdatetime 2016-09-06T22:30:18 --delay 1 --endMP 204:233255 --enddatetime 2016-09-06T23:07:27 --enforcementcount 0 &gt;&gt;C:\Users\stu\Documents\GitHub\eaglep3-reporting\EC\2016-09-06-refined-times.txt</v>
      </c>
      <c r="AI147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{"issue":{"subject":"","project_id":79,"tracker_id":40,"status_id":1,"priority_id":2,"assigned_to_id":23,"start_date":"2016-09-06","description":"","custom_fields":[{"id":1,"name":"Subdivision","value":"EC"},{"id":4,"name":"Milepost","value":"23.2802"},{"id":17,"name":"Train ID","value":"235-06"},{"id":16,"name":"Locomotive ID","value":"4042"},{"id":130,"name":"Impact","value":""},{"id":150,"name":"Time of Event (Mountain Time)","value":"23:07:27"},{"id":151,"name":"Denver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564</v>
      </c>
      <c r="B148" s="7">
        <v>4041</v>
      </c>
      <c r="C148" s="24" t="s">
        <v>112</v>
      </c>
      <c r="D148" s="24" t="s">
        <v>318</v>
      </c>
      <c r="E148" s="15">
        <v>42619.976041666669</v>
      </c>
      <c r="F148" s="15">
        <v>42619.977013888885</v>
      </c>
      <c r="G148" s="7">
        <v>1</v>
      </c>
      <c r="H148" s="15" t="s">
        <v>649</v>
      </c>
      <c r="I148" s="15">
        <v>42620.007708333331</v>
      </c>
      <c r="J148" s="7">
        <v>0</v>
      </c>
      <c r="K148" s="132" t="str">
        <f t="shared" si="45"/>
        <v>4041/4042</v>
      </c>
      <c r="L148" s="24" t="str">
        <f>VLOOKUP(A148,'Trips&amp;Operators'!$C$1:$E$10000,3,FALSE)</f>
        <v>CHANDLER</v>
      </c>
      <c r="M148" s="6">
        <f t="shared" si="46"/>
        <v>3.0694444445543922E-2</v>
      </c>
      <c r="N148" s="7">
        <f t="shared" si="42"/>
        <v>44.200000001583248</v>
      </c>
      <c r="O148" s="7"/>
      <c r="P148" s="7"/>
      <c r="Q148" s="25"/>
      <c r="R148" s="25"/>
      <c r="S148" s="37">
        <f t="shared" si="47"/>
        <v>1</v>
      </c>
      <c r="T148" s="52" t="str">
        <f t="shared" si="48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22:25:30-0600',mode:absolute,to:'2016-09-07 01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8" s="54" t="str">
        <f t="shared" si="50"/>
        <v>N</v>
      </c>
      <c r="X148" s="120">
        <f t="shared" si="58"/>
        <v>1</v>
      </c>
      <c r="Y148" s="69">
        <f t="shared" si="51"/>
        <v>23.2959</v>
      </c>
      <c r="Z148" s="69">
        <f t="shared" si="52"/>
        <v>1.7600000000000001E-2</v>
      </c>
      <c r="AA148" s="69">
        <f t="shared" si="53"/>
        <v>23.278299999999998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54"/>
        <v>0236-06</v>
      </c>
      <c r="AE148" s="99" t="str">
        <f t="shared" si="55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48" s="96" t="str">
        <f t="shared" si="56"/>
        <v>"C:\Program Files (x86)\AstroGrep\AstroGrep.exe" /spath="%USERPROFILE%\AppData\Local\Temp\OnboardLogs" /stypes="*4041*20160907*" /stext=" 06:.+((SYSTEM_STATE.+slice.+state.+changed )|(ment ac)|(system.+state.+changed )|(\|lc)|(penalty)|(\[timeout)|(PRM\|1\|D)|(kpr)|(kdp))" /e /r /s</v>
      </c>
      <c r="AG148" s="1" t="str">
        <f t="shared" si="57"/>
        <v>EC</v>
      </c>
      <c r="AH148" s="100" t="str">
        <f t="shared" si="43"/>
        <v>"%USERPROFILE%\Documents\GitHub\eaglep3\Utilities\RefineRTDCRunTimes.py" --tripid 236-06 --locoid 4041 --swversion DE.1.0.7.0 --startMP 204:232959 --initTime 2016-09-06T23:25:30 --startdatetime 2016-09-06T23:26:54 --delay 1 --endMP 204:176 --enddatetime 2016-09-07T00:11:06 --enforcementcount 0 &gt;&gt;C:\Users\stu\Documents\GitHub\eaglep3-reporting\EC\2016-09-06-refined-times.txt</v>
      </c>
      <c r="AI148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{"issue":{"subject":"","project_id":79,"tracker_id":40,"status_id":1,"priority_id":2,"assigned_to_id":23,"start_date":"2016-09-07","description":"","custom_fields":[{"id":1,"name":"Subdivision","value":"EC"},{"id":4,"name":"Milepost","value":"23.2783"},{"id":17,"name":"Train ID","value":"236-06"},{"id":16,"name":"Locomotive ID","value":"4041"},{"id":130,"name":"Impact","value":""},{"id":150,"name":"Time of Event (Mountain Time)","value":"00:11:06"},{"id":151,"name":"Denver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563</v>
      </c>
      <c r="B149" s="7">
        <v>4038</v>
      </c>
      <c r="C149" s="24" t="s">
        <v>112</v>
      </c>
      <c r="D149" s="24" t="s">
        <v>138</v>
      </c>
      <c r="E149" s="15">
        <v>42619.954282407409</v>
      </c>
      <c r="F149" s="15">
        <v>42619.958622685182</v>
      </c>
      <c r="G149" s="7">
        <v>6</v>
      </c>
      <c r="H149" s="15" t="s">
        <v>650</v>
      </c>
      <c r="I149" s="15">
        <v>42619.984178240738</v>
      </c>
      <c r="J149" s="7">
        <v>0</v>
      </c>
      <c r="K149" s="132" t="str">
        <f t="shared" si="45"/>
        <v>4037/4038</v>
      </c>
      <c r="L149" s="24" t="str">
        <f>VLOOKUP(A149,'Trips&amp;Operators'!$C$1:$E$10000,3,FALSE)</f>
        <v>ARVIDSON</v>
      </c>
      <c r="M149" s="6">
        <f t="shared" si="46"/>
        <v>2.5555555555911269E-2</v>
      </c>
      <c r="N149" s="7">
        <f t="shared" si="42"/>
        <v>36.800000000512227</v>
      </c>
      <c r="O149" s="7"/>
      <c r="P149" s="7"/>
      <c r="Q149" s="25"/>
      <c r="R149" s="25"/>
      <c r="S149" s="37">
        <f t="shared" si="47"/>
        <v>1</v>
      </c>
      <c r="T149" s="52" t="str">
        <f t="shared" si="48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21:54:10-0600',mode:absolute,to:'2016-09-07 00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9" s="54" t="str">
        <f t="shared" si="50"/>
        <v>N</v>
      </c>
      <c r="X149" s="120">
        <f t="shared" si="58"/>
        <v>1</v>
      </c>
      <c r="Y149" s="69">
        <f t="shared" si="51"/>
        <v>4.5699999999999998E-2</v>
      </c>
      <c r="Z149" s="69">
        <f t="shared" si="52"/>
        <v>23.330300000000001</v>
      </c>
      <c r="AA149" s="69">
        <f t="shared" si="53"/>
        <v>23.284600000000001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54"/>
        <v>0237-06</v>
      </c>
      <c r="AE149" s="99" t="str">
        <f t="shared" si="55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49" s="96" t="str">
        <f t="shared" si="56"/>
        <v>"C:\Program Files (x86)\AstroGrep\AstroGrep.exe" /spath="%USERPROFILE%\AppData\Local\Temp\OnboardLogs" /stypes="*4038*20160907*" /stext=" 05:.+((SYSTEM_STATE.+slice.+state.+changed )|(ment ac)|(system.+state.+changed )|(\|lc)|(penalty)|(\[timeout)|(PRM\|1\|D)|(kpr)|(kdp))" /e /r /s</v>
      </c>
      <c r="AG149" s="1" t="str">
        <f t="shared" si="57"/>
        <v>EC</v>
      </c>
      <c r="AH149" s="100" t="str">
        <f t="shared" si="43"/>
        <v>"%USERPROFILE%\Documents\GitHub\eaglep3\Utilities\RefineRTDCRunTimes.py" --tripid 237-06 --locoid 4038 --swversion DE.1.0.7.0 --startMP 204:457 --initTime 2016-09-06T22:54:10 --startdatetime 2016-09-06T23:00:25 --delay 6 --endMP 204:233303 --enddatetime 2016-09-06T23:37:13 --enforcementcount 0 &gt;&gt;C:\Users\stu\Documents\GitHub\eaglep3-reporting\EC\2016-09-06-refined-times.txt</v>
      </c>
      <c r="AI149" s="149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{"issue":{"subject":"","project_id":79,"tracker_id":40,"status_id":1,"priority_id":2,"assigned_to_id":23,"start_date":"2016-09-06","description":"","custom_fields":[{"id":1,"name":"Subdivision","value":"EC"},{"id":4,"name":"Milepost","value":"23.2846"},{"id":17,"name":"Train ID","value":"237-06"},{"id":16,"name":"Locomotive ID","value":"4038"},{"id":130,"name":"Impact","value":""},{"id":150,"name":"Time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566</v>
      </c>
      <c r="B150" s="7">
        <v>4037</v>
      </c>
      <c r="C150" s="24" t="s">
        <v>112</v>
      </c>
      <c r="D150" s="24" t="s">
        <v>224</v>
      </c>
      <c r="E150" s="15">
        <v>42619.993298611109</v>
      </c>
      <c r="F150" s="15">
        <v>42619.997546296298</v>
      </c>
      <c r="G150" s="7">
        <v>1</v>
      </c>
      <c r="H150" s="15" t="s">
        <v>648</v>
      </c>
      <c r="I150" s="15">
        <v>42620.028506944444</v>
      </c>
      <c r="J150" s="7">
        <v>0</v>
      </c>
      <c r="K150" s="132" t="str">
        <f t="shared" si="45"/>
        <v>4037/4038</v>
      </c>
      <c r="L150" s="24" t="str">
        <f>VLOOKUP(A150,'Trips&amp;Operators'!$C$1:$E$10000,3,FALSE)</f>
        <v>ARVIDSON</v>
      </c>
      <c r="M150" s="6">
        <f t="shared" si="46"/>
        <v>3.0960648145992309E-2</v>
      </c>
      <c r="N150" s="7">
        <f t="shared" si="42"/>
        <v>44.583333330228925</v>
      </c>
      <c r="O150" s="7"/>
      <c r="P150" s="7"/>
      <c r="Q150" s="25"/>
      <c r="R150" s="25"/>
      <c r="S150" s="37">
        <f t="shared" si="47"/>
        <v>1</v>
      </c>
      <c r="T150" s="52" t="str">
        <f t="shared" si="48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22:50:21-0600',mode:absolute,to:'2016-09-07 01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0" s="54" t="str">
        <f t="shared" si="50"/>
        <v>N</v>
      </c>
      <c r="X150" s="120">
        <f t="shared" si="58"/>
        <v>1</v>
      </c>
      <c r="Y150" s="69">
        <f t="shared" si="51"/>
        <v>23.2971</v>
      </c>
      <c r="Z150" s="69">
        <f t="shared" si="52"/>
        <v>1.61E-2</v>
      </c>
      <c r="AA150" s="69">
        <f t="shared" si="53"/>
        <v>23.280999999999999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54"/>
        <v>0238-06</v>
      </c>
      <c r="AE150" s="99" t="str">
        <f t="shared" si="55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50" s="96" t="str">
        <f t="shared" si="56"/>
        <v>"C:\Program Files (x86)\AstroGrep\AstroGrep.exe" /spath="%USERPROFILE%\AppData\Local\Temp\OnboardLogs" /stypes="*4037*20160907*" /stext=" 06:.+((SYSTEM_STATE.+slice.+state.+changed )|(ment ac)|(system.+state.+changed )|(\|lc)|(penalty)|(\[timeout)|(PRM\|1\|D)|(kpr)|(kdp))" /e /r /s</v>
      </c>
      <c r="AG150" s="1" t="str">
        <f t="shared" si="57"/>
        <v>EC</v>
      </c>
      <c r="AH150" s="100" t="str">
        <f t="shared" si="43"/>
        <v>"%USERPROFILE%\Documents\GitHub\eaglep3\Utilities\RefineRTDCRunTimes.py" --tripid 238-06 --locoid 4037 --swversion DE.1.0.7.0 --startMP 204:232971 --initTime 2016-09-06T23:50:21 --startdatetime 2016-09-06T23:56:28 --delay 1 --endMP 204:161 --enddatetime 2016-09-07T00:41:03 --enforcementcount 0 &gt;&gt;C:\Users\stu\Documents\GitHub\eaglep3-reporting\EC\2016-09-06-refined-times.txt</v>
      </c>
      <c r="AI150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{"issue":{"subject":"","project_id":79,"tracker_id":40,"status_id":1,"priority_id":2,"assigned_to_id":23,"start_date":"2016-09-07","description":"","custom_fields":[{"id":1,"name":"Subdivision","value":"EC"},{"id":4,"name":"Milepost","value":"23.281"},{"id":17,"name":"Train ID","value":"238-06"},{"id":16,"name":"Locomotive ID","value":"4037"},{"id":130,"name":"Impact","value":""},{"id":150,"name":"Time of Event (Mountain Time)","value":"00:41:03"},{"id":151,"name":"Denver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565</v>
      </c>
      <c r="B151" s="7">
        <v>4029</v>
      </c>
      <c r="C151" s="24" t="s">
        <v>112</v>
      </c>
      <c r="D151" s="24" t="s">
        <v>312</v>
      </c>
      <c r="E151" s="15">
        <v>42619.9765162037</v>
      </c>
      <c r="F151" s="15">
        <v>42619.979398148149</v>
      </c>
      <c r="G151" s="7">
        <v>1</v>
      </c>
      <c r="H151" s="15" t="s">
        <v>268</v>
      </c>
      <c r="I151" s="15">
        <v>42620.003935185188</v>
      </c>
      <c r="J151" s="7">
        <v>0</v>
      </c>
      <c r="K151" s="132" t="str">
        <f t="shared" si="45"/>
        <v>4029/4030</v>
      </c>
      <c r="L151" s="24" t="str">
        <f>VLOOKUP(A151,'Trips&amp;Operators'!$C$1:$E$10000,3,FALSE)</f>
        <v>COOLAHAN</v>
      </c>
      <c r="M151" s="6">
        <f t="shared" si="46"/>
        <v>2.453703703940846E-2</v>
      </c>
      <c r="N151" s="7">
        <f t="shared" si="42"/>
        <v>35.333333336748183</v>
      </c>
      <c r="O151" s="7"/>
      <c r="P151" s="7"/>
      <c r="Q151" s="25"/>
      <c r="R151" s="25"/>
      <c r="S151" s="37">
        <f t="shared" si="47"/>
        <v>1</v>
      </c>
      <c r="T151" s="52" t="str">
        <f t="shared" si="48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22:26:11-0600',mode:absolute,to:'2016-09-07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1" s="54" t="str">
        <f t="shared" si="50"/>
        <v>N</v>
      </c>
      <c r="X151" s="120">
        <f t="shared" si="58"/>
        <v>1</v>
      </c>
      <c r="Y151" s="69">
        <f t="shared" si="51"/>
        <v>4.8399999999999999E-2</v>
      </c>
      <c r="Z151" s="69">
        <f t="shared" si="52"/>
        <v>23.329499999999999</v>
      </c>
      <c r="AA151" s="69">
        <f t="shared" si="53"/>
        <v>23.281099999999999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54"/>
        <v>0239-06</v>
      </c>
      <c r="AE151" s="99" t="str">
        <f t="shared" si="55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51" s="96" t="str">
        <f t="shared" si="56"/>
        <v>"C:\Program Files (x86)\AstroGrep\AstroGrep.exe" /spath="%USERPROFILE%\AppData\Local\Temp\OnboardLogs" /stypes="*4029*20160907*" /stext=" 06:.+((SYSTEM_STATE.+slice.+state.+changed )|(ment ac)|(system.+state.+changed )|(\|lc)|(penalty)|(\[timeout)|(PRM\|1\|D)|(kpr)|(kdp))" /e /r /s</v>
      </c>
      <c r="AG151" s="1" t="str">
        <f t="shared" si="57"/>
        <v>EC</v>
      </c>
      <c r="AH151" s="100" t="str">
        <f t="shared" si="43"/>
        <v>"%USERPROFILE%\Documents\GitHub\eaglep3\Utilities\RefineRTDCRunTimes.py" --tripid 239-06 --locoid 4029 --swversion DE.1.0.7.0 --startMP 204:484 --initTime 2016-09-06T23:26:11 --startdatetime 2016-09-06T23:30:20 --delay 1 --endMP 204:233295 --enddatetime 2016-09-07T00:05:40 --enforcementcount 0 &gt;&gt;C:\Users\stu\Documents\GitHub\eaglep3-reporting\EC\2016-09-06-refined-times.txt</v>
      </c>
      <c r="AI151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{"issue":{"subject":"","project_id":79,"tracker_id":40,"status_id":1,"priority_id":2,"assigned_to_id":23,"start_date":"2016-09-07","description":"","custom_fields":[{"id":1,"name":"Subdivision","value":"EC"},{"id":4,"name":"Milepost","value":"23.2811"},{"id":17,"name":"Train ID","value":"239-06"},{"id":16,"name":"Locomotive ID","value":"4029"},{"id":130,"name":"Impact","value":""},{"id":150,"name":"Time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568</v>
      </c>
      <c r="B152" s="7">
        <v>4030</v>
      </c>
      <c r="C152" s="24" t="s">
        <v>112</v>
      </c>
      <c r="D152" s="24" t="s">
        <v>213</v>
      </c>
      <c r="E152" s="15">
        <v>42620.009641203702</v>
      </c>
      <c r="F152" s="15">
        <v>42620.018310185187</v>
      </c>
      <c r="G152" s="7">
        <v>1</v>
      </c>
      <c r="H152" s="15" t="s">
        <v>306</v>
      </c>
      <c r="I152" s="15">
        <v>42620.044212962966</v>
      </c>
      <c r="J152" s="7">
        <v>0</v>
      </c>
      <c r="K152" s="132" t="str">
        <f t="shared" si="45"/>
        <v>4029/4030</v>
      </c>
      <c r="L152" s="24" t="str">
        <f>VLOOKUP(A152,'Trips&amp;Operators'!$C$1:$E$10000,3,FALSE)</f>
        <v>COOLAHAN</v>
      </c>
      <c r="M152" s="6">
        <f t="shared" si="46"/>
        <v>2.5902777779265307E-2</v>
      </c>
      <c r="N152" s="7">
        <f t="shared" si="42"/>
        <v>37.300000002142042</v>
      </c>
      <c r="O152" s="7"/>
      <c r="P152" s="7"/>
      <c r="Q152" s="25"/>
      <c r="R152" s="25"/>
      <c r="S152" s="37">
        <f t="shared" si="47"/>
        <v>1</v>
      </c>
      <c r="T152" s="52" t="str">
        <f t="shared" si="48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23:13:53-0600',mode:absolute,to:'2016-09-07 02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2" s="54" t="str">
        <f t="shared" si="50"/>
        <v>N</v>
      </c>
      <c r="X152" s="120">
        <f t="shared" si="58"/>
        <v>1</v>
      </c>
      <c r="Y152" s="69">
        <f t="shared" si="51"/>
        <v>23.297699999999999</v>
      </c>
      <c r="Z152" s="69">
        <f t="shared" si="52"/>
        <v>1.6899999999999998E-2</v>
      </c>
      <c r="AA152" s="69">
        <f t="shared" si="53"/>
        <v>23.280799999999999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54"/>
        <v>0240-06</v>
      </c>
      <c r="AE152" s="99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52" s="96" t="str">
        <f t="shared" si="56"/>
        <v>"C:\Program Files (x86)\AstroGrep\AstroGrep.exe" /spath="%USERPROFILE%\AppData\Local\Temp\OnboardLogs" /stypes="*4030*20160907*" /stext=" 07:.+((SYSTEM_STATE.+slice.+state.+changed )|(ment ac)|(system.+state.+changed )|(\|lc)|(penalty)|(\[timeout)|(PRM\|1\|D)|(kpr)|(kdp))" /e /r /s</v>
      </c>
      <c r="AG152" s="1" t="str">
        <f t="shared" si="57"/>
        <v>EC</v>
      </c>
      <c r="AH152" s="100" t="str">
        <f t="shared" si="43"/>
        <v>"%USERPROFILE%\Documents\GitHub\eaglep3\Utilities\RefineRTDCRunTimes.py" --tripid 240-06 --locoid 4030 --swversion DE.1.0.7.0 --startMP 204:232977 --initTime 2016-09-07T00:13:53 --startdatetime 2016-09-07T00:26:22 --delay 1 --endMP 204:169 --enddatetime 2016-09-07T01:03:40 --enforcementcount 0 &gt;&gt;C:\Users\stu\Documents\GitHub\eaglep3-reporting\EC\2016-09-06-refined-times.txt</v>
      </c>
      <c r="AI152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{"issue":{"subject":"","project_id":79,"tracker_id":40,"status_id":1,"priority_id":2,"assigned_to_id":23,"start_date":"2016-09-07","description":"","custom_fields":[{"id":1,"name":"Subdivision","value":"EC"},{"id":4,"name":"Milepost","value":"23.2808"},{"id":17,"name":"Train ID","value":"240-06"},{"id":16,"name":"Locomotive ID","value":"4030"},{"id":130,"name":"Impact","value":""},{"id":150,"name":"Time of Event (Mountain Time)","value":"01:03:40"},{"id":151,"name":"Denver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567</v>
      </c>
      <c r="B153" s="7">
        <v>4002</v>
      </c>
      <c r="C153" s="24" t="s">
        <v>112</v>
      </c>
      <c r="D153" s="24" t="s">
        <v>171</v>
      </c>
      <c r="E153" s="15">
        <v>42619.996446759258</v>
      </c>
      <c r="F153" s="15">
        <v>42620.000231481485</v>
      </c>
      <c r="G153" s="7">
        <v>1</v>
      </c>
      <c r="H153" s="15" t="s">
        <v>148</v>
      </c>
      <c r="I153" s="15">
        <v>42620.024548611109</v>
      </c>
      <c r="J153" s="7">
        <v>0</v>
      </c>
      <c r="K153" s="132" t="str">
        <f t="shared" si="45"/>
        <v>4001/4002</v>
      </c>
      <c r="L153" s="24" t="str">
        <f>VLOOKUP(A153,'Trips&amp;Operators'!$C$1:$E$10000,3,FALSE)</f>
        <v>SMITH</v>
      </c>
      <c r="M153" s="6">
        <f t="shared" si="46"/>
        <v>2.4317129624250811E-2</v>
      </c>
      <c r="N153" s="7">
        <f t="shared" si="42"/>
        <v>35.016666658921167</v>
      </c>
      <c r="O153" s="7"/>
      <c r="P153" s="7"/>
      <c r="Q153" s="25"/>
      <c r="R153" s="25"/>
      <c r="S153" s="37">
        <f t="shared" si="47"/>
        <v>1</v>
      </c>
      <c r="T153" s="52" t="str">
        <f t="shared" si="48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22:54:53-0600',mode:absolute,to:'2016-09-07 01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3" s="54" t="str">
        <f t="shared" si="50"/>
        <v>N</v>
      </c>
      <c r="X153" s="120">
        <f t="shared" si="58"/>
        <v>1</v>
      </c>
      <c r="Y153" s="69">
        <f t="shared" si="51"/>
        <v>4.4699999999999997E-2</v>
      </c>
      <c r="Z153" s="69">
        <f t="shared" si="52"/>
        <v>23.3291</v>
      </c>
      <c r="AA153" s="69">
        <f t="shared" si="53"/>
        <v>23.284400000000002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54"/>
        <v>0241-06</v>
      </c>
      <c r="AE153" s="99" t="str">
        <f t="shared" si="55"/>
        <v>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 &amp; 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</v>
      </c>
      <c r="AF153" s="96" t="str">
        <f t="shared" si="56"/>
        <v>"C:\Program Files (x86)\AstroGrep\AstroGrep.exe" /spath="%USERPROFILE%\AppData\Local\Temp\OnboardLogs" /stypes="*4002*20160907*" /stext=" 06:.+((SYSTEM_STATE.+slice.+state.+changed )|(ment ac)|(system.+state.+changed )|(\|lc)|(penalty)|(\[timeout)|(PRM\|1\|D)|(kpr)|(kdp))" /e /r /s</v>
      </c>
      <c r="AG153" s="1" t="str">
        <f t="shared" si="57"/>
        <v>EC</v>
      </c>
      <c r="AH153" s="100" t="str">
        <f t="shared" si="43"/>
        <v>"%USERPROFILE%\Documents\GitHub\eaglep3\Utilities\RefineRTDCRunTimes.py" --tripid 241-06 --locoid 4002 --swversion DE.1.0.7.0 --startMP 204:447 --initTime 2016-09-06T23:54:53 --startdatetime 2016-09-07T00:00:20 --delay 1 --endMP 204:233291 --enddatetime 2016-09-07T00:35:21 --enforcementcount 0 &gt;&gt;C:\Users\stu\Documents\GitHub\eaglep3-reporting\EC\2016-09-06-refined-times.txt</v>
      </c>
      <c r="AI153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ID","value":"241-06"},{"id":16,"name":"Locomotive ID","value":"4002"},{"id":130,"name":"Impact","value":""},{"id":150,"name":"Time of Event (Mountain Time)","value":"00:35:21"},{"id":151,"name":"Denver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571</v>
      </c>
      <c r="B154" s="7">
        <v>4001</v>
      </c>
      <c r="C154" s="24" t="s">
        <v>112</v>
      </c>
      <c r="D154" s="24" t="s">
        <v>292</v>
      </c>
      <c r="E154" s="15">
        <v>42620.035879629628</v>
      </c>
      <c r="F154" s="15">
        <v>42620.0390625</v>
      </c>
      <c r="G154" s="7">
        <v>1</v>
      </c>
      <c r="H154" s="15" t="s">
        <v>611</v>
      </c>
      <c r="I154" s="15">
        <v>42620.064722222225</v>
      </c>
      <c r="J154" s="7">
        <v>0</v>
      </c>
      <c r="K154" s="132" t="str">
        <f t="shared" si="45"/>
        <v>4001/4002</v>
      </c>
      <c r="L154" s="24" t="str">
        <f>VLOOKUP(A154,'Trips&amp;Operators'!$C$1:$E$10000,3,FALSE)</f>
        <v>SMITH</v>
      </c>
      <c r="M154" s="6">
        <f t="shared" si="46"/>
        <v>2.5659722225100268E-2</v>
      </c>
      <c r="N154" s="7">
        <f t="shared" si="42"/>
        <v>36.950000004144385</v>
      </c>
      <c r="O154" s="7"/>
      <c r="P154" s="7"/>
      <c r="Q154" s="25"/>
      <c r="R154" s="25"/>
      <c r="S154" s="37">
        <f t="shared" si="47"/>
        <v>1</v>
      </c>
      <c r="T154" s="52" t="str">
        <f t="shared" si="48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23:51:40-0600',mode:absolute,to:'2016-09-07 02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4" s="54" t="str">
        <f t="shared" si="50"/>
        <v>N</v>
      </c>
      <c r="X154" s="120">
        <f t="shared" si="58"/>
        <v>1</v>
      </c>
      <c r="Y154" s="69">
        <f t="shared" si="51"/>
        <v>23.297799999999999</v>
      </c>
      <c r="Z154" s="69">
        <f t="shared" si="52"/>
        <v>2.12E-2</v>
      </c>
      <c r="AA154" s="69">
        <f t="shared" si="53"/>
        <v>23.276599999999998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54"/>
        <v>0242-06</v>
      </c>
      <c r="AE154" s="99" t="str">
        <f t="shared" si="55"/>
        <v>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 &amp; 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</v>
      </c>
      <c r="AF154" s="96" t="str">
        <f t="shared" si="56"/>
        <v>"C:\Program Files (x86)\AstroGrep\AstroGrep.exe" /spath="%USERPROFILE%\AppData\Local\Temp\OnboardLogs" /stypes="*4001*20160907*" /stext=" 07:.+((SYSTEM_STATE.+slice.+state.+changed )|(ment ac)|(system.+state.+changed )|(\|lc)|(penalty)|(\[timeout)|(PRM\|1\|D)|(kpr)|(kdp))" /e /r /s</v>
      </c>
      <c r="AG154" s="1" t="str">
        <f t="shared" si="57"/>
        <v>EC</v>
      </c>
      <c r="AH154" s="100" t="str">
        <f t="shared" si="43"/>
        <v>"%USERPROFILE%\Documents\GitHub\eaglep3\Utilities\RefineRTDCRunTimes.py" --tripid 242-06 --locoid 4001 --swversion DE.1.0.7.0 --startMP 204:232978 --initTime 2016-09-07T00:51:40 --startdatetime 2016-09-07T00:56:15 --delay 1 --endMP 204:212 --enddatetime 2016-09-07T01:33:12 --enforcementcount 0 &gt;&gt;C:\Users\stu\Documents\GitHub\eaglep3-reporting\EC\2016-09-06-refined-times.txt</v>
      </c>
      <c r="AI154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{"issue":{"subject":"","project_id":79,"tracker_id":40,"status_id":1,"priority_id":2,"assigned_to_id":23,"start_date":"2016-09-07","description":"","custom_fields":[{"id":1,"name":"Subdivision","value":"EC"},{"id":4,"name":"Milepost","value":"23.2766"},{"id":17,"name":"Train ID","value":"242-06"},{"id":16,"name":"Locomotive ID","value":"4001"},{"id":130,"name":"Impact","value":""},{"id":150,"name":"Time of Event (Mountain Time)","value":"01:33:12"},{"id":151,"name":"Denver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569</v>
      </c>
      <c r="B155" s="7">
        <v>4042</v>
      </c>
      <c r="C155" s="24" t="s">
        <v>112</v>
      </c>
      <c r="D155" s="24" t="s">
        <v>316</v>
      </c>
      <c r="E155" s="15">
        <v>42620.019884259258</v>
      </c>
      <c r="F155" s="15">
        <v>42620.021192129629</v>
      </c>
      <c r="G155" s="7">
        <v>1</v>
      </c>
      <c r="H155" s="15" t="s">
        <v>267</v>
      </c>
      <c r="I155" s="15">
        <v>42620.046631944446</v>
      </c>
      <c r="J155" s="7">
        <v>0</v>
      </c>
      <c r="K155" s="132" t="str">
        <f t="shared" si="45"/>
        <v>4041/4042</v>
      </c>
      <c r="L155" s="24" t="str">
        <f>VLOOKUP(A155,'Trips&amp;Operators'!$C$1:$E$10000,3,FALSE)</f>
        <v>CHANDLER</v>
      </c>
      <c r="M155" s="6">
        <f t="shared" si="46"/>
        <v>2.5439814817218576E-2</v>
      </c>
      <c r="N155" s="7">
        <f t="shared" si="42"/>
        <v>36.633333336794749</v>
      </c>
      <c r="O155" s="7"/>
      <c r="P155" s="7"/>
      <c r="Q155" s="25"/>
      <c r="R155" s="25"/>
      <c r="S155" s="37">
        <f t="shared" si="47"/>
        <v>1</v>
      </c>
      <c r="T155" s="52" t="str">
        <f t="shared" si="48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23:28:38-0600',mode:absolute,to:'2016-09-07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5" s="54" t="str">
        <f t="shared" si="50"/>
        <v>N</v>
      </c>
      <c r="X155" s="120">
        <f t="shared" si="58"/>
        <v>1</v>
      </c>
      <c r="Y155" s="69">
        <f t="shared" si="51"/>
        <v>4.8599999999999997E-2</v>
      </c>
      <c r="Z155" s="69">
        <f t="shared" si="52"/>
        <v>23.330100000000002</v>
      </c>
      <c r="AA155" s="69">
        <f t="shared" si="53"/>
        <v>23.281500000000001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54"/>
        <v>0243-06</v>
      </c>
      <c r="AE155" s="99" t="str">
        <f t="shared" si="55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155" s="96" t="str">
        <f t="shared" si="56"/>
        <v>"C:\Program Files (x86)\AstroGrep\AstroGrep.exe" /spath="%USERPROFILE%\AppData\Local\Temp\OnboardLogs" /stypes="*4042*20160907*" /stext=" 07:.+((SYSTEM_STATE.+slice.+state.+changed )|(ment ac)|(system.+state.+changed )|(\|lc)|(penalty)|(\[timeout)|(PRM\|1\|D)|(kpr)|(kdp))" /e /r /s</v>
      </c>
      <c r="AG155" s="1" t="str">
        <f t="shared" si="57"/>
        <v>EC</v>
      </c>
      <c r="AH155" s="100" t="str">
        <f t="shared" si="43"/>
        <v>"%USERPROFILE%\Documents\GitHub\eaglep3\Utilities\RefineRTDCRunTimes.py" --tripid 243-06 --locoid 4042 --swversion DE.1.0.7.0 --startMP 204:486 --initTime 2016-09-07T00:28:38 --startdatetime 2016-09-07T00:30:31 --delay 1 --endMP 204:233301 --enddatetime 2016-09-07T01:07:09 --enforcementcount 0 &gt;&gt;C:\Users\stu\Documents\GitHub\eaglep3-reporting\EC\2016-09-06-refined-times.txt</v>
      </c>
      <c r="AI155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ID","value":"243-06"},{"id":16,"name":"Locomotive ID","value":"4042"},{"id":130,"name":"Impact","value":""},{"id":150,"name":"Time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575</v>
      </c>
      <c r="B156" s="7">
        <v>4041</v>
      </c>
      <c r="C156" s="24" t="s">
        <v>112</v>
      </c>
      <c r="D156" s="24" t="s">
        <v>651</v>
      </c>
      <c r="E156" s="15">
        <v>42620.059282407405</v>
      </c>
      <c r="F156" s="15">
        <v>42620.060324074075</v>
      </c>
      <c r="G156" s="7">
        <v>1</v>
      </c>
      <c r="H156" s="15" t="s">
        <v>172</v>
      </c>
      <c r="I156" s="15">
        <v>42620.089166666665</v>
      </c>
      <c r="J156" s="7">
        <v>0</v>
      </c>
      <c r="K156" s="132" t="str">
        <f t="shared" si="45"/>
        <v>4041/4042</v>
      </c>
      <c r="L156" s="24" t="str">
        <f>VLOOKUP(A156,'Trips&amp;Operators'!$C$1:$E$10000,3,FALSE)</f>
        <v>CHANDLER</v>
      </c>
      <c r="M156" s="6">
        <f t="shared" si="46"/>
        <v>2.884259259008104E-2</v>
      </c>
      <c r="N156" s="7">
        <f t="shared" si="42"/>
        <v>41.533333329716697</v>
      </c>
      <c r="O156" s="7"/>
      <c r="P156" s="7"/>
      <c r="Q156" s="25"/>
      <c r="R156" s="25"/>
      <c r="S156" s="37">
        <f t="shared" si="47"/>
        <v>1</v>
      </c>
      <c r="T156" s="52" t="str">
        <f t="shared" si="48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https://search-rtdc-monitor-bjffxe2xuh6vdkpspy63sjmuny.us-east-1.es.amazonaws.com/_plugin/kibana/#/discover/Steve-Slow-Train-Analysis-(2080s-and-2083s)?_g=(refreshInterval:(display:Off,section:0,value:0),time:(from:'2016-09-07 00:25:22-0600',mode:absolute,to:'2016-09-07 03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6" s="54" t="str">
        <f t="shared" si="50"/>
        <v>N</v>
      </c>
      <c r="X156" s="120">
        <f t="shared" si="58"/>
        <v>1</v>
      </c>
      <c r="Y156" s="69">
        <f t="shared" si="51"/>
        <v>23.295500000000001</v>
      </c>
      <c r="Z156" s="69">
        <f t="shared" si="52"/>
        <v>1.6E-2</v>
      </c>
      <c r="AA156" s="69">
        <f t="shared" si="53"/>
        <v>23.279500000000002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54"/>
        <v>0244-06</v>
      </c>
      <c r="AE156" s="99" t="str">
        <f t="shared" si="55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156" s="96" t="str">
        <f t="shared" si="56"/>
        <v>"C:\Program Files (x86)\AstroGrep\AstroGrep.exe" /spath="%USERPROFILE%\AppData\Local\Temp\OnboardLogs" /stypes="*4041*20160907*" /stext=" 08:.+((SYSTEM_STATE.+slice.+state.+changed )|(ment ac)|(system.+state.+changed )|(\|lc)|(penalty)|(\[timeout)|(PRM\|1\|D)|(kpr)|(kdp))" /e /r /s</v>
      </c>
      <c r="AG156" s="1" t="str">
        <f t="shared" si="57"/>
        <v>EC</v>
      </c>
      <c r="AH156" s="100" t="str">
        <f t="shared" si="43"/>
        <v>"%USERPROFILE%\Documents\GitHub\eaglep3\Utilities\RefineRTDCRunTimes.py" --tripid 244-06 --locoid 4041 --swversion DE.1.0.7.0 --startMP 204:232955 --initTime 2016-09-07T01:25:22 --startdatetime 2016-09-07T01:26:52 --delay 1 --endMP 204:160 --enddatetime 2016-09-07T02:08:24 --enforcementcount 0 &gt;&gt;C:\Users\stu\Documents\GitHub\eaglep3-reporting\EC\2016-09-06-refined-times.txt</v>
      </c>
      <c r="AI156" s="149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{"issue":{"subject":"","project_id":79,"tracker_id":40,"status_id":1,"priority_id":2,"assigned_to_id":23,"start_date":"2016-09-07","description":"","custom_fields":[{"id":1,"name":"Subdivision","value":"EC"},{"id":4,"name":"Milepost","value":"23.2795"},{"id":17,"name":"Train ID","value":"244-06"},{"id":16,"name":"Locomotive ID","value":"4041"},{"id":130,"name":"Impact","value":""},{"id":150,"name":"Time of Event (Mountain Time)","value":"02:08:24"},{"id":151,"name":"Denver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374</v>
      </c>
      <c r="B157" s="7">
        <v>4010</v>
      </c>
      <c r="C157" s="24" t="s">
        <v>112</v>
      </c>
      <c r="D157" s="24" t="s">
        <v>671</v>
      </c>
      <c r="E157" s="15">
        <v>42619.214004629626</v>
      </c>
      <c r="F157" s="15">
        <v>42619.215543981481</v>
      </c>
      <c r="G157" s="7">
        <v>1</v>
      </c>
      <c r="H157" s="15" t="s">
        <v>672</v>
      </c>
      <c r="I157" s="15">
        <v>42619.226273148146</v>
      </c>
      <c r="J157" s="7">
        <v>0</v>
      </c>
      <c r="K157" s="132" t="str">
        <f t="shared" si="45"/>
        <v>4009/4010</v>
      </c>
      <c r="L157" s="24" t="str">
        <f>VLOOKUP(A157,'Trips&amp;Operators'!$C$1:$E$10000,3,FALSE)</f>
        <v>STARKS</v>
      </c>
      <c r="M157" s="6">
        <f t="shared" si="46"/>
        <v>1.0729166664532386E-2</v>
      </c>
      <c r="N157" s="7">
        <f t="shared" si="42"/>
        <v>15.449999996926636</v>
      </c>
      <c r="O157" s="7"/>
      <c r="P157" s="7"/>
      <c r="Q157" s="25"/>
      <c r="R157" s="25"/>
      <c r="S157" s="37">
        <f t="shared" si="47"/>
        <v>1</v>
      </c>
      <c r="T157" s="52" t="str">
        <f t="shared" si="48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04:08:10-0600',mode:absolute,to:'2016-09-06 06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7" s="54" t="str">
        <f t="shared" si="50"/>
        <v>N</v>
      </c>
      <c r="X157" s="120">
        <f t="shared" si="58"/>
        <v>556</v>
      </c>
      <c r="Y157" s="69">
        <f t="shared" si="51"/>
        <v>5.8616999999999999</v>
      </c>
      <c r="Z157" s="69">
        <f t="shared" si="52"/>
        <v>7.0300000000000001E-2</v>
      </c>
      <c r="AA157" s="69">
        <f t="shared" si="53"/>
        <v>5.7914000000000003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54"/>
        <v>0800-06</v>
      </c>
      <c r="AE157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57" s="96" t="str">
        <f t="shared" si="56"/>
        <v>"C:\Program Files (x86)\AstroGrep\AstroGrep.exe" /spath="%USERPROFILE%\AppData\Local\Temp\OnboardLogs" /stypes="*4010*20160906*" /stext=" 11:.+((SYSTEM_STATE.+slice.+state.+changed )|(ment ac)|(system.+state.+changed )|(\|lc)|(penalty)|(\[timeout)|(PRM\|1\|D)|(kpr)|(kdp))" /e /r /s</v>
      </c>
      <c r="AG157" s="1" t="str">
        <f t="shared" si="57"/>
        <v>NW</v>
      </c>
      <c r="AH157" s="100" t="str">
        <f t="shared" si="43"/>
        <v>"%USERPROFILE%\Documents\GitHub\eaglep3\Utilities\RefineRTDCRunTimes.py" --tripid 800-06 --locoid 4010 --swversion DE.1.0.7.0 --startMP 300:58617 --initTime 2016-09-06T05:08:10 --startdatetime 2016-09-06T05:10:23 --delay 1 --endMP 204:703 --enddatetime 2016-09-06T05:25:50 --enforcementcount 0 &gt;&gt;C:\Users\stu\Documents\GitHub\eaglep3-reporting\EC\2016-09-06-refined-times.txt</v>
      </c>
      <c r="AI15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{"issue":{"subject":"","project_id":79,"tracker_id":40,"status_id":1,"priority_id":2,"assigned_to_id":23,"start_date":"2016-09-06","description":"","custom_fields":[{"id":1,"name":"Subdivision","value":"NW"},{"id":4,"name":"Milepost","value":"5.7914"},{"id":17,"name":"Train ID","value":"800-06"},{"id":16,"name":"Locomotive ID","value":"4010"},{"id":130,"name":"Impact","value":""},{"id":150,"name":"Time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379</v>
      </c>
      <c r="B158" s="7">
        <v>4009</v>
      </c>
      <c r="C158" s="24" t="s">
        <v>112</v>
      </c>
      <c r="D158" s="24" t="s">
        <v>288</v>
      </c>
      <c r="E158" s="15">
        <v>42619.241666666669</v>
      </c>
      <c r="F158" s="15">
        <v>42619.243958333333</v>
      </c>
      <c r="G158" s="7">
        <v>1</v>
      </c>
      <c r="H158" s="15" t="s">
        <v>673</v>
      </c>
      <c r="I158" s="15">
        <v>42619.253738425927</v>
      </c>
      <c r="J158" s="7">
        <v>0</v>
      </c>
      <c r="K158" s="132" t="str">
        <f t="shared" si="45"/>
        <v>4009/4010</v>
      </c>
      <c r="L158" s="24" t="str">
        <f>VLOOKUP(A158,'Trips&amp;Operators'!$C$1:$E$10000,3,FALSE)</f>
        <v>STARKS</v>
      </c>
      <c r="M158" s="6">
        <f t="shared" si="46"/>
        <v>9.7800925941555761E-3</v>
      </c>
      <c r="N158" s="7">
        <f t="shared" si="42"/>
        <v>14.08333333558403</v>
      </c>
      <c r="O158" s="7"/>
      <c r="P158" s="7"/>
      <c r="Q158" s="25"/>
      <c r="R158" s="25"/>
      <c r="S158" s="37">
        <f t="shared" si="47"/>
        <v>1</v>
      </c>
      <c r="T158" s="52" t="str">
        <f t="shared" si="48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04:48:00-0600',mode:absolute,to:'2016-09-06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50"/>
        <v>N</v>
      </c>
      <c r="X158" s="120">
        <f t="shared" si="58"/>
        <v>1</v>
      </c>
      <c r="Y158" s="69">
        <f t="shared" si="51"/>
        <v>9.7100000000000006E-2</v>
      </c>
      <c r="Z158" s="69">
        <f t="shared" si="52"/>
        <v>5.8926999999999996</v>
      </c>
      <c r="AA158" s="69">
        <f t="shared" si="53"/>
        <v>5.7955999999999994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54"/>
        <v>0801-06</v>
      </c>
      <c r="AE158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58" s="96" t="str">
        <f t="shared" si="56"/>
        <v>"C:\Program Files (x86)\AstroGrep\AstroGrep.exe" /spath="%USERPROFILE%\AppData\Local\Temp\OnboardLogs" /stypes="*4009*20160906*" /stext=" 12:.+((SYSTEM_STATE.+slice.+state.+changed )|(ment ac)|(system.+state.+changed )|(\|lc)|(penalty)|(\[timeout)|(PRM\|1\|D)|(kpr)|(kdp))" /e /r /s</v>
      </c>
      <c r="AG158" s="1" t="str">
        <f t="shared" si="57"/>
        <v>NW</v>
      </c>
      <c r="AH158" s="100" t="str">
        <f t="shared" si="43"/>
        <v>"%USERPROFILE%\Documents\GitHub\eaglep3\Utilities\RefineRTDCRunTimes.py" --tripid 801-06 --locoid 4009 --swversion DE.1.0.7.0 --startMP 204:971 --initTime 2016-09-06T05:48:00 --startdatetime 2016-09-06T05:51:18 --delay 1 --endMP 300:58927 --enddatetime 2016-09-06T06:05:23 --enforcementcount 0 &gt;&gt;C:\Users\stu\Documents\GitHub\eaglep3-reporting\EC\2016-09-06-refined-times.txt</v>
      </c>
      <c r="AI15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{"issue":{"subject":"","project_id":79,"tracker_id":40,"status_id":1,"priority_id":2,"assigned_to_id":23,"start_date":"2016-09-06","description":"","custom_fields":[{"id":1,"name":"Subdivision","value":"NW"},{"id":4,"name":"Milepost","value":"5.7956"},{"id":17,"name":"Train ID","value":"801-06"},{"id":16,"name":"Locomotive ID","value":"4009"},{"id":130,"name":"Impact","value":""},{"id":150,"name":"Time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383</v>
      </c>
      <c r="B159" s="7">
        <v>4010</v>
      </c>
      <c r="C159" s="24" t="s">
        <v>112</v>
      </c>
      <c r="D159" s="24" t="s">
        <v>674</v>
      </c>
      <c r="E159" s="15">
        <v>42619.254965277774</v>
      </c>
      <c r="F159" s="15">
        <v>42619.256261574075</v>
      </c>
      <c r="G159" s="7">
        <v>1</v>
      </c>
      <c r="H159" s="15" t="s">
        <v>675</v>
      </c>
      <c r="I159" s="15">
        <v>42619.268495370372</v>
      </c>
      <c r="J159" s="7">
        <v>0</v>
      </c>
      <c r="K159" s="132" t="str">
        <f t="shared" si="45"/>
        <v>4009/4010</v>
      </c>
      <c r="L159" s="24" t="str">
        <f>VLOOKUP(A159,'Trips&amp;Operators'!$C$1:$E$10000,3,FALSE)</f>
        <v>STARKS</v>
      </c>
      <c r="M159" s="6">
        <f t="shared" si="46"/>
        <v>1.2233796296641231E-2</v>
      </c>
      <c r="N159" s="7">
        <f t="shared" si="42"/>
        <v>17.616666667163372</v>
      </c>
      <c r="O159" s="7"/>
      <c r="P159" s="7"/>
      <c r="Q159" s="25"/>
      <c r="R159" s="25"/>
      <c r="S159" s="37">
        <f t="shared" si="47"/>
        <v>1</v>
      </c>
      <c r="T159" s="52" t="str">
        <f t="shared" si="48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05:07:09-0600',mode:absolute,to:'2016-09-06 07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50"/>
        <v>N</v>
      </c>
      <c r="X159" s="120">
        <f t="shared" si="58"/>
        <v>1</v>
      </c>
      <c r="Y159" s="69">
        <f t="shared" si="51"/>
        <v>5.8597999999999999</v>
      </c>
      <c r="Z159" s="69">
        <f t="shared" si="52"/>
        <v>6.9599999999999995E-2</v>
      </c>
      <c r="AA159" s="69">
        <f t="shared" si="53"/>
        <v>5.7901999999999996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54"/>
        <v>0802-06</v>
      </c>
      <c r="AE159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59" s="96" t="str">
        <f t="shared" si="56"/>
        <v>"C:\Program Files (x86)\AstroGrep\AstroGrep.exe" /spath="%USERPROFILE%\AppData\Local\Temp\OnboardLogs" /stypes="*4010*20160906*" /stext=" 12:.+((SYSTEM_STATE.+slice.+state.+changed )|(ment ac)|(system.+state.+changed )|(\|lc)|(penalty)|(\[timeout)|(PRM\|1\|D)|(kpr)|(kdp))" /e /r /s</v>
      </c>
      <c r="AG159" s="1" t="str">
        <f t="shared" si="57"/>
        <v>NW</v>
      </c>
      <c r="AH159" s="100" t="str">
        <f t="shared" si="43"/>
        <v>"%USERPROFILE%\Documents\GitHub\eaglep3\Utilities\RefineRTDCRunTimes.py" --tripid 802-06 --locoid 4010 --swversion DE.1.0.7.0 --startMP 300:58598 --initTime 2016-09-06T06:07:09 --startdatetime 2016-09-06T06:09:01 --delay 1 --endMP 204:696 --enddatetime 2016-09-06T06:26:38 --enforcementcount 0 &gt;&gt;C:\Users\stu\Documents\GitHub\eaglep3-reporting\EC\2016-09-06-refined-times.txt</v>
      </c>
      <c r="AI15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{"issue":{"subject":"","project_id":79,"tracker_id":40,"status_id":1,"priority_id":2,"assigned_to_id":23,"start_date":"2016-09-06","description":"","custom_fields":[{"id":1,"name":"Subdivision","value":"NW"},{"id":4,"name":"Milepost","value":"5.7902"},{"id":17,"name":"Train ID","value":"802-06"},{"id":16,"name":"Locomotive ID","value":"4010"},{"id":130,"name":"Impact","value":""},{"id":150,"name":"Time of Event (Mountain Time)","value":"06:26:38"},{"id":151,"name":"Denver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384</v>
      </c>
      <c r="B160" s="7">
        <v>4018</v>
      </c>
      <c r="C160" s="24" t="s">
        <v>112</v>
      </c>
      <c r="D160" s="24" t="s">
        <v>337</v>
      </c>
      <c r="E160" s="15">
        <v>42619.25980324074</v>
      </c>
      <c r="F160" s="15">
        <v>42619.264826388891</v>
      </c>
      <c r="G160" s="7">
        <v>1</v>
      </c>
      <c r="H160" s="15" t="s">
        <v>676</v>
      </c>
      <c r="I160" s="15">
        <v>42619.270462962966</v>
      </c>
      <c r="J160" s="7">
        <v>0</v>
      </c>
      <c r="K160" s="132" t="str">
        <f t="shared" si="45"/>
        <v>4017/4018</v>
      </c>
      <c r="L160" s="24" t="str">
        <f>VLOOKUP(A160,'Trips&amp;Operators'!$C$1:$E$10000,3,FALSE)</f>
        <v>LEVIN</v>
      </c>
      <c r="M160" s="6">
        <f t="shared" si="46"/>
        <v>5.6365740747423843E-3</v>
      </c>
      <c r="N160" s="7"/>
      <c r="O160" s="7"/>
      <c r="P160" s="7">
        <f>24*60*SUM($M160:$M160)</f>
        <v>8.1166666676290333</v>
      </c>
      <c r="Q160" s="25"/>
      <c r="R160" s="25" t="s">
        <v>359</v>
      </c>
      <c r="S160" s="37">
        <f t="shared" si="47"/>
        <v>1</v>
      </c>
      <c r="T160" s="52" t="str">
        <f t="shared" si="48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0" s="54" t="str">
        <f t="shared" si="50"/>
        <v>Y</v>
      </c>
      <c r="X160" s="120">
        <f t="shared" si="58"/>
        <v>1</v>
      </c>
      <c r="Y160" s="69">
        <f t="shared" si="51"/>
        <v>9.4600000000000004E-2</v>
      </c>
      <c r="Z160" s="69">
        <f t="shared" si="52"/>
        <v>3.1606000000000001</v>
      </c>
      <c r="AA160" s="69">
        <f t="shared" si="53"/>
        <v>3.0660000000000003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54"/>
        <v>0803-06</v>
      </c>
      <c r="AE16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0" s="96" t="str">
        <f t="shared" si="56"/>
        <v>"C:\Program Files (x86)\AstroGrep\AstroGrep.exe" /spath="%USERPROFILE%\AppData\Local\Temp\OnboardLogs" /stypes="*4018*20160906*" /stext=" 12:.+((SYSTEM_STATE.+slice.+state.+changed )|(ment ac)|(system.+state.+changed )|(\|lc)|(penalty)|(\[timeout)|(PRM\|1\|D)|(kpr)|(kdp))" /e /r /s</v>
      </c>
      <c r="AG160" s="1" t="str">
        <f t="shared" si="57"/>
        <v>NW</v>
      </c>
      <c r="AH160" s="100" t="str">
        <f t="shared" si="43"/>
        <v>"%USERPROFILE%\Documents\GitHub\eaglep3\Utilities\RefineRTDCRunTimes.py" --tripid 803-06 --locoid 4018 --swversion DE.1.0.7.0 --startMP 204:946 --initTime 2016-09-06T06:14:07 --startdatetime 2016-09-06T06:21:21 --delay 1 --endMP 300:31606 --enddatetime 2016-09-06T06:29:28 --enforcementcount 0 &gt;&gt;C:\Users\stu\Documents\GitHub\eaglep3-reporting\EC\2016-09-06-refined-times.txt</v>
      </c>
      <c r="AI160" s="149" t="str">
        <f t="shared" si="44"/>
        <v>echo {"issue":{"subject":"Wi-MAX outage","project_id":79,"tracker_id":40,"status_id":1,"priority_id":2,"assigned_to_id":23,"start_date":"2016-09-06","description":"","custom_fields":[{"id":1,"name":"Subdivision","value":"NW"},{"id":4,"name":"Milepost","value":"3.066"},{"id":17,"name":"Train ID","value":"803-06"},{"id":16,"name":"Locomotive ID","value":"4018"},{"id":130,"name":"Impact","value":""},{"id":150,"name":"Time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730</v>
      </c>
      <c r="B161" s="7">
        <v>4017</v>
      </c>
      <c r="C161" s="24" t="s">
        <v>112</v>
      </c>
      <c r="D161" s="24" t="s">
        <v>337</v>
      </c>
      <c r="E161" s="15">
        <v>42619.25980324074</v>
      </c>
      <c r="F161" s="15">
        <v>42619.264826388891</v>
      </c>
      <c r="G161" s="7">
        <v>1</v>
      </c>
      <c r="H161" s="15" t="s">
        <v>676</v>
      </c>
      <c r="I161" s="15">
        <v>42619.270462962966</v>
      </c>
      <c r="J161" s="7">
        <v>0</v>
      </c>
      <c r="K161" s="132" t="str">
        <f t="shared" si="45"/>
        <v>4017/4018</v>
      </c>
      <c r="L161" s="24" t="e">
        <f>VLOOKUP(A161,'Trips&amp;Operators'!$C$1:$E$10000,3,FALSE)</f>
        <v>#N/A</v>
      </c>
      <c r="M161" s="6">
        <f t="shared" si="46"/>
        <v>5.6365740747423843E-3</v>
      </c>
      <c r="N161" s="7"/>
      <c r="O161" s="7"/>
      <c r="P161" s="7">
        <v>1</v>
      </c>
      <c r="Q161" s="25"/>
      <c r="R161" s="25" t="s">
        <v>731</v>
      </c>
      <c r="S161" s="37">
        <f t="shared" si="47"/>
        <v>0</v>
      </c>
      <c r="T161" s="52" t="str">
        <f t="shared" si="48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1" s="54" t="str">
        <f t="shared" si="50"/>
        <v>Y</v>
      </c>
      <c r="X161" s="120">
        <f t="shared" si="58"/>
        <v>1</v>
      </c>
      <c r="Y161" s="69">
        <f t="shared" si="51"/>
        <v>9.4600000000000004E-2</v>
      </c>
      <c r="Z161" s="69">
        <f t="shared" si="52"/>
        <v>3.1606000000000001</v>
      </c>
      <c r="AA161" s="69">
        <f t="shared" si="53"/>
        <v>3.0660000000000003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54"/>
        <v>0804-06</v>
      </c>
      <c r="AE16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1" s="96" t="str">
        <f t="shared" si="56"/>
        <v>"C:\Program Files (x86)\AstroGrep\AstroGrep.exe" /spath="%USERPROFILE%\AppData\Local\Temp\OnboardLogs" /stypes="*4017*20160906*" /stext=" 12:.+((SYSTEM_STATE.+slice.+state.+changed )|(ment ac)|(system.+state.+changed )|(\|lc)|(penalty)|(\[timeout)|(PRM\|1\|D)|(kpr)|(kdp))" /e /r /s</v>
      </c>
      <c r="AG161" s="1" t="str">
        <f t="shared" si="57"/>
        <v>NW</v>
      </c>
      <c r="AH161" s="100" t="str">
        <f t="shared" ref="AH161" si="59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804-06 --locoid 4017 --swversion DE.1.0.7.0 --startMP 204:946 --initTime 2016-09-06T06:14:07 --startdatetime 2016-09-06T06:21:21 --delay 1 --endMP 300:31606 --enddatetime 2016-09-06T06:29:28 --enforcementcount 0 &gt;&gt;C:\Users\stu\Documents\GitHub\eaglep3-reporting\EC\2016-09-06-refined-times.txt</v>
      </c>
      <c r="AI161" s="149" t="str">
        <f t="shared" ref="AI161" si="60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AA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init","project_id":79,"tracker_id":40,"status_id":1,"priority_id":2,"assigned_to_id":23,"start_date":"2016-09-06","description":"","custom_fields":[{"id":1,"name":"Subdivision","value":"NW"},{"id":4,"name":"Milepost","value":"3.066"},{"id":17,"name":"Train ID","value":"804-06"},{"id":16,"name":"Locomotive ID","value":"4017"},{"id":130,"name":"Impact","value":""},{"id":150,"name":"Time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390</v>
      </c>
      <c r="B162" s="7">
        <v>4009</v>
      </c>
      <c r="C162" s="24" t="s">
        <v>112</v>
      </c>
      <c r="D162" s="24" t="s">
        <v>677</v>
      </c>
      <c r="E162" s="15">
        <v>42619.282314814816</v>
      </c>
      <c r="F162" s="15">
        <v>42619.285624999997</v>
      </c>
      <c r="G162" s="7">
        <v>1</v>
      </c>
      <c r="H162" s="15" t="s">
        <v>678</v>
      </c>
      <c r="I162" s="15">
        <v>42619.29583333333</v>
      </c>
      <c r="J162" s="7">
        <v>0</v>
      </c>
      <c r="K162" s="132" t="str">
        <f t="shared" si="45"/>
        <v>4009/4010</v>
      </c>
      <c r="L162" s="24" t="str">
        <f>VLOOKUP(A162,'Trips&amp;Operators'!$C$1:$E$10000,3,FALSE)</f>
        <v>STARKS</v>
      </c>
      <c r="M162" s="6">
        <f t="shared" si="46"/>
        <v>1.0208333333139308E-2</v>
      </c>
      <c r="N162" s="7">
        <f t="shared" ref="N162:N193" si="61">24*60*SUM($M162:$M162)</f>
        <v>14.699999999720603</v>
      </c>
      <c r="O162" s="7"/>
      <c r="P162" s="7"/>
      <c r="Q162" s="25"/>
      <c r="R162" s="25"/>
      <c r="S162" s="37">
        <f t="shared" si="47"/>
        <v>1</v>
      </c>
      <c r="T162" s="52" t="str">
        <f t="shared" si="48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05:46:32-0600',mode:absolute,to:'2016-09-06 08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2" s="54" t="str">
        <f t="shared" si="50"/>
        <v>N</v>
      </c>
      <c r="X162" s="120">
        <f t="shared" si="58"/>
        <v>1</v>
      </c>
      <c r="Y162" s="69">
        <f t="shared" si="51"/>
        <v>9.8299999999999998E-2</v>
      </c>
      <c r="Z162" s="69">
        <f t="shared" si="52"/>
        <v>5.8940999999999999</v>
      </c>
      <c r="AA162" s="69">
        <f t="shared" si="53"/>
        <v>5.7957999999999998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54"/>
        <v>0805-06</v>
      </c>
      <c r="AE162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62" s="96" t="str">
        <f t="shared" si="56"/>
        <v>"C:\Program Files (x86)\AstroGrep\AstroGrep.exe" /spath="%USERPROFILE%\AppData\Local\Temp\OnboardLogs" /stypes="*4009*20160906*" /stext=" 13:.+((SYSTEM_STATE.+slice.+state.+changed )|(ment ac)|(system.+state.+changed )|(\|lc)|(penalty)|(\[timeout)|(PRM\|1\|D)|(kpr)|(kdp))" /e /r /s</v>
      </c>
      <c r="AG162" s="1" t="str">
        <f t="shared" si="57"/>
        <v>NW</v>
      </c>
      <c r="AH162" s="100" t="str">
        <f t="shared" si="43"/>
        <v>"%USERPROFILE%\Documents\GitHub\eaglep3\Utilities\RefineRTDCRunTimes.py" --tripid 805-06 --locoid 4009 --swversion DE.1.0.7.0 --startMP 204:983 --initTime 2016-09-06T06:46:32 --startdatetime 2016-09-06T06:51:18 --delay 1 --endMP 300:58941 --enddatetime 2016-09-06T07:06:00 --enforcementcount 0 &gt;&gt;C:\Users\stu\Documents\GitHub\eaglep3-reporting\EC\2016-09-06-refined-times.txt</v>
      </c>
      <c r="AI16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{"issue":{"subject":"","project_id":79,"tracker_id":40,"status_id":1,"priority_id":2,"assigned_to_id":23,"start_date":"2016-09-06","description":"","custom_fields":[{"id":1,"name":"Subdivision","value":"NW"},{"id":4,"name":"Milepost","value":"5.7958"},{"id":17,"name":"Train ID","value":"805-06"},{"id":16,"name":"Locomotive ID","value":"4009"},{"id":130,"name":"Impact","value":""},{"id":150,"name":"Time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394</v>
      </c>
      <c r="B163" s="7">
        <v>4010</v>
      </c>
      <c r="C163" s="24" t="s">
        <v>112</v>
      </c>
      <c r="D163" s="24" t="s">
        <v>287</v>
      </c>
      <c r="E163" s="15">
        <v>42619.2968287037</v>
      </c>
      <c r="F163" s="15">
        <v>42619.297974537039</v>
      </c>
      <c r="G163" s="7">
        <v>1</v>
      </c>
      <c r="H163" s="15" t="s">
        <v>679</v>
      </c>
      <c r="I163" s="15">
        <v>42619.30978009259</v>
      </c>
      <c r="J163" s="7">
        <v>0</v>
      </c>
      <c r="K163" s="132" t="str">
        <f t="shared" si="45"/>
        <v>4009/4010</v>
      </c>
      <c r="L163" s="24" t="str">
        <f>VLOOKUP(A163,'Trips&amp;Operators'!$C$1:$E$10000,3,FALSE)</f>
        <v>STARKS</v>
      </c>
      <c r="M163" s="6">
        <f t="shared" si="46"/>
        <v>1.1805555550381541E-2</v>
      </c>
      <c r="N163" s="7">
        <f t="shared" si="61"/>
        <v>16.999999992549419</v>
      </c>
      <c r="O163" s="7"/>
      <c r="P163" s="7"/>
      <c r="Q163" s="25"/>
      <c r="R163" s="25"/>
      <c r="S163" s="37">
        <f t="shared" si="47"/>
        <v>1</v>
      </c>
      <c r="T163" s="52" t="str">
        <f t="shared" si="48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06:07:26-0600',mode:absolute,to:'2016-09-06 08:26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3" s="54" t="str">
        <f t="shared" si="50"/>
        <v>N</v>
      </c>
      <c r="X163" s="120">
        <f t="shared" si="58"/>
        <v>1</v>
      </c>
      <c r="Y163" s="69">
        <f t="shared" si="51"/>
        <v>5.8613</v>
      </c>
      <c r="Z163" s="69">
        <f t="shared" si="52"/>
        <v>7.1499999999999994E-2</v>
      </c>
      <c r="AA163" s="69">
        <f t="shared" si="53"/>
        <v>5.7897999999999996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54"/>
        <v>0806-06</v>
      </c>
      <c r="AE163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63" s="96" t="str">
        <f t="shared" si="56"/>
        <v>"C:\Program Files (x86)\AstroGrep\AstroGrep.exe" /spath="%USERPROFILE%\AppData\Local\Temp\OnboardLogs" /stypes="*4010*20160906*" /stext=" 13:.+((SYSTEM_STATE.+slice.+state.+changed )|(ment ac)|(system.+state.+changed )|(\|lc)|(penalty)|(\[timeout)|(PRM\|1\|D)|(kpr)|(kdp))" /e /r /s</v>
      </c>
      <c r="AG163" s="1" t="str">
        <f t="shared" si="57"/>
        <v>NW</v>
      </c>
      <c r="AH163" s="100" t="str">
        <f t="shared" si="43"/>
        <v>"%USERPROFILE%\Documents\GitHub\eaglep3\Utilities\RefineRTDCRunTimes.py" --tripid 806-06 --locoid 4010 --swversion DE.1.0.7.0 --startMP 300:58613 --initTime 2016-09-06T07:07:26 --startdatetime 2016-09-06T07:09:05 --delay 1 --endMP 204:715 --enddatetime 2016-09-06T07:26:05 --enforcementcount 0 &gt;&gt;C:\Users\stu\Documents\GitHub\eaglep3-reporting\EC\2016-09-06-refined-times.txt</v>
      </c>
      <c r="AI163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{"issue":{"subject":"","project_id":79,"tracker_id":40,"status_id":1,"priority_id":2,"assigned_to_id":23,"start_date":"2016-09-06","description":"","custom_fields":[{"id":1,"name":"Subdivision","value":"NW"},{"id":4,"name":"Milepost","value":"5.7898"},{"id":17,"name":"Train ID","value":"806-06"},{"id":16,"name":"Locomotive ID","value":"4010"},{"id":130,"name":"Impact","value":""},{"id":150,"name":"Time of Event (Mountain Time)","value":"07:26:05"},{"id":151,"name":"Denver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396</v>
      </c>
      <c r="B164" s="7">
        <v>4018</v>
      </c>
      <c r="C164" s="24" t="s">
        <v>112</v>
      </c>
      <c r="D164" s="24" t="s">
        <v>680</v>
      </c>
      <c r="E164" s="15">
        <v>42619.300682870373</v>
      </c>
      <c r="F164" s="15">
        <v>42619.304571759261</v>
      </c>
      <c r="G164" s="7">
        <v>1</v>
      </c>
      <c r="H164" s="15" t="s">
        <v>681</v>
      </c>
      <c r="I164" s="15">
        <v>42619.315810185188</v>
      </c>
      <c r="J164" s="7">
        <v>0</v>
      </c>
      <c r="K164" s="132" t="str">
        <f t="shared" si="45"/>
        <v>4017/4018</v>
      </c>
      <c r="L164" s="24" t="str">
        <f>VLOOKUP(A164,'Trips&amp;Operators'!$C$1:$E$10000,3,FALSE)</f>
        <v>LEVIN</v>
      </c>
      <c r="M164" s="6">
        <f t="shared" si="46"/>
        <v>1.1238425926421769E-2</v>
      </c>
      <c r="N164" s="7">
        <f t="shared" si="61"/>
        <v>16.183333334047347</v>
      </c>
      <c r="O164" s="7"/>
      <c r="P164" s="7"/>
      <c r="Q164" s="25"/>
      <c r="R164" s="25"/>
      <c r="S164" s="37">
        <f t="shared" si="47"/>
        <v>1</v>
      </c>
      <c r="T164" s="52" t="str">
        <f t="shared" si="48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06:12:59-0600',mode:absolute,to:'2016-09-06 08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4" s="54" t="str">
        <f t="shared" si="50"/>
        <v>N</v>
      </c>
      <c r="X164" s="120">
        <f t="shared" si="58"/>
        <v>1</v>
      </c>
      <c r="Y164" s="69">
        <f t="shared" si="51"/>
        <v>0.10340000000000001</v>
      </c>
      <c r="Z164" s="69">
        <f t="shared" si="52"/>
        <v>5.8901000000000003</v>
      </c>
      <c r="AA164" s="69">
        <f t="shared" si="53"/>
        <v>5.7867000000000006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54"/>
        <v>0807-06</v>
      </c>
      <c r="AE16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4" s="96" t="str">
        <f t="shared" si="56"/>
        <v>"C:\Program Files (x86)\AstroGrep\AstroGrep.exe" /spath="%USERPROFILE%\AppData\Local\Temp\OnboardLogs" /stypes="*4018*20160906*" /stext=" 13:.+((SYSTEM_STATE.+slice.+state.+changed )|(ment ac)|(system.+state.+changed )|(\|lc)|(penalty)|(\[timeout)|(PRM\|1\|D)|(kpr)|(kdp))" /e /r /s</v>
      </c>
      <c r="AG164" s="1" t="str">
        <f t="shared" si="57"/>
        <v>NW</v>
      </c>
      <c r="AH164" s="100" t="str">
        <f t="shared" si="43"/>
        <v>"%USERPROFILE%\Documents\GitHub\eaglep3\Utilities\RefineRTDCRunTimes.py" --tripid 807-06 --locoid 4018 --swversion DE.1.0.7.0 --startMP 204:1034 --initTime 2016-09-06T07:12:59 --startdatetime 2016-09-06T07:18:35 --delay 1 --endMP 300:58901 --enddatetime 2016-09-06T07:34:46 --enforcementcount 0 &gt;&gt;C:\Users\stu\Documents\GitHub\eaglep3-reporting\EC\2016-09-06-refined-times.txt</v>
      </c>
      <c r="AI164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{"issue":{"subject":"","project_id":79,"tracker_id":40,"status_id":1,"priority_id":2,"assigned_to_id":23,"start_date":"2016-09-06","description":"","custom_fields":[{"id":1,"name":"Subdivision","value":"NW"},{"id":4,"name":"Milepost","value":"5.7867"},{"id":17,"name":"Train ID","value":"807-06"},{"id":16,"name":"Locomotive ID","value":"4018"},{"id":130,"name":"Impact","value":""},{"id":150,"name":"Time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400</v>
      </c>
      <c r="B165" s="7">
        <v>4017</v>
      </c>
      <c r="C165" s="24" t="s">
        <v>112</v>
      </c>
      <c r="D165" s="24" t="s">
        <v>682</v>
      </c>
      <c r="E165" s="15">
        <v>42619.317002314812</v>
      </c>
      <c r="F165" s="15">
        <v>42619.318576388891</v>
      </c>
      <c r="G165" s="7">
        <v>1</v>
      </c>
      <c r="H165" s="15" t="s">
        <v>683</v>
      </c>
      <c r="I165" s="15">
        <v>42619.331516203703</v>
      </c>
      <c r="J165" s="7">
        <v>0</v>
      </c>
      <c r="K165" s="132" t="str">
        <f t="shared" si="45"/>
        <v>4017/4018</v>
      </c>
      <c r="L165" s="24" t="str">
        <f>VLOOKUP(A165,'Trips&amp;Operators'!$C$1:$E$10000,3,FALSE)</f>
        <v>LEVIN</v>
      </c>
      <c r="M165" s="6">
        <f t="shared" si="46"/>
        <v>1.2939814812853001E-2</v>
      </c>
      <c r="N165" s="7">
        <f t="shared" si="61"/>
        <v>18.633333330508322</v>
      </c>
      <c r="O165" s="7"/>
      <c r="P165" s="7"/>
      <c r="Q165" s="25"/>
      <c r="R165" s="25"/>
      <c r="S165" s="37">
        <f t="shared" si="47"/>
        <v>1</v>
      </c>
      <c r="T165" s="52" t="str">
        <f t="shared" si="48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06:36:29-0600',mode:absolute,to:'2016-09-06 08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5" s="54" t="str">
        <f t="shared" si="50"/>
        <v>N</v>
      </c>
      <c r="X165" s="120">
        <f t="shared" si="58"/>
        <v>1</v>
      </c>
      <c r="Y165" s="69">
        <f t="shared" si="51"/>
        <v>5.8578999999999999</v>
      </c>
      <c r="Z165" s="69">
        <f t="shared" si="52"/>
        <v>7.1199999999999999E-2</v>
      </c>
      <c r="AA165" s="69">
        <f t="shared" si="53"/>
        <v>5.7866999999999997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54"/>
        <v>0808-06</v>
      </c>
      <c r="AE16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5" s="96" t="str">
        <f t="shared" si="56"/>
        <v>"C:\Program Files (x86)\AstroGrep\AstroGrep.exe" /spath="%USERPROFILE%\AppData\Local\Temp\OnboardLogs" /stypes="*4017*20160906*" /stext=" 13:.+((SYSTEM_STATE.+slice.+state.+changed )|(ment ac)|(system.+state.+changed )|(\|lc)|(penalty)|(\[timeout)|(PRM\|1\|D)|(kpr)|(kdp))" /e /r /s</v>
      </c>
      <c r="AG165" s="1" t="str">
        <f t="shared" si="57"/>
        <v>NW</v>
      </c>
      <c r="AH165" s="100" t="str">
        <f t="shared" si="43"/>
        <v>"%USERPROFILE%\Documents\GitHub\eaglep3\Utilities\RefineRTDCRunTimes.py" --tripid 808-06 --locoid 4017 --swversion DE.1.0.7.0 --startMP 300:58579 --initTime 2016-09-06T07:36:29 --startdatetime 2016-09-06T07:38:45 --delay 1 --endMP 204:712 --enddatetime 2016-09-06T07:57:23 --enforcementcount 0 &gt;&gt;C:\Users\stu\Documents\GitHub\eaglep3-reporting\EC\2016-09-06-refined-times.txt</v>
      </c>
      <c r="AI165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{"issue":{"subject":"","project_id":79,"tracker_id":40,"status_id":1,"priority_id":2,"assigned_to_id":23,"start_date":"2016-09-06","description":"","custom_fields":[{"id":1,"name":"Subdivision","value":"NW"},{"id":4,"name":"Milepost","value":"5.7867"},{"id":17,"name":"Train ID","value":"808-06"},{"id":16,"name":"Locomotive ID","value":"4017"},{"id":130,"name":"Impact","value":""},{"id":150,"name":"Time of Event (Mountain Time)","value":"07:57:23"},{"id":151,"name":"Denver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403</v>
      </c>
      <c r="B166" s="7">
        <v>4009</v>
      </c>
      <c r="C166" s="24" t="s">
        <v>112</v>
      </c>
      <c r="D166" s="24" t="s">
        <v>684</v>
      </c>
      <c r="E166" s="15">
        <v>42619.324479166666</v>
      </c>
      <c r="F166" s="15">
        <v>42619.327326388891</v>
      </c>
      <c r="G166" s="7">
        <v>1</v>
      </c>
      <c r="H166" s="15" t="s">
        <v>259</v>
      </c>
      <c r="I166" s="15">
        <v>42619.336539351854</v>
      </c>
      <c r="J166" s="7">
        <v>0</v>
      </c>
      <c r="K166" s="132" t="str">
        <f t="shared" si="45"/>
        <v>4009/4010</v>
      </c>
      <c r="L166" s="24" t="str">
        <f>VLOOKUP(A166,'Trips&amp;Operators'!$C$1:$E$10000,3,FALSE)</f>
        <v>STARKS</v>
      </c>
      <c r="M166" s="6">
        <f t="shared" si="46"/>
        <v>9.2129629629198462E-3</v>
      </c>
      <c r="N166" s="7">
        <f t="shared" si="61"/>
        <v>13.266666666604578</v>
      </c>
      <c r="O166" s="7"/>
      <c r="P166" s="7"/>
      <c r="Q166" s="25"/>
      <c r="R166" s="25"/>
      <c r="S166" s="37">
        <f t="shared" si="47"/>
        <v>1</v>
      </c>
      <c r="T166" s="52" t="str">
        <f t="shared" si="48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06:47:15-0600',mode:absolute,to:'2016-09-06 09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6" s="54" t="str">
        <f t="shared" si="50"/>
        <v>N</v>
      </c>
      <c r="X166" s="120">
        <f t="shared" si="58"/>
        <v>1</v>
      </c>
      <c r="Y166" s="69">
        <f t="shared" si="51"/>
        <v>0.10059999999999999</v>
      </c>
      <c r="Z166" s="69">
        <f t="shared" si="52"/>
        <v>5.8929</v>
      </c>
      <c r="AA166" s="69">
        <f t="shared" si="53"/>
        <v>5.7923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54"/>
        <v>0809-06</v>
      </c>
      <c r="AE166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66" s="96" t="str">
        <f t="shared" si="56"/>
        <v>"C:\Program Files (x86)\AstroGrep\AstroGrep.exe" /spath="%USERPROFILE%\AppData\Local\Temp\OnboardLogs" /stypes="*4009*20160906*" /stext=" 14:.+((SYSTEM_STATE.+slice.+state.+changed )|(ment ac)|(system.+state.+changed )|(\|lc)|(penalty)|(\[timeout)|(PRM\|1\|D)|(kpr)|(kdp))" /e /r /s</v>
      </c>
      <c r="AG166" s="1" t="str">
        <f t="shared" si="57"/>
        <v>NW</v>
      </c>
      <c r="AH166" s="100" t="str">
        <f t="shared" si="43"/>
        <v>"%USERPROFILE%\Documents\GitHub\eaglep3\Utilities\RefineRTDCRunTimes.py" --tripid 809-06 --locoid 4009 --swversion DE.1.0.7.0 --startMP 204:1006 --initTime 2016-09-06T07:47:15 --startdatetime 2016-09-06T07:51:21 --delay 1 --endMP 300:58929 --enddatetime 2016-09-06T08:04:37 --enforcementcount 0 &gt;&gt;C:\Users\stu\Documents\GitHub\eaglep3-reporting\EC\2016-09-06-refined-times.txt</v>
      </c>
      <c r="AI166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{"issue":{"subject":"","project_id":79,"tracker_id":40,"status_id":1,"priority_id":2,"assigned_to_id":23,"start_date":"2016-09-06","description":"","custom_fields":[{"id":1,"name":"Subdivision","value":"NW"},{"id":4,"name":"Milepost","value":"5.7923"},{"id":17,"name":"Train ID","value":"809-06"},{"id":16,"name":"Locomotive ID","value":"4009"},{"id":130,"name":"Impact","value":""},{"id":150,"name":"Time of Event (Mountain Time)","value":"08:04:37"},{"id":151,"name":"Denver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405</v>
      </c>
      <c r="B167" s="7">
        <v>4010</v>
      </c>
      <c r="C167" s="24" t="s">
        <v>112</v>
      </c>
      <c r="D167" s="24" t="s">
        <v>286</v>
      </c>
      <c r="E167" s="15">
        <v>42619.337488425925</v>
      </c>
      <c r="F167" s="15">
        <v>42619.339490740742</v>
      </c>
      <c r="G167" s="7">
        <v>1</v>
      </c>
      <c r="H167" s="15" t="s">
        <v>685</v>
      </c>
      <c r="I167" s="15">
        <v>42619.351840277777</v>
      </c>
      <c r="J167" s="7">
        <v>0</v>
      </c>
      <c r="K167" s="132" t="str">
        <f t="shared" si="45"/>
        <v>4009/4010</v>
      </c>
      <c r="L167" s="24" t="str">
        <f>VLOOKUP(A167,'Trips&amp;Operators'!$C$1:$E$10000,3,FALSE)</f>
        <v>STARKS</v>
      </c>
      <c r="M167" s="6">
        <f t="shared" si="46"/>
        <v>1.2349537035333924E-2</v>
      </c>
      <c r="N167" s="7">
        <f t="shared" si="61"/>
        <v>17.783333330880851</v>
      </c>
      <c r="O167" s="7"/>
      <c r="P167" s="7"/>
      <c r="Q167" s="25"/>
      <c r="R167" s="25"/>
      <c r="S167" s="37">
        <f t="shared" si="47"/>
        <v>1</v>
      </c>
      <c r="T167" s="52" t="str">
        <f t="shared" si="48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07:05:59-0600',mode:absolute,to:'2016-09-06 09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7" s="54" t="str">
        <f t="shared" si="50"/>
        <v>N</v>
      </c>
      <c r="X167" s="120">
        <f t="shared" si="58"/>
        <v>1</v>
      </c>
      <c r="Y167" s="69">
        <f t="shared" si="51"/>
        <v>5.8609</v>
      </c>
      <c r="Z167" s="69">
        <f t="shared" si="52"/>
        <v>7.0599999999999996E-2</v>
      </c>
      <c r="AA167" s="69">
        <f t="shared" si="53"/>
        <v>5.7903000000000002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54"/>
        <v>0810-06</v>
      </c>
      <c r="AE167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67" s="96" t="str">
        <f t="shared" si="56"/>
        <v>"C:\Program Files (x86)\AstroGrep\AstroGrep.exe" /spath="%USERPROFILE%\AppData\Local\Temp\OnboardLogs" /stypes="*4010*20160906*" /stext=" 14:.+((SYSTEM_STATE.+slice.+state.+changed )|(ment ac)|(system.+state.+changed )|(\|lc)|(penalty)|(\[timeout)|(PRM\|1\|D)|(kpr)|(kdp))" /e /r /s</v>
      </c>
      <c r="AG167" s="1" t="str">
        <f t="shared" si="57"/>
        <v>NW</v>
      </c>
      <c r="AH167" s="100" t="str">
        <f t="shared" si="43"/>
        <v>"%USERPROFILE%\Documents\GitHub\eaglep3\Utilities\RefineRTDCRunTimes.py" --tripid 810-06 --locoid 4010 --swversion DE.1.0.7.0 --startMP 300:58609 --initTime 2016-09-06T08:05:59 --startdatetime 2016-09-06T08:08:52 --delay 1 --endMP 204:706 --enddatetime 2016-09-06T08:26:39 --enforcementcount 0 &gt;&gt;C:\Users\stu\Documents\GitHub\eaglep3-reporting\EC\2016-09-06-refined-times.txt</v>
      </c>
      <c r="AI16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{"issue":{"subject":"","project_id":79,"tracker_id":40,"status_id":1,"priority_id":2,"assigned_to_id":23,"start_date":"2016-09-06","description":"","custom_fields":[{"id":1,"name":"Subdivision","value":"NW"},{"id":4,"name":"Milepost","value":"5.7903"},{"id":17,"name":"Train ID","value":"810-06"},{"id":16,"name":"Locomotive ID","value":"4010"},{"id":130,"name":"Impact","value":""},{"id":150,"name":"Time of Event (Mountain Time)","value":"08:26:39"},{"id":151,"name":"Denver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408</v>
      </c>
      <c r="B168" s="7">
        <v>4018</v>
      </c>
      <c r="C168" s="24" t="s">
        <v>112</v>
      </c>
      <c r="D168" s="24" t="s">
        <v>686</v>
      </c>
      <c r="E168" s="15">
        <v>42619.341354166667</v>
      </c>
      <c r="F168" s="15">
        <v>42619.34820601852</v>
      </c>
      <c r="G168" s="7">
        <v>1</v>
      </c>
      <c r="H168" s="15" t="s">
        <v>687</v>
      </c>
      <c r="I168" s="15">
        <v>42619.357581018521</v>
      </c>
      <c r="J168" s="7">
        <v>0</v>
      </c>
      <c r="K168" s="132" t="str">
        <f t="shared" si="45"/>
        <v>4017/4018</v>
      </c>
      <c r="L168" s="24" t="str">
        <f>VLOOKUP(A168,'Trips&amp;Operators'!$C$1:$E$10000,3,FALSE)</f>
        <v>LEVIN</v>
      </c>
      <c r="M168" s="6">
        <f t="shared" si="46"/>
        <v>9.3750000014551915E-3</v>
      </c>
      <c r="N168" s="7">
        <f t="shared" si="61"/>
        <v>13.500000002095476</v>
      </c>
      <c r="O168" s="7"/>
      <c r="P168" s="7"/>
      <c r="Q168" s="25"/>
      <c r="R168" s="25"/>
      <c r="S168" s="37">
        <f t="shared" si="47"/>
        <v>1</v>
      </c>
      <c r="T168" s="52" t="str">
        <f t="shared" si="48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07:11:33-0600',mode:absolute,to:'2016-09-06 09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8" s="54" t="str">
        <f t="shared" si="50"/>
        <v>N</v>
      </c>
      <c r="X168" s="120">
        <f t="shared" si="58"/>
        <v>1</v>
      </c>
      <c r="Y168" s="69">
        <f t="shared" si="51"/>
        <v>9.9900000000000003E-2</v>
      </c>
      <c r="Z168" s="69">
        <f t="shared" si="52"/>
        <v>5.8906999999999998</v>
      </c>
      <c r="AA168" s="69">
        <f t="shared" si="53"/>
        <v>5.7907999999999999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54"/>
        <v>0811-06</v>
      </c>
      <c r="AE16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8" s="96" t="str">
        <f t="shared" si="56"/>
        <v>"C:\Program Files (x86)\AstroGrep\AstroGrep.exe" /spath="%USERPROFILE%\AppData\Local\Temp\OnboardLogs" /stypes="*4018*20160906*" /stext=" 14:.+((SYSTEM_STATE.+slice.+state.+changed )|(ment ac)|(system.+state.+changed )|(\|lc)|(penalty)|(\[timeout)|(PRM\|1\|D)|(kpr)|(kdp))" /e /r /s</v>
      </c>
      <c r="AG168" s="1" t="str">
        <f t="shared" si="57"/>
        <v>NW</v>
      </c>
      <c r="AH168" s="100" t="str">
        <f t="shared" si="43"/>
        <v>"%USERPROFILE%\Documents\GitHub\eaglep3\Utilities\RefineRTDCRunTimes.py" --tripid 811-06 --locoid 4018 --swversion DE.1.0.7.0 --startMP 204:999 --initTime 2016-09-06T08:11:33 --startdatetime 2016-09-06T08:21:25 --delay 1 --endMP 300:58907 --enddatetime 2016-09-06T08:34:55 --enforcementcount 0 &gt;&gt;C:\Users\stu\Documents\GitHub\eaglep3-reporting\EC\2016-09-06-refined-times.txt</v>
      </c>
      <c r="AI16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{"issue":{"subject":"","project_id":79,"tracker_id":40,"status_id":1,"priority_id":2,"assigned_to_id":23,"start_date":"2016-09-06","description":"","custom_fields":[{"id":1,"name":"Subdivision","value":"NW"},{"id":4,"name":"Milepost","value":"5.7908"},{"id":17,"name":"Train ID","value":"811-06"},{"id":16,"name":"Locomotive ID","value":"4018"},{"id":130,"name":"Impact","value":""},{"id":150,"name":"Time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411</v>
      </c>
      <c r="B169" s="7">
        <v>4017</v>
      </c>
      <c r="C169" s="24" t="s">
        <v>112</v>
      </c>
      <c r="D169" s="24" t="s">
        <v>688</v>
      </c>
      <c r="E169" s="15">
        <v>42619.358831018515</v>
      </c>
      <c r="F169" s="15">
        <v>42619.360138888886</v>
      </c>
      <c r="G169" s="7">
        <v>1</v>
      </c>
      <c r="H169" s="15" t="s">
        <v>689</v>
      </c>
      <c r="I169" s="15">
        <v>42619.370972222219</v>
      </c>
      <c r="J169" s="7">
        <v>0</v>
      </c>
      <c r="K169" s="132" t="str">
        <f t="shared" si="45"/>
        <v>4017/4018</v>
      </c>
      <c r="L169" s="24" t="str">
        <f>VLOOKUP(A169,'Trips&amp;Operators'!$C$1:$E$10000,3,FALSE)</f>
        <v>LEVIN</v>
      </c>
      <c r="M169" s="6">
        <f t="shared" si="46"/>
        <v>1.0833333333721384E-2</v>
      </c>
      <c r="N169" s="7">
        <f t="shared" si="61"/>
        <v>15.600000000558794</v>
      </c>
      <c r="O169" s="7"/>
      <c r="P169" s="7"/>
      <c r="Q169" s="25"/>
      <c r="R169" s="25"/>
      <c r="S169" s="37">
        <f t="shared" si="47"/>
        <v>1</v>
      </c>
      <c r="T169" s="52" t="str">
        <f t="shared" si="48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07:36:43-0600',mode:absolute,to:'2016-09-06 09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9" s="54" t="str">
        <f t="shared" si="50"/>
        <v>N</v>
      </c>
      <c r="X169" s="120">
        <f t="shared" si="58"/>
        <v>1</v>
      </c>
      <c r="Y169" s="69">
        <f t="shared" si="51"/>
        <v>5.8593999999999999</v>
      </c>
      <c r="Z169" s="69">
        <f t="shared" si="52"/>
        <v>7.1999999999999995E-2</v>
      </c>
      <c r="AA169" s="69">
        <f t="shared" si="53"/>
        <v>5.7873999999999999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54"/>
        <v>0812-06</v>
      </c>
      <c r="AE16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9" s="96" t="str">
        <f t="shared" si="56"/>
        <v>"C:\Program Files (x86)\AstroGrep\AstroGrep.exe" /spath="%USERPROFILE%\AppData\Local\Temp\OnboardLogs" /stypes="*4017*20160906*" /stext=" 14:.+((SYSTEM_STATE.+slice.+state.+changed )|(ment ac)|(system.+state.+changed )|(\|lc)|(penalty)|(\[timeout)|(PRM\|1\|D)|(kpr)|(kdp))" /e /r /s</v>
      </c>
      <c r="AG169" s="1" t="str">
        <f t="shared" si="57"/>
        <v>NW</v>
      </c>
      <c r="AH169" s="100" t="str">
        <f t="shared" si="43"/>
        <v>"%USERPROFILE%\Documents\GitHub\eaglep3\Utilities\RefineRTDCRunTimes.py" --tripid 812-06 --locoid 4017 --swversion DE.1.0.7.0 --startMP 300:58594 --initTime 2016-09-06T08:36:43 --startdatetime 2016-09-06T08:38:36 --delay 1 --endMP 204:720 --enddatetime 2016-09-06T08:54:12 --enforcementcount 0 &gt;&gt;C:\Users\stu\Documents\GitHub\eaglep3-reporting\EC\2016-09-06-refined-times.txt</v>
      </c>
      <c r="AI16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{"issue":{"subject":"","project_id":79,"tracker_id":40,"status_id":1,"priority_id":2,"assigned_to_id":23,"start_date":"2016-09-06","description":"","custom_fields":[{"id":1,"name":"Subdivision","value":"NW"},{"id":4,"name":"Milepost","value":"5.7874"},{"id":17,"name":"Train ID","value":"812-06"},{"id":16,"name":"Locomotive ID","value":"4017"},{"id":130,"name":"Impact","value":""},{"id":150,"name":"Time of Event (Mountain Time)","value":"08:54:12"},{"id":151,"name":"Denver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418</v>
      </c>
      <c r="B170" s="7">
        <v>4018</v>
      </c>
      <c r="C170" s="24" t="s">
        <v>112</v>
      </c>
      <c r="D170" s="24" t="s">
        <v>690</v>
      </c>
      <c r="E170" s="15">
        <v>42619.382337962961</v>
      </c>
      <c r="F170" s="15">
        <v>42619.389768518522</v>
      </c>
      <c r="G170" s="7">
        <v>1</v>
      </c>
      <c r="H170" s="15" t="s">
        <v>691</v>
      </c>
      <c r="I170" s="15">
        <v>42619.398773148147</v>
      </c>
      <c r="J170" s="7">
        <v>0</v>
      </c>
      <c r="K170" s="132" t="str">
        <f t="shared" si="45"/>
        <v>4017/4018</v>
      </c>
      <c r="L170" s="24" t="str">
        <f>VLOOKUP(A170,'Trips&amp;Operators'!$C$1:$E$10000,3,FALSE)</f>
        <v>LEVIN</v>
      </c>
      <c r="M170" s="6">
        <f t="shared" si="46"/>
        <v>9.0046296245418489E-3</v>
      </c>
      <c r="N170" s="7">
        <f t="shared" si="61"/>
        <v>12.966666659340262</v>
      </c>
      <c r="O170" s="7"/>
      <c r="P170" s="7"/>
      <c r="Q170" s="25"/>
      <c r="R170" s="25"/>
      <c r="S170" s="37">
        <f t="shared" si="47"/>
        <v>1</v>
      </c>
      <c r="T170" s="52" t="str">
        <f t="shared" si="48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08:10:34-0600',mode:absolute,to:'2016-09-06 10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0" s="54" t="str">
        <f t="shared" si="50"/>
        <v>N</v>
      </c>
      <c r="X170" s="120">
        <f t="shared" si="58"/>
        <v>1</v>
      </c>
      <c r="Y170" s="69">
        <f t="shared" si="51"/>
        <v>0.1013</v>
      </c>
      <c r="Z170" s="69">
        <f t="shared" si="52"/>
        <v>5.8910999999999998</v>
      </c>
      <c r="AA170" s="69">
        <f t="shared" si="53"/>
        <v>5.7897999999999996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54"/>
        <v>0813-06</v>
      </c>
      <c r="AE17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0" s="96" t="str">
        <f t="shared" si="56"/>
        <v>"C:\Program Files (x86)\AstroGrep\AstroGrep.exe" /spath="%USERPROFILE%\AppData\Local\Temp\OnboardLogs" /stypes="*4018*20160906*" /stext=" 15:.+((SYSTEM_STATE.+slice.+state.+changed )|(ment ac)|(system.+state.+changed )|(\|lc)|(penalty)|(\[timeout)|(PRM\|1\|D)|(kpr)|(kdp))" /e /r /s</v>
      </c>
      <c r="AG170" s="1" t="str">
        <f t="shared" si="57"/>
        <v>NW</v>
      </c>
      <c r="AH170" s="100" t="str">
        <f t="shared" si="43"/>
        <v>"%USERPROFILE%\Documents\GitHub\eaglep3\Utilities\RefineRTDCRunTimes.py" --tripid 813-06 --locoid 4018 --swversion DE.1.0.7.0 --startMP 204:1013 --initTime 2016-09-06T09:10:34 --startdatetime 2016-09-06T09:21:16 --delay 1 --endMP 300:58911 --enddatetime 2016-09-06T09:34:14 --enforcementcount 0 &gt;&gt;C:\Users\stu\Documents\GitHub\eaglep3-reporting\EC\2016-09-06-refined-times.txt</v>
      </c>
      <c r="AI170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{"issue":{"subject":"","project_id":79,"tracker_id":40,"status_id":1,"priority_id":2,"assigned_to_id":23,"start_date":"2016-09-06","description":"","custom_fields":[{"id":1,"name":"Subdivision","value":"NW"},{"id":4,"name":"Milepost","value":"5.7898"},{"id":17,"name":"Train ID","value":"813-06"},{"id":16,"name":"Locomotive ID","value":"4018"},{"id":130,"name":"Impact","value":""},{"id":150,"name":"Time of Event (Mountain Time)","value":"09:34:14"},{"id":151,"name":"Denver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422</v>
      </c>
      <c r="B171" s="7">
        <v>4017</v>
      </c>
      <c r="C171" s="24" t="s">
        <v>112</v>
      </c>
      <c r="D171" s="24" t="s">
        <v>692</v>
      </c>
      <c r="E171" s="15">
        <v>42619.400682870371</v>
      </c>
      <c r="F171" s="15">
        <v>42619.40216435185</v>
      </c>
      <c r="G171" s="7">
        <v>1</v>
      </c>
      <c r="H171" s="15" t="s">
        <v>693</v>
      </c>
      <c r="I171" s="15">
        <v>42619.412708333337</v>
      </c>
      <c r="J171" s="7">
        <v>0</v>
      </c>
      <c r="K171" s="132" t="str">
        <f t="shared" si="45"/>
        <v>4017/4018</v>
      </c>
      <c r="L171" s="24" t="str">
        <f>VLOOKUP(A171,'Trips&amp;Operators'!$C$1:$E$10000,3,FALSE)</f>
        <v>LEVIN</v>
      </c>
      <c r="M171" s="6">
        <f t="shared" si="46"/>
        <v>1.0543981486989651E-2</v>
      </c>
      <c r="N171" s="7">
        <f t="shared" si="61"/>
        <v>15.183333341265097</v>
      </c>
      <c r="O171" s="7"/>
      <c r="P171" s="7"/>
      <c r="Q171" s="25"/>
      <c r="R171" s="25"/>
      <c r="S171" s="37">
        <f t="shared" si="47"/>
        <v>1</v>
      </c>
      <c r="T171" s="52" t="str">
        <f t="shared" si="48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08:36:59-0600',mode:absolute,to:'2016-09-06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1" s="54" t="str">
        <f t="shared" si="50"/>
        <v>N</v>
      </c>
      <c r="X171" s="120">
        <f t="shared" si="58"/>
        <v>1</v>
      </c>
      <c r="Y171" s="69">
        <f t="shared" si="51"/>
        <v>5.8601999999999999</v>
      </c>
      <c r="Z171" s="69">
        <f t="shared" si="52"/>
        <v>6.9400000000000003E-2</v>
      </c>
      <c r="AA171" s="69">
        <f t="shared" si="53"/>
        <v>5.7907999999999999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54"/>
        <v>0814-06</v>
      </c>
      <c r="AE17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1" s="96" t="str">
        <f t="shared" si="56"/>
        <v>"C:\Program Files (x86)\AstroGrep\AstroGrep.exe" /spath="%USERPROFILE%\AppData\Local\Temp\OnboardLogs" /stypes="*4017*20160906*" /stext=" 15:.+((SYSTEM_STATE.+slice.+state.+changed )|(ment ac)|(system.+state.+changed )|(\|lc)|(penalty)|(\[timeout)|(PRM\|1\|D)|(kpr)|(kdp))" /e /r /s</v>
      </c>
      <c r="AG171" s="1" t="str">
        <f t="shared" si="57"/>
        <v>NW</v>
      </c>
      <c r="AH171" s="100" t="str">
        <f t="shared" si="43"/>
        <v>"%USERPROFILE%\Documents\GitHub\eaglep3\Utilities\RefineRTDCRunTimes.py" --tripid 814-06 --locoid 4017 --swversion DE.1.0.7.0 --startMP 300:58602 --initTime 2016-09-06T09:36:59 --startdatetime 2016-09-06T09:39:07 --delay 1 --endMP 204:694 --enddatetime 2016-09-06T09:54:18 --enforcementcount 0 &gt;&gt;C:\Users\stu\Documents\GitHub\eaglep3-reporting\EC\2016-09-06-refined-times.txt</v>
      </c>
      <c r="AI171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{"issue":{"subject":"","project_id":79,"tracker_id":40,"status_id":1,"priority_id":2,"assigned_to_id":23,"start_date":"2016-09-06","description":"","custom_fields":[{"id":1,"name":"Subdivision","value":"NW"},{"id":4,"name":"Milepost","value":"5.7908"},{"id":17,"name":"Train ID","value":"814-06"},{"id":16,"name":"Locomotive ID","value":"4017"},{"id":130,"name":"Impact","value":""},{"id":150,"name":"Time of Event (Mountain Time)","value":"09:54:18"},{"id":151,"name":"Denver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427</v>
      </c>
      <c r="B172" s="7">
        <v>4018</v>
      </c>
      <c r="C172" s="24" t="s">
        <v>112</v>
      </c>
      <c r="D172" s="24" t="s">
        <v>694</v>
      </c>
      <c r="E172" s="15">
        <v>42619.423009259262</v>
      </c>
      <c r="F172" s="15">
        <v>42619.431458333333</v>
      </c>
      <c r="G172" s="7">
        <v>1</v>
      </c>
      <c r="H172" s="15" t="s">
        <v>695</v>
      </c>
      <c r="I172" s="15">
        <v>42619.440254629626</v>
      </c>
      <c r="J172" s="7">
        <v>0</v>
      </c>
      <c r="K172" s="132" t="str">
        <f t="shared" si="45"/>
        <v>4017/4018</v>
      </c>
      <c r="L172" s="24" t="str">
        <f>VLOOKUP(A172,'Trips&amp;Operators'!$C$1:$E$10000,3,FALSE)</f>
        <v>LEVIN</v>
      </c>
      <c r="M172" s="6">
        <f t="shared" si="46"/>
        <v>8.7962962934398092E-3</v>
      </c>
      <c r="N172" s="7">
        <f t="shared" si="61"/>
        <v>12.666666662553325</v>
      </c>
      <c r="O172" s="7"/>
      <c r="P172" s="7"/>
      <c r="Q172" s="25"/>
      <c r="R172" s="25"/>
      <c r="S172" s="37">
        <f t="shared" si="47"/>
        <v>1</v>
      </c>
      <c r="T172" s="52" t="str">
        <f t="shared" si="48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09:09:08-0600',mode:absolute,to:'2016-09-06 11:33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2" s="54" t="str">
        <f t="shared" si="50"/>
        <v>N</v>
      </c>
      <c r="X172" s="120">
        <f t="shared" si="58"/>
        <v>1</v>
      </c>
      <c r="Y172" s="69">
        <f t="shared" si="51"/>
        <v>0.1007</v>
      </c>
      <c r="Z172" s="69">
        <f t="shared" si="52"/>
        <v>5.8894000000000002</v>
      </c>
      <c r="AA172" s="69">
        <f t="shared" si="53"/>
        <v>5.7887000000000004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54"/>
        <v>0815-06</v>
      </c>
      <c r="AE17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2" s="96" t="str">
        <f t="shared" si="56"/>
        <v>"C:\Program Files (x86)\AstroGrep\AstroGrep.exe" /spath="%USERPROFILE%\AppData\Local\Temp\OnboardLogs" /stypes="*4018*20160906*" /stext=" 16:.+((SYSTEM_STATE.+slice.+state.+changed )|(ment ac)|(system.+state.+changed )|(\|lc)|(penalty)|(\[timeout)|(PRM\|1\|D)|(kpr)|(kdp))" /e /r /s</v>
      </c>
      <c r="AG172" s="1" t="str">
        <f t="shared" si="57"/>
        <v>NW</v>
      </c>
      <c r="AH172" s="100" t="str">
        <f t="shared" si="43"/>
        <v>"%USERPROFILE%\Documents\GitHub\eaglep3\Utilities\RefineRTDCRunTimes.py" --tripid 815-06 --locoid 4018 --swversion DE.1.0.7.0 --startMP 204:1007 --initTime 2016-09-06T10:09:08 --startdatetime 2016-09-06T10:21:18 --delay 1 --endMP 300:58894 --enddatetime 2016-09-06T10:33:58 --enforcementcount 0 &gt;&gt;C:\Users\stu\Documents\GitHub\eaglep3-reporting\EC\2016-09-06-refined-times.txt</v>
      </c>
      <c r="AI17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{"issue":{"subject":"","project_id":79,"tracker_id":40,"status_id":1,"priority_id":2,"assigned_to_id":23,"start_date":"2016-09-06","description":"","custom_fields":[{"id":1,"name":"Subdivision","value":"NW"},{"id":4,"name":"Milepost","value":"5.7887"},{"id":17,"name":"Train ID","value":"815-06"},{"id":16,"name":"Locomotive ID","value":"4018"},{"id":130,"name":"Impact","value":""},{"id":150,"name":"Time of Event (Mountain Time)","value":"10:33:58"},{"id":151,"name":"Denver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432</v>
      </c>
      <c r="B173" s="7">
        <v>4017</v>
      </c>
      <c r="C173" s="24" t="s">
        <v>112</v>
      </c>
      <c r="D173" s="24" t="s">
        <v>696</v>
      </c>
      <c r="E173" s="15">
        <v>42619.44427083333</v>
      </c>
      <c r="F173" s="15">
        <v>42619.446712962963</v>
      </c>
      <c r="G173" s="7">
        <v>1</v>
      </c>
      <c r="H173" s="15" t="s">
        <v>697</v>
      </c>
      <c r="I173" s="15">
        <v>42619.455405092594</v>
      </c>
      <c r="J173" s="7">
        <v>0</v>
      </c>
      <c r="K173" s="132" t="str">
        <f t="shared" si="45"/>
        <v>4017/4018</v>
      </c>
      <c r="L173" s="24" t="str">
        <f>VLOOKUP(A173,'Trips&amp;Operators'!$C$1:$E$10000,3,FALSE)</f>
        <v>LEVIN</v>
      </c>
      <c r="M173" s="6">
        <f t="shared" si="46"/>
        <v>8.6921296315267682E-3</v>
      </c>
      <c r="N173" s="7">
        <f t="shared" si="61"/>
        <v>12.516666669398546</v>
      </c>
      <c r="O173" s="7"/>
      <c r="P173" s="7"/>
      <c r="Q173" s="25"/>
      <c r="R173" s="25"/>
      <c r="S173" s="37">
        <f t="shared" si="47"/>
        <v>1</v>
      </c>
      <c r="T173" s="52" t="str">
        <f t="shared" si="48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09:39:45-0600',mode:absolute,to:'2016-09-06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3" s="54" t="str">
        <f t="shared" si="50"/>
        <v>N</v>
      </c>
      <c r="X173" s="120">
        <f t="shared" si="58"/>
        <v>1</v>
      </c>
      <c r="Y173" s="69">
        <f t="shared" si="51"/>
        <v>5.7320000000000002</v>
      </c>
      <c r="Z173" s="69">
        <f t="shared" si="52"/>
        <v>7.1900000000000006E-2</v>
      </c>
      <c r="AA173" s="69">
        <f t="shared" si="53"/>
        <v>5.6600999999999999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54"/>
        <v>0816-06</v>
      </c>
      <c r="AE173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3" s="96" t="str">
        <f t="shared" si="56"/>
        <v>"C:\Program Files (x86)\AstroGrep\AstroGrep.exe" /spath="%USERPROFILE%\AppData\Local\Temp\OnboardLogs" /stypes="*4017*20160906*" /stext=" 16:.+((SYSTEM_STATE.+slice.+state.+changed )|(ment ac)|(system.+state.+changed )|(\|lc)|(penalty)|(\[timeout)|(PRM\|1\|D)|(kpr)|(kdp))" /e /r /s</v>
      </c>
      <c r="AG173" s="1" t="str">
        <f t="shared" si="57"/>
        <v>NW</v>
      </c>
      <c r="AH173" s="100" t="str">
        <f t="shared" si="43"/>
        <v>"%USERPROFILE%\Documents\GitHub\eaglep3\Utilities\RefineRTDCRunTimes.py" --tripid 816-06 --locoid 4017 --swversion DE.1.0.7.0 --startMP 300:57320 --initTime 2016-09-06T10:39:45 --startdatetime 2016-09-06T10:43:16 --delay 1 --endMP 204:719 --enddatetime 2016-09-06T10:55:47 --enforcementcount 0 &gt;&gt;C:\Users\stu\Documents\GitHub\eaglep3-reporting\EC\2016-09-06-refined-times.txt</v>
      </c>
      <c r="AI173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{"issue":{"subject":"","project_id":79,"tracker_id":40,"status_id":1,"priority_id":2,"assigned_to_id":23,"start_date":"2016-09-06","description":"","custom_fields":[{"id":1,"name":"Subdivision","value":"NW"},{"id":4,"name":"Milepost","value":"5.6601"},{"id":17,"name":"Train ID","value":"816-06"},{"id":16,"name":"Locomotive ID","value":"4017"},{"id":130,"name":"Impact","value":""},{"id":150,"name":"Time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439</v>
      </c>
      <c r="B174" s="7">
        <v>4018</v>
      </c>
      <c r="C174" s="24" t="s">
        <v>112</v>
      </c>
      <c r="D174" s="24" t="s">
        <v>698</v>
      </c>
      <c r="E174" s="15">
        <v>42619.468692129631</v>
      </c>
      <c r="F174" s="15">
        <v>42619.473101851851</v>
      </c>
      <c r="G174" s="7">
        <v>1</v>
      </c>
      <c r="H174" s="15" t="s">
        <v>695</v>
      </c>
      <c r="I174" s="15">
        <v>42619.482569444444</v>
      </c>
      <c r="J174" s="7">
        <v>0</v>
      </c>
      <c r="K174" s="132" t="str">
        <f t="shared" si="45"/>
        <v>4017/4018</v>
      </c>
      <c r="L174" s="24" t="str">
        <f>VLOOKUP(A174,'Trips&amp;Operators'!$C$1:$E$10000,3,FALSE)</f>
        <v>LEVIN</v>
      </c>
      <c r="M174" s="6">
        <f t="shared" si="46"/>
        <v>9.4675925938645378E-3</v>
      </c>
      <c r="N174" s="7">
        <f t="shared" si="61"/>
        <v>13.633333335164934</v>
      </c>
      <c r="O174" s="7"/>
      <c r="P174" s="7"/>
      <c r="Q174" s="25"/>
      <c r="R174" s="25"/>
      <c r="S174" s="37">
        <f t="shared" si="47"/>
        <v>1</v>
      </c>
      <c r="T174" s="52" t="str">
        <f t="shared" si="48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10:14:55-0600',mode:absolute,to:'2016-09-06 12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4" s="54" t="str">
        <f t="shared" si="50"/>
        <v>N</v>
      </c>
      <c r="X174" s="120">
        <f t="shared" ref="X174:X177" si="62">VALUE(LEFT(AD174,4))-VALUE(LEFT(AD173,4))</f>
        <v>1</v>
      </c>
      <c r="Y174" s="69">
        <f t="shared" si="51"/>
        <v>0.1004</v>
      </c>
      <c r="Z174" s="69">
        <f t="shared" si="52"/>
        <v>5.8894000000000002</v>
      </c>
      <c r="AA174" s="69">
        <f t="shared" si="53"/>
        <v>5.7890000000000006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54"/>
        <v>0817-06</v>
      </c>
      <c r="AE17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4" s="96" t="str">
        <f t="shared" si="56"/>
        <v>"C:\Program Files (x86)\AstroGrep\AstroGrep.exe" /spath="%USERPROFILE%\AppData\Local\Temp\OnboardLogs" /stypes="*4018*20160906*" /stext=" 17:.+((SYSTEM_STATE.+slice.+state.+changed )|(ment ac)|(system.+state.+changed )|(\|lc)|(penalty)|(\[timeout)|(PRM\|1\|D)|(kpr)|(kdp))" /e /r /s</v>
      </c>
      <c r="AG174" s="1" t="str">
        <f t="shared" si="57"/>
        <v>NW</v>
      </c>
      <c r="AH174" s="100" t="str">
        <f t="shared" si="43"/>
        <v>"%USERPROFILE%\Documents\GitHub\eaglep3\Utilities\RefineRTDCRunTimes.py" --tripid 817-06 --locoid 4018 --swversion DE.1.0.7.0 --startMP 204:1004 --initTime 2016-09-06T11:14:55 --startdatetime 2016-09-06T11:21:16 --delay 1 --endMP 300:58894 --enddatetime 2016-09-06T11:34:54 --enforcementcount 0 &gt;&gt;C:\Users\stu\Documents\GitHub\eaglep3-reporting\EC\2016-09-06-refined-times.txt</v>
      </c>
      <c r="AI174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{"issue":{"subject":"","project_id":79,"tracker_id":40,"status_id":1,"priority_id":2,"assigned_to_id":23,"start_date":"2016-09-06","description":"","custom_fields":[{"id":1,"name":"Subdivision","value":"NW"},{"id":4,"name":"Milepost","value":"5.789"},{"id":17,"name":"Train ID","value":"817-06"},{"id":16,"name":"Locomotive ID","value":"4018"},{"id":130,"name":"Impact","value":""},{"id":150,"name":"Time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444</v>
      </c>
      <c r="B175" s="7">
        <v>4017</v>
      </c>
      <c r="C175" s="24" t="s">
        <v>112</v>
      </c>
      <c r="D175" s="24" t="s">
        <v>699</v>
      </c>
      <c r="E175" s="15">
        <v>42619.483738425923</v>
      </c>
      <c r="F175" s="15">
        <v>42619.485289351855</v>
      </c>
      <c r="G175" s="7">
        <v>1</v>
      </c>
      <c r="H175" s="15" t="s">
        <v>700</v>
      </c>
      <c r="I175" s="15">
        <v>42619.495821759258</v>
      </c>
      <c r="J175" s="7">
        <v>0</v>
      </c>
      <c r="K175" s="132" t="str">
        <f t="shared" si="45"/>
        <v>4017/4018</v>
      </c>
      <c r="L175" s="24" t="str">
        <f>VLOOKUP(A175,'Trips&amp;Operators'!$C$1:$E$10000,3,FALSE)</f>
        <v>LEVIN</v>
      </c>
      <c r="M175" s="6">
        <f t="shared" si="46"/>
        <v>1.0532407402934041E-2</v>
      </c>
      <c r="N175" s="7">
        <f t="shared" si="61"/>
        <v>15.166666660225019</v>
      </c>
      <c r="O175" s="7"/>
      <c r="P175" s="7"/>
      <c r="Q175" s="25"/>
      <c r="R175" s="25"/>
      <c r="S175" s="37">
        <f t="shared" si="47"/>
        <v>1</v>
      </c>
      <c r="T175" s="52" t="str">
        <f t="shared" si="48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10:36:35-0600',mode:absolute,to:'2016-09-06 12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5" s="54" t="str">
        <f t="shared" si="50"/>
        <v>N</v>
      </c>
      <c r="X175" s="120">
        <f t="shared" si="62"/>
        <v>1</v>
      </c>
      <c r="Y175" s="69">
        <f t="shared" si="51"/>
        <v>5.8581000000000003</v>
      </c>
      <c r="Z175" s="69">
        <f t="shared" si="52"/>
        <v>7.1300000000000002E-2</v>
      </c>
      <c r="AA175" s="69">
        <f t="shared" si="53"/>
        <v>5.7868000000000004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54"/>
        <v>0818-06</v>
      </c>
      <c r="AE17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5" s="96" t="str">
        <f t="shared" si="56"/>
        <v>"C:\Program Files (x86)\AstroGrep\AstroGrep.exe" /spath="%USERPROFILE%\AppData\Local\Temp\OnboardLogs" /stypes="*4017*20160906*" /stext=" 17:.+((SYSTEM_STATE.+slice.+state.+changed )|(ment ac)|(system.+state.+changed )|(\|lc)|(penalty)|(\[timeout)|(PRM\|1\|D)|(kpr)|(kdp))" /e /r /s</v>
      </c>
      <c r="AG175" s="1" t="str">
        <f t="shared" si="57"/>
        <v>NW</v>
      </c>
      <c r="AH175" s="100" t="str">
        <f t="shared" si="43"/>
        <v>"%USERPROFILE%\Documents\GitHub\eaglep3\Utilities\RefineRTDCRunTimes.py" --tripid 818-06 --locoid 4017 --swversion DE.1.0.7.0 --startMP 300:58581 --initTime 2016-09-06T11:36:35 --startdatetime 2016-09-06T11:38:49 --delay 1 --endMP 204:713 --enddatetime 2016-09-06T11:53:59 --enforcementcount 0 &gt;&gt;C:\Users\stu\Documents\GitHub\eaglep3-reporting\EC\2016-09-06-refined-times.txt</v>
      </c>
      <c r="AI175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{"issue":{"subject":"","project_id":79,"tracker_id":40,"status_id":1,"priority_id":2,"assigned_to_id":23,"start_date":"2016-09-06","description":"","custom_fields":[{"id":1,"name":"Subdivision","value":"NW"},{"id":4,"name":"Milepost","value":"5.7868"},{"id":17,"name":"Train ID","value":"818-06"},{"id":16,"name":"Locomotive ID","value":"4017"},{"id":130,"name":"Impact","value":""},{"id":150,"name":"Time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450</v>
      </c>
      <c r="B176" s="7">
        <v>4018</v>
      </c>
      <c r="C176" s="24" t="s">
        <v>112</v>
      </c>
      <c r="D176" s="24" t="s">
        <v>684</v>
      </c>
      <c r="E176" s="15">
        <v>42619.506215277775</v>
      </c>
      <c r="F176" s="15">
        <v>42619.514826388891</v>
      </c>
      <c r="G176" s="7">
        <v>1</v>
      </c>
      <c r="H176" s="15" t="s">
        <v>701</v>
      </c>
      <c r="I176" s="15">
        <v>42619.523993055554</v>
      </c>
      <c r="J176" s="7">
        <v>0</v>
      </c>
      <c r="K176" s="132" t="str">
        <f t="shared" si="45"/>
        <v>4017/4018</v>
      </c>
      <c r="L176" s="24" t="str">
        <f>VLOOKUP(A176,'Trips&amp;Operators'!$C$1:$E$10000,3,FALSE)</f>
        <v>LEVIN</v>
      </c>
      <c r="M176" s="6">
        <f t="shared" si="46"/>
        <v>9.1666666630771942E-3</v>
      </c>
      <c r="N176" s="7">
        <f t="shared" si="61"/>
        <v>13.19999999483116</v>
      </c>
      <c r="O176" s="7"/>
      <c r="P176" s="7"/>
      <c r="Q176" s="25"/>
      <c r="R176" s="25"/>
      <c r="S176" s="37">
        <f t="shared" si="47"/>
        <v>1</v>
      </c>
      <c r="T176" s="52" t="str">
        <f t="shared" si="48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11:08:57-0600',mode:absolute,to:'2016-09-06 13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6" s="54" t="str">
        <f t="shared" si="50"/>
        <v>N</v>
      </c>
      <c r="X176" s="120">
        <f t="shared" si="62"/>
        <v>1</v>
      </c>
      <c r="Y176" s="69">
        <f t="shared" si="51"/>
        <v>0.10059999999999999</v>
      </c>
      <c r="Z176" s="69">
        <f t="shared" si="52"/>
        <v>5.8891999999999998</v>
      </c>
      <c r="AA176" s="69">
        <f t="shared" si="53"/>
        <v>5.7885999999999997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54"/>
        <v>0819-06</v>
      </c>
      <c r="AE176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6" s="96" t="str">
        <f t="shared" si="56"/>
        <v>"C:\Program Files (x86)\AstroGrep\AstroGrep.exe" /spath="%USERPROFILE%\AppData\Local\Temp\OnboardLogs" /stypes="*4018*20160906*" /stext=" 18:.+((SYSTEM_STATE.+slice.+state.+changed )|(ment ac)|(system.+state.+changed )|(\|lc)|(penalty)|(\[timeout)|(PRM\|1\|D)|(kpr)|(kdp))" /e /r /s</v>
      </c>
      <c r="AG176" s="1" t="str">
        <f t="shared" si="57"/>
        <v>NW</v>
      </c>
      <c r="AH176" s="100" t="str">
        <f t="shared" si="43"/>
        <v>"%USERPROFILE%\Documents\GitHub\eaglep3\Utilities\RefineRTDCRunTimes.py" --tripid 819-06 --locoid 4018 --swversion DE.1.0.7.0 --startMP 204:1006 --initTime 2016-09-06T12:08:57 --startdatetime 2016-09-06T12:21:21 --delay 1 --endMP 300:58892 --enddatetime 2016-09-06T12:34:33 --enforcementcount 0 &gt;&gt;C:\Users\stu\Documents\GitHub\eaglep3-reporting\EC\2016-09-06-refined-times.txt</v>
      </c>
      <c r="AI176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{"issue":{"subject":"","project_id":79,"tracker_id":40,"status_id":1,"priority_id":2,"assigned_to_id":23,"start_date":"2016-09-06","description":"","custom_fields":[{"id":1,"name":"Subdivision","value":"NW"},{"id":4,"name":"Milepost","value":"5.7886"},{"id":17,"name":"Train ID","value":"819-06"},{"id":16,"name":"Locomotive ID","value":"4018"},{"id":130,"name":"Impact","value":""},{"id":150,"name":"Time of Event (Mountain Time)","value":"12:34:33"},{"id":151,"name":"Denver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455</v>
      </c>
      <c r="B177" s="7">
        <v>4017</v>
      </c>
      <c r="C177" s="24" t="s">
        <v>112</v>
      </c>
      <c r="D177" s="24" t="s">
        <v>702</v>
      </c>
      <c r="E177" s="15">
        <v>42619.525462962964</v>
      </c>
      <c r="F177" s="15">
        <v>42619.526689814818</v>
      </c>
      <c r="G177" s="7">
        <v>1</v>
      </c>
      <c r="H177" s="15" t="s">
        <v>703</v>
      </c>
      <c r="I177" s="15">
        <v>42619.538587962961</v>
      </c>
      <c r="J177" s="7">
        <v>0</v>
      </c>
      <c r="K177" s="132" t="str">
        <f t="shared" si="45"/>
        <v>4017/4018</v>
      </c>
      <c r="L177" s="24" t="str">
        <f>VLOOKUP(A177,'Trips&amp;Operators'!$C$1:$E$10000,3,FALSE)</f>
        <v>LEVIN</v>
      </c>
      <c r="M177" s="6">
        <f t="shared" si="46"/>
        <v>1.1898148142790888E-2</v>
      </c>
      <c r="N177" s="7">
        <f t="shared" si="61"/>
        <v>17.133333325618878</v>
      </c>
      <c r="O177" s="7"/>
      <c r="P177" s="7"/>
      <c r="Q177" s="25"/>
      <c r="R177" s="25"/>
      <c r="S177" s="37">
        <f t="shared" si="47"/>
        <v>1</v>
      </c>
      <c r="T177" s="52" t="str">
        <f t="shared" si="48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11:36:40-0600',mode:absolute,to:'2016-09-06 13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7" s="54" t="str">
        <f t="shared" si="50"/>
        <v>N</v>
      </c>
      <c r="X177" s="120">
        <f t="shared" si="62"/>
        <v>1</v>
      </c>
      <c r="Y177" s="69">
        <f t="shared" si="51"/>
        <v>5.8575999999999997</v>
      </c>
      <c r="Z177" s="69">
        <f t="shared" si="52"/>
        <v>7.2400000000000006E-2</v>
      </c>
      <c r="AA177" s="69">
        <f t="shared" si="53"/>
        <v>5.7851999999999997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54"/>
        <v>0820-06</v>
      </c>
      <c r="AE17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7" s="96" t="str">
        <f t="shared" si="56"/>
        <v>"C:\Program Files (x86)\AstroGrep\AstroGrep.exe" /spath="%USERPROFILE%\AppData\Local\Temp\OnboardLogs" /stypes="*4017*20160906*" /stext=" 18:.+((SYSTEM_STATE.+slice.+state.+changed )|(ment ac)|(system.+state.+changed )|(\|lc)|(penalty)|(\[timeout)|(PRM\|1\|D)|(kpr)|(kdp))" /e /r /s</v>
      </c>
      <c r="AG177" s="1" t="str">
        <f t="shared" si="57"/>
        <v>NW</v>
      </c>
      <c r="AH177" s="100" t="str">
        <f t="shared" si="43"/>
        <v>"%USERPROFILE%\Documents\GitHub\eaglep3\Utilities\RefineRTDCRunTimes.py" --tripid 820-06 --locoid 4017 --swversion DE.1.0.7.0 --startMP 300:58576 --initTime 2016-09-06T12:36:40 --startdatetime 2016-09-06T12:38:26 --delay 1 --endMP 204:724 --enddatetime 2016-09-06T12:55:34 --enforcementcount 0 &gt;&gt;C:\Users\stu\Documents\GitHub\eaglep3-reporting\EC\2016-09-06-refined-times.txt</v>
      </c>
      <c r="AI17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{"issue":{"subject":"","project_id":79,"tracker_id":40,"status_id":1,"priority_id":2,"assigned_to_id":23,"start_date":"2016-09-06","description":"","custom_fields":[{"id":1,"name":"Subdivision","value":"NW"},{"id":4,"name":"Milepost","value":"5.7852"},{"id":17,"name":"Train ID","value":"820-06"},{"id":16,"name":"Locomotive ID","value":"4017"},{"id":130,"name":"Impact","value":""},{"id":150,"name":"Time of Event (Mountain Time)","value":"12:55:34"},{"id":151,"name":"Denver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460</v>
      </c>
      <c r="B178" s="7">
        <v>4018</v>
      </c>
      <c r="C178" s="24" t="s">
        <v>112</v>
      </c>
      <c r="D178" s="24" t="s">
        <v>690</v>
      </c>
      <c r="E178" s="15">
        <v>42619.546261574076</v>
      </c>
      <c r="F178" s="15">
        <v>42619.556469907409</v>
      </c>
      <c r="G178" s="7">
        <v>4</v>
      </c>
      <c r="H178" s="15" t="s">
        <v>704</v>
      </c>
      <c r="I178" s="15">
        <v>42619.565393518518</v>
      </c>
      <c r="J178" s="7">
        <v>0</v>
      </c>
      <c r="K178" s="132" t="str">
        <f t="shared" si="45"/>
        <v>4017/4018</v>
      </c>
      <c r="L178" s="24" t="str">
        <f>VLOOKUP(A178,'Trips&amp;Operators'!$C$1:$E$10000,3,FALSE)</f>
        <v>BRUDER</v>
      </c>
      <c r="M178" s="6">
        <f t="shared" si="46"/>
        <v>8.923611108912155E-3</v>
      </c>
      <c r="N178" s="7">
        <f t="shared" si="61"/>
        <v>12.849999996833503</v>
      </c>
      <c r="O178" s="7"/>
      <c r="P178" s="7"/>
      <c r="Q178" s="25"/>
      <c r="R178" s="25"/>
      <c r="S178" s="37">
        <f t="shared" si="47"/>
        <v>1</v>
      </c>
      <c r="T178" s="52" t="str">
        <f t="shared" si="48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12:06:37-0600',mode:absolute,to:'2016-09-06 14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8" s="54" t="str">
        <f t="shared" si="50"/>
        <v>N</v>
      </c>
      <c r="X178" s="120">
        <f t="shared" ref="X178:X222" si="63">VALUE(LEFT(AD178,4))-VALUE(LEFT(AD177,4))</f>
        <v>1</v>
      </c>
      <c r="Y178" s="69">
        <f t="shared" si="51"/>
        <v>0.1013</v>
      </c>
      <c r="Z178" s="69">
        <f t="shared" si="52"/>
        <v>5.8921999999999999</v>
      </c>
      <c r="AA178" s="69">
        <f t="shared" si="53"/>
        <v>5.7908999999999997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54"/>
        <v>0821-06</v>
      </c>
      <c r="AE17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8" s="96" t="str">
        <f t="shared" si="56"/>
        <v>"C:\Program Files (x86)\AstroGrep\AstroGrep.exe" /spath="%USERPROFILE%\AppData\Local\Temp\OnboardLogs" /stypes="*4018*20160906*" /stext=" 19:.+((SYSTEM_STATE.+slice.+state.+changed )|(ment ac)|(system.+state.+changed )|(\|lc)|(penalty)|(\[timeout)|(PRM\|1\|D)|(kpr)|(kdp))" /e /r /s</v>
      </c>
      <c r="AG178" s="1" t="str">
        <f t="shared" si="57"/>
        <v>NW</v>
      </c>
      <c r="AH178" s="100" t="str">
        <f t="shared" si="43"/>
        <v>"%USERPROFILE%\Documents\GitHub\eaglep3\Utilities\RefineRTDCRunTimes.py" --tripid 821-06 --locoid 4018 --swversion DE.1.0.7.0 --startMP 204:1013 --initTime 2016-09-06T13:06:37 --startdatetime 2016-09-06T13:21:19 --delay 4 --endMP 300:58922 --enddatetime 2016-09-06T13:34:10 --enforcementcount 0 &gt;&gt;C:\Users\stu\Documents\GitHub\eaglep3-reporting\EC\2016-09-06-refined-times.txt</v>
      </c>
      <c r="AI17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{"issue":{"subject":"","project_id":79,"tracker_id":40,"status_id":1,"priority_id":2,"assigned_to_id":23,"start_date":"2016-09-06","description":"","custom_fields":[{"id":1,"name":"Subdivision","value":"NW"},{"id":4,"name":"Milepost","value":"5.7909"},{"id":17,"name":"Train ID","value":"821-06"},{"id":16,"name":"Locomotive ID","value":"4018"},{"id":130,"name":"Impact","value":""},{"id":150,"name":"Time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465</v>
      </c>
      <c r="B179" s="7">
        <v>4017</v>
      </c>
      <c r="C179" s="24" t="s">
        <v>112</v>
      </c>
      <c r="D179" s="24" t="s">
        <v>287</v>
      </c>
      <c r="E179" s="15">
        <v>42619.566932870373</v>
      </c>
      <c r="F179" s="15">
        <v>42619.569189814814</v>
      </c>
      <c r="G179" s="7">
        <v>2</v>
      </c>
      <c r="H179" s="15" t="s">
        <v>705</v>
      </c>
      <c r="I179" s="15">
        <v>42619.579629629632</v>
      </c>
      <c r="J179" s="7">
        <v>0</v>
      </c>
      <c r="K179" s="132" t="str">
        <f t="shared" si="45"/>
        <v>4017/4018</v>
      </c>
      <c r="L179" s="24" t="str">
        <f>VLOOKUP(A179,'Trips&amp;Operators'!$C$1:$E$10000,3,FALSE)</f>
        <v>BRUDER</v>
      </c>
      <c r="M179" s="6">
        <f t="shared" si="46"/>
        <v>1.0439814817800652E-2</v>
      </c>
      <c r="N179" s="7">
        <f t="shared" si="61"/>
        <v>15.033333337632939</v>
      </c>
      <c r="O179" s="7"/>
      <c r="P179" s="7"/>
      <c r="Q179" s="25"/>
      <c r="R179" s="25"/>
      <c r="S179" s="37">
        <f t="shared" si="47"/>
        <v>1</v>
      </c>
      <c r="T179" s="52" t="str">
        <f t="shared" si="48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12:36:23-0600',mode:absolute,to:'2016-09-06 14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9" s="54" t="str">
        <f t="shared" si="50"/>
        <v>N</v>
      </c>
      <c r="X179" s="120">
        <f t="shared" si="63"/>
        <v>1</v>
      </c>
      <c r="Y179" s="69">
        <f t="shared" si="51"/>
        <v>5.8613</v>
      </c>
      <c r="Z179" s="69">
        <f t="shared" si="52"/>
        <v>6.9099999999999995E-2</v>
      </c>
      <c r="AA179" s="69">
        <f t="shared" si="53"/>
        <v>5.7922000000000002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54"/>
        <v>0822-06</v>
      </c>
      <c r="AE17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9" s="96" t="str">
        <f t="shared" si="56"/>
        <v>"C:\Program Files (x86)\AstroGrep\AstroGrep.exe" /spath="%USERPROFILE%\AppData\Local\Temp\OnboardLogs" /stypes="*4017*20160906*" /stext=" 19:.+((SYSTEM_STATE.+slice.+state.+changed )|(ment ac)|(system.+state.+changed )|(\|lc)|(penalty)|(\[timeout)|(PRM\|1\|D)|(kpr)|(kdp))" /e /r /s</v>
      </c>
      <c r="AG179" s="1" t="str">
        <f t="shared" si="57"/>
        <v>NW</v>
      </c>
      <c r="AH179" s="100" t="str">
        <f t="shared" si="43"/>
        <v>"%USERPROFILE%\Documents\GitHub\eaglep3\Utilities\RefineRTDCRunTimes.py" --tripid 822-06 --locoid 4017 --swversion DE.1.0.7.0 --startMP 300:58613 --initTime 2016-09-06T13:36:23 --startdatetime 2016-09-06T13:39:38 --delay 2 --endMP 204:691 --enddatetime 2016-09-06T13:54:40 --enforcementcount 0 &gt;&gt;C:\Users\stu\Documents\GitHub\eaglep3-reporting\EC\2016-09-06-refined-times.txt</v>
      </c>
      <c r="AI17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{"issue":{"subject":"","project_id":79,"tracker_id":40,"status_id":1,"priority_id":2,"assigned_to_id":23,"start_date":"2016-09-06","description":"","custom_fields":[{"id":1,"name":"Subdivision","value":"NW"},{"id":4,"name":"Milepost","value":"5.7922"},{"id":17,"name":"Train ID","value":"822-06"},{"id":16,"name":"Locomotive ID","value":"4017"},{"id":130,"name":"Impact","value":""},{"id":150,"name":"Time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471</v>
      </c>
      <c r="B180" s="7">
        <v>4018</v>
      </c>
      <c r="C180" s="24" t="s">
        <v>112</v>
      </c>
      <c r="D180" s="24" t="s">
        <v>706</v>
      </c>
      <c r="E180" s="15">
        <v>42619.592789351853</v>
      </c>
      <c r="F180" s="15">
        <v>42619.59814814815</v>
      </c>
      <c r="G180" s="7">
        <v>1</v>
      </c>
      <c r="H180" s="15" t="s">
        <v>335</v>
      </c>
      <c r="I180" s="15">
        <v>42619.607071759259</v>
      </c>
      <c r="J180" s="7">
        <v>0</v>
      </c>
      <c r="K180" s="132" t="str">
        <f t="shared" si="45"/>
        <v>4017/4018</v>
      </c>
      <c r="L180" s="24" t="str">
        <f>VLOOKUP(A180,'Trips&amp;Operators'!$C$1:$E$10000,3,FALSE)</f>
        <v>BRUDER</v>
      </c>
      <c r="M180" s="6">
        <f t="shared" si="46"/>
        <v>8.923611108912155E-3</v>
      </c>
      <c r="N180" s="7">
        <f t="shared" si="61"/>
        <v>12.849999996833503</v>
      </c>
      <c r="O180" s="7"/>
      <c r="P180" s="7"/>
      <c r="Q180" s="25"/>
      <c r="R180" s="25"/>
      <c r="S180" s="37">
        <f t="shared" si="47"/>
        <v>1</v>
      </c>
      <c r="T180" s="52" t="str">
        <f t="shared" si="48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13:13:37-0600',mode:absolute,to:'2016-09-06 15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0" s="54" t="str">
        <f t="shared" si="50"/>
        <v>N</v>
      </c>
      <c r="X180" s="120">
        <f t="shared" si="63"/>
        <v>1</v>
      </c>
      <c r="Y180" s="69">
        <f t="shared" si="51"/>
        <v>9.7600000000000006E-2</v>
      </c>
      <c r="Z180" s="69">
        <f t="shared" si="52"/>
        <v>5.8925999999999998</v>
      </c>
      <c r="AA180" s="69">
        <f t="shared" si="53"/>
        <v>5.7949999999999999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54"/>
        <v>0823-06</v>
      </c>
      <c r="AE18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0" s="96" t="str">
        <f t="shared" si="56"/>
        <v>"C:\Program Files (x86)\AstroGrep\AstroGrep.exe" /spath="%USERPROFILE%\AppData\Local\Temp\OnboardLogs" /stypes="*4018*20160906*" /stext=" 20:.+((SYSTEM_STATE.+slice.+state.+changed )|(ment ac)|(system.+state.+changed )|(\|lc)|(penalty)|(\[timeout)|(PRM\|1\|D)|(kpr)|(kdp))" /e /r /s</v>
      </c>
      <c r="AG180" s="1" t="str">
        <f t="shared" si="57"/>
        <v>NW</v>
      </c>
      <c r="AH180" s="100" t="str">
        <f t="shared" si="43"/>
        <v>"%USERPROFILE%\Documents\GitHub\eaglep3\Utilities\RefineRTDCRunTimes.py" --tripid 823-06 --locoid 4018 --swversion DE.1.0.7.0 --startMP 204:976 --initTime 2016-09-06T14:13:37 --startdatetime 2016-09-06T14:21:20 --delay 1 --endMP 300:58926 --enddatetime 2016-09-06T14:34:11 --enforcementcount 0 &gt;&gt;C:\Users\stu\Documents\GitHub\eaglep3-reporting\EC\2016-09-06-refined-times.txt</v>
      </c>
      <c r="AI180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{"issue":{"subject":"","project_id":79,"tracker_id":40,"status_id":1,"priority_id":2,"assigned_to_id":23,"start_date":"2016-09-06","description":"","custom_fields":[{"id":1,"name":"Subdivision","value":"NW"},{"id":4,"name":"Milepost","value":"5.795"},{"id":17,"name":"Train ID","value":"823-06"},{"id":16,"name":"Locomotive ID","value":"4018"},{"id":130,"name":"Impact","value":""},{"id":150,"name":"Time of Event (Mountain Time)","value":"14:34:11"},{"id":151,"name":"Denver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475</v>
      </c>
      <c r="B181" s="7">
        <v>4017</v>
      </c>
      <c r="C181" s="24" t="s">
        <v>112</v>
      </c>
      <c r="D181" s="24" t="s">
        <v>340</v>
      </c>
      <c r="E181" s="15">
        <v>42619.608344907407</v>
      </c>
      <c r="F181" s="15">
        <v>42619.609814814816</v>
      </c>
      <c r="G181" s="7">
        <v>1</v>
      </c>
      <c r="H181" s="15" t="s">
        <v>707</v>
      </c>
      <c r="I181" s="15">
        <v>42619.62128472222</v>
      </c>
      <c r="J181" s="7">
        <v>0</v>
      </c>
      <c r="K181" s="132" t="str">
        <f t="shared" si="45"/>
        <v>4017/4018</v>
      </c>
      <c r="L181" s="24" t="str">
        <f>VLOOKUP(A181,'Trips&amp;Operators'!$C$1:$E$10000,3,FALSE)</f>
        <v>BRUDER</v>
      </c>
      <c r="M181" s="6">
        <f t="shared" si="46"/>
        <v>1.1469907403807156E-2</v>
      </c>
      <c r="N181" s="7">
        <f t="shared" si="61"/>
        <v>16.516666661482304</v>
      </c>
      <c r="O181" s="7"/>
      <c r="P181" s="7"/>
      <c r="Q181" s="25"/>
      <c r="R181" s="25"/>
      <c r="S181" s="37">
        <f t="shared" si="47"/>
        <v>1</v>
      </c>
      <c r="T181" s="52" t="str">
        <f t="shared" si="48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13:36:01-0600',mode:absolute,to:'2016-09-06 15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1" s="54" t="str">
        <f t="shared" si="50"/>
        <v>N</v>
      </c>
      <c r="X181" s="120">
        <f t="shared" si="63"/>
        <v>1</v>
      </c>
      <c r="Y181" s="69">
        <f t="shared" si="51"/>
        <v>5.8615000000000004</v>
      </c>
      <c r="Z181" s="69">
        <f t="shared" si="52"/>
        <v>6.7299999999999999E-2</v>
      </c>
      <c r="AA181" s="69">
        <f t="shared" si="53"/>
        <v>5.7942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54"/>
        <v>0824-06</v>
      </c>
      <c r="AE18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1" s="96" t="str">
        <f t="shared" si="56"/>
        <v>"C:\Program Files (x86)\AstroGrep\AstroGrep.exe" /spath="%USERPROFILE%\AppData\Local\Temp\OnboardLogs" /stypes="*4017*20160906*" /stext=" 20:.+((SYSTEM_STATE.+slice.+state.+changed )|(ment ac)|(system.+state.+changed )|(\|lc)|(penalty)|(\[timeout)|(PRM\|1\|D)|(kpr)|(kdp))" /e /r /s</v>
      </c>
      <c r="AG181" s="1" t="str">
        <f t="shared" si="57"/>
        <v>NW</v>
      </c>
      <c r="AH181" s="100" t="str">
        <f t="shared" si="43"/>
        <v>"%USERPROFILE%\Documents\GitHub\eaglep3\Utilities\RefineRTDCRunTimes.py" --tripid 824-06 --locoid 4017 --swversion DE.1.0.7.0 --startMP 300:58615 --initTime 2016-09-06T14:36:01 --startdatetime 2016-09-06T14:38:08 --delay 1 --endMP 204:673 --enddatetime 2016-09-06T14:54:39 --enforcementcount 0 &gt;&gt;C:\Users\stu\Documents\GitHub\eaglep3-reporting\EC\2016-09-06-refined-times.txt</v>
      </c>
      <c r="AI181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{"issue":{"subject":"","project_id":79,"tracker_id":40,"status_id":1,"priority_id":2,"assigned_to_id":23,"start_date":"2016-09-06","description":"","custom_fields":[{"id":1,"name":"Subdivision","value":"NW"},{"id":4,"name":"Milepost","value":"5.7942"},{"id":17,"name":"Train ID","value":"824-06"},{"id":16,"name":"Locomotive ID","value":"4017"},{"id":130,"name":"Impact","value":""},{"id":150,"name":"Time of Event (Mountain Time)","value":"14:54:39"},{"id":151,"name":"Denver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481</v>
      </c>
      <c r="B182" s="7">
        <v>4018</v>
      </c>
      <c r="C182" s="24" t="s">
        <v>112</v>
      </c>
      <c r="D182" s="24" t="s">
        <v>289</v>
      </c>
      <c r="E182" s="15">
        <v>42619.63621527778</v>
      </c>
      <c r="F182" s="15">
        <v>42619.639803240738</v>
      </c>
      <c r="G182" s="7">
        <v>1</v>
      </c>
      <c r="H182" s="15" t="s">
        <v>708</v>
      </c>
      <c r="I182" s="15">
        <v>42619.649189814816</v>
      </c>
      <c r="J182" s="7">
        <v>0</v>
      </c>
      <c r="K182" s="132" t="str">
        <f t="shared" si="45"/>
        <v>4017/4018</v>
      </c>
      <c r="L182" s="24" t="str">
        <f>VLOOKUP(A182,'Trips&amp;Operators'!$C$1:$E$10000,3,FALSE)</f>
        <v>BRUDER</v>
      </c>
      <c r="M182" s="6">
        <f t="shared" si="46"/>
        <v>9.3865740782348439E-3</v>
      </c>
      <c r="N182" s="7">
        <f t="shared" si="61"/>
        <v>13.516666672658175</v>
      </c>
      <c r="O182" s="7"/>
      <c r="P182" s="7"/>
      <c r="Q182" s="25"/>
      <c r="R182" s="25"/>
      <c r="S182" s="37">
        <f t="shared" si="47"/>
        <v>1</v>
      </c>
      <c r="T182" s="52" t="str">
        <f t="shared" si="48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14:16:09-0600',mode:absolute,to:'2016-09-06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2" s="54" t="str">
        <f t="shared" si="50"/>
        <v>N</v>
      </c>
      <c r="X182" s="120">
        <f t="shared" si="63"/>
        <v>1</v>
      </c>
      <c r="Y182" s="69">
        <f t="shared" si="51"/>
        <v>9.7199999999999995E-2</v>
      </c>
      <c r="Z182" s="69">
        <f t="shared" si="52"/>
        <v>5.8936999999999999</v>
      </c>
      <c r="AA182" s="69">
        <f t="shared" si="53"/>
        <v>5.7965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54"/>
        <v>0825-06</v>
      </c>
      <c r="AE18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2" s="96" t="str">
        <f t="shared" si="56"/>
        <v>"C:\Program Files (x86)\AstroGrep\AstroGrep.exe" /spath="%USERPROFILE%\AppData\Local\Temp\OnboardLogs" /stypes="*4018*20160906*" /stext=" 21:.+((SYSTEM_STATE.+slice.+state.+changed )|(ment ac)|(system.+state.+changed )|(\|lc)|(penalty)|(\[timeout)|(PRM\|1\|D)|(kpr)|(kdp))" /e /r /s</v>
      </c>
      <c r="AG182" s="1" t="str">
        <f t="shared" si="57"/>
        <v>NW</v>
      </c>
      <c r="AH182" s="100" t="str">
        <f t="shared" si="43"/>
        <v>"%USERPROFILE%\Documents\GitHub\eaglep3\Utilities\RefineRTDCRunTimes.py" --tripid 825-06 --locoid 4018 --swversion DE.1.0.7.0 --startMP 204:972 --initTime 2016-09-06T15:16:09 --startdatetime 2016-09-06T15:21:19 --delay 1 --endMP 300:58937 --enddatetime 2016-09-06T15:34:50 --enforcementcount 0 &gt;&gt;C:\Users\stu\Documents\GitHub\eaglep3-reporting\EC\2016-09-06-refined-times.txt</v>
      </c>
      <c r="AI18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ID","value":"825-06"},{"id":16,"name":"Locomotive ID","value":"4018"},{"id":130,"name":"Impact","value":""},{"id":150,"name":"Time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488</v>
      </c>
      <c r="B183" s="7">
        <v>4017</v>
      </c>
      <c r="C183" s="24" t="s">
        <v>112</v>
      </c>
      <c r="D183" s="24" t="s">
        <v>286</v>
      </c>
      <c r="E183" s="15">
        <v>42619.651006944441</v>
      </c>
      <c r="F183" s="15">
        <v>42619.652546296296</v>
      </c>
      <c r="G183" s="7">
        <v>1</v>
      </c>
      <c r="H183" s="15" t="s">
        <v>679</v>
      </c>
      <c r="I183" s="15">
        <v>42619.663819444446</v>
      </c>
      <c r="J183" s="7">
        <v>0</v>
      </c>
      <c r="K183" s="132" t="str">
        <f t="shared" si="45"/>
        <v>4017/4018</v>
      </c>
      <c r="L183" s="24" t="str">
        <f>VLOOKUP(A183,'Trips&amp;Operators'!$C$1:$E$10000,3,FALSE)</f>
        <v>BRUDER</v>
      </c>
      <c r="M183" s="6">
        <f t="shared" si="46"/>
        <v>1.1273148149484769E-2</v>
      </c>
      <c r="N183" s="7">
        <f t="shared" si="61"/>
        <v>16.233333335258067</v>
      </c>
      <c r="O183" s="7"/>
      <c r="P183" s="7"/>
      <c r="Q183" s="25"/>
      <c r="R183" s="25"/>
      <c r="S183" s="37">
        <f t="shared" si="47"/>
        <v>1</v>
      </c>
      <c r="T183" s="52" t="str">
        <f t="shared" si="48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14:37:27-0600',mode:absolute,to:'2016-09-06 16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3" s="54" t="str">
        <f t="shared" si="50"/>
        <v>N</v>
      </c>
      <c r="X183" s="120">
        <f t="shared" si="63"/>
        <v>1</v>
      </c>
      <c r="Y183" s="69">
        <f t="shared" si="51"/>
        <v>5.8609</v>
      </c>
      <c r="Z183" s="69">
        <f t="shared" si="52"/>
        <v>7.1499999999999994E-2</v>
      </c>
      <c r="AA183" s="69">
        <f t="shared" si="53"/>
        <v>5.7893999999999997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54"/>
        <v>0826-06</v>
      </c>
      <c r="AE183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3" s="96" t="str">
        <f t="shared" si="56"/>
        <v>"C:\Program Files (x86)\AstroGrep\AstroGrep.exe" /spath="%USERPROFILE%\AppData\Local\Temp\OnboardLogs" /stypes="*4017*20160906*" /stext=" 21:.+((SYSTEM_STATE.+slice.+state.+changed )|(ment ac)|(system.+state.+changed )|(\|lc)|(penalty)|(\[timeout)|(PRM\|1\|D)|(kpr)|(kdp))" /e /r /s</v>
      </c>
      <c r="AG183" s="1" t="str">
        <f t="shared" si="57"/>
        <v>NW</v>
      </c>
      <c r="AH183" s="100" t="str">
        <f t="shared" si="43"/>
        <v>"%USERPROFILE%\Documents\GitHub\eaglep3\Utilities\RefineRTDCRunTimes.py" --tripid 826-06 --locoid 4017 --swversion DE.1.0.7.0 --startMP 300:58609 --initTime 2016-09-06T15:37:27 --startdatetime 2016-09-06T15:39:40 --delay 1 --endMP 204:715 --enddatetime 2016-09-06T15:55:54 --enforcementcount 0 &gt;&gt;C:\Users\stu\Documents\GitHub\eaglep3-reporting\EC\2016-09-06-refined-times.txt</v>
      </c>
      <c r="AI183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{"issue":{"subject":"","project_id":79,"tracker_id":40,"status_id":1,"priority_id":2,"assigned_to_id":23,"start_date":"2016-09-06","description":"","custom_fields":[{"id":1,"name":"Subdivision","value":"NW"},{"id":4,"name":"Milepost","value":"5.7894"},{"id":17,"name":"Train ID","value":"826-06"},{"id":16,"name":"Locomotive ID","value":"4017"},{"id":130,"name":"Impact","value":""},{"id":150,"name":"Time of Event (Mountain Time)","value":"15:55:54"},{"id":151,"name":"Denver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489</v>
      </c>
      <c r="B184" s="7">
        <v>4009</v>
      </c>
      <c r="C184" s="24" t="s">
        <v>112</v>
      </c>
      <c r="D184" s="24" t="s">
        <v>690</v>
      </c>
      <c r="E184" s="15">
        <v>42619.652812499997</v>
      </c>
      <c r="F184" s="15">
        <v>42619.660856481481</v>
      </c>
      <c r="G184" s="7">
        <v>1</v>
      </c>
      <c r="H184" s="15" t="s">
        <v>259</v>
      </c>
      <c r="I184" s="15">
        <v>42619.671064814815</v>
      </c>
      <c r="J184" s="7">
        <v>0</v>
      </c>
      <c r="K184" s="132" t="str">
        <f t="shared" si="45"/>
        <v>4009/4010</v>
      </c>
      <c r="L184" s="24" t="str">
        <f>VLOOKUP(A184,'Trips&amp;Operators'!$C$1:$E$10000,3,FALSE)</f>
        <v>BROWN</v>
      </c>
      <c r="M184" s="6">
        <f t="shared" si="46"/>
        <v>1.0208333333139308E-2</v>
      </c>
      <c r="N184" s="7">
        <f t="shared" si="61"/>
        <v>14.699999999720603</v>
      </c>
      <c r="O184" s="7"/>
      <c r="P184" s="7"/>
      <c r="Q184" s="25"/>
      <c r="R184" s="25"/>
      <c r="S184" s="37">
        <f t="shared" si="47"/>
        <v>1</v>
      </c>
      <c r="T184" s="52" t="str">
        <f t="shared" si="48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14:40:03-0600',mode:absolute,to:'2016-09-06 17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4" s="54" t="str">
        <f t="shared" si="50"/>
        <v>N</v>
      </c>
      <c r="X184" s="120">
        <f t="shared" si="63"/>
        <v>1</v>
      </c>
      <c r="Y184" s="69">
        <f t="shared" si="51"/>
        <v>0.1013</v>
      </c>
      <c r="Z184" s="69">
        <f t="shared" si="52"/>
        <v>5.8929</v>
      </c>
      <c r="AA184" s="69">
        <f t="shared" si="53"/>
        <v>5.7915999999999999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54"/>
        <v>0827-06</v>
      </c>
      <c r="AE184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84" s="96" t="str">
        <f t="shared" si="56"/>
        <v>"C:\Program Files (x86)\AstroGrep\AstroGrep.exe" /spath="%USERPROFILE%\AppData\Local\Temp\OnboardLogs" /stypes="*4009*20160906*" /stext=" 22:.+((SYSTEM_STATE.+slice.+state.+changed )|(ment ac)|(system.+state.+changed )|(\|lc)|(penalty)|(\[timeout)|(PRM\|1\|D)|(kpr)|(kdp))" /e /r /s</v>
      </c>
      <c r="AG184" s="1" t="str">
        <f t="shared" si="57"/>
        <v>NW</v>
      </c>
      <c r="AH184" s="100" t="str">
        <f t="shared" si="43"/>
        <v>"%USERPROFILE%\Documents\GitHub\eaglep3\Utilities\RefineRTDCRunTimes.py" --tripid 827-06 --locoid 4009 --swversion DE.1.0.7.0 --startMP 204:1013 --initTime 2016-09-06T15:40:03 --startdatetime 2016-09-06T15:51:38 --delay 1 --endMP 300:58929 --enddatetime 2016-09-06T16:06:20 --enforcementcount 0 &gt;&gt;C:\Users\stu\Documents\GitHub\eaglep3-reporting\EC\2016-09-06-refined-times.txt</v>
      </c>
      <c r="AI184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{"issue":{"subject":"","project_id":79,"tracker_id":40,"status_id":1,"priority_id":2,"assigned_to_id":23,"start_date":"2016-09-06","description":"","custom_fields":[{"id":1,"name":"Subdivision","value":"NW"},{"id":4,"name":"Milepost","value":"5.7916"},{"id":17,"name":"Train ID","value":"827-06"},{"id":16,"name":"Locomotive ID","value":"4009"},{"id":130,"name":"Impact","value":""},{"id":150,"name":"Time of Event (Mountain Time)","value":"16:06:20"},{"id":151,"name":"Denver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496</v>
      </c>
      <c r="B185" s="7">
        <v>4010</v>
      </c>
      <c r="C185" s="24" t="s">
        <v>112</v>
      </c>
      <c r="D185" s="24" t="s">
        <v>287</v>
      </c>
      <c r="E185" s="15">
        <v>42619.672534722224</v>
      </c>
      <c r="F185" s="15">
        <v>42619.674513888887</v>
      </c>
      <c r="G185" s="7">
        <v>1</v>
      </c>
      <c r="H185" s="15" t="s">
        <v>709</v>
      </c>
      <c r="I185" s="15">
        <v>42619.684537037036</v>
      </c>
      <c r="J185" s="7">
        <v>0</v>
      </c>
      <c r="K185" s="132" t="str">
        <f t="shared" si="45"/>
        <v>4009/4010</v>
      </c>
      <c r="L185" s="24" t="str">
        <f>VLOOKUP(A185,'Trips&amp;Operators'!$C$1:$E$10000,3,FALSE)</f>
        <v>BROWN</v>
      </c>
      <c r="M185" s="6">
        <f t="shared" si="46"/>
        <v>1.0023148148320615E-2</v>
      </c>
      <c r="N185" s="7">
        <f t="shared" si="61"/>
        <v>14.433333333581686</v>
      </c>
      <c r="O185" s="7"/>
      <c r="P185" s="7"/>
      <c r="Q185" s="25"/>
      <c r="R185" s="25"/>
      <c r="S185" s="37">
        <f t="shared" si="47"/>
        <v>1</v>
      </c>
      <c r="T185" s="52" t="str">
        <f t="shared" si="48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15:08:27-0600',mode:absolute,to:'2016-09-06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5" s="54" t="str">
        <f t="shared" si="50"/>
        <v>N</v>
      </c>
      <c r="X185" s="120">
        <f t="shared" si="63"/>
        <v>1</v>
      </c>
      <c r="Y185" s="69">
        <f t="shared" si="51"/>
        <v>5.8613</v>
      </c>
      <c r="Z185" s="69">
        <f t="shared" si="52"/>
        <v>8.3099999999999993E-2</v>
      </c>
      <c r="AA185" s="69">
        <f t="shared" si="53"/>
        <v>5.7782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54"/>
        <v>0828-06</v>
      </c>
      <c r="AE185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85" s="96" t="str">
        <f t="shared" si="56"/>
        <v>"C:\Program Files (x86)\AstroGrep\AstroGrep.exe" /spath="%USERPROFILE%\AppData\Local\Temp\OnboardLogs" /stypes="*4010*20160906*" /stext=" 22:.+((SYSTEM_STATE.+slice.+state.+changed )|(ment ac)|(system.+state.+changed )|(\|lc)|(penalty)|(\[timeout)|(PRM\|1\|D)|(kpr)|(kdp))" /e /r /s</v>
      </c>
      <c r="AG185" s="1" t="str">
        <f t="shared" si="57"/>
        <v>NW</v>
      </c>
      <c r="AH185" s="100" t="str">
        <f t="shared" si="43"/>
        <v>"%USERPROFILE%\Documents\GitHub\eaglep3\Utilities\RefineRTDCRunTimes.py" --tripid 828-06 --locoid 4010 --swversion DE.1.0.7.0 --startMP 300:58613 --initTime 2016-09-06T16:08:27 --startdatetime 2016-09-06T16:11:18 --delay 1 --endMP 204:831 --enddatetime 2016-09-06T16:25:44 --enforcementcount 0 &gt;&gt;C:\Users\stu\Documents\GitHub\eaglep3-reporting\EC\2016-09-06-refined-times.txt</v>
      </c>
      <c r="AI185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{"issue":{"subject":"","project_id":79,"tracker_id":40,"status_id":1,"priority_id":2,"assigned_to_id":23,"start_date":"2016-09-06","description":"","custom_fields":[{"id":1,"name":"Subdivision","value":"NW"},{"id":4,"name":"Milepost","value":"5.7782"},{"id":17,"name":"Train ID","value":"828-06"},{"id":16,"name":"Locomotive ID","value":"4010"},{"id":130,"name":"Impact","value":""},{"id":150,"name":"Time of Event (Mountain Time)","value":"16:25:44"},{"id":151,"name":"Denver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497</v>
      </c>
      <c r="B186" s="7">
        <v>4018</v>
      </c>
      <c r="C186" s="24" t="s">
        <v>112</v>
      </c>
      <c r="D186" s="24" t="s">
        <v>706</v>
      </c>
      <c r="E186" s="15">
        <v>42619.677395833336</v>
      </c>
      <c r="F186" s="15">
        <v>42619.681585648148</v>
      </c>
      <c r="G186" s="7">
        <v>1</v>
      </c>
      <c r="H186" s="15" t="s">
        <v>333</v>
      </c>
      <c r="I186" s="15">
        <v>42619.690659722219</v>
      </c>
      <c r="J186" s="7">
        <v>0</v>
      </c>
      <c r="K186" s="132" t="str">
        <f t="shared" si="45"/>
        <v>4017/4018</v>
      </c>
      <c r="L186" s="24" t="str">
        <f>VLOOKUP(A186,'Trips&amp;Operators'!$C$1:$E$10000,3,FALSE)</f>
        <v>BRUDER</v>
      </c>
      <c r="M186" s="6">
        <f t="shared" si="46"/>
        <v>9.074074070667848E-3</v>
      </c>
      <c r="N186" s="7">
        <f t="shared" si="61"/>
        <v>13.066666661761701</v>
      </c>
      <c r="O186" s="7"/>
      <c r="P186" s="7"/>
      <c r="Q186" s="25"/>
      <c r="R186" s="25"/>
      <c r="S186" s="37">
        <f t="shared" si="47"/>
        <v>1</v>
      </c>
      <c r="T186" s="52" t="str">
        <f t="shared" si="48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15:15:27-0600',mode:absolute,to:'2016-09-06 17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6" s="54" t="str">
        <f t="shared" si="50"/>
        <v>N</v>
      </c>
      <c r="X186" s="120">
        <f t="shared" si="63"/>
        <v>1</v>
      </c>
      <c r="Y186" s="69">
        <f t="shared" si="51"/>
        <v>9.7600000000000006E-2</v>
      </c>
      <c r="Z186" s="69">
        <f t="shared" si="52"/>
        <v>5.8930999999999996</v>
      </c>
      <c r="AA186" s="69">
        <f t="shared" si="53"/>
        <v>5.7954999999999997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54"/>
        <v>0829-06</v>
      </c>
      <c r="AE186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6" s="96" t="str">
        <f t="shared" si="56"/>
        <v>"C:\Program Files (x86)\AstroGrep\AstroGrep.exe" /spath="%USERPROFILE%\AppData\Local\Temp\OnboardLogs" /stypes="*4018*20160906*" /stext=" 22:.+((SYSTEM_STATE.+slice.+state.+changed )|(ment ac)|(system.+state.+changed )|(\|lc)|(penalty)|(\[timeout)|(PRM\|1\|D)|(kpr)|(kdp))" /e /r /s</v>
      </c>
      <c r="AG186" s="1" t="str">
        <f t="shared" si="57"/>
        <v>NW</v>
      </c>
      <c r="AH186" s="100" t="str">
        <f t="shared" si="43"/>
        <v>"%USERPROFILE%\Documents\GitHub\eaglep3\Utilities\RefineRTDCRunTimes.py" --tripid 829-06 --locoid 4018 --swversion DE.1.0.7.0 --startMP 204:976 --initTime 2016-09-06T16:15:27 --startdatetime 2016-09-06T16:21:29 --delay 1 --endMP 300:58931 --enddatetime 2016-09-06T16:34:33 --enforcementcount 0 &gt;&gt;C:\Users\stu\Documents\GitHub\eaglep3-reporting\EC\2016-09-06-refined-times.txt</v>
      </c>
      <c r="AI186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{"issue":{"subject":"","project_id":79,"tracker_id":40,"status_id":1,"priority_id":2,"assigned_to_id":23,"start_date":"2016-09-06","description":"","custom_fields":[{"id":1,"name":"Subdivision","value":"NW"},{"id":4,"name":"Milepost","value":"5.7955"},{"id":17,"name":"Train ID","value":"829-06"},{"id":16,"name":"Locomotive ID","value":"4018"},{"id":130,"name":"Impact","value":""},{"id":150,"name":"Time of Event (Mountain Time)","value":"16:34:33"},{"id":151,"name":"Denver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500</v>
      </c>
      <c r="B187" s="7">
        <v>4017</v>
      </c>
      <c r="C187" s="24" t="s">
        <v>112</v>
      </c>
      <c r="D187" s="24" t="s">
        <v>287</v>
      </c>
      <c r="E187" s="15">
        <v>42619.692407407405</v>
      </c>
      <c r="F187" s="15">
        <v>42619.693935185183</v>
      </c>
      <c r="G187" s="7">
        <v>1</v>
      </c>
      <c r="H187" s="15" t="s">
        <v>342</v>
      </c>
      <c r="I187" s="15">
        <v>42619.706701388888</v>
      </c>
      <c r="J187" s="7">
        <v>0</v>
      </c>
      <c r="K187" s="132" t="str">
        <f t="shared" si="45"/>
        <v>4017/4018</v>
      </c>
      <c r="L187" s="24" t="str">
        <f>VLOOKUP(A187,'Trips&amp;Operators'!$C$1:$E$10000,3,FALSE)</f>
        <v>BRUDER</v>
      </c>
      <c r="M187" s="6">
        <f t="shared" si="46"/>
        <v>1.2766203704813961E-2</v>
      </c>
      <c r="N187" s="7">
        <f t="shared" si="61"/>
        <v>18.383333334932104</v>
      </c>
      <c r="O187" s="7"/>
      <c r="P187" s="7"/>
      <c r="Q187" s="25"/>
      <c r="R187" s="25"/>
      <c r="S187" s="37">
        <f t="shared" si="47"/>
        <v>1</v>
      </c>
      <c r="T187" s="52" t="str">
        <f t="shared" si="48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15:37:04-0600',mode:absolute,to:'2016-09-06 17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7" s="54" t="str">
        <f t="shared" si="50"/>
        <v>N</v>
      </c>
      <c r="X187" s="120">
        <f t="shared" si="63"/>
        <v>1</v>
      </c>
      <c r="Y187" s="69">
        <f t="shared" si="51"/>
        <v>5.8613</v>
      </c>
      <c r="Z187" s="69">
        <f t="shared" si="52"/>
        <v>6.8900000000000003E-2</v>
      </c>
      <c r="AA187" s="69">
        <f t="shared" si="53"/>
        <v>5.7923999999999998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54"/>
        <v>0830-06</v>
      </c>
      <c r="AE18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7" s="96" t="str">
        <f t="shared" si="56"/>
        <v>"C:\Program Files (x86)\AstroGrep\AstroGrep.exe" /spath="%USERPROFILE%\AppData\Local\Temp\OnboardLogs" /stypes="*4017*20160906*" /stext=" 22:.+((SYSTEM_STATE.+slice.+state.+changed )|(ment ac)|(system.+state.+changed )|(\|lc)|(penalty)|(\[timeout)|(PRM\|1\|D)|(kpr)|(kdp))" /e /r /s</v>
      </c>
      <c r="AG187" s="1" t="str">
        <f t="shared" si="57"/>
        <v>NW</v>
      </c>
      <c r="AH187" s="100" t="str">
        <f t="shared" si="43"/>
        <v>"%USERPROFILE%\Documents\GitHub\eaglep3\Utilities\RefineRTDCRunTimes.py" --tripid 830-06 --locoid 4017 --swversion DE.1.0.7.0 --startMP 300:58613 --initTime 2016-09-06T16:37:04 --startdatetime 2016-09-06T16:39:16 --delay 1 --endMP 204:689 --enddatetime 2016-09-06T16:57:39 --enforcementcount 0 &gt;&gt;C:\Users\stu\Documents\GitHub\eaglep3-reporting\EC\2016-09-06-refined-times.txt</v>
      </c>
      <c r="AI18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{"issue":{"subject":"","project_id":79,"tracker_id":40,"status_id":1,"priority_id":2,"assigned_to_id":23,"start_date":"2016-09-06","description":"","custom_fields":[{"id":1,"name":"Subdivision","value":"NW"},{"id":4,"name":"Milepost","value":"5.7924"},{"id":17,"name":"Train ID","value":"830-06"},{"id":16,"name":"Locomotive ID","value":"4017"},{"id":130,"name":"Impact","value":""},{"id":150,"name":"Time of Event (Mountain Time)","value":"16:57:39"},{"id":151,"name":"Denver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502</v>
      </c>
      <c r="B188" s="7">
        <v>4009</v>
      </c>
      <c r="C188" s="24" t="s">
        <v>112</v>
      </c>
      <c r="D188" s="24" t="s">
        <v>710</v>
      </c>
      <c r="E188" s="15">
        <v>42619.693229166667</v>
      </c>
      <c r="F188" s="15">
        <v>42619.702361111114</v>
      </c>
      <c r="G188" s="7">
        <v>1</v>
      </c>
      <c r="H188" s="15" t="s">
        <v>711</v>
      </c>
      <c r="I188" s="15">
        <v>42619.71199074074</v>
      </c>
      <c r="J188" s="7">
        <v>0</v>
      </c>
      <c r="K188" s="132" t="str">
        <f t="shared" si="45"/>
        <v>4009/4010</v>
      </c>
      <c r="L188" s="24" t="str">
        <f>VLOOKUP(A188,'Trips&amp;Operators'!$C$1:$E$10000,3,FALSE)</f>
        <v>BROWN</v>
      </c>
      <c r="M188" s="6">
        <f t="shared" si="46"/>
        <v>9.6296296251239255E-3</v>
      </c>
      <c r="N188" s="7">
        <f t="shared" si="61"/>
        <v>13.866666660178453</v>
      </c>
      <c r="O188" s="7"/>
      <c r="P188" s="7"/>
      <c r="Q188" s="25"/>
      <c r="R188" s="25"/>
      <c r="S188" s="37">
        <f t="shared" si="47"/>
        <v>1</v>
      </c>
      <c r="T188" s="52" t="str">
        <f t="shared" si="48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15:38:15-0600',mode:absolute,to:'2016-09-06 18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8" s="54" t="str">
        <f t="shared" si="50"/>
        <v>N</v>
      </c>
      <c r="X188" s="120">
        <f t="shared" si="63"/>
        <v>1</v>
      </c>
      <c r="Y188" s="69">
        <f t="shared" si="51"/>
        <v>0.1142</v>
      </c>
      <c r="Z188" s="69">
        <f t="shared" si="52"/>
        <v>5.8954000000000004</v>
      </c>
      <c r="AA188" s="69">
        <f t="shared" si="53"/>
        <v>5.7812000000000001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54"/>
        <v>0831-06</v>
      </c>
      <c r="AE188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88" s="96" t="str">
        <f t="shared" si="56"/>
        <v>"C:\Program Files (x86)\AstroGrep\AstroGrep.exe" /spath="%USERPROFILE%\AppData\Local\Temp\OnboardLogs" /stypes="*4009*20160906*" /stext=" 23:.+((SYSTEM_STATE.+slice.+state.+changed )|(ment ac)|(system.+state.+changed )|(\|lc)|(penalty)|(\[timeout)|(PRM\|1\|D)|(kpr)|(kdp))" /e /r /s</v>
      </c>
      <c r="AG188" s="1" t="str">
        <f t="shared" si="57"/>
        <v>NW</v>
      </c>
      <c r="AH188" s="100" t="str">
        <f t="shared" si="43"/>
        <v>"%USERPROFILE%\Documents\GitHub\eaglep3\Utilities\RefineRTDCRunTimes.py" --tripid 831-06 --locoid 4009 --swversion DE.1.0.7.0 --startMP 204:1142 --initTime 2016-09-06T16:38:15 --startdatetime 2016-09-06T16:51:24 --delay 1 --endMP 300:58954 --enddatetime 2016-09-06T17:05:16 --enforcementcount 0 &gt;&gt;C:\Users\stu\Documents\GitHub\eaglep3-reporting\EC\2016-09-06-refined-times.txt</v>
      </c>
      <c r="AI18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{"issue":{"subject":"","project_id":79,"tracker_id":40,"status_id":1,"priority_id":2,"assigned_to_id":23,"start_date":"2016-09-06","description":"","custom_fields":[{"id":1,"name":"Subdivision","value":"NW"},{"id":4,"name":"Milepost","value":"5.7812"},{"id":17,"name":"Train ID","value":"831-06"},{"id":16,"name":"Locomotive ID","value":"4009"},{"id":130,"name":"Impact","value":""},{"id":150,"name":"Time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507</v>
      </c>
      <c r="B189" s="7">
        <v>4010</v>
      </c>
      <c r="C189" s="24" t="s">
        <v>112</v>
      </c>
      <c r="D189" s="24" t="s">
        <v>339</v>
      </c>
      <c r="E189" s="15">
        <v>42619.714375000003</v>
      </c>
      <c r="F189" s="15">
        <v>42619.716423611113</v>
      </c>
      <c r="G189" s="7">
        <v>1</v>
      </c>
      <c r="H189" s="15" t="s">
        <v>712</v>
      </c>
      <c r="I189" s="15">
        <v>42619.729016203702</v>
      </c>
      <c r="J189" s="7">
        <v>0</v>
      </c>
      <c r="K189" s="132" t="str">
        <f t="shared" si="45"/>
        <v>4009/4010</v>
      </c>
      <c r="L189" s="24" t="str">
        <f>VLOOKUP(A189,'Trips&amp;Operators'!$C$1:$E$10000,3,FALSE)</f>
        <v>BROWN</v>
      </c>
      <c r="M189" s="6">
        <f t="shared" si="46"/>
        <v>1.2592592589498963E-2</v>
      </c>
      <c r="N189" s="7">
        <f t="shared" si="61"/>
        <v>18.133333328878507</v>
      </c>
      <c r="O189" s="7"/>
      <c r="P189" s="7"/>
      <c r="Q189" s="25"/>
      <c r="R189" s="25"/>
      <c r="S189" s="37">
        <f t="shared" si="47"/>
        <v>1</v>
      </c>
      <c r="T189" s="52" t="str">
        <f t="shared" si="48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16:08:42-0600',mode:absolute,to:'2016-09-06 18:29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9" s="54" t="str">
        <f t="shared" si="50"/>
        <v>N</v>
      </c>
      <c r="X189" s="120">
        <f t="shared" si="63"/>
        <v>1</v>
      </c>
      <c r="Y189" s="69">
        <f t="shared" si="51"/>
        <v>5.8647</v>
      </c>
      <c r="Z189" s="69">
        <f t="shared" si="52"/>
        <v>7.4800000000000005E-2</v>
      </c>
      <c r="AA189" s="69">
        <f t="shared" si="53"/>
        <v>5.7899000000000003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54"/>
        <v>0832-06</v>
      </c>
      <c r="AE189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89" s="96" t="str">
        <f t="shared" si="56"/>
        <v>"C:\Program Files (x86)\AstroGrep\AstroGrep.exe" /spath="%USERPROFILE%\AppData\Local\Temp\OnboardLogs" /stypes="*4010*20160906*" /stext=" 23:.+((SYSTEM_STATE.+slice.+state.+changed )|(ment ac)|(system.+state.+changed )|(\|lc)|(penalty)|(\[timeout)|(PRM\|1\|D)|(kpr)|(kdp))" /e /r /s</v>
      </c>
      <c r="AG189" s="1" t="str">
        <f t="shared" si="57"/>
        <v>NW</v>
      </c>
      <c r="AH189" s="100" t="str">
        <f t="shared" si="43"/>
        <v>"%USERPROFILE%\Documents\GitHub\eaglep3\Utilities\RefineRTDCRunTimes.py" --tripid 832-06 --locoid 4010 --swversion DE.1.0.7.0 --startMP 300:58647 --initTime 2016-09-06T17:08:42 --startdatetime 2016-09-06T17:11:39 --delay 1 --endMP 204:748 --enddatetime 2016-09-06T17:29:47 --enforcementcount 0 &gt;&gt;C:\Users\stu\Documents\GitHub\eaglep3-reporting\EC\2016-09-06-refined-times.txt</v>
      </c>
      <c r="AI18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{"issue":{"subject":"","project_id":79,"tracker_id":40,"status_id":1,"priority_id":2,"assigned_to_id":23,"start_date":"2016-09-06","description":"","custom_fields":[{"id":1,"name":"Subdivision","value":"NW"},{"id":4,"name":"Milepost","value":"5.7899"},{"id":17,"name":"Train ID","value":"832-06"},{"id":16,"name":"Locomotive ID","value":"4010"},{"id":130,"name":"Impact","value":""},{"id":150,"name":"Time of Event (Mountain Time)","value":"17:29:47"},{"id":151,"name":"Denver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509</v>
      </c>
      <c r="B190" s="7">
        <v>4018</v>
      </c>
      <c r="C190" s="24" t="s">
        <v>112</v>
      </c>
      <c r="D190" s="24" t="s">
        <v>288</v>
      </c>
      <c r="E190" s="15">
        <v>42619.718252314815</v>
      </c>
      <c r="F190" s="15">
        <v>42619.723113425927</v>
      </c>
      <c r="G190" s="7">
        <v>1</v>
      </c>
      <c r="H190" s="15" t="s">
        <v>335</v>
      </c>
      <c r="I190" s="15">
        <v>42619.732256944444</v>
      </c>
      <c r="J190" s="7">
        <v>0</v>
      </c>
      <c r="K190" s="132" t="str">
        <f t="shared" si="45"/>
        <v>4017/4018</v>
      </c>
      <c r="L190" s="24" t="str">
        <f>VLOOKUP(A190,'Trips&amp;Operators'!$C$1:$E$10000,3,FALSE)</f>
        <v>BRUDER</v>
      </c>
      <c r="M190" s="6">
        <f t="shared" si="46"/>
        <v>9.1435185167938471E-3</v>
      </c>
      <c r="N190" s="7">
        <f t="shared" si="61"/>
        <v>13.16666666418314</v>
      </c>
      <c r="O190" s="7"/>
      <c r="P190" s="7"/>
      <c r="Q190" s="25"/>
      <c r="R190" s="25"/>
      <c r="S190" s="37">
        <f t="shared" si="47"/>
        <v>1</v>
      </c>
      <c r="T190" s="52" t="str">
        <f t="shared" si="48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16:14:17-0600',mode:absolute,to:'2016-09-06 18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0" s="54" t="str">
        <f t="shared" si="50"/>
        <v>N</v>
      </c>
      <c r="X190" s="120">
        <f t="shared" si="63"/>
        <v>1</v>
      </c>
      <c r="Y190" s="69">
        <f t="shared" si="51"/>
        <v>9.7100000000000006E-2</v>
      </c>
      <c r="Z190" s="69">
        <f t="shared" si="52"/>
        <v>5.8925999999999998</v>
      </c>
      <c r="AA190" s="69">
        <f t="shared" si="53"/>
        <v>5.7954999999999997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54"/>
        <v>0833-06</v>
      </c>
      <c r="AE19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0" s="96" t="str">
        <f t="shared" si="56"/>
        <v>"C:\Program Files (x86)\AstroGrep\AstroGrep.exe" /spath="%USERPROFILE%\AppData\Local\Temp\OnboardLogs" /stypes="*4018*20160906*" /stext=" 23:.+((SYSTEM_STATE.+slice.+state.+changed )|(ment ac)|(system.+state.+changed )|(\|lc)|(penalty)|(\[timeout)|(PRM\|1\|D)|(kpr)|(kdp))" /e /r /s</v>
      </c>
      <c r="AG190" s="1" t="str">
        <f t="shared" si="57"/>
        <v>NW</v>
      </c>
      <c r="AH190" s="100" t="str">
        <f t="shared" si="43"/>
        <v>"%USERPROFILE%\Documents\GitHub\eaglep3\Utilities\RefineRTDCRunTimes.py" --tripid 833-06 --locoid 4018 --swversion DE.1.0.7.0 --startMP 204:971 --initTime 2016-09-06T17:14:17 --startdatetime 2016-09-06T17:21:17 --delay 1 --endMP 300:58926 --enddatetime 2016-09-06T17:34:27 --enforcementcount 0 &gt;&gt;C:\Users\stu\Documents\GitHub\eaglep3-reporting\EC\2016-09-06-refined-times.txt</v>
      </c>
      <c r="AI190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{"issue":{"subject":"","project_id":79,"tracker_id":40,"status_id":1,"priority_id":2,"assigned_to_id":23,"start_date":"2016-09-06","description":"","custom_fields":[{"id":1,"name":"Subdivision","value":"NW"},{"id":4,"name":"Milepost","value":"5.7955"},{"id":17,"name":"Train ID","value":"833-06"},{"id":16,"name":"Locomotive ID","value":"4018"},{"id":130,"name":"Impact","value":""},{"id":150,"name":"Time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514</v>
      </c>
      <c r="B191" s="7">
        <v>4017</v>
      </c>
      <c r="C191" s="24" t="s">
        <v>112</v>
      </c>
      <c r="D191" s="24" t="s">
        <v>713</v>
      </c>
      <c r="E191" s="15">
        <v>42619.734768518516</v>
      </c>
      <c r="F191" s="15">
        <v>42619.736261574071</v>
      </c>
      <c r="G191" s="7">
        <v>1</v>
      </c>
      <c r="H191" s="15" t="s">
        <v>714</v>
      </c>
      <c r="I191" s="15">
        <v>42619.746793981481</v>
      </c>
      <c r="J191" s="7">
        <v>0</v>
      </c>
      <c r="K191" s="132" t="str">
        <f t="shared" si="45"/>
        <v>4017/4018</v>
      </c>
      <c r="L191" s="24" t="str">
        <f>VLOOKUP(A191,'Trips&amp;Operators'!$C$1:$E$10000,3,FALSE)</f>
        <v>BRUDER</v>
      </c>
      <c r="M191" s="6">
        <f t="shared" si="46"/>
        <v>1.0532407410209998E-2</v>
      </c>
      <c r="N191" s="7">
        <f t="shared" si="61"/>
        <v>15.166666670702398</v>
      </c>
      <c r="O191" s="7"/>
      <c r="P191" s="7"/>
      <c r="Q191" s="25"/>
      <c r="R191" s="25"/>
      <c r="S191" s="37">
        <f t="shared" si="47"/>
        <v>1</v>
      </c>
      <c r="T191" s="52" t="str">
        <f t="shared" si="48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16:38:04-0600',mode:absolute,to:'2016-09-06 18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1" s="54" t="str">
        <f t="shared" si="50"/>
        <v>N</v>
      </c>
      <c r="X191" s="120">
        <f t="shared" si="63"/>
        <v>1</v>
      </c>
      <c r="Y191" s="69">
        <f t="shared" si="51"/>
        <v>5.8608000000000002</v>
      </c>
      <c r="Z191" s="69">
        <f t="shared" si="52"/>
        <v>6.8699999999999997E-2</v>
      </c>
      <c r="AA191" s="69">
        <f t="shared" si="53"/>
        <v>5.7921000000000005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54"/>
        <v>0834-06</v>
      </c>
      <c r="AE19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1" s="96" t="str">
        <f t="shared" si="56"/>
        <v>"C:\Program Files (x86)\AstroGrep\AstroGrep.exe" /spath="%USERPROFILE%\AppData\Local\Temp\OnboardLogs" /stypes="*4017*20160906*" /stext=" 23:.+((SYSTEM_STATE.+slice.+state.+changed )|(ment ac)|(system.+state.+changed )|(\|lc)|(penalty)|(\[timeout)|(PRM\|1\|D)|(kpr)|(kdp))" /e /r /s</v>
      </c>
      <c r="AG191" s="1" t="str">
        <f t="shared" si="57"/>
        <v>NW</v>
      </c>
      <c r="AH191" s="100" t="str">
        <f t="shared" si="43"/>
        <v>"%USERPROFILE%\Documents\GitHub\eaglep3\Utilities\RefineRTDCRunTimes.py" --tripid 834-06 --locoid 4017 --swversion DE.1.0.7.0 --startMP 300:58608 --initTime 2016-09-06T17:38:04 --startdatetime 2016-09-06T17:40:13 --delay 1 --endMP 204:687 --enddatetime 2016-09-06T17:55:23 --enforcementcount 0 &gt;&gt;C:\Users\stu\Documents\GitHub\eaglep3-reporting\EC\2016-09-06-refined-times.txt</v>
      </c>
      <c r="AI191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{"issue":{"subject":"","project_id":79,"tracker_id":40,"status_id":1,"priority_id":2,"assigned_to_id":23,"start_date":"2016-09-06","description":"","custom_fields":[{"id":1,"name":"Subdivision","value":"NW"},{"id":4,"name":"Milepost","value":"5.7921"},{"id":17,"name":"Train ID","value":"834-06"},{"id":16,"name":"Locomotive ID","value":"4017"},{"id":130,"name":"Impact","value":""},{"id":150,"name":"Time of Event (Mountain Time)","value":"17:55:23"},{"id":151,"name":"Denver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518</v>
      </c>
      <c r="B192" s="7">
        <v>4009</v>
      </c>
      <c r="C192" s="24" t="s">
        <v>112</v>
      </c>
      <c r="D192" s="24" t="s">
        <v>680</v>
      </c>
      <c r="E192" s="15">
        <v>42619.740810185183</v>
      </c>
      <c r="F192" s="15">
        <v>42619.743946759256</v>
      </c>
      <c r="G192" s="7">
        <v>1</v>
      </c>
      <c r="H192" s="15" t="s">
        <v>338</v>
      </c>
      <c r="I192" s="15">
        <v>42619.753553240742</v>
      </c>
      <c r="J192" s="7">
        <v>0</v>
      </c>
      <c r="K192" s="132" t="str">
        <f t="shared" si="45"/>
        <v>4009/4010</v>
      </c>
      <c r="L192" s="24" t="str">
        <f>VLOOKUP(A192,'Trips&amp;Operators'!$C$1:$E$10000,3,FALSE)</f>
        <v>BROWN</v>
      </c>
      <c r="M192" s="6">
        <f t="shared" si="46"/>
        <v>9.606481486116536E-3</v>
      </c>
      <c r="N192" s="7">
        <f t="shared" si="61"/>
        <v>13.833333340007812</v>
      </c>
      <c r="O192" s="7"/>
      <c r="P192" s="7"/>
      <c r="Q192" s="25"/>
      <c r="R192" s="25"/>
      <c r="S192" s="37">
        <f t="shared" si="47"/>
        <v>1</v>
      </c>
      <c r="T192" s="52" t="str">
        <f t="shared" si="48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16:46:46-0600',mode:absolute,to:'2016-09-06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2" s="54" t="str">
        <f t="shared" si="50"/>
        <v>N</v>
      </c>
      <c r="X192" s="120">
        <f t="shared" si="63"/>
        <v>1</v>
      </c>
      <c r="Y192" s="69">
        <f t="shared" si="51"/>
        <v>0.10340000000000001</v>
      </c>
      <c r="Z192" s="69">
        <f t="shared" si="52"/>
        <v>5.8935000000000004</v>
      </c>
      <c r="AA192" s="69">
        <f t="shared" si="53"/>
        <v>5.7901000000000007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54"/>
        <v>0835-06</v>
      </c>
      <c r="AE192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92" s="96" t="str">
        <f t="shared" si="56"/>
        <v>"C:\Program Files (x86)\AstroGrep\AstroGrep.exe" /spath="%USERPROFILE%\AppData\Local\Temp\OnboardLogs" /stypes="*4009*20160907*" /stext=" 00:.+((SYSTEM_STATE.+slice.+state.+changed )|(ment ac)|(system.+state.+changed )|(\|lc)|(penalty)|(\[timeout)|(PRM\|1\|D)|(kpr)|(kdp))" /e /r /s</v>
      </c>
      <c r="AG192" s="1" t="str">
        <f t="shared" si="57"/>
        <v>NW</v>
      </c>
      <c r="AH192" s="100" t="str">
        <f t="shared" si="43"/>
        <v>"%USERPROFILE%\Documents\GitHub\eaglep3\Utilities\RefineRTDCRunTimes.py" --tripid 835-06 --locoid 4009 --swversion DE.1.0.7.0 --startMP 204:1034 --initTime 2016-09-06T17:46:46 --startdatetime 2016-09-06T17:51:17 --delay 1 --endMP 300:58935 --enddatetime 2016-09-06T18:05:07 --enforcementcount 0 &gt;&gt;C:\Users\stu\Documents\GitHub\eaglep3-reporting\EC\2016-09-06-refined-times.txt</v>
      </c>
      <c r="AI19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{"issue":{"subject":"","project_id":79,"tracker_id":40,"status_id":1,"priority_id":2,"assigned_to_id":23,"start_date":"2016-09-06","description":"","custom_fields":[{"id":1,"name":"Subdivision","value":"NW"},{"id":4,"name":"Milepost","value":"5.7901"},{"id":17,"name":"Train ID","value":"835-06"},{"id":16,"name":"Locomotive ID","value":"4009"},{"id":130,"name":"Impact","value":""},{"id":150,"name":"Time of Event (Mountain Time)","value":"18:05:07"},{"id":151,"name":"Denver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525</v>
      </c>
      <c r="B193" s="7">
        <v>4010</v>
      </c>
      <c r="C193" s="24" t="s">
        <v>112</v>
      </c>
      <c r="D193" s="24" t="s">
        <v>671</v>
      </c>
      <c r="E193" s="15">
        <v>42619.755520833336</v>
      </c>
      <c r="F193" s="15">
        <v>42619.757592592592</v>
      </c>
      <c r="G193" s="7">
        <v>1</v>
      </c>
      <c r="H193" s="15" t="s">
        <v>715</v>
      </c>
      <c r="I193" s="15">
        <v>42619.768194444441</v>
      </c>
      <c r="J193" s="7">
        <v>0</v>
      </c>
      <c r="K193" s="132" t="str">
        <f t="shared" si="45"/>
        <v>4009/4010</v>
      </c>
      <c r="L193" s="24" t="str">
        <f>VLOOKUP(A193,'Trips&amp;Operators'!$C$1:$E$10000,3,FALSE)</f>
        <v>BROWN</v>
      </c>
      <c r="M193" s="6">
        <f t="shared" si="46"/>
        <v>1.060185184906004E-2</v>
      </c>
      <c r="N193" s="7">
        <f t="shared" si="61"/>
        <v>15.266666662646458</v>
      </c>
      <c r="O193" s="7"/>
      <c r="P193" s="7"/>
      <c r="Q193" s="25"/>
      <c r="R193" s="25"/>
      <c r="S193" s="37">
        <f t="shared" si="47"/>
        <v>1</v>
      </c>
      <c r="T193" s="52" t="str">
        <f t="shared" si="48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17:07:57-0600',mode:absolute,to:'2016-09-06 19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93" s="54" t="str">
        <f t="shared" si="50"/>
        <v>N</v>
      </c>
      <c r="X193" s="120">
        <f t="shared" si="63"/>
        <v>1</v>
      </c>
      <c r="Y193" s="69">
        <f t="shared" si="51"/>
        <v>5.8616999999999999</v>
      </c>
      <c r="Z193" s="69">
        <f t="shared" si="52"/>
        <v>7.4300000000000005E-2</v>
      </c>
      <c r="AA193" s="69">
        <f t="shared" si="53"/>
        <v>5.7873999999999999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54"/>
        <v>0836-06</v>
      </c>
      <c r="AE193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93" s="96" t="str">
        <f t="shared" si="56"/>
        <v>"C:\Program Files (x86)\AstroGrep\AstroGrep.exe" /spath="%USERPROFILE%\AppData\Local\Temp\OnboardLogs" /stypes="*4010*20160907*" /stext=" 00:.+((SYSTEM_STATE.+slice.+state.+changed )|(ment ac)|(system.+state.+changed )|(\|lc)|(penalty)|(\[timeout)|(PRM\|1\|D)|(kpr)|(kdp))" /e /r /s</v>
      </c>
      <c r="AG193" s="1" t="str">
        <f t="shared" si="57"/>
        <v>NW</v>
      </c>
      <c r="AH193" s="100" t="str">
        <f t="shared" si="43"/>
        <v>"%USERPROFILE%\Documents\GitHub\eaglep3\Utilities\RefineRTDCRunTimes.py" --tripid 836-06 --locoid 4010 --swversion DE.1.0.7.0 --startMP 300:58617 --initTime 2016-09-06T18:07:57 --startdatetime 2016-09-06T18:10:56 --delay 1 --endMP 204:743 --enddatetime 2016-09-06T18:26:12 --enforcementcount 0 &gt;&gt;C:\Users\stu\Documents\GitHub\eaglep3-reporting\EC\2016-09-06-refined-times.txt</v>
      </c>
      <c r="AI193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{"issue":{"subject":"","project_id":79,"tracker_id":40,"status_id":1,"priority_id":2,"assigned_to_id":23,"start_date":"2016-09-06","description":"","custom_fields":[{"id":1,"name":"Subdivision","value":"NW"},{"id":4,"name":"Milepost","value":"5.7874"},{"id":17,"name":"Train ID","value":"836-06"},{"id":16,"name":"Locomotive ID","value":"4010"},{"id":130,"name":"Impact","value":""},{"id":150,"name":"Time of Event (Mountain Time)","value":"18:26:12"},{"id":151,"name":"Denver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528</v>
      </c>
      <c r="B194" s="7">
        <v>4018</v>
      </c>
      <c r="C194" s="24" t="s">
        <v>112</v>
      </c>
      <c r="D194" s="24" t="s">
        <v>716</v>
      </c>
      <c r="E194" s="15">
        <v>42619.759525462963</v>
      </c>
      <c r="F194" s="15">
        <v>42619.764791666668</v>
      </c>
      <c r="G194" s="7">
        <v>1</v>
      </c>
      <c r="H194" s="15" t="s">
        <v>259</v>
      </c>
      <c r="I194" s="15">
        <v>42619.774525462963</v>
      </c>
      <c r="J194" s="7">
        <v>0</v>
      </c>
      <c r="K194" s="132" t="str">
        <f t="shared" si="45"/>
        <v>4017/4018</v>
      </c>
      <c r="L194" s="24" t="str">
        <f>VLOOKUP(A194,'Trips&amp;Operators'!$C$1:$E$10000,3,FALSE)</f>
        <v>BRUDER</v>
      </c>
      <c r="M194" s="6">
        <f t="shared" si="46"/>
        <v>9.7337962943129241E-3</v>
      </c>
      <c r="N194" s="7">
        <f t="shared" ref="N194:N222" si="64">24*60*SUM($M194:$M194)</f>
        <v>14.016666663810611</v>
      </c>
      <c r="O194" s="7"/>
      <c r="P194" s="7"/>
      <c r="Q194" s="25"/>
      <c r="R194" s="25"/>
      <c r="S194" s="37">
        <f t="shared" si="47"/>
        <v>1</v>
      </c>
      <c r="T194" s="52" t="str">
        <f t="shared" si="48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17:13:43-0600',mode:absolute,to:'2016-09-06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4" s="54" t="str">
        <f t="shared" si="50"/>
        <v>N</v>
      </c>
      <c r="X194" s="120">
        <f t="shared" si="63"/>
        <v>1</v>
      </c>
      <c r="Y194" s="69">
        <f t="shared" si="51"/>
        <v>9.64E-2</v>
      </c>
      <c r="Z194" s="69">
        <f t="shared" si="52"/>
        <v>5.8929</v>
      </c>
      <c r="AA194" s="69">
        <f t="shared" si="53"/>
        <v>5.7965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54"/>
        <v>0837-06</v>
      </c>
      <c r="AE19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4" s="96" t="str">
        <f t="shared" si="56"/>
        <v>"C:\Program Files (x86)\AstroGrep\AstroGrep.exe" /spath="%USERPROFILE%\AppData\Local\Temp\OnboardLogs" /stypes="*4018*20160907*" /stext=" 00:.+((SYSTEM_STATE.+slice.+state.+changed )|(ment ac)|(system.+state.+changed )|(\|lc)|(penalty)|(\[timeout)|(PRM\|1\|D)|(kpr)|(kdp))" /e /r /s</v>
      </c>
      <c r="AG194" s="1" t="str">
        <f t="shared" si="57"/>
        <v>NW</v>
      </c>
      <c r="AH194" s="100" t="str">
        <f t="shared" si="43"/>
        <v>"%USERPROFILE%\Documents\GitHub\eaglep3\Utilities\RefineRTDCRunTimes.py" --tripid 837-06 --locoid 4018 --swversion DE.1.0.7.0 --startMP 204:964 --initTime 2016-09-06T18:13:43 --startdatetime 2016-09-06T18:21:18 --delay 1 --endMP 300:58929 --enddatetime 2016-09-06T18:35:19 --enforcementcount 0 &gt;&gt;C:\Users\stu\Documents\GitHub\eaglep3-reporting\EC\2016-09-06-refined-times.txt</v>
      </c>
      <c r="AI194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ID","value":"837-06"},{"id":16,"name":"Locomotive ID","value":"4018"},{"id":130,"name":"Impact","value":""},{"id":150,"name":"Time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532</v>
      </c>
      <c r="B195" s="7">
        <v>4017</v>
      </c>
      <c r="C195" s="24" t="s">
        <v>112</v>
      </c>
      <c r="D195" s="24" t="s">
        <v>692</v>
      </c>
      <c r="E195" s="15">
        <v>42619.776064814818</v>
      </c>
      <c r="F195" s="15">
        <v>42619.777581018519</v>
      </c>
      <c r="G195" s="7">
        <v>1</v>
      </c>
      <c r="H195" s="15" t="s">
        <v>341</v>
      </c>
      <c r="I195" s="15">
        <v>42619.789351851854</v>
      </c>
      <c r="J195" s="7">
        <v>0</v>
      </c>
      <c r="K195" s="132" t="str">
        <f t="shared" si="45"/>
        <v>4017/4018</v>
      </c>
      <c r="L195" s="24" t="str">
        <f>VLOOKUP(A195,'Trips&amp;Operators'!$C$1:$E$10000,3,FALSE)</f>
        <v>BRUDER</v>
      </c>
      <c r="M195" s="6">
        <f t="shared" si="46"/>
        <v>1.1770833334594499E-2</v>
      </c>
      <c r="N195" s="7">
        <f t="shared" si="64"/>
        <v>16.950000001816079</v>
      </c>
      <c r="O195" s="7"/>
      <c r="P195" s="7"/>
      <c r="Q195" s="25"/>
      <c r="R195" s="25"/>
      <c r="S195" s="37">
        <f t="shared" si="47"/>
        <v>1</v>
      </c>
      <c r="T195" s="52" t="str">
        <f t="shared" si="48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5" s="54" t="str">
        <f t="shared" si="50"/>
        <v>N</v>
      </c>
      <c r="X195" s="120">
        <f t="shared" si="63"/>
        <v>1</v>
      </c>
      <c r="Y195" s="69">
        <f t="shared" si="51"/>
        <v>5.8601999999999999</v>
      </c>
      <c r="Z195" s="69">
        <f t="shared" si="52"/>
        <v>6.7699999999999996E-2</v>
      </c>
      <c r="AA195" s="69">
        <f t="shared" si="53"/>
        <v>5.7924999999999995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54"/>
        <v>0838-06</v>
      </c>
      <c r="AE19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5" s="96" t="str">
        <f t="shared" si="56"/>
        <v>"C:\Program Files (x86)\AstroGrep\AstroGrep.exe" /spath="%USERPROFILE%\AppData\Local\Temp\OnboardLogs" /stypes="*4017*20160907*" /stext=" 00:.+((SYSTEM_STATE.+slice.+state.+changed )|(ment ac)|(system.+state.+changed )|(\|lc)|(penalty)|(\[timeout)|(PRM\|1\|D)|(kpr)|(kdp))" /e /r /s</v>
      </c>
      <c r="AG195" s="1" t="str">
        <f t="shared" si="57"/>
        <v>NW</v>
      </c>
      <c r="AH195" s="100" t="str">
        <f t="shared" si="43"/>
        <v>"%USERPROFILE%\Documents\GitHub\eaglep3\Utilities\RefineRTDCRunTimes.py" --tripid 838-06 --locoid 4017 --swversion DE.1.0.7.0 --startMP 300:58602 --initTime 2016-09-06T18:37:32 --startdatetime 2016-09-06T18:39:43 --delay 1 --endMP 204:677 --enddatetime 2016-09-06T18:56:40 --enforcementcount 0 &gt;&gt;C:\Users\stu\Documents\GitHub\eaglep3-reporting\EC\2016-09-06-refined-times.txt</v>
      </c>
      <c r="AI195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{"issue":{"subject":"","project_id":79,"tracker_id":40,"status_id":1,"priority_id":2,"assigned_to_id":23,"start_date":"2016-09-06","description":"","custom_fields":[{"id":1,"name":"Subdivision","value":"NW"},{"id":4,"name":"Milepost","value":"5.7925"},{"id":17,"name":"Train ID","value":"838-06"},{"id":16,"name":"Locomotive ID","value":"4017"},{"id":130,"name":"Impact","value":""},{"id":150,"name":"Time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533</v>
      </c>
      <c r="B196" s="7">
        <v>4009</v>
      </c>
      <c r="C196" s="24" t="s">
        <v>112</v>
      </c>
      <c r="D196" s="24" t="s">
        <v>717</v>
      </c>
      <c r="E196" s="15">
        <v>42619.776064814818</v>
      </c>
      <c r="F196" s="15">
        <v>42619.785729166666</v>
      </c>
      <c r="G196" s="7">
        <v>1</v>
      </c>
      <c r="H196" s="15" t="s">
        <v>711</v>
      </c>
      <c r="I196" s="15">
        <v>42619.795949074076</v>
      </c>
      <c r="J196" s="7">
        <v>0</v>
      </c>
      <c r="K196" s="132" t="str">
        <f t="shared" si="45"/>
        <v>4009/4010</v>
      </c>
      <c r="L196" s="24" t="str">
        <f>VLOOKUP(A196,'Trips&amp;Operators'!$C$1:$E$10000,3,FALSE)</f>
        <v>BROWN</v>
      </c>
      <c r="M196" s="6">
        <f t="shared" si="46"/>
        <v>1.021990740991896E-2</v>
      </c>
      <c r="N196" s="7">
        <f t="shared" si="64"/>
        <v>14.716666670283303</v>
      </c>
      <c r="O196" s="7"/>
      <c r="P196" s="7"/>
      <c r="Q196" s="25"/>
      <c r="R196" s="25"/>
      <c r="S196" s="37">
        <f t="shared" si="47"/>
        <v>1</v>
      </c>
      <c r="T196" s="52" t="str">
        <f t="shared" si="48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6" s="54" t="str">
        <f t="shared" si="50"/>
        <v>N</v>
      </c>
      <c r="X196" s="120">
        <f t="shared" si="63"/>
        <v>1</v>
      </c>
      <c r="Y196" s="69">
        <f t="shared" si="51"/>
        <v>0.1028</v>
      </c>
      <c r="Z196" s="69">
        <f t="shared" si="52"/>
        <v>5.8954000000000004</v>
      </c>
      <c r="AA196" s="69">
        <f t="shared" si="53"/>
        <v>5.7926000000000002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54"/>
        <v>0839-06</v>
      </c>
      <c r="AE196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96" s="96" t="str">
        <f t="shared" si="56"/>
        <v>"C:\Program Files (x86)\AstroGrep\AstroGrep.exe" /spath="%USERPROFILE%\AppData\Local\Temp\OnboardLogs" /stypes="*4009*20160907*" /stext=" 01:.+((SYSTEM_STATE.+slice.+state.+changed )|(ment ac)|(system.+state.+changed )|(\|lc)|(penalty)|(\[timeout)|(PRM\|1\|D)|(kpr)|(kdp))" /e /r /s</v>
      </c>
      <c r="AG196" s="1" t="str">
        <f t="shared" si="57"/>
        <v>NW</v>
      </c>
      <c r="AH196" s="100" t="str">
        <f t="shared" si="43"/>
        <v>"%USERPROFILE%\Documents\GitHub\eaglep3\Utilities\RefineRTDCRunTimes.py" --tripid 839-06 --locoid 4009 --swversion DE.1.0.7.0 --startMP 204:1028 --initTime 2016-09-06T18:37:32 --startdatetime 2016-09-06T18:51:27 --delay 1 --endMP 300:58954 --enddatetime 2016-09-06T19:06:10 --enforcementcount 0 &gt;&gt;C:\Users\stu\Documents\GitHub\eaglep3-reporting\EC\2016-09-06-refined-times.txt</v>
      </c>
      <c r="AI196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{"issue":{"subject":"","project_id":79,"tracker_id":40,"status_id":1,"priority_id":2,"assigned_to_id":23,"start_date":"2016-09-06","description":"","custom_fields":[{"id":1,"name":"Subdivision","value":"NW"},{"id":4,"name":"Milepost","value":"5.7926"},{"id":17,"name":"Train ID","value":"839-06"},{"id":16,"name":"Locomotive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542</v>
      </c>
      <c r="B197" s="7">
        <v>4017</v>
      </c>
      <c r="C197" s="24" t="s">
        <v>112</v>
      </c>
      <c r="D197" s="24" t="s">
        <v>718</v>
      </c>
      <c r="E197" s="15">
        <v>42619.816967592589</v>
      </c>
      <c r="F197" s="15">
        <v>42619.818599537037</v>
      </c>
      <c r="G197" s="7">
        <v>1</v>
      </c>
      <c r="H197" s="15" t="s">
        <v>693</v>
      </c>
      <c r="I197" s="15">
        <v>42619.83053240741</v>
      </c>
      <c r="J197" s="7">
        <v>0</v>
      </c>
      <c r="K197" s="132" t="str">
        <f t="shared" si="45"/>
        <v>4017/4018</v>
      </c>
      <c r="L197" s="24" t="str">
        <f>VLOOKUP(A197,'Trips&amp;Operators'!$C$1:$E$10000,3,FALSE)</f>
        <v>BRUDER</v>
      </c>
      <c r="M197" s="6">
        <f t="shared" si="46"/>
        <v>1.1932870373129845E-2</v>
      </c>
      <c r="N197" s="7">
        <f t="shared" si="64"/>
        <v>17.183333337306976</v>
      </c>
      <c r="O197" s="7"/>
      <c r="P197" s="7"/>
      <c r="Q197" s="25"/>
      <c r="R197" s="25"/>
      <c r="S197" s="37">
        <f t="shared" si="47"/>
        <v>1</v>
      </c>
      <c r="T197" s="52" t="str">
        <f t="shared" si="48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18:36:26-0600',mode:absolute,to:'2016-09-06 20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7" s="54" t="str">
        <f t="shared" si="50"/>
        <v>N</v>
      </c>
      <c r="X197" s="120">
        <f t="shared" si="63"/>
        <v>1</v>
      </c>
      <c r="Y197" s="69">
        <f t="shared" si="51"/>
        <v>5.8620999999999999</v>
      </c>
      <c r="Z197" s="69">
        <f t="shared" si="52"/>
        <v>6.9400000000000003E-2</v>
      </c>
      <c r="AA197" s="69">
        <f t="shared" si="53"/>
        <v>5.7927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54"/>
        <v>0840-06</v>
      </c>
      <c r="AE19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7" s="96" t="str">
        <f t="shared" si="56"/>
        <v>"C:\Program Files (x86)\AstroGrep\AstroGrep.exe" /spath="%USERPROFILE%\AppData\Local\Temp\OnboardLogs" /stypes="*4017*20160907*" /stext=" 01:.+((SYSTEM_STATE.+slice.+state.+changed )|(ment ac)|(system.+state.+changed )|(\|lc)|(penalty)|(\[timeout)|(PRM\|1\|D)|(kpr)|(kdp))" /e /r /s</v>
      </c>
      <c r="AG197" s="1" t="str">
        <f t="shared" si="57"/>
        <v>NW</v>
      </c>
      <c r="AH197" s="100" t="str">
        <f t="shared" si="43"/>
        <v>"%USERPROFILE%\Documents\GitHub\eaglep3\Utilities\RefineRTDCRunTimes.py" --tripid 840-06 --locoid 4017 --swversion DE.1.0.7.0 --startMP 300:58621 --initTime 2016-09-06T19:36:26 --startdatetime 2016-09-06T19:38:47 --delay 1 --endMP 204:694 --enddatetime 2016-09-06T19:55:58 --enforcementcount 0 &gt;&gt;C:\Users\stu\Documents\GitHub\eaglep3-reporting\EC\2016-09-06-refined-times.txt</v>
      </c>
      <c r="AI197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{"issue":{"subject":"","project_id":79,"tracker_id":40,"status_id":1,"priority_id":2,"assigned_to_id":23,"start_date":"2016-09-06","description":"","custom_fields":[{"id":1,"name":"Subdivision","value":"NW"},{"id":4,"name":"Milepost","value":"5.7927"},{"id":17,"name":"Train ID","value":"840-06"},{"id":16,"name":"Locomotive ID","value":"4017"},{"id":130,"name":"Impact","value":""},{"id":150,"name":"Time of Event (Mountain Time)","value":"19:55:58"},{"id":151,"name":"Denver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539</v>
      </c>
      <c r="B198" s="7">
        <v>4018</v>
      </c>
      <c r="C198" s="24" t="s">
        <v>112</v>
      </c>
      <c r="D198" s="24" t="s">
        <v>289</v>
      </c>
      <c r="E198" s="15">
        <v>42619.80190972222</v>
      </c>
      <c r="F198" s="15">
        <v>42619.806446759256</v>
      </c>
      <c r="G198" s="7">
        <v>1</v>
      </c>
      <c r="H198" s="15" t="s">
        <v>708</v>
      </c>
      <c r="I198" s="15">
        <v>42619.815300925926</v>
      </c>
      <c r="J198" s="7">
        <v>0</v>
      </c>
      <c r="K198" s="132" t="str">
        <f t="shared" si="45"/>
        <v>4017/4018</v>
      </c>
      <c r="L198" s="24" t="str">
        <f>VLOOKUP(A198,'Trips&amp;Operators'!$C$1:$E$10000,3,FALSE)</f>
        <v>BRUDER</v>
      </c>
      <c r="M198" s="6">
        <f t="shared" si="46"/>
        <v>8.8541666700621136E-3</v>
      </c>
      <c r="N198" s="7">
        <f t="shared" si="64"/>
        <v>12.750000004889444</v>
      </c>
      <c r="O198" s="7"/>
      <c r="P198" s="7"/>
      <c r="Q198" s="25"/>
      <c r="R198" s="25"/>
      <c r="S198" s="37">
        <f t="shared" si="47"/>
        <v>1</v>
      </c>
      <c r="T198" s="52" t="str">
        <f t="shared" si="48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18:14:45-0600',mode:absolute,to:'2016-09-06 20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8" s="54" t="str">
        <f t="shared" si="50"/>
        <v>N</v>
      </c>
      <c r="X198" s="120">
        <f t="shared" si="63"/>
        <v>1</v>
      </c>
      <c r="Y198" s="69">
        <f t="shared" si="51"/>
        <v>9.7199999999999995E-2</v>
      </c>
      <c r="Z198" s="69">
        <f t="shared" si="52"/>
        <v>5.8936999999999999</v>
      </c>
      <c r="AA198" s="69">
        <f t="shared" si="53"/>
        <v>5.7965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54"/>
        <v>0841-06</v>
      </c>
      <c r="AE19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8" s="96" t="str">
        <f t="shared" si="56"/>
        <v>"C:\Program Files (x86)\AstroGrep\AstroGrep.exe" /spath="%USERPROFILE%\AppData\Local\Temp\OnboardLogs" /stypes="*4018*20160907*" /stext=" 01:.+((SYSTEM_STATE.+slice.+state.+changed )|(ment ac)|(system.+state.+changed )|(\|lc)|(penalty)|(\[timeout)|(PRM\|1\|D)|(kpr)|(kdp))" /e /r /s</v>
      </c>
      <c r="AG198" s="1" t="str">
        <f t="shared" si="57"/>
        <v>NW</v>
      </c>
      <c r="AH198" s="100" t="str">
        <f t="shared" si="43"/>
        <v>"%USERPROFILE%\Documents\GitHub\eaglep3\Utilities\RefineRTDCRunTimes.py" --tripid 841-06 --locoid 4018 --swversion DE.1.0.7.0 --startMP 204:972 --initTime 2016-09-06T19:14:45 --startdatetime 2016-09-06T19:21:17 --delay 1 --endMP 300:58937 --enddatetime 2016-09-06T19:34:02 --enforcementcount 0 &gt;&gt;C:\Users\stu\Documents\GitHub\eaglep3-reporting\EC\2016-09-06-refined-times.txt</v>
      </c>
      <c r="AI198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ID","value":"841-06"},{"id":16,"name":"Locomotive ID","value":"4018"},{"id":130,"name":"Impact","value":""},{"id":150,"name":"Time of Event (Mountain Time)","value":"19:34:02"},{"id":151,"name":"Denver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549</v>
      </c>
      <c r="B199" s="7">
        <v>4017</v>
      </c>
      <c r="C199" s="24" t="s">
        <v>112</v>
      </c>
      <c r="D199" s="24" t="s">
        <v>334</v>
      </c>
      <c r="E199" s="15">
        <v>42619.857858796298</v>
      </c>
      <c r="F199" s="15">
        <v>42619.859444444446</v>
      </c>
      <c r="G199" s="7">
        <v>1</v>
      </c>
      <c r="H199" s="15" t="s">
        <v>719</v>
      </c>
      <c r="I199" s="15">
        <v>42619.871030092596</v>
      </c>
      <c r="J199" s="7">
        <v>0</v>
      </c>
      <c r="K199" s="132" t="str">
        <f t="shared" si="45"/>
        <v>4017/4018</v>
      </c>
      <c r="L199" s="24" t="str">
        <f>VLOOKUP(A199,'Trips&amp;Operators'!$C$1:$E$10000,3,FALSE)</f>
        <v>BRUDER</v>
      </c>
      <c r="M199" s="6">
        <f t="shared" si="46"/>
        <v>1.1585648149775807E-2</v>
      </c>
      <c r="N199" s="7">
        <f t="shared" si="64"/>
        <v>16.683333335677162</v>
      </c>
      <c r="O199" s="7"/>
      <c r="P199" s="7"/>
      <c r="Q199" s="25"/>
      <c r="R199" s="25"/>
      <c r="S199" s="37">
        <f t="shared" si="47"/>
        <v>1</v>
      </c>
      <c r="T199" s="52" t="str">
        <f t="shared" si="48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19:35:19-0600',mode:absolute,to:'2016-09-06 21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9" s="54" t="str">
        <f t="shared" si="50"/>
        <v>N</v>
      </c>
      <c r="X199" s="120">
        <f t="shared" si="63"/>
        <v>1</v>
      </c>
      <c r="Y199" s="69">
        <f t="shared" si="51"/>
        <v>5.8611000000000004</v>
      </c>
      <c r="Z199" s="69">
        <f t="shared" si="52"/>
        <v>6.6100000000000006E-2</v>
      </c>
      <c r="AA199" s="69">
        <f t="shared" si="53"/>
        <v>5.7950000000000008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54"/>
        <v>0842-06</v>
      </c>
      <c r="AE19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9" s="96" t="str">
        <f t="shared" si="56"/>
        <v>"C:\Program Files (x86)\AstroGrep\AstroGrep.exe" /spath="%USERPROFILE%\AppData\Local\Temp\OnboardLogs" /stypes="*4017*20160907*" /stext=" 02:.+((SYSTEM_STATE.+slice.+state.+changed )|(ment ac)|(system.+state.+changed )|(\|lc)|(penalty)|(\[timeout)|(PRM\|1\|D)|(kpr)|(kdp))" /e /r /s</v>
      </c>
      <c r="AG199" s="1" t="str">
        <f t="shared" si="57"/>
        <v>NW</v>
      </c>
      <c r="AH199" s="100" t="str">
        <f t="shared" si="43"/>
        <v>"%USERPROFILE%\Documents\GitHub\eaglep3\Utilities\RefineRTDCRunTimes.py" --tripid 842-06 --locoid 4017 --swversion DE.1.0.7.0 --startMP 300:58611 --initTime 2016-09-06T20:35:19 --startdatetime 2016-09-06T20:37:36 --delay 1 --endMP 204:661 --enddatetime 2016-09-06T20:54:17 --enforcementcount 0 &gt;&gt;C:\Users\stu\Documents\GitHub\eaglep3-reporting\EC\2016-09-06-refined-times.txt</v>
      </c>
      <c r="AI199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{"issue":{"subject":"","project_id":79,"tracker_id":40,"status_id":1,"priority_id":2,"assigned_to_id":23,"start_date":"2016-09-06","description":"","custom_fields":[{"id":1,"name":"Subdivision","value":"NW"},{"id":4,"name":"Milepost","value":"5.795"},{"id":17,"name":"Train ID","value":"842-06"},{"id":16,"name":"Locomotive ID","value":"4017"},{"id":130,"name":"Impact","value":""},{"id":150,"name":"Time of Event (Mountain Time)","value":"20:54:17"},{"id":151,"name":"Denver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546</v>
      </c>
      <c r="B200" s="7">
        <v>4018</v>
      </c>
      <c r="C200" s="24" t="s">
        <v>112</v>
      </c>
      <c r="D200" s="24" t="s">
        <v>720</v>
      </c>
      <c r="E200" s="15">
        <v>42619.843391203707</v>
      </c>
      <c r="F200" s="15">
        <v>42619.848101851851</v>
      </c>
      <c r="G200" s="7">
        <v>1</v>
      </c>
      <c r="H200" s="15" t="s">
        <v>678</v>
      </c>
      <c r="I200" s="15">
        <v>42619.856828703705</v>
      </c>
      <c r="J200" s="7">
        <v>0</v>
      </c>
      <c r="K200" s="132" t="str">
        <f t="shared" si="45"/>
        <v>4017/4018</v>
      </c>
      <c r="L200" s="24" t="str">
        <f>VLOOKUP(A200,'Trips&amp;Operators'!$C$1:$E$10000,3,FALSE)</f>
        <v>BRUDER</v>
      </c>
      <c r="M200" s="6">
        <f t="shared" si="46"/>
        <v>8.7268518545897678E-3</v>
      </c>
      <c r="N200" s="7">
        <f t="shared" si="64"/>
        <v>12.566666670609266</v>
      </c>
      <c r="O200" s="7"/>
      <c r="P200" s="7"/>
      <c r="Q200" s="25"/>
      <c r="R200" s="25"/>
      <c r="S200" s="37">
        <f t="shared" si="47"/>
        <v>1</v>
      </c>
      <c r="T200" s="52" t="str">
        <f t="shared" si="48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19:14:29-0600',mode:absolute,to:'2016-09-06 21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0" s="54" t="str">
        <f t="shared" si="50"/>
        <v>N</v>
      </c>
      <c r="X200" s="120">
        <f t="shared" si="63"/>
        <v>1</v>
      </c>
      <c r="Y200" s="69">
        <f t="shared" si="51"/>
        <v>9.7799999999999998E-2</v>
      </c>
      <c r="Z200" s="69">
        <f t="shared" si="52"/>
        <v>5.8940999999999999</v>
      </c>
      <c r="AA200" s="69">
        <f t="shared" si="53"/>
        <v>5.7962999999999996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54"/>
        <v>0843-06</v>
      </c>
      <c r="AE20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200" s="96" t="str">
        <f t="shared" si="56"/>
        <v>"C:\Program Files (x86)\AstroGrep\AstroGrep.exe" /spath="%USERPROFILE%\AppData\Local\Temp\OnboardLogs" /stypes="*4018*20160907*" /stext=" 02:.+((SYSTEM_STATE.+slice.+state.+changed )|(ment ac)|(system.+state.+changed )|(\|lc)|(penalty)|(\[timeout)|(PRM\|1\|D)|(kpr)|(kdp))" /e /r /s</v>
      </c>
      <c r="AG200" s="1" t="str">
        <f t="shared" si="57"/>
        <v>NW</v>
      </c>
      <c r="AH200" s="100" t="str">
        <f t="shared" si="43"/>
        <v>"%USERPROFILE%\Documents\GitHub\eaglep3\Utilities\RefineRTDCRunTimes.py" --tripid 843-06 --locoid 4018 --swversion DE.1.0.7.0 --startMP 204:978 --initTime 2016-09-06T20:14:29 --startdatetime 2016-09-06T20:21:16 --delay 1 --endMP 300:58941 --enddatetime 2016-09-06T20:33:50 --enforcementcount 0 &gt;&gt;C:\Users\stu\Documents\GitHub\eaglep3-reporting\EC\2016-09-06-refined-times.txt</v>
      </c>
      <c r="AI200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{"issue":{"subject":"","project_id":79,"tracker_id":40,"status_id":1,"priority_id":2,"assigned_to_id":23,"start_date":"2016-09-06","description":"","custom_fields":[{"id":1,"name":"Subdivision","value":"NW"},{"id":4,"name":"Milepost","value":"5.7963"},{"id":17,"name":"Train ID","value":"843-06"},{"id":16,"name":"Locomotive ID","value":"4018"},{"id":130,"name":"Impact","value":""},{"id":150,"name":"Time of Event (Mountain Time)","value":"20:33:50"},{"id":151,"name":"Denver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555</v>
      </c>
      <c r="B201" s="7">
        <v>4017</v>
      </c>
      <c r="C201" s="24" t="s">
        <v>112</v>
      </c>
      <c r="D201" s="24" t="s">
        <v>287</v>
      </c>
      <c r="E201" s="15">
        <v>42619.900949074072</v>
      </c>
      <c r="F201" s="15">
        <v>42619.90283564815</v>
      </c>
      <c r="G201" s="7">
        <v>1</v>
      </c>
      <c r="H201" s="15" t="s">
        <v>300</v>
      </c>
      <c r="I201" s="15">
        <v>42619.919861111113</v>
      </c>
      <c r="J201" s="7">
        <v>0</v>
      </c>
      <c r="K201" s="132" t="str">
        <f t="shared" si="45"/>
        <v>4017/4018</v>
      </c>
      <c r="L201" s="24" t="str">
        <f>VLOOKUP(A201,'Trips&amp;Operators'!$C$1:$E$10000,3,FALSE)</f>
        <v>BROWN</v>
      </c>
      <c r="M201" s="6">
        <f t="shared" si="46"/>
        <v>1.7025462962919846E-2</v>
      </c>
      <c r="N201" s="7">
        <f t="shared" si="64"/>
        <v>24.516666666604578</v>
      </c>
      <c r="O201" s="7"/>
      <c r="P201" s="7"/>
      <c r="Q201" s="25"/>
      <c r="R201" s="25"/>
      <c r="S201" s="37">
        <f t="shared" si="47"/>
        <v>1</v>
      </c>
      <c r="T201" s="52" t="str">
        <f t="shared" si="48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20:37:22-0600',mode:absolute,to:'2016-09-06 23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01" s="54" t="str">
        <f t="shared" si="50"/>
        <v>N</v>
      </c>
      <c r="X201" s="120">
        <f t="shared" si="63"/>
        <v>1</v>
      </c>
      <c r="Y201" s="69">
        <f t="shared" si="51"/>
        <v>5.8613</v>
      </c>
      <c r="Z201" s="69">
        <f t="shared" si="52"/>
        <v>7.3400000000000007E-2</v>
      </c>
      <c r="AA201" s="69">
        <f t="shared" si="53"/>
        <v>5.7878999999999996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54"/>
        <v>0844-06</v>
      </c>
      <c r="AE20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201" s="96" t="str">
        <f t="shared" si="56"/>
        <v>"C:\Program Files (x86)\AstroGrep\AstroGrep.exe" /spath="%USERPROFILE%\AppData\Local\Temp\OnboardLogs" /stypes="*4017*20160907*" /stext=" 04:.+((SYSTEM_STATE.+slice.+state.+changed )|(ment ac)|(system.+state.+changed )|(\|lc)|(penalty)|(\[timeout)|(PRM\|1\|D)|(kpr)|(kdp))" /e /r /s</v>
      </c>
      <c r="AG201" s="1" t="str">
        <f t="shared" si="57"/>
        <v>NW</v>
      </c>
      <c r="AH201" s="100" t="str">
        <f t="shared" si="43"/>
        <v>"%USERPROFILE%\Documents\GitHub\eaglep3\Utilities\RefineRTDCRunTimes.py" --tripid 844-06 --locoid 4017 --swversion DE.1.0.7.0 --startMP 300:58613 --initTime 2016-09-06T21:37:22 --startdatetime 2016-09-06T21:40:05 --delay 1 --endMP 204:734 --enddatetime 2016-09-06T22:04:36 --enforcementcount 0 &gt;&gt;C:\Users\stu\Documents\GitHub\eaglep3-reporting\EC\2016-09-06-refined-times.txt</v>
      </c>
      <c r="AI201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{"issue":{"subject":"","project_id":79,"tracker_id":40,"status_id":1,"priority_id":2,"assigned_to_id":23,"start_date":"2016-09-06","description":"","custom_fields":[{"id":1,"name":"Subdivision","value":"NW"},{"id":4,"name":"Milepost","value":"5.7879"},{"id":17,"name":"Train ID","value":"844-06"},{"id":16,"name":"Locomotive ID","value":"4017"},{"id":130,"name":"Impact","value":""},{"id":150,"name":"Time of Event (Mountain Time)","value":"22:04:36"},{"id":151,"name":"Denver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552</v>
      </c>
      <c r="B202" s="7">
        <v>4018</v>
      </c>
      <c r="C202" s="24" t="s">
        <v>112</v>
      </c>
      <c r="D202" s="24" t="s">
        <v>721</v>
      </c>
      <c r="E202" s="15">
        <v>42619.883090277777</v>
      </c>
      <c r="F202" s="15">
        <v>42619.889826388891</v>
      </c>
      <c r="G202" s="7">
        <v>1</v>
      </c>
      <c r="H202" s="15" t="s">
        <v>722</v>
      </c>
      <c r="I202" s="15">
        <v>42619.899745370371</v>
      </c>
      <c r="J202" s="7">
        <v>0</v>
      </c>
      <c r="K202" s="132" t="str">
        <f t="shared" si="45"/>
        <v>4017/4018</v>
      </c>
      <c r="L202" s="24" t="str">
        <f>VLOOKUP(A202,'Trips&amp;Operators'!$C$1:$E$10000,3,FALSE)</f>
        <v>BROWN</v>
      </c>
      <c r="M202" s="6">
        <f t="shared" si="46"/>
        <v>9.9189814791316167E-3</v>
      </c>
      <c r="N202" s="7">
        <f t="shared" si="64"/>
        <v>14.283333329949528</v>
      </c>
      <c r="O202" s="7"/>
      <c r="P202" s="7"/>
      <c r="Q202" s="25"/>
      <c r="R202" s="25"/>
      <c r="S202" s="37">
        <f t="shared" si="47"/>
        <v>1</v>
      </c>
      <c r="T202" s="52" t="str">
        <f t="shared" si="48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20:11:39-0600',mode:absolute,to:'2016-09-06 22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2" s="54" t="str">
        <f t="shared" si="50"/>
        <v>N</v>
      </c>
      <c r="X202" s="120">
        <f t="shared" si="63"/>
        <v>1</v>
      </c>
      <c r="Y202" s="69">
        <f t="shared" si="51"/>
        <v>9.6500000000000002E-2</v>
      </c>
      <c r="Z202" s="69">
        <f t="shared" si="52"/>
        <v>5.8933</v>
      </c>
      <c r="AA202" s="69">
        <f t="shared" si="53"/>
        <v>5.7968000000000002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54"/>
        <v>0845-06</v>
      </c>
      <c r="AE20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202" s="96" t="str">
        <f t="shared" si="56"/>
        <v>"C:\Program Files (x86)\AstroGrep\AstroGrep.exe" /spath="%USERPROFILE%\AppData\Local\Temp\OnboardLogs" /stypes="*4018*20160907*" /stext=" 03:.+((SYSTEM_STATE.+slice.+state.+changed )|(ment ac)|(system.+state.+changed )|(\|lc)|(penalty)|(\[timeout)|(PRM\|1\|D)|(kpr)|(kdp))" /e /r /s</v>
      </c>
      <c r="AG202" s="1" t="str">
        <f t="shared" si="57"/>
        <v>NW</v>
      </c>
      <c r="AH202" s="100" t="str">
        <f t="shared" si="43"/>
        <v>"%USERPROFILE%\Documents\GitHub\eaglep3\Utilities\RefineRTDCRunTimes.py" --tripid 845-06 --locoid 4018 --swversion DE.1.0.7.0 --startMP 204:965 --initTime 2016-09-06T21:11:39 --startdatetime 2016-09-06T21:21:21 --delay 1 --endMP 300:58933 --enddatetime 2016-09-06T21:35:38 --enforcementcount 0 &gt;&gt;C:\Users\stu\Documents\GitHub\eaglep3-reporting\EC\2016-09-06-refined-times.txt</v>
      </c>
      <c r="AI202" s="149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{"issue":{"subject":"","project_id":79,"tracker_id":40,"status_id":1,"priority_id":2,"assigned_to_id":23,"start_date":"2016-09-06","description":"","custom_fields":[{"id":1,"name":"Subdivision","value":"NW"},{"id":4,"name":"Milepost","value":"5.7968"},{"id":17,"name":"Train ID","value":"845-06"},{"id":16,"name":"Locomotive ID","value":"4018"},{"id":130,"name":"Impact","value":""},{"id":150,"name":"Time of Event (Mountain Time)","value":"21:35:38"},{"id":151,"name":"Denver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558</v>
      </c>
      <c r="B203" s="7">
        <v>4018</v>
      </c>
      <c r="C203" s="24" t="s">
        <v>112</v>
      </c>
      <c r="D203" s="24" t="s">
        <v>723</v>
      </c>
      <c r="E203" s="15">
        <v>42619.928541666668</v>
      </c>
      <c r="F203" s="15">
        <v>25568.958333333332</v>
      </c>
      <c r="G203" s="7">
        <v>1</v>
      </c>
      <c r="H203" s="15" t="s">
        <v>724</v>
      </c>
      <c r="I203" s="15">
        <v>25568.958333333332</v>
      </c>
      <c r="J203" s="7">
        <v>0</v>
      </c>
      <c r="K203" s="132" t="str">
        <f t="shared" si="45"/>
        <v>4017/4018</v>
      </c>
      <c r="L203" s="24" t="str">
        <f>VLOOKUP(A203,'Trips&amp;Operators'!$C$1:$E$10000,3,FALSE)</f>
        <v>BROWN</v>
      </c>
      <c r="M203" s="6">
        <f t="shared" si="46"/>
        <v>0</v>
      </c>
      <c r="N203" s="7">
        <f t="shared" si="64"/>
        <v>0</v>
      </c>
      <c r="O203" s="7"/>
      <c r="P203" s="7"/>
      <c r="Q203" s="25"/>
      <c r="R203" s="25"/>
      <c r="S203" s="37">
        <f t="shared" si="47"/>
        <v>1</v>
      </c>
      <c r="T203" s="52" t="str">
        <f t="shared" si="48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21:17:06-0600',mode:absolute,to:'1970-01-01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3" s="54" t="str">
        <f t="shared" si="50"/>
        <v>N</v>
      </c>
      <c r="X203" s="120">
        <f t="shared" si="63"/>
        <v>2</v>
      </c>
      <c r="Y203" s="69">
        <f t="shared" si="51"/>
        <v>0.10349999999999999</v>
      </c>
      <c r="Z203" s="69">
        <f t="shared" si="52"/>
        <v>5.8076999999999996</v>
      </c>
      <c r="AA203" s="69">
        <f t="shared" si="53"/>
        <v>5.7041999999999993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54"/>
        <v>0847-06</v>
      </c>
      <c r="AE203" s="99" t="str">
        <f t="shared" si="55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203" s="96" t="str">
        <f t="shared" si="56"/>
        <v>"C:\Program Files (x86)\AstroGrep\AstroGrep.exe" /spath="%USERPROFILE%\AppData\Local\Temp\OnboardLogs" /stypes="*4018*19700101*" /stext=" 05:.+((SYSTEM_STATE.+slice.+state.+changed )|(ment ac)|(system.+state.+changed )|(\|lc)|(penalty)|(\[timeout)|(PRM\|1\|D)|(kpr)|(kdp))" /e /r /s</v>
      </c>
      <c r="AG203" s="1" t="str">
        <f t="shared" si="57"/>
        <v>NW</v>
      </c>
      <c r="AH203" s="100" t="str">
        <f t="shared" ref="AH203:AH222" si="6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847-06 --locoid 4018 --swversion DE.1.0.7.0 --startMP 204:1035 --initTime 2016-09-06T22:17:06 --startdatetime 1969-12-31T23:00:00 --delay 1 --endMP 300:58077 --enddatetime 1969-12-31T23:00:00 --enforcementcount 0 &gt;&gt;C:\Users\stu\Documents\GitHub\eaglep3-reporting\EC\2016-09-06-refined-times.txt</v>
      </c>
      <c r="AI203" s="149" t="str">
        <f t="shared" ref="AI203:AI222" si="6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{"issue":{"subject":"","project_id":79,"tracker_id":40,"status_id":1,"priority_id":2,"assigned_to_id":23,"start_date":"1969-12-31","description":"","custom_fields":[{"id":1,"name":"Subdivision","value":"NW"},{"id":4,"name":"Milepost","value":"5.7042"},{"id":17,"name":"Train ID","value":"847-06"},{"id":16,"name":"Locomotive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570</v>
      </c>
      <c r="B204" s="7">
        <v>4038</v>
      </c>
      <c r="C204" s="24" t="s">
        <v>112</v>
      </c>
      <c r="D204" s="24" t="s">
        <v>226</v>
      </c>
      <c r="E204" s="15">
        <v>42620.032175925924</v>
      </c>
      <c r="F204" s="15">
        <v>42620.034259259257</v>
      </c>
      <c r="G204" s="7">
        <v>1</v>
      </c>
      <c r="H204" s="15" t="s">
        <v>296</v>
      </c>
      <c r="I204" s="15">
        <v>42620.041203703702</v>
      </c>
      <c r="J204" s="7">
        <v>0</v>
      </c>
      <c r="K204" s="132" t="str">
        <f t="shared" si="45"/>
        <v>4037/4038</v>
      </c>
      <c r="L204" s="24" t="str">
        <f>VLOOKUP(A204,'Trips&amp;Operators'!$C$1:$E$10000,3,FALSE)</f>
        <v>ARVIDSON</v>
      </c>
      <c r="M204" s="6">
        <f t="shared" si="46"/>
        <v>6.9444444452528842E-3</v>
      </c>
      <c r="N204" s="7">
        <f t="shared" si="64"/>
        <v>10.000000001164153</v>
      </c>
      <c r="O204" s="7"/>
      <c r="P204" s="7"/>
      <c r="Q204" s="25"/>
      <c r="R204" s="25"/>
      <c r="S204" s="37">
        <f t="shared" si="47"/>
        <v>1</v>
      </c>
      <c r="T204" s="52" t="str">
        <f t="shared" si="48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23:46:20-0600',mode:absolute,to:'2016-09-07 01:59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04" s="54" t="str">
        <f t="shared" si="50"/>
        <v>Y</v>
      </c>
      <c r="X204" s="120">
        <f t="shared" si="63"/>
        <v>-538</v>
      </c>
      <c r="Y204" s="69">
        <f t="shared" si="51"/>
        <v>4.6600000000000003E-2</v>
      </c>
      <c r="Z204" s="69">
        <f t="shared" si="52"/>
        <v>2.2856000000000001</v>
      </c>
      <c r="AA204" s="69">
        <f t="shared" si="53"/>
        <v>2.2389999999999999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54"/>
        <v>0309-06</v>
      </c>
      <c r="AE204" s="99" t="str">
        <f t="shared" si="55"/>
        <v>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 &amp; 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</v>
      </c>
      <c r="AF204" s="96" t="str">
        <f t="shared" si="56"/>
        <v>"C:\Program Files (x86)\AstroGrep\AstroGrep.exe" /spath="%USERPROFILE%\AppData\Local\Temp\OnboardLogs" /stypes="*4038*20160907*" /stext=" 06:.+((SYSTEM_STATE.+slice.+state.+changed )|(ment ac)|(system.+state.+changed )|(\|lc)|(penalty)|(\[timeout)|(PRM\|1\|D)|(kpr)|(kdp))" /e /r /s</v>
      </c>
      <c r="AG204" s="1" t="str">
        <f t="shared" si="57"/>
        <v>Other</v>
      </c>
      <c r="AH204" s="100" t="str">
        <f t="shared" si="65"/>
        <v>"%USERPROFILE%\Documents\GitHub\eaglep3\Utilities\RefineRTDCRunTimes.py" --tripid 309-06 --locoid 4038 --swversion DE.1.0.7.0 --startMP 204:466 --initTime 2016-09-07T00:46:20 --startdatetime 2016-09-07T00:49:20 --delay 1 --endMP 300:22856 --enddatetime 2016-09-07T00:59:20 --enforcementcount 0 &gt;&gt;C:\Users\stu\Documents\GitHub\eaglep3-reporting\EC\2016-09-06-refined-times.txt</v>
      </c>
      <c r="AI204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{"issue":{"subject":"","project_id":79,"tracker_id":40,"status_id":1,"priority_id":2,"assigned_to_id":23,"start_date":"2016-09-07","description":"","custom_fields":[{"id":1,"name":"Subdivision","value":"Other"},{"id":4,"name":"Milepost","value":"2.239"},{"id":17,"name":"Train ID","value":"309-06"},{"id":16,"name":"Locomotive ID","value":"4038"},{"id":130,"name":"Impact","value":""},{"id":150,"name":"Time of Event (Mountain Time)","value":"00:59:20"},{"id":151,"name":"Denver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573</v>
      </c>
      <c r="B205" s="7">
        <v>4029</v>
      </c>
      <c r="C205" s="24" t="s">
        <v>112</v>
      </c>
      <c r="D205" s="24" t="s">
        <v>621</v>
      </c>
      <c r="E205" s="15">
        <v>42620.046365740738</v>
      </c>
      <c r="F205" s="15">
        <v>25568.958333333332</v>
      </c>
      <c r="G205" s="7">
        <v>2</v>
      </c>
      <c r="H205" s="15" t="s">
        <v>652</v>
      </c>
      <c r="I205" s="15">
        <v>25568.958333333332</v>
      </c>
      <c r="J205" s="7">
        <v>0</v>
      </c>
      <c r="K205" s="132" t="str">
        <f t="shared" ref="K205:K222" si="67">IF(ISEVEN(B205),(B205-1)&amp;"/"&amp;B205,B205&amp;"/"&amp;(B205+1))</f>
        <v>4029/4030</v>
      </c>
      <c r="L205" s="24" t="str">
        <f>VLOOKUP(A205,'Trips&amp;Operators'!$C$1:$E$10000,3,FALSE)</f>
        <v>COOLAHAN</v>
      </c>
      <c r="M205" s="6">
        <f t="shared" ref="M205:M222" si="68">I205-F205</f>
        <v>0</v>
      </c>
      <c r="N205" s="7">
        <f t="shared" si="64"/>
        <v>0</v>
      </c>
      <c r="O205" s="7"/>
      <c r="P205" s="7"/>
      <c r="Q205" s="25"/>
      <c r="R205" s="25"/>
      <c r="S205" s="37">
        <f t="shared" ref="S205:S222" si="69">SUM(U205:U205)/IF(AG205="EC",12,1)</f>
        <v>1</v>
      </c>
      <c r="T205" s="52" t="str">
        <f t="shared" ref="T205:T222" si="70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2" si="7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https://search-rtdc-monitor-bjffxe2xuh6vdkpspy63sjmuny.us-east-1.es.amazonaws.com/_plugin/kibana/#/discover/Steve-Slow-Train-Analysis-(2080s-and-2083s)?_g=(refreshInterval:(display:Off,section:0,value:0),time:(from:'2016-09-07 00:06:46-0600',mode:absolute,to:'1970-01-01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5" s="54" t="str">
        <f t="shared" ref="W205:W222" si="72">IF(AA205&lt;IF(AG205="EC",23,5.65),"Y","N")</f>
        <v>Y</v>
      </c>
      <c r="X205" s="120">
        <f t="shared" si="63"/>
        <v>2</v>
      </c>
      <c r="Y205" s="69">
        <f t="shared" ref="Y205:Y222" si="73">RIGHT(D205,LEN(D205)-4)/10000</f>
        <v>4.7500000000000001E-2</v>
      </c>
      <c r="Z205" s="69">
        <f t="shared" ref="Z205:Z222" si="74">RIGHT(H205,LEN(H205)-4)/10000</f>
        <v>2.3311999999999999</v>
      </c>
      <c r="AA205" s="69">
        <f t="shared" ref="AA205:AA222" si="75">ABS(Z205-Y205)</f>
        <v>2.2837000000000001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22" si="76">IF(LEN(A205)=6,"0"&amp;A205,A205)</f>
        <v>0311-06</v>
      </c>
      <c r="AE205" s="99" t="str">
        <f t="shared" ref="AE205:AE222" si="77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</c>
      <c r="AF205" s="96" t="str">
        <f t="shared" ref="AF205:AF222" si="78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/stypes="*4029*19700101*" /stext=" 05:.+((SYSTEM_STATE.+slice.+state.+changed )|(ment ac)|(system.+state.+changed )|(\|lc)|(penalty)|(\[timeout)|(PRM\|1\|D)|(kpr)|(kdp))" /e /r /s</v>
      </c>
      <c r="AG205" s="1" t="str">
        <f t="shared" ref="AG205:AG222" si="79">IFERROR(IF(VALUE(LEFT(AD205,2))&lt;=2,"EC",IF(OR(VALUE(LEFT(AD205,2))=8,VALUE(LEFT(AD205,2))=18),"NW","Other")),"Other")</f>
        <v>Other</v>
      </c>
      <c r="AH205" s="100" t="str">
        <f t="shared" si="65"/>
        <v>"%USERPROFILE%\Documents\GitHub\eaglep3\Utilities\RefineRTDCRunTimes.py" --tripid 311-06 --locoid 4029 --swversion DE.1.0.7.0 --startMP 204:475 --initTime 2016-09-07T01:06:46 --startdatetime 1969-12-31T23:00:00 --delay 2 --endMP 300:23312 --enddatetime 1969-12-31T23:00:00 --enforcementcount 0 &gt;&gt;C:\Users\stu\Documents\GitHub\eaglep3-reporting\EC\2016-09-06-refined-times.txt</v>
      </c>
      <c r="AI205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{"issue":{"subject":"","project_id":79,"tracker_id":40,"status_id":1,"priority_id":2,"assigned_to_id":23,"start_date":"1969-12-31","description":"","custom_fields":[{"id":1,"name":"Subdivision","value":"Other"},{"id":4,"name":"Milepost","value":"2.2837"},{"id":17,"name":"Train ID","value":"311-06"},{"id":16,"name":"Locomotive ID","value":"4029"},{"id":130,"name":"Impact","value":""},{"id":150,"name":"Time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576</v>
      </c>
      <c r="B206" s="7">
        <v>4002</v>
      </c>
      <c r="C206" s="24" t="s">
        <v>112</v>
      </c>
      <c r="D206" s="24" t="s">
        <v>653</v>
      </c>
      <c r="E206" s="15">
        <v>42620.066145833334</v>
      </c>
      <c r="F206" s="15">
        <v>25568.958333333332</v>
      </c>
      <c r="G206" s="7">
        <v>1</v>
      </c>
      <c r="H206" s="15" t="s">
        <v>654</v>
      </c>
      <c r="I206" s="15">
        <v>25568.958333333332</v>
      </c>
      <c r="J206" s="7">
        <v>0</v>
      </c>
      <c r="K206" s="132" t="str">
        <f t="shared" si="67"/>
        <v>4001/4002</v>
      </c>
      <c r="L206" s="24" t="str">
        <f>VLOOKUP(A206,'Trips&amp;Operators'!$C$1:$E$10000,3,FALSE)</f>
        <v>SMITH</v>
      </c>
      <c r="M206" s="6">
        <f t="shared" si="68"/>
        <v>0</v>
      </c>
      <c r="N206" s="7">
        <f t="shared" si="64"/>
        <v>0</v>
      </c>
      <c r="O206" s="7"/>
      <c r="P206" s="7"/>
      <c r="Q206" s="25"/>
      <c r="R206" s="25"/>
      <c r="S206" s="37">
        <f t="shared" si="69"/>
        <v>1</v>
      </c>
      <c r="T206" s="52" t="str">
        <f t="shared" si="70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00:35:15-0600',mode:absolute,to:'1970-01-01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6" s="54" t="str">
        <f t="shared" si="72"/>
        <v>Y</v>
      </c>
      <c r="X206" s="120">
        <f t="shared" si="63"/>
        <v>2</v>
      </c>
      <c r="Y206" s="69">
        <f t="shared" si="73"/>
        <v>5.0599999999999999E-2</v>
      </c>
      <c r="Z206" s="69">
        <f t="shared" si="74"/>
        <v>2.3132000000000001</v>
      </c>
      <c r="AA206" s="69">
        <f t="shared" si="75"/>
        <v>2.2625999999999999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76"/>
        <v>0313-06</v>
      </c>
      <c r="AE206" s="99" t="str">
        <f t="shared" si="77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06" s="96" t="str">
        <f t="shared" si="78"/>
        <v>"C:\Program Files (x86)\AstroGrep\AstroGrep.exe" /spath="%USERPROFILE%\AppData\Local\Temp\OnboardLogs" /stypes="*4002*19700101*" /stext=" 05:.+((SYSTEM_STATE.+slice.+state.+changed )|(ment ac)|(system.+state.+changed )|(\|lc)|(penalty)|(\[timeout)|(PRM\|1\|D)|(kpr)|(kdp))" /e /r /s</v>
      </c>
      <c r="AG206" s="1" t="str">
        <f t="shared" si="79"/>
        <v>Other</v>
      </c>
      <c r="AH206" s="100" t="str">
        <f t="shared" si="65"/>
        <v>"%USERPROFILE%\Documents\GitHub\eaglep3\Utilities\RefineRTDCRunTimes.py" --tripid 313-06 --locoid 4002 --swversion DE.1.0.7.0 --startMP 204:506 --initTime 2016-09-07T01:35:15 --startdatetime 1969-12-31T23:00:00 --delay 1 --endMP 300:23132 --enddatetime 1969-12-31T23:00:00 --enforcementcount 0 &gt;&gt;C:\Users\stu\Documents\GitHub\eaglep3-reporting\EC\2016-09-06-refined-times.txt</v>
      </c>
      <c r="AI206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{"issue":{"subject":"","project_id":79,"tracker_id":40,"status_id":1,"priority_id":2,"assigned_to_id":23,"start_date":"1969-12-31","description":"","custom_fields":[{"id":1,"name":"Subdivision","value":"Other"},{"id":4,"name":"Milepost","value":"2.2626"},{"id":17,"name":"Train ID","value":"313-06"},{"id":16,"name":"Locomotive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322</v>
      </c>
      <c r="B207" s="7">
        <v>4044</v>
      </c>
      <c r="C207" s="24" t="s">
        <v>112</v>
      </c>
      <c r="D207" s="24" t="s">
        <v>174</v>
      </c>
      <c r="E207" s="15">
        <v>42619.087800925925</v>
      </c>
      <c r="F207" s="15">
        <v>25568.958333333332</v>
      </c>
      <c r="G207" s="7">
        <v>1</v>
      </c>
      <c r="H207" s="15" t="s">
        <v>323</v>
      </c>
      <c r="I207" s="15">
        <v>25568.958333333332</v>
      </c>
      <c r="J207" s="7">
        <v>0</v>
      </c>
      <c r="K207" s="132" t="str">
        <f t="shared" si="67"/>
        <v>4043/4044</v>
      </c>
      <c r="L207" s="24" t="str">
        <f>VLOOKUP(A207,'Trips&amp;Operators'!$C$1:$E$10000,3,FALSE)</f>
        <v>YANAI</v>
      </c>
      <c r="M207" s="6">
        <f t="shared" si="68"/>
        <v>0</v>
      </c>
      <c r="N207" s="7">
        <f t="shared" si="64"/>
        <v>0</v>
      </c>
      <c r="O207" s="7"/>
      <c r="P207" s="7"/>
      <c r="Q207" s="25"/>
      <c r="R207" s="25"/>
      <c r="S207" s="37">
        <f t="shared" si="69"/>
        <v>1</v>
      </c>
      <c r="T207" s="52" t="str">
        <f t="shared" si="70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01:06:26-0600',mode:absolute,to:'1970-01-01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7" s="54" t="str">
        <f t="shared" si="72"/>
        <v>Y</v>
      </c>
      <c r="X207" s="120">
        <f t="shared" si="63"/>
        <v>2</v>
      </c>
      <c r="Y207" s="69">
        <f t="shared" si="73"/>
        <v>4.5999999999999999E-2</v>
      </c>
      <c r="Z207" s="69">
        <f t="shared" si="74"/>
        <v>2.2254999999999998</v>
      </c>
      <c r="AA207" s="69">
        <f t="shared" si="75"/>
        <v>2.1795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76"/>
        <v>0315-05</v>
      </c>
      <c r="AE207" s="99" t="str">
        <f t="shared" si="77"/>
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</c>
      <c r="AF207" s="96" t="str">
        <f t="shared" si="78"/>
        <v>"C:\Program Files (x86)\AstroGrep\AstroGrep.exe" /spath="%USERPROFILE%\AppData\Local\Temp\OnboardLogs" /stypes="*4044*19700101*" /stext=" 05:.+((SYSTEM_STATE.+slice.+state.+changed )|(ment ac)|(system.+state.+changed )|(\|lc)|(penalty)|(\[timeout)|(PRM\|1\|D)|(kpr)|(kdp))" /e /r /s</v>
      </c>
      <c r="AG207" s="1" t="str">
        <f t="shared" si="79"/>
        <v>Other</v>
      </c>
      <c r="AH207" s="100" t="str">
        <f t="shared" si="65"/>
        <v>"%USERPROFILE%\Documents\GitHub\eaglep3\Utilities\RefineRTDCRunTimes.py" --tripid 315-05 --locoid 4044 --swversion DE.1.0.7.0 --startMP 204:460 --initTime 2016-09-06T02:06:26 --startdatetime 1969-12-31T23:00:00 --delay 1 --endMP 300:22255 --enddatetime 1969-12-31T23:00:00 --enforcementcount 0 &gt;&gt;C:\Users\stu\Documents\GitHub\eaglep3-reporting\EC\2016-09-06-refined-times.txt</v>
      </c>
      <c r="AI207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{"issue":{"subject":"","project_id":79,"tracker_id":40,"status_id":1,"priority_id":2,"assigned_to_id":23,"start_date":"1969-12-31","description":"","custom_fields":[{"id":1,"name":"Subdivision","value":"Other"},{"id":4,"name":"Milepost","value":"2.1795"},{"id":17,"name":"Train ID","value":"315-05"},{"id":16,"name":"Locomotive ID","value":"4044"},{"id":130,"name":"Impact","value":""},{"id":150,"name":"Time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577</v>
      </c>
      <c r="B208" s="7">
        <v>4042</v>
      </c>
      <c r="C208" s="24" t="s">
        <v>112</v>
      </c>
      <c r="D208" s="24" t="s">
        <v>132</v>
      </c>
      <c r="E208" s="15">
        <v>42620.091539351852</v>
      </c>
      <c r="F208" s="15">
        <v>42620.093124999999</v>
      </c>
      <c r="G208" s="7">
        <v>1</v>
      </c>
      <c r="H208" s="15" t="s">
        <v>655</v>
      </c>
      <c r="I208" s="15">
        <v>42620.10087962963</v>
      </c>
      <c r="J208" s="7">
        <v>0</v>
      </c>
      <c r="K208" s="132" t="str">
        <f t="shared" si="67"/>
        <v>4041/4042</v>
      </c>
      <c r="L208" s="24" t="str">
        <f>VLOOKUP(A208,'Trips&amp;Operators'!$C$1:$E$10000,3,FALSE)</f>
        <v>CHANDLER</v>
      </c>
      <c r="M208" s="6">
        <f t="shared" si="68"/>
        <v>7.7546296306536533E-3</v>
      </c>
      <c r="N208" s="7">
        <f t="shared" si="64"/>
        <v>11.166666668141261</v>
      </c>
      <c r="O208" s="7"/>
      <c r="P208" s="7"/>
      <c r="Q208" s="25"/>
      <c r="R208" s="25"/>
      <c r="S208" s="37">
        <f t="shared" si="69"/>
        <v>1</v>
      </c>
      <c r="T208" s="52" t="str">
        <f t="shared" si="70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01:11:49-0600',mode:absolute,to:'2016-09-07 03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8" s="54" t="str">
        <f t="shared" si="72"/>
        <v>Y</v>
      </c>
      <c r="X208" s="120">
        <f t="shared" si="63"/>
        <v>0</v>
      </c>
      <c r="Y208" s="69">
        <f t="shared" si="73"/>
        <v>4.53E-2</v>
      </c>
      <c r="Z208" s="69">
        <f t="shared" si="74"/>
        <v>2.2829000000000002</v>
      </c>
      <c r="AA208" s="69">
        <f t="shared" si="75"/>
        <v>2.2376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76"/>
        <v>0315-06</v>
      </c>
      <c r="AE208" s="99" t="str">
        <f t="shared" si="77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08" s="96" t="str">
        <f t="shared" si="78"/>
        <v>"C:\Program Files (x86)\AstroGrep\AstroGrep.exe" /spath="%USERPROFILE%\AppData\Local\Temp\OnboardLogs" /stypes="*4042*20160907*" /stext=" 08:.+((SYSTEM_STATE.+slice.+state.+changed )|(ment ac)|(system.+state.+changed )|(\|lc)|(penalty)|(\[timeout)|(PRM\|1\|D)|(kpr)|(kdp))" /e /r /s</v>
      </c>
      <c r="AG208" s="1" t="str">
        <f t="shared" si="79"/>
        <v>Other</v>
      </c>
      <c r="AH208" s="100" t="str">
        <f t="shared" si="65"/>
        <v>"%USERPROFILE%\Documents\GitHub\eaglep3\Utilities\RefineRTDCRunTimes.py" --tripid 315-06 --locoid 4042 --swversion DE.1.0.7.0 --startMP 204:453 --initTime 2016-09-07T02:11:49 --startdatetime 2016-09-07T02:14:06 --delay 1 --endMP 300:22829 --enddatetime 2016-09-07T02:25:16 --enforcementcount 0 &gt;&gt;C:\Users\stu\Documents\GitHub\eaglep3-reporting\EC\2016-09-06-refined-times.txt</v>
      </c>
      <c r="AI208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{"issue":{"subject":"","project_id":79,"tracker_id":40,"status_id":1,"priority_id":2,"assigned_to_id":23,"start_date":"2016-09-07","description":"","custom_fields":[{"id":1,"name":"Subdivision","value":"Other"},{"id":4,"name":"Milepost","value":"2.2376"},{"id":17,"name":"Train ID","value":"315-06"},{"id":16,"name":"Locomotive ID","value":"4042"},{"id":130,"name":"Impact","value":""},{"id":150,"name":"Time of Event (Mountain Time)","value":"02:25:16"},{"id":151,"name":"Denver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485</v>
      </c>
      <c r="B209" s="7">
        <v>4010</v>
      </c>
      <c r="C209" s="24" t="s">
        <v>112</v>
      </c>
      <c r="D209" s="24" t="s">
        <v>725</v>
      </c>
      <c r="E209" s="15">
        <v>42619.639618055553</v>
      </c>
      <c r="F209" s="15">
        <v>42619.642256944448</v>
      </c>
      <c r="G209" s="7">
        <v>3</v>
      </c>
      <c r="H209" s="15" t="s">
        <v>685</v>
      </c>
      <c r="I209" s="15">
        <v>42619.649189814816</v>
      </c>
      <c r="J209" s="7">
        <v>0</v>
      </c>
      <c r="K209" s="132" t="str">
        <f t="shared" si="67"/>
        <v>4009/4010</v>
      </c>
      <c r="L209" s="24" t="str">
        <f>VLOOKUP(A209,'Trips&amp;Operators'!$C$1:$E$10000,3,FALSE)</f>
        <v>STURGEON</v>
      </c>
      <c r="M209" s="6">
        <f t="shared" si="68"/>
        <v>6.9328703684732318E-3</v>
      </c>
      <c r="N209" s="7">
        <f t="shared" si="64"/>
        <v>9.9833333306014538</v>
      </c>
      <c r="O209" s="7"/>
      <c r="P209" s="7"/>
      <c r="Q209" s="25"/>
      <c r="R209" s="25"/>
      <c r="S209" s="37">
        <f t="shared" si="69"/>
        <v>1</v>
      </c>
      <c r="T209" s="52" t="str">
        <f t="shared" si="70"/>
        <v>Southbound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14:21:03-0600',mode:absolute,to:'2016-09-06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9" s="54" t="str">
        <f t="shared" si="72"/>
        <v>Y</v>
      </c>
      <c r="X209" s="120">
        <f t="shared" si="63"/>
        <v>589</v>
      </c>
      <c r="Y209" s="69">
        <f t="shared" si="73"/>
        <v>2.3412999999999999</v>
      </c>
      <c r="Z209" s="69">
        <f t="shared" si="74"/>
        <v>7.0599999999999996E-2</v>
      </c>
      <c r="AA209" s="69">
        <f t="shared" si="75"/>
        <v>2.2706999999999997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76"/>
        <v>0904-06</v>
      </c>
      <c r="AE209" s="99" t="str">
        <f t="shared" si="77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209" s="96" t="str">
        <f t="shared" si="78"/>
        <v>"C:\Program Files (x86)\AstroGrep\AstroGrep.exe" /spath="%USERPROFILE%\AppData\Local\Temp\OnboardLogs" /stypes="*4010*20160906*" /stext=" 21:.+((SYSTEM_STATE.+slice.+state.+changed )|(ment ac)|(system.+state.+changed )|(\|lc)|(penalty)|(\[timeout)|(PRM\|1\|D)|(kpr)|(kdp))" /e /r /s</v>
      </c>
      <c r="AG209" s="1" t="str">
        <f t="shared" si="79"/>
        <v>Other</v>
      </c>
      <c r="AH209" s="100" t="str">
        <f t="shared" si="65"/>
        <v>"%USERPROFILE%\Documents\GitHub\eaglep3\Utilities\RefineRTDCRunTimes.py" --tripid 904-06 --locoid 4010 --swversion DE.1.0.7.0 --startMP 300:23413 --initTime 2016-09-06T15:21:03 --startdatetime 2016-09-06T15:24:51 --delay 3 --endMP 204:706 --enddatetime 2016-09-06T15:34:50 --enforcementcount 0 &gt;&gt;C:\Users\stu\Documents\GitHub\eaglep3-reporting\EC\2016-09-06-refined-times.txt</v>
      </c>
      <c r="AI209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{"issue":{"subject":"","project_id":79,"tracker_id":40,"status_id":1,"priority_id":2,"assigned_to_id":23,"start_date":"2016-09-06","description":"","custom_fields":[{"id":1,"name":"Subdivision","value":"Other"},{"id":4,"name":"Milepost","value":"2.2707"},{"id":17,"name":"Train ID","value":"904-06"},{"id":16,"name":"Locomotive ID","value":"4010"},{"id":130,"name":"Impact","value":""},{"id":150,"name":"Time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538</v>
      </c>
      <c r="B210" s="7">
        <v>4010</v>
      </c>
      <c r="C210" s="24" t="s">
        <v>112</v>
      </c>
      <c r="D210" s="24" t="s">
        <v>726</v>
      </c>
      <c r="E210" s="15">
        <v>42619.797222222223</v>
      </c>
      <c r="F210" s="15">
        <v>25568.958333333332</v>
      </c>
      <c r="G210" s="7">
        <v>1</v>
      </c>
      <c r="H210" s="15" t="s">
        <v>727</v>
      </c>
      <c r="I210" s="15">
        <v>25568.958333333332</v>
      </c>
      <c r="J210" s="7">
        <v>0</v>
      </c>
      <c r="K210" s="132" t="str">
        <f t="shared" si="67"/>
        <v>4009/4010</v>
      </c>
      <c r="L210" s="24" t="str">
        <f>VLOOKUP(A210,'Trips&amp;Operators'!$C$1:$E$10000,3,FALSE)</f>
        <v>BROWN</v>
      </c>
      <c r="M210" s="6">
        <f t="shared" si="68"/>
        <v>0</v>
      </c>
      <c r="N210" s="7">
        <f t="shared" si="64"/>
        <v>0</v>
      </c>
      <c r="O210" s="7"/>
      <c r="P210" s="7"/>
      <c r="Q210" s="25"/>
      <c r="R210" s="25"/>
      <c r="S210" s="37">
        <f t="shared" si="69"/>
        <v>0</v>
      </c>
      <c r="T210" s="52" t="str">
        <f t="shared" si="70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18:08:00-0600',mode:absolute,to:'1970-01-01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10" s="54" t="str">
        <f t="shared" si="72"/>
        <v>Y</v>
      </c>
      <c r="X210" s="120">
        <f t="shared" si="63"/>
        <v>2</v>
      </c>
      <c r="Y210" s="69">
        <f t="shared" si="73"/>
        <v>5.8638000000000003</v>
      </c>
      <c r="Z210" s="69">
        <f t="shared" si="74"/>
        <v>2.8784000000000001</v>
      </c>
      <c r="AA210" s="69">
        <f t="shared" si="75"/>
        <v>2.9854000000000003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76"/>
        <v>0906-06</v>
      </c>
      <c r="AE210" s="99" t="str">
        <f t="shared" si="77"/>
        <v>aws s3 cp s3://rtdc.mdm.uploadarchive/RTDC4010/1969-12-31/ "%USERPROFILE%\AppData\Local\Temp\OnboardLogs"\RTDC4010\1969-12-31 --recursive &amp; "%USERPROFILE%\Documents\GitHub\mrs-test-scripts\Headless Mode &amp; Sideloading\WalkAndUnGZ.bat" "%USERPROFILE%\AppData\Local\Temp\OnboardLogs"\RTDC4010\1969-12-31 &amp; aws s3 cp s3://rtdc.mdm.uploadarchive/RTDC4010/1970-01-01/ "%USERPROFILE%\AppData\Local\Temp\OnboardLogs"\RTDC4010\1970-01-01 --recursive &amp; "%USERPROFILE%\Documents\GitHub\mrs-test-scripts\Headless Mode &amp; Sideloading\WalkAndUnGZ.bat" "%USERPROFILE%\AppData\Local\Temp\OnboardLogs"\RTDC4010\1970-01-01</v>
      </c>
      <c r="AF210" s="96" t="str">
        <f t="shared" si="78"/>
        <v>"C:\Program Files (x86)\AstroGrep\AstroGrep.exe" /spath="%USERPROFILE%\AppData\Local\Temp\OnboardLogs" /stypes="*4010*19700101*" /stext=" 05:.+((SYSTEM_STATE.+slice.+state.+changed )|(ment ac)|(system.+state.+changed )|(\|lc)|(penalty)|(\[timeout)|(PRM\|1\|D)|(kpr)|(kdp))" /e /r /s</v>
      </c>
      <c r="AG210" s="1" t="str">
        <f t="shared" si="79"/>
        <v>Other</v>
      </c>
      <c r="AH210" s="100" t="str">
        <f t="shared" si="65"/>
        <v>"%USERPROFILE%\Documents\GitHub\eaglep3\Utilities\RefineRTDCRunTimes.py" --tripid 906-06 --locoid 4010 --swversion DE.1.0.7.0 --startMP 300:58638 --initTime 2016-09-06T19:08:00 --startdatetime 1969-12-31T23:00:00 --delay 1 --endMP 300:28784 --enddatetime 1969-12-31T23:00:00 --enforcementcount 0 &gt;&gt;C:\Users\stu\Documents\GitHub\eaglep3-reporting\EC\2016-09-06-refined-times.txt</v>
      </c>
      <c r="AI210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{"issue":{"subject":"","project_id":79,"tracker_id":40,"status_id":1,"priority_id":2,"assigned_to_id":23,"start_date":"1969-12-31","description":"","custom_fields":[{"id":1,"name":"Subdivision","value":"Other"},{"id":4,"name":"Milepost","value":"2.9854"},{"id":17,"name":"Train ID","value":"906-06"},{"id":16,"name":"Locomotive ID","value":"4010"},{"id":130,"name":"Impact","value":""},{"id":150,"name":"Time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561</v>
      </c>
      <c r="B211" s="7">
        <v>4017</v>
      </c>
      <c r="C211" s="24" t="s">
        <v>112</v>
      </c>
      <c r="D211" s="24" t="s">
        <v>728</v>
      </c>
      <c r="E211" s="15">
        <v>42619.943078703705</v>
      </c>
      <c r="F211" s="15">
        <v>42619.944710648146</v>
      </c>
      <c r="G211" s="7">
        <v>1</v>
      </c>
      <c r="H211" s="15" t="s">
        <v>729</v>
      </c>
      <c r="I211" s="15">
        <v>42619.950011574074</v>
      </c>
      <c r="J211" s="7">
        <v>0</v>
      </c>
      <c r="K211" s="132" t="str">
        <f t="shared" si="67"/>
        <v>4017/4018</v>
      </c>
      <c r="L211" s="24" t="str">
        <f>VLOOKUP(A211,'Trips&amp;Operators'!$C$1:$E$10000,3,FALSE)</f>
        <v>BROWN</v>
      </c>
      <c r="M211" s="6">
        <f t="shared" si="68"/>
        <v>5.3009259281679988E-3</v>
      </c>
      <c r="N211" s="7">
        <f t="shared" si="64"/>
        <v>7.6333333365619183</v>
      </c>
      <c r="O211" s="7"/>
      <c r="P211" s="7"/>
      <c r="Q211" s="25"/>
      <c r="R211" s="25"/>
      <c r="S211" s="37">
        <f t="shared" si="69"/>
        <v>0</v>
      </c>
      <c r="T211" s="52" t="str">
        <f t="shared" si="70"/>
        <v>Southbound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21:38:02-0600',mode:absolute,to:'2016-09-06 23:48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11" s="54" t="str">
        <f t="shared" si="72"/>
        <v>Y</v>
      </c>
      <c r="X211" s="120">
        <f t="shared" si="63"/>
        <v>2</v>
      </c>
      <c r="Y211" s="69">
        <f t="shared" si="73"/>
        <v>5.8630000000000004</v>
      </c>
      <c r="Z211" s="69">
        <f t="shared" si="74"/>
        <v>2.1749999999999998</v>
      </c>
      <c r="AA211" s="69">
        <f t="shared" si="75"/>
        <v>3.6880000000000006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76"/>
        <v>0908-06</v>
      </c>
      <c r="AE211" s="99" t="str">
        <f t="shared" si="77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211" s="96" t="str">
        <f t="shared" si="78"/>
        <v>"C:\Program Files (x86)\AstroGrep\AstroGrep.exe" /spath="%USERPROFILE%\AppData\Local\Temp\OnboardLogs" /stypes="*4017*20160907*" /stext=" 04:.+((SYSTEM_STATE.+slice.+state.+changed )|(ment ac)|(system.+state.+changed )|(\|lc)|(penalty)|(\[timeout)|(PRM\|1\|D)|(kpr)|(kdp))" /e /r /s</v>
      </c>
      <c r="AG211" s="1" t="str">
        <f t="shared" si="79"/>
        <v>Other</v>
      </c>
      <c r="AH211" s="100" t="str">
        <f t="shared" si="65"/>
        <v>"%USERPROFILE%\Documents\GitHub\eaglep3\Utilities\RefineRTDCRunTimes.py" --tripid 908-06 --locoid 4017 --swversion DE.1.0.7.0 --startMP 300:58630 --initTime 2016-09-06T22:38:02 --startdatetime 2016-09-06T22:40:23 --delay 1 --endMP 300:21750 --enddatetime 2016-09-06T22:48:01 --enforcementcount 0 &gt;&gt;C:\Users\stu\Documents\GitHub\eaglep3-reporting\EC\2016-09-06-refined-times.txt</v>
      </c>
      <c r="AI211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{"issue":{"subject":"","project_id":79,"tracker_id":40,"status_id":1,"priority_id":2,"assigned_to_id":23,"start_date":"2016-09-06","description":"","custom_fields":[{"id":1,"name":"Subdivision","value":"Other"},{"id":4,"name":"Milepost","value":"3.688"},{"id":17,"name":"Train ID","value":"908-06"},{"id":16,"name":"Locomotive ID","value":"4017"},{"id":130,"name":"Impact","value":""},{"id":150,"name":"Time of Event (Mountain Time)","value":"22:48:01"},{"id":151,"name":"Denver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522</v>
      </c>
      <c r="B212" s="7">
        <v>4014</v>
      </c>
      <c r="C212" s="24" t="s">
        <v>112</v>
      </c>
      <c r="D212" s="24" t="s">
        <v>656</v>
      </c>
      <c r="E212" s="15">
        <v>42619.747662037036</v>
      </c>
      <c r="F212" s="15">
        <v>25568.958333333332</v>
      </c>
      <c r="G212" s="7">
        <v>1</v>
      </c>
      <c r="H212" s="15" t="s">
        <v>612</v>
      </c>
      <c r="I212" s="15">
        <v>25568.958333333332</v>
      </c>
      <c r="J212" s="7">
        <v>0</v>
      </c>
      <c r="K212" s="132" t="str">
        <f t="shared" si="67"/>
        <v>4013/4014</v>
      </c>
      <c r="L212" s="24" t="str">
        <f>VLOOKUP(A212,'Trips&amp;Operators'!$C$1:$E$10000,3,FALSE)</f>
        <v>STORY</v>
      </c>
      <c r="M212" s="6">
        <f t="shared" si="68"/>
        <v>0</v>
      </c>
      <c r="N212" s="7">
        <f t="shared" si="64"/>
        <v>0</v>
      </c>
      <c r="O212" s="7"/>
      <c r="P212" s="7"/>
      <c r="Q212" s="25"/>
      <c r="R212" s="25"/>
      <c r="S212" s="37">
        <f t="shared" si="69"/>
        <v>0</v>
      </c>
      <c r="T212" s="52" t="e">
        <f t="shared" si="70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16:56:38-0600',mode:absolute,to:'1970-01-01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2" s="54" t="str">
        <f t="shared" si="72"/>
        <v>Y</v>
      </c>
      <c r="X212" s="120" t="e">
        <f t="shared" si="63"/>
        <v>#VALUE!</v>
      </c>
      <c r="Y212" s="69">
        <f t="shared" si="73"/>
        <v>0.16009999999999999</v>
      </c>
      <c r="Z212" s="69">
        <f t="shared" si="74"/>
        <v>2.3306</v>
      </c>
      <c r="AA212" s="69">
        <f t="shared" si="75"/>
        <v>2.1705000000000001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76"/>
        <v>63-06</v>
      </c>
      <c r="AE212" s="99" t="str">
        <f t="shared" si="77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212" s="96" t="str">
        <f t="shared" si="78"/>
        <v>"C:\Program Files (x86)\AstroGrep\AstroGrep.exe" /spath="%USERPROFILE%\AppData\Local\Temp\OnboardLogs" /stypes="*4014*19700101*" /stext=" 05:.+((SYSTEM_STATE.+slice.+state.+changed )|(ment ac)|(system.+state.+changed )|(\|lc)|(penalty)|(\[timeout)|(PRM\|1\|D)|(kpr)|(kdp))" /e /r /s</v>
      </c>
      <c r="AG212" s="1" t="str">
        <f t="shared" si="79"/>
        <v>Other</v>
      </c>
      <c r="AH212" s="100" t="str">
        <f t="shared" si="65"/>
        <v>"%USERPROFILE%\Documents\GitHub\eaglep3\Utilities\RefineRTDCRunTimes.py" --tripid 63-06 --locoid 4014 --swversion DE.1.0.7.0 --startMP 204:1601 --initTime 2016-09-06T17:56:38 --startdatetime 1969-12-31T23:00:00 --delay 1 --endMP 300:23306 --enddatetime 1969-12-31T23:00:00 --enforcementcount 0 &gt;&gt;C:\Users\stu\Documents\GitHub\eaglep3-reporting\EC\2016-09-06-refined-times.txt</v>
      </c>
      <c r="AI212" s="149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{"issue":{"subject":"","project_id":79,"tracker_id":40,"status_id":1,"priority_id":2,"assigned_to_id":23,"start_date":"1969-12-31","description":"","custom_fields":[{"id":1,"name":"Subdivision","value":"Other"},{"id":4,"name":"Milepost","value":"2.1705"},{"id":17,"name":"Train ID","value":"63-06"},{"id":16,"name":"Locomotive ID","value":"4014"},{"id":130,"name":"Impact","value":""},{"id":150,"name":"Time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324</v>
      </c>
      <c r="B213" s="7">
        <v>4052</v>
      </c>
      <c r="C213" s="24" t="s">
        <v>325</v>
      </c>
      <c r="D213" s="24" t="s">
        <v>326</v>
      </c>
      <c r="E213" s="15">
        <v>42619.092152777775</v>
      </c>
      <c r="F213" s="15">
        <v>42619.128981481481</v>
      </c>
      <c r="G213" s="7">
        <v>2</v>
      </c>
      <c r="H213" s="15" t="s">
        <v>327</v>
      </c>
      <c r="I213" s="15">
        <v>42619.142731481479</v>
      </c>
      <c r="J213" s="7">
        <v>0</v>
      </c>
      <c r="K213" s="132" t="str">
        <f t="shared" si="67"/>
        <v>4051/4052</v>
      </c>
      <c r="L213" s="24" t="b">
        <f>VLOOKUP(A213,'Trips&amp;Operators'!$C$1:$E$10000,3,FALSE)</f>
        <v>1</v>
      </c>
      <c r="M213" s="6">
        <f t="shared" si="68"/>
        <v>1.374999999825377E-2</v>
      </c>
      <c r="N213" s="7">
        <f t="shared" si="64"/>
        <v>19.799999997485429</v>
      </c>
      <c r="O213" s="7"/>
      <c r="P213" s="7"/>
      <c r="Q213" s="25"/>
      <c r="R213" s="25"/>
      <c r="S213" s="37">
        <f t="shared" si="69"/>
        <v>0</v>
      </c>
      <c r="T213" s="52" t="e">
        <f t="shared" si="70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01:12:42-0600',mode:absolute,to:'2016-09-06 04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3" s="54" t="str">
        <f t="shared" si="72"/>
        <v>N</v>
      </c>
      <c r="X213" s="120" t="e">
        <f t="shared" si="63"/>
        <v>#VALUE!</v>
      </c>
      <c r="Y213" s="69">
        <f t="shared" si="73"/>
        <v>12.7813</v>
      </c>
      <c r="Z213" s="69">
        <f t="shared" si="74"/>
        <v>1.0347</v>
      </c>
      <c r="AA213" s="69">
        <f t="shared" si="75"/>
        <v>11.746600000000001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76"/>
        <v>64-05</v>
      </c>
      <c r="AE213" s="99" t="str">
        <f t="shared" si="77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3" s="96" t="str">
        <f t="shared" si="78"/>
        <v>"C:\Program Files (x86)\AstroGrep\AstroGrep.exe" /spath="%USERPROFILE%\AppData\Local\Temp\OnboardLogs" /stypes="*4052*20160906*" /stext=" 09:.+((SYSTEM_STATE.+slice.+state.+changed )|(ment ac)|(system.+state.+changed )|(\|lc)|(penalty)|(\[timeout)|(PRM\|1\|D)|(kpr)|(kdp))" /e /r /s</v>
      </c>
      <c r="AG213" s="1" t="str">
        <f t="shared" si="79"/>
        <v>Other</v>
      </c>
      <c r="AH213" s="100" t="str">
        <f t="shared" si="65"/>
        <v>"%USERPROFILE%\Documents\GitHub\eaglep3\Utilities\RefineRTDCRunTimes.py" --tripid 64-05 --locoid 4052 --swversion DE.1.0.8.0.ENG1 --startMP 204:127813 --initTime 2016-09-06T02:12:42 --startdatetime 2016-09-06T03:05:44 --delay 2 --endMP 204:10347 --enddatetime 2016-09-06T03:25:32 --enforcementcount 0 &gt;&gt;C:\Users\stu\Documents\GitHub\eaglep3-reporting\EC\2016-09-06-refined-times.txt</v>
      </c>
      <c r="AI213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{"issue":{"subject":"","project_id":79,"tracker_id":40,"status_id":1,"priority_id":2,"assigned_to_id":23,"start_date":"2016-09-06","description":"","custom_fields":[{"id":1,"name":"Subdivision","value":"Other"},{"id":4,"name":"Milepost","value":"11.7466"},{"id":17,"name":"Train ID","value":"64-05"},{"id":16,"name":"Locomotive ID","value":"4052"},{"id":130,"name":"Impact","value":""},{"id":150,"name":"Time of Event (Mountain Time)","value":"03:25:32"},{"id":151,"name":"Denver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324</v>
      </c>
      <c r="B214" s="7">
        <v>4052</v>
      </c>
      <c r="C214" s="24" t="s">
        <v>325</v>
      </c>
      <c r="D214" s="24" t="s">
        <v>657</v>
      </c>
      <c r="E214" s="15">
        <v>42619.127442129633</v>
      </c>
      <c r="F214" s="15">
        <v>42619.128981481481</v>
      </c>
      <c r="G214" s="7">
        <v>0</v>
      </c>
      <c r="H214" s="15" t="s">
        <v>658</v>
      </c>
      <c r="I214" s="15">
        <v>42619.142731481479</v>
      </c>
      <c r="J214" s="7">
        <v>0</v>
      </c>
      <c r="K214" s="132" t="str">
        <f t="shared" si="67"/>
        <v>4051/4052</v>
      </c>
      <c r="L214" s="24" t="b">
        <f>VLOOKUP(A214,'Trips&amp;Operators'!$C$1:$E$10000,3,FALSE)</f>
        <v>1</v>
      </c>
      <c r="M214" s="6">
        <f t="shared" si="68"/>
        <v>1.374999999825377E-2</v>
      </c>
      <c r="N214" s="7">
        <f t="shared" si="64"/>
        <v>19.799999997485429</v>
      </c>
      <c r="O214" s="7"/>
      <c r="P214" s="7"/>
      <c r="Q214" s="25"/>
      <c r="R214" s="25"/>
      <c r="S214" s="37">
        <f t="shared" si="69"/>
        <v>0</v>
      </c>
      <c r="T214" s="52" t="e">
        <f t="shared" si="70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02:03:31-0600',mode:absolute,to:'2016-09-06 04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4" s="54" t="str">
        <f t="shared" si="72"/>
        <v>N</v>
      </c>
      <c r="X214" s="120" t="e">
        <f t="shared" si="63"/>
        <v>#VALUE!</v>
      </c>
      <c r="Y214" s="69">
        <f t="shared" si="73"/>
        <v>12.786099999999999</v>
      </c>
      <c r="Z214" s="69">
        <f t="shared" si="74"/>
        <v>0.96460000000000001</v>
      </c>
      <c r="AA214" s="69">
        <f t="shared" si="75"/>
        <v>11.821499999999999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76"/>
        <v>64-05</v>
      </c>
      <c r="AE214" s="99" t="str">
        <f t="shared" si="77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4" s="96" t="str">
        <f t="shared" si="78"/>
        <v>"C:\Program Files (x86)\AstroGrep\AstroGrep.exe" /spath="%USERPROFILE%\AppData\Local\Temp\OnboardLogs" /stypes="*4052*20160906*" /stext=" 09:.+((SYSTEM_STATE.+slice.+state.+changed )|(ment ac)|(system.+state.+changed )|(\|lc)|(penalty)|(\[timeout)|(PRM\|1\|D)|(kpr)|(kdp))" /e /r /s</v>
      </c>
      <c r="AG214" s="1" t="str">
        <f t="shared" si="79"/>
        <v>Other</v>
      </c>
      <c r="AH214" s="100" t="str">
        <f t="shared" si="65"/>
        <v>"%USERPROFILE%\Documents\GitHub\eaglep3\Utilities\RefineRTDCRunTimes.py" --tripid 64-05 --locoid 4052 --swversion DE.1.0.8.0.ENG1 --startMP 204:127861 --initTime 2016-09-06T03:03:31 --startdatetime 2016-09-06T03:05:44 --delay 0 --endMP 204:9646 --enddatetime 2016-09-06T03:25:32 --enforcementcount 0 &gt;&gt;C:\Users\stu\Documents\GitHub\eaglep3-reporting\EC\2016-09-06-refined-times.txt</v>
      </c>
      <c r="AI214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{"issue":{"subject":"","project_id":79,"tracker_id":40,"status_id":1,"priority_id":2,"assigned_to_id":23,"start_date":"2016-09-06","description":"","custom_fields":[{"id":1,"name":"Subdivision","value":"Other"},{"id":4,"name":"Milepost","value":"11.8215"},{"id":17,"name":"Train ID","value":"64-05"},{"id":16,"name":"Locomotive ID","value":"4052"},{"id":130,"name":"Impact","value":""},{"id":150,"name":"Time of Event (Mountain Time)","value":"03:25:32"},{"id":151,"name":"Denver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512</v>
      </c>
      <c r="B215" s="7">
        <v>4019</v>
      </c>
      <c r="C215" s="24" t="s">
        <v>112</v>
      </c>
      <c r="D215" s="24" t="s">
        <v>659</v>
      </c>
      <c r="E215" s="15">
        <v>42619.729305555556</v>
      </c>
      <c r="F215" s="15">
        <v>42619.734178240738</v>
      </c>
      <c r="G215" s="7">
        <v>6</v>
      </c>
      <c r="H215" s="15" t="s">
        <v>660</v>
      </c>
      <c r="I215" s="15">
        <v>42619.740590277775</v>
      </c>
      <c r="J215" s="7">
        <v>0</v>
      </c>
      <c r="K215" s="132" t="str">
        <f t="shared" si="67"/>
        <v>4019/4020</v>
      </c>
      <c r="L215" s="24" t="str">
        <f>VLOOKUP(A215,'Trips&amp;Operators'!$C$1:$E$10000,3,FALSE)</f>
        <v>HAITHCOX</v>
      </c>
      <c r="M215" s="6">
        <f t="shared" si="68"/>
        <v>6.4120370370801538E-3</v>
      </c>
      <c r="N215" s="7">
        <f t="shared" si="64"/>
        <v>9.2333333333954215</v>
      </c>
      <c r="O215" s="7"/>
      <c r="P215" s="7"/>
      <c r="Q215" s="25"/>
      <c r="R215" s="25"/>
      <c r="S215" s="37">
        <f t="shared" si="69"/>
        <v>0</v>
      </c>
      <c r="T215" s="52" t="e">
        <f t="shared" si="70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16:30:12-0600',mode:absolute,to:'2016-09-06 18:46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5" s="54" t="str">
        <f t="shared" si="72"/>
        <v>Y</v>
      </c>
      <c r="X215" s="120" t="e">
        <f t="shared" si="63"/>
        <v>#VALUE!</v>
      </c>
      <c r="Y215" s="69">
        <f t="shared" si="73"/>
        <v>2.3342000000000001</v>
      </c>
      <c r="Z215" s="69">
        <f t="shared" si="74"/>
        <v>9.0800000000000006E-2</v>
      </c>
      <c r="AA215" s="69">
        <f t="shared" si="75"/>
        <v>2.2433999999999998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76"/>
        <v>64-06</v>
      </c>
      <c r="AE215" s="99" t="str">
        <f t="shared" si="77"/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AF215" s="96" t="str">
        <f t="shared" si="78"/>
        <v>"C:\Program Files (x86)\AstroGrep\AstroGrep.exe" /spath="%USERPROFILE%\AppData\Local\Temp\OnboardLogs" /stypes="*4019*20160906*" /stext=" 23:.+((SYSTEM_STATE.+slice.+state.+changed )|(ment ac)|(system.+state.+changed )|(\|lc)|(penalty)|(\[timeout)|(PRM\|1\|D)|(kpr)|(kdp))" /e /r /s</v>
      </c>
      <c r="AG215" s="1" t="str">
        <f t="shared" si="79"/>
        <v>Other</v>
      </c>
      <c r="AH215" s="100" t="str">
        <f t="shared" si="65"/>
        <v>"%USERPROFILE%\Documents\GitHub\eaglep3\Utilities\RefineRTDCRunTimes.py" --tripid 64-06 --locoid 4019 --swversion DE.1.0.7.0 --startMP 300:23342 --initTime 2016-09-06T17:30:12 --startdatetime 2016-09-06T17:37:13 --delay 6 --endMP 204:908 --enddatetime 2016-09-06T17:46:27 --enforcementcount 0 &gt;&gt;C:\Users\stu\Documents\GitHub\eaglep3-reporting\EC\2016-09-06-refined-times.txt</v>
      </c>
      <c r="AI215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{"issue":{"subject":"","project_id":79,"tracker_id":40,"status_id":1,"priority_id":2,"assigned_to_id":23,"start_date":"2016-09-06","description":"","custom_fields":[{"id":1,"name":"Subdivision","value":"Other"},{"id":4,"name":"Milepost","value":"2.2434"},{"id":17,"name":"Train ID","value":"64-06"},{"id":16,"name":"Locomotive ID","value":"4019"},{"id":130,"name":"Impact","value":""},{"id":150,"name":"Time of Event (Mountain Time)","value":"17:46:27"},{"id":151,"name":"Denver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328</v>
      </c>
      <c r="B216" s="7">
        <v>4051</v>
      </c>
      <c r="C216" s="24" t="s">
        <v>325</v>
      </c>
      <c r="D216" s="24" t="s">
        <v>329</v>
      </c>
      <c r="E216" s="15">
        <v>42619.073425925926</v>
      </c>
      <c r="F216" s="15">
        <v>42619.113078703704</v>
      </c>
      <c r="G216" s="7">
        <v>1</v>
      </c>
      <c r="H216" s="15" t="s">
        <v>330</v>
      </c>
      <c r="I216" s="15">
        <v>42619.126493055555</v>
      </c>
      <c r="J216" s="7">
        <v>0</v>
      </c>
      <c r="K216" s="132" t="str">
        <f t="shared" si="67"/>
        <v>4051/4052</v>
      </c>
      <c r="L216" s="24" t="b">
        <f>VLOOKUP(A216,'Trips&amp;Operators'!$C$1:$E$10000,3,FALSE)</f>
        <v>1</v>
      </c>
      <c r="M216" s="6">
        <f t="shared" si="68"/>
        <v>1.3414351851679385E-2</v>
      </c>
      <c r="N216" s="7">
        <f t="shared" si="64"/>
        <v>19.316666666418314</v>
      </c>
      <c r="O216" s="7"/>
      <c r="P216" s="7"/>
      <c r="Q216" s="25"/>
      <c r="R216" s="25"/>
      <c r="S216" s="37">
        <f t="shared" si="69"/>
        <v>0</v>
      </c>
      <c r="T216" s="52" t="e">
        <f t="shared" si="70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04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6" s="54" t="str">
        <f t="shared" si="72"/>
        <v>N</v>
      </c>
      <c r="X216" s="120" t="e">
        <f t="shared" si="63"/>
        <v>#VALUE!</v>
      </c>
      <c r="Y216" s="69">
        <f t="shared" si="73"/>
        <v>1.0515000000000001</v>
      </c>
      <c r="Z216" s="69">
        <f t="shared" si="74"/>
        <v>12.8079</v>
      </c>
      <c r="AA216" s="69">
        <f t="shared" si="75"/>
        <v>11.756399999999999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76"/>
        <v>65-05</v>
      </c>
      <c r="AE216" s="99" t="str">
        <f t="shared" si="77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6" s="96" t="str">
        <f t="shared" si="78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6" s="1" t="str">
        <f t="shared" si="79"/>
        <v>Other</v>
      </c>
      <c r="AH216" s="100" t="str">
        <f t="shared" si="65"/>
        <v>"%USERPROFILE%\Documents\GitHub\eaglep3\Utilities\RefineRTDCRunTimes.py" --tripid 65-05 --locoid 4051 --swversion DE.1.0.8.0.ENG1 --startMP 204:10515 --initTime 2016-09-06T01:45:44 --startdatetime 2016-09-06T02:42:50 --delay 1 --endMP 204:128079 --enddatetime 2016-09-06T03:02:09 --enforcementcount 0 &gt;&gt;C:\Users\stu\Documents\GitHub\eaglep3-reporting\EC\2016-09-06-refined-times.txt</v>
      </c>
      <c r="AI216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{"issue":{"subject":"","project_id":79,"tracker_id":40,"status_id":1,"priority_id":2,"assigned_to_id":23,"start_date":"2016-09-06","description":"","custom_fields":[{"id":1,"name":"Subdivision","value":"Other"},{"id":4,"name":"Milepost","value":"11.7564"},{"id":17,"name":"Train ID","value":"65-05"},{"id":16,"name":"Locomotive ID","value":"4051"},{"id":130,"name":"Impact","value":""},{"id":150,"name":"Time of Event (Mountain Time)","value":"03:02:09"},{"id":151,"name":"Denver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328</v>
      </c>
      <c r="B217" s="7">
        <v>4051</v>
      </c>
      <c r="C217" s="24" t="s">
        <v>325</v>
      </c>
      <c r="D217" s="24" t="s">
        <v>331</v>
      </c>
      <c r="E217" s="15">
        <v>42619.110497685186</v>
      </c>
      <c r="F217" s="15">
        <v>42619.113078703704</v>
      </c>
      <c r="G217" s="7">
        <v>0</v>
      </c>
      <c r="H217" s="15" t="s">
        <v>332</v>
      </c>
      <c r="I217" s="15">
        <v>42619.126493055555</v>
      </c>
      <c r="J217" s="7">
        <v>0</v>
      </c>
      <c r="K217" s="132" t="str">
        <f t="shared" si="67"/>
        <v>4051/4052</v>
      </c>
      <c r="L217" s="24" t="b">
        <f>VLOOKUP(A217,'Trips&amp;Operators'!$C$1:$E$10000,3,FALSE)</f>
        <v>1</v>
      </c>
      <c r="M217" s="6">
        <f t="shared" si="68"/>
        <v>1.3414351851679385E-2</v>
      </c>
      <c r="N217" s="7">
        <f t="shared" si="64"/>
        <v>19.316666666418314</v>
      </c>
      <c r="O217" s="7"/>
      <c r="P217" s="7"/>
      <c r="Q217" s="25"/>
      <c r="R217" s="25"/>
      <c r="S217" s="37">
        <f t="shared" si="69"/>
        <v>0</v>
      </c>
      <c r="T217" s="52" t="e">
        <f t="shared" si="70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01:39:07-0600',mode:absolute,to:'2016-09-06 04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7" s="54" t="str">
        <f t="shared" si="72"/>
        <v>N</v>
      </c>
      <c r="X217" s="120" t="e">
        <f t="shared" si="63"/>
        <v>#VALUE!</v>
      </c>
      <c r="Y217" s="69">
        <f t="shared" si="73"/>
        <v>1.0583</v>
      </c>
      <c r="Z217" s="69">
        <f t="shared" si="74"/>
        <v>12.8131</v>
      </c>
      <c r="AA217" s="69">
        <f t="shared" si="75"/>
        <v>11.754799999999999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76"/>
        <v>65-05</v>
      </c>
      <c r="AE217" s="99" t="str">
        <f t="shared" si="77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7" s="96" t="str">
        <f t="shared" si="78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7" s="1" t="str">
        <f t="shared" si="79"/>
        <v>Other</v>
      </c>
      <c r="AH217" s="100" t="str">
        <f t="shared" si="65"/>
        <v>"%USERPROFILE%\Documents\GitHub\eaglep3\Utilities\RefineRTDCRunTimes.py" --tripid 65-05 --locoid 4051 --swversion DE.1.0.8.0.ENG1 --startMP 204:10583 --initTime 2016-09-06T02:39:07 --startdatetime 2016-09-06T02:42:50 --delay 0 --endMP 204:128131 --enddatetime 2016-09-06T03:02:09 --enforcementcount 0 &gt;&gt;C:\Users\stu\Documents\GitHub\eaglep3-reporting\EC\2016-09-06-refined-times.txt</v>
      </c>
      <c r="AI217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{"issue":{"subject":"","project_id":79,"tracker_id":40,"status_id":1,"priority_id":2,"assigned_to_id":23,"start_date":"2016-09-06","description":"","custom_fields":[{"id":1,"name":"Subdivision","value":"Other"},{"id":4,"name":"Milepost","value":"11.7548"},{"id":17,"name":"Train ID","value":"65-05"},{"id":16,"name":"Locomotive ID","value":"4051"},{"id":130,"name":"Impact","value":""},{"id":150,"name":"Time of Event (Mountain Time)","value":"03:02:09"},{"id":151,"name":"Denver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516</v>
      </c>
      <c r="B218" s="7">
        <v>4022</v>
      </c>
      <c r="C218" s="24" t="s">
        <v>112</v>
      </c>
      <c r="D218" s="24" t="s">
        <v>661</v>
      </c>
      <c r="E218" s="15">
        <v>42619.733657407407</v>
      </c>
      <c r="F218" s="15">
        <v>42619.746828703705</v>
      </c>
      <c r="G218" s="7">
        <v>3</v>
      </c>
      <c r="H218" s="15" t="s">
        <v>662</v>
      </c>
      <c r="I218" s="15">
        <v>42619.755173611113</v>
      </c>
      <c r="J218" s="7">
        <v>0</v>
      </c>
      <c r="K218" s="132" t="str">
        <f t="shared" si="67"/>
        <v>4021/4022</v>
      </c>
      <c r="L218" s="24" t="str">
        <f>VLOOKUP(A218,'Trips&amp;Operators'!$C$1:$E$10000,3,FALSE)</f>
        <v>CLARK</v>
      </c>
      <c r="M218" s="6">
        <f t="shared" si="68"/>
        <v>8.3449074081727304E-3</v>
      </c>
      <c r="N218" s="7">
        <f t="shared" si="64"/>
        <v>12.016666667768732</v>
      </c>
      <c r="O218" s="7"/>
      <c r="P218" s="7"/>
      <c r="Q218" s="25"/>
      <c r="R218" s="25"/>
      <c r="S218" s="37">
        <f t="shared" si="69"/>
        <v>0</v>
      </c>
      <c r="T218" s="52" t="e">
        <f t="shared" si="70"/>
        <v>#VALUE!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16:36:28-0600',mode:absolute,to:'2016-09-06 19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8" s="54" t="str">
        <f t="shared" si="72"/>
        <v>Y</v>
      </c>
      <c r="X218" s="120" t="e">
        <f t="shared" si="63"/>
        <v>#VALUE!</v>
      </c>
      <c r="Y218" s="69">
        <f t="shared" si="73"/>
        <v>3.6999999999999998E-2</v>
      </c>
      <c r="Z218" s="69">
        <f t="shared" si="74"/>
        <v>2.4207999999999998</v>
      </c>
      <c r="AA218" s="69">
        <f t="shared" si="75"/>
        <v>2.3837999999999999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76"/>
        <v>66-06</v>
      </c>
      <c r="AE218" s="99" t="str">
        <f t="shared" si="77"/>
        <v>aws s3 cp s3://rtdc.mdm.uploadarchive/RTDC4022/2016-09-06/ "%USERPROFILE%\AppData\Local\Temp\OnboardLogs"\RTDC4022\2016-09-06 --recursive &amp; "%USERPROFILE%\Documents\GitHub\mrs-test-scripts\Headless Mode &amp; Sideloading\WalkAndUnGZ.bat" "%USERPROFILE%\AppData\Local\Temp\OnboardLogs"\RTDC4022\2016-09-06 &amp; aws s3 cp s3://rtdc.mdm.uploadarchive/RTDC4022/2016-09-07/ "%USERPROFILE%\AppData\Local\Temp\OnboardLogs"\RTDC4022\2016-09-07 --recursive &amp; "%USERPROFILE%\Documents\GitHub\mrs-test-scripts\Headless Mode &amp; Sideloading\WalkAndUnGZ.bat" "%USERPROFILE%\AppData\Local\Temp\OnboardLogs"\RTDC4022\2016-09-07</v>
      </c>
      <c r="AF218" s="96" t="str">
        <f t="shared" si="78"/>
        <v>"C:\Program Files (x86)\AstroGrep\AstroGrep.exe" /spath="%USERPROFILE%\AppData\Local\Temp\OnboardLogs" /stypes="*4022*20160907*" /stext=" 00:.+((SYSTEM_STATE.+slice.+state.+changed )|(ment ac)|(system.+state.+changed )|(\|lc)|(penalty)|(\[timeout)|(PRM\|1\|D)|(kpr)|(kdp))" /e /r /s</v>
      </c>
      <c r="AG218" s="1" t="str">
        <f t="shared" si="79"/>
        <v>Other</v>
      </c>
      <c r="AH218" s="100" t="str">
        <f t="shared" si="65"/>
        <v>"%USERPROFILE%\Documents\GitHub\eaglep3\Utilities\RefineRTDCRunTimes.py" --tripid 66-06 --locoid 4022 --swversion DE.1.0.7.0 --startMP 204:370 --initTime 2016-09-06T17:36:28 --startdatetime 2016-09-06T17:55:26 --delay 3 --endMP 300:24208 --enddatetime 2016-09-06T18:07:27 --enforcementcount 0 &gt;&gt;C:\Users\stu\Documents\GitHub\eaglep3-reporting\EC\2016-09-06-refined-times.txt</v>
      </c>
      <c r="AI218" s="149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{"issue":{"subject":"","project_id":79,"tracker_id":40,"status_id":1,"priority_id":2,"assigned_to_id":23,"start_date":"2016-09-06","description":"","custom_fields":[{"id":1,"name":"Subdivision","value":"Other"},{"id":4,"name":"Milepost","value":"2.3838"},{"id":17,"name":"Train ID","value":"66-06"},{"id":16,"name":"Locomotive ID","value":"4022"},{"id":130,"name":"Impact","value":""},{"id":150,"name":"Time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572</v>
      </c>
      <c r="B219" s="7">
        <v>4051</v>
      </c>
      <c r="C219" s="24" t="s">
        <v>325</v>
      </c>
      <c r="D219" s="24" t="s">
        <v>663</v>
      </c>
      <c r="E219" s="15">
        <v>42620.0780787037</v>
      </c>
      <c r="F219" s="15">
        <v>42620.122847222221</v>
      </c>
      <c r="G219" s="7">
        <v>0</v>
      </c>
      <c r="H219" s="15" t="s">
        <v>664</v>
      </c>
      <c r="I219" s="15">
        <v>42620.136423611111</v>
      </c>
      <c r="J219" s="7">
        <v>0</v>
      </c>
      <c r="K219" s="132" t="str">
        <f t="shared" si="67"/>
        <v>4051/4052</v>
      </c>
      <c r="L219" s="24" t="b">
        <f>VLOOKUP(A219,'Trips&amp;Operators'!$C$1:$E$10000,3,FALSE)</f>
        <v>1</v>
      </c>
      <c r="M219" s="6">
        <f t="shared" si="68"/>
        <v>1.357638889021473E-2</v>
      </c>
      <c r="N219" s="7">
        <f t="shared" si="64"/>
        <v>19.550000001909211</v>
      </c>
      <c r="O219" s="7"/>
      <c r="P219" s="7"/>
      <c r="Q219" s="25"/>
      <c r="R219" s="25"/>
      <c r="S219" s="37">
        <f t="shared" si="69"/>
        <v>0</v>
      </c>
      <c r="T219" s="52" t="e">
        <f t="shared" si="70"/>
        <v>#VALUE!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9" s="54" t="str">
        <f t="shared" si="72"/>
        <v>N</v>
      </c>
      <c r="X219" s="120" t="e">
        <f t="shared" si="63"/>
        <v>#VALUE!</v>
      </c>
      <c r="Y219" s="69">
        <f t="shared" si="73"/>
        <v>1.0561</v>
      </c>
      <c r="Z219" s="69">
        <f t="shared" si="74"/>
        <v>12.8118</v>
      </c>
      <c r="AA219" s="69">
        <f t="shared" si="75"/>
        <v>11.755699999999999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76"/>
        <v>67-06</v>
      </c>
      <c r="AE219" s="99" t="str">
        <f t="shared" si="77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19" s="96" t="str">
        <f t="shared" si="78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19" s="1" t="str">
        <f t="shared" si="79"/>
        <v>Other</v>
      </c>
      <c r="AH219" s="100" t="str">
        <f t="shared" si="65"/>
        <v>"%USERPROFILE%\Documents\GitHub\eaglep3\Utilities\RefineRTDCRunTimes.py" --tripid 67-06 --locoid 4051 --swversion DE.1.0.8.0.ENG1 --startMP 204:10561 --initTime 2016-09-07T01:52:26 --startdatetime 2016-09-07T02:56:54 --delay 0 --endMP 204:128118 --enddatetime 2016-09-07T03:16:27 --enforcementcount 0 &gt;&gt;C:\Users\stu\Documents\GitHub\eaglep3-reporting\EC\2016-09-06-refined-times.txt</v>
      </c>
      <c r="AI219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{"issue":{"subject":"","project_id":79,"tracker_id":40,"status_id":1,"priority_id":2,"assigned_to_id":23,"start_date":"2016-09-07","description":"","custom_fields":[{"id":1,"name":"Subdivision","value":"Other"},{"id":4,"name":"Milepost","value":"11.7557"},{"id":17,"name":"Train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572</v>
      </c>
      <c r="B220" s="7">
        <v>4051</v>
      </c>
      <c r="C220" s="24" t="s">
        <v>325</v>
      </c>
      <c r="D220" s="24" t="s">
        <v>665</v>
      </c>
      <c r="E220" s="15">
        <v>42620.034745370373</v>
      </c>
      <c r="F220" s="15">
        <v>42620.062199074076</v>
      </c>
      <c r="G220" s="7">
        <v>4</v>
      </c>
      <c r="H220" s="15" t="s">
        <v>666</v>
      </c>
      <c r="I220" s="15">
        <v>42620.07603009259</v>
      </c>
      <c r="J220" s="7">
        <v>0</v>
      </c>
      <c r="K220" s="132" t="str">
        <f t="shared" si="67"/>
        <v>4051/4052</v>
      </c>
      <c r="L220" s="24" t="b">
        <f>VLOOKUP(A220,'Trips&amp;Operators'!$C$1:$E$10000,3,FALSE)</f>
        <v>1</v>
      </c>
      <c r="M220" s="6">
        <f t="shared" si="68"/>
        <v>1.3831018513883464E-2</v>
      </c>
      <c r="N220" s="7">
        <f t="shared" si="64"/>
        <v>19.916666659992188</v>
      </c>
      <c r="O220" s="7"/>
      <c r="P220" s="7"/>
      <c r="Q220" s="25"/>
      <c r="R220" s="25"/>
      <c r="S220" s="37">
        <f t="shared" si="69"/>
        <v>0</v>
      </c>
      <c r="T220" s="52" t="e">
        <f t="shared" si="70"/>
        <v>#VALUE!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23:50:02-0600',mode:absolute,to:'2016-09-07 02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20" s="54" t="str">
        <f t="shared" si="72"/>
        <v>N</v>
      </c>
      <c r="X220" s="120" t="e">
        <f t="shared" si="63"/>
        <v>#VALUE!</v>
      </c>
      <c r="Y220" s="69">
        <f t="shared" si="73"/>
        <v>1.0624</v>
      </c>
      <c r="Z220" s="69">
        <f t="shared" si="74"/>
        <v>12.8093</v>
      </c>
      <c r="AA220" s="69">
        <f t="shared" si="75"/>
        <v>11.7469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76"/>
        <v>67-06</v>
      </c>
      <c r="AE220" s="99" t="str">
        <f t="shared" si="77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20" s="96" t="str">
        <f t="shared" si="78"/>
        <v>"C:\Program Files (x86)\AstroGrep\AstroGrep.exe" /spath="%USERPROFILE%\AppData\Local\Temp\OnboardLogs" /stypes="*4051*20160907*" /stext=" 07:.+((SYSTEM_STATE.+slice.+state.+changed )|(ment ac)|(system.+state.+changed )|(\|lc)|(penalty)|(\[timeout)|(PRM\|1\|D)|(kpr)|(kdp))" /e /r /s</v>
      </c>
      <c r="AG220" s="1" t="str">
        <f t="shared" si="79"/>
        <v>Other</v>
      </c>
      <c r="AH220" s="100" t="str">
        <f t="shared" si="65"/>
        <v>"%USERPROFILE%\Documents\GitHub\eaglep3\Utilities\RefineRTDCRunTimes.py" --tripid 67-06 --locoid 4051 --swversion DE.1.0.8.0.ENG1 --startMP 204:10624 --initTime 2016-09-07T00:50:02 --startdatetime 2016-09-07T01:29:34 --delay 4 --endMP 204:128093 --enddatetime 2016-09-07T01:49:29 --enforcementcount 0 &gt;&gt;C:\Users\stu\Documents\GitHub\eaglep3-reporting\EC\2016-09-06-refined-times.txt</v>
      </c>
      <c r="AI220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{"issue":{"subject":"","project_id":79,"tracker_id":40,"status_id":1,"priority_id":2,"assigned_to_id":23,"start_date":"2016-09-07","description":"","custom_fields":[{"id":1,"name":"Subdivision","value":"Other"},{"id":4,"name":"Milepost","value":"11.7469"},{"id":17,"name":"Train ID","value":"67-06"},{"id":16,"name":"Locomotive ID","value":"4051"},{"id":130,"name":"Impact","value":""},{"id":150,"name":"Time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574</v>
      </c>
      <c r="B221" s="7">
        <v>4052</v>
      </c>
      <c r="C221" s="24" t="s">
        <v>325</v>
      </c>
      <c r="D221" s="24" t="s">
        <v>667</v>
      </c>
      <c r="E221" s="15">
        <v>42620.05982638889</v>
      </c>
      <c r="F221" s="15">
        <v>42620.062199074076</v>
      </c>
      <c r="G221" s="7">
        <v>1</v>
      </c>
      <c r="H221" s="15" t="s">
        <v>668</v>
      </c>
      <c r="I221" s="15">
        <v>42620.07603009259</v>
      </c>
      <c r="J221" s="7">
        <v>0</v>
      </c>
      <c r="K221" s="132" t="str">
        <f t="shared" si="67"/>
        <v>4051/4052</v>
      </c>
      <c r="L221" s="24" t="b">
        <f>VLOOKUP(A221,'Trips&amp;Operators'!$C$1:$E$10000,3,FALSE)</f>
        <v>1</v>
      </c>
      <c r="M221" s="6">
        <f t="shared" si="68"/>
        <v>1.3831018513883464E-2</v>
      </c>
      <c r="N221" s="7">
        <f t="shared" si="64"/>
        <v>19.916666659992188</v>
      </c>
      <c r="O221" s="7"/>
      <c r="P221" s="7"/>
      <c r="Q221" s="25"/>
      <c r="R221" s="25"/>
      <c r="S221" s="37">
        <f t="shared" si="69"/>
        <v>0</v>
      </c>
      <c r="T221" s="52" t="e">
        <f t="shared" si="70"/>
        <v>#VALUE!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00:26:09-0600',mode:absolute,to:'2016-09-07 02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1" s="54" t="str">
        <f t="shared" si="72"/>
        <v>N</v>
      </c>
      <c r="X221" s="120" t="e">
        <f t="shared" si="63"/>
        <v>#VALUE!</v>
      </c>
      <c r="Y221" s="69">
        <f t="shared" si="73"/>
        <v>12.782500000000001</v>
      </c>
      <c r="Z221" s="69">
        <f t="shared" si="74"/>
        <v>1.0326</v>
      </c>
      <c r="AA221" s="69">
        <f t="shared" si="75"/>
        <v>11.7499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76"/>
        <v>69-06</v>
      </c>
      <c r="AE221" s="99" t="str">
        <f t="shared" si="77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21" s="96" t="str">
        <f t="shared" si="78"/>
        <v>"C:\Program Files (x86)\AstroGrep\AstroGrep.exe" /spath="%USERPROFILE%\AppData\Local\Temp\OnboardLogs" /stypes="*4052*20160907*" /stext=" 07:.+((SYSTEM_STATE.+slice.+state.+changed )|(ment ac)|(system.+state.+changed )|(\|lc)|(penalty)|(\[timeout)|(PRM\|1\|D)|(kpr)|(kdp))" /e /r /s</v>
      </c>
      <c r="AG221" s="1" t="str">
        <f t="shared" si="79"/>
        <v>Other</v>
      </c>
      <c r="AH221" s="100" t="str">
        <f t="shared" si="65"/>
        <v>"%USERPROFILE%\Documents\GitHub\eaglep3\Utilities\RefineRTDCRunTimes.py" --tripid 69-06 --locoid 4052 --swversion DE.1.0.8.0.ENG1 --startMP 204:127825 --initTime 2016-09-07T01:26:09 --startdatetime 2016-09-07T01:29:34 --delay 1 --endMP 204:10326 --enddatetime 2016-09-07T01:49:29 --enforcementcount 0 &gt;&gt;C:\Users\stu\Documents\GitHub\eaglep3-reporting\EC\2016-09-06-refined-times.txt</v>
      </c>
      <c r="AI221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{"issue":{"subject":"","project_id":79,"tracker_id":40,"status_id":1,"priority_id":2,"assigned_to_id":23,"start_date":"2016-09-07","description":"","custom_fields":[{"id":1,"name":"Subdivision","value":"Other"},{"id":4,"name":"Milepost","value":"11.7499"},{"id":17,"name":"Train ID","value":"69-06"},{"id":16,"name":"Locomotive ID","value":"4052"},{"id":130,"name":"Impact","value":""},{"id":150,"name":"Time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574</v>
      </c>
      <c r="B222" s="7">
        <v>4052</v>
      </c>
      <c r="C222" s="24" t="s">
        <v>325</v>
      </c>
      <c r="D222" s="24" t="s">
        <v>669</v>
      </c>
      <c r="E222" s="15">
        <v>42620.102962962963</v>
      </c>
      <c r="F222" s="15">
        <v>42620.140104166669</v>
      </c>
      <c r="G222" s="7">
        <v>1</v>
      </c>
      <c r="H222" s="15" t="s">
        <v>670</v>
      </c>
      <c r="I222" s="15">
        <v>42620.154317129629</v>
      </c>
      <c r="J222" s="7">
        <v>0</v>
      </c>
      <c r="K222" s="132" t="str">
        <f t="shared" si="67"/>
        <v>4051/4052</v>
      </c>
      <c r="L222" s="24" t="b">
        <f>VLOOKUP(A222,'Trips&amp;Operators'!$C$1:$E$10000,3,FALSE)</f>
        <v>1</v>
      </c>
      <c r="M222" s="6">
        <f t="shared" si="68"/>
        <v>1.4212962960300501E-2</v>
      </c>
      <c r="N222" s="7">
        <f t="shared" si="64"/>
        <v>20.466666662832722</v>
      </c>
      <c r="O222" s="7"/>
      <c r="P222" s="7"/>
      <c r="Q222" s="25"/>
      <c r="R222" s="25"/>
      <c r="S222" s="37">
        <f t="shared" si="69"/>
        <v>0</v>
      </c>
      <c r="T222" s="52" t="e">
        <f t="shared" si="70"/>
        <v>#VALUE!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01:28:16-0600',mode:absolute,to:'2016-09-07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2" s="54" t="str">
        <f t="shared" si="72"/>
        <v>N</v>
      </c>
      <c r="X222" s="120" t="e">
        <f t="shared" si="63"/>
        <v>#VALUE!</v>
      </c>
      <c r="Y222" s="69">
        <f t="shared" si="73"/>
        <v>12.7845</v>
      </c>
      <c r="Z222" s="69">
        <f t="shared" si="74"/>
        <v>1.0325</v>
      </c>
      <c r="AA222" s="69">
        <f t="shared" si="75"/>
        <v>11.751999999999999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76"/>
        <v>69-06</v>
      </c>
      <c r="AE222" s="99" t="str">
        <f t="shared" si="77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22" s="96" t="str">
        <f t="shared" si="78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22" s="1" t="str">
        <f t="shared" si="79"/>
        <v>Other</v>
      </c>
      <c r="AH222" s="100" t="str">
        <f t="shared" si="65"/>
        <v>"%USERPROFILE%\Documents\GitHub\eaglep3\Utilities\RefineRTDCRunTimes.py" --tripid 69-06 --locoid 4052 --swversion DE.1.0.8.0.ENG1 --startMP 204:127845 --initTime 2016-09-07T02:28:16 --startdatetime 2016-09-07T03:21:45 --delay 1 --endMP 204:10325 --enddatetime 2016-09-07T03:42:13 --enforcementcount 0 &gt;&gt;C:\Users\stu\Documents\GitHub\eaglep3-reporting\EC\2016-09-06-refined-times.txt</v>
      </c>
      <c r="AI222" s="149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{"issue":{"subject":"","project_id":79,"tracker_id":40,"status_id":1,"priority_id":2,"assigned_to_id":23,"start_date":"2016-09-07","description":"","custom_fields":[{"id":1,"name":"Subdivision","value":"Other"},{"id":4,"name":"Milepost","value":"11.752"},{"id":17,"name":"Train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</row>
  </sheetData>
  <autoFilter ref="A12:AG22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24">
    <cfRule type="expression" dxfId="5" priority="235">
      <formula>$O13&gt;0</formula>
    </cfRule>
  </conditionalFormatting>
  <conditionalFormatting sqref="A13:S224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Values'!$C$2:$C$13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72"/>
  <sheetViews>
    <sheetView tabSelected="1" topLeftCell="A2" workbookViewId="0">
      <selection activeCell="I10" sqref="I1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9" width="9" style="2" customWidth="1"/>
    <col min="10" max="10" width="11.5703125" hidden="1" customWidth="1"/>
    <col min="11" max="11" width="10.85546875" style="2" customWidth="1"/>
    <col min="12" max="12" width="7.85546875" customWidth="1"/>
    <col min="13" max="13" width="11.85546875" style="30" customWidth="1"/>
    <col min="14" max="14" width="5.140625" style="114" customWidth="1"/>
    <col min="15" max="15" width="30.7109375" customWidth="1"/>
    <col min="16" max="16" width="5" hidden="1" customWidth="1"/>
    <col min="17" max="17" width="5.5703125" style="97" customWidth="1"/>
    <col min="18" max="18" width="4.42578125" style="109" customWidth="1"/>
    <col min="19" max="19" width="6" style="94" customWidth="1"/>
    <col min="20" max="20" width="3.7109375" customWidth="1"/>
    <col min="21" max="21" width="18.28515625" style="50" bestFit="1" customWidth="1"/>
    <col min="22" max="22" width="5.28515625" customWidth="1"/>
    <col min="23" max="23" width="6.7109375" hidden="1" customWidth="1"/>
  </cols>
  <sheetData>
    <row r="1" spans="1:27" s="23" customFormat="1" ht="15.75" hidden="1" thickBot="1" x14ac:dyDescent="0.3">
      <c r="A1" s="8"/>
      <c r="F1" s="2"/>
      <c r="G1" s="2"/>
      <c r="H1" s="2"/>
      <c r="I1" s="2"/>
      <c r="K1" s="2"/>
      <c r="M1" s="30"/>
      <c r="N1" s="114"/>
      <c r="Q1" s="97"/>
      <c r="R1" s="109"/>
      <c r="S1" s="94"/>
      <c r="U1" s="50"/>
    </row>
    <row r="2" spans="1:27" s="23" customFormat="1" x14ac:dyDescent="0.25">
      <c r="A2" s="8"/>
      <c r="F2" s="2"/>
      <c r="G2" s="2"/>
      <c r="H2" s="2"/>
      <c r="I2" s="2"/>
      <c r="K2" s="2"/>
      <c r="L2" s="133" t="s">
        <v>87</v>
      </c>
      <c r="M2" s="134"/>
      <c r="N2" s="135">
        <f>COUNTIF($N$7:$N$401,"=Y")</f>
        <v>4</v>
      </c>
      <c r="O2" s="136"/>
      <c r="Q2" s="97"/>
      <c r="R2" s="109"/>
      <c r="S2" s="94"/>
      <c r="U2" s="50"/>
    </row>
    <row r="3" spans="1:27" s="23" customFormat="1" ht="15.75" thickBot="1" x14ac:dyDescent="0.3">
      <c r="A3" s="8"/>
      <c r="F3" s="2"/>
      <c r="G3" s="2"/>
      <c r="H3" s="2"/>
      <c r="I3" s="2"/>
      <c r="K3" s="2"/>
      <c r="L3" s="137" t="s">
        <v>88</v>
      </c>
      <c r="M3" s="138"/>
      <c r="N3" s="139">
        <f>COUNTA($N$7:$N$401)-N2</f>
        <v>55</v>
      </c>
      <c r="O3" s="136"/>
      <c r="Q3" s="97"/>
      <c r="R3" s="109"/>
      <c r="S3" s="94"/>
      <c r="U3" s="50"/>
    </row>
    <row r="4" spans="1:27" s="23" customFormat="1" x14ac:dyDescent="0.25">
      <c r="A4" s="8"/>
      <c r="F4" s="2"/>
      <c r="G4" s="2"/>
      <c r="H4" s="2"/>
      <c r="I4" s="2"/>
      <c r="K4" s="2"/>
      <c r="M4" s="30"/>
      <c r="N4" s="114"/>
      <c r="Q4" s="97"/>
      <c r="R4" s="109"/>
      <c r="S4" s="94"/>
      <c r="U4" s="50"/>
    </row>
    <row r="5" spans="1:27" s="11" customFormat="1" ht="15" customHeight="1" x14ac:dyDescent="0.25">
      <c r="A5" s="164" t="str">
        <f>"Eagle P3 Braking Events - "&amp;TEXT(Variables!$A$2,"YYYY-mm-dd")</f>
        <v>Eagle P3 Braking Events - 2016-09-06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2"/>
      <c r="Q5" s="107"/>
      <c r="R5" s="110"/>
      <c r="S5" s="112"/>
      <c r="U5" s="51"/>
    </row>
    <row r="6" spans="1:27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2" t="s">
        <v>733</v>
      </c>
      <c r="J6" s="151" t="s">
        <v>30</v>
      </c>
      <c r="K6" s="152" t="s">
        <v>29</v>
      </c>
      <c r="L6" s="151" t="s">
        <v>28</v>
      </c>
      <c r="M6" s="153" t="s">
        <v>47</v>
      </c>
      <c r="N6" s="154" t="s">
        <v>27</v>
      </c>
      <c r="O6" s="151" t="s">
        <v>24</v>
      </c>
      <c r="P6" s="155"/>
      <c r="Q6" s="156" t="s">
        <v>101</v>
      </c>
      <c r="R6" s="157" t="s">
        <v>61</v>
      </c>
      <c r="S6" s="158" t="s">
        <v>100</v>
      </c>
      <c r="T6" s="151" t="s">
        <v>95</v>
      </c>
      <c r="U6" s="159" t="s">
        <v>96</v>
      </c>
      <c r="V6" s="155" t="s">
        <v>108</v>
      </c>
      <c r="W6" s="155" t="s">
        <v>109</v>
      </c>
      <c r="X6" s="160" t="s">
        <v>209</v>
      </c>
      <c r="Y6" s="161" t="s">
        <v>210</v>
      </c>
      <c r="Z6" s="161" t="s">
        <v>182</v>
      </c>
      <c r="AA6" s="161" t="s">
        <v>211</v>
      </c>
    </row>
    <row r="7" spans="1:27" s="1" customFormat="1" x14ac:dyDescent="0.25">
      <c r="A7" s="38">
        <v>42619.486840277779</v>
      </c>
      <c r="B7" s="33" t="s">
        <v>140</v>
      </c>
      <c r="C7" s="33" t="s">
        <v>436</v>
      </c>
      <c r="D7" s="33" t="s">
        <v>49</v>
      </c>
      <c r="E7" s="33" t="s">
        <v>223</v>
      </c>
      <c r="F7" s="49">
        <v>0</v>
      </c>
      <c r="G7" s="49">
        <v>159</v>
      </c>
      <c r="H7" s="49">
        <v>33371</v>
      </c>
      <c r="I7" s="49"/>
      <c r="J7" s="33" t="s">
        <v>222</v>
      </c>
      <c r="K7" s="49">
        <v>33257</v>
      </c>
      <c r="L7" s="33" t="s">
        <v>53</v>
      </c>
      <c r="M7" s="92" t="str">
        <f>VLOOKUP(C7,'Trips&amp;Operators'!$C$1:$E$9999,3,0)</f>
        <v>GEBRETEKLE</v>
      </c>
      <c r="N7" s="131" t="s">
        <v>86</v>
      </c>
      <c r="O7" s="10" t="s">
        <v>358</v>
      </c>
      <c r="P7" s="33"/>
      <c r="Q7" s="108" t="str">
        <f>VLOOKUP(C7,'Train Runs'!$A$13:$AE$9999,31,0)</f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R7" s="111" t="str">
        <f>VLOOKUP(C7,'Train Runs'!$A$13:$AE$9999,22,0)</f>
        <v>https://search-rtdc-monitor-bjffxe2xuh6vdkpspy63sjmuny.us-east-1.es.amazonaws.com/_plugin/kibana/#/discover/Steve-Slow-Train-Analysis-(2080s-and-2083s)?_g=(refreshInterval:(display:Off,section:0,value:0),time:(from:'2016-09-06 10:06:17-0600',mode:absolute,to:'2016-09-06 12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S7" s="113" t="str">
        <f t="shared" ref="S7:S38" si="0">astrogrep_path&amp;" /spath="&amp;search_path&amp;" /stypes=""*"&amp;T7&amp;"*"&amp;TEXT(A7-utc_offset/24,"YYYYMMDD")&amp;LEFT(TEXT(A7-utc_offset/24,"HH"),1)&amp;"*""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/stypes="*4037*201609061*" /stext=" 17:.+((SYSTEM_STATE.+slice.+state.+changed )|(ment ac)|(system.+state.+changed )|(\|lc)|(penalty)|(\[timeout)|(PRM\|1\|D)|(kpr)|(kdp))" /e /r /s</v>
      </c>
      <c r="T7" s="9" t="str">
        <f t="shared" ref="T7:T38" si="1">MID(B7,13,4)</f>
        <v>4037</v>
      </c>
      <c r="U7" s="38">
        <f t="shared" ref="U7:U38" si="2">A7+6/24</f>
        <v>42619.736840277779</v>
      </c>
      <c r="V7" s="52" t="str">
        <f t="shared" ref="V7:V38" si="3">IF(VALUE(LEFT(IF(LEN(C7)=6,"0"&amp;C7,C7),2))&lt;=2,"EC",IF(OR(VALUE(LEFT(IF(LEN(C7)=6,"0"&amp;C7,C7),2))=8,VALUE(LEFT(IF(LEN(C7)=6,"0"&amp;C7,C7),2))=18),"NW","Other"))</f>
        <v>EC</v>
      </c>
      <c r="W7" s="52" t="str">
        <f t="shared" ref="W7:W38" si="4">IF(AND(E7="TRACK WARRANT AUTHORITY",G7&lt;10),"OMIT","KEEP")</f>
        <v>KEEP</v>
      </c>
      <c r="X7" s="149" t="str">
        <f t="shared" ref="X7:X38" si="5">"echo {""issue"":{""subject"":"""&amp;O7&amp;""",""project_id"":79,""tracker_id"":40,""status_id"":"&amp;redmine_status&amp;",""priority_id"":"&amp;redmine_priority&amp;",""assigned_to_id"":"&amp;redmine_assignee&amp;",""start_date"":"""&amp;TEXT(A7,"YYYY-mm-dd")&amp;""",""description"":"""&amp;Y7&amp;""",""custom_fields"":[{""id"":1,""name"":""Subdivision"",""value"":"""&amp;V7&amp;"""},{""id"":4,""name"":""Milepost"",""value"":"""&amp;K7/10000&amp;"""},{""id"":17,""name"":""Train ID"",""value"":"""&amp;C7&amp;"""},{""id"":16,""name"":""Locomotive ID"",""value"":"""&amp;T7&amp;"""},{""id"":130,""name"":""Impact"",""value"":"""&amp;Z7&amp;"""},{""id"":150,""name"":""Time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Assigned"",""value"":"""&amp;AA7&amp;"""}]}}"&amp;"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arrival","project_id":79,"tracker_id":40,"status_id":1,"priority_id":2,"assigned_to_id":23,"start_date":"2016-09-06","description":"","custom_fields":[{"id":1,"name":"Subdivision","value":"EC"},{"id":4,"name":"Milepost","value":"3.3257"},{"id":17,"name":"Train ID","value":"154-06"},{"id":16,"name":"Locomotive ID","value":"4037"},{"id":130,"name":"Impact","value":""},{"id":150,"name":"Time of Event (Mountain Time)","value":"11:41:03"},{"id":151,"name":"Denver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7" s="55"/>
      <c r="Z7" s="55"/>
      <c r="AA7" s="55"/>
    </row>
    <row r="8" spans="1:27" s="1" customFormat="1" x14ac:dyDescent="0.25">
      <c r="A8" s="38">
        <v>42619.433368055557</v>
      </c>
      <c r="B8" s="33" t="s">
        <v>92</v>
      </c>
      <c r="C8" s="33" t="s">
        <v>424</v>
      </c>
      <c r="D8" s="33" t="s">
        <v>246</v>
      </c>
      <c r="E8" s="33" t="s">
        <v>223</v>
      </c>
      <c r="F8" s="49">
        <v>0</v>
      </c>
      <c r="G8" s="49">
        <v>71</v>
      </c>
      <c r="H8" s="49">
        <v>63222</v>
      </c>
      <c r="I8" s="49"/>
      <c r="J8" s="33" t="s">
        <v>222</v>
      </c>
      <c r="K8" s="49">
        <v>63309</v>
      </c>
      <c r="L8" s="33" t="s">
        <v>53</v>
      </c>
      <c r="M8" s="92" t="str">
        <f>VLOOKUP(C8,'Trips&amp;Operators'!$C$1:$E$9999,3,0)</f>
        <v>ROCHA</v>
      </c>
      <c r="N8" s="131" t="s">
        <v>86</v>
      </c>
      <c r="O8" s="10" t="s">
        <v>358</v>
      </c>
      <c r="P8" s="33"/>
      <c r="Q8" s="108" t="str">
        <f>VLOOKUP(C8,'Train Runs'!$A$13:$AE$9999,31,0)</f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R8" s="111" t="str">
        <f>VLOOKUP(C8,'Train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09:02:40-0600',mode:absolute,to:'2016-09-06 11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8" s="113" t="str">
        <f t="shared" si="0"/>
        <v>"C:\Program Files (x86)\AstroGrep\AstroGrep.exe" /spath="%USERPROFILE%\AppData\Local\Temp\OnboardLogs" /stypes="*4030*201609061*" /stext=" 16:.+((SYSTEM_STATE.+slice.+state.+changed )|(ment ac)|(system.+state.+changed )|(\|lc)|(penalty)|(\[timeout)|(PRM\|1\|D)|(kpr)|(kdp))" /e /r /s</v>
      </c>
      <c r="T8" s="9" t="str">
        <f t="shared" si="1"/>
        <v>4030</v>
      </c>
      <c r="U8" s="38">
        <f t="shared" si="2"/>
        <v>42619.683368055557</v>
      </c>
      <c r="V8" s="52" t="str">
        <f t="shared" si="3"/>
        <v>EC</v>
      </c>
      <c r="W8" s="52" t="str">
        <f t="shared" si="4"/>
        <v>KEEP</v>
      </c>
      <c r="X8" s="149" t="str">
        <f t="shared" si="5"/>
        <v>echo {"issue":{"subject":"Early arrival","project_id":79,"tracker_id":40,"status_id":1,"priority_id":2,"assigned_to_id":23,"start_date":"2016-09-06","description":"","custom_fields":[{"id":1,"name":"Subdivision","value":"EC"},{"id":4,"name":"Milepost","value":"6.3309"},{"id":17,"name":"Train ID","value":"144-06"},{"id":16,"name":"Locomotive ID","value":"4030"},{"id":130,"name":"Impact","value":""},{"id":150,"name":"Time of Event (Mountain Time)","value":"10:24:03"},{"id":151,"name":"Denver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8" s="55"/>
      <c r="Z8" s="55"/>
      <c r="AA8" s="55"/>
    </row>
    <row r="9" spans="1:27" s="1" customFormat="1" x14ac:dyDescent="0.25">
      <c r="A9" s="38">
        <v>42619.398206018515</v>
      </c>
      <c r="B9" s="33" t="s">
        <v>90</v>
      </c>
      <c r="C9" s="33" t="s">
        <v>414</v>
      </c>
      <c r="D9" s="33" t="s">
        <v>49</v>
      </c>
      <c r="E9" s="33" t="s">
        <v>56</v>
      </c>
      <c r="F9" s="49">
        <v>150</v>
      </c>
      <c r="G9" s="49">
        <v>226</v>
      </c>
      <c r="H9" s="49">
        <v>5295</v>
      </c>
      <c r="I9" s="49"/>
      <c r="J9" s="33" t="s">
        <v>57</v>
      </c>
      <c r="K9" s="49">
        <v>4677</v>
      </c>
      <c r="L9" s="33" t="s">
        <v>53</v>
      </c>
      <c r="M9" s="92" t="str">
        <f>VLOOKUP(C9,'Trips&amp;Operators'!$C$1:$E$9999,3,0)</f>
        <v>SPECTOR</v>
      </c>
      <c r="N9" s="131" t="s">
        <v>86</v>
      </c>
      <c r="O9" s="10"/>
      <c r="P9" s="33"/>
      <c r="Q9" s="108" t="str">
        <f>VLOOKUP(C9,'Train Runs'!$A$13:$AE$9999,31,0)</f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R9" s="111" t="str">
        <f>VLOOKUP(C9,'Train Runs'!$A$13:$AE$9999,22,0)</f>
        <v>https://search-rtdc-monitor-bjffxe2xuh6vdkpspy63sjmuny.us-east-1.es.amazonaws.com/_plugin/kibana/#/discover/Steve-Slow-Train-Analysis-(2080s-and-2083s)?_g=(refreshInterval:(display:Off,section:0,value:0),time:(from:'2016-09-06 07:47:44-0600',mode:absolute,to:'2016-09-06 10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S9" s="113" t="str">
        <f t="shared" si="0"/>
        <v>"C:\Program Files (x86)\AstroGrep\AstroGrep.exe" /spath="%USERPROFILE%\AppData\Local\Temp\OnboardLogs" /stypes="*4013*201609061*" /stext=" 15:.+((SYSTEM_STATE.+slice.+state.+changed )|(ment ac)|(system.+state.+changed )|(\|lc)|(penalty)|(\[timeout)|(PRM\|1\|D)|(kpr)|(kdp))" /e /r /s</v>
      </c>
      <c r="T9" s="9" t="str">
        <f t="shared" si="1"/>
        <v>4013</v>
      </c>
      <c r="U9" s="38">
        <f t="shared" si="2"/>
        <v>42619.648206018515</v>
      </c>
      <c r="V9" s="52" t="str">
        <f t="shared" si="3"/>
        <v>EC</v>
      </c>
      <c r="W9" s="52" t="str">
        <f t="shared" si="4"/>
        <v>KEEP</v>
      </c>
      <c r="X9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{"issue":{"subject":"","project_id":79,"tracker_id":40,"status_id":1,"priority_id":2,"assigned_to_id":23,"start_date":"2016-09-06","description":"","custom_fields":[{"id":1,"name":"Subdivision","value":"EC"},{"id":4,"name":"Milepost","value":"0.4677"},{"id":17,"name":"Train ID","value":"136-06"},{"id":16,"name":"Locomotive ID","value":"4013"},{"id":130,"name":"Impact","value":""},{"id":150,"name":"Time of Event (Mountain Time)","value":"09:33:25"},{"id":151,"name":"Denver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9" s="55"/>
      <c r="Z9" s="55"/>
      <c r="AA9" s="55"/>
    </row>
    <row r="10" spans="1:27" s="1" customFormat="1" x14ac:dyDescent="0.25">
      <c r="A10" s="38">
        <v>42619.547442129631</v>
      </c>
      <c r="B10" s="33" t="s">
        <v>371</v>
      </c>
      <c r="C10" s="33" t="s">
        <v>453</v>
      </c>
      <c r="D10" s="33" t="s">
        <v>49</v>
      </c>
      <c r="E10" s="33" t="s">
        <v>56</v>
      </c>
      <c r="F10" s="49">
        <v>150</v>
      </c>
      <c r="G10" s="49">
        <v>218</v>
      </c>
      <c r="H10" s="49">
        <v>5229</v>
      </c>
      <c r="I10" s="49"/>
      <c r="J10" s="33" t="s">
        <v>57</v>
      </c>
      <c r="K10" s="49">
        <v>4677</v>
      </c>
      <c r="L10" s="33" t="s">
        <v>53</v>
      </c>
      <c r="M10" s="92" t="str">
        <f>VLOOKUP(C10,'Trips&amp;Operators'!$C$1:$E$9999,3,0)</f>
        <v>HELVIE</v>
      </c>
      <c r="N10" s="131" t="s">
        <v>86</v>
      </c>
      <c r="O10" s="10"/>
      <c r="P10" s="33"/>
      <c r="Q10" s="108" t="str">
        <f>VLOOKUP(C10,'Train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10" s="111" t="str">
        <f>VLOOKUP(C10,'Train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11:22:41-0600',mode:absolute,to:'2016-09-06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10" s="113" t="str">
        <f t="shared" si="0"/>
        <v>"C:\Program Files (x86)\AstroGrep\AstroGrep.exe" /spath="%USERPROFILE%\AppData\Local\Temp\OnboardLogs" /stypes="*4041*201609061*" /stext=" 19:.+((SYSTEM_STATE.+slice.+state.+changed )|(ment ac)|(system.+state.+changed )|(\|lc)|(penalty)|(\[timeout)|(PRM\|1\|D)|(kpr)|(kdp))" /e /r /s</v>
      </c>
      <c r="T10" s="9" t="str">
        <f t="shared" si="1"/>
        <v>4041</v>
      </c>
      <c r="U10" s="38">
        <f t="shared" si="2"/>
        <v>42619.797442129631</v>
      </c>
      <c r="V10" s="52" t="str">
        <f t="shared" si="3"/>
        <v>EC</v>
      </c>
      <c r="W10" s="52" t="str">
        <f t="shared" si="4"/>
        <v>KEEP</v>
      </c>
      <c r="X10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{"issue":{"subject":"","project_id":79,"tracker_id":40,"status_id":1,"priority_id":2,"assigned_to_id":23,"start_date":"2016-09-06","description":"","custom_fields":[{"id":1,"name":"Subdivision","value":"EC"},{"id":4,"name":"Milepost","value":"0.4677"},{"id":17,"name":"Train ID","value":"164-06"},{"id":16,"name":"Locomotive ID","value":"4041"},{"id":130,"name":"Impact","value":""},{"id":150,"name":"Time of Event (Mountain Time)","value":"13:08:19"},{"id":151,"name":"Denver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0" s="55"/>
      <c r="Z10" s="55"/>
      <c r="AA10" s="55"/>
    </row>
    <row r="11" spans="1:27" s="1" customFormat="1" x14ac:dyDescent="0.25">
      <c r="A11" s="38">
        <v>42619.293182870373</v>
      </c>
      <c r="B11" s="33" t="s">
        <v>92</v>
      </c>
      <c r="C11" s="33" t="s">
        <v>386</v>
      </c>
      <c r="D11" s="33" t="s">
        <v>49</v>
      </c>
      <c r="E11" s="33" t="s">
        <v>56</v>
      </c>
      <c r="F11" s="49">
        <v>200</v>
      </c>
      <c r="G11" s="49">
        <v>407</v>
      </c>
      <c r="H11" s="49">
        <v>7440</v>
      </c>
      <c r="I11" s="49"/>
      <c r="J11" s="33" t="s">
        <v>57</v>
      </c>
      <c r="K11" s="49">
        <v>5457</v>
      </c>
      <c r="L11" s="33" t="s">
        <v>53</v>
      </c>
      <c r="M11" s="92" t="str">
        <f>VLOOKUP(C11,'Trips&amp;Operators'!$C$1:$E$9999,3,0)</f>
        <v>ROCHA</v>
      </c>
      <c r="N11" s="131" t="s">
        <v>86</v>
      </c>
      <c r="O11" s="10"/>
      <c r="P11" s="33"/>
      <c r="Q11" s="108" t="str">
        <f>VLOOKUP(C11,'Train Runs'!$A$13:$AE$9999,31,0)</f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R11" s="111" t="str">
        <f>VLOOKUP(C11,'Train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05:24:26-0600',mode:absolute,to:'2016-09-06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11" s="113" t="str">
        <f t="shared" si="0"/>
        <v>"C:\Program Files (x86)\AstroGrep\AstroGrep.exe" /spath="%USERPROFILE%\AppData\Local\Temp\OnboardLogs" /stypes="*4030*201609061*" /stext=" 13:.+((SYSTEM_STATE.+slice.+state.+changed )|(ment ac)|(system.+state.+changed )|(\|lc)|(penalty)|(\[timeout)|(PRM\|1\|D)|(kpr)|(kdp))" /e /r /s</v>
      </c>
      <c r="T11" s="9" t="str">
        <f t="shared" si="1"/>
        <v>4030</v>
      </c>
      <c r="U11" s="38">
        <f t="shared" si="2"/>
        <v>42619.543182870373</v>
      </c>
      <c r="V11" s="52" t="str">
        <f t="shared" si="3"/>
        <v>EC</v>
      </c>
      <c r="W11" s="52" t="str">
        <f t="shared" si="4"/>
        <v>KEEP</v>
      </c>
      <c r="X11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{"issue":{"subject":"","project_id":79,"tracker_id":40,"status_id":1,"priority_id":2,"assigned_to_id":23,"start_date":"2016-09-06","description":"","custom_fields":[{"id":1,"name":"Subdivision","value":"EC"},{"id":4,"name":"Milepost","value":"0.5457"},{"id":17,"name":"Train ID","value":"116-06"},{"id":16,"name":"Locomotive ID","value":"4030"},{"id":130,"name":"Impact","value":""},{"id":150,"name":"Time of Event (Mountain Time)","value":"07:02:11"},{"id":151,"name":"Denver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1" s="55"/>
      <c r="Z11" s="55"/>
      <c r="AA11" s="55"/>
    </row>
    <row r="12" spans="1:27" s="1" customFormat="1" x14ac:dyDescent="0.25">
      <c r="A12" s="38">
        <v>42619.498865740738</v>
      </c>
      <c r="B12" s="33" t="s">
        <v>277</v>
      </c>
      <c r="C12" s="33" t="s">
        <v>442</v>
      </c>
      <c r="D12" s="33" t="s">
        <v>49</v>
      </c>
      <c r="E12" s="33" t="s">
        <v>56</v>
      </c>
      <c r="F12" s="49">
        <v>300</v>
      </c>
      <c r="G12" s="49">
        <v>422</v>
      </c>
      <c r="H12" s="49">
        <v>23492</v>
      </c>
      <c r="I12" s="49"/>
      <c r="J12" s="33" t="s">
        <v>57</v>
      </c>
      <c r="K12" s="49">
        <v>21848</v>
      </c>
      <c r="L12" s="33" t="s">
        <v>53</v>
      </c>
      <c r="M12" s="92" t="str">
        <f>VLOOKUP(C12,'Trips&amp;Operators'!$C$1:$E$9999,3,0)</f>
        <v>STARKS</v>
      </c>
      <c r="N12" s="131" t="s">
        <v>86</v>
      </c>
      <c r="O12" s="10"/>
      <c r="P12" s="33"/>
      <c r="Q12" s="108" t="str">
        <f>VLOOKUP(C12,'Train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12" s="111" t="str">
        <f>VLOOKUP(C12,'Train Runs'!$A$13:$AE$9999,22,0)</f>
        <v>https://search-rtdc-monitor-bjffxe2xuh6vdkpspy63sjmuny.us-east-1.es.amazonaws.com/_plugin/kibana/#/discover/Steve-Slow-Train-Analysis-(2080s-and-2083s)?_g=(refreshInterval:(display:Off,section:0,value:0),time:(from:'2016-09-06 10:22:47-0600',mode:absolute,to:'2016-09-06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12" s="113" t="str">
        <f t="shared" si="0"/>
        <v>"C:\Program Files (x86)\AstroGrep\AstroGrep.exe" /spath="%USERPROFILE%\AppData\Local\Temp\OnboardLogs" /stypes="*4026*201609061*" /stext=" 17:.+((SYSTEM_STATE.+slice.+state.+changed )|(ment ac)|(system.+state.+changed )|(\|lc)|(penalty)|(\[timeout)|(PRM\|1\|D)|(kpr)|(kdp))" /e /r /s</v>
      </c>
      <c r="T12" s="9" t="str">
        <f t="shared" si="1"/>
        <v>4026</v>
      </c>
      <c r="U12" s="38">
        <f t="shared" si="2"/>
        <v>42619.748865740738</v>
      </c>
      <c r="V12" s="52" t="str">
        <f t="shared" si="3"/>
        <v>EC</v>
      </c>
      <c r="W12" s="52" t="str">
        <f t="shared" si="4"/>
        <v>KEEP</v>
      </c>
      <c r="X12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{"issue":{"subject":"","project_id":79,"tracker_id":40,"status_id":1,"priority_id":2,"assigned_to_id":23,"start_date":"2016-09-06","description":"","custom_fields":[{"id":1,"name":"Subdivision","value":"EC"},{"id":4,"name":"Milepost","value":"2.1848"},{"id":17,"name":"Train ID","value":"156-06"},{"id":16,"name":"Locomotive ID","value":"4026"},{"id":130,"name":"Impact","value":""},{"id":150,"name":"Time of Event (Mountain Time)","value":"11:58:22"},{"id":151,"name":"Denver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2" s="55"/>
      <c r="Z12" s="55"/>
      <c r="AA12" s="55"/>
    </row>
    <row r="13" spans="1:27" s="1" customFormat="1" x14ac:dyDescent="0.25">
      <c r="A13" s="38">
        <v>42619.627812500003</v>
      </c>
      <c r="B13" s="33" t="s">
        <v>277</v>
      </c>
      <c r="C13" s="33" t="s">
        <v>477</v>
      </c>
      <c r="D13" s="33" t="s">
        <v>110</v>
      </c>
      <c r="E13" s="33" t="s">
        <v>56</v>
      </c>
      <c r="F13" s="49">
        <v>700</v>
      </c>
      <c r="G13" s="49">
        <v>752</v>
      </c>
      <c r="H13" s="49">
        <v>180124</v>
      </c>
      <c r="I13" s="49"/>
      <c r="J13" s="33" t="s">
        <v>57</v>
      </c>
      <c r="K13" s="49">
        <v>183829</v>
      </c>
      <c r="L13" s="33" t="s">
        <v>53</v>
      </c>
      <c r="M13" s="92" t="str">
        <f>VLOOKUP(C13,'Trips&amp;Operators'!$C$1:$E$9999,3,0)</f>
        <v>CLARK</v>
      </c>
      <c r="N13" s="131" t="s">
        <v>86</v>
      </c>
      <c r="O13" s="10"/>
      <c r="P13" s="33"/>
      <c r="Q13" s="108" t="str">
        <f>VLOOKUP(C13,'Train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13" s="111" t="str">
        <f>VLOOKUP(C13,'Train Runs'!$A$13:$AE$9999,22,0)</f>
        <v>https://search-rtdc-monitor-bjffxe2xuh6vdkpspy63sjmuny.us-east-1.es.amazonaws.com/_plugin/kibana/#/discover/Steve-Slow-Train-Analysis-(2080s-and-2083s)?_g=(refreshInterval:(display:Off,section:0,value:0),time:(from:'2016-09-06 13:51:49-0600',mode:absolute,to:'2016-09-06 16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13" s="113" t="str">
        <f t="shared" si="0"/>
        <v>"C:\Program Files (x86)\AstroGrep\AstroGrep.exe" /spath="%USERPROFILE%\AppData\Local\Temp\OnboardLogs" /stypes="*4026*201609062*" /stext=" 21:.+((SYSTEM_STATE.+slice.+state.+changed )|(ment ac)|(system.+state.+changed )|(\|lc)|(penalty)|(\[timeout)|(PRM\|1\|D)|(kpr)|(kdp))" /e /r /s</v>
      </c>
      <c r="T13" s="9" t="str">
        <f t="shared" si="1"/>
        <v>4026</v>
      </c>
      <c r="U13" s="38">
        <f t="shared" si="2"/>
        <v>42619.877812500003</v>
      </c>
      <c r="V13" s="52" t="str">
        <f t="shared" si="3"/>
        <v>EC</v>
      </c>
      <c r="W13" s="52" t="str">
        <f t="shared" si="4"/>
        <v>KEEP</v>
      </c>
      <c r="X13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{"issue":{"subject":"","project_id":79,"tracker_id":40,"status_id":1,"priority_id":2,"assigned_to_id":23,"start_date":"2016-09-06","description":"","custom_fields":[{"id":1,"name":"Subdivision","value":"EC"},{"id":4,"name":"Milepost","value":"18.3829"},{"id":17,"name":"Train ID","value":"184-06"},{"id":16,"name":"Locomotive ID","value":"4026"},{"id":130,"name":"Impact","value":""},{"id":150,"name":"Time of Event (Mountain Time)","value":"15:04:03"},{"id":151,"name":"Denver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3" s="55"/>
      <c r="Z13" s="55"/>
      <c r="AA13" s="55"/>
    </row>
    <row r="14" spans="1:27" s="1" customFormat="1" x14ac:dyDescent="0.25">
      <c r="A14" s="38">
        <v>42619.636469907404</v>
      </c>
      <c r="B14" s="33" t="s">
        <v>92</v>
      </c>
      <c r="C14" s="33" t="s">
        <v>479</v>
      </c>
      <c r="D14" s="33" t="s">
        <v>49</v>
      </c>
      <c r="E14" s="33" t="s">
        <v>56</v>
      </c>
      <c r="F14" s="49">
        <v>750</v>
      </c>
      <c r="G14" s="49">
        <v>802</v>
      </c>
      <c r="H14" s="49">
        <v>201969</v>
      </c>
      <c r="I14" s="49"/>
      <c r="J14" s="33" t="s">
        <v>57</v>
      </c>
      <c r="K14" s="49">
        <v>200464</v>
      </c>
      <c r="L14" s="33" t="s">
        <v>53</v>
      </c>
      <c r="M14" s="92" t="str">
        <f>VLOOKUP(C14,'Trips&amp;Operators'!$C$1:$E$9999,3,0)</f>
        <v>ROCHA</v>
      </c>
      <c r="N14" s="131" t="s">
        <v>86</v>
      </c>
      <c r="O14" s="10"/>
      <c r="P14" s="33"/>
      <c r="Q14" s="108" t="str">
        <f>VLOOKUP(C14,'Train Runs'!$A$13:$AE$9999,31,0)</f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R14" s="111" t="str">
        <f>VLOOKUP(C14,'Train Runs'!$A$13:$AE$9999,22,0)</f>
        <v>https://search-rtdc-monitor-bjffxe2xuh6vdkpspy63sjmuny.us-east-1.es.amazonaws.com/_plugin/kibana/#/discover/Steve-Slow-Train-Analysis-(2080s-and-2083s)?_g=(refreshInterval:(display:Off,section:0,value:0),time:(from:'2016-09-06 13:58:38-0600',mode:absolute,to:'2016-09-06 16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14" s="113" t="str">
        <f t="shared" si="0"/>
        <v>"C:\Program Files (x86)\AstroGrep\AstroGrep.exe" /spath="%USERPROFILE%\AppData\Local\Temp\OnboardLogs" /stypes="*4030*201609062*" /stext=" 21:.+((SYSTEM_STATE.+slice.+state.+changed )|(ment ac)|(system.+state.+changed )|(\|lc)|(penalty)|(\[timeout)|(PRM\|1\|D)|(kpr)|(kdp))" /e /r /s</v>
      </c>
      <c r="T14" s="9" t="str">
        <f t="shared" si="1"/>
        <v>4030</v>
      </c>
      <c r="U14" s="38">
        <f t="shared" si="2"/>
        <v>42619.886469907404</v>
      </c>
      <c r="V14" s="52" t="str">
        <f t="shared" si="3"/>
        <v>EC</v>
      </c>
      <c r="W14" s="52" t="str">
        <f t="shared" si="4"/>
        <v>KEEP</v>
      </c>
      <c r="X14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{"issue":{"subject":"","project_id":79,"tracker_id":40,"status_id":1,"priority_id":2,"assigned_to_id":23,"start_date":"2016-09-06","description":"","custom_fields":[{"id":1,"name":"Subdivision","value":"EC"},{"id":4,"name":"Milepost","value":"20.0464"},{"id":17,"name":"Train ID","value":"186-06"},{"id":16,"name":"Locomotive ID","value":"4030"},{"id":130,"name":"Impact","value":""},{"id":150,"name":"Time of Event (Mountain Time)","value":"15:16:31"},{"id":151,"name":"Denver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4" s="55"/>
      <c r="Z14" s="55"/>
      <c r="AA14" s="55"/>
    </row>
    <row r="15" spans="1:27" s="1" customFormat="1" x14ac:dyDescent="0.25">
      <c r="A15" s="38">
        <v>42619.457835648151</v>
      </c>
      <c r="B15" s="33" t="s">
        <v>219</v>
      </c>
      <c r="C15" s="33" t="s">
        <v>434</v>
      </c>
      <c r="D15" s="33" t="s">
        <v>110</v>
      </c>
      <c r="E15" s="33" t="s">
        <v>56</v>
      </c>
      <c r="F15" s="49">
        <v>550</v>
      </c>
      <c r="G15" s="49">
        <v>606</v>
      </c>
      <c r="H15" s="49">
        <v>222140</v>
      </c>
      <c r="I15" s="49"/>
      <c r="J15" s="33" t="s">
        <v>57</v>
      </c>
      <c r="K15" s="49">
        <v>224581</v>
      </c>
      <c r="L15" s="33" t="s">
        <v>53</v>
      </c>
      <c r="M15" s="92" t="str">
        <f>VLOOKUP(C15,'Trips&amp;Operators'!$C$1:$E$9999,3,0)</f>
        <v>DAVIS</v>
      </c>
      <c r="N15" s="131" t="s">
        <v>86</v>
      </c>
      <c r="O15" s="10"/>
      <c r="P15" s="33"/>
      <c r="Q15" s="108" t="str">
        <f>VLOOKUP(C15,'Train Runs'!$A$13:$AE$9999,31,0)</f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R15" s="111" t="str">
        <f>VLOOKUP(C15,'Train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09:48:50-0600',mode:absolute,to:'2016-09-06 12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S15" s="113" t="str">
        <f t="shared" si="0"/>
        <v>"C:\Program Files (x86)\AstroGrep\AstroGrep.exe" /spath="%USERPROFILE%\AppData\Local\Temp\OnboardLogs" /stypes="*4028*201609061*" /stext=" 16:.+((SYSTEM_STATE.+slice.+state.+changed )|(ment ac)|(system.+state.+changed )|(\|lc)|(penalty)|(\[timeout)|(PRM\|1\|D)|(kpr)|(kdp))" /e /r /s</v>
      </c>
      <c r="T15" s="9" t="str">
        <f t="shared" si="1"/>
        <v>4028</v>
      </c>
      <c r="U15" s="38">
        <f t="shared" si="2"/>
        <v>42619.707835648151</v>
      </c>
      <c r="V15" s="52" t="str">
        <f t="shared" si="3"/>
        <v>EC</v>
      </c>
      <c r="W15" s="52" t="str">
        <f t="shared" si="4"/>
        <v>KEEP</v>
      </c>
      <c r="X15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{"issue":{"subject":"","project_id":79,"tracker_id":40,"status_id":1,"priority_id":2,"assigned_to_id":23,"start_date":"2016-09-06","description":"","custom_fields":[{"id":1,"name":"Subdivision","value":"EC"},{"id":4,"name":"Milepost","value":"22.4581"},{"id":17,"name":"Train ID","value":"152-06"},{"id":16,"name":"Locomotive ID","value":"4028"},{"id":130,"name":"Impact","value":""},{"id":150,"name":"Time of Event (Mountain Time)","value":"10:59:17"},{"id":151,"name":"Denver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5" s="55"/>
      <c r="Z15" s="55"/>
      <c r="AA15" s="55"/>
    </row>
    <row r="16" spans="1:27" s="1" customFormat="1" x14ac:dyDescent="0.25">
      <c r="A16" s="38">
        <v>42619.450833333336</v>
      </c>
      <c r="B16" s="33" t="s">
        <v>145</v>
      </c>
      <c r="C16" s="33" t="s">
        <v>428</v>
      </c>
      <c r="D16" s="33" t="s">
        <v>49</v>
      </c>
      <c r="E16" s="33" t="s">
        <v>56</v>
      </c>
      <c r="F16" s="49">
        <v>150</v>
      </c>
      <c r="G16" s="49">
        <v>245</v>
      </c>
      <c r="H16" s="49">
        <v>229505</v>
      </c>
      <c r="I16" s="49"/>
      <c r="J16" s="33" t="s">
        <v>57</v>
      </c>
      <c r="K16" s="49">
        <v>230436</v>
      </c>
      <c r="L16" s="33" t="s">
        <v>52</v>
      </c>
      <c r="M16" s="92" t="str">
        <f>VLOOKUP(C16,'Trips&amp;Operators'!$C$1:$E$9999,3,0)</f>
        <v>GEBRETEKLE</v>
      </c>
      <c r="N16" s="131" t="s">
        <v>86</v>
      </c>
      <c r="O16" s="10"/>
      <c r="P16" s="33"/>
      <c r="Q16" s="108" t="str">
        <f>VLOOKUP(C16,'Train Runs'!$A$13:$AE$9999,31,0)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R16" s="111" t="str">
        <f>VLOOKUP(C16,'Train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09:09:46-0600',mode:absolute,to:'2016-09-06 11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S16" s="113" t="str">
        <f t="shared" si="0"/>
        <v>"C:\Program Files (x86)\AstroGrep\AstroGrep.exe" /spath="%USERPROFILE%\AppData\Local\Temp\OnboardLogs" /stypes="*4038*201609061*" /stext=" 16:.+((SYSTEM_STATE.+slice.+state.+changed )|(ment ac)|(system.+state.+changed )|(\|lc)|(penalty)|(\[timeout)|(PRM\|1\|D)|(kpr)|(kdp))" /e /r /s</v>
      </c>
      <c r="T16" s="9" t="str">
        <f t="shared" si="1"/>
        <v>4038</v>
      </c>
      <c r="U16" s="38">
        <f t="shared" si="2"/>
        <v>42619.700833333336</v>
      </c>
      <c r="V16" s="52" t="str">
        <f t="shared" si="3"/>
        <v>EC</v>
      </c>
      <c r="W16" s="52" t="str">
        <f t="shared" si="4"/>
        <v>KEEP</v>
      </c>
      <c r="X16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{"issue":{"subject":"","project_id":79,"tracker_id":40,"status_id":1,"priority_id":2,"assigned_to_id":23,"start_date":"2016-09-06","description":"","custom_fields":[{"id":1,"name":"Subdivision","value":"EC"},{"id":4,"name":"Milepost","value":"23.0436"},{"id":17,"name":"Train ID","value":"153-06"},{"id":16,"name":"Locomotive ID","value":"4038"},{"id":130,"name":"Impact","value":""},{"id":150,"name":"Time of Event (Mountain Time)","value":"10:49:12"},{"id":151,"name":"Denver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6" s="55"/>
      <c r="Z16" s="55"/>
      <c r="AA16" s="55"/>
    </row>
    <row r="17" spans="1:27" s="1" customFormat="1" x14ac:dyDescent="0.25">
      <c r="A17" s="38">
        <v>42619.546770833331</v>
      </c>
      <c r="B17" s="33" t="s">
        <v>91</v>
      </c>
      <c r="C17" s="33" t="s">
        <v>452</v>
      </c>
      <c r="D17" s="33" t="s">
        <v>49</v>
      </c>
      <c r="E17" s="33" t="s">
        <v>56</v>
      </c>
      <c r="F17" s="49">
        <v>150</v>
      </c>
      <c r="G17" s="49">
        <v>209</v>
      </c>
      <c r="H17" s="49">
        <v>231529</v>
      </c>
      <c r="I17" s="49"/>
      <c r="J17" s="33" t="s">
        <v>57</v>
      </c>
      <c r="K17" s="49">
        <v>232107</v>
      </c>
      <c r="L17" s="33" t="s">
        <v>52</v>
      </c>
      <c r="M17" s="92" t="str">
        <f>VLOOKUP(C17,'Trips&amp;Operators'!$C$1:$E$9999,3,0)</f>
        <v>ROCHA</v>
      </c>
      <c r="N17" s="131" t="s">
        <v>86</v>
      </c>
      <c r="O17" s="10"/>
      <c r="P17" s="33"/>
      <c r="Q17" s="108" t="str">
        <f>VLOOKUP(C17,'Train Runs'!$A$13:$AE$9999,31,0)</f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R17" s="111" t="str">
        <f>VLOOKUP(C17,'Train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11:22:28-0600',mode:absolute,to:'2016-09-06 14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S17" s="113" t="str">
        <f t="shared" si="0"/>
        <v>"C:\Program Files (x86)\AstroGrep\AstroGrep.exe" /spath="%USERPROFILE%\AppData\Local\Temp\OnboardLogs" /stypes="*4029*201609061*" /stext=" 19:.+((SYSTEM_STATE.+slice.+state.+changed )|(ment ac)|(system.+state.+changed )|(\|lc)|(penalty)|(\[timeout)|(PRM\|1\|D)|(kpr)|(kdp))" /e /r /s</v>
      </c>
      <c r="T17" s="9" t="str">
        <f t="shared" si="1"/>
        <v>4029</v>
      </c>
      <c r="U17" s="38">
        <f t="shared" si="2"/>
        <v>42619.796770833331</v>
      </c>
      <c r="V17" s="52" t="str">
        <f t="shared" si="3"/>
        <v>EC</v>
      </c>
      <c r="W17" s="52" t="str">
        <f t="shared" si="4"/>
        <v>KEEP</v>
      </c>
      <c r="X17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{"issue":{"subject":"","project_id":79,"tracker_id":40,"status_id":1,"priority_id":2,"assigned_to_id":23,"start_date":"2016-09-06","description":"","custom_fields":[{"id":1,"name":"Subdivision","value":"EC"},{"id":4,"name":"Milepost","value":"23.2107"},{"id":17,"name":"Train ID","value":"171-06"},{"id":16,"name":"Locomotive ID","value":"4029"},{"id":130,"name":"Impact","value":""},{"id":150,"name":"Time of Event (Mountain Time)","value":"13:07:21"},{"id":151,"name":"Denver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7" s="55"/>
      <c r="Z17" s="55"/>
      <c r="AA17" s="55"/>
    </row>
    <row r="18" spans="1:27" s="1" customFormat="1" x14ac:dyDescent="0.25">
      <c r="A18" s="38">
        <v>42619.690787037034</v>
      </c>
      <c r="B18" s="33" t="s">
        <v>371</v>
      </c>
      <c r="C18" s="33" t="s">
        <v>492</v>
      </c>
      <c r="D18" s="33" t="s">
        <v>49</v>
      </c>
      <c r="E18" s="33" t="s">
        <v>54</v>
      </c>
      <c r="F18" s="49">
        <v>0</v>
      </c>
      <c r="G18" s="49">
        <v>185</v>
      </c>
      <c r="H18" s="49">
        <v>5371</v>
      </c>
      <c r="I18" s="49"/>
      <c r="J18" s="33" t="s">
        <v>55</v>
      </c>
      <c r="K18" s="49">
        <v>4677</v>
      </c>
      <c r="L18" s="33" t="s">
        <v>53</v>
      </c>
      <c r="M18" s="92" t="str">
        <f>VLOOKUP(C18,'Trips&amp;Operators'!$C$1:$E$9999,3,0)</f>
        <v>HELVIE</v>
      </c>
      <c r="N18" s="131" t="s">
        <v>260</v>
      </c>
      <c r="O18" s="10" t="s">
        <v>359</v>
      </c>
      <c r="P18" s="33"/>
      <c r="Q18" s="108" t="str">
        <f>VLOOKUP(C18,'Train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18" s="111" t="str">
        <f>VLOOKUP(C18,'Train Runs'!$A$13:$AE$9999,22,0)</f>
        <v>https://search-rtdc-monitor-bjffxe2xuh6vdkpspy63sjmuny.us-east-1.es.amazonaws.com/_plugin/kibana/#/discover/Steve-Slow-Train-Analysis-(2080s-and-2083s)?_g=(refreshInterval:(display:Off,section:0,value:0),time:(from:'2016-09-06 14:51:57-0600',mode:absolute,to:'2016-09-06 17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18" s="113" t="str">
        <f t="shared" si="0"/>
        <v>"C:\Program Files (x86)\AstroGrep\AstroGrep.exe" /spath="%USERPROFILE%\AppData\Local\Temp\OnboardLogs" /stypes="*4041*201609062*" /stext=" 22:.+((SYSTEM_STATE.+slice.+state.+changed )|(ment ac)|(system.+state.+changed )|(\|lc)|(penalty)|(\[timeout)|(PRM\|1\|D)|(kpr)|(kdp))" /e /r /s</v>
      </c>
      <c r="T18" s="9" t="str">
        <f t="shared" si="1"/>
        <v>4041</v>
      </c>
      <c r="U18" s="38">
        <f t="shared" si="2"/>
        <v>42619.940787037034</v>
      </c>
      <c r="V18" s="52" t="str">
        <f t="shared" si="3"/>
        <v>EC</v>
      </c>
      <c r="W18" s="52" t="str">
        <f t="shared" si="4"/>
        <v>KEEP</v>
      </c>
      <c r="X18" s="149" t="str">
        <f t="shared" si="5"/>
        <v>echo {"issue":{"subject":"Wi-MAX outage","project_id":79,"tracker_id":40,"status_id":1,"priority_id":2,"assigned_to_id":23,"start_date":"2016-09-06","description":"","custom_fields":[{"id":1,"name":"Subdivision","value":"EC"},{"id":4,"name":"Milepost","value":"0.4677"},{"id":17,"name":"Train ID","value":"192-06"},{"id":16,"name":"Locomotive ID","value":"4041"},{"id":130,"name":"Impact","value":""},{"id":150,"name":"Time of Event (Mountain Time)","value":"16:34:44"},{"id":151,"name":"Denver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8" s="55"/>
      <c r="Z18" s="55"/>
      <c r="AA18" s="55"/>
    </row>
    <row r="19" spans="1:27" s="1" customFormat="1" x14ac:dyDescent="0.25">
      <c r="A19" s="38">
        <v>42619.205370370371</v>
      </c>
      <c r="B19" s="33" t="s">
        <v>343</v>
      </c>
      <c r="C19" s="33" t="s">
        <v>366</v>
      </c>
      <c r="D19" s="33" t="s">
        <v>49</v>
      </c>
      <c r="E19" s="33" t="s">
        <v>54</v>
      </c>
      <c r="F19" s="49">
        <v>0</v>
      </c>
      <c r="G19" s="49">
        <v>340</v>
      </c>
      <c r="H19" s="49">
        <v>130427</v>
      </c>
      <c r="I19" s="49"/>
      <c r="J19" s="33" t="s">
        <v>55</v>
      </c>
      <c r="K19" s="49">
        <v>127587</v>
      </c>
      <c r="L19" s="33" t="s">
        <v>53</v>
      </c>
      <c r="M19" s="92" t="str">
        <f>VLOOKUP(C19,'Trips&amp;Operators'!$C$1:$E$9999,3,0)</f>
        <v>HILLS</v>
      </c>
      <c r="N19" s="131" t="s">
        <v>86</v>
      </c>
      <c r="O19" s="10" t="s">
        <v>578</v>
      </c>
      <c r="P19" s="33"/>
      <c r="Q19" s="108" t="str">
        <f>VLOOKUP(C19,'Train Runs'!$A$13:$AE$9999,31,0)</f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R19" s="111" t="str">
        <f>VLOOKUP(C19,'Train Runs'!$A$13:$AE$9999,22,0)</f>
        <v>https://search-rtdc-monitor-bjffxe2xuh6vdkpspy63sjmuny.us-east-1.es.amazonaws.com/_plugin/kibana/#/discover/Steve-Slow-Train-Analysis-(2080s-and-2083s)?_g=(refreshInterval:(display:Off,section:0,value:0),time:(from:'2016-09-06 03:34:18-0600',mode:absolute,to:'2016-09-06 06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S19" s="113" t="str">
        <f t="shared" si="0"/>
        <v>"C:\Program Files (x86)\AstroGrep\AstroGrep.exe" /spath="%USERPROFILE%\AppData\Local\Temp\OnboardLogs" /stypes="*4012*201609061*" /stext=" 10:.+((SYSTEM_STATE.+slice.+state.+changed )|(ment ac)|(system.+state.+changed )|(\|lc)|(penalty)|(\[timeout)|(PRM\|1\|D)|(kpr)|(kdp))" /e /r /s</v>
      </c>
      <c r="T19" s="9" t="str">
        <f t="shared" si="1"/>
        <v>4012</v>
      </c>
      <c r="U19" s="38">
        <f t="shared" si="2"/>
        <v>42619.455370370371</v>
      </c>
      <c r="V19" s="52" t="str">
        <f t="shared" si="3"/>
        <v>EC</v>
      </c>
      <c r="W19" s="52" t="str">
        <f t="shared" si="4"/>
        <v>KEEP</v>
      </c>
      <c r="X19" s="149" t="str">
        <f t="shared" si="5"/>
        <v>echo {"issue":{"subject":"40th 4S STOP, cleared shortly after","project_id":79,"tracker_id":40,"status_id":1,"priority_id":2,"assigned_to_id":23,"start_date":"2016-09-06","description":"","custom_fields":[{"id":1,"name":"Subdivision","value":"EC"},{"id":4,"name":"Milepost","value":"12.7587"},{"id":17,"name":"Train ID","value":"104-06"},{"id":16,"name":"Locomotive ID","value":"4012"},{"id":130,"name":"Impact","value":""},{"id":150,"name":"Time of Event (Mountain Time)","value":"04:55:44"},{"id":151,"name":"Denver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19" s="55"/>
      <c r="Z19" s="55"/>
      <c r="AA19" s="55"/>
    </row>
    <row r="20" spans="1:27" s="1" customFormat="1" x14ac:dyDescent="0.25">
      <c r="A20" s="38">
        <v>42619.308229166665</v>
      </c>
      <c r="B20" s="33" t="s">
        <v>90</v>
      </c>
      <c r="C20" s="33" t="s">
        <v>393</v>
      </c>
      <c r="D20" s="33" t="s">
        <v>49</v>
      </c>
      <c r="E20" s="33" t="s">
        <v>54</v>
      </c>
      <c r="F20" s="49">
        <v>0</v>
      </c>
      <c r="G20" s="49">
        <v>436</v>
      </c>
      <c r="H20" s="49">
        <v>129643</v>
      </c>
      <c r="I20" s="49"/>
      <c r="J20" s="33" t="s">
        <v>55</v>
      </c>
      <c r="K20" s="49">
        <v>127587</v>
      </c>
      <c r="L20" s="33" t="s">
        <v>53</v>
      </c>
      <c r="M20" s="92" t="str">
        <f>VLOOKUP(C20,'Trips&amp;Operators'!$C$1:$E$9999,3,0)</f>
        <v>SPECTOR</v>
      </c>
      <c r="N20" s="131" t="s">
        <v>86</v>
      </c>
      <c r="O20" s="10" t="s">
        <v>578</v>
      </c>
      <c r="P20" s="33"/>
      <c r="Q20" s="108" t="str">
        <f>VLOOKUP(C20,'Train Runs'!$A$13:$AE$9999,31,0)</f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R20" s="111" t="str">
        <f>VLOOKUP(C20,'Train Runs'!$A$13:$AE$9999,22,0)</f>
        <v>https://search-rtdc-monitor-bjffxe2xuh6vdkpspy63sjmuny.us-east-1.es.amazonaws.com/_plugin/kibana/#/discover/Steve-Slow-Train-Analysis-(2080s-and-2083s)?_g=(refreshInterval:(display:Off,section:0,value:0),time:(from:'2016-09-06 06:02:54-0600',mode:absolute,to:'2016-09-06 08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S20" s="113" t="str">
        <f t="shared" si="0"/>
        <v>"C:\Program Files (x86)\AstroGrep\AstroGrep.exe" /spath="%USERPROFILE%\AppData\Local\Temp\OnboardLogs" /stypes="*4013*201609061*" /stext=" 13:.+((SYSTEM_STATE.+slice.+state.+changed )|(ment ac)|(system.+state.+changed )|(\|lc)|(penalty)|(\[timeout)|(PRM\|1\|D)|(kpr)|(kdp))" /e /r /s</v>
      </c>
      <c r="T20" s="9" t="str">
        <f t="shared" si="1"/>
        <v>4013</v>
      </c>
      <c r="U20" s="38">
        <f t="shared" si="2"/>
        <v>42619.558229166665</v>
      </c>
      <c r="V20" s="52" t="str">
        <f t="shared" si="3"/>
        <v>EC</v>
      </c>
      <c r="W20" s="52" t="str">
        <f t="shared" si="4"/>
        <v>KEEP</v>
      </c>
      <c r="X20" s="149" t="str">
        <f t="shared" si="5"/>
        <v>echo {"issue":{"subject":"40th 4S STOP, cleared shortly after","project_id":79,"tracker_id":40,"status_id":1,"priority_id":2,"assigned_to_id":23,"start_date":"2016-09-06","description":"","custom_fields":[{"id":1,"name":"Subdivision","value":"EC"},{"id":4,"name":"Milepost","value":"12.7587"},{"id":17,"name":"Train ID","value":"122-06"},{"id":16,"name":"Locomotive ID","value":"4013"},{"id":130,"name":"Impact","value":""},{"id":150,"name":"Time of Event (Mountain Time)","value":"07:23:51"},{"id":151,"name":"Denver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0" s="55"/>
      <c r="Z20" s="55"/>
      <c r="AA20" s="55"/>
    </row>
    <row r="21" spans="1:27" s="1" customFormat="1" x14ac:dyDescent="0.25">
      <c r="A21" s="38">
        <v>42619.527025462965</v>
      </c>
      <c r="B21" s="33" t="s">
        <v>371</v>
      </c>
      <c r="C21" s="33" t="s">
        <v>453</v>
      </c>
      <c r="D21" s="33" t="s">
        <v>49</v>
      </c>
      <c r="E21" s="33" t="s">
        <v>54</v>
      </c>
      <c r="F21" s="49">
        <v>0</v>
      </c>
      <c r="G21" s="49">
        <v>411</v>
      </c>
      <c r="H21" s="49">
        <v>129313</v>
      </c>
      <c r="I21" s="49"/>
      <c r="J21" s="33" t="s">
        <v>55</v>
      </c>
      <c r="K21" s="49">
        <v>127587</v>
      </c>
      <c r="L21" s="33" t="s">
        <v>53</v>
      </c>
      <c r="M21" s="92" t="str">
        <f>VLOOKUP(C21,'Trips&amp;Operators'!$C$1:$E$9999,3,0)</f>
        <v>HELVIE</v>
      </c>
      <c r="N21" s="131" t="s">
        <v>86</v>
      </c>
      <c r="O21" s="10" t="s">
        <v>578</v>
      </c>
      <c r="P21" s="33"/>
      <c r="Q21" s="108" t="str">
        <f>VLOOKUP(C21,'Train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21" s="111" t="str">
        <f>VLOOKUP(C21,'Train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11:22:41-0600',mode:absolute,to:'2016-09-06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21" s="113" t="str">
        <f t="shared" si="0"/>
        <v>"C:\Program Files (x86)\AstroGrep\AstroGrep.exe" /spath="%USERPROFILE%\AppData\Local\Temp\OnboardLogs" /stypes="*4041*201609061*" /stext=" 18:.+((SYSTEM_STATE.+slice.+state.+changed )|(ment ac)|(system.+state.+changed )|(\|lc)|(penalty)|(\[timeout)|(PRM\|1\|D)|(kpr)|(kdp))" /e /r /s</v>
      </c>
      <c r="T21" s="9" t="str">
        <f t="shared" si="1"/>
        <v>4041</v>
      </c>
      <c r="U21" s="38">
        <f t="shared" si="2"/>
        <v>42619.777025462965</v>
      </c>
      <c r="V21" s="52" t="str">
        <f t="shared" si="3"/>
        <v>EC</v>
      </c>
      <c r="W21" s="52" t="str">
        <f t="shared" si="4"/>
        <v>KEEP</v>
      </c>
      <c r="X21" s="149" t="str">
        <f t="shared" si="5"/>
        <v>echo {"issue":{"subject":"40th 4S STOP, cleared shortly after","project_id":79,"tracker_id":40,"status_id":1,"priority_id":2,"assigned_to_id":23,"start_date":"2016-09-06","description":"Pena 2N dropped from PROCEED CAB to STOP at approx 17:40:14. The train had not yet gone past the signal (it was about to). Do we have an OS circuit issue here, or does anything else seem out of the ordinary?","custom_fields":[{"id":1,"name":"Subdivision","value":"EC"},{"id":4,"name":"Milepost","value":"12.7587"},{"id":17,"name":"Train ID","value":"164-06"},{"id":16,"name":"Locomotive ID","value":"4041"},{"id":130,"name":"Impact","value":"Enforcement"},{"id":150,"name":"Time of Event (Mountain Time)","value":"12:38:55"},{"id":151,"name":"Denver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Y21" s="55" t="s">
        <v>297</v>
      </c>
      <c r="Z21" s="55" t="s">
        <v>185</v>
      </c>
      <c r="AA21" s="55" t="s">
        <v>190</v>
      </c>
    </row>
    <row r="22" spans="1:27" x14ac:dyDescent="0.25">
      <c r="A22" s="38">
        <v>42619.58011574074</v>
      </c>
      <c r="B22" s="33" t="s">
        <v>343</v>
      </c>
      <c r="C22" s="33" t="s">
        <v>464</v>
      </c>
      <c r="D22" s="33" t="s">
        <v>49</v>
      </c>
      <c r="E22" s="33" t="s">
        <v>54</v>
      </c>
      <c r="F22" s="49">
        <v>0</v>
      </c>
      <c r="G22" s="49">
        <v>131</v>
      </c>
      <c r="H22" s="49">
        <v>128002</v>
      </c>
      <c r="I22" s="49"/>
      <c r="J22" s="33" t="s">
        <v>55</v>
      </c>
      <c r="K22" s="49">
        <v>127587</v>
      </c>
      <c r="L22" s="33" t="s">
        <v>53</v>
      </c>
      <c r="M22" s="92" t="str">
        <f>VLOOKUP(C22,'Trips&amp;Operators'!$C$1:$E$9999,3,0)</f>
        <v>BARTLETT</v>
      </c>
      <c r="N22" s="131" t="s">
        <v>86</v>
      </c>
      <c r="O22" s="10" t="s">
        <v>578</v>
      </c>
      <c r="P22" s="33"/>
      <c r="Q22" s="108" t="str">
        <f>VLOOKUP(C22,'Train Runs'!$A$13:$AE$9999,31,0)</f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R22" s="111" t="str">
        <f>VLOOKUP(C22,'Train Runs'!$A$13:$AE$9999,22,0)</f>
        <v>https://search-rtdc-monitor-bjffxe2xuh6vdkpspy63sjmuny.us-east-1.es.amazonaws.com/_plugin/kibana/#/discover/Steve-Slow-Train-Analysis-(2080s-and-2083s)?_g=(refreshInterval:(display:Off,section:0,value:0),time:(from:'2016-09-06 12:25:18-0600',mode:absolute,to:'2016-09-06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S22" s="113" t="str">
        <f t="shared" si="0"/>
        <v>"C:\Program Files (x86)\AstroGrep\AstroGrep.exe" /spath="%USERPROFILE%\AppData\Local\Temp\OnboardLogs" /stypes="*4012*201609061*" /stext=" 19:.+((SYSTEM_STATE.+slice.+state.+changed )|(ment ac)|(system.+state.+changed )|(\|lc)|(penalty)|(\[timeout)|(PRM\|1\|D)|(kpr)|(kdp))" /e /r /s</v>
      </c>
      <c r="T22" s="9" t="str">
        <f t="shared" si="1"/>
        <v>4012</v>
      </c>
      <c r="U22" s="38">
        <f t="shared" si="2"/>
        <v>42619.83011574074</v>
      </c>
      <c r="V22" s="52" t="str">
        <f t="shared" si="3"/>
        <v>EC</v>
      </c>
      <c r="W22" s="52" t="str">
        <f t="shared" si="4"/>
        <v>KEEP</v>
      </c>
      <c r="X22" s="149" t="str">
        <f t="shared" si="5"/>
        <v>echo {"issue":{"subject":"40th 4S STOP, cleared shortly after","project_id":79,"tracker_id":40,"status_id":1,"priority_id":2,"assigned_to_id":23,"start_date":"2016-09-06","description":"","custom_fields":[{"id":1,"name":"Subdivision","value":"EC"},{"id":4,"name":"Milepost","value":"12.7587"},{"id":17,"name":"Train ID","value":"174-06"},{"id":16,"name":"Locomotive ID","value":"4012"},{"id":130,"name":"Impact","value":""},{"id":150,"name":"Time of Event (Mountain Time)","value":"13:55:22"},{"id":151,"name":"Denver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2" s="55"/>
      <c r="Z22" s="55"/>
      <c r="AA22" s="55"/>
    </row>
    <row r="23" spans="1:27" x14ac:dyDescent="0.25">
      <c r="A23" s="38">
        <v>42619.581388888888</v>
      </c>
      <c r="B23" s="33" t="s">
        <v>343</v>
      </c>
      <c r="C23" s="33" t="s">
        <v>464</v>
      </c>
      <c r="D23" s="33" t="s">
        <v>49</v>
      </c>
      <c r="E23" s="33" t="s">
        <v>54</v>
      </c>
      <c r="F23" s="49">
        <v>0</v>
      </c>
      <c r="G23" s="49">
        <v>38</v>
      </c>
      <c r="H23" s="49">
        <v>127733</v>
      </c>
      <c r="I23" s="49"/>
      <c r="J23" s="33" t="s">
        <v>55</v>
      </c>
      <c r="K23" s="49">
        <v>127587</v>
      </c>
      <c r="L23" s="33" t="s">
        <v>53</v>
      </c>
      <c r="M23" s="92" t="str">
        <f>VLOOKUP(C23,'Trips&amp;Operators'!$C$1:$E$9999,3,0)</f>
        <v>BARTLETT</v>
      </c>
      <c r="N23" s="131" t="s">
        <v>86</v>
      </c>
      <c r="O23" s="10" t="s">
        <v>578</v>
      </c>
      <c r="P23" s="33"/>
      <c r="Q23" s="108" t="str">
        <f>VLOOKUP(C23,'Train Runs'!$A$13:$AE$9999,31,0)</f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R23" s="111" t="str">
        <f>VLOOKUP(C23,'Train Runs'!$A$13:$AE$9999,22,0)</f>
        <v>https://search-rtdc-monitor-bjffxe2xuh6vdkpspy63sjmuny.us-east-1.es.amazonaws.com/_plugin/kibana/#/discover/Steve-Slow-Train-Analysis-(2080s-and-2083s)?_g=(refreshInterval:(display:Off,section:0,value:0),time:(from:'2016-09-06 12:25:18-0600',mode:absolute,to:'2016-09-06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S23" s="113" t="str">
        <f t="shared" si="0"/>
        <v>"C:\Program Files (x86)\AstroGrep\AstroGrep.exe" /spath="%USERPROFILE%\AppData\Local\Temp\OnboardLogs" /stypes="*4012*201609061*" /stext=" 19:.+((SYSTEM_STATE.+slice.+state.+changed )|(ment ac)|(system.+state.+changed )|(\|lc)|(penalty)|(\[timeout)|(PRM\|1\|D)|(kpr)|(kdp))" /e /r /s</v>
      </c>
      <c r="T23" s="9" t="str">
        <f t="shared" si="1"/>
        <v>4012</v>
      </c>
      <c r="U23" s="38">
        <f t="shared" si="2"/>
        <v>42619.831388888888</v>
      </c>
      <c r="V23" s="52" t="str">
        <f t="shared" si="3"/>
        <v>EC</v>
      </c>
      <c r="W23" s="52" t="str">
        <f t="shared" si="4"/>
        <v>KEEP</v>
      </c>
      <c r="X23" s="149" t="str">
        <f t="shared" si="5"/>
        <v>echo {"issue":{"subject":"40th 4S STOP, cleared shortly after","project_id":79,"tracker_id":40,"status_id":1,"priority_id":2,"assigned_to_id":23,"start_date":"2016-09-06","description":"","custom_fields":[{"id":1,"name":"Subdivision","value":"EC"},{"id":4,"name":"Milepost","value":"12.7587"},{"id":17,"name":"Train ID","value":"174-06"},{"id":16,"name":"Locomotive ID","value":"4012"},{"id":130,"name":"Impact","value":""},{"id":150,"name":"Time of Event (Mountain Time)","value":"13:57:12"},{"id":151,"name":"Denver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3" s="55"/>
      <c r="Z23" s="55"/>
      <c r="AA23" s="55"/>
    </row>
    <row r="24" spans="1:27" x14ac:dyDescent="0.25">
      <c r="A24" s="38">
        <v>42619.178379629629</v>
      </c>
      <c r="B24" s="33" t="s">
        <v>277</v>
      </c>
      <c r="C24" s="33" t="s">
        <v>364</v>
      </c>
      <c r="D24" s="33" t="s">
        <v>49</v>
      </c>
      <c r="E24" s="33" t="s">
        <v>54</v>
      </c>
      <c r="F24" s="49">
        <v>0</v>
      </c>
      <c r="G24" s="49">
        <v>512</v>
      </c>
      <c r="H24" s="49">
        <v>194531</v>
      </c>
      <c r="I24" s="49"/>
      <c r="J24" s="33" t="s">
        <v>55</v>
      </c>
      <c r="K24" s="49">
        <v>191723</v>
      </c>
      <c r="L24" s="33" t="s">
        <v>53</v>
      </c>
      <c r="M24" s="92" t="str">
        <f>VLOOKUP(C24,'Trips&amp;Operators'!$C$1:$E$9999,3,0)</f>
        <v>KILLION</v>
      </c>
      <c r="N24" s="131" t="s">
        <v>86</v>
      </c>
      <c r="O24" s="10" t="s">
        <v>579</v>
      </c>
      <c r="P24" s="33"/>
      <c r="Q24" s="108" t="str">
        <f>VLOOKUP(C24,'Train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24" s="111" t="str">
        <f>VLOOKUP(C24,'Train Runs'!$A$13:$AE$9999,22,0)</f>
        <v>https://search-rtdc-monitor-bjffxe2xuh6vdkpspy63sjmuny.us-east-1.es.amazonaws.com/_plugin/kibana/#/discover/Steve-Slow-Train-Analysis-(2080s-and-2083s)?_g=(refreshInterval:(display:Off,section:0,value:0),time:(from:'2016-09-06 03:01:52-0600',mode:absolute,to:'2016-09-06 05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24" s="113" t="str">
        <f t="shared" si="0"/>
        <v>"C:\Program Files (x86)\AstroGrep\AstroGrep.exe" /spath="%USERPROFILE%\AppData\Local\Temp\OnboardLogs" /stypes="*4026*201609061*" /stext=" 10:.+((SYSTEM_STATE.+slice.+state.+changed )|(ment ac)|(system.+state.+changed )|(\|lc)|(penalty)|(\[timeout)|(PRM\|1\|D)|(kpr)|(kdp))" /e /r /s</v>
      </c>
      <c r="T24" s="9" t="str">
        <f t="shared" si="1"/>
        <v>4026</v>
      </c>
      <c r="U24" s="38">
        <f t="shared" si="2"/>
        <v>42619.428379629629</v>
      </c>
      <c r="V24" s="52" t="str">
        <f t="shared" si="3"/>
        <v>EC</v>
      </c>
      <c r="W24" s="52" t="str">
        <f t="shared" si="4"/>
        <v>KEEP</v>
      </c>
      <c r="X24" s="149" t="str">
        <f t="shared" si="5"/>
        <v>echo {"issue":{"subject":"Pena 4S STOP, cleared shortly after","project_id":79,"tracker_id":40,"status_id":1,"priority_id":2,"assigned_to_id":23,"start_date":"2016-09-06","description":"","custom_fields":[{"id":1,"name":"Subdivision","value":"EC"},{"id":4,"name":"Milepost","value":"19.1723"},{"id":17,"name":"Train ID","value":"102-06"},{"id":16,"name":"Locomotive ID","value":"4026"},{"id":130,"name":"Impact","value":""},{"id":150,"name":"Time of Event (Mountain Time)","value":"04:16:52"},{"id":151,"name":"Denver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4" s="55"/>
      <c r="Z24" s="55"/>
      <c r="AA24" s="55"/>
    </row>
    <row r="25" spans="1:27" ht="15" customHeight="1" x14ac:dyDescent="0.25">
      <c r="A25" s="38">
        <v>42619.678761574076</v>
      </c>
      <c r="B25" s="33" t="s">
        <v>219</v>
      </c>
      <c r="C25" s="33" t="s">
        <v>494</v>
      </c>
      <c r="D25" s="33" t="s">
        <v>49</v>
      </c>
      <c r="E25" s="33" t="s">
        <v>54</v>
      </c>
      <c r="F25" s="49">
        <v>0</v>
      </c>
      <c r="G25" s="49">
        <v>403</v>
      </c>
      <c r="H25" s="49">
        <v>193813</v>
      </c>
      <c r="I25" s="49"/>
      <c r="J25" s="33" t="s">
        <v>55</v>
      </c>
      <c r="K25" s="49">
        <v>191723</v>
      </c>
      <c r="L25" s="33" t="s">
        <v>53</v>
      </c>
      <c r="M25" s="92" t="str">
        <f>VLOOKUP(C25,'Trips&amp;Operators'!$C$1:$E$9999,3,0)</f>
        <v>CRAYTON</v>
      </c>
      <c r="N25" s="131" t="s">
        <v>86</v>
      </c>
      <c r="O25" s="10" t="s">
        <v>579</v>
      </c>
      <c r="P25" s="33"/>
      <c r="Q25" s="108" t="str">
        <f>VLOOKUP(C25,'Train Runs'!$A$13:$AE$9999,31,0)</f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R25" s="111" t="str">
        <f>VLOOKUP(C25,'Train Runs'!$A$13:$AE$9999,22,0)</f>
        <v>https://search-rtdc-monitor-bjffxe2xuh6vdkpspy63sjmuny.us-east-1.es.amazonaws.com/_plugin/kibana/#/discover/Steve-Slow-Train-Analysis-(2080s-and-2083s)?_g=(refreshInterval:(display:Off,section:0,value:0),time:(from:'2016-09-06 15:00:54-0600',mode:absolute,to:'2016-09-06 17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S25" s="113" t="str">
        <f t="shared" si="0"/>
        <v>"C:\Program Files (x86)\AstroGrep\AstroGrep.exe" /spath="%USERPROFILE%\AppData\Local\Temp\OnboardLogs" /stypes="*4028*201609062*" /stext=" 22:.+((SYSTEM_STATE.+slice.+state.+changed )|(ment ac)|(system.+state.+changed )|(\|lc)|(penalty)|(\[timeout)|(PRM\|1\|D)|(kpr)|(kdp))" /e /r /s</v>
      </c>
      <c r="T25" s="9" t="str">
        <f t="shared" si="1"/>
        <v>4028</v>
      </c>
      <c r="U25" s="38">
        <f t="shared" si="2"/>
        <v>42619.928761574076</v>
      </c>
      <c r="V25" s="52" t="str">
        <f t="shared" si="3"/>
        <v>EC</v>
      </c>
      <c r="W25" s="52" t="str">
        <f t="shared" si="4"/>
        <v>KEEP</v>
      </c>
      <c r="X25" s="149" t="str">
        <f t="shared" si="5"/>
        <v>echo {"issue":{"subject":"Pena 4S STOP, cleared shortly after","project_id":79,"tracker_id":40,"status_id":1,"priority_id":2,"assigned_to_id":23,"start_date":"2016-09-06","description":"","custom_fields":[{"id":1,"name":"Subdivision","value":"EC"},{"id":4,"name":"Milepost","value":"19.1723"},{"id":17,"name":"Train ID","value":"194-06"},{"id":16,"name":"Locomotive ID","value":"4028"},{"id":130,"name":"Impact","value":""},{"id":150,"name":"Time of Event (Mountain Time)","value":"16:17:25"},{"id":151,"name":"Denver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5" s="55"/>
      <c r="Z25" s="55"/>
      <c r="AA25" s="55"/>
    </row>
    <row r="26" spans="1:27" x14ac:dyDescent="0.25">
      <c r="A26" s="38">
        <v>42619.204664351855</v>
      </c>
      <c r="B26" s="33" t="s">
        <v>277</v>
      </c>
      <c r="C26" s="33" t="s">
        <v>364</v>
      </c>
      <c r="D26" s="33" t="s">
        <v>49</v>
      </c>
      <c r="E26" s="33" t="s">
        <v>50</v>
      </c>
      <c r="F26" s="49">
        <v>0</v>
      </c>
      <c r="G26" s="49">
        <v>42</v>
      </c>
      <c r="H26" s="49">
        <v>165</v>
      </c>
      <c r="I26" s="49"/>
      <c r="J26" s="33" t="s">
        <v>51</v>
      </c>
      <c r="K26" s="49">
        <v>1</v>
      </c>
      <c r="L26" s="33" t="s">
        <v>53</v>
      </c>
      <c r="M26" s="92" t="str">
        <f>VLOOKUP(C26,'Trips&amp;Operators'!$C$1:$E$9999,3,0)</f>
        <v>KILLION</v>
      </c>
      <c r="N26" s="131" t="s">
        <v>86</v>
      </c>
      <c r="O26" s="10"/>
      <c r="P26" s="33"/>
      <c r="Q26" s="108" t="str">
        <f>VLOOKUP(C26,'Train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26" s="111" t="str">
        <f>VLOOKUP(C26,'Train Runs'!$A$13:$AE$9999,22,0)</f>
        <v>https://search-rtdc-monitor-bjffxe2xuh6vdkpspy63sjmuny.us-east-1.es.amazonaws.com/_plugin/kibana/#/discover/Steve-Slow-Train-Analysis-(2080s-and-2083s)?_g=(refreshInterval:(display:Off,section:0,value:0),time:(from:'2016-09-06 03:01:52-0600',mode:absolute,to:'2016-09-06 05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26" s="113" t="str">
        <f t="shared" si="0"/>
        <v>"C:\Program Files (x86)\AstroGrep\AstroGrep.exe" /spath="%USERPROFILE%\AppData\Local\Temp\OnboardLogs" /stypes="*4026*201609061*" /stext=" 10:.+((SYSTEM_STATE.+slice.+state.+changed )|(ment ac)|(system.+state.+changed )|(\|lc)|(penalty)|(\[timeout)|(PRM\|1\|D)|(kpr)|(kdp))" /e /r /s</v>
      </c>
      <c r="T26" s="9" t="str">
        <f t="shared" si="1"/>
        <v>4026</v>
      </c>
      <c r="U26" s="38">
        <f t="shared" si="2"/>
        <v>42619.454664351855</v>
      </c>
      <c r="V26" s="52" t="str">
        <f t="shared" si="3"/>
        <v>EC</v>
      </c>
      <c r="W26" s="52" t="str">
        <f t="shared" si="4"/>
        <v>KEEP</v>
      </c>
      <c r="X26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ID","value":"102-06"},{"id":16,"name":"Locomotive ID","value":"4026"},{"id":130,"name":"Impact","value":""},{"id":150,"name":"Time of Event (Mountain Time)","value":"04:54:43"},{"id":151,"name":"Denver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6" s="55"/>
      <c r="Z26" s="55"/>
      <c r="AA26" s="55"/>
    </row>
    <row r="27" spans="1:27" x14ac:dyDescent="0.25">
      <c r="A27" s="38">
        <v>42619.247129629628</v>
      </c>
      <c r="B27" s="33" t="s">
        <v>371</v>
      </c>
      <c r="C27" s="33" t="s">
        <v>372</v>
      </c>
      <c r="D27" s="33" t="s">
        <v>49</v>
      </c>
      <c r="E27" s="33" t="s">
        <v>50</v>
      </c>
      <c r="F27" s="49">
        <v>0</v>
      </c>
      <c r="G27" s="49">
        <v>88</v>
      </c>
      <c r="H27" s="49">
        <v>382</v>
      </c>
      <c r="I27" s="49"/>
      <c r="J27" s="33" t="s">
        <v>51</v>
      </c>
      <c r="K27" s="49">
        <v>1</v>
      </c>
      <c r="L27" s="33" t="s">
        <v>53</v>
      </c>
      <c r="M27" s="92" t="str">
        <f>VLOOKUP(C27,'Trips&amp;Operators'!$C$1:$E$9999,3,0)</f>
        <v>BRANNON</v>
      </c>
      <c r="N27" s="131" t="s">
        <v>86</v>
      </c>
      <c r="O27" s="10"/>
      <c r="P27" s="33"/>
      <c r="Q27" s="108" t="str">
        <f>VLOOKUP(C27,'Train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27" s="111" t="str">
        <f>VLOOKUP(C27,'Train Runs'!$A$13:$AE$9999,22,0)</f>
        <v>https://search-rtdc-monitor-bjffxe2xuh6vdkpspy63sjmuny.us-east-1.es.amazonaws.com/_plugin/kibana/#/discover/Steve-Slow-Train-Analysis-(2080s-and-2083s)?_g=(refreshInterval:(display:Off,section:0,value:0),time:(from:'2016-09-06 04:00:55-0600',mode:absolute,to:'2016-09-06 06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27" s="113" t="str">
        <f t="shared" si="0"/>
        <v>"C:\Program Files (x86)\AstroGrep\AstroGrep.exe" /spath="%USERPROFILE%\AppData\Local\Temp\OnboardLogs" /stypes="*4041*201609061*" /stext=" 11:.+((SYSTEM_STATE.+slice.+state.+changed )|(ment ac)|(system.+state.+changed )|(\|lc)|(penalty)|(\[timeout)|(PRM\|1\|D)|(kpr)|(kdp))" /e /r /s</v>
      </c>
      <c r="T27" s="9" t="str">
        <f t="shared" si="1"/>
        <v>4041</v>
      </c>
      <c r="U27" s="38">
        <f t="shared" si="2"/>
        <v>42619.497129629628</v>
      </c>
      <c r="V27" s="52" t="str">
        <f t="shared" si="3"/>
        <v>EC</v>
      </c>
      <c r="W27" s="52" t="str">
        <f t="shared" si="4"/>
        <v>KEEP</v>
      </c>
      <c r="X27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ID","value":"106-06"},{"id":16,"name":"Locomotive ID","value":"4041"},{"id":130,"name":"Impact","value":""},{"id":150,"name":"Time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7" s="55"/>
      <c r="Z27" s="55"/>
      <c r="AA27" s="55"/>
    </row>
    <row r="28" spans="1:27" x14ac:dyDescent="0.25">
      <c r="A28" s="38">
        <v>42619.359837962962</v>
      </c>
      <c r="B28" s="33" t="s">
        <v>277</v>
      </c>
      <c r="C28" s="33" t="s">
        <v>402</v>
      </c>
      <c r="D28" s="33" t="s">
        <v>49</v>
      </c>
      <c r="E28" s="33" t="s">
        <v>50</v>
      </c>
      <c r="F28" s="49">
        <v>0</v>
      </c>
      <c r="G28" s="49">
        <v>59</v>
      </c>
      <c r="H28" s="49">
        <v>181</v>
      </c>
      <c r="I28" s="49"/>
      <c r="J28" s="33" t="s">
        <v>51</v>
      </c>
      <c r="K28" s="49">
        <v>1</v>
      </c>
      <c r="L28" s="33" t="s">
        <v>53</v>
      </c>
      <c r="M28" s="92" t="str">
        <f>VLOOKUP(C28,'Trips&amp;Operators'!$C$1:$E$9999,3,0)</f>
        <v>KILLION</v>
      </c>
      <c r="N28" s="131" t="s">
        <v>86</v>
      </c>
      <c r="O28" s="10"/>
      <c r="P28" s="33"/>
      <c r="Q28" s="108" t="str">
        <f>VLOOKUP(C28,'Train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28" s="111" t="str">
        <f>VLOOKUP(C28,'Train Runs'!$A$13:$AE$9999,22,0)</f>
        <v>https://search-rtdc-monitor-bjffxe2xuh6vdkpspy63sjmuny.us-east-1.es.amazonaws.com/_plugin/kibana/#/discover/Steve-Slow-Train-Analysis-(2080s-and-2083s)?_g=(refreshInterval:(display:Off,section:0,value:0),time:(from:'2016-09-06 06:46:24-0600',mode:absolute,to:'2016-09-06 09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28" s="113" t="str">
        <f t="shared" si="0"/>
        <v>"C:\Program Files (x86)\AstroGrep\AstroGrep.exe" /spath="%USERPROFILE%\AppData\Local\Temp\OnboardLogs" /stypes="*4026*201609061*" /stext=" 14:.+((SYSTEM_STATE.+slice.+state.+changed )|(ment ac)|(system.+state.+changed )|(\|lc)|(penalty)|(\[timeout)|(PRM\|1\|D)|(kpr)|(kdp))" /e /r /s</v>
      </c>
      <c r="T28" s="9" t="str">
        <f t="shared" si="1"/>
        <v>4026</v>
      </c>
      <c r="U28" s="38">
        <f t="shared" si="2"/>
        <v>42619.609837962962</v>
      </c>
      <c r="V28" s="52" t="str">
        <f t="shared" si="3"/>
        <v>EC</v>
      </c>
      <c r="W28" s="52" t="str">
        <f t="shared" si="4"/>
        <v>KEEP</v>
      </c>
      <c r="X28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ID","value":"128-06"},{"id":16,"name":"Locomotive ID","value":"4026"},{"id":130,"name":"Impact","value":""},{"id":150,"name":"Time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8" s="55"/>
      <c r="Z28" s="55"/>
      <c r="AA28" s="55"/>
    </row>
    <row r="29" spans="1:27" x14ac:dyDescent="0.25">
      <c r="A29" s="38">
        <v>42619.387766203705</v>
      </c>
      <c r="B29" s="33" t="s">
        <v>244</v>
      </c>
      <c r="C29" s="33" t="s">
        <v>412</v>
      </c>
      <c r="D29" s="33" t="s">
        <v>49</v>
      </c>
      <c r="E29" s="33" t="s">
        <v>50</v>
      </c>
      <c r="F29" s="49">
        <v>0</v>
      </c>
      <c r="G29" s="49">
        <v>65</v>
      </c>
      <c r="H29" s="49">
        <v>225</v>
      </c>
      <c r="I29" s="49"/>
      <c r="J29" s="33" t="s">
        <v>51</v>
      </c>
      <c r="K29" s="49">
        <v>1</v>
      </c>
      <c r="L29" s="33" t="s">
        <v>53</v>
      </c>
      <c r="M29" s="92" t="str">
        <f>VLOOKUP(C29,'Trips&amp;Operators'!$C$1:$E$9999,3,0)</f>
        <v>BRANNON</v>
      </c>
      <c r="N29" s="131" t="s">
        <v>86</v>
      </c>
      <c r="O29" s="10"/>
      <c r="P29" s="33"/>
      <c r="Q29" s="108" t="str">
        <f>VLOOKUP(C29,'Train Runs'!$A$13:$AE$9999,31,0)</f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R29" s="111" t="str">
        <f>VLOOKUP(C29,'Train Runs'!$A$13:$AE$9999,22,0)</f>
        <v>https://search-rtdc-monitor-bjffxe2xuh6vdkpspy63sjmuny.us-east-1.es.amazonaws.com/_plugin/kibana/#/discover/Steve-Slow-Train-Analysis-(2080s-and-2083s)?_g=(refreshInterval:(display:Off,section:0,value:0),time:(from:'2016-09-06 07:37:14-0600',mode:absolute,to:'2016-09-06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S29" s="113" t="str">
        <f t="shared" si="0"/>
        <v>"C:\Program Files (x86)\AstroGrep\AstroGrep.exe" /spath="%USERPROFILE%\AppData\Local\Temp\OnboardLogs" /stypes="*4001*201609061*" /stext=" 15:.+((SYSTEM_STATE.+slice.+state.+changed )|(ment ac)|(system.+state.+changed )|(\|lc)|(penalty)|(\[timeout)|(PRM\|1\|D)|(kpr)|(kdp))" /e /r /s</v>
      </c>
      <c r="T29" s="9" t="str">
        <f t="shared" si="1"/>
        <v>4001</v>
      </c>
      <c r="U29" s="38">
        <f t="shared" si="2"/>
        <v>42619.637766203705</v>
      </c>
      <c r="V29" s="52" t="str">
        <f t="shared" si="3"/>
        <v>EC</v>
      </c>
      <c r="W29" s="52" t="str">
        <f t="shared" si="4"/>
        <v>KEEP</v>
      </c>
      <c r="X29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ID","value":"134-06"},{"id":16,"name":"Locomotive ID","value":"4001"},{"id":130,"name":"Impact","value":""},{"id":150,"name":"Time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29" s="55"/>
      <c r="Z29" s="55"/>
      <c r="AA29" s="55"/>
    </row>
    <row r="30" spans="1:27" x14ac:dyDescent="0.25">
      <c r="A30" s="38">
        <v>42619.430462962962</v>
      </c>
      <c r="B30" s="33" t="s">
        <v>277</v>
      </c>
      <c r="C30" s="33" t="s">
        <v>421</v>
      </c>
      <c r="D30" s="33" t="s">
        <v>49</v>
      </c>
      <c r="E30" s="33" t="s">
        <v>50</v>
      </c>
      <c r="F30" s="49">
        <v>0</v>
      </c>
      <c r="G30" s="49">
        <v>55</v>
      </c>
      <c r="H30" s="49">
        <v>192</v>
      </c>
      <c r="I30" s="49"/>
      <c r="J30" s="33" t="s">
        <v>51</v>
      </c>
      <c r="K30" s="49">
        <v>1</v>
      </c>
      <c r="L30" s="33" t="s">
        <v>53</v>
      </c>
      <c r="M30" s="92" t="str">
        <f>VLOOKUP(C30,'Trips&amp;Operators'!$C$1:$E$9999,3,0)</f>
        <v>KILLION</v>
      </c>
      <c r="N30" s="131" t="s">
        <v>86</v>
      </c>
      <c r="O30" s="10"/>
      <c r="P30" s="33"/>
      <c r="Q30" s="108" t="str">
        <f>VLOOKUP(C30,'Train Runs'!$A$13:$AE$9999,31,0)</f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R30" s="111" t="str">
        <f>VLOOKUP(C30,'Train Runs'!$A$13:$AE$9999,22,0)</f>
        <v>https://search-rtdc-monitor-bjffxe2xuh6vdkpspy63sjmuny.us-east-1.es.amazonaws.com/_plugin/kibana/#/discover/Steve-Slow-Train-Analysis-(2080s-and-2083s)?_g=(refreshInterval:(display:Off,section:0,value:0),time:(from:'2016-09-06 08:30:48-0600',mode:absolute,to:'2016-09-06 11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S30" s="113" t="str">
        <f t="shared" si="0"/>
        <v>"C:\Program Files (x86)\AstroGrep\AstroGrep.exe" /spath="%USERPROFILE%\AppData\Local\Temp\OnboardLogs" /stypes="*4026*201609061*" /stext=" 16:.+((SYSTEM_STATE.+slice.+state.+changed )|(ment ac)|(system.+state.+changed )|(\|lc)|(penalty)|(\[timeout)|(PRM\|1\|D)|(kpr)|(kdp))" /e /r /s</v>
      </c>
      <c r="T30" s="9" t="str">
        <f t="shared" si="1"/>
        <v>4026</v>
      </c>
      <c r="U30" s="38">
        <f t="shared" si="2"/>
        <v>42619.680462962962</v>
      </c>
      <c r="V30" s="52" t="str">
        <f t="shared" si="3"/>
        <v>EC</v>
      </c>
      <c r="W30" s="52" t="str">
        <f t="shared" si="4"/>
        <v>KEEP</v>
      </c>
      <c r="X30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ID","value":"142-06"},{"id":16,"name":"Locomotive ID","value":"4026"},{"id":130,"name":"Impact","value":""},{"id":150,"name":"Time of Event (Mountain Time)","value":"10:19:52"},{"id":151,"name":"Denver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0" s="55"/>
      <c r="Z30" s="55"/>
      <c r="AA30" s="55"/>
    </row>
    <row r="31" spans="1:27" x14ac:dyDescent="0.25">
      <c r="A31" s="38">
        <v>42619.461006944446</v>
      </c>
      <c r="B31" s="33" t="s">
        <v>244</v>
      </c>
      <c r="C31" s="33" t="s">
        <v>429</v>
      </c>
      <c r="D31" s="33" t="s">
        <v>49</v>
      </c>
      <c r="E31" s="33" t="s">
        <v>50</v>
      </c>
      <c r="F31" s="49">
        <v>0</v>
      </c>
      <c r="G31" s="49">
        <v>75</v>
      </c>
      <c r="H31" s="49">
        <v>273</v>
      </c>
      <c r="I31" s="49"/>
      <c r="J31" s="33" t="s">
        <v>51</v>
      </c>
      <c r="K31" s="49">
        <v>1</v>
      </c>
      <c r="L31" s="33" t="s">
        <v>53</v>
      </c>
      <c r="M31" s="92" t="str">
        <f>VLOOKUP(C31,'Trips&amp;Operators'!$C$1:$E$9999,3,0)</f>
        <v>BRANNON</v>
      </c>
      <c r="N31" s="131" t="s">
        <v>86</v>
      </c>
      <c r="O31" s="10"/>
      <c r="P31" s="33"/>
      <c r="Q31" s="108" t="str">
        <f>VLOOKUP(C31,'Train Runs'!$A$13:$AE$9999,31,0)</f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R31" s="111" t="str">
        <f>VLOOKUP(C31,'Train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09:16:00-0600',mode:absolute,to:'2016-09-06 12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S31" s="113" t="str">
        <f t="shared" si="0"/>
        <v>"C:\Program Files (x86)\AstroGrep\AstroGrep.exe" /spath="%USERPROFILE%\AppData\Local\Temp\OnboardLogs" /stypes="*4001*201609061*" /stext=" 17:.+((SYSTEM_STATE.+slice.+state.+changed )|(ment ac)|(system.+state.+changed )|(\|lc)|(penalty)|(\[timeout)|(PRM\|1\|D)|(kpr)|(kdp))" /e /r /s</v>
      </c>
      <c r="T31" s="9" t="str">
        <f t="shared" si="1"/>
        <v>4001</v>
      </c>
      <c r="U31" s="38">
        <f t="shared" si="2"/>
        <v>42619.711006944446</v>
      </c>
      <c r="V31" s="52" t="str">
        <f t="shared" si="3"/>
        <v>EC</v>
      </c>
      <c r="W31" s="52" t="str">
        <f t="shared" si="4"/>
        <v>KEEP</v>
      </c>
      <c r="X31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ID","value":"148-06"},{"id":16,"name":"Locomotive ID","value":"4001"},{"id":130,"name":"Impact","value":""},{"id":150,"name":"Time of Event (Mountain Time)","value":"11:03:51"},{"id":151,"name":"Denver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1" s="55"/>
      <c r="Z31" s="55"/>
      <c r="AA31" s="55"/>
    </row>
    <row r="32" spans="1:27" ht="15" customHeight="1" x14ac:dyDescent="0.25">
      <c r="A32" s="38">
        <v>42619.619155092594</v>
      </c>
      <c r="B32" s="33" t="s">
        <v>371</v>
      </c>
      <c r="C32" s="33" t="s">
        <v>469</v>
      </c>
      <c r="D32" s="33" t="s">
        <v>49</v>
      </c>
      <c r="E32" s="33" t="s">
        <v>50</v>
      </c>
      <c r="F32" s="49">
        <v>0</v>
      </c>
      <c r="G32" s="49">
        <v>109</v>
      </c>
      <c r="H32" s="49">
        <v>451</v>
      </c>
      <c r="I32" s="49"/>
      <c r="J32" s="33" t="s">
        <v>51</v>
      </c>
      <c r="K32" s="49">
        <v>1</v>
      </c>
      <c r="L32" s="33" t="s">
        <v>53</v>
      </c>
      <c r="M32" s="92" t="str">
        <f>VLOOKUP(C32,'Trips&amp;Operators'!$C$1:$E$9999,3,0)</f>
        <v>HELVIE</v>
      </c>
      <c r="N32" s="131" t="s">
        <v>86</v>
      </c>
      <c r="O32" s="10"/>
      <c r="P32" s="33"/>
      <c r="Q32" s="108" t="str">
        <f>VLOOKUP(C32,'Train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32" s="111" t="str">
        <f>VLOOKUP(C32,'Train Runs'!$A$13:$AE$9999,22,0)</f>
        <v>https://search-rtdc-monitor-bjffxe2xuh6vdkpspy63sjmuny.us-east-1.es.amazonaws.com/_plugin/kibana/#/discover/Steve-Slow-Train-Analysis-(2080s-and-2083s)?_g=(refreshInterval:(display:Off,section:0,value:0),time:(from:'2016-09-06 13:06:53-0600',mode:absolute,to:'2016-09-06 15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32" s="113" t="str">
        <f t="shared" si="0"/>
        <v>"C:\Program Files (x86)\AstroGrep\AstroGrep.exe" /spath="%USERPROFILE%\AppData\Local\Temp\OnboardLogs" /stypes="*4041*201609062*" /stext=" 20:.+((SYSTEM_STATE.+slice.+state.+changed )|(ment ac)|(system.+state.+changed )|(\|lc)|(penalty)|(\[timeout)|(PRM\|1\|D)|(kpr)|(kdp))" /e /r /s</v>
      </c>
      <c r="T32" s="9" t="str">
        <f t="shared" si="1"/>
        <v>4041</v>
      </c>
      <c r="U32" s="38">
        <f t="shared" si="2"/>
        <v>42619.869155092594</v>
      </c>
      <c r="V32" s="52" t="str">
        <f t="shared" si="3"/>
        <v>EC</v>
      </c>
      <c r="W32" s="52" t="str">
        <f t="shared" si="4"/>
        <v>KEEP</v>
      </c>
      <c r="X32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ID","value":"178-06"},{"id":16,"name":"Locomotive ID","value":"4041"},{"id":130,"name":"Impact","value":""},{"id":150,"name":"Time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2" s="55"/>
      <c r="Z32" s="55"/>
      <c r="AA32" s="55"/>
    </row>
    <row r="33" spans="1:27" x14ac:dyDescent="0.25">
      <c r="A33" s="38">
        <v>42619.661296296297</v>
      </c>
      <c r="B33" s="33" t="s">
        <v>92</v>
      </c>
      <c r="C33" s="33" t="s">
        <v>479</v>
      </c>
      <c r="D33" s="33" t="s">
        <v>49</v>
      </c>
      <c r="E33" s="33" t="s">
        <v>50</v>
      </c>
      <c r="F33" s="49">
        <v>0</v>
      </c>
      <c r="G33" s="49">
        <v>39</v>
      </c>
      <c r="H33" s="49">
        <v>127</v>
      </c>
      <c r="I33" s="49"/>
      <c r="J33" s="33" t="s">
        <v>51</v>
      </c>
      <c r="K33" s="49">
        <v>1</v>
      </c>
      <c r="L33" s="33" t="s">
        <v>53</v>
      </c>
      <c r="M33" s="92" t="str">
        <f>VLOOKUP(C33,'Trips&amp;Operators'!$C$1:$E$9999,3,0)</f>
        <v>ROCHA</v>
      </c>
      <c r="N33" s="131" t="s">
        <v>86</v>
      </c>
      <c r="O33" s="10"/>
      <c r="P33" s="33"/>
      <c r="Q33" s="108" t="str">
        <f>VLOOKUP(C33,'Train Runs'!$A$13:$AE$9999,31,0)</f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R33" s="111" t="str">
        <f>VLOOKUP(C33,'Train Runs'!$A$13:$AE$9999,22,0)</f>
        <v>https://search-rtdc-monitor-bjffxe2xuh6vdkpspy63sjmuny.us-east-1.es.amazonaws.com/_plugin/kibana/#/discover/Steve-Slow-Train-Analysis-(2080s-and-2083s)?_g=(refreshInterval:(display:Off,section:0,value:0),time:(from:'2016-09-06 13:58:38-0600',mode:absolute,to:'2016-09-06 16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33" s="113" t="str">
        <f t="shared" si="0"/>
        <v>"C:\Program Files (x86)\AstroGrep\AstroGrep.exe" /spath="%USERPROFILE%\AppData\Local\Temp\OnboardLogs" /stypes="*4030*201609062*" /stext=" 21:.+((SYSTEM_STATE.+slice.+state.+changed )|(ment ac)|(system.+state.+changed )|(\|lc)|(penalty)|(\[timeout)|(PRM\|1\|D)|(kpr)|(kdp))" /e /r /s</v>
      </c>
      <c r="T33" s="9" t="str">
        <f t="shared" si="1"/>
        <v>4030</v>
      </c>
      <c r="U33" s="38">
        <f t="shared" si="2"/>
        <v>42619.911296296297</v>
      </c>
      <c r="V33" s="52" t="str">
        <f t="shared" si="3"/>
        <v>EC</v>
      </c>
      <c r="W33" s="52" t="str">
        <f t="shared" si="4"/>
        <v>KEEP</v>
      </c>
      <c r="X33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ID","value":"186-06"},{"id":16,"name":"Locomotive ID","value":"4030"},{"id":130,"name":"Impact","value":""},{"id":150,"name":"Time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3" s="55"/>
      <c r="Z33" s="55"/>
      <c r="AA33" s="55"/>
    </row>
    <row r="34" spans="1:27" ht="15" customHeight="1" x14ac:dyDescent="0.25">
      <c r="A34" s="38">
        <v>42619.692743055559</v>
      </c>
      <c r="B34" s="33" t="s">
        <v>371</v>
      </c>
      <c r="C34" s="33" t="s">
        <v>492</v>
      </c>
      <c r="D34" s="33" t="s">
        <v>49</v>
      </c>
      <c r="E34" s="33" t="s">
        <v>50</v>
      </c>
      <c r="F34" s="49">
        <v>0</v>
      </c>
      <c r="G34" s="49">
        <v>47</v>
      </c>
      <c r="H34" s="49">
        <v>169</v>
      </c>
      <c r="I34" s="49"/>
      <c r="J34" s="33" t="s">
        <v>51</v>
      </c>
      <c r="K34" s="49">
        <v>1</v>
      </c>
      <c r="L34" s="33" t="s">
        <v>53</v>
      </c>
      <c r="M34" s="92" t="str">
        <f>VLOOKUP(C34,'Trips&amp;Operators'!$C$1:$E$9999,3,0)</f>
        <v>HELVIE</v>
      </c>
      <c r="N34" s="131" t="s">
        <v>86</v>
      </c>
      <c r="O34" s="10"/>
      <c r="P34" s="33"/>
      <c r="Q34" s="108" t="str">
        <f>VLOOKUP(C34,'Train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34" s="111" t="str">
        <f>VLOOKUP(C34,'Train Runs'!$A$13:$AE$9999,22,0)</f>
        <v>https://search-rtdc-monitor-bjffxe2xuh6vdkpspy63sjmuny.us-east-1.es.amazonaws.com/_plugin/kibana/#/discover/Steve-Slow-Train-Analysis-(2080s-and-2083s)?_g=(refreshInterval:(display:Off,section:0,value:0),time:(from:'2016-09-06 14:51:57-0600',mode:absolute,to:'2016-09-06 17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34" s="113" t="str">
        <f t="shared" si="0"/>
        <v>"C:\Program Files (x86)\AstroGrep\AstroGrep.exe" /spath="%USERPROFILE%\AppData\Local\Temp\OnboardLogs" /stypes="*4041*201609062*" /stext=" 22:.+((SYSTEM_STATE.+slice.+state.+changed )|(ment ac)|(system.+state.+changed )|(\|lc)|(penalty)|(\[timeout)|(PRM\|1\|D)|(kpr)|(kdp))" /e /r /s</v>
      </c>
      <c r="T34" s="9" t="str">
        <f t="shared" si="1"/>
        <v>4041</v>
      </c>
      <c r="U34" s="38">
        <f t="shared" si="2"/>
        <v>42619.942743055559</v>
      </c>
      <c r="V34" s="52" t="str">
        <f t="shared" si="3"/>
        <v>EC</v>
      </c>
      <c r="W34" s="52" t="str">
        <f t="shared" si="4"/>
        <v>KEEP</v>
      </c>
      <c r="X34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ID","value":"192-06"},{"id":16,"name":"Locomotive ID","value":"4041"},{"id":130,"name":"Impact","value":""},{"id":150,"name":"Time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4" s="55"/>
      <c r="Z34" s="55"/>
      <c r="AA34" s="55"/>
    </row>
    <row r="35" spans="1:27" x14ac:dyDescent="0.25">
      <c r="A35" s="38">
        <v>42619.75708333333</v>
      </c>
      <c r="B35" s="33" t="s">
        <v>244</v>
      </c>
      <c r="C35" s="33" t="s">
        <v>510</v>
      </c>
      <c r="D35" s="33" t="s">
        <v>49</v>
      </c>
      <c r="E35" s="33" t="s">
        <v>50</v>
      </c>
      <c r="F35" s="49">
        <v>0</v>
      </c>
      <c r="G35" s="49">
        <v>41</v>
      </c>
      <c r="H35" s="49">
        <v>147</v>
      </c>
      <c r="I35" s="49"/>
      <c r="J35" s="33" t="s">
        <v>51</v>
      </c>
      <c r="K35" s="49">
        <v>1</v>
      </c>
      <c r="L35" s="33" t="s">
        <v>53</v>
      </c>
      <c r="M35" s="92" t="str">
        <f>VLOOKUP(C35,'Trips&amp;Operators'!$C$1:$E$9999,3,0)</f>
        <v>SANTIZO</v>
      </c>
      <c r="N35" s="131" t="s">
        <v>86</v>
      </c>
      <c r="O35" s="10"/>
      <c r="P35" s="33"/>
      <c r="Q35" s="108" t="str">
        <f>VLOOKUP(C35,'Train Runs'!$A$13:$AE$9999,31,0)</f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R35" s="111" t="str">
        <f>VLOOKUP(C35,'Train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16:19:44-0600',mode:absolute,to:'2016-09-06 19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S35" s="113" t="str">
        <f t="shared" si="0"/>
        <v>"C:\Program Files (x86)\AstroGrep\AstroGrep.exe" /spath="%USERPROFILE%\AppData\Local\Temp\OnboardLogs" /stypes="*4001*201609070*" /stext=" 00:.+((SYSTEM_STATE.+slice.+state.+changed )|(ment ac)|(system.+state.+changed )|(\|lc)|(penalty)|(\[timeout)|(PRM\|1\|D)|(kpr)|(kdp))" /e /r /s</v>
      </c>
      <c r="T35" s="9" t="str">
        <f t="shared" si="1"/>
        <v>4001</v>
      </c>
      <c r="U35" s="38">
        <f t="shared" si="2"/>
        <v>42620.00708333333</v>
      </c>
      <c r="V35" s="52" t="str">
        <f t="shared" si="3"/>
        <v>EC</v>
      </c>
      <c r="W35" s="52" t="str">
        <f t="shared" si="4"/>
        <v>KEEP</v>
      </c>
      <c r="X35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{"issue":{"subject":"","project_id":79,"tracker_id":40,"status_id":1,"priority_id":2,"assigned_to_id":23,"start_date":"2016-09-06","description":"","custom_fields":[{"id":1,"name":"Subdivision","value":"EC"},{"id":4,"name":"Milepost","value":"0.0001"},{"id":17,"name":"Train ID","value":"204-06"},{"id":16,"name":"Locomotive ID","value":"4001"},{"id":130,"name":"Impact","value":""},{"id":150,"name":"Time of Event (Mountain Time)","value":"18:10:12"},{"id":151,"name":"Denver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5" s="55"/>
      <c r="Z35" s="55"/>
      <c r="AA35" s="55"/>
    </row>
    <row r="36" spans="1:27" x14ac:dyDescent="0.25">
      <c r="A36" s="38">
        <v>42620.007708333331</v>
      </c>
      <c r="B36" s="33" t="s">
        <v>371</v>
      </c>
      <c r="C36" s="33" t="s">
        <v>564</v>
      </c>
      <c r="D36" s="33" t="s">
        <v>49</v>
      </c>
      <c r="E36" s="33" t="s">
        <v>50</v>
      </c>
      <c r="F36" s="49">
        <v>0</v>
      </c>
      <c r="G36" s="49">
        <v>73</v>
      </c>
      <c r="H36" s="49">
        <v>236</v>
      </c>
      <c r="I36" s="49"/>
      <c r="J36" s="33" t="s">
        <v>51</v>
      </c>
      <c r="K36" s="49">
        <v>1</v>
      </c>
      <c r="L36" s="33" t="s">
        <v>53</v>
      </c>
      <c r="M36" s="92" t="str">
        <f>VLOOKUP(C36,'Trips&amp;Operators'!$C$1:$E$9999,3,0)</f>
        <v>CHANDLER</v>
      </c>
      <c r="N36" s="131" t="s">
        <v>86</v>
      </c>
      <c r="O36" s="10"/>
      <c r="P36" s="33"/>
      <c r="Q36" s="108" t="str">
        <f>VLOOKUP(C36,'Train Runs'!$A$13:$AE$9999,31,0)</f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R36" s="111" t="str">
        <f>VLOOKUP(C36,'Train Runs'!$A$13:$AE$9999,22,0)</f>
        <v>https://search-rtdc-monitor-bjffxe2xuh6vdkpspy63sjmuny.us-east-1.es.amazonaws.com/_plugin/kibana/#/discover/Steve-Slow-Train-Analysis-(2080s-and-2083s)?_g=(refreshInterval:(display:Off,section:0,value:0),time:(from:'2016-09-06 22:25:30-0600',mode:absolute,to:'2016-09-07 01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S36" s="113" t="str">
        <f t="shared" si="0"/>
        <v>"C:\Program Files (x86)\AstroGrep\AstroGrep.exe" /spath="%USERPROFILE%\AppData\Local\Temp\OnboardLogs" /stypes="*4041*201609070*" /stext=" 06:.+((SYSTEM_STATE.+slice.+state.+changed )|(ment ac)|(system.+state.+changed )|(\|lc)|(penalty)|(\[timeout)|(PRM\|1\|D)|(kpr)|(kdp))" /e /r /s</v>
      </c>
      <c r="T36" s="9" t="str">
        <f t="shared" si="1"/>
        <v>4041</v>
      </c>
      <c r="U36" s="38">
        <f t="shared" si="2"/>
        <v>42620.257708333331</v>
      </c>
      <c r="V36" s="52" t="str">
        <f t="shared" si="3"/>
        <v>EC</v>
      </c>
      <c r="W36" s="52" t="str">
        <f t="shared" si="4"/>
        <v>KEEP</v>
      </c>
      <c r="X36" s="149" t="str">
        <f t="shared" si="5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ID","value":"236-06"},{"id":16,"name":"Locomotive ID","value":"4041"},{"id":130,"name":"Impact","value":""},{"id":150,"name":"Time of Event (Mountain Time)","value":"00:11:06"},{"id":151,"name":"Denver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6" s="55"/>
      <c r="Z36" s="55"/>
      <c r="AA36" s="55"/>
    </row>
    <row r="37" spans="1:27" x14ac:dyDescent="0.25">
      <c r="A37" s="38">
        <v>42620.044212962966</v>
      </c>
      <c r="B37" s="33" t="s">
        <v>92</v>
      </c>
      <c r="C37" s="33" t="s">
        <v>568</v>
      </c>
      <c r="D37" s="33" t="s">
        <v>49</v>
      </c>
      <c r="E37" s="33" t="s">
        <v>50</v>
      </c>
      <c r="F37" s="49">
        <v>0</v>
      </c>
      <c r="G37" s="49">
        <v>59</v>
      </c>
      <c r="H37" s="49">
        <v>225</v>
      </c>
      <c r="I37" s="49"/>
      <c r="J37" s="33" t="s">
        <v>51</v>
      </c>
      <c r="K37" s="49">
        <v>1</v>
      </c>
      <c r="L37" s="33" t="s">
        <v>53</v>
      </c>
      <c r="M37" s="92" t="str">
        <f>VLOOKUP(C37,'Trips&amp;Operators'!$C$1:$E$9999,3,0)</f>
        <v>COOLAHAN</v>
      </c>
      <c r="N37" s="131" t="s">
        <v>86</v>
      </c>
      <c r="O37" s="10"/>
      <c r="P37" s="33"/>
      <c r="Q37" s="108" t="str">
        <f>VLOOKUP(C37,'Train Runs'!$A$13:$AE$9999,31,0)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R37" s="111" t="str">
        <f>VLOOKUP(C37,'Train Runs'!$A$13:$AE$9999,22,0)</f>
        <v>https://search-rtdc-monitor-bjffxe2xuh6vdkpspy63sjmuny.us-east-1.es.amazonaws.com/_plugin/kibana/#/discover/Steve-Slow-Train-Analysis-(2080s-and-2083s)?_g=(refreshInterval:(display:Off,section:0,value:0),time:(from:'2016-09-06 23:13:53-0600',mode:absolute,to:'2016-09-07 02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S37" s="113" t="str">
        <f t="shared" si="0"/>
        <v>"C:\Program Files (x86)\AstroGrep\AstroGrep.exe" /spath="%USERPROFILE%\AppData\Local\Temp\OnboardLogs" /stypes="*4030*201609070*" /stext=" 07:.+((SYSTEM_STATE.+slice.+state.+changed )|(ment ac)|(system.+state.+changed )|(\|lc)|(penalty)|(\[timeout)|(PRM\|1\|D)|(kpr)|(kdp))" /e /r /s</v>
      </c>
      <c r="T37" s="9" t="str">
        <f t="shared" si="1"/>
        <v>4030</v>
      </c>
      <c r="U37" s="38">
        <f t="shared" si="2"/>
        <v>42620.294212962966</v>
      </c>
      <c r="V37" s="52" t="str">
        <f t="shared" si="3"/>
        <v>EC</v>
      </c>
      <c r="W37" s="52" t="str">
        <f t="shared" si="4"/>
        <v>KEEP</v>
      </c>
      <c r="X37" s="149" t="str">
        <f t="shared" si="5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ID","value":"240-06"},{"id":16,"name":"Locomotive ID","value":"4030"},{"id":130,"name":"Impact","value":""},{"id":150,"name":"Time of Event (Mountain Time)","value":"01:03:40"},{"id":151,"name":"Denver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7" s="55"/>
      <c r="Z37" s="55"/>
      <c r="AA37" s="55"/>
    </row>
    <row r="38" spans="1:27" ht="15" customHeight="1" x14ac:dyDescent="0.25">
      <c r="A38" s="38">
        <v>42619.287199074075</v>
      </c>
      <c r="B38" s="33" t="s">
        <v>111</v>
      </c>
      <c r="C38" s="33" t="s">
        <v>385</v>
      </c>
      <c r="D38" s="33" t="s">
        <v>49</v>
      </c>
      <c r="E38" s="33" t="s">
        <v>50</v>
      </c>
      <c r="F38" s="49">
        <v>0</v>
      </c>
      <c r="G38" s="49">
        <v>83</v>
      </c>
      <c r="H38" s="49">
        <v>233181</v>
      </c>
      <c r="I38" s="49"/>
      <c r="J38" s="33" t="s">
        <v>51</v>
      </c>
      <c r="K38" s="49">
        <v>233491</v>
      </c>
      <c r="L38" s="33" t="s">
        <v>52</v>
      </c>
      <c r="M38" s="92" t="str">
        <f>VLOOKUP(C38,'Trips&amp;Operators'!$C$1:$E$9999,3,0)</f>
        <v>SPECTOR</v>
      </c>
      <c r="N38" s="131" t="s">
        <v>86</v>
      </c>
      <c r="O38" s="10"/>
      <c r="P38" s="33"/>
      <c r="Q38" s="108" t="str">
        <f>VLOOKUP(C38,'Train Runs'!$A$13:$AE$9999,31,0)</f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R38" s="111" t="str">
        <f>VLOOKUP(C38,'Train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05:13:55-0600',mode:absolute,to:'2016-09-06 07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S38" s="113" t="str">
        <f t="shared" si="0"/>
        <v>"C:\Program Files (x86)\AstroGrep\AstroGrep.exe" /spath="%USERPROFILE%\AppData\Local\Temp\OnboardLogs" /stypes="*4014*201609061*" /stext=" 12:.+((SYSTEM_STATE.+slice.+state.+changed )|(ment ac)|(system.+state.+changed )|(\|lc)|(penalty)|(\[timeout)|(PRM\|1\|D)|(kpr)|(kdp))" /e /r /s</v>
      </c>
      <c r="T38" s="9" t="str">
        <f t="shared" si="1"/>
        <v>4014</v>
      </c>
      <c r="U38" s="38">
        <f t="shared" si="2"/>
        <v>42619.537199074075</v>
      </c>
      <c r="V38" s="52" t="str">
        <f t="shared" si="3"/>
        <v>EC</v>
      </c>
      <c r="W38" s="52" t="str">
        <f t="shared" si="4"/>
        <v>KEEP</v>
      </c>
      <c r="X38" s="149" t="str">
        <f t="shared" si="5"/>
        <v>echo {"issue":{"subject":"","project_id":79,"tracker_id":40,"status_id":1,"priority_id":2,"assigned_to_id":23,"start_date":"2016-09-06","description":"","custom_fields":[{"id":1,"name":"Subdivision","value":"EC"},{"id":4,"name":"Milepost","value":"23.3491"},{"id":17,"name":"Train ID","value":"121-06"},{"id":16,"name":"Locomotive ID","value":"4014"},{"id":130,"name":"Impact","value":""},{"id":150,"name":"Time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8" s="55"/>
      <c r="Z38" s="55"/>
      <c r="AA38" s="55"/>
    </row>
    <row r="39" spans="1:27" x14ac:dyDescent="0.25">
      <c r="A39" s="38">
        <v>42619.452453703707</v>
      </c>
      <c r="B39" s="33" t="s">
        <v>145</v>
      </c>
      <c r="C39" s="33" t="s">
        <v>428</v>
      </c>
      <c r="D39" s="33" t="s">
        <v>49</v>
      </c>
      <c r="E39" s="33" t="s">
        <v>50</v>
      </c>
      <c r="F39" s="49">
        <v>0</v>
      </c>
      <c r="G39" s="49">
        <v>40</v>
      </c>
      <c r="H39" s="49">
        <v>233331</v>
      </c>
      <c r="I39" s="49"/>
      <c r="J39" s="33" t="s">
        <v>51</v>
      </c>
      <c r="K39" s="49">
        <v>233491</v>
      </c>
      <c r="L39" s="33" t="s">
        <v>52</v>
      </c>
      <c r="M39" s="92" t="str">
        <f>VLOOKUP(C39,'Trips&amp;Operators'!$C$1:$E$9999,3,0)</f>
        <v>GEBRETEKLE</v>
      </c>
      <c r="N39" s="131" t="s">
        <v>86</v>
      </c>
      <c r="O39" s="10"/>
      <c r="P39" s="33"/>
      <c r="Q39" s="108" t="str">
        <f>VLOOKUP(C39,'Train Runs'!$A$13:$AE$9999,31,0)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R39" s="111" t="str">
        <f>VLOOKUP(C39,'Train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09:09:46-0600',mode:absolute,to:'2016-09-06 11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S39" s="113" t="str">
        <f t="shared" ref="S39:S65" si="6">astrogrep_path&amp;" /spath="&amp;search_path&amp;" /stypes=""*"&amp;T39&amp;"*"&amp;TEXT(A39-utc_offset/24,"YYYYMMDD")&amp;LEFT(TEXT(A39-utc_offset/24,"HH"),1)&amp;"*""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/stypes="*4038*201609061*" /stext=" 16:.+((SYSTEM_STATE.+slice.+state.+changed )|(ment ac)|(system.+state.+changed )|(\|lc)|(penalty)|(\[timeout)|(PRM\|1\|D)|(kpr)|(kdp))" /e /r /s</v>
      </c>
      <c r="T39" s="9" t="str">
        <f t="shared" ref="T39:T65" si="7">MID(B39,13,4)</f>
        <v>4038</v>
      </c>
      <c r="U39" s="38">
        <f t="shared" ref="U39:U65" si="8">A39+6/24</f>
        <v>42619.702453703707</v>
      </c>
      <c r="V39" s="52" t="str">
        <f t="shared" ref="V39:V65" si="9">IF(VALUE(LEFT(IF(LEN(C39)=6,"0"&amp;C39,C39),2))&lt;=2,"EC",IF(OR(VALUE(LEFT(IF(LEN(C39)=6,"0"&amp;C39,C39),2))=8,VALUE(LEFT(IF(LEN(C39)=6,"0"&amp;C39,C39),2))=18),"NW","Other"))</f>
        <v>EC</v>
      </c>
      <c r="W39" s="52" t="str">
        <f t="shared" ref="W39:W65" si="10">IF(AND(E39="TRACK WARRANT AUTHORITY",G39&lt;10),"OMIT","KEEP")</f>
        <v>KEEP</v>
      </c>
      <c r="X39" s="149" t="str">
        <f t="shared" ref="X39:X65" si="11">"echo {""issue"":{""subject"":"""&amp;O39&amp;""",""project_id"":79,""tracker_id"":40,""status_id"":"&amp;redmine_status&amp;",""priority_id"":"&amp;redmine_priority&amp;",""assigned_to_id"":"&amp;redmine_assignee&amp;",""start_date"":"""&amp;TEXT(A39,"YYYY-mm-dd")&amp;""",""description"":"""&amp;Y39&amp;""",""custom_fields"":[{""id"":1,""name"":""Subdivision"",""value"":"""&amp;V39&amp;"""},{""id"":4,""name"":""Milepost"",""value"":"""&amp;K39/10000&amp;"""},{""id"":17,""name"":""Train ID"",""value"":"""&amp;C39&amp;"""},{""id"":16,""name"":""Locomotive ID"",""value"":"""&amp;T39&amp;"""},{""id"":130,""name"":""Impact"",""value"":"""&amp;Z39&amp;"""},{""id"":150,""name"":""Time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Assigned"",""value"":"""&amp;AA39&amp;"""}]}}"&amp;"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{"issue":{"subject":"","project_id":79,"tracker_id":40,"status_id":1,"priority_id":2,"assigned_to_id":23,"start_date":"2016-09-06","description":"","custom_fields":[{"id":1,"name":"Subdivision","value":"EC"},{"id":4,"name":"Milepost","value":"23.3491"},{"id":17,"name":"Train ID","value":"153-06"},{"id":16,"name":"Locomotive ID","value":"4038"},{"id":130,"name":"Impact","value":""},{"id":150,"name":"Time of Event (Mountain Time)","value":"10:51:32"},{"id":151,"name":"Denver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39" s="55"/>
      <c r="Z39" s="55"/>
      <c r="AA39" s="55"/>
    </row>
    <row r="40" spans="1:27" x14ac:dyDescent="0.25">
      <c r="A40" s="38">
        <v>42619.572939814818</v>
      </c>
      <c r="B40" s="33" t="s">
        <v>168</v>
      </c>
      <c r="C40" s="33" t="s">
        <v>458</v>
      </c>
      <c r="D40" s="33" t="s">
        <v>49</v>
      </c>
      <c r="E40" s="33" t="s">
        <v>50</v>
      </c>
      <c r="F40" s="49">
        <v>0</v>
      </c>
      <c r="G40" s="49">
        <v>75</v>
      </c>
      <c r="H40" s="49">
        <v>233187</v>
      </c>
      <c r="I40" s="49"/>
      <c r="J40" s="33" t="s">
        <v>51</v>
      </c>
      <c r="K40" s="49">
        <v>233491</v>
      </c>
      <c r="L40" s="33" t="s">
        <v>52</v>
      </c>
      <c r="M40" s="92" t="str">
        <f>VLOOKUP(C40,'Trips&amp;Operators'!$C$1:$E$9999,3,0)</f>
        <v>SANTIZO</v>
      </c>
      <c r="N40" s="131" t="s">
        <v>86</v>
      </c>
      <c r="O40" s="10"/>
      <c r="P40" s="33"/>
      <c r="Q40" s="108" t="str">
        <f>VLOOKUP(C40,'Train Runs'!$A$13:$AE$9999,31,0)</f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R40" s="111" t="str">
        <f>VLOOKUP(C40,'Train Runs'!$A$13:$AE$9999,22,0)</f>
        <v>https://search-rtdc-monitor-bjffxe2xuh6vdkpspy63sjmuny.us-east-1.es.amazonaws.com/_plugin/kibana/#/discover/Steve-Slow-Train-Analysis-(2080s-and-2083s)?_g=(refreshInterval:(display:Off,section:0,value:0),time:(from:'2016-09-06 12:00:17-0600',mode:absolute,to:'2016-09-06 14:45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S40" s="113" t="str">
        <f t="shared" si="6"/>
        <v>"C:\Program Files (x86)\AstroGrep\AstroGrep.exe" /spath="%USERPROFILE%\AppData\Local\Temp\OnboardLogs" /stypes="*4002*201609061*" /stext=" 19:.+((SYSTEM_STATE.+slice.+state.+changed )|(ment ac)|(system.+state.+changed )|(\|lc)|(penalty)|(\[timeout)|(PRM\|1\|D)|(kpr)|(kdp))" /e /r /s</v>
      </c>
      <c r="T40" s="9" t="str">
        <f t="shared" si="7"/>
        <v>4002</v>
      </c>
      <c r="U40" s="38">
        <f t="shared" si="8"/>
        <v>42619.822939814818</v>
      </c>
      <c r="V40" s="52" t="str">
        <f t="shared" si="9"/>
        <v>EC</v>
      </c>
      <c r="W40" s="52" t="str">
        <f t="shared" si="10"/>
        <v>KEEP</v>
      </c>
      <c r="X40" s="149" t="str">
        <f t="shared" si="11"/>
        <v>echo {"issue":{"subject":"","project_id":79,"tracker_id":40,"status_id":1,"priority_id":2,"assigned_to_id":23,"start_date":"2016-09-06","description":"","custom_fields":[{"id":1,"name":"Subdivision","value":"EC"},{"id":4,"name":"Milepost","value":"23.3491"},{"id":17,"name":"Train ID","value":"175-06"},{"id":16,"name":"Locomotive ID","value":"4002"},{"id":130,"name":"Impact","value":""},{"id":150,"name":"Time of Event (Mountain Time)","value":"13:45:02"},{"id":151,"name":"Denver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0" s="55"/>
      <c r="Z40" s="55"/>
      <c r="AA40" s="55"/>
    </row>
    <row r="41" spans="1:27" x14ac:dyDescent="0.25">
      <c r="A41" s="38">
        <v>42619.600613425922</v>
      </c>
      <c r="B41" s="33" t="s">
        <v>145</v>
      </c>
      <c r="C41" s="33" t="s">
        <v>466</v>
      </c>
      <c r="D41" s="33" t="s">
        <v>49</v>
      </c>
      <c r="E41" s="33" t="s">
        <v>50</v>
      </c>
      <c r="F41" s="49">
        <v>0</v>
      </c>
      <c r="G41" s="49">
        <v>57</v>
      </c>
      <c r="H41" s="49">
        <v>233268</v>
      </c>
      <c r="I41" s="49"/>
      <c r="J41" s="33" t="s">
        <v>51</v>
      </c>
      <c r="K41" s="49">
        <v>233491</v>
      </c>
      <c r="L41" s="33" t="s">
        <v>52</v>
      </c>
      <c r="M41" s="92" t="str">
        <f>VLOOKUP(C41,'Trips&amp;Operators'!$C$1:$E$9999,3,0)</f>
        <v>YOUNG</v>
      </c>
      <c r="N41" s="131" t="s">
        <v>86</v>
      </c>
      <c r="O41" s="10"/>
      <c r="P41" s="33"/>
      <c r="Q41" s="108" t="str">
        <f>VLOOKUP(C41,'Train Runs'!$A$13:$AE$9999,31,0)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R41" s="111" t="str">
        <f>VLOOKUP(C41,'Train Runs'!$A$13:$AE$9999,22,0)</f>
        <v>https://search-rtdc-monitor-bjffxe2xuh6vdkpspy63sjmuny.us-east-1.es.amazonaws.com/_plugin/kibana/#/discover/Steve-Slow-Train-Analysis-(2080s-and-2083s)?_g=(refreshInterval:(display:Off,section:0,value:0),time:(from:'2016-09-06 12:42:58-0600',mode:absolute,to:'2016-09-06 15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S41" s="113" t="str">
        <f t="shared" si="6"/>
        <v>"C:\Program Files (x86)\AstroGrep\AstroGrep.exe" /spath="%USERPROFILE%\AppData\Local\Temp\OnboardLogs" /stypes="*4038*201609062*" /stext=" 20:.+((SYSTEM_STATE.+slice.+state.+changed )|(ment ac)|(system.+state.+changed )|(\|lc)|(penalty)|(\[timeout)|(PRM\|1\|D)|(kpr)|(kdp))" /e /r /s</v>
      </c>
      <c r="T41" s="9" t="str">
        <f t="shared" si="7"/>
        <v>4038</v>
      </c>
      <c r="U41" s="38">
        <f t="shared" si="8"/>
        <v>42619.850613425922</v>
      </c>
      <c r="V41" s="52" t="str">
        <f t="shared" si="9"/>
        <v>EC</v>
      </c>
      <c r="W41" s="52" t="str">
        <f t="shared" si="10"/>
        <v>KEEP</v>
      </c>
      <c r="X41" s="149" t="str">
        <f t="shared" si="11"/>
        <v>echo {"issue":{"subject":"","project_id":79,"tracker_id":40,"status_id":1,"priority_id":2,"assigned_to_id":23,"start_date":"2016-09-06","description":"","custom_fields":[{"id":1,"name":"Subdivision","value":"EC"},{"id":4,"name":"Milepost","value":"23.3491"},{"id":17,"name":"Train ID","value":"181-06"},{"id":16,"name":"Locomotive ID","value":"4038"},{"id":130,"name":"Impact","value":""},{"id":150,"name":"Time of Event (Mountain Time)","value":"14:24:53"},{"id":151,"name":"Denver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1" s="55"/>
      <c r="Z41" s="55"/>
      <c r="AA41" s="55"/>
    </row>
    <row r="42" spans="1:27" x14ac:dyDescent="0.25">
      <c r="A42" s="38">
        <v>42619.534884259258</v>
      </c>
      <c r="B42" s="33" t="s">
        <v>262</v>
      </c>
      <c r="C42" s="33" t="s">
        <v>455</v>
      </c>
      <c r="D42" s="33" t="s">
        <v>49</v>
      </c>
      <c r="E42" s="33" t="s">
        <v>223</v>
      </c>
      <c r="F42" s="49">
        <v>290</v>
      </c>
      <c r="G42" s="49">
        <v>486</v>
      </c>
      <c r="H42" s="49">
        <v>17153</v>
      </c>
      <c r="I42" s="49"/>
      <c r="J42" s="33" t="s">
        <v>222</v>
      </c>
      <c r="K42" s="49">
        <v>15777</v>
      </c>
      <c r="L42" s="33" t="s">
        <v>53</v>
      </c>
      <c r="M42" s="92" t="str">
        <f>VLOOKUP(C42,'Trips&amp;Operators'!$C$1:$E$9999,3,0)</f>
        <v>LEVIN</v>
      </c>
      <c r="N42" s="131" t="s">
        <v>86</v>
      </c>
      <c r="O42" s="10" t="s">
        <v>358</v>
      </c>
      <c r="P42" s="33"/>
      <c r="Q42" s="108" t="str">
        <f>VLOOKUP(C42,'Train Runs'!$A$13:$AE$9999,31,0)</f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R42" s="111" t="str">
        <f>VLOOKUP(C42,'Train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11:36:40-0600',mode:absolute,to:'2016-09-06 13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S42" s="113" t="str">
        <f t="shared" si="6"/>
        <v>"C:\Program Files (x86)\AstroGrep\AstroGrep.exe" /spath="%USERPROFILE%\AppData\Local\Temp\OnboardLogs" /stypes="*4017*201609061*" /stext=" 18:.+((SYSTEM_STATE.+slice.+state.+changed )|(ment ac)|(system.+state.+changed )|(\|lc)|(penalty)|(\[timeout)|(PRM\|1\|D)|(kpr)|(kdp))" /e /r /s</v>
      </c>
      <c r="T42" s="9" t="str">
        <f t="shared" si="7"/>
        <v>4017</v>
      </c>
      <c r="U42" s="38">
        <f t="shared" si="8"/>
        <v>42619.784884259258</v>
      </c>
      <c r="V42" s="52" t="str">
        <f t="shared" si="9"/>
        <v>NW</v>
      </c>
      <c r="W42" s="52" t="str">
        <f t="shared" si="10"/>
        <v>KEEP</v>
      </c>
      <c r="X42" s="149" t="str">
        <f t="shared" si="11"/>
        <v>echo {"issue":{"subject":"Early arrival","project_id":79,"tracker_id":40,"status_id":1,"priority_id":2,"assigned_to_id":23,"start_date":"2016-09-06","description":"","custom_fields":[{"id":1,"name":"Subdivision","value":"NW"},{"id":4,"name":"Milepost","value":"1.5777"},{"id":17,"name":"Train ID","value":"820-06"},{"id":16,"name":"Locomotive ID","value":"4017"},{"id":130,"name":"Impact","value":""},{"id":150,"name":"Time of Event (Mountain Time)","value":"12:50:14"},{"id":151,"name":"Denver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2" s="55"/>
      <c r="Z42" s="55"/>
      <c r="AA42" s="55"/>
    </row>
    <row r="43" spans="1:27" x14ac:dyDescent="0.25">
      <c r="A43" s="38">
        <v>42619.533391203702</v>
      </c>
      <c r="B43" s="33" t="s">
        <v>262</v>
      </c>
      <c r="C43" s="33" t="s">
        <v>455</v>
      </c>
      <c r="D43" s="33" t="s">
        <v>49</v>
      </c>
      <c r="E43" s="33" t="s">
        <v>56</v>
      </c>
      <c r="F43" s="49">
        <v>300</v>
      </c>
      <c r="G43" s="49">
        <v>525</v>
      </c>
      <c r="H43" s="49">
        <v>26010</v>
      </c>
      <c r="I43" s="49"/>
      <c r="J43" s="33" t="s">
        <v>57</v>
      </c>
      <c r="K43" s="49">
        <v>23561</v>
      </c>
      <c r="L43" s="33" t="s">
        <v>53</v>
      </c>
      <c r="M43" s="92" t="str">
        <f>VLOOKUP(C43,'Trips&amp;Operators'!$C$1:$E$9999,3,0)</f>
        <v>LEVIN</v>
      </c>
      <c r="N43" s="131" t="s">
        <v>86</v>
      </c>
      <c r="O43" s="10"/>
      <c r="P43" s="33"/>
      <c r="Q43" s="108" t="str">
        <f>VLOOKUP(C43,'Train Runs'!$A$13:$AE$9999,31,0)</f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R43" s="111" t="str">
        <f>VLOOKUP(C43,'Train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11:36:40-0600',mode:absolute,to:'2016-09-06 13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S43" s="113" t="str">
        <f t="shared" si="6"/>
        <v>"C:\Program Files (x86)\AstroGrep\AstroGrep.exe" /spath="%USERPROFILE%\AppData\Local\Temp\OnboardLogs" /stypes="*4017*201609061*" /stext=" 18:.+((SYSTEM_STATE.+slice.+state.+changed )|(ment ac)|(system.+state.+changed )|(\|lc)|(penalty)|(\[timeout)|(PRM\|1\|D)|(kpr)|(kdp))" /e /r /s</v>
      </c>
      <c r="T43" s="9" t="str">
        <f t="shared" si="7"/>
        <v>4017</v>
      </c>
      <c r="U43" s="38">
        <f t="shared" si="8"/>
        <v>42619.783391203702</v>
      </c>
      <c r="V43" s="52" t="str">
        <f t="shared" si="9"/>
        <v>NW</v>
      </c>
      <c r="W43" s="52" t="str">
        <f t="shared" si="10"/>
        <v>KEEP</v>
      </c>
      <c r="X43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{"issue":{"subject":"","project_id":79,"tracker_id":40,"status_id":1,"priority_id":2,"assigned_to_id":23,"start_date":"2016-09-06","description":"","custom_fields":[{"id":1,"name":"Subdivision","value":"NW"},{"id":4,"name":"Milepost","value":"2.3561"},{"id":17,"name":"Train ID","value":"820-06"},{"id":16,"name":"Locomotive ID","value":"4017"},{"id":130,"name":"Impact","value":""},{"id":150,"name":"Time of Event (Mountain Time)","value":"12:48:05"},{"id":151,"name":"Denver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3" s="55"/>
      <c r="Z43" s="55"/>
      <c r="AA43" s="55"/>
    </row>
    <row r="44" spans="1:27" x14ac:dyDescent="0.25">
      <c r="A44" s="38">
        <v>42619.325486111113</v>
      </c>
      <c r="B44" s="33" t="s">
        <v>262</v>
      </c>
      <c r="C44" s="33" t="s">
        <v>400</v>
      </c>
      <c r="D44" s="33" t="s">
        <v>110</v>
      </c>
      <c r="E44" s="33" t="s">
        <v>56</v>
      </c>
      <c r="F44" s="49">
        <v>400</v>
      </c>
      <c r="G44" s="49">
        <v>452</v>
      </c>
      <c r="H44" s="49">
        <v>38926</v>
      </c>
      <c r="I44" s="49"/>
      <c r="J44" s="33" t="s">
        <v>57</v>
      </c>
      <c r="K44" s="49">
        <v>40977</v>
      </c>
      <c r="L44" s="33" t="s">
        <v>53</v>
      </c>
      <c r="M44" s="92" t="str">
        <f>VLOOKUP(C44,'Trips&amp;Operators'!$C$1:$E$9999,3,0)</f>
        <v>LEVIN</v>
      </c>
      <c r="N44" s="131" t="s">
        <v>86</v>
      </c>
      <c r="O44" s="10"/>
      <c r="P44" s="33"/>
      <c r="Q44" s="108" t="str">
        <f>VLOOKUP(C44,'Train Runs'!$A$13:$AE$9999,31,0)</f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R44" s="111" t="str">
        <f>VLOOKUP(C44,'Train Runs'!$A$13:$AE$9999,22,0)</f>
        <v>https://search-rtdc-monitor-bjffxe2xuh6vdkpspy63sjmuny.us-east-1.es.amazonaws.com/_plugin/kibana/#/discover/Steve-Slow-Train-Analysis-(2080s-and-2083s)?_g=(refreshInterval:(display:Off,section:0,value:0),time:(from:'2016-09-06 06:36:29-0600',mode:absolute,to:'2016-09-06 08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S44" s="113" t="str">
        <f t="shared" si="6"/>
        <v>"C:\Program Files (x86)\AstroGrep\AstroGrep.exe" /spath="%USERPROFILE%\AppData\Local\Temp\OnboardLogs" /stypes="*4017*201609061*" /stext=" 13:.+((SYSTEM_STATE.+slice.+state.+changed )|(ment ac)|(system.+state.+changed )|(\|lc)|(penalty)|(\[timeout)|(PRM\|1\|D)|(kpr)|(kdp))" /e /r /s</v>
      </c>
      <c r="T44" s="9" t="str">
        <f t="shared" si="7"/>
        <v>4017</v>
      </c>
      <c r="U44" s="38">
        <f t="shared" si="8"/>
        <v>42619.575486111113</v>
      </c>
      <c r="V44" s="52" t="str">
        <f t="shared" si="9"/>
        <v>NW</v>
      </c>
      <c r="W44" s="52" t="str">
        <f t="shared" si="10"/>
        <v>KEEP</v>
      </c>
      <c r="X44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{"issue":{"subject":"","project_id":79,"tracker_id":40,"status_id":1,"priority_id":2,"assigned_to_id":23,"start_date":"2016-09-06","description":"","custom_fields":[{"id":1,"name":"Subdivision","value":"NW"},{"id":4,"name":"Milepost","value":"4.0977"},{"id":17,"name":"Train ID","value":"808-06"},{"id":16,"name":"Locomotive ID","value":"4017"},{"id":130,"name":"Impact","value":""},{"id":150,"name":"Time of Event (Mountain Time)","value":"07:48:42"},{"id":151,"name":"Denver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4" s="55"/>
      <c r="Z44" s="55"/>
      <c r="AA44" s="55"/>
    </row>
    <row r="45" spans="1:27" x14ac:dyDescent="0.25">
      <c r="A45" s="38">
        <v>42619.260937500003</v>
      </c>
      <c r="B45" s="33" t="s">
        <v>373</v>
      </c>
      <c r="C45" s="33" t="s">
        <v>383</v>
      </c>
      <c r="D45" s="33" t="s">
        <v>49</v>
      </c>
      <c r="E45" s="33" t="s">
        <v>56</v>
      </c>
      <c r="F45" s="49">
        <v>300</v>
      </c>
      <c r="G45" s="49">
        <v>403</v>
      </c>
      <c r="H45" s="49">
        <v>43278</v>
      </c>
      <c r="I45" s="49"/>
      <c r="J45" s="33" t="s">
        <v>57</v>
      </c>
      <c r="K45" s="49">
        <v>41797</v>
      </c>
      <c r="L45" s="33" t="s">
        <v>53</v>
      </c>
      <c r="M45" s="92" t="str">
        <f>VLOOKUP(C45,'Trips&amp;Operators'!$C$1:$E$9999,3,0)</f>
        <v>STARKS</v>
      </c>
      <c r="N45" s="131" t="s">
        <v>86</v>
      </c>
      <c r="O45" s="10"/>
      <c r="P45" s="33"/>
      <c r="Q45" s="108" t="str">
        <f>VLOOKUP(C45,'Train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45" s="111" t="str">
        <f>VLOOKUP(C45,'Train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05:07:09-0600',mode:absolute,to:'2016-09-06 07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45" s="113" t="str">
        <f t="shared" si="6"/>
        <v>"C:\Program Files (x86)\AstroGrep\AstroGrep.exe" /spath="%USERPROFILE%\AppData\Local\Temp\OnboardLogs" /stypes="*4010*201609061*" /stext=" 12:.+((SYSTEM_STATE.+slice.+state.+changed )|(ment ac)|(system.+state.+changed )|(\|lc)|(penalty)|(\[timeout)|(PRM\|1\|D)|(kpr)|(kdp))" /e /r /s</v>
      </c>
      <c r="T45" s="9" t="str">
        <f t="shared" si="7"/>
        <v>4010</v>
      </c>
      <c r="U45" s="38">
        <f t="shared" si="8"/>
        <v>42619.510937500003</v>
      </c>
      <c r="V45" s="52" t="str">
        <f t="shared" si="9"/>
        <v>NW</v>
      </c>
      <c r="W45" s="52" t="str">
        <f t="shared" si="10"/>
        <v>KEEP</v>
      </c>
      <c r="X45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{"issue":{"subject":"","project_id":79,"tracker_id":40,"status_id":1,"priority_id":2,"assigned_to_id":23,"start_date":"2016-09-06","description":"","custom_fields":[{"id":1,"name":"Subdivision","value":"NW"},{"id":4,"name":"Milepost","value":"4.1797"},{"id":17,"name":"Train ID","value":"802-06"},{"id":16,"name":"Locomotive ID","value":"4010"},{"id":130,"name":"Impact","value":""},{"id":150,"name":"Time of Event (Mountain Time)","value":"06:15:45"},{"id":151,"name":"Denver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5" s="55"/>
      <c r="Z45" s="55"/>
      <c r="AA45" s="55"/>
    </row>
    <row r="46" spans="1:27" x14ac:dyDescent="0.25">
      <c r="A46" s="38">
        <v>42619.522222222222</v>
      </c>
      <c r="B46" s="33" t="s">
        <v>264</v>
      </c>
      <c r="C46" s="33" t="s">
        <v>450</v>
      </c>
      <c r="D46" s="33" t="s">
        <v>49</v>
      </c>
      <c r="E46" s="33" t="s">
        <v>56</v>
      </c>
      <c r="F46" s="49">
        <v>150</v>
      </c>
      <c r="G46" s="49">
        <v>402</v>
      </c>
      <c r="H46" s="49">
        <v>55288</v>
      </c>
      <c r="I46" s="49"/>
      <c r="J46" s="33" t="s">
        <v>57</v>
      </c>
      <c r="K46" s="49">
        <v>57008</v>
      </c>
      <c r="L46" s="33" t="s">
        <v>52</v>
      </c>
      <c r="M46" s="92" t="str">
        <f>VLOOKUP(C46,'Trips&amp;Operators'!$C$1:$E$9999,3,0)</f>
        <v>LEVIN</v>
      </c>
      <c r="N46" s="131" t="s">
        <v>86</v>
      </c>
      <c r="O46" s="10"/>
      <c r="P46" s="33"/>
      <c r="Q46" s="108" t="str">
        <f>VLOOKUP(C46,'Train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46" s="111" t="str">
        <f>VLOOKUP(C46,'Train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11:08:57-0600',mode:absolute,to:'2016-09-06 13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46" s="113" t="str">
        <f t="shared" si="6"/>
        <v>"C:\Program Files (x86)\AstroGrep\AstroGrep.exe" /spath="%USERPROFILE%\AppData\Local\Temp\OnboardLogs" /stypes="*4018*201609061*" /stext=" 18:.+((SYSTEM_STATE.+slice.+state.+changed )|(ment ac)|(system.+state.+changed )|(\|lc)|(penalty)|(\[timeout)|(PRM\|1\|D)|(kpr)|(kdp))" /e /r /s</v>
      </c>
      <c r="T46" s="9" t="str">
        <f t="shared" si="7"/>
        <v>4018</v>
      </c>
      <c r="U46" s="38">
        <f t="shared" si="8"/>
        <v>42619.772222222222</v>
      </c>
      <c r="V46" s="52" t="str">
        <f t="shared" si="9"/>
        <v>NW</v>
      </c>
      <c r="W46" s="52" t="str">
        <f t="shared" si="10"/>
        <v>KEEP</v>
      </c>
      <c r="X46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{"issue":{"subject":"","project_id":79,"tracker_id":40,"status_id":1,"priority_id":2,"assigned_to_id":23,"start_date":"2016-09-06","description":"","custom_fields":[{"id":1,"name":"Subdivision","value":"NW"},{"id":4,"name":"Milepost","value":"5.7008"},{"id":17,"name":"Train ID","value":"819-06"},{"id":16,"name":"Locomotive ID","value":"4018"},{"id":130,"name":"Impact","value":""},{"id":150,"name":"Time of Event (Mountain Time)","value":"12:32:00"},{"id":151,"name":"Denver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6" s="55"/>
      <c r="Z46" s="55"/>
      <c r="AA46" s="55"/>
    </row>
    <row r="47" spans="1:27" x14ac:dyDescent="0.25">
      <c r="A47" s="38">
        <v>42619.752199074072</v>
      </c>
      <c r="B47" s="33" t="s">
        <v>165</v>
      </c>
      <c r="C47" s="33" t="s">
        <v>518</v>
      </c>
      <c r="D47" s="33" t="s">
        <v>49</v>
      </c>
      <c r="E47" s="33" t="s">
        <v>56</v>
      </c>
      <c r="F47" s="49">
        <v>150</v>
      </c>
      <c r="G47" s="49">
        <v>376</v>
      </c>
      <c r="H47" s="49">
        <v>55885</v>
      </c>
      <c r="I47" s="49"/>
      <c r="J47" s="33" t="s">
        <v>57</v>
      </c>
      <c r="K47" s="49">
        <v>57008</v>
      </c>
      <c r="L47" s="33" t="s">
        <v>52</v>
      </c>
      <c r="M47" s="92" t="str">
        <f>VLOOKUP(C47,'Trips&amp;Operators'!$C$1:$E$9999,3,0)</f>
        <v>BROWN</v>
      </c>
      <c r="N47" s="131" t="s">
        <v>86</v>
      </c>
      <c r="O47" s="10"/>
      <c r="P47" s="33"/>
      <c r="Q47" s="108" t="str">
        <f>VLOOKUP(C47,'Train Runs'!$A$13:$AE$9999,31,0)</f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R47" s="111" t="str">
        <f>VLOOKUP(C47,'Train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16:46:46-0600',mode:absolute,to:'2016-09-06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S47" s="113" t="str">
        <f t="shared" si="6"/>
        <v>"C:\Program Files (x86)\AstroGrep\AstroGrep.exe" /spath="%USERPROFILE%\AppData\Local\Temp\OnboardLogs" /stypes="*4009*201609070*" /stext=" 00:.+((SYSTEM_STATE.+slice.+state.+changed )|(ment ac)|(system.+state.+changed )|(\|lc)|(penalty)|(\[timeout)|(PRM\|1\|D)|(kpr)|(kdp))" /e /r /s</v>
      </c>
      <c r="T47" s="9" t="str">
        <f t="shared" si="7"/>
        <v>4009</v>
      </c>
      <c r="U47" s="38">
        <f t="shared" si="8"/>
        <v>42620.002199074072</v>
      </c>
      <c r="V47" s="52" t="str">
        <f t="shared" si="9"/>
        <v>NW</v>
      </c>
      <c r="W47" s="52" t="str">
        <f t="shared" si="10"/>
        <v>KEEP</v>
      </c>
      <c r="X47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{"issue":{"subject":"","project_id":79,"tracker_id":40,"status_id":1,"priority_id":2,"assigned_to_id":23,"start_date":"2016-09-06","description":"","custom_fields":[{"id":1,"name":"Subdivision","value":"NW"},{"id":4,"name":"Milepost","value":"5.7008"},{"id":17,"name":"Train ID","value":"835-06"},{"id":16,"name":"Locomotive ID","value":"4009"},{"id":130,"name":"Impact","value":""},{"id":150,"name":"Time of Event (Mountain Time)","value":"18:03:10"},{"id":151,"name":"Denver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7" s="55"/>
      <c r="Z47" s="55"/>
      <c r="AA47" s="55"/>
    </row>
    <row r="48" spans="1:27" x14ac:dyDescent="0.25">
      <c r="A48" s="38">
        <v>42619.71770833333</v>
      </c>
      <c r="B48" s="33" t="s">
        <v>373</v>
      </c>
      <c r="C48" s="33" t="s">
        <v>507</v>
      </c>
      <c r="D48" s="33" t="s">
        <v>110</v>
      </c>
      <c r="E48" s="33" t="s">
        <v>56</v>
      </c>
      <c r="F48" s="49">
        <v>150</v>
      </c>
      <c r="G48" s="49">
        <v>216</v>
      </c>
      <c r="H48" s="49">
        <v>56952</v>
      </c>
      <c r="I48" s="49"/>
      <c r="J48" s="33" t="s">
        <v>57</v>
      </c>
      <c r="K48" s="49">
        <v>59050</v>
      </c>
      <c r="L48" s="33" t="s">
        <v>53</v>
      </c>
      <c r="M48" s="92" t="str">
        <f>VLOOKUP(C48,'Trips&amp;Operators'!$C$1:$E$9999,3,0)</f>
        <v>BROWN</v>
      </c>
      <c r="N48" s="131" t="s">
        <v>86</v>
      </c>
      <c r="O48" s="10"/>
      <c r="P48" s="33"/>
      <c r="Q48" s="108" t="str">
        <f>VLOOKUP(C48,'Train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48" s="111" t="str">
        <f>VLOOKUP(C48,'Train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16:08:42-0600',mode:absolute,to:'2016-09-06 18:29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48" s="113" t="str">
        <f t="shared" si="6"/>
        <v>"C:\Program Files (x86)\AstroGrep\AstroGrep.exe" /spath="%USERPROFILE%\AppData\Local\Temp\OnboardLogs" /stypes="*4010*201609062*" /stext=" 23:.+((SYSTEM_STATE.+slice.+state.+changed )|(ment ac)|(system.+state.+changed )|(\|lc)|(penalty)|(\[timeout)|(PRM\|1\|D)|(kpr)|(kdp))" /e /r /s</v>
      </c>
      <c r="T48" s="9" t="str">
        <f t="shared" si="7"/>
        <v>4010</v>
      </c>
      <c r="U48" s="38">
        <f t="shared" si="8"/>
        <v>42619.96770833333</v>
      </c>
      <c r="V48" s="52" t="str">
        <f t="shared" si="9"/>
        <v>NW</v>
      </c>
      <c r="W48" s="52" t="str">
        <f t="shared" si="10"/>
        <v>KEEP</v>
      </c>
      <c r="X48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{"issue":{"subject":"","project_id":79,"tracker_id":40,"status_id":1,"priority_id":2,"assigned_to_id":23,"start_date":"2016-09-06","description":"","custom_fields":[{"id":1,"name":"Subdivision","value":"NW"},{"id":4,"name":"Milepost","value":"5.905"},{"id":17,"name":"Train ID","value":"832-06"},{"id":16,"name":"Locomotive ID","value":"4010"},{"id":130,"name":"Impact","value":""},{"id":150,"name":"Time of Event (Mountain Time)","value":"17:13:30"},{"id":151,"name":"Denver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8" s="55"/>
      <c r="Z48" s="55"/>
      <c r="AA48" s="55"/>
    </row>
    <row r="49" spans="1:27" x14ac:dyDescent="0.25">
      <c r="A49" s="38">
        <v>42619.342731481483</v>
      </c>
      <c r="B49" s="33" t="s">
        <v>373</v>
      </c>
      <c r="C49" s="33" t="s">
        <v>405</v>
      </c>
      <c r="D49" s="33" t="s">
        <v>110</v>
      </c>
      <c r="E49" s="33" t="s">
        <v>56</v>
      </c>
      <c r="F49" s="49">
        <v>150</v>
      </c>
      <c r="G49" s="49">
        <v>203</v>
      </c>
      <c r="H49" s="49">
        <v>56739</v>
      </c>
      <c r="I49" s="49"/>
      <c r="J49" s="33" t="s">
        <v>57</v>
      </c>
      <c r="K49" s="49">
        <v>59060</v>
      </c>
      <c r="L49" s="33" t="s">
        <v>53</v>
      </c>
      <c r="M49" s="92" t="str">
        <f>VLOOKUP(C49,'Trips&amp;Operators'!$C$1:$E$9999,3,0)</f>
        <v>STARKS</v>
      </c>
      <c r="N49" s="131" t="s">
        <v>86</v>
      </c>
      <c r="O49" s="10"/>
      <c r="P49" s="33"/>
      <c r="Q49" s="108" t="str">
        <f>VLOOKUP(C49,'Train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49" s="111" t="str">
        <f>VLOOKUP(C49,'Train Runs'!$A$13:$AE$9999,22,0)</f>
        <v>https://search-rtdc-monitor-bjffxe2xuh6vdkpspy63sjmuny.us-east-1.es.amazonaws.com/_plugin/kibana/#/discover/Steve-Slow-Train-Analysis-(2080s-and-2083s)?_g=(refreshInterval:(display:Off,section:0,value:0),time:(from:'2016-09-06 07:05:59-0600',mode:absolute,to:'2016-09-06 09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49" s="113" t="str">
        <f t="shared" si="6"/>
        <v>"C:\Program Files (x86)\AstroGrep\AstroGrep.exe" /spath="%USERPROFILE%\AppData\Local\Temp\OnboardLogs" /stypes="*4010*201609061*" /stext=" 14:.+((SYSTEM_STATE.+slice.+state.+changed )|(ment ac)|(system.+state.+changed )|(\|lc)|(penalty)|(\[timeout)|(PRM\|1\|D)|(kpr)|(kdp))" /e /r /s</v>
      </c>
      <c r="T49" s="9" t="str">
        <f t="shared" si="7"/>
        <v>4010</v>
      </c>
      <c r="U49" s="38">
        <f t="shared" si="8"/>
        <v>42619.592731481483</v>
      </c>
      <c r="V49" s="52" t="str">
        <f t="shared" si="9"/>
        <v>NW</v>
      </c>
      <c r="W49" s="52" t="str">
        <f t="shared" si="10"/>
        <v>KEEP</v>
      </c>
      <c r="X49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{"issue":{"subject":"","project_id":79,"tracker_id":40,"status_id":1,"priority_id":2,"assigned_to_id":23,"start_date":"2016-09-06","description":"","custom_fields":[{"id":1,"name":"Subdivision","value":"NW"},{"id":4,"name":"Milepost","value":"5.906"},{"id":17,"name":"Train ID","value":"810-06"},{"id":16,"name":"Locomotive ID","value":"4010"},{"id":130,"name":"Impact","value":""},{"id":150,"name":"Time of Event (Mountain Time)","value":"08:13:32"},{"id":151,"name":"Denver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49" s="55"/>
      <c r="Z49" s="55"/>
      <c r="AA49" s="55"/>
    </row>
    <row r="50" spans="1:27" x14ac:dyDescent="0.25">
      <c r="A50" s="38">
        <v>42619.271597222221</v>
      </c>
      <c r="B50" s="33" t="s">
        <v>264</v>
      </c>
      <c r="C50" s="33" t="s">
        <v>384</v>
      </c>
      <c r="D50" s="33" t="s">
        <v>110</v>
      </c>
      <c r="E50" s="33" t="s">
        <v>54</v>
      </c>
      <c r="F50" s="49">
        <v>0</v>
      </c>
      <c r="G50" s="49">
        <v>4</v>
      </c>
      <c r="H50" s="49">
        <v>31613</v>
      </c>
      <c r="I50" s="49"/>
      <c r="J50" s="33" t="s">
        <v>55</v>
      </c>
      <c r="K50" s="49">
        <v>29691</v>
      </c>
      <c r="L50" s="33" t="s">
        <v>52</v>
      </c>
      <c r="M50" s="92" t="str">
        <f>VLOOKUP(C50,'Trips&amp;Operators'!$C$1:$E$9999,3,0)</f>
        <v>LEVIN</v>
      </c>
      <c r="N50" s="131" t="s">
        <v>260</v>
      </c>
      <c r="O50" s="10" t="s">
        <v>359</v>
      </c>
      <c r="P50" s="33"/>
      <c r="Q50" s="108" t="str">
        <f>VLOOKUP(C50,'Train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0" s="111" t="str">
        <f>VLOOKUP(C50,'Train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0" s="113" t="str">
        <f t="shared" si="6"/>
        <v>"C:\Program Files (x86)\AstroGrep\AstroGrep.exe" /spath="%USERPROFILE%\AppData\Local\Temp\OnboardLogs" /stypes="*4018*201609061*" /stext=" 12:.+((SYSTEM_STATE.+slice.+state.+changed )|(ment ac)|(system.+state.+changed )|(\|lc)|(penalty)|(\[timeout)|(PRM\|1\|D)|(kpr)|(kdp))" /e /r /s</v>
      </c>
      <c r="T50" s="9" t="str">
        <f t="shared" si="7"/>
        <v>4018</v>
      </c>
      <c r="U50" s="38">
        <f t="shared" si="8"/>
        <v>42619.521597222221</v>
      </c>
      <c r="V50" s="52" t="str">
        <f t="shared" si="9"/>
        <v>NW</v>
      </c>
      <c r="W50" s="52" t="str">
        <f t="shared" si="10"/>
        <v>KEEP</v>
      </c>
      <c r="X50" s="149" t="str">
        <f t="shared" si="11"/>
        <v>echo {"issue":{"subject":"Wi-MAX outage","project_id":79,"tracker_id":40,"status_id":1,"priority_id":2,"assigned_to_id":23,"start_date":"2016-09-06","description":"","custom_fields":[{"id":1,"name":"Subdivision","value":"NW"},{"id":4,"name":"Milepost","value":"2.9691"},{"id":17,"name":"Train ID","value":"803-06"},{"id":16,"name":"Locomotive ID","value":"4018"},{"id":130,"name":"Impact","value":""},{"id":150,"name":"Time of Event (Mountain Time)","value":"06:31:06"},{"id":151,"name":"Denver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0" s="55"/>
      <c r="Z50" s="55"/>
      <c r="AA50" s="55"/>
    </row>
    <row r="51" spans="1:27" x14ac:dyDescent="0.25">
      <c r="A51" s="38">
        <v>42619.443356481483</v>
      </c>
      <c r="B51" s="33" t="s">
        <v>262</v>
      </c>
      <c r="C51" s="33" t="s">
        <v>432</v>
      </c>
      <c r="D51" s="33" t="s">
        <v>110</v>
      </c>
      <c r="E51" s="33" t="s">
        <v>54</v>
      </c>
      <c r="F51" s="49">
        <v>0</v>
      </c>
      <c r="G51" s="49">
        <v>138</v>
      </c>
      <c r="H51" s="49">
        <v>58174</v>
      </c>
      <c r="I51" s="49"/>
      <c r="J51" s="33" t="s">
        <v>55</v>
      </c>
      <c r="K51" s="49">
        <v>58472</v>
      </c>
      <c r="L51" s="33" t="s">
        <v>53</v>
      </c>
      <c r="M51" s="92" t="str">
        <f>VLOOKUP(C51,'Trips&amp;Operators'!$C$1:$E$9999,3,0)</f>
        <v>LEVIN</v>
      </c>
      <c r="N51" s="131" t="s">
        <v>86</v>
      </c>
      <c r="O51" s="10" t="s">
        <v>360</v>
      </c>
      <c r="P51" s="33"/>
      <c r="Q51" s="108" t="str">
        <f>VLOOKUP(C51,'Train Runs'!$A$13:$AE$9999,31,0)</f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R51" s="111" t="str">
        <f>VLOOKUP(C51,'Train Runs'!$A$13:$AE$9999,22,0)</f>
        <v>https://search-rtdc-monitor-bjffxe2xuh6vdkpspy63sjmuny.us-east-1.es.amazonaws.com/_plugin/kibana/#/discover/Steve-Slow-Train-Analysis-(2080s-and-2083s)?_g=(refreshInterval:(display:Off,section:0,value:0),time:(from:'2016-09-06 09:39:45-0600',mode:absolute,to:'2016-09-06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S51" s="113" t="str">
        <f t="shared" si="6"/>
        <v>"C:\Program Files (x86)\AstroGrep\AstroGrep.exe" /spath="%USERPROFILE%\AppData\Local\Temp\OnboardLogs" /stypes="*4017*201609061*" /stext=" 16:.+((SYSTEM_STATE.+slice.+state.+changed )|(ment ac)|(system.+state.+changed )|(\|lc)|(penalty)|(\[timeout)|(PRM\|1\|D)|(kpr)|(kdp))" /e /r /s</v>
      </c>
      <c r="T51" s="9" t="str">
        <f t="shared" si="7"/>
        <v>4017</v>
      </c>
      <c r="U51" s="38">
        <f t="shared" si="8"/>
        <v>42619.693356481483</v>
      </c>
      <c r="V51" s="52" t="str">
        <f t="shared" si="9"/>
        <v>NW</v>
      </c>
      <c r="W51" s="52" t="str">
        <f t="shared" si="10"/>
        <v>KEEP</v>
      </c>
      <c r="X51" s="149" t="str">
        <f t="shared" si="11"/>
        <v>echo {"issue":{"subject":"Went active too close to signal","project_id":79,"tracker_id":40,"status_id":1,"priority_id":2,"assigned_to_id":23,"start_date":"2016-09-06","description":"","custom_fields":[{"id":1,"name":"Subdivision","value":"NW"},{"id":4,"name":"Milepost","value":"5.8472"},{"id":17,"name":"Train ID","value":"816-06"},{"id":16,"name":"Locomotive ID","value":"4017"},{"id":130,"name":"Impact","value":""},{"id":150,"name":"Time of Event (Mountain Time)","value":"10:38:26"},{"id":151,"name":"Denver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1" s="55"/>
      <c r="Z51" s="55"/>
      <c r="AA51" s="55"/>
    </row>
    <row r="52" spans="1:27" x14ac:dyDescent="0.25">
      <c r="A52" s="38">
        <v>42619.269085648149</v>
      </c>
      <c r="B52" s="33" t="s">
        <v>264</v>
      </c>
      <c r="C52" s="33" t="s">
        <v>384</v>
      </c>
      <c r="D52" s="33" t="s">
        <v>49</v>
      </c>
      <c r="E52" s="33" t="s">
        <v>355</v>
      </c>
      <c r="F52" s="49">
        <v>0</v>
      </c>
      <c r="G52" s="49">
        <v>263</v>
      </c>
      <c r="H52" s="49">
        <v>21485</v>
      </c>
      <c r="I52" s="49"/>
      <c r="J52" s="33" t="s">
        <v>356</v>
      </c>
      <c r="K52" s="49">
        <v>22372</v>
      </c>
      <c r="L52" s="33" t="s">
        <v>52</v>
      </c>
      <c r="M52" s="92" t="str">
        <f>VLOOKUP(C52,'Trips&amp;Operators'!$C$1:$E$9999,3,0)</f>
        <v>LEVIN</v>
      </c>
      <c r="N52" s="131" t="s">
        <v>260</v>
      </c>
      <c r="O52" s="10" t="s">
        <v>359</v>
      </c>
      <c r="P52" s="33"/>
      <c r="Q52" s="108" t="str">
        <f>VLOOKUP(C52,'Train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2" s="111" t="str">
        <f>VLOOKUP(C52,'Train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2" s="113" t="str">
        <f t="shared" si="6"/>
        <v>"C:\Program Files (x86)\AstroGrep\AstroGrep.exe" /spath="%USERPROFILE%\AppData\Local\Temp\OnboardLogs" /stypes="*4018*201609061*" /stext=" 12:.+((SYSTEM_STATE.+slice.+state.+changed )|(ment ac)|(system.+state.+changed )|(\|lc)|(penalty)|(\[timeout)|(PRM\|1\|D)|(kpr)|(kdp))" /e /r /s</v>
      </c>
      <c r="T52" s="9" t="str">
        <f t="shared" si="7"/>
        <v>4018</v>
      </c>
      <c r="U52" s="38">
        <f t="shared" si="8"/>
        <v>42619.519085648149</v>
      </c>
      <c r="V52" s="52" t="str">
        <f t="shared" si="9"/>
        <v>NW</v>
      </c>
      <c r="W52" s="52" t="str">
        <f t="shared" si="10"/>
        <v>KEEP</v>
      </c>
      <c r="X52" s="149" t="str">
        <f t="shared" si="11"/>
        <v>echo {"issue":{"subject":"Wi-MAX outage","project_id":79,"tracker_id":40,"status_id":1,"priority_id":2,"assigned_to_id":23,"start_date":"2016-09-06","description":"","custom_fields":[{"id":1,"name":"Subdivision","value":"NW"},{"id":4,"name":"Milepost","value":"2.2372"},{"id":17,"name":"Train ID","value":"803-06"},{"id":16,"name":"Locomotive ID","value":"4018"},{"id":130,"name":"Impact","value":""},{"id":150,"name":"Time of Event (Mountain Time)","value":"06:27:29"},{"id":151,"name":"Denver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2" s="55"/>
      <c r="Z52" s="55"/>
      <c r="AA52" s="55"/>
    </row>
    <row r="53" spans="1:27" x14ac:dyDescent="0.25">
      <c r="A53" s="38">
        <v>42619.270462962966</v>
      </c>
      <c r="B53" s="33" t="s">
        <v>264</v>
      </c>
      <c r="C53" s="33" t="s">
        <v>384</v>
      </c>
      <c r="D53" s="33" t="s">
        <v>49</v>
      </c>
      <c r="E53" s="33" t="s">
        <v>355</v>
      </c>
      <c r="F53" s="49">
        <v>0</v>
      </c>
      <c r="G53" s="49">
        <v>621</v>
      </c>
      <c r="H53" s="49">
        <v>29096</v>
      </c>
      <c r="I53" s="49"/>
      <c r="J53" s="33" t="s">
        <v>356</v>
      </c>
      <c r="K53" s="49">
        <v>29691</v>
      </c>
      <c r="L53" s="33" t="s">
        <v>52</v>
      </c>
      <c r="M53" s="92" t="str">
        <f>VLOOKUP(C53,'Trips&amp;Operators'!$C$1:$E$9999,3,0)</f>
        <v>LEVIN</v>
      </c>
      <c r="N53" s="131" t="s">
        <v>260</v>
      </c>
      <c r="O53" s="10" t="s">
        <v>359</v>
      </c>
      <c r="P53" s="33"/>
      <c r="Q53" s="108" t="str">
        <f>VLOOKUP(C53,'Train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3" s="111" t="str">
        <f>VLOOKUP(C53,'Train Runs'!$A$13:$AE$9999,22,0)</f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3" s="113" t="str">
        <f t="shared" si="6"/>
        <v>"C:\Program Files (x86)\AstroGrep\AstroGrep.exe" /spath="%USERPROFILE%\AppData\Local\Temp\OnboardLogs" /stypes="*4018*201609061*" /stext=" 12:.+((SYSTEM_STATE.+slice.+state.+changed )|(ment ac)|(system.+state.+changed )|(\|lc)|(penalty)|(\[timeout)|(PRM\|1\|D)|(kpr)|(kdp))" /e /r /s</v>
      </c>
      <c r="T53" s="9" t="str">
        <f t="shared" si="7"/>
        <v>4018</v>
      </c>
      <c r="U53" s="38">
        <f t="shared" si="8"/>
        <v>42619.520462962966</v>
      </c>
      <c r="V53" s="52" t="str">
        <f t="shared" si="9"/>
        <v>NW</v>
      </c>
      <c r="W53" s="52" t="str">
        <f t="shared" si="10"/>
        <v>KEEP</v>
      </c>
      <c r="X53" s="149" t="str">
        <f t="shared" si="11"/>
        <v>echo {"issue":{"subject":"Wi-MAX outage","project_id":79,"tracker_id":40,"status_id":1,"priority_id":2,"assigned_to_id":23,"start_date":"2016-09-06","description":"","custom_fields":[{"id":1,"name":"Subdivision","value":"NW"},{"id":4,"name":"Milepost","value":"2.9691"},{"id":17,"name":"Train ID","value":"803-06"},{"id":16,"name":"Locomotive ID","value":"4018"},{"id":130,"name":"Impact","value":""},{"id":150,"name":"Time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3" s="55"/>
      <c r="Z53" s="55"/>
      <c r="AA53" s="55"/>
    </row>
    <row r="54" spans="1:27" x14ac:dyDescent="0.25">
      <c r="A54" s="38">
        <v>42619.516898148147</v>
      </c>
      <c r="B54" s="33" t="s">
        <v>264</v>
      </c>
      <c r="C54" s="33" t="s">
        <v>450</v>
      </c>
      <c r="D54" s="33" t="s">
        <v>49</v>
      </c>
      <c r="E54" s="33" t="s">
        <v>344</v>
      </c>
      <c r="F54" s="49">
        <v>100</v>
      </c>
      <c r="G54" s="49">
        <v>194</v>
      </c>
      <c r="H54" s="49">
        <v>10294</v>
      </c>
      <c r="I54" s="49"/>
      <c r="J54" s="33" t="s">
        <v>222</v>
      </c>
      <c r="K54" s="49">
        <v>10701</v>
      </c>
      <c r="L54" s="33" t="s">
        <v>52</v>
      </c>
      <c r="M54" s="92" t="str">
        <f>VLOOKUP(C54,'Trips&amp;Operators'!$C$1:$E$9999,3,0)</f>
        <v>LEVIN</v>
      </c>
      <c r="N54" s="131" t="s">
        <v>86</v>
      </c>
      <c r="O54" s="10"/>
      <c r="P54" s="33"/>
      <c r="Q54" s="108" t="str">
        <f>VLOOKUP(C54,'Train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4" s="111" t="str">
        <f>VLOOKUP(C54,'Train Runs'!$A$13:$AE$9999,22,0)</f>
        <v>https://search-rtdc-monitor-bjffxe2xuh6vdkpspy63sjmuny.us-east-1.es.amazonaws.com/_plugin/kibana/#/discover/Steve-Slow-Train-Analysis-(2080s-and-2083s)?_g=(refreshInterval:(display:Off,section:0,value:0),time:(from:'2016-09-06 11:08:57-0600',mode:absolute,to:'2016-09-06 13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4" s="113" t="str">
        <f t="shared" si="6"/>
        <v>"C:\Program Files (x86)\AstroGrep\AstroGrep.exe" /spath="%USERPROFILE%\AppData\Local\Temp\OnboardLogs" /stypes="*4018*201609061*" /stext=" 18:.+((SYSTEM_STATE.+slice.+state.+changed )|(ment ac)|(system.+state.+changed )|(\|lc)|(penalty)|(\[timeout)|(PRM\|1\|D)|(kpr)|(kdp))" /e /r /s</v>
      </c>
      <c r="T54" s="9" t="str">
        <f t="shared" si="7"/>
        <v>4018</v>
      </c>
      <c r="U54" s="38">
        <f t="shared" si="8"/>
        <v>42619.766898148147</v>
      </c>
      <c r="V54" s="52" t="str">
        <f t="shared" si="9"/>
        <v>NW</v>
      </c>
      <c r="W54" s="52" t="str">
        <f t="shared" si="10"/>
        <v>KEEP</v>
      </c>
      <c r="X54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{"issue":{"subject":"","project_id":79,"tracker_id":40,"status_id":1,"priority_id":2,"assigned_to_id":23,"start_date":"2016-09-06","description":"","custom_fields":[{"id":1,"name":"Subdivision","value":"NW"},{"id":4,"name":"Milepost","value":"1.0701"},{"id":17,"name":"Train ID","value":"819-06"},{"id":16,"name":"Locomotive ID","value":"4018"},{"id":130,"name":"Impact","value":""},{"id":150,"name":"Time of Event (Mountain Time)","value":"12:24:20"},{"id":151,"name":"Denver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4" s="55"/>
      <c r="Z54" s="55"/>
      <c r="AA54" s="55"/>
    </row>
    <row r="55" spans="1:27" x14ac:dyDescent="0.25">
      <c r="A55" s="38">
        <v>42619.226273148146</v>
      </c>
      <c r="B55" s="33" t="s">
        <v>373</v>
      </c>
      <c r="C55" s="33" t="s">
        <v>374</v>
      </c>
      <c r="D55" s="33" t="s">
        <v>49</v>
      </c>
      <c r="E55" s="33" t="s">
        <v>50</v>
      </c>
      <c r="F55" s="49">
        <v>0</v>
      </c>
      <c r="G55" s="49">
        <v>34</v>
      </c>
      <c r="H55" s="49">
        <v>684</v>
      </c>
      <c r="I55" s="49"/>
      <c r="J55" s="33" t="s">
        <v>51</v>
      </c>
      <c r="K55" s="49">
        <v>575</v>
      </c>
      <c r="L55" s="33" t="s">
        <v>53</v>
      </c>
      <c r="M55" s="92" t="str">
        <f>VLOOKUP(C55,'Trips&amp;Operators'!$C$1:$E$9999,3,0)</f>
        <v>STARKS</v>
      </c>
      <c r="N55" s="131" t="s">
        <v>86</v>
      </c>
      <c r="O55" s="10"/>
      <c r="P55" s="33"/>
      <c r="Q55" s="108" t="str">
        <f>VLOOKUP(C55,'Train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55" s="111" t="str">
        <f>VLOOKUP(C55,'Train Runs'!$A$13:$AE$9999,22,0)</f>
        <v>https://search-rtdc-monitor-bjffxe2xuh6vdkpspy63sjmuny.us-east-1.es.amazonaws.com/_plugin/kibana/#/discover/Steve-Slow-Train-Analysis-(2080s-and-2083s)?_g=(refreshInterval:(display:Off,section:0,value:0),time:(from:'2016-09-06 04:08:10-0600',mode:absolute,to:'2016-09-06 06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55" s="113" t="str">
        <f t="shared" si="6"/>
        <v>"C:\Program Files (x86)\AstroGrep\AstroGrep.exe" /spath="%USERPROFILE%\AppData\Local\Temp\OnboardLogs" /stypes="*4010*201609061*" /stext=" 11:.+((SYSTEM_STATE.+slice.+state.+changed )|(ment ac)|(system.+state.+changed )|(\|lc)|(penalty)|(\[timeout)|(PRM\|1\|D)|(kpr)|(kdp))" /e /r /s</v>
      </c>
      <c r="T55" s="9" t="str">
        <f t="shared" si="7"/>
        <v>4010</v>
      </c>
      <c r="U55" s="38">
        <f t="shared" si="8"/>
        <v>42619.476273148146</v>
      </c>
      <c r="V55" s="52" t="str">
        <f t="shared" si="9"/>
        <v>NW</v>
      </c>
      <c r="W55" s="52" t="str">
        <f t="shared" si="10"/>
        <v>KEEP</v>
      </c>
      <c r="X55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{"issue":{"subject":"","project_id":79,"tracker_id":40,"status_id":1,"priority_id":2,"assigned_to_id":23,"start_date":"2016-09-06","description":"","custom_fields":[{"id":1,"name":"Subdivision","value":"NW"},{"id":4,"name":"Milepost","value":"0.0575"},{"id":17,"name":"Train ID","value":"800-06"},{"id":16,"name":"Locomotive ID","value":"4010"},{"id":130,"name":"Impact","value":""},{"id":150,"name":"Time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5" s="55"/>
      <c r="Z55" s="55"/>
      <c r="AA55" s="55"/>
    </row>
    <row r="56" spans="1:27" x14ac:dyDescent="0.25">
      <c r="A56" s="38">
        <v>42619.684942129628</v>
      </c>
      <c r="B56" s="33" t="s">
        <v>373</v>
      </c>
      <c r="C56" s="33" t="s">
        <v>496</v>
      </c>
      <c r="D56" s="33" t="s">
        <v>49</v>
      </c>
      <c r="E56" s="33" t="s">
        <v>50</v>
      </c>
      <c r="F56" s="49">
        <v>0</v>
      </c>
      <c r="G56" s="49">
        <v>111</v>
      </c>
      <c r="H56" s="49">
        <v>1062</v>
      </c>
      <c r="I56" s="49"/>
      <c r="J56" s="33" t="s">
        <v>51</v>
      </c>
      <c r="K56" s="49">
        <v>575</v>
      </c>
      <c r="L56" s="33" t="s">
        <v>53</v>
      </c>
      <c r="M56" s="92" t="str">
        <f>VLOOKUP(C56,'Trips&amp;Operators'!$C$1:$E$9999,3,0)</f>
        <v>BROWN</v>
      </c>
      <c r="N56" s="131" t="s">
        <v>86</v>
      </c>
      <c r="O56" s="10"/>
      <c r="P56" s="33"/>
      <c r="Q56" s="108" t="str">
        <f>VLOOKUP(C56,'Train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56" s="111" t="str">
        <f>VLOOKUP(C56,'Train Runs'!$A$13:$AE$9999,22,0)</f>
        <v>https://search-rtdc-monitor-bjffxe2xuh6vdkpspy63sjmuny.us-east-1.es.amazonaws.com/_plugin/kibana/#/discover/Steve-Slow-Train-Analysis-(2080s-and-2083s)?_g=(refreshInterval:(display:Off,section:0,value:0),time:(from:'2016-09-06 15:08:27-0600',mode:absolute,to:'2016-09-06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56" s="113" t="str">
        <f t="shared" si="6"/>
        <v>"C:\Program Files (x86)\AstroGrep\AstroGrep.exe" /spath="%USERPROFILE%\AppData\Local\Temp\OnboardLogs" /stypes="*4010*201609062*" /stext=" 22:.+((SYSTEM_STATE.+slice.+state.+changed )|(ment ac)|(system.+state.+changed )|(\|lc)|(penalty)|(\[timeout)|(PRM\|1\|D)|(kpr)|(kdp))" /e /r /s</v>
      </c>
      <c r="T56" s="9" t="str">
        <f t="shared" si="7"/>
        <v>4010</v>
      </c>
      <c r="U56" s="38">
        <f t="shared" si="8"/>
        <v>42619.934942129628</v>
      </c>
      <c r="V56" s="52" t="str">
        <f t="shared" si="9"/>
        <v>NW</v>
      </c>
      <c r="W56" s="52" t="str">
        <f t="shared" si="10"/>
        <v>KEEP</v>
      </c>
      <c r="X56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{"issue":{"subject":"","project_id":79,"tracker_id":40,"status_id":1,"priority_id":2,"assigned_to_id":23,"start_date":"2016-09-06","description":"","custom_fields":[{"id":1,"name":"Subdivision","value":"NW"},{"id":4,"name":"Milepost","value":"0.0575"},{"id":17,"name":"Train ID","value":"828-06"},{"id":16,"name":"Locomotive ID","value":"4010"},{"id":130,"name":"Impact","value":""},{"id":150,"name":"Time of Event (Mountain Time)","value":"16:26:19"},{"id":151,"name":"Denver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6" s="55"/>
      <c r="Z56" s="55"/>
      <c r="AA56" s="55"/>
    </row>
    <row r="57" spans="1:27" x14ac:dyDescent="0.25">
      <c r="A57" s="38">
        <v>42619.685393518521</v>
      </c>
      <c r="B57" s="33" t="s">
        <v>373</v>
      </c>
      <c r="C57" s="33" t="s">
        <v>496</v>
      </c>
      <c r="D57" s="33" t="s">
        <v>49</v>
      </c>
      <c r="E57" s="33" t="s">
        <v>50</v>
      </c>
      <c r="F57" s="49">
        <v>0</v>
      </c>
      <c r="G57" s="49">
        <v>56</v>
      </c>
      <c r="H57" s="49">
        <v>843</v>
      </c>
      <c r="I57" s="49"/>
      <c r="J57" s="33" t="s">
        <v>51</v>
      </c>
      <c r="K57" s="49">
        <v>575</v>
      </c>
      <c r="L57" s="33" t="s">
        <v>53</v>
      </c>
      <c r="M57" s="92" t="str">
        <f>VLOOKUP(C57,'Trips&amp;Operators'!$C$1:$E$9999,3,0)</f>
        <v>BROWN</v>
      </c>
      <c r="N57" s="131" t="s">
        <v>86</v>
      </c>
      <c r="O57" s="10"/>
      <c r="P57" s="33"/>
      <c r="Q57" s="108" t="str">
        <f>VLOOKUP(C57,'Train Runs'!$A$13:$AE$9999,31,0)</f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R57" s="111" t="str">
        <f>VLOOKUP(C57,'Train Runs'!$A$13:$AE$9999,22,0)</f>
        <v>https://search-rtdc-monitor-bjffxe2xuh6vdkpspy63sjmuny.us-east-1.es.amazonaws.com/_plugin/kibana/#/discover/Steve-Slow-Train-Analysis-(2080s-and-2083s)?_g=(refreshInterval:(display:Off,section:0,value:0),time:(from:'2016-09-06 15:08:27-0600',mode:absolute,to:'2016-09-06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S57" s="113" t="str">
        <f t="shared" si="6"/>
        <v>"C:\Program Files (x86)\AstroGrep\AstroGrep.exe" /spath="%USERPROFILE%\AppData\Local\Temp\OnboardLogs" /stypes="*4010*201609062*" /stext=" 22:.+((SYSTEM_STATE.+slice.+state.+changed )|(ment ac)|(system.+state.+changed )|(\|lc)|(penalty)|(\[timeout)|(PRM\|1\|D)|(kpr)|(kdp))" /e /r /s</v>
      </c>
      <c r="T57" s="9" t="str">
        <f t="shared" si="7"/>
        <v>4010</v>
      </c>
      <c r="U57" s="38">
        <f t="shared" si="8"/>
        <v>42619.935393518521</v>
      </c>
      <c r="V57" s="52" t="str">
        <f t="shared" si="9"/>
        <v>NW</v>
      </c>
      <c r="W57" s="52" t="str">
        <f t="shared" si="10"/>
        <v>KEEP</v>
      </c>
      <c r="X57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{"issue":{"subject":"","project_id":79,"tracker_id":40,"status_id":1,"priority_id":2,"assigned_to_id":23,"start_date":"2016-09-06","description":"","custom_fields":[{"id":1,"name":"Subdivision","value":"NW"},{"id":4,"name":"Milepost","value":"0.0575"},{"id":17,"name":"Train ID","value":"828-06"},{"id":16,"name":"Locomotive ID","value":"4010"},{"id":130,"name":"Impact","value":""},{"id":150,"name":"Time of Event (Mountain Time)","value":"16:26:58"},{"id":151,"name":"Denver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7" s="55"/>
      <c r="Z57" s="55"/>
      <c r="AA57" s="55"/>
    </row>
    <row r="58" spans="1:27" x14ac:dyDescent="0.25">
      <c r="A58" s="38">
        <v>42619.649189814816</v>
      </c>
      <c r="B58" s="33" t="s">
        <v>264</v>
      </c>
      <c r="C58" s="33" t="s">
        <v>481</v>
      </c>
      <c r="D58" s="33" t="s">
        <v>49</v>
      </c>
      <c r="E58" s="33" t="s">
        <v>50</v>
      </c>
      <c r="F58" s="49">
        <v>0</v>
      </c>
      <c r="G58" s="49">
        <v>51</v>
      </c>
      <c r="H58" s="49">
        <v>58931</v>
      </c>
      <c r="I58" s="49"/>
      <c r="J58" s="33" t="s">
        <v>51</v>
      </c>
      <c r="K58" s="49">
        <v>59048</v>
      </c>
      <c r="L58" s="33" t="s">
        <v>52</v>
      </c>
      <c r="M58" s="92" t="str">
        <f>VLOOKUP(C58,'Trips&amp;Operators'!$C$1:$E$9999,3,0)</f>
        <v>BRUDER</v>
      </c>
      <c r="N58" s="131" t="s">
        <v>86</v>
      </c>
      <c r="O58" s="10"/>
      <c r="P58" s="33"/>
      <c r="Q58" s="108" t="str">
        <f>VLOOKUP(C58,'Train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58" s="111" t="str">
        <f>VLOOKUP(C58,'Train Runs'!$A$13:$AE$9999,22,0)</f>
        <v>https://search-rtdc-monitor-bjffxe2xuh6vdkpspy63sjmuny.us-east-1.es.amazonaws.com/_plugin/kibana/#/discover/Steve-Slow-Train-Analysis-(2080s-and-2083s)?_g=(refreshInterval:(display:Off,section:0,value:0),time:(from:'2016-09-06 14:16:09-0600',mode:absolute,to:'2016-09-06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58" s="113" t="str">
        <f t="shared" si="6"/>
        <v>"C:\Program Files (x86)\AstroGrep\AstroGrep.exe" /spath="%USERPROFILE%\AppData\Local\Temp\OnboardLogs" /stypes="*4018*201609062*" /stext=" 21:.+((SYSTEM_STATE.+slice.+state.+changed )|(ment ac)|(system.+state.+changed )|(\|lc)|(penalty)|(\[timeout)|(PRM\|1\|D)|(kpr)|(kdp))" /e /r /s</v>
      </c>
      <c r="T58" s="9" t="str">
        <f t="shared" si="7"/>
        <v>4018</v>
      </c>
      <c r="U58" s="38">
        <f t="shared" si="8"/>
        <v>42619.899189814816</v>
      </c>
      <c r="V58" s="52" t="str">
        <f t="shared" si="9"/>
        <v>NW</v>
      </c>
      <c r="W58" s="52" t="str">
        <f t="shared" si="10"/>
        <v>KEEP</v>
      </c>
      <c r="X58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ID","value":"825-06"},{"id":16,"name":"Locomotive ID","value":"4018"},{"id":130,"name":"Impact","value":""},{"id":150,"name":"Time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8" s="55"/>
      <c r="Z58" s="55"/>
      <c r="AA58" s="55"/>
    </row>
    <row r="59" spans="1:27" x14ac:dyDescent="0.25">
      <c r="A59" s="38">
        <v>42619.71199074074</v>
      </c>
      <c r="B59" s="33" t="s">
        <v>165</v>
      </c>
      <c r="C59" s="33" t="s">
        <v>502</v>
      </c>
      <c r="D59" s="33" t="s">
        <v>49</v>
      </c>
      <c r="E59" s="33" t="s">
        <v>50</v>
      </c>
      <c r="F59" s="49">
        <v>0</v>
      </c>
      <c r="G59" s="49">
        <v>173</v>
      </c>
      <c r="H59" s="49">
        <v>58025</v>
      </c>
      <c r="I59" s="49"/>
      <c r="J59" s="33" t="s">
        <v>51</v>
      </c>
      <c r="K59" s="49">
        <v>59048</v>
      </c>
      <c r="L59" s="33" t="s">
        <v>52</v>
      </c>
      <c r="M59" s="92" t="str">
        <f>VLOOKUP(C59,'Trips&amp;Operators'!$C$1:$E$9999,3,0)</f>
        <v>BROWN</v>
      </c>
      <c r="N59" s="131" t="s">
        <v>86</v>
      </c>
      <c r="O59" s="10"/>
      <c r="P59" s="33"/>
      <c r="Q59" s="108" t="str">
        <f>VLOOKUP(C59,'Train Runs'!$A$13:$AE$9999,31,0)</f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R59" s="111" t="str">
        <f>VLOOKUP(C59,'Train Runs'!$A$13:$AE$9999,22,0)</f>
        <v>https://search-rtdc-monitor-bjffxe2xuh6vdkpspy63sjmuny.us-east-1.es.amazonaws.com/_plugin/kibana/#/discover/Steve-Slow-Train-Analysis-(2080s-and-2083s)?_g=(refreshInterval:(display:Off,section:0,value:0),time:(from:'2016-09-06 15:38:15-0600',mode:absolute,to:'2016-09-06 18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S59" s="113" t="str">
        <f t="shared" si="6"/>
        <v>"C:\Program Files (x86)\AstroGrep\AstroGrep.exe" /spath="%USERPROFILE%\AppData\Local\Temp\OnboardLogs" /stypes="*4009*201609062*" /stext=" 23:.+((SYSTEM_STATE.+slice.+state.+changed )|(ment ac)|(system.+state.+changed )|(\|lc)|(penalty)|(\[timeout)|(PRM\|1\|D)|(kpr)|(kdp))" /e /r /s</v>
      </c>
      <c r="T59" s="9" t="str">
        <f t="shared" si="7"/>
        <v>4009</v>
      </c>
      <c r="U59" s="38">
        <f t="shared" si="8"/>
        <v>42619.96199074074</v>
      </c>
      <c r="V59" s="52" t="str">
        <f t="shared" si="9"/>
        <v>NW</v>
      </c>
      <c r="W59" s="52" t="str">
        <f t="shared" si="10"/>
        <v>KEEP</v>
      </c>
      <c r="X59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ID","value":"831-06"},{"id":16,"name":"Locomotive ID","value":"4009"},{"id":130,"name":"Impact","value":""},{"id":150,"name":"Time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59" s="55"/>
      <c r="Z59" s="55"/>
      <c r="AA59" s="55"/>
    </row>
    <row r="60" spans="1:27" x14ac:dyDescent="0.25">
      <c r="A60" s="38">
        <v>42619.732256944444</v>
      </c>
      <c r="B60" s="33" t="s">
        <v>264</v>
      </c>
      <c r="C60" s="33" t="s">
        <v>509</v>
      </c>
      <c r="D60" s="33" t="s">
        <v>49</v>
      </c>
      <c r="E60" s="33" t="s">
        <v>50</v>
      </c>
      <c r="F60" s="49">
        <v>0</v>
      </c>
      <c r="G60" s="49">
        <v>82</v>
      </c>
      <c r="H60" s="49">
        <v>58760</v>
      </c>
      <c r="I60" s="49"/>
      <c r="J60" s="33" t="s">
        <v>51</v>
      </c>
      <c r="K60" s="49">
        <v>59048</v>
      </c>
      <c r="L60" s="33" t="s">
        <v>52</v>
      </c>
      <c r="M60" s="92" t="str">
        <f>VLOOKUP(C60,'Trips&amp;Operators'!$C$1:$E$9999,3,0)</f>
        <v>BRUDER</v>
      </c>
      <c r="N60" s="131" t="s">
        <v>86</v>
      </c>
      <c r="O60" s="10"/>
      <c r="P60" s="33"/>
      <c r="Q60" s="108" t="str">
        <f>VLOOKUP(C60,'Train Runs'!$A$13:$AE$9999,31,0)</f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R60" s="111" t="str">
        <f>VLOOKUP(C60,'Train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16:14:17-0600',mode:absolute,to:'2016-09-06 18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S60" s="113" t="str">
        <f t="shared" si="6"/>
        <v>"C:\Program Files (x86)\AstroGrep\AstroGrep.exe" /spath="%USERPROFILE%\AppData\Local\Temp\OnboardLogs" /stypes="*4018*201609062*" /stext=" 23:.+((SYSTEM_STATE.+slice.+state.+changed )|(ment ac)|(system.+state.+changed )|(\|lc)|(penalty)|(\[timeout)|(PRM\|1\|D)|(kpr)|(kdp))" /e /r /s</v>
      </c>
      <c r="T60" s="9" t="str">
        <f t="shared" si="7"/>
        <v>4018</v>
      </c>
      <c r="U60" s="38">
        <f t="shared" si="8"/>
        <v>42619.982256944444</v>
      </c>
      <c r="V60" s="52" t="str">
        <f t="shared" si="9"/>
        <v>NW</v>
      </c>
      <c r="W60" s="52" t="str">
        <f t="shared" si="10"/>
        <v>KEEP</v>
      </c>
      <c r="X60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ID","value":"833-06"},{"id":16,"name":"Locomotive ID","value":"4018"},{"id":130,"name":"Impact","value":""},{"id":150,"name":"Time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0" s="55"/>
      <c r="Z60" s="55"/>
      <c r="AA60" s="55"/>
    </row>
    <row r="61" spans="1:27" x14ac:dyDescent="0.25">
      <c r="A61" s="38">
        <v>42619.753553240742</v>
      </c>
      <c r="B61" s="33" t="s">
        <v>165</v>
      </c>
      <c r="C61" s="33" t="s">
        <v>518</v>
      </c>
      <c r="D61" s="33" t="s">
        <v>49</v>
      </c>
      <c r="E61" s="33" t="s">
        <v>50</v>
      </c>
      <c r="F61" s="49">
        <v>0</v>
      </c>
      <c r="G61" s="49">
        <v>166</v>
      </c>
      <c r="H61" s="49">
        <v>57887</v>
      </c>
      <c r="I61" s="49"/>
      <c r="J61" s="33" t="s">
        <v>51</v>
      </c>
      <c r="K61" s="49">
        <v>59048</v>
      </c>
      <c r="L61" s="33" t="s">
        <v>52</v>
      </c>
      <c r="M61" s="92" t="str">
        <f>VLOOKUP(C61,'Trips&amp;Operators'!$C$1:$E$9999,3,0)</f>
        <v>BROWN</v>
      </c>
      <c r="N61" s="131" t="s">
        <v>86</v>
      </c>
      <c r="O61" s="10"/>
      <c r="P61" s="33"/>
      <c r="Q61" s="108" t="str">
        <f>VLOOKUP(C61,'Train Runs'!$A$13:$AE$9999,31,0)</f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R61" s="111" t="str">
        <f>VLOOKUP(C61,'Train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16:46:46-0600',mode:absolute,to:'2016-09-06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S61" s="113" t="str">
        <f t="shared" si="6"/>
        <v>"C:\Program Files (x86)\AstroGrep\AstroGrep.exe" /spath="%USERPROFILE%\AppData\Local\Temp\OnboardLogs" /stypes="*4009*201609070*" /stext=" 00:.+((SYSTEM_STATE.+slice.+state.+changed )|(ment ac)|(system.+state.+changed )|(\|lc)|(penalty)|(\[timeout)|(PRM\|1\|D)|(kpr)|(kdp))" /e /r /s</v>
      </c>
      <c r="T61" s="9" t="str">
        <f t="shared" si="7"/>
        <v>4009</v>
      </c>
      <c r="U61" s="38">
        <f t="shared" si="8"/>
        <v>42620.003553240742</v>
      </c>
      <c r="V61" s="52" t="str">
        <f t="shared" si="9"/>
        <v>NW</v>
      </c>
      <c r="W61" s="52" t="str">
        <f t="shared" si="10"/>
        <v>KEEP</v>
      </c>
      <c r="X61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ID","value":"835-06"},{"id":16,"name":"Locomotive ID","value":"4009"},{"id":130,"name":"Impact","value":""},{"id":150,"name":"Time of Event (Mountain Time)","value":"18:05:07"},{"id":151,"name":"Denver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1" s="55"/>
      <c r="Z61" s="55"/>
      <c r="AA61" s="55"/>
    </row>
    <row r="62" spans="1:27" x14ac:dyDescent="0.25">
      <c r="A62" s="38">
        <v>42619.795949074076</v>
      </c>
      <c r="B62" s="33" t="s">
        <v>165</v>
      </c>
      <c r="C62" s="33" t="s">
        <v>533</v>
      </c>
      <c r="D62" s="33" t="s">
        <v>49</v>
      </c>
      <c r="E62" s="33" t="s">
        <v>50</v>
      </c>
      <c r="F62" s="49">
        <v>0</v>
      </c>
      <c r="G62" s="49">
        <v>72</v>
      </c>
      <c r="H62" s="49">
        <v>58818</v>
      </c>
      <c r="I62" s="49"/>
      <c r="J62" s="33" t="s">
        <v>51</v>
      </c>
      <c r="K62" s="49">
        <v>59048</v>
      </c>
      <c r="L62" s="33" t="s">
        <v>52</v>
      </c>
      <c r="M62" s="92" t="str">
        <f>VLOOKUP(C62,'Trips&amp;Operators'!$C$1:$E$9999,3,0)</f>
        <v>BROWN</v>
      </c>
      <c r="N62" s="131" t="s">
        <v>86</v>
      </c>
      <c r="O62" s="10"/>
      <c r="P62" s="33"/>
      <c r="Q62" s="108" t="str">
        <f>VLOOKUP(C62,'Train Runs'!$A$13:$AE$9999,31,0)</f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R62" s="111" t="str">
        <f>VLOOKUP(C62,'Train Runs'!$A$13:$AE$9999,22,0)</f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S62" s="113" t="str">
        <f t="shared" si="6"/>
        <v>"C:\Program Files (x86)\AstroGrep\AstroGrep.exe" /spath="%USERPROFILE%\AppData\Local\Temp\OnboardLogs" /stypes="*4009*201609070*" /stext=" 01:.+((SYSTEM_STATE.+slice.+state.+changed )|(ment ac)|(system.+state.+changed )|(\|lc)|(penalty)|(\[timeout)|(PRM\|1\|D)|(kpr)|(kdp))" /e /r /s</v>
      </c>
      <c r="T62" s="9" t="str">
        <f t="shared" si="7"/>
        <v>4009</v>
      </c>
      <c r="U62" s="38">
        <f t="shared" si="8"/>
        <v>42620.045949074076</v>
      </c>
      <c r="V62" s="52" t="str">
        <f t="shared" si="9"/>
        <v>NW</v>
      </c>
      <c r="W62" s="52" t="str">
        <f t="shared" si="10"/>
        <v>KEEP</v>
      </c>
      <c r="X62" s="149" t="str">
        <f t="shared" si="11"/>
        <v>echo {"issue":{"subject":"","project_id":79,"tracker_id":40,"status_id":1,"priority_id":2,"assigned_to_id":23,"start_date":"2016-09-06","description":"","custom_fields":[{"id":1,"name":"Subdivision","value":"NW"},{"id":4,"name":"Milepost","value":"5.9048"},{"id":17,"name":"Train ID","value":"839-06"},{"id":16,"name":"Locomotive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2" s="55"/>
      <c r="Z62" s="55"/>
      <c r="AA62" s="55"/>
    </row>
    <row r="63" spans="1:27" x14ac:dyDescent="0.25">
      <c r="A63" s="38">
        <v>42620.042546296296</v>
      </c>
      <c r="B63" s="33" t="s">
        <v>345</v>
      </c>
      <c r="C63" s="33" t="s">
        <v>572</v>
      </c>
      <c r="D63" s="33" t="s">
        <v>49</v>
      </c>
      <c r="E63" s="33" t="s">
        <v>223</v>
      </c>
      <c r="F63" s="49">
        <v>310</v>
      </c>
      <c r="G63" s="49">
        <v>369</v>
      </c>
      <c r="H63" s="49">
        <v>31854</v>
      </c>
      <c r="I63" s="49"/>
      <c r="J63" s="33" t="s">
        <v>222</v>
      </c>
      <c r="K63" s="49">
        <v>33137</v>
      </c>
      <c r="L63" s="33" t="s">
        <v>52</v>
      </c>
      <c r="M63" s="92" t="b">
        <f>VLOOKUP(C63,'Trips&amp;Operators'!$C$1:$E$9999,3,0)</f>
        <v>1</v>
      </c>
      <c r="N63" s="131" t="s">
        <v>86</v>
      </c>
      <c r="O63" s="10"/>
      <c r="P63" s="33"/>
      <c r="Q63" s="108" t="str">
        <f>VLOOKUP(C63,'Train Runs'!$A$13:$AE$9999,31,0)</f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R63" s="111" t="str">
        <f>VLOOKUP(C63,'Train Runs'!$A$13:$AE$9999,22,0)</f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S63" s="113" t="str">
        <f t="shared" si="6"/>
        <v>"C:\Program Files (x86)\AstroGrep\AstroGrep.exe" /spath="%USERPROFILE%\AppData\Local\Temp\OnboardLogs" /stypes="*4051*201609070*" /stext=" 07:.+((SYSTEM_STATE.+slice.+state.+changed )|(ment ac)|(system.+state.+changed )|(\|lc)|(penalty)|(\[timeout)|(PRM\|1\|D)|(kpr)|(kdp))" /e /r /s</v>
      </c>
      <c r="T63" s="9" t="str">
        <f t="shared" si="7"/>
        <v>4051</v>
      </c>
      <c r="U63" s="38">
        <f t="shared" si="8"/>
        <v>42620.292546296296</v>
      </c>
      <c r="V63" s="52" t="str">
        <f t="shared" si="9"/>
        <v>Other</v>
      </c>
      <c r="W63" s="52" t="str">
        <f t="shared" si="10"/>
        <v>KEEP</v>
      </c>
      <c r="X63" s="149" t="str">
        <f t="shared" si="11"/>
        <v>echo {"issue":{"subject":"","project_id":79,"tracker_id":40,"status_id":1,"priority_id":2,"assigned_to_id":23,"start_date":"2016-09-07","description":"","custom_fields":[{"id":1,"name":"Subdivision","value":"Other"},{"id":4,"name":"Milepost","value":"3.3137"},{"id":17,"name":"Train ID","value":"67-06"},{"id":16,"name":"Locomotive ID","value":"4051"},{"id":130,"name":"Impact","value":""},{"id":150,"name":"Time of Event (Mountain Time)","value":"01:01:16"},{"id":151,"name":"Denver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3" s="55"/>
      <c r="Z63" s="55"/>
      <c r="AA63" s="55"/>
    </row>
    <row r="64" spans="1:27" x14ac:dyDescent="0.25">
      <c r="A64" s="38">
        <v>42619.740127314813</v>
      </c>
      <c r="B64" s="33" t="s">
        <v>215</v>
      </c>
      <c r="C64" s="33" t="s">
        <v>512</v>
      </c>
      <c r="D64" s="33" t="s">
        <v>49</v>
      </c>
      <c r="E64" s="33" t="s">
        <v>50</v>
      </c>
      <c r="F64" s="49">
        <v>0</v>
      </c>
      <c r="G64" s="49">
        <v>36</v>
      </c>
      <c r="H64" s="49">
        <v>913</v>
      </c>
      <c r="I64" s="49"/>
      <c r="J64" s="33" t="s">
        <v>51</v>
      </c>
      <c r="K64" s="49">
        <v>826</v>
      </c>
      <c r="L64" s="33" t="s">
        <v>53</v>
      </c>
      <c r="M64" s="92" t="str">
        <f>VLOOKUP(C64,'Trips&amp;Operators'!$C$1:$E$9999,3,0)</f>
        <v>HAITHCOX</v>
      </c>
      <c r="N64" s="131" t="s">
        <v>86</v>
      </c>
      <c r="O64" s="10"/>
      <c r="P64" s="33"/>
      <c r="Q64" s="108" t="str">
        <f>VLOOKUP(C64,'Train Runs'!$A$13:$AE$9999,31,0)</f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R64" s="111" t="str">
        <f>VLOOKUP(C64,'Train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16:30:12-0600',mode:absolute,to:'2016-09-06 18:46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S64" s="113" t="str">
        <f t="shared" si="6"/>
        <v>"C:\Program Files (x86)\AstroGrep\AstroGrep.exe" /spath="%USERPROFILE%\AppData\Local\Temp\OnboardLogs" /stypes="*4019*201609062*" /stext=" 23:.+((SYSTEM_STATE.+slice.+state.+changed )|(ment ac)|(system.+state.+changed )|(\|lc)|(penalty)|(\[timeout)|(PRM\|1\|D)|(kpr)|(kdp))" /e /r /s</v>
      </c>
      <c r="T64" s="9" t="str">
        <f t="shared" si="7"/>
        <v>4019</v>
      </c>
      <c r="U64" s="38">
        <f t="shared" si="8"/>
        <v>42619.990127314813</v>
      </c>
      <c r="V64" s="52" t="str">
        <f t="shared" si="9"/>
        <v>Other</v>
      </c>
      <c r="W64" s="52" t="str">
        <f t="shared" si="10"/>
        <v>KEEP</v>
      </c>
      <c r="X64" s="149" t="str">
        <f t="shared" si="11"/>
        <v>echo {"issue":{"subject":"","project_id":79,"tracker_id":40,"status_id":1,"priority_id":2,"assigned_to_id":23,"start_date":"2016-09-06","description":"","custom_fields":[{"id":1,"name":"Subdivision","value":"Other"},{"id":4,"name":"Milepost","value":"0.0826"},{"id":17,"name":"Train ID","value":"64-06"},{"id":16,"name":"Locomotive ID","value":"4019"},{"id":130,"name":"Impact","value":""},{"id":150,"name":"Time of Event (Mountain Time)","value":"17:45:47"},{"id":151,"name":"Denver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4" s="55"/>
      <c r="Z64" s="55"/>
      <c r="AA64" s="55"/>
    </row>
    <row r="65" spans="1:27" x14ac:dyDescent="0.25">
      <c r="A65" s="38">
        <v>42619.740578703706</v>
      </c>
      <c r="B65" s="33" t="s">
        <v>215</v>
      </c>
      <c r="C65" s="33" t="s">
        <v>512</v>
      </c>
      <c r="D65" s="33" t="s">
        <v>110</v>
      </c>
      <c r="E65" s="33" t="s">
        <v>50</v>
      </c>
      <c r="F65" s="49">
        <v>0</v>
      </c>
      <c r="G65" s="49">
        <v>19</v>
      </c>
      <c r="H65" s="49">
        <v>825</v>
      </c>
      <c r="I65" s="49"/>
      <c r="J65" s="33" t="s">
        <v>51</v>
      </c>
      <c r="K65" s="49">
        <v>826</v>
      </c>
      <c r="L65" s="33" t="s">
        <v>53</v>
      </c>
      <c r="M65" s="92" t="str">
        <f>VLOOKUP(C65,'Trips&amp;Operators'!$C$1:$E$9999,3,0)</f>
        <v>HAITHCOX</v>
      </c>
      <c r="N65" s="131" t="s">
        <v>86</v>
      </c>
      <c r="O65" s="10"/>
      <c r="P65" s="33"/>
      <c r="Q65" s="108" t="str">
        <f>VLOOKUP(C65,'Train Runs'!$A$13:$AE$9999,31,0)</f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R65" s="111" t="str">
        <f>VLOOKUP(C65,'Train Runs'!$A$13:$AE$9999,22,0)</f>
        <v>https://search-rtdc-monitor-bjffxe2xuh6vdkpspy63sjmuny.us-east-1.es.amazonaws.com/_plugin/kibana/#/discover/Steve-Slow-Train-Analysis-(2080s-and-2083s)?_g=(refreshInterval:(display:Off,section:0,value:0),time:(from:'2016-09-06 16:30:12-0600',mode:absolute,to:'2016-09-06 18:46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S65" s="113" t="str">
        <f t="shared" si="6"/>
        <v>"C:\Program Files (x86)\AstroGrep\AstroGrep.exe" /spath="%USERPROFILE%\AppData\Local\Temp\OnboardLogs" /stypes="*4019*201609062*" /stext=" 23:.+((SYSTEM_STATE.+slice.+state.+changed )|(ment ac)|(system.+state.+changed )|(\|lc)|(penalty)|(\[timeout)|(PRM\|1\|D)|(kpr)|(kdp))" /e /r /s</v>
      </c>
      <c r="T65" s="9" t="str">
        <f t="shared" si="7"/>
        <v>4019</v>
      </c>
      <c r="U65" s="38">
        <f t="shared" si="8"/>
        <v>42619.990578703706</v>
      </c>
      <c r="V65" s="52" t="str">
        <f t="shared" si="9"/>
        <v>Other</v>
      </c>
      <c r="W65" s="52" t="str">
        <f t="shared" si="10"/>
        <v>KEEP</v>
      </c>
      <c r="X65" s="149" t="str">
        <f t="shared" si="11"/>
        <v>echo {"issue":{"subject":"","project_id":79,"tracker_id":40,"status_id":1,"priority_id":2,"assigned_to_id":23,"start_date":"2016-09-06","description":"","custom_fields":[{"id":1,"name":"Subdivision","value":"Other"},{"id":4,"name":"Milepost","value":"0.0826"},{"id":17,"name":"Train ID","value":"64-06"},{"id":16,"name":"Locomotive ID","value":"4019"},{"id":130,"name":"Impact","value":""},{"id":150,"name":"Time of Event (Mountain Time)","value":"17:46:26"},{"id":151,"name":"Denver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Y65" s="55"/>
      <c r="Z65" s="55"/>
      <c r="AA65" s="55"/>
    </row>
    <row r="66" spans="1:27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33"/>
      <c r="M66" s="92"/>
      <c r="N66" s="131"/>
      <c r="O66" s="10"/>
      <c r="P66" s="33"/>
      <c r="Q66" s="108"/>
      <c r="R66" s="111"/>
      <c r="S66" s="113"/>
      <c r="T66" s="9"/>
      <c r="U66" s="38"/>
      <c r="V66" s="52"/>
      <c r="W66" s="52"/>
      <c r="X66" s="149"/>
      <c r="Y66" s="55"/>
      <c r="Z66" s="55"/>
      <c r="AA66" s="55"/>
    </row>
    <row r="67" spans="1:27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33"/>
      <c r="M67" s="92"/>
      <c r="N67" s="131"/>
      <c r="O67" s="10"/>
      <c r="P67" s="33"/>
      <c r="Q67" s="108"/>
      <c r="R67" s="111"/>
      <c r="S67" s="113"/>
      <c r="T67" s="9"/>
      <c r="U67" s="38"/>
      <c r="V67" s="52"/>
      <c r="W67" s="52"/>
      <c r="X67" s="149"/>
      <c r="Y67" s="55"/>
      <c r="Z67" s="55"/>
      <c r="AA67" s="55"/>
    </row>
    <row r="68" spans="1:27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33"/>
      <c r="M68" s="92"/>
      <c r="N68" s="131"/>
      <c r="O68" s="10"/>
      <c r="P68" s="33"/>
      <c r="Q68" s="108"/>
      <c r="R68" s="111"/>
      <c r="S68" s="113"/>
      <c r="T68" s="9"/>
      <c r="U68" s="38"/>
      <c r="V68" s="52"/>
      <c r="W68" s="52"/>
      <c r="X68" s="149"/>
      <c r="Y68" s="55"/>
      <c r="Z68" s="55"/>
      <c r="AA68" s="55"/>
    </row>
    <row r="69" spans="1:27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33"/>
      <c r="M69" s="92"/>
      <c r="N69" s="131"/>
      <c r="O69" s="10"/>
      <c r="P69" s="33"/>
      <c r="Q69" s="108"/>
      <c r="R69" s="111"/>
      <c r="S69" s="113"/>
      <c r="T69" s="9"/>
      <c r="U69" s="38"/>
      <c r="V69" s="52"/>
      <c r="W69" s="52"/>
      <c r="X69" s="149"/>
      <c r="Y69" s="55"/>
      <c r="Z69" s="55"/>
      <c r="AA69" s="55"/>
    </row>
    <row r="70" spans="1:27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33"/>
      <c r="M70" s="92"/>
      <c r="N70" s="131"/>
      <c r="O70" s="10"/>
      <c r="P70" s="33"/>
      <c r="Q70" s="108"/>
      <c r="R70" s="111"/>
      <c r="S70" s="113"/>
      <c r="T70" s="9"/>
      <c r="U70" s="38"/>
      <c r="V70" s="52"/>
      <c r="W70" s="52"/>
      <c r="X70" s="149"/>
      <c r="Y70" s="55"/>
      <c r="Z70" s="55"/>
      <c r="AA70" s="55"/>
    </row>
    <row r="71" spans="1:27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33"/>
      <c r="M71" s="92"/>
      <c r="N71" s="131"/>
      <c r="O71" s="10"/>
      <c r="P71" s="33"/>
      <c r="Q71" s="108"/>
      <c r="R71" s="111"/>
      <c r="S71" s="113"/>
      <c r="T71" s="9"/>
      <c r="U71" s="38"/>
      <c r="V71" s="52"/>
      <c r="W71" s="52"/>
      <c r="X71" s="149"/>
      <c r="Y71" s="55"/>
      <c r="Z71" s="55"/>
      <c r="AA71" s="55"/>
    </row>
    <row r="72" spans="1:27" x14ac:dyDescent="0.25">
      <c r="B72" s="23"/>
      <c r="C72" s="23"/>
      <c r="D72" s="23"/>
      <c r="E72" s="23"/>
      <c r="J72" s="23"/>
      <c r="L72" s="23"/>
    </row>
  </sheetData>
  <autoFilter ref="A6:AA67"/>
  <sortState ref="A7:W83">
    <sortCondition ref="V7:V83"/>
    <sortCondition ref="E7:E83"/>
    <sortCondition ref="K7:K83"/>
    <sortCondition ref="C7:C83"/>
    <sortCondition ref="F7:F83"/>
  </sortState>
  <mergeCells count="1">
    <mergeCell ref="A5:N5"/>
  </mergeCells>
  <conditionalFormatting sqref="N6:O6 Q6 N7:N1048576">
    <cfRule type="cellIs" dxfId="2" priority="14" operator="equal">
      <formula>"Y"</formula>
    </cfRule>
  </conditionalFormatting>
  <conditionalFormatting sqref="A7:O71">
    <cfRule type="expression" dxfId="1" priority="7">
      <formula>$N7="Y"</formula>
    </cfRule>
  </conditionalFormatting>
  <conditionalFormatting sqref="N2:N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14</xdr:col>
                    <xdr:colOff>352425</xdr:colOff>
                    <xdr:row>1</xdr:row>
                    <xdr:rowOff>28575</xdr:rowOff>
                  </from>
                  <to>
                    <xdr:col>14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AA7:AA52</xm:sqref>
        </x14:dataValidation>
        <x14:dataValidation type="list" allowBlank="1" showInputMessage="1" showErrorMessage="1">
          <x14:formula1>
            <xm:f>'Redmine List Values'!$A$2:$A$7</xm:f>
          </x14:formula1>
          <xm:sqref>Z7:Z52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selection activeCell="I3" sqref="I3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2016-09-06</v>
      </c>
      <c r="C1" s="165"/>
      <c r="D1" s="165"/>
      <c r="E1" s="165"/>
      <c r="F1" s="165"/>
    </row>
    <row r="2" spans="1:11" s="26" customFormat="1" ht="45" x14ac:dyDescent="0.25">
      <c r="A2" s="163" t="s">
        <v>229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120</v>
      </c>
    </row>
    <row r="3" spans="1:11" x14ac:dyDescent="0.25">
      <c r="A3" s="114">
        <v>804</v>
      </c>
      <c r="B3" s="2" t="str">
        <f>A3&amp;"-"&amp;IF(DAY(Variables!$A$2)&lt;10,0,"")&amp;DAY(Variables!$A$2)</f>
        <v>804-06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22804-06%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-06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-06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-06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-06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I69" s="23"/>
      <c r="J69" s="23"/>
      <c r="K69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350</v>
      </c>
      <c r="B1" s="23" t="s">
        <v>351</v>
      </c>
      <c r="C1" s="23" t="s">
        <v>0</v>
      </c>
      <c r="D1" s="23" t="s">
        <v>352</v>
      </c>
      <c r="E1" s="23" t="s">
        <v>353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42619.037164351852</v>
      </c>
      <c r="B2" s="23" t="s">
        <v>215</v>
      </c>
      <c r="C2" s="23" t="s">
        <v>317</v>
      </c>
      <c r="D2" s="23">
        <v>1800000</v>
      </c>
      <c r="E2" s="23" t="s">
        <v>166</v>
      </c>
      <c r="F2" s="23" t="str">
        <f t="shared" ref="F2:F65" si="0">B2</f>
        <v>rtdc.l.rtdc.4019:itc</v>
      </c>
      <c r="G2" s="8">
        <f t="shared" ref="G2:G65" si="1">A2</f>
        <v>42619.037164351852</v>
      </c>
    </row>
    <row r="3" spans="1:7" x14ac:dyDescent="0.25">
      <c r="A3" s="8">
        <v>42619.046215277776</v>
      </c>
      <c r="B3" s="23" t="s">
        <v>93</v>
      </c>
      <c r="C3" s="23" t="s">
        <v>320</v>
      </c>
      <c r="D3" s="23">
        <v>1810000</v>
      </c>
      <c r="E3" s="23" t="s">
        <v>266</v>
      </c>
      <c r="F3" s="23" t="str">
        <f t="shared" si="0"/>
        <v>rtdc.l.rtdc.4027:itc</v>
      </c>
      <c r="G3" s="8">
        <f t="shared" si="1"/>
        <v>42619.046215277776</v>
      </c>
    </row>
    <row r="4" spans="1:7" x14ac:dyDescent="0.25">
      <c r="A4" s="8">
        <v>42619.05127314815</v>
      </c>
      <c r="B4" s="23" t="s">
        <v>345</v>
      </c>
      <c r="C4" s="23" t="s">
        <v>328</v>
      </c>
      <c r="D4" s="23">
        <v>630000</v>
      </c>
      <c r="E4" s="23" t="b">
        <v>1</v>
      </c>
      <c r="F4" s="23" t="str">
        <f t="shared" si="0"/>
        <v>rtdc.l.rtdc.4051:itc</v>
      </c>
      <c r="G4" s="8">
        <f t="shared" si="1"/>
        <v>42619.05127314815</v>
      </c>
    </row>
    <row r="5" spans="1:7" x14ac:dyDescent="0.25">
      <c r="A5" s="8">
        <v>42619.055451388886</v>
      </c>
      <c r="B5" s="23" t="s">
        <v>243</v>
      </c>
      <c r="C5" s="23" t="s">
        <v>319</v>
      </c>
      <c r="D5" s="23">
        <v>1230000</v>
      </c>
      <c r="E5" s="23" t="s">
        <v>162</v>
      </c>
      <c r="F5" s="23" t="str">
        <f t="shared" si="0"/>
        <v>rtdc.l.rtdc.4043:itc</v>
      </c>
      <c r="G5" s="8">
        <f t="shared" si="1"/>
        <v>42619.055451388886</v>
      </c>
    </row>
    <row r="6" spans="1:7" x14ac:dyDescent="0.25">
      <c r="A6" s="8">
        <v>42619.066840277781</v>
      </c>
      <c r="B6" s="23" t="s">
        <v>345</v>
      </c>
      <c r="C6" s="23" t="s">
        <v>328</v>
      </c>
      <c r="D6" s="23">
        <v>630000</v>
      </c>
      <c r="E6" s="23" t="b">
        <v>1</v>
      </c>
      <c r="F6" s="23" t="str">
        <f t="shared" si="0"/>
        <v>rtdc.l.rtdc.4051:itc</v>
      </c>
      <c r="G6" s="8">
        <f t="shared" si="1"/>
        <v>42619.066840277781</v>
      </c>
    </row>
    <row r="7" spans="1:7" x14ac:dyDescent="0.25">
      <c r="A7" s="8">
        <v>42619.070821759262</v>
      </c>
      <c r="B7" s="23" t="s">
        <v>216</v>
      </c>
      <c r="C7" s="23" t="s">
        <v>321</v>
      </c>
      <c r="D7" s="23">
        <v>1800000</v>
      </c>
      <c r="E7" s="23" t="s">
        <v>166</v>
      </c>
      <c r="F7" s="23" t="str">
        <f t="shared" si="0"/>
        <v>rtdc.l.rtdc.4020:itc</v>
      </c>
      <c r="G7" s="8">
        <f t="shared" si="1"/>
        <v>42619.070821759262</v>
      </c>
    </row>
    <row r="8" spans="1:7" x14ac:dyDescent="0.25">
      <c r="A8" s="8">
        <v>42619.072129629632</v>
      </c>
      <c r="B8" s="23" t="s">
        <v>216</v>
      </c>
      <c r="C8" s="23" t="s">
        <v>321</v>
      </c>
      <c r="D8" s="23">
        <v>1800000</v>
      </c>
      <c r="E8" s="23" t="s">
        <v>166</v>
      </c>
      <c r="F8" s="23" t="str">
        <f t="shared" si="0"/>
        <v>rtdc.l.rtdc.4020:itc</v>
      </c>
      <c r="G8" s="8">
        <f t="shared" si="1"/>
        <v>42619.072129629632</v>
      </c>
    </row>
    <row r="9" spans="1:7" ht="15.75" thickBot="1" x14ac:dyDescent="0.3">
      <c r="A9" s="27">
        <v>42619.073541666665</v>
      </c>
      <c r="B9" s="23" t="s">
        <v>345</v>
      </c>
      <c r="C9" s="23" t="s">
        <v>328</v>
      </c>
      <c r="D9" s="23">
        <v>630000</v>
      </c>
      <c r="E9" s="23" t="b">
        <v>1</v>
      </c>
      <c r="F9" s="23" t="str">
        <f t="shared" si="0"/>
        <v>rtdc.l.rtdc.4051:itc</v>
      </c>
      <c r="G9" s="8">
        <f t="shared" si="1"/>
        <v>42619.073541666665</v>
      </c>
    </row>
    <row r="10" spans="1:7" x14ac:dyDescent="0.25">
      <c r="A10" s="8">
        <v>42619.087511574071</v>
      </c>
      <c r="B10" s="23" t="s">
        <v>245</v>
      </c>
      <c r="C10" s="23" t="s">
        <v>322</v>
      </c>
      <c r="D10" s="23">
        <v>1230000</v>
      </c>
      <c r="E10" s="23" t="s">
        <v>162</v>
      </c>
      <c r="F10" s="23" t="str">
        <f t="shared" si="0"/>
        <v>rtdc.l.rtdc.4044:itc</v>
      </c>
      <c r="G10" s="8">
        <f t="shared" si="1"/>
        <v>42619.087511574071</v>
      </c>
    </row>
    <row r="11" spans="1:7" x14ac:dyDescent="0.25">
      <c r="A11" s="8">
        <v>42619.088125000002</v>
      </c>
      <c r="B11" s="23" t="s">
        <v>245</v>
      </c>
      <c r="C11" s="23" t="s">
        <v>322</v>
      </c>
      <c r="D11" s="23">
        <v>1230000</v>
      </c>
      <c r="E11" s="23" t="s">
        <v>162</v>
      </c>
      <c r="F11" s="23" t="str">
        <f t="shared" si="0"/>
        <v>rtdc.l.rtdc.4044:itc</v>
      </c>
      <c r="G11" s="8">
        <f t="shared" si="1"/>
        <v>42619.088125000002</v>
      </c>
    </row>
    <row r="12" spans="1:7" x14ac:dyDescent="0.25">
      <c r="A12" s="8">
        <v>42619.092997685184</v>
      </c>
      <c r="B12" s="23" t="s">
        <v>349</v>
      </c>
      <c r="C12" s="23" t="s">
        <v>324</v>
      </c>
      <c r="D12" s="23">
        <v>630000</v>
      </c>
      <c r="E12" s="23" t="b">
        <v>1</v>
      </c>
      <c r="F12" s="23" t="str">
        <f t="shared" si="0"/>
        <v>rtdc.l.rtdc.4052:itc</v>
      </c>
      <c r="G12" s="8">
        <f t="shared" si="1"/>
        <v>42619.092997685184</v>
      </c>
    </row>
    <row r="13" spans="1:7" x14ac:dyDescent="0.25">
      <c r="A13" s="8">
        <v>42619.110601851855</v>
      </c>
      <c r="B13" s="23" t="s">
        <v>345</v>
      </c>
      <c r="C13" s="23" t="s">
        <v>328</v>
      </c>
      <c r="D13" s="23">
        <v>630000</v>
      </c>
      <c r="E13" s="23" t="b">
        <v>1</v>
      </c>
      <c r="F13" s="23" t="str">
        <f t="shared" si="0"/>
        <v>rtdc.l.rtdc.4051:itc</v>
      </c>
      <c r="G13" s="8">
        <f t="shared" si="1"/>
        <v>42619.110601851855</v>
      </c>
    </row>
    <row r="14" spans="1:7" x14ac:dyDescent="0.25">
      <c r="A14" s="8">
        <v>42619.127557870372</v>
      </c>
      <c r="B14" s="23" t="s">
        <v>349</v>
      </c>
      <c r="C14" s="23" t="s">
        <v>324</v>
      </c>
      <c r="D14" s="23">
        <v>630000</v>
      </c>
      <c r="E14" s="23" t="b">
        <v>1</v>
      </c>
      <c r="F14" s="23" t="str">
        <f t="shared" si="0"/>
        <v>rtdc.l.rtdc.4052:itc</v>
      </c>
      <c r="G14" s="8">
        <f t="shared" si="1"/>
        <v>42619.127557870372</v>
      </c>
    </row>
    <row r="15" spans="1:7" x14ac:dyDescent="0.25">
      <c r="A15" s="8">
        <v>42619.128750000003</v>
      </c>
      <c r="B15" s="23" t="s">
        <v>145</v>
      </c>
      <c r="C15" s="23" t="s">
        <v>361</v>
      </c>
      <c r="D15" s="23">
        <v>2030000</v>
      </c>
      <c r="E15" s="23" t="s">
        <v>263</v>
      </c>
      <c r="F15" s="23" t="str">
        <f t="shared" si="0"/>
        <v>rtdc.l.rtdc.4038:itc</v>
      </c>
      <c r="G15" s="8">
        <f t="shared" si="1"/>
        <v>42619.128750000003</v>
      </c>
    </row>
    <row r="16" spans="1:7" x14ac:dyDescent="0.25">
      <c r="A16" s="8">
        <v>42619.152962962966</v>
      </c>
      <c r="B16" s="23" t="s">
        <v>91</v>
      </c>
      <c r="C16" s="23" t="s">
        <v>362</v>
      </c>
      <c r="D16" s="23">
        <v>2220000</v>
      </c>
      <c r="E16" s="23" t="s">
        <v>235</v>
      </c>
      <c r="F16" s="23" t="str">
        <f t="shared" si="0"/>
        <v>rtdc.l.rtdc.4029:itc</v>
      </c>
      <c r="G16" s="8">
        <f t="shared" si="1"/>
        <v>42619.152962962966</v>
      </c>
    </row>
    <row r="17" spans="1:7" x14ac:dyDescent="0.25">
      <c r="A17" s="8">
        <v>42619.167974537035</v>
      </c>
      <c r="B17" s="23" t="s">
        <v>168</v>
      </c>
      <c r="C17" s="23" t="s">
        <v>363</v>
      </c>
      <c r="D17" s="23">
        <v>1190000</v>
      </c>
      <c r="E17" s="23" t="s">
        <v>346</v>
      </c>
      <c r="F17" s="23" t="str">
        <f t="shared" si="0"/>
        <v>rtdc.l.rtdc.4002:itc</v>
      </c>
      <c r="G17" s="8">
        <f t="shared" si="1"/>
        <v>42619.167974537035</v>
      </c>
    </row>
    <row r="18" spans="1:7" x14ac:dyDescent="0.25">
      <c r="A18" s="8">
        <v>42619.168587962966</v>
      </c>
      <c r="B18" s="23" t="s">
        <v>277</v>
      </c>
      <c r="C18" s="23" t="s">
        <v>364</v>
      </c>
      <c r="D18" s="23">
        <v>2030000</v>
      </c>
      <c r="E18" s="23" t="s">
        <v>263</v>
      </c>
      <c r="F18" s="23" t="str">
        <f t="shared" si="0"/>
        <v>rtdc.l.rtdc.4026:itc</v>
      </c>
      <c r="G18" s="8">
        <f t="shared" si="1"/>
        <v>42619.168587962966</v>
      </c>
    </row>
    <row r="19" spans="1:7" x14ac:dyDescent="0.25">
      <c r="A19" s="8">
        <v>42619.181342592594</v>
      </c>
      <c r="B19" s="23" t="s">
        <v>111</v>
      </c>
      <c r="C19" s="23" t="s">
        <v>365</v>
      </c>
      <c r="D19" s="23">
        <v>1090000</v>
      </c>
      <c r="E19" s="23" t="s">
        <v>347</v>
      </c>
      <c r="F19" s="23" t="str">
        <f t="shared" si="0"/>
        <v>rtdc.l.rtdc.4014:itc</v>
      </c>
      <c r="G19" s="8">
        <f t="shared" si="1"/>
        <v>42619.181342592594</v>
      </c>
    </row>
    <row r="20" spans="1:7" x14ac:dyDescent="0.25">
      <c r="A20" s="8">
        <v>42619.191157407404</v>
      </c>
      <c r="B20" s="23" t="s">
        <v>343</v>
      </c>
      <c r="C20" s="23" t="s">
        <v>366</v>
      </c>
      <c r="D20" s="23">
        <v>2220000</v>
      </c>
      <c r="E20" s="23" t="s">
        <v>235</v>
      </c>
      <c r="F20" s="23" t="str">
        <f t="shared" si="0"/>
        <v>rtdc.l.rtdc.4012:itc</v>
      </c>
      <c r="G20" s="8">
        <f t="shared" si="1"/>
        <v>42619.191157407404</v>
      </c>
    </row>
    <row r="21" spans="1:7" x14ac:dyDescent="0.25">
      <c r="A21" s="8">
        <v>42619.195092592592</v>
      </c>
      <c r="B21" s="23" t="s">
        <v>93</v>
      </c>
      <c r="C21" s="23" t="s">
        <v>367</v>
      </c>
      <c r="D21" s="23">
        <v>1990000</v>
      </c>
      <c r="E21" s="23" t="s">
        <v>275</v>
      </c>
      <c r="F21" s="23" t="str">
        <f t="shared" si="0"/>
        <v>rtdc.l.rtdc.4027:itc</v>
      </c>
      <c r="G21" s="8">
        <f t="shared" si="1"/>
        <v>42619.195092592592</v>
      </c>
    </row>
    <row r="22" spans="1:7" x14ac:dyDescent="0.25">
      <c r="A22" s="29">
        <v>42619.207245370373</v>
      </c>
      <c r="B22" s="23" t="s">
        <v>145</v>
      </c>
      <c r="C22" s="23" t="s">
        <v>368</v>
      </c>
      <c r="D22" s="23">
        <v>1100000</v>
      </c>
      <c r="E22" s="23" t="s">
        <v>369</v>
      </c>
      <c r="F22" s="23" t="str">
        <f t="shared" si="0"/>
        <v>rtdc.l.rtdc.4038:itc</v>
      </c>
      <c r="G22" s="8">
        <f t="shared" si="1"/>
        <v>42619.207245370373</v>
      </c>
    </row>
    <row r="23" spans="1:7" x14ac:dyDescent="0.25">
      <c r="A23" s="8">
        <v>42619.208819444444</v>
      </c>
      <c r="B23" s="23" t="s">
        <v>274</v>
      </c>
      <c r="C23" s="23" t="s">
        <v>370</v>
      </c>
      <c r="D23" s="23">
        <v>2030000</v>
      </c>
      <c r="E23" s="23" t="s">
        <v>263</v>
      </c>
      <c r="F23" s="23" t="str">
        <f t="shared" si="0"/>
        <v>rtdc.l.rtdc.4025:itc</v>
      </c>
      <c r="G23" s="8">
        <f t="shared" si="1"/>
        <v>42619.208819444444</v>
      </c>
    </row>
    <row r="24" spans="1:7" x14ac:dyDescent="0.25">
      <c r="A24" s="8">
        <v>42619.209722222222</v>
      </c>
      <c r="B24" s="23" t="s">
        <v>371</v>
      </c>
      <c r="C24" s="23" t="s">
        <v>372</v>
      </c>
      <c r="D24" s="23">
        <v>1190000</v>
      </c>
      <c r="E24" s="23" t="s">
        <v>346</v>
      </c>
      <c r="F24" s="23" t="str">
        <f t="shared" si="0"/>
        <v>rtdc.l.rtdc.4041:itc</v>
      </c>
      <c r="G24" s="8">
        <f t="shared" si="1"/>
        <v>42619.209722222222</v>
      </c>
    </row>
    <row r="25" spans="1:7" x14ac:dyDescent="0.25">
      <c r="A25" s="8">
        <v>42619.21471064815</v>
      </c>
      <c r="B25" s="23" t="s">
        <v>373</v>
      </c>
      <c r="C25" s="23" t="s">
        <v>374</v>
      </c>
      <c r="D25" s="23">
        <v>1110000</v>
      </c>
      <c r="E25" s="23" t="s">
        <v>276</v>
      </c>
      <c r="F25" s="23" t="str">
        <f t="shared" si="0"/>
        <v>rtdc.l.rtdc.4010:itc</v>
      </c>
      <c r="G25" s="8">
        <f t="shared" si="1"/>
        <v>42619.21471064815</v>
      </c>
    </row>
    <row r="26" spans="1:7" x14ac:dyDescent="0.25">
      <c r="A26" s="8">
        <v>42619.22315972222</v>
      </c>
      <c r="B26" s="23" t="s">
        <v>90</v>
      </c>
      <c r="C26" s="23" t="s">
        <v>375</v>
      </c>
      <c r="D26" s="23">
        <v>1090000</v>
      </c>
      <c r="E26" s="23" t="s">
        <v>347</v>
      </c>
      <c r="F26" s="23" t="str">
        <f t="shared" si="0"/>
        <v>rtdc.l.rtdc.4013:itc</v>
      </c>
      <c r="G26" s="8">
        <f t="shared" si="1"/>
        <v>42619.22315972222</v>
      </c>
    </row>
    <row r="27" spans="1:7" x14ac:dyDescent="0.25">
      <c r="A27" s="8">
        <v>42619.235046296293</v>
      </c>
      <c r="B27" s="23" t="s">
        <v>219</v>
      </c>
      <c r="C27" s="23" t="s">
        <v>376</v>
      </c>
      <c r="D27" s="23">
        <v>1990000</v>
      </c>
      <c r="E27" s="23" t="s">
        <v>275</v>
      </c>
      <c r="F27" s="23" t="str">
        <f t="shared" si="0"/>
        <v>rtdc.l.rtdc.4028:itc</v>
      </c>
      <c r="G27" s="8">
        <f t="shared" si="1"/>
        <v>42619.235046296293</v>
      </c>
    </row>
    <row r="28" spans="1:7" x14ac:dyDescent="0.25">
      <c r="A28" s="8">
        <v>42619.235289351855</v>
      </c>
      <c r="B28" s="23" t="s">
        <v>91</v>
      </c>
      <c r="C28" s="23" t="s">
        <v>377</v>
      </c>
      <c r="D28" s="23">
        <v>900000</v>
      </c>
      <c r="E28" s="23" t="s">
        <v>348</v>
      </c>
      <c r="F28" s="23" t="str">
        <f t="shared" si="0"/>
        <v>rtdc.l.rtdc.4029:itc</v>
      </c>
      <c r="G28" s="8">
        <f t="shared" si="1"/>
        <v>42619.235289351855</v>
      </c>
    </row>
    <row r="29" spans="1:7" x14ac:dyDescent="0.25">
      <c r="A29" s="8">
        <v>42619.236203703702</v>
      </c>
      <c r="B29" s="23" t="s">
        <v>91</v>
      </c>
      <c r="C29" s="23" t="s">
        <v>377</v>
      </c>
      <c r="D29" s="23">
        <v>900000</v>
      </c>
      <c r="E29" s="23" t="s">
        <v>348</v>
      </c>
      <c r="F29" s="23" t="str">
        <f t="shared" si="0"/>
        <v>rtdc.l.rtdc.4029:itc</v>
      </c>
      <c r="G29" s="8">
        <f t="shared" si="1"/>
        <v>42619.236203703702</v>
      </c>
    </row>
    <row r="30" spans="1:7" x14ac:dyDescent="0.25">
      <c r="A30" s="8">
        <v>42619.240034722221</v>
      </c>
      <c r="B30" s="23" t="s">
        <v>230</v>
      </c>
      <c r="C30" s="23" t="s">
        <v>378</v>
      </c>
      <c r="D30" s="23">
        <v>2220000</v>
      </c>
      <c r="E30" s="23" t="s">
        <v>235</v>
      </c>
      <c r="F30" s="23" t="str">
        <f t="shared" si="0"/>
        <v>rtdc.l.rtdc.4011:itc</v>
      </c>
      <c r="G30" s="8">
        <f t="shared" si="1"/>
        <v>42619.240034722221</v>
      </c>
    </row>
    <row r="31" spans="1:7" x14ac:dyDescent="0.25">
      <c r="A31" s="8">
        <v>42619.242245370369</v>
      </c>
      <c r="B31" s="23" t="s">
        <v>165</v>
      </c>
      <c r="C31" s="23" t="s">
        <v>379</v>
      </c>
      <c r="D31" s="23">
        <v>1110000</v>
      </c>
      <c r="E31" s="23" t="s">
        <v>276</v>
      </c>
      <c r="F31" s="23" t="str">
        <f t="shared" si="0"/>
        <v>rtdc.l.rtdc.4009:itc</v>
      </c>
      <c r="G31" s="8">
        <f t="shared" si="1"/>
        <v>42619.242245370369</v>
      </c>
    </row>
    <row r="32" spans="1:7" x14ac:dyDescent="0.25">
      <c r="A32" s="8">
        <v>42619.244131944448</v>
      </c>
      <c r="B32" s="23" t="s">
        <v>140</v>
      </c>
      <c r="C32" s="23" t="s">
        <v>380</v>
      </c>
      <c r="D32" s="23">
        <v>1100000</v>
      </c>
      <c r="E32" s="23" t="s">
        <v>369</v>
      </c>
      <c r="F32" s="23" t="str">
        <f t="shared" si="0"/>
        <v>rtdc.l.rtdc.4037:itc</v>
      </c>
      <c r="G32" s="8">
        <f t="shared" si="1"/>
        <v>42619.244131944448</v>
      </c>
    </row>
    <row r="33" spans="1:7" x14ac:dyDescent="0.25">
      <c r="A33" s="8">
        <v>42619.251620370371</v>
      </c>
      <c r="B33" s="23" t="s">
        <v>168</v>
      </c>
      <c r="C33" s="23" t="s">
        <v>381</v>
      </c>
      <c r="D33" s="23">
        <v>1190000</v>
      </c>
      <c r="E33" s="23" t="s">
        <v>346</v>
      </c>
      <c r="F33" s="23" t="str">
        <f t="shared" si="0"/>
        <v>rtdc.l.rtdc.4002:itc</v>
      </c>
      <c r="G33" s="8">
        <f t="shared" si="1"/>
        <v>42619.251620370371</v>
      </c>
    </row>
    <row r="34" spans="1:7" x14ac:dyDescent="0.25">
      <c r="A34" s="8">
        <v>42619.252500000002</v>
      </c>
      <c r="B34" s="23" t="s">
        <v>168</v>
      </c>
      <c r="C34" s="23" t="s">
        <v>381</v>
      </c>
      <c r="D34" s="23">
        <v>1190000</v>
      </c>
      <c r="E34" s="23" t="s">
        <v>346</v>
      </c>
      <c r="F34" s="23" t="str">
        <f t="shared" si="0"/>
        <v>rtdc.l.rtdc.4002:itc</v>
      </c>
      <c r="G34" s="8">
        <f t="shared" si="1"/>
        <v>42619.252500000002</v>
      </c>
    </row>
    <row r="35" spans="1:7" x14ac:dyDescent="0.25">
      <c r="A35" s="8">
        <v>42619.252627314818</v>
      </c>
      <c r="B35" s="23" t="s">
        <v>277</v>
      </c>
      <c r="C35" s="23" t="s">
        <v>382</v>
      </c>
      <c r="D35" s="23">
        <v>2030000</v>
      </c>
      <c r="E35" s="23" t="s">
        <v>263</v>
      </c>
      <c r="F35" s="23" t="str">
        <f t="shared" si="0"/>
        <v>rtdc.l.rtdc.4026:itc</v>
      </c>
      <c r="G35" s="8">
        <f t="shared" si="1"/>
        <v>42619.252627314818</v>
      </c>
    </row>
    <row r="36" spans="1:7" x14ac:dyDescent="0.25">
      <c r="A36" s="8">
        <v>42619.254189814812</v>
      </c>
      <c r="B36" s="23" t="s">
        <v>168</v>
      </c>
      <c r="C36" s="23" t="s">
        <v>381</v>
      </c>
      <c r="D36" s="23">
        <v>1190000</v>
      </c>
      <c r="E36" s="23" t="s">
        <v>346</v>
      </c>
      <c r="F36" s="23" t="str">
        <f t="shared" si="0"/>
        <v>rtdc.l.rtdc.4002:itc</v>
      </c>
      <c r="G36" s="8">
        <f t="shared" si="1"/>
        <v>42619.254189814812</v>
      </c>
    </row>
    <row r="37" spans="1:7" x14ac:dyDescent="0.25">
      <c r="A37" s="8">
        <v>42619.255335648151</v>
      </c>
      <c r="B37" s="23" t="s">
        <v>373</v>
      </c>
      <c r="C37" s="23" t="s">
        <v>383</v>
      </c>
      <c r="D37" s="23">
        <v>1110000</v>
      </c>
      <c r="E37" s="23" t="s">
        <v>276</v>
      </c>
      <c r="F37" s="23" t="str">
        <f t="shared" si="0"/>
        <v>rtdc.l.rtdc.4010:itc</v>
      </c>
      <c r="G37" s="8">
        <f t="shared" si="1"/>
        <v>42619.255335648151</v>
      </c>
    </row>
    <row r="38" spans="1:7" x14ac:dyDescent="0.25">
      <c r="A38" s="8">
        <v>42619.25854166667</v>
      </c>
      <c r="B38" s="23" t="s">
        <v>264</v>
      </c>
      <c r="C38" s="23" t="s">
        <v>384</v>
      </c>
      <c r="D38" s="23">
        <v>1300000</v>
      </c>
      <c r="E38" s="23" t="s">
        <v>137</v>
      </c>
      <c r="F38" s="23" t="str">
        <f t="shared" si="0"/>
        <v>rtdc.l.rtdc.4018:itc</v>
      </c>
      <c r="G38" s="8">
        <f t="shared" si="1"/>
        <v>42619.25854166667</v>
      </c>
    </row>
    <row r="39" spans="1:7" x14ac:dyDescent="0.25">
      <c r="A39" s="8">
        <v>42619.25917824074</v>
      </c>
      <c r="B39" s="23" t="s">
        <v>264</v>
      </c>
      <c r="C39" s="23" t="s">
        <v>384</v>
      </c>
      <c r="D39" s="23">
        <v>1300000</v>
      </c>
      <c r="E39" s="23" t="s">
        <v>137</v>
      </c>
      <c r="F39" s="23" t="str">
        <f t="shared" si="0"/>
        <v>rtdc.l.rtdc.4018:itc</v>
      </c>
      <c r="G39" s="8">
        <f t="shared" si="1"/>
        <v>42619.25917824074</v>
      </c>
    </row>
    <row r="40" spans="1:7" x14ac:dyDescent="0.25">
      <c r="A40" s="8">
        <v>42619.260081018518</v>
      </c>
      <c r="B40" s="28" t="s">
        <v>264</v>
      </c>
      <c r="C40" s="23" t="s">
        <v>384</v>
      </c>
      <c r="D40" s="23">
        <v>1300000</v>
      </c>
      <c r="E40" s="23" t="s">
        <v>137</v>
      </c>
      <c r="F40" s="23" t="str">
        <f t="shared" si="0"/>
        <v>rtdc.l.rtdc.4018:itc</v>
      </c>
      <c r="G40" s="8">
        <f t="shared" si="1"/>
        <v>42619.260081018518</v>
      </c>
    </row>
    <row r="41" spans="1:7" x14ac:dyDescent="0.25">
      <c r="A41" s="8">
        <v>42619.260208333333</v>
      </c>
      <c r="B41" s="23" t="s">
        <v>111</v>
      </c>
      <c r="C41" s="23" t="s">
        <v>385</v>
      </c>
      <c r="D41" s="23">
        <v>1090000</v>
      </c>
      <c r="E41" s="23" t="s">
        <v>347</v>
      </c>
      <c r="F41" s="23" t="str">
        <f t="shared" si="0"/>
        <v>rtdc.l.rtdc.4014:itc</v>
      </c>
      <c r="G41" s="8">
        <f t="shared" si="1"/>
        <v>42619.260208333333</v>
      </c>
    </row>
    <row r="42" spans="1:7" x14ac:dyDescent="0.25">
      <c r="A42" s="8">
        <v>42619.267453703702</v>
      </c>
      <c r="B42" s="23" t="s">
        <v>92</v>
      </c>
      <c r="C42" s="23" t="s">
        <v>386</v>
      </c>
      <c r="D42" s="23">
        <v>900000</v>
      </c>
      <c r="E42" s="23" t="s">
        <v>348</v>
      </c>
      <c r="F42" s="23" t="str">
        <f t="shared" si="0"/>
        <v>rtdc.l.rtdc.4030:itc</v>
      </c>
      <c r="G42" s="8">
        <f t="shared" si="1"/>
        <v>42619.267453703702</v>
      </c>
    </row>
    <row r="43" spans="1:7" x14ac:dyDescent="0.25">
      <c r="A43" s="8">
        <v>42619.269826388889</v>
      </c>
      <c r="B43" s="23" t="s">
        <v>93</v>
      </c>
      <c r="C43" s="23" t="s">
        <v>387</v>
      </c>
      <c r="D43" s="23">
        <v>1990000</v>
      </c>
      <c r="E43" s="23" t="s">
        <v>275</v>
      </c>
      <c r="F43" s="23" t="str">
        <f t="shared" si="0"/>
        <v>rtdc.l.rtdc.4027:itc</v>
      </c>
      <c r="G43" s="8">
        <f t="shared" si="1"/>
        <v>42619.269826388889</v>
      </c>
    </row>
    <row r="44" spans="1:7" x14ac:dyDescent="0.25">
      <c r="A44" s="8">
        <v>42619.274513888886</v>
      </c>
      <c r="B44" s="23" t="s">
        <v>343</v>
      </c>
      <c r="C44" s="23" t="s">
        <v>388</v>
      </c>
      <c r="D44" s="23">
        <v>2220000</v>
      </c>
      <c r="E44" s="23" t="s">
        <v>235</v>
      </c>
      <c r="F44" s="23" t="str">
        <f t="shared" si="0"/>
        <v>rtdc.l.rtdc.4012:itc</v>
      </c>
      <c r="G44" s="8">
        <f t="shared" si="1"/>
        <v>42619.274513888886</v>
      </c>
    </row>
    <row r="45" spans="1:7" x14ac:dyDescent="0.25">
      <c r="A45" s="8">
        <v>42619.278738425928</v>
      </c>
      <c r="B45" s="23" t="s">
        <v>145</v>
      </c>
      <c r="C45" s="23" t="s">
        <v>389</v>
      </c>
      <c r="D45" s="23">
        <v>1100000</v>
      </c>
      <c r="E45" s="23" t="s">
        <v>369</v>
      </c>
      <c r="F45" s="23" t="str">
        <f t="shared" si="0"/>
        <v>rtdc.l.rtdc.4038:itc</v>
      </c>
      <c r="G45" s="8">
        <f t="shared" si="1"/>
        <v>42619.278738425928</v>
      </c>
    </row>
    <row r="46" spans="1:7" x14ac:dyDescent="0.25">
      <c r="A46" s="8">
        <v>42619.282881944448</v>
      </c>
      <c r="B46" s="23" t="s">
        <v>165</v>
      </c>
      <c r="C46" s="23" t="s">
        <v>390</v>
      </c>
      <c r="D46" s="23">
        <v>1110000</v>
      </c>
      <c r="E46" s="23" t="s">
        <v>276</v>
      </c>
      <c r="F46" s="23" t="str">
        <f t="shared" si="0"/>
        <v>rtdc.l.rtdc.4009:itc</v>
      </c>
      <c r="G46" s="8">
        <f t="shared" si="1"/>
        <v>42619.282881944448</v>
      </c>
    </row>
    <row r="47" spans="1:7" x14ac:dyDescent="0.25">
      <c r="A47" s="8">
        <v>42619.285775462966</v>
      </c>
      <c r="B47" s="23" t="s">
        <v>244</v>
      </c>
      <c r="C47" s="23" t="s">
        <v>391</v>
      </c>
      <c r="D47" s="23">
        <v>1190000</v>
      </c>
      <c r="E47" s="23" t="s">
        <v>346</v>
      </c>
      <c r="F47" s="23" t="str">
        <f t="shared" si="0"/>
        <v>rtdc.l.rtdc.4001:itc</v>
      </c>
      <c r="G47" s="8">
        <f t="shared" si="1"/>
        <v>42619.285775462966</v>
      </c>
    </row>
    <row r="48" spans="1:7" x14ac:dyDescent="0.25">
      <c r="A48" s="8">
        <v>42619.286828703705</v>
      </c>
      <c r="B48" s="23" t="s">
        <v>274</v>
      </c>
      <c r="C48" s="23" t="s">
        <v>392</v>
      </c>
      <c r="D48" s="23">
        <v>2030000</v>
      </c>
      <c r="E48" s="23" t="s">
        <v>263</v>
      </c>
      <c r="F48" s="23" t="str">
        <f t="shared" si="0"/>
        <v>rtdc.l.rtdc.4025:itc</v>
      </c>
      <c r="G48" s="8">
        <f t="shared" si="1"/>
        <v>42619.286828703705</v>
      </c>
    </row>
    <row r="49" spans="1:7" x14ac:dyDescent="0.25">
      <c r="A49" s="8">
        <v>42619.294247685182</v>
      </c>
      <c r="B49" s="23" t="s">
        <v>90</v>
      </c>
      <c r="C49" s="23" t="s">
        <v>393</v>
      </c>
      <c r="D49" s="23">
        <v>1090000</v>
      </c>
      <c r="E49" s="23" t="s">
        <v>347</v>
      </c>
      <c r="F49" s="23" t="str">
        <f t="shared" si="0"/>
        <v>rtdc.l.rtdc.4013:itc</v>
      </c>
      <c r="G49" s="8">
        <f t="shared" si="1"/>
        <v>42619.294247685182</v>
      </c>
    </row>
    <row r="50" spans="1:7" x14ac:dyDescent="0.25">
      <c r="A50" s="8">
        <v>42619.2971875</v>
      </c>
      <c r="B50" s="23" t="s">
        <v>373</v>
      </c>
      <c r="C50" s="23" t="s">
        <v>394</v>
      </c>
      <c r="D50" s="23">
        <v>1110000</v>
      </c>
      <c r="E50" s="23" t="s">
        <v>276</v>
      </c>
      <c r="F50" s="23" t="str">
        <f t="shared" si="0"/>
        <v>rtdc.l.rtdc.4010:itc</v>
      </c>
      <c r="G50" s="8">
        <f t="shared" si="1"/>
        <v>42619.2971875</v>
      </c>
    </row>
    <row r="51" spans="1:7" x14ac:dyDescent="0.25">
      <c r="A51" s="8">
        <v>42619.299942129626</v>
      </c>
      <c r="B51" s="23" t="s">
        <v>91</v>
      </c>
      <c r="C51" s="23" t="s">
        <v>386</v>
      </c>
      <c r="D51" s="23">
        <v>900000</v>
      </c>
      <c r="E51" s="23" t="s">
        <v>348</v>
      </c>
      <c r="F51" s="23" t="str">
        <f t="shared" si="0"/>
        <v>rtdc.l.rtdc.4029:itc</v>
      </c>
      <c r="G51" s="8">
        <f t="shared" si="1"/>
        <v>42619.299942129626</v>
      </c>
    </row>
    <row r="52" spans="1:7" x14ac:dyDescent="0.25">
      <c r="A52" s="8">
        <v>42619.300717592596</v>
      </c>
      <c r="B52" s="23" t="s">
        <v>91</v>
      </c>
      <c r="C52" s="23" t="s">
        <v>395</v>
      </c>
      <c r="D52" s="23">
        <v>900000</v>
      </c>
      <c r="E52" s="23" t="s">
        <v>348</v>
      </c>
      <c r="F52" s="23" t="str">
        <f t="shared" si="0"/>
        <v>rtdc.l.rtdc.4029:itc</v>
      </c>
      <c r="G52" s="8">
        <f t="shared" si="1"/>
        <v>42619.300717592596</v>
      </c>
    </row>
    <row r="53" spans="1:7" x14ac:dyDescent="0.25">
      <c r="A53" s="8">
        <v>42619.301111111112</v>
      </c>
      <c r="B53" s="23" t="s">
        <v>264</v>
      </c>
      <c r="C53" s="23" t="s">
        <v>396</v>
      </c>
      <c r="D53" s="23">
        <v>1300000</v>
      </c>
      <c r="E53" s="23" t="s">
        <v>137</v>
      </c>
      <c r="F53" s="23" t="str">
        <f t="shared" si="0"/>
        <v>rtdc.l.rtdc.4018:itc</v>
      </c>
      <c r="G53" s="8">
        <f t="shared" si="1"/>
        <v>42619.301111111112</v>
      </c>
    </row>
    <row r="54" spans="1:7" x14ac:dyDescent="0.25">
      <c r="A54" s="8">
        <v>42619.305775462963</v>
      </c>
      <c r="B54" s="23" t="s">
        <v>219</v>
      </c>
      <c r="C54" s="23" t="s">
        <v>397</v>
      </c>
      <c r="D54" s="23">
        <v>1990000</v>
      </c>
      <c r="E54" s="23" t="s">
        <v>275</v>
      </c>
      <c r="F54" s="23" t="str">
        <f t="shared" si="0"/>
        <v>rtdc.l.rtdc.4028:itc</v>
      </c>
      <c r="G54" s="8">
        <f t="shared" si="1"/>
        <v>42619.305775462963</v>
      </c>
    </row>
    <row r="55" spans="1:7" x14ac:dyDescent="0.25">
      <c r="A55" s="8">
        <v>42619.308831018519</v>
      </c>
      <c r="B55" s="23" t="s">
        <v>230</v>
      </c>
      <c r="C55" s="23" t="s">
        <v>398</v>
      </c>
      <c r="D55" s="23">
        <v>2220000</v>
      </c>
      <c r="E55" s="23" t="s">
        <v>235</v>
      </c>
      <c r="F55" s="23" t="str">
        <f t="shared" si="0"/>
        <v>rtdc.l.rtdc.4011:itc</v>
      </c>
      <c r="G55" s="8">
        <f t="shared" si="1"/>
        <v>42619.308831018519</v>
      </c>
    </row>
    <row r="56" spans="1:7" x14ac:dyDescent="0.25">
      <c r="A56" s="8">
        <v>42619.316180555557</v>
      </c>
      <c r="B56" s="23" t="s">
        <v>140</v>
      </c>
      <c r="C56" s="23" t="s">
        <v>399</v>
      </c>
      <c r="D56" s="23">
        <v>1100000</v>
      </c>
      <c r="E56" s="23" t="s">
        <v>369</v>
      </c>
      <c r="F56" s="23" t="str">
        <f t="shared" si="0"/>
        <v>rtdc.l.rtdc.4037:itc</v>
      </c>
      <c r="G56" s="8">
        <f t="shared" si="1"/>
        <v>42619.316180555557</v>
      </c>
    </row>
    <row r="57" spans="1:7" x14ac:dyDescent="0.25">
      <c r="A57" s="8">
        <v>42619.317488425928</v>
      </c>
      <c r="B57" s="23" t="s">
        <v>262</v>
      </c>
      <c r="C57" s="23" t="s">
        <v>400</v>
      </c>
      <c r="D57" s="23">
        <v>1300000</v>
      </c>
      <c r="E57" s="23" t="s">
        <v>137</v>
      </c>
      <c r="F57" s="23" t="str">
        <f t="shared" si="0"/>
        <v>rtdc.l.rtdc.4017:itc</v>
      </c>
      <c r="G57" s="8">
        <f t="shared" si="1"/>
        <v>42619.317488425928</v>
      </c>
    </row>
    <row r="58" spans="1:7" x14ac:dyDescent="0.25">
      <c r="A58" s="8">
        <v>42619.319652777776</v>
      </c>
      <c r="B58" s="23" t="s">
        <v>168</v>
      </c>
      <c r="C58" s="23" t="s">
        <v>401</v>
      </c>
      <c r="D58" s="23">
        <v>1190000</v>
      </c>
      <c r="E58" s="23" t="s">
        <v>346</v>
      </c>
      <c r="F58" s="23" t="str">
        <f t="shared" si="0"/>
        <v>rtdc.l.rtdc.4002:itc</v>
      </c>
      <c r="G58" s="8">
        <f t="shared" si="1"/>
        <v>42619.319652777776</v>
      </c>
    </row>
    <row r="59" spans="1:7" x14ac:dyDescent="0.25">
      <c r="A59" s="8">
        <v>42619.324236111112</v>
      </c>
      <c r="B59" s="23" t="s">
        <v>277</v>
      </c>
      <c r="C59" s="23" t="s">
        <v>402</v>
      </c>
      <c r="D59" s="23">
        <v>2030000</v>
      </c>
      <c r="E59" s="23" t="s">
        <v>263</v>
      </c>
      <c r="F59" s="23" t="str">
        <f t="shared" si="0"/>
        <v>rtdc.l.rtdc.4026:itc</v>
      </c>
      <c r="G59" s="8">
        <f t="shared" si="1"/>
        <v>42619.324236111112</v>
      </c>
    </row>
    <row r="60" spans="1:7" x14ac:dyDescent="0.25">
      <c r="A60" s="8">
        <v>42619.324907407405</v>
      </c>
      <c r="B60" s="23" t="s">
        <v>165</v>
      </c>
      <c r="C60" s="23" t="s">
        <v>403</v>
      </c>
      <c r="D60" s="23">
        <v>1110000</v>
      </c>
      <c r="E60" s="23" t="s">
        <v>276</v>
      </c>
      <c r="F60" s="23" t="str">
        <f t="shared" si="0"/>
        <v>rtdc.l.rtdc.4009:itc</v>
      </c>
      <c r="G60" s="8">
        <f t="shared" si="1"/>
        <v>42619.324907407405</v>
      </c>
    </row>
    <row r="61" spans="1:7" x14ac:dyDescent="0.25">
      <c r="A61" s="8">
        <v>42619.330254629633</v>
      </c>
      <c r="B61" s="23" t="s">
        <v>111</v>
      </c>
      <c r="C61" s="23" t="s">
        <v>404</v>
      </c>
      <c r="D61" s="23">
        <v>1090000</v>
      </c>
      <c r="E61" s="23" t="s">
        <v>347</v>
      </c>
      <c r="F61" s="23" t="str">
        <f t="shared" si="0"/>
        <v>rtdc.l.rtdc.4014:itc</v>
      </c>
      <c r="G61" s="8">
        <f t="shared" si="1"/>
        <v>42619.330254629633</v>
      </c>
    </row>
    <row r="62" spans="1:7" x14ac:dyDescent="0.25">
      <c r="A62" s="8">
        <v>42619.337870370371</v>
      </c>
      <c r="B62" s="23" t="s">
        <v>373</v>
      </c>
      <c r="C62" s="23" t="s">
        <v>405</v>
      </c>
      <c r="D62" s="23">
        <v>1110000</v>
      </c>
      <c r="E62" s="23" t="s">
        <v>276</v>
      </c>
      <c r="F62" s="23" t="str">
        <f t="shared" si="0"/>
        <v>rtdc.l.rtdc.4010:itc</v>
      </c>
      <c r="G62" s="8">
        <f t="shared" si="1"/>
        <v>42619.337870370371</v>
      </c>
    </row>
    <row r="63" spans="1:7" x14ac:dyDescent="0.25">
      <c r="A63" s="8">
        <v>42619.340578703705</v>
      </c>
      <c r="B63" s="23" t="s">
        <v>92</v>
      </c>
      <c r="C63" s="23" t="s">
        <v>406</v>
      </c>
      <c r="D63" s="23">
        <v>900000</v>
      </c>
      <c r="E63" s="23" t="s">
        <v>348</v>
      </c>
      <c r="F63" s="23" t="str">
        <f t="shared" si="0"/>
        <v>rtdc.l.rtdc.4030:itc</v>
      </c>
      <c r="G63" s="8">
        <f t="shared" si="1"/>
        <v>42619.340578703705</v>
      </c>
    </row>
    <row r="64" spans="1:7" x14ac:dyDescent="0.25">
      <c r="A64" s="29">
        <v>42619.341539351852</v>
      </c>
      <c r="B64" s="23" t="s">
        <v>93</v>
      </c>
      <c r="C64" s="23" t="s">
        <v>407</v>
      </c>
      <c r="D64" s="23">
        <v>1990000</v>
      </c>
      <c r="E64" s="23" t="s">
        <v>275</v>
      </c>
      <c r="F64" s="23" t="str">
        <f t="shared" si="0"/>
        <v>rtdc.l.rtdc.4027:itc</v>
      </c>
      <c r="G64" s="8">
        <f t="shared" si="1"/>
        <v>42619.341539351852</v>
      </c>
    </row>
    <row r="65" spans="1:7" x14ac:dyDescent="0.25">
      <c r="A65" s="8">
        <v>42619.341747685183</v>
      </c>
      <c r="B65" s="23" t="s">
        <v>264</v>
      </c>
      <c r="C65" s="23" t="s">
        <v>408</v>
      </c>
      <c r="D65" s="23">
        <v>1300000</v>
      </c>
      <c r="E65" s="23" t="s">
        <v>137</v>
      </c>
      <c r="F65" s="23" t="str">
        <f t="shared" si="0"/>
        <v>rtdc.l.rtdc.4018:itc</v>
      </c>
      <c r="G65" s="8">
        <f t="shared" si="1"/>
        <v>42619.341747685183</v>
      </c>
    </row>
    <row r="66" spans="1:7" x14ac:dyDescent="0.25">
      <c r="A66" s="8">
        <v>42619.34679398148</v>
      </c>
      <c r="B66" s="23" t="s">
        <v>343</v>
      </c>
      <c r="C66" s="23" t="s">
        <v>409</v>
      </c>
      <c r="D66" s="23">
        <v>2220000</v>
      </c>
      <c r="E66" s="23" t="s">
        <v>235</v>
      </c>
      <c r="F66" s="23" t="str">
        <f t="shared" ref="F66:F129" si="2">B66</f>
        <v>rtdc.l.rtdc.4012:itc</v>
      </c>
      <c r="G66" s="8">
        <f t="shared" ref="G66:G129" si="3">A66</f>
        <v>42619.34679398148</v>
      </c>
    </row>
    <row r="67" spans="1:7" x14ac:dyDescent="0.25">
      <c r="A67" s="8">
        <v>42619.352037037039</v>
      </c>
      <c r="B67" s="23" t="s">
        <v>145</v>
      </c>
      <c r="C67" s="23" t="s">
        <v>410</v>
      </c>
      <c r="D67" s="23">
        <v>1100000</v>
      </c>
      <c r="E67" s="23" t="s">
        <v>369</v>
      </c>
      <c r="F67" s="23" t="str">
        <f t="shared" si="2"/>
        <v>rtdc.l.rtdc.4038:itc</v>
      </c>
      <c r="G67" s="8">
        <f t="shared" si="3"/>
        <v>42619.352037037039</v>
      </c>
    </row>
    <row r="68" spans="1:7" x14ac:dyDescent="0.25">
      <c r="A68" s="8">
        <v>42619.359189814815</v>
      </c>
      <c r="B68" s="23" t="s">
        <v>262</v>
      </c>
      <c r="C68" s="23" t="s">
        <v>411</v>
      </c>
      <c r="D68" s="23">
        <v>1300000</v>
      </c>
      <c r="E68" s="23" t="s">
        <v>137</v>
      </c>
      <c r="F68" s="23" t="str">
        <f t="shared" si="2"/>
        <v>rtdc.l.rtdc.4017:itc</v>
      </c>
      <c r="G68" s="8">
        <f t="shared" si="3"/>
        <v>42619.359189814815</v>
      </c>
    </row>
    <row r="69" spans="1:7" x14ac:dyDescent="0.25">
      <c r="A69" s="8">
        <v>42619.359606481485</v>
      </c>
      <c r="B69" s="23" t="s">
        <v>244</v>
      </c>
      <c r="C69" s="23" t="s">
        <v>412</v>
      </c>
      <c r="D69" s="23">
        <v>1190000</v>
      </c>
      <c r="E69" s="23" t="s">
        <v>346</v>
      </c>
      <c r="F69" s="23" t="str">
        <f t="shared" si="2"/>
        <v>rtdc.l.rtdc.4001:itc</v>
      </c>
      <c r="G69" s="8">
        <f t="shared" si="3"/>
        <v>42619.359606481485</v>
      </c>
    </row>
    <row r="70" spans="1:7" x14ac:dyDescent="0.25">
      <c r="A70" s="8">
        <v>42619.364189814813</v>
      </c>
      <c r="B70" s="23" t="s">
        <v>274</v>
      </c>
      <c r="C70" s="23" t="s">
        <v>413</v>
      </c>
      <c r="D70" s="23">
        <v>2030000</v>
      </c>
      <c r="E70" s="23" t="s">
        <v>263</v>
      </c>
      <c r="F70" s="23" t="str">
        <f t="shared" si="2"/>
        <v>rtdc.l.rtdc.4025:itc</v>
      </c>
      <c r="G70" s="8">
        <f t="shared" si="3"/>
        <v>42619.364189814813</v>
      </c>
    </row>
    <row r="71" spans="1:7" x14ac:dyDescent="0.25">
      <c r="A71" s="8">
        <v>42619.367291666669</v>
      </c>
      <c r="B71" s="23" t="s">
        <v>90</v>
      </c>
      <c r="C71" s="23" t="s">
        <v>414</v>
      </c>
      <c r="D71" s="23">
        <v>1090000</v>
      </c>
      <c r="E71" s="23" t="s">
        <v>347</v>
      </c>
      <c r="F71" s="23" t="str">
        <f t="shared" si="2"/>
        <v>rtdc.l.rtdc.4013:itc</v>
      </c>
      <c r="G71" s="8">
        <f t="shared" si="3"/>
        <v>42619.367291666669</v>
      </c>
    </row>
    <row r="72" spans="1:7" x14ac:dyDescent="0.25">
      <c r="A72" s="8">
        <v>42619.374143518522</v>
      </c>
      <c r="B72" s="23" t="s">
        <v>91</v>
      </c>
      <c r="C72" s="23" t="s">
        <v>415</v>
      </c>
      <c r="D72" s="23">
        <v>900000</v>
      </c>
      <c r="E72" s="23" t="s">
        <v>348</v>
      </c>
      <c r="F72" s="23" t="str">
        <f t="shared" si="2"/>
        <v>rtdc.l.rtdc.4029:itc</v>
      </c>
      <c r="G72" s="8">
        <f t="shared" si="3"/>
        <v>42619.374143518522</v>
      </c>
    </row>
    <row r="73" spans="1:7" x14ac:dyDescent="0.25">
      <c r="A73" s="8">
        <v>42619.379918981482</v>
      </c>
      <c r="B73" s="23" t="s">
        <v>230</v>
      </c>
      <c r="C73" s="23" t="s">
        <v>416</v>
      </c>
      <c r="D73" s="23">
        <v>2220000</v>
      </c>
      <c r="E73" s="23" t="s">
        <v>235</v>
      </c>
      <c r="F73" s="23" t="str">
        <f t="shared" si="2"/>
        <v>rtdc.l.rtdc.4011:itc</v>
      </c>
      <c r="G73" s="8">
        <f t="shared" si="3"/>
        <v>42619.379918981482</v>
      </c>
    </row>
    <row r="74" spans="1:7" x14ac:dyDescent="0.25">
      <c r="A74" s="8">
        <v>42619.380937499998</v>
      </c>
      <c r="B74" s="23" t="s">
        <v>219</v>
      </c>
      <c r="C74" s="23" t="s">
        <v>417</v>
      </c>
      <c r="D74" s="23">
        <v>1990000</v>
      </c>
      <c r="E74" s="23" t="s">
        <v>275</v>
      </c>
      <c r="F74" s="23" t="str">
        <f t="shared" si="2"/>
        <v>rtdc.l.rtdc.4028:itc</v>
      </c>
      <c r="G74" s="8">
        <f t="shared" si="3"/>
        <v>42619.380937499998</v>
      </c>
    </row>
    <row r="75" spans="1:7" x14ac:dyDescent="0.25">
      <c r="A75" s="8">
        <v>42619.382881944446</v>
      </c>
      <c r="B75" s="23" t="s">
        <v>264</v>
      </c>
      <c r="C75" s="23" t="s">
        <v>418</v>
      </c>
      <c r="D75" s="23">
        <v>1300000</v>
      </c>
      <c r="E75" s="23" t="s">
        <v>137</v>
      </c>
      <c r="F75" s="23" t="str">
        <f t="shared" si="2"/>
        <v>rtdc.l.rtdc.4018:itc</v>
      </c>
      <c r="G75" s="8">
        <f t="shared" si="3"/>
        <v>42619.382881944446</v>
      </c>
    </row>
    <row r="76" spans="1:7" x14ac:dyDescent="0.25">
      <c r="A76" s="8">
        <v>42619.389317129629</v>
      </c>
      <c r="B76" s="23" t="s">
        <v>140</v>
      </c>
      <c r="C76" s="23" t="s">
        <v>419</v>
      </c>
      <c r="D76" s="23">
        <v>1100000</v>
      </c>
      <c r="E76" s="23" t="s">
        <v>369</v>
      </c>
      <c r="F76" s="23" t="str">
        <f t="shared" si="2"/>
        <v>rtdc.l.rtdc.4037:itc</v>
      </c>
      <c r="G76" s="8">
        <f t="shared" si="3"/>
        <v>42619.389317129629</v>
      </c>
    </row>
    <row r="77" spans="1:7" x14ac:dyDescent="0.25">
      <c r="A77" s="8">
        <v>42619.391226851854</v>
      </c>
      <c r="B77" s="23" t="s">
        <v>168</v>
      </c>
      <c r="C77" s="23" t="s">
        <v>420</v>
      </c>
      <c r="D77" s="23">
        <v>1190000</v>
      </c>
      <c r="E77" s="23" t="s">
        <v>346</v>
      </c>
      <c r="F77" s="23" t="str">
        <f t="shared" si="2"/>
        <v>rtdc.l.rtdc.4002:itc</v>
      </c>
      <c r="G77" s="8">
        <f t="shared" si="3"/>
        <v>42619.391226851854</v>
      </c>
    </row>
    <row r="78" spans="1:7" x14ac:dyDescent="0.25">
      <c r="A78" s="8">
        <v>42619.39675925926</v>
      </c>
      <c r="B78" s="23" t="s">
        <v>277</v>
      </c>
      <c r="C78" s="23" t="s">
        <v>421</v>
      </c>
      <c r="D78" s="23">
        <v>2030000</v>
      </c>
      <c r="E78" s="23" t="s">
        <v>263</v>
      </c>
      <c r="F78" s="23" t="str">
        <f t="shared" si="2"/>
        <v>rtdc.l.rtdc.4026:itc</v>
      </c>
      <c r="G78" s="8">
        <f t="shared" si="3"/>
        <v>42619.39675925926</v>
      </c>
    </row>
    <row r="79" spans="1:7" x14ac:dyDescent="0.25">
      <c r="A79" s="8">
        <v>42619.40121527778</v>
      </c>
      <c r="B79" s="23" t="s">
        <v>262</v>
      </c>
      <c r="C79" s="23" t="s">
        <v>422</v>
      </c>
      <c r="D79" s="23">
        <v>1300000</v>
      </c>
      <c r="E79" s="23" t="s">
        <v>137</v>
      </c>
      <c r="F79" s="23" t="str">
        <f t="shared" si="2"/>
        <v>rtdc.l.rtdc.4017:itc</v>
      </c>
      <c r="G79" s="8">
        <f t="shared" si="3"/>
        <v>42619.40121527778</v>
      </c>
    </row>
    <row r="80" spans="1:7" x14ac:dyDescent="0.25">
      <c r="A80" s="8">
        <v>42619.405173611114</v>
      </c>
      <c r="B80" s="23" t="s">
        <v>111</v>
      </c>
      <c r="C80" s="23" t="s">
        <v>423</v>
      </c>
      <c r="D80" s="23">
        <v>1090000</v>
      </c>
      <c r="E80" s="23" t="s">
        <v>347</v>
      </c>
      <c r="F80" s="23" t="str">
        <f t="shared" si="2"/>
        <v>rtdc.l.rtdc.4014:itc</v>
      </c>
      <c r="G80" s="8">
        <f t="shared" si="3"/>
        <v>42619.405173611114</v>
      </c>
    </row>
    <row r="81" spans="1:7" x14ac:dyDescent="0.25">
      <c r="A81" s="8">
        <v>42619.407719907409</v>
      </c>
      <c r="B81" s="23" t="s">
        <v>92</v>
      </c>
      <c r="C81" s="23" t="s">
        <v>424</v>
      </c>
      <c r="D81" s="23">
        <v>900000</v>
      </c>
      <c r="E81" s="23" t="s">
        <v>348</v>
      </c>
      <c r="F81" s="23" t="str">
        <f t="shared" si="2"/>
        <v>rtdc.l.rtdc.4030:itc</v>
      </c>
      <c r="G81" s="8">
        <f t="shared" si="3"/>
        <v>42619.407719907409</v>
      </c>
    </row>
    <row r="82" spans="1:7" x14ac:dyDescent="0.25">
      <c r="A82" s="8">
        <v>42619.411898148152</v>
      </c>
      <c r="B82" s="23" t="s">
        <v>93</v>
      </c>
      <c r="C82" s="23" t="s">
        <v>425</v>
      </c>
      <c r="D82" s="23">
        <v>1990000</v>
      </c>
      <c r="E82" s="23" t="s">
        <v>275</v>
      </c>
      <c r="F82" s="23" t="str">
        <f t="shared" si="2"/>
        <v>rtdc.l.rtdc.4027:itc</v>
      </c>
      <c r="G82" s="8">
        <f t="shared" si="3"/>
        <v>42619.411898148152</v>
      </c>
    </row>
    <row r="83" spans="1:7" x14ac:dyDescent="0.25">
      <c r="A83" s="8">
        <v>42619.416539351849</v>
      </c>
      <c r="B83" s="23" t="s">
        <v>343</v>
      </c>
      <c r="C83" s="23" t="s">
        <v>426</v>
      </c>
      <c r="D83" s="23">
        <v>2220000</v>
      </c>
      <c r="E83" s="23" t="s">
        <v>235</v>
      </c>
      <c r="F83" s="23" t="str">
        <f t="shared" si="2"/>
        <v>rtdc.l.rtdc.4012:itc</v>
      </c>
      <c r="G83" s="8">
        <f t="shared" si="3"/>
        <v>42619.416539351849</v>
      </c>
    </row>
    <row r="84" spans="1:7" x14ac:dyDescent="0.25">
      <c r="A84" s="8">
        <v>42619.418900462966</v>
      </c>
      <c r="B84" s="23" t="s">
        <v>92</v>
      </c>
      <c r="C84" s="23" t="s">
        <v>424</v>
      </c>
      <c r="D84" s="23">
        <v>900000</v>
      </c>
      <c r="E84" s="23" t="s">
        <v>348</v>
      </c>
      <c r="F84" s="23" t="str">
        <f t="shared" si="2"/>
        <v>rtdc.l.rtdc.4030:itc</v>
      </c>
      <c r="G84" s="8">
        <f t="shared" si="3"/>
        <v>42619.418900462966</v>
      </c>
    </row>
    <row r="85" spans="1:7" x14ac:dyDescent="0.25">
      <c r="A85" s="8">
        <v>42619.423437500001</v>
      </c>
      <c r="B85" s="23" t="s">
        <v>264</v>
      </c>
      <c r="C85" s="23" t="s">
        <v>427</v>
      </c>
      <c r="D85" s="23">
        <v>1300000</v>
      </c>
      <c r="E85" s="23" t="s">
        <v>137</v>
      </c>
      <c r="F85" s="23" t="str">
        <f t="shared" si="2"/>
        <v>rtdc.l.rtdc.4018:itc</v>
      </c>
      <c r="G85" s="8">
        <f t="shared" si="3"/>
        <v>42619.423437500001</v>
      </c>
    </row>
    <row r="86" spans="1:7" x14ac:dyDescent="0.25">
      <c r="A86" s="8">
        <v>42619.423958333333</v>
      </c>
      <c r="B86" s="23" t="s">
        <v>145</v>
      </c>
      <c r="C86" s="23" t="s">
        <v>428</v>
      </c>
      <c r="D86" s="23">
        <v>1100000</v>
      </c>
      <c r="E86" s="23" t="s">
        <v>369</v>
      </c>
      <c r="F86" s="23" t="str">
        <f t="shared" si="2"/>
        <v>rtdc.l.rtdc.4038:itc</v>
      </c>
      <c r="G86" s="8">
        <f t="shared" si="3"/>
        <v>42619.423958333333</v>
      </c>
    </row>
    <row r="87" spans="1:7" x14ac:dyDescent="0.25">
      <c r="A87" s="8">
        <v>42619.428229166668</v>
      </c>
      <c r="B87" s="23" t="s">
        <v>244</v>
      </c>
      <c r="C87" s="23" t="s">
        <v>429</v>
      </c>
      <c r="D87" s="23">
        <v>1190000</v>
      </c>
      <c r="E87" s="23" t="s">
        <v>346</v>
      </c>
      <c r="F87" s="23" t="str">
        <f t="shared" si="2"/>
        <v>rtdc.l.rtdc.4001:itc</v>
      </c>
      <c r="G87" s="8">
        <f t="shared" si="3"/>
        <v>42619.428229166668</v>
      </c>
    </row>
    <row r="88" spans="1:7" x14ac:dyDescent="0.25">
      <c r="A88" s="8">
        <v>42619.435671296298</v>
      </c>
      <c r="B88" s="23" t="s">
        <v>274</v>
      </c>
      <c r="C88" s="23" t="s">
        <v>430</v>
      </c>
      <c r="D88" s="23">
        <v>1110000</v>
      </c>
      <c r="E88" s="23" t="s">
        <v>276</v>
      </c>
      <c r="F88" s="23" t="str">
        <f t="shared" si="2"/>
        <v>rtdc.l.rtdc.4025:itc</v>
      </c>
      <c r="G88" s="8">
        <f t="shared" si="3"/>
        <v>42619.435671296298</v>
      </c>
    </row>
    <row r="89" spans="1:7" x14ac:dyDescent="0.25">
      <c r="A89" s="8">
        <v>42619.441180555557</v>
      </c>
      <c r="B89" s="23" t="s">
        <v>90</v>
      </c>
      <c r="C89" s="23" t="s">
        <v>431</v>
      </c>
      <c r="D89" s="23">
        <v>1090000</v>
      </c>
      <c r="E89" s="23" t="s">
        <v>347</v>
      </c>
      <c r="F89" s="23" t="str">
        <f t="shared" si="2"/>
        <v>rtdc.l.rtdc.4013:itc</v>
      </c>
      <c r="G89" s="8">
        <f t="shared" si="3"/>
        <v>42619.441180555557</v>
      </c>
    </row>
    <row r="90" spans="1:7" x14ac:dyDescent="0.25">
      <c r="A90" s="8">
        <v>42619.441990740743</v>
      </c>
      <c r="B90" s="23" t="s">
        <v>262</v>
      </c>
      <c r="C90" s="23" t="s">
        <v>432</v>
      </c>
      <c r="D90" s="23">
        <v>1300000</v>
      </c>
      <c r="E90" s="23" t="s">
        <v>137</v>
      </c>
      <c r="F90" s="23" t="str">
        <f t="shared" si="2"/>
        <v>rtdc.l.rtdc.4017:itc</v>
      </c>
      <c r="G90" s="8">
        <f t="shared" si="3"/>
        <v>42619.441990740743</v>
      </c>
    </row>
    <row r="91" spans="1:7" x14ac:dyDescent="0.25">
      <c r="A91" s="8">
        <v>42619.444710648146</v>
      </c>
      <c r="B91" s="23" t="s">
        <v>262</v>
      </c>
      <c r="C91" s="23" t="s">
        <v>432</v>
      </c>
      <c r="D91" s="23">
        <v>1300000</v>
      </c>
      <c r="E91" s="23" t="s">
        <v>137</v>
      </c>
      <c r="F91" s="23" t="str">
        <f t="shared" si="2"/>
        <v>rtdc.l.rtdc.4017:itc</v>
      </c>
      <c r="G91" s="8">
        <f t="shared" si="3"/>
        <v>42619.444710648146</v>
      </c>
    </row>
    <row r="92" spans="1:7" x14ac:dyDescent="0.25">
      <c r="A92" s="8">
        <v>42619.445694444446</v>
      </c>
      <c r="B92" s="23" t="s">
        <v>91</v>
      </c>
      <c r="C92" s="23" t="s">
        <v>433</v>
      </c>
      <c r="D92" s="23">
        <v>900000</v>
      </c>
      <c r="E92" s="23" t="s">
        <v>348</v>
      </c>
      <c r="F92" s="23" t="str">
        <f t="shared" si="2"/>
        <v>rtdc.l.rtdc.4029:itc</v>
      </c>
      <c r="G92" s="8">
        <f t="shared" si="3"/>
        <v>42619.445694444446</v>
      </c>
    </row>
    <row r="93" spans="1:7" x14ac:dyDescent="0.25">
      <c r="A93" s="8">
        <v>42619.450925925928</v>
      </c>
      <c r="B93" s="23" t="s">
        <v>219</v>
      </c>
      <c r="C93" s="23" t="s">
        <v>434</v>
      </c>
      <c r="D93" s="23">
        <v>1990000</v>
      </c>
      <c r="E93" s="23" t="s">
        <v>275</v>
      </c>
      <c r="F93" s="23" t="str">
        <f t="shared" si="2"/>
        <v>rtdc.l.rtdc.4028:itc</v>
      </c>
      <c r="G93" s="8">
        <f t="shared" si="3"/>
        <v>42619.450925925928</v>
      </c>
    </row>
    <row r="94" spans="1:7" x14ac:dyDescent="0.25">
      <c r="A94" s="8">
        <v>42619.455335648148</v>
      </c>
      <c r="B94" s="23" t="s">
        <v>230</v>
      </c>
      <c r="C94" s="23" t="s">
        <v>435</v>
      </c>
      <c r="D94" s="23">
        <v>1280000</v>
      </c>
      <c r="E94" s="23" t="s">
        <v>278</v>
      </c>
      <c r="F94" s="23" t="str">
        <f t="shared" si="2"/>
        <v>rtdc.l.rtdc.4011:itc</v>
      </c>
      <c r="G94" s="8">
        <f t="shared" si="3"/>
        <v>42619.455335648148</v>
      </c>
    </row>
    <row r="95" spans="1:7" x14ac:dyDescent="0.25">
      <c r="A95" s="8">
        <v>42619.463182870371</v>
      </c>
      <c r="B95" s="23" t="s">
        <v>140</v>
      </c>
      <c r="C95" s="23" t="s">
        <v>436</v>
      </c>
      <c r="D95" s="23">
        <v>1100000</v>
      </c>
      <c r="E95" s="23" t="s">
        <v>369</v>
      </c>
      <c r="F95" s="23" t="str">
        <f t="shared" si="2"/>
        <v>rtdc.l.rtdc.4037:itc</v>
      </c>
      <c r="G95" s="8">
        <f t="shared" si="3"/>
        <v>42619.463182870371</v>
      </c>
    </row>
    <row r="96" spans="1:7" x14ac:dyDescent="0.25">
      <c r="A96" s="8">
        <v>42619.464768518519</v>
      </c>
      <c r="B96" s="23" t="s">
        <v>168</v>
      </c>
      <c r="C96" s="23" t="s">
        <v>437</v>
      </c>
      <c r="D96" s="23">
        <v>1360000</v>
      </c>
      <c r="E96" s="23" t="s">
        <v>438</v>
      </c>
      <c r="F96" s="23" t="str">
        <f t="shared" si="2"/>
        <v>rtdc.l.rtdc.4002:itc</v>
      </c>
      <c r="G96" s="8">
        <f t="shared" si="3"/>
        <v>42619.464768518519</v>
      </c>
    </row>
    <row r="97" spans="1:7" x14ac:dyDescent="0.25">
      <c r="A97" s="8">
        <v>42619.469247685185</v>
      </c>
      <c r="B97" s="23" t="s">
        <v>264</v>
      </c>
      <c r="C97" s="23" t="s">
        <v>439</v>
      </c>
      <c r="D97" s="23">
        <v>1300000</v>
      </c>
      <c r="E97" s="23" t="s">
        <v>137</v>
      </c>
      <c r="F97" s="23" t="str">
        <f t="shared" si="2"/>
        <v>rtdc.l.rtdc.4018:itc</v>
      </c>
      <c r="G97" s="8">
        <f t="shared" si="3"/>
        <v>42619.469247685185</v>
      </c>
    </row>
    <row r="98" spans="1:7" x14ac:dyDescent="0.25">
      <c r="A98" s="8">
        <v>42619.473773148151</v>
      </c>
      <c r="B98" s="23" t="s">
        <v>440</v>
      </c>
      <c r="C98" s="23" t="s">
        <v>441</v>
      </c>
      <c r="D98" s="23">
        <v>1540000</v>
      </c>
      <c r="E98" s="23" t="s">
        <v>354</v>
      </c>
      <c r="F98" s="23" t="str">
        <f t="shared" si="2"/>
        <v>rtdc.l.rtdc.4042:itc</v>
      </c>
      <c r="G98" s="8">
        <f t="shared" si="3"/>
        <v>42619.473773148151</v>
      </c>
    </row>
    <row r="99" spans="1:7" x14ac:dyDescent="0.25">
      <c r="A99" s="8">
        <v>42619.474560185183</v>
      </c>
      <c r="B99" s="23" t="s">
        <v>440</v>
      </c>
      <c r="C99" s="23" t="s">
        <v>441</v>
      </c>
      <c r="D99" s="23">
        <v>1540000</v>
      </c>
      <c r="E99" s="23" t="s">
        <v>354</v>
      </c>
      <c r="F99" s="23" t="str">
        <f t="shared" si="2"/>
        <v>rtdc.l.rtdc.4042:itc</v>
      </c>
      <c r="G99" s="8">
        <f t="shared" si="3"/>
        <v>42619.474560185183</v>
      </c>
    </row>
    <row r="100" spans="1:7" x14ac:dyDescent="0.25">
      <c r="A100" s="8">
        <v>42619.474664351852</v>
      </c>
      <c r="B100" s="23" t="s">
        <v>277</v>
      </c>
      <c r="C100" s="23" t="s">
        <v>442</v>
      </c>
      <c r="D100" s="23">
        <v>1110000</v>
      </c>
      <c r="E100" s="23" t="s">
        <v>276</v>
      </c>
      <c r="F100" s="23" t="str">
        <f t="shared" si="2"/>
        <v>rtdc.l.rtdc.4026:itc</v>
      </c>
      <c r="G100" s="8">
        <f t="shared" si="3"/>
        <v>42619.474664351852</v>
      </c>
    </row>
    <row r="101" spans="1:7" x14ac:dyDescent="0.25">
      <c r="A101" s="8">
        <v>42619.48269675926</v>
      </c>
      <c r="B101" s="23" t="s">
        <v>92</v>
      </c>
      <c r="C101" s="23" t="s">
        <v>443</v>
      </c>
      <c r="D101" s="23">
        <v>900000</v>
      </c>
      <c r="E101" s="23" t="s">
        <v>348</v>
      </c>
      <c r="F101" s="23" t="str">
        <f t="shared" si="2"/>
        <v>rtdc.l.rtdc.4030:itc</v>
      </c>
      <c r="G101" s="8">
        <f t="shared" si="3"/>
        <v>42619.48269675926</v>
      </c>
    </row>
    <row r="102" spans="1:7" x14ac:dyDescent="0.25">
      <c r="A102" s="8">
        <v>42619.484236111108</v>
      </c>
      <c r="B102" s="23" t="s">
        <v>262</v>
      </c>
      <c r="C102" s="23" t="s">
        <v>444</v>
      </c>
      <c r="D102" s="23">
        <v>1300000</v>
      </c>
      <c r="E102" s="23" t="s">
        <v>137</v>
      </c>
      <c r="F102" s="23" t="str">
        <f t="shared" si="2"/>
        <v>rtdc.l.rtdc.4017:itc</v>
      </c>
      <c r="G102" s="8">
        <f t="shared" si="3"/>
        <v>42619.484236111108</v>
      </c>
    </row>
    <row r="103" spans="1:7" x14ac:dyDescent="0.25">
      <c r="A103" s="8">
        <v>42619.486180555556</v>
      </c>
      <c r="B103" s="23" t="s">
        <v>93</v>
      </c>
      <c r="C103" s="23" t="s">
        <v>445</v>
      </c>
      <c r="D103" s="23">
        <v>2250000</v>
      </c>
      <c r="E103" s="23" t="s">
        <v>446</v>
      </c>
      <c r="F103" s="23" t="str">
        <f t="shared" si="2"/>
        <v>rtdc.l.rtdc.4027:itc</v>
      </c>
      <c r="G103" s="8">
        <f t="shared" si="3"/>
        <v>42619.486180555556</v>
      </c>
    </row>
    <row r="104" spans="1:7" x14ac:dyDescent="0.25">
      <c r="A104" s="8">
        <v>42619.493356481478</v>
      </c>
      <c r="B104" s="23" t="s">
        <v>343</v>
      </c>
      <c r="C104" s="23" t="s">
        <v>447</v>
      </c>
      <c r="D104" s="23">
        <v>1280000</v>
      </c>
      <c r="E104" s="23" t="s">
        <v>278</v>
      </c>
      <c r="F104" s="23" t="str">
        <f t="shared" si="2"/>
        <v>rtdc.l.rtdc.4012:itc</v>
      </c>
      <c r="G104" s="8">
        <f t="shared" si="3"/>
        <v>42619.493356481478</v>
      </c>
    </row>
    <row r="105" spans="1:7" x14ac:dyDescent="0.25">
      <c r="A105" s="8">
        <v>42619.495300925926</v>
      </c>
      <c r="B105" s="23" t="s">
        <v>244</v>
      </c>
      <c r="C105" s="23" t="s">
        <v>448</v>
      </c>
      <c r="D105" s="23">
        <v>1360000</v>
      </c>
      <c r="E105" s="23" t="s">
        <v>438</v>
      </c>
      <c r="F105" s="23" t="str">
        <f t="shared" si="2"/>
        <v>rtdc.l.rtdc.4001:itc</v>
      </c>
      <c r="G105" s="8">
        <f t="shared" si="3"/>
        <v>42619.495300925926</v>
      </c>
    </row>
    <row r="106" spans="1:7" x14ac:dyDescent="0.25">
      <c r="A106" s="8">
        <v>42619.497048611112</v>
      </c>
      <c r="B106" s="23" t="s">
        <v>145</v>
      </c>
      <c r="C106" s="23" t="s">
        <v>449</v>
      </c>
      <c r="D106" s="23">
        <v>1140000</v>
      </c>
      <c r="E106" s="23" t="s">
        <v>279</v>
      </c>
      <c r="F106" s="23" t="str">
        <f t="shared" si="2"/>
        <v>rtdc.l.rtdc.4038:itc</v>
      </c>
      <c r="G106" s="8">
        <f t="shared" si="3"/>
        <v>42619.497048611112</v>
      </c>
    </row>
    <row r="107" spans="1:7" x14ac:dyDescent="0.25">
      <c r="A107" s="8">
        <v>42619.506631944445</v>
      </c>
      <c r="B107" s="23" t="s">
        <v>264</v>
      </c>
      <c r="C107" s="23" t="s">
        <v>450</v>
      </c>
      <c r="D107" s="23">
        <v>1300000</v>
      </c>
      <c r="E107" s="23" t="s">
        <v>137</v>
      </c>
      <c r="F107" s="23" t="str">
        <f t="shared" si="2"/>
        <v>rtdc.l.rtdc.4018:itc</v>
      </c>
      <c r="G107" s="8">
        <f t="shared" si="3"/>
        <v>42619.506631944445</v>
      </c>
    </row>
    <row r="108" spans="1:7" x14ac:dyDescent="0.25">
      <c r="A108" s="8">
        <v>42619.509027777778</v>
      </c>
      <c r="B108" s="23" t="s">
        <v>274</v>
      </c>
      <c r="C108" s="23" t="s">
        <v>451</v>
      </c>
      <c r="D108" s="23">
        <v>930000</v>
      </c>
      <c r="E108" s="23" t="s">
        <v>261</v>
      </c>
      <c r="F108" s="23" t="str">
        <f t="shared" si="2"/>
        <v>rtdc.l.rtdc.4025:itc</v>
      </c>
      <c r="G108" s="8">
        <f t="shared" si="3"/>
        <v>42619.509027777778</v>
      </c>
    </row>
    <row r="109" spans="1:7" x14ac:dyDescent="0.25">
      <c r="A109" s="8">
        <v>42619.516469907408</v>
      </c>
      <c r="B109" s="23" t="s">
        <v>91</v>
      </c>
      <c r="C109" s="23" t="s">
        <v>452</v>
      </c>
      <c r="D109" s="23">
        <v>900000</v>
      </c>
      <c r="E109" s="23" t="s">
        <v>348</v>
      </c>
      <c r="F109" s="23" t="str">
        <f t="shared" si="2"/>
        <v>rtdc.l.rtdc.4029:itc</v>
      </c>
      <c r="G109" s="8">
        <f t="shared" si="3"/>
        <v>42619.516469907408</v>
      </c>
    </row>
    <row r="110" spans="1:7" x14ac:dyDescent="0.25">
      <c r="A110" s="8">
        <v>42619.516597222224</v>
      </c>
      <c r="B110" s="23" t="s">
        <v>371</v>
      </c>
      <c r="C110" s="23" t="s">
        <v>453</v>
      </c>
      <c r="D110" s="23">
        <v>1540000</v>
      </c>
      <c r="E110" s="23" t="s">
        <v>354</v>
      </c>
      <c r="F110" s="23" t="str">
        <f t="shared" si="2"/>
        <v>rtdc.l.rtdc.4041:itc</v>
      </c>
      <c r="G110" s="8">
        <f t="shared" si="3"/>
        <v>42619.516597222224</v>
      </c>
    </row>
    <row r="111" spans="1:7" x14ac:dyDescent="0.25">
      <c r="A111" s="8">
        <v>42619.522581018522</v>
      </c>
      <c r="B111" s="23" t="s">
        <v>219</v>
      </c>
      <c r="C111" s="23" t="s">
        <v>454</v>
      </c>
      <c r="D111" s="23">
        <v>2250000</v>
      </c>
      <c r="E111" s="23" t="s">
        <v>446</v>
      </c>
      <c r="F111" s="23" t="str">
        <f t="shared" si="2"/>
        <v>rtdc.l.rtdc.4028:itc</v>
      </c>
      <c r="G111" s="8">
        <f t="shared" si="3"/>
        <v>42619.522581018522</v>
      </c>
    </row>
    <row r="112" spans="1:7" x14ac:dyDescent="0.25">
      <c r="A112" s="8">
        <v>42619.525775462964</v>
      </c>
      <c r="B112" s="23" t="s">
        <v>262</v>
      </c>
      <c r="C112" s="23" t="s">
        <v>455</v>
      </c>
      <c r="D112" s="23">
        <v>1300000</v>
      </c>
      <c r="E112" s="23" t="s">
        <v>137</v>
      </c>
      <c r="F112" s="23" t="str">
        <f t="shared" si="2"/>
        <v>rtdc.l.rtdc.4017:itc</v>
      </c>
      <c r="G112" s="8">
        <f t="shared" si="3"/>
        <v>42619.525775462964</v>
      </c>
    </row>
    <row r="113" spans="1:7" x14ac:dyDescent="0.25">
      <c r="A113" s="8">
        <v>42619.528611111113</v>
      </c>
      <c r="B113" s="23" t="s">
        <v>230</v>
      </c>
      <c r="C113" s="23" t="s">
        <v>456</v>
      </c>
      <c r="D113" s="23">
        <v>1280000</v>
      </c>
      <c r="E113" s="23" t="s">
        <v>278</v>
      </c>
      <c r="F113" s="23" t="str">
        <f t="shared" si="2"/>
        <v>rtdc.l.rtdc.4011:itc</v>
      </c>
      <c r="G113" s="8">
        <f t="shared" si="3"/>
        <v>42619.528611111113</v>
      </c>
    </row>
    <row r="114" spans="1:7" x14ac:dyDescent="0.25">
      <c r="A114" s="8">
        <v>42619.534861111111</v>
      </c>
      <c r="B114" s="23" t="s">
        <v>140</v>
      </c>
      <c r="C114" s="23" t="s">
        <v>457</v>
      </c>
      <c r="D114" s="23">
        <v>1140000</v>
      </c>
      <c r="E114" s="23" t="s">
        <v>279</v>
      </c>
      <c r="F114" s="23" t="str">
        <f t="shared" si="2"/>
        <v>rtdc.l.rtdc.4037:itc</v>
      </c>
      <c r="G114" s="8">
        <f t="shared" si="3"/>
        <v>42619.534861111111</v>
      </c>
    </row>
    <row r="115" spans="1:7" x14ac:dyDescent="0.25">
      <c r="A115" s="8">
        <v>42619.542407407411</v>
      </c>
      <c r="B115" s="23" t="s">
        <v>168</v>
      </c>
      <c r="C115" s="23" t="s">
        <v>458</v>
      </c>
      <c r="D115" s="23">
        <v>1360000</v>
      </c>
      <c r="E115" s="23" t="s">
        <v>438</v>
      </c>
      <c r="F115" s="23" t="str">
        <f t="shared" si="2"/>
        <v>rtdc.l.rtdc.4002:itc</v>
      </c>
      <c r="G115" s="8">
        <f t="shared" si="3"/>
        <v>42619.542407407411</v>
      </c>
    </row>
    <row r="116" spans="1:7" x14ac:dyDescent="0.25">
      <c r="A116" s="8">
        <v>42619.547476851854</v>
      </c>
      <c r="B116" s="23" t="s">
        <v>277</v>
      </c>
      <c r="C116" s="23" t="s">
        <v>459</v>
      </c>
      <c r="D116" s="23">
        <v>930000</v>
      </c>
      <c r="E116" s="23" t="s">
        <v>261</v>
      </c>
      <c r="F116" s="23" t="str">
        <f t="shared" si="2"/>
        <v>rtdc.l.rtdc.4026:itc</v>
      </c>
      <c r="G116" s="8">
        <f t="shared" si="3"/>
        <v>42619.547476851854</v>
      </c>
    </row>
    <row r="117" spans="1:7" x14ac:dyDescent="0.25">
      <c r="A117" s="8">
        <v>42619.548611111109</v>
      </c>
      <c r="B117" s="23" t="s">
        <v>264</v>
      </c>
      <c r="C117" s="23" t="s">
        <v>460</v>
      </c>
      <c r="D117" s="23">
        <v>1770000</v>
      </c>
      <c r="E117" s="23" t="s">
        <v>265</v>
      </c>
      <c r="F117" s="23" t="str">
        <f t="shared" si="2"/>
        <v>rtdc.l.rtdc.4018:itc</v>
      </c>
      <c r="G117" s="8">
        <f t="shared" si="3"/>
        <v>42619.548611111109</v>
      </c>
    </row>
    <row r="118" spans="1:7" x14ac:dyDescent="0.25">
      <c r="A118" s="8">
        <v>42619.552349537036</v>
      </c>
      <c r="B118" s="23" t="s">
        <v>440</v>
      </c>
      <c r="C118" s="23" t="s">
        <v>461</v>
      </c>
      <c r="D118" s="23">
        <v>1540000</v>
      </c>
      <c r="E118" s="23" t="s">
        <v>354</v>
      </c>
      <c r="F118" s="23" t="str">
        <f t="shared" si="2"/>
        <v>rtdc.l.rtdc.4042:itc</v>
      </c>
      <c r="G118" s="8">
        <f t="shared" si="3"/>
        <v>42619.552349537036</v>
      </c>
    </row>
    <row r="119" spans="1:7" x14ac:dyDescent="0.25">
      <c r="A119" s="8">
        <v>42619.553344907406</v>
      </c>
      <c r="B119" s="23" t="s">
        <v>92</v>
      </c>
      <c r="C119" s="23" t="s">
        <v>462</v>
      </c>
      <c r="D119" s="23">
        <v>900000</v>
      </c>
      <c r="E119" s="23" t="s">
        <v>348</v>
      </c>
      <c r="F119" s="23" t="str">
        <f t="shared" si="2"/>
        <v>rtdc.l.rtdc.4030:itc</v>
      </c>
      <c r="G119" s="8">
        <f t="shared" si="3"/>
        <v>42619.553344907406</v>
      </c>
    </row>
    <row r="120" spans="1:7" x14ac:dyDescent="0.25">
      <c r="A120" s="8">
        <v>42619.557754629626</v>
      </c>
      <c r="B120" s="23" t="s">
        <v>93</v>
      </c>
      <c r="C120" s="23" t="s">
        <v>463</v>
      </c>
      <c r="D120" s="23">
        <v>2250000</v>
      </c>
      <c r="E120" s="23" t="s">
        <v>446</v>
      </c>
      <c r="F120" s="23" t="str">
        <f t="shared" si="2"/>
        <v>rtdc.l.rtdc.4027:itc</v>
      </c>
      <c r="G120" s="8">
        <f t="shared" si="3"/>
        <v>42619.557754629626</v>
      </c>
    </row>
    <row r="121" spans="1:7" x14ac:dyDescent="0.25">
      <c r="A121" s="8">
        <v>42619.559652777774</v>
      </c>
      <c r="B121" s="23" t="s">
        <v>343</v>
      </c>
      <c r="C121" s="23" t="s">
        <v>464</v>
      </c>
      <c r="D121" s="23">
        <v>1280000</v>
      </c>
      <c r="E121" s="23" t="s">
        <v>278</v>
      </c>
      <c r="F121" s="23" t="str">
        <f t="shared" si="2"/>
        <v>rtdc.l.rtdc.4012:itc</v>
      </c>
      <c r="G121" s="8">
        <f t="shared" si="3"/>
        <v>42619.559652777774</v>
      </c>
    </row>
    <row r="122" spans="1:7" x14ac:dyDescent="0.25">
      <c r="A122" s="8">
        <v>42619.568136574075</v>
      </c>
      <c r="B122" s="28" t="s">
        <v>262</v>
      </c>
      <c r="C122" s="23" t="s">
        <v>465</v>
      </c>
      <c r="D122" s="23">
        <v>1770000</v>
      </c>
      <c r="E122" s="23" t="s">
        <v>265</v>
      </c>
      <c r="F122" s="23" t="str">
        <f t="shared" si="2"/>
        <v>rtdc.l.rtdc.4017:itc</v>
      </c>
      <c r="G122" s="8">
        <f t="shared" si="3"/>
        <v>42619.568136574075</v>
      </c>
    </row>
    <row r="123" spans="1:7" x14ac:dyDescent="0.25">
      <c r="A123" s="8">
        <v>42619.571898148148</v>
      </c>
      <c r="B123" s="23" t="s">
        <v>145</v>
      </c>
      <c r="C123" s="23" t="s">
        <v>466</v>
      </c>
      <c r="D123" s="23">
        <v>1140000</v>
      </c>
      <c r="E123" s="23" t="s">
        <v>279</v>
      </c>
      <c r="F123" s="23" t="str">
        <f t="shared" si="2"/>
        <v>rtdc.l.rtdc.4038:itc</v>
      </c>
      <c r="G123" s="8">
        <f t="shared" si="3"/>
        <v>42619.571898148148</v>
      </c>
    </row>
    <row r="124" spans="1:7" x14ac:dyDescent="0.25">
      <c r="A124" s="8">
        <v>42619.576840277776</v>
      </c>
      <c r="B124" s="23" t="s">
        <v>244</v>
      </c>
      <c r="C124" s="23" t="s">
        <v>467</v>
      </c>
      <c r="D124" s="23">
        <v>1360000</v>
      </c>
      <c r="E124" s="23" t="s">
        <v>438</v>
      </c>
      <c r="F124" s="23" t="str">
        <f t="shared" si="2"/>
        <v>rtdc.l.rtdc.4001:itc</v>
      </c>
      <c r="G124" s="8">
        <f t="shared" si="3"/>
        <v>42619.576840277776</v>
      </c>
    </row>
    <row r="125" spans="1:7" x14ac:dyDescent="0.25">
      <c r="A125" s="8">
        <v>42619.582592592589</v>
      </c>
      <c r="B125" s="23" t="s">
        <v>274</v>
      </c>
      <c r="C125" s="23" t="s">
        <v>468</v>
      </c>
      <c r="D125" s="23">
        <v>930000</v>
      </c>
      <c r="E125" s="23" t="s">
        <v>261</v>
      </c>
      <c r="F125" s="23" t="str">
        <f t="shared" si="2"/>
        <v>rtdc.l.rtdc.4025:itc</v>
      </c>
      <c r="G125" s="8">
        <f t="shared" si="3"/>
        <v>42619.582592592589</v>
      </c>
    </row>
    <row r="126" spans="1:7" x14ac:dyDescent="0.25">
      <c r="A126" s="8">
        <v>42619.588506944441</v>
      </c>
      <c r="B126" s="23" t="s">
        <v>371</v>
      </c>
      <c r="C126" s="23" t="s">
        <v>469</v>
      </c>
      <c r="D126" s="23">
        <v>1540000</v>
      </c>
      <c r="E126" s="23" t="s">
        <v>354</v>
      </c>
      <c r="F126" s="23" t="str">
        <f t="shared" si="2"/>
        <v>rtdc.l.rtdc.4041:itc</v>
      </c>
      <c r="G126" s="8">
        <f t="shared" si="3"/>
        <v>42619.588506944441</v>
      </c>
    </row>
    <row r="127" spans="1:7" x14ac:dyDescent="0.25">
      <c r="A127" s="8">
        <v>42619.589039351849</v>
      </c>
      <c r="B127" s="23" t="s">
        <v>91</v>
      </c>
      <c r="C127" s="23" t="s">
        <v>470</v>
      </c>
      <c r="D127" s="23">
        <v>900000</v>
      </c>
      <c r="E127" s="23" t="s">
        <v>348</v>
      </c>
      <c r="F127" s="23" t="str">
        <f t="shared" si="2"/>
        <v>rtdc.l.rtdc.4029:itc</v>
      </c>
      <c r="G127" s="8">
        <f t="shared" si="3"/>
        <v>42619.589039351849</v>
      </c>
    </row>
    <row r="128" spans="1:7" x14ac:dyDescent="0.25">
      <c r="A128" s="8">
        <v>42619.593148148146</v>
      </c>
      <c r="B128" s="23" t="s">
        <v>264</v>
      </c>
      <c r="C128" s="23" t="s">
        <v>471</v>
      </c>
      <c r="D128" s="23">
        <v>1770000</v>
      </c>
      <c r="E128" s="23" t="s">
        <v>265</v>
      </c>
      <c r="F128" s="23" t="str">
        <f t="shared" si="2"/>
        <v>rtdc.l.rtdc.4018:itc</v>
      </c>
      <c r="G128" s="8">
        <f t="shared" si="3"/>
        <v>42619.593148148146</v>
      </c>
    </row>
    <row r="129" spans="1:7" x14ac:dyDescent="0.25">
      <c r="A129" s="8">
        <v>42619.597037037034</v>
      </c>
      <c r="B129" s="23" t="s">
        <v>219</v>
      </c>
      <c r="C129" s="23" t="s">
        <v>472</v>
      </c>
      <c r="D129" s="23">
        <v>2250000</v>
      </c>
      <c r="E129" s="23" t="s">
        <v>446</v>
      </c>
      <c r="F129" s="23" t="str">
        <f t="shared" si="2"/>
        <v>rtdc.l.rtdc.4028:itc</v>
      </c>
      <c r="G129" s="8">
        <f t="shared" si="3"/>
        <v>42619.597037037034</v>
      </c>
    </row>
    <row r="130" spans="1:7" x14ac:dyDescent="0.25">
      <c r="A130" s="8">
        <v>42619.601550925923</v>
      </c>
      <c r="B130" s="23" t="s">
        <v>230</v>
      </c>
      <c r="C130" s="23" t="s">
        <v>473</v>
      </c>
      <c r="D130" s="23">
        <v>1280000</v>
      </c>
      <c r="E130" s="23" t="s">
        <v>278</v>
      </c>
      <c r="F130" s="23" t="str">
        <f t="shared" ref="F130:F193" si="4">B130</f>
        <v>rtdc.l.rtdc.4011:itc</v>
      </c>
      <c r="G130" s="8">
        <f t="shared" ref="G130:G193" si="5">A130</f>
        <v>42619.601550925923</v>
      </c>
    </row>
    <row r="131" spans="1:7" x14ac:dyDescent="0.25">
      <c r="A131" s="8">
        <v>42619.607789351852</v>
      </c>
      <c r="B131" s="23" t="s">
        <v>140</v>
      </c>
      <c r="C131" s="23" t="s">
        <v>474</v>
      </c>
      <c r="D131" s="23">
        <v>1140000</v>
      </c>
      <c r="E131" s="23" t="s">
        <v>279</v>
      </c>
      <c r="F131" s="23" t="str">
        <f t="shared" si="4"/>
        <v>rtdc.l.rtdc.4037:itc</v>
      </c>
      <c r="G131" s="8">
        <f t="shared" si="5"/>
        <v>42619.607789351852</v>
      </c>
    </row>
    <row r="132" spans="1:7" x14ac:dyDescent="0.25">
      <c r="A132" s="8">
        <v>42619.608831018515</v>
      </c>
      <c r="B132" s="23" t="s">
        <v>262</v>
      </c>
      <c r="C132" s="23" t="s">
        <v>475</v>
      </c>
      <c r="D132" s="23">
        <v>1770000</v>
      </c>
      <c r="E132" s="23" t="s">
        <v>265</v>
      </c>
      <c r="F132" s="23" t="str">
        <f t="shared" si="4"/>
        <v>rtdc.l.rtdc.4017:itc</v>
      </c>
      <c r="G132" s="8">
        <f t="shared" si="5"/>
        <v>42619.608831018515</v>
      </c>
    </row>
    <row r="133" spans="1:7" x14ac:dyDescent="0.25">
      <c r="A133" s="8">
        <v>42619.612986111111</v>
      </c>
      <c r="B133" s="23" t="s">
        <v>168</v>
      </c>
      <c r="C133" s="23" t="s">
        <v>476</v>
      </c>
      <c r="D133" s="23">
        <v>1360000</v>
      </c>
      <c r="E133" s="23" t="s">
        <v>438</v>
      </c>
      <c r="F133" s="23" t="str">
        <f t="shared" si="4"/>
        <v>rtdc.l.rtdc.4002:itc</v>
      </c>
      <c r="G133" s="8">
        <f t="shared" si="5"/>
        <v>42619.612986111111</v>
      </c>
    </row>
    <row r="134" spans="1:7" x14ac:dyDescent="0.25">
      <c r="A134" s="8">
        <v>42619.619745370372</v>
      </c>
      <c r="B134" s="23" t="s">
        <v>277</v>
      </c>
      <c r="C134" s="23" t="s">
        <v>477</v>
      </c>
      <c r="D134" s="23">
        <v>930000</v>
      </c>
      <c r="E134" s="23" t="s">
        <v>261</v>
      </c>
      <c r="F134" s="23" t="str">
        <f t="shared" si="4"/>
        <v>rtdc.l.rtdc.4026:itc</v>
      </c>
      <c r="G134" s="8">
        <f t="shared" si="5"/>
        <v>42619.619745370372</v>
      </c>
    </row>
    <row r="135" spans="1:7" x14ac:dyDescent="0.25">
      <c r="A135" s="8">
        <v>42619.623368055552</v>
      </c>
      <c r="B135" s="23" t="s">
        <v>440</v>
      </c>
      <c r="C135" s="23" t="s">
        <v>478</v>
      </c>
      <c r="D135" s="23">
        <v>1540000</v>
      </c>
      <c r="E135" s="23" t="s">
        <v>354</v>
      </c>
      <c r="F135" s="23" t="str">
        <f t="shared" si="4"/>
        <v>rtdc.l.rtdc.4042:itc</v>
      </c>
      <c r="G135" s="8">
        <f t="shared" si="5"/>
        <v>42619.623368055552</v>
      </c>
    </row>
    <row r="136" spans="1:7" x14ac:dyDescent="0.25">
      <c r="A136" s="8">
        <v>42619.624525462961</v>
      </c>
      <c r="B136" s="23" t="s">
        <v>92</v>
      </c>
      <c r="C136" s="23" t="s">
        <v>479</v>
      </c>
      <c r="D136" s="23">
        <v>900000</v>
      </c>
      <c r="E136" s="23" t="s">
        <v>348</v>
      </c>
      <c r="F136" s="23" t="str">
        <f t="shared" si="4"/>
        <v>rtdc.l.rtdc.4030:itc</v>
      </c>
      <c r="G136" s="8">
        <f t="shared" si="5"/>
        <v>42619.624525462961</v>
      </c>
    </row>
    <row r="137" spans="1:7" x14ac:dyDescent="0.25">
      <c r="A137" s="8">
        <v>42619.632638888892</v>
      </c>
      <c r="B137" s="23" t="s">
        <v>93</v>
      </c>
      <c r="C137" s="23" t="s">
        <v>480</v>
      </c>
      <c r="D137" s="23">
        <v>2250000</v>
      </c>
      <c r="E137" s="23" t="s">
        <v>446</v>
      </c>
      <c r="F137" s="23" t="str">
        <f t="shared" si="4"/>
        <v>rtdc.l.rtdc.4027:itc</v>
      </c>
      <c r="G137" s="8">
        <f t="shared" si="5"/>
        <v>42619.632638888892</v>
      </c>
    </row>
    <row r="138" spans="1:7" x14ac:dyDescent="0.25">
      <c r="A138" s="8">
        <v>42619.636655092596</v>
      </c>
      <c r="B138" s="23" t="s">
        <v>264</v>
      </c>
      <c r="C138" s="23" t="s">
        <v>481</v>
      </c>
      <c r="D138" s="23">
        <v>1770000</v>
      </c>
      <c r="E138" s="23" t="s">
        <v>265</v>
      </c>
      <c r="F138" s="23" t="str">
        <f t="shared" si="4"/>
        <v>rtdc.l.rtdc.4018:itc</v>
      </c>
      <c r="G138" s="8">
        <f t="shared" si="5"/>
        <v>42619.636655092596</v>
      </c>
    </row>
    <row r="139" spans="1:7" x14ac:dyDescent="0.25">
      <c r="A139" s="8">
        <v>42619.638425925928</v>
      </c>
      <c r="B139" s="23" t="s">
        <v>373</v>
      </c>
      <c r="C139" s="23" t="s">
        <v>482</v>
      </c>
      <c r="D139" s="23">
        <v>1480000</v>
      </c>
      <c r="E139" s="23" t="s">
        <v>483</v>
      </c>
      <c r="F139" s="23" t="str">
        <f t="shared" si="4"/>
        <v>rtdc.l.rtdc.4010:itc</v>
      </c>
      <c r="G139" s="8">
        <f t="shared" si="5"/>
        <v>42619.638425925928</v>
      </c>
    </row>
    <row r="140" spans="1:7" x14ac:dyDescent="0.25">
      <c r="A140" s="8">
        <v>42619.639398148145</v>
      </c>
      <c r="B140" s="23" t="s">
        <v>343</v>
      </c>
      <c r="C140" s="23" t="s">
        <v>484</v>
      </c>
      <c r="D140" s="23">
        <v>1280000</v>
      </c>
      <c r="E140" s="23" t="s">
        <v>278</v>
      </c>
      <c r="F140" s="23" t="str">
        <f t="shared" si="4"/>
        <v>rtdc.l.rtdc.4012:itc</v>
      </c>
      <c r="G140" s="8">
        <f t="shared" si="5"/>
        <v>42619.639398148145</v>
      </c>
    </row>
    <row r="141" spans="1:7" x14ac:dyDescent="0.25">
      <c r="A141" s="8">
        <v>42619.6403125</v>
      </c>
      <c r="B141" s="23" t="s">
        <v>373</v>
      </c>
      <c r="C141" s="23" t="s">
        <v>485</v>
      </c>
      <c r="D141" s="23">
        <v>1480000</v>
      </c>
      <c r="E141" s="23" t="s">
        <v>483</v>
      </c>
      <c r="F141" s="23" t="str">
        <f t="shared" si="4"/>
        <v>rtdc.l.rtdc.4010:itc</v>
      </c>
      <c r="G141" s="8">
        <f t="shared" si="5"/>
        <v>42619.6403125</v>
      </c>
    </row>
    <row r="142" spans="1:7" x14ac:dyDescent="0.25">
      <c r="A142" s="8">
        <v>42619.641412037039</v>
      </c>
      <c r="B142" s="23" t="s">
        <v>244</v>
      </c>
      <c r="C142" s="23" t="s">
        <v>486</v>
      </c>
      <c r="D142" s="23">
        <v>1360000</v>
      </c>
      <c r="E142" s="23" t="s">
        <v>438</v>
      </c>
      <c r="F142" s="23" t="str">
        <f t="shared" si="4"/>
        <v>rtdc.l.rtdc.4001:itc</v>
      </c>
      <c r="G142" s="8">
        <f t="shared" si="5"/>
        <v>42619.641412037039</v>
      </c>
    </row>
    <row r="143" spans="1:7" x14ac:dyDescent="0.25">
      <c r="A143" s="8">
        <v>42619.644641203704</v>
      </c>
      <c r="B143" s="23" t="s">
        <v>145</v>
      </c>
      <c r="C143" s="23" t="s">
        <v>487</v>
      </c>
      <c r="D143" s="23">
        <v>1140000</v>
      </c>
      <c r="E143" s="23" t="s">
        <v>279</v>
      </c>
      <c r="F143" s="23" t="str">
        <f t="shared" si="4"/>
        <v>rtdc.l.rtdc.4038:itc</v>
      </c>
      <c r="G143" s="8">
        <f t="shared" si="5"/>
        <v>42619.644641203704</v>
      </c>
    </row>
    <row r="144" spans="1:7" x14ac:dyDescent="0.25">
      <c r="A144" s="8">
        <v>42619.651493055557</v>
      </c>
      <c r="B144" s="23" t="s">
        <v>262</v>
      </c>
      <c r="C144" s="23" t="s">
        <v>488</v>
      </c>
      <c r="D144" s="23">
        <v>1770000</v>
      </c>
      <c r="E144" s="23" t="s">
        <v>265</v>
      </c>
      <c r="F144" s="23" t="str">
        <f t="shared" si="4"/>
        <v>rtdc.l.rtdc.4017:itc</v>
      </c>
      <c r="G144" s="8">
        <f t="shared" si="5"/>
        <v>42619.651493055557</v>
      </c>
    </row>
    <row r="145" spans="1:7" x14ac:dyDescent="0.25">
      <c r="A145" s="8">
        <v>42619.653553240743</v>
      </c>
      <c r="B145" s="23" t="s">
        <v>165</v>
      </c>
      <c r="C145" s="23" t="s">
        <v>489</v>
      </c>
      <c r="D145" s="23">
        <v>2270000</v>
      </c>
      <c r="E145" s="23" t="s">
        <v>490</v>
      </c>
      <c r="F145" s="23" t="str">
        <f t="shared" si="4"/>
        <v>rtdc.l.rtdc.4009:itc</v>
      </c>
      <c r="G145" s="8">
        <f t="shared" si="5"/>
        <v>42619.653553240743</v>
      </c>
    </row>
    <row r="146" spans="1:7" x14ac:dyDescent="0.25">
      <c r="A146" s="8">
        <v>42619.654930555553</v>
      </c>
      <c r="B146" s="23" t="s">
        <v>274</v>
      </c>
      <c r="C146" s="23" t="s">
        <v>491</v>
      </c>
      <c r="D146" s="23">
        <v>930000</v>
      </c>
      <c r="E146" s="23" t="s">
        <v>261</v>
      </c>
      <c r="F146" s="23" t="str">
        <f t="shared" si="4"/>
        <v>rtdc.l.rtdc.4025:itc</v>
      </c>
      <c r="G146" s="8">
        <f t="shared" si="5"/>
        <v>42619.654930555553</v>
      </c>
    </row>
    <row r="147" spans="1:7" x14ac:dyDescent="0.25">
      <c r="A147" s="8">
        <v>42619.661412037036</v>
      </c>
      <c r="B147" s="23" t="s">
        <v>371</v>
      </c>
      <c r="C147" s="23" t="s">
        <v>492</v>
      </c>
      <c r="D147" s="23">
        <v>1540000</v>
      </c>
      <c r="E147" s="23" t="s">
        <v>354</v>
      </c>
      <c r="F147" s="23" t="str">
        <f t="shared" si="4"/>
        <v>rtdc.l.rtdc.4041:itc</v>
      </c>
      <c r="G147" s="8">
        <f t="shared" si="5"/>
        <v>42619.661412037036</v>
      </c>
    </row>
    <row r="148" spans="1:7" x14ac:dyDescent="0.25">
      <c r="A148" s="8">
        <v>42619.663275462961</v>
      </c>
      <c r="B148" s="23" t="s">
        <v>91</v>
      </c>
      <c r="C148" s="23" t="s">
        <v>493</v>
      </c>
      <c r="D148" s="23">
        <v>900000</v>
      </c>
      <c r="E148" s="23" t="s">
        <v>348</v>
      </c>
      <c r="F148" s="23" t="str">
        <f t="shared" si="4"/>
        <v>rtdc.l.rtdc.4029:itc</v>
      </c>
      <c r="G148" s="8">
        <f t="shared" si="5"/>
        <v>42619.663275462961</v>
      </c>
    </row>
    <row r="149" spans="1:7" x14ac:dyDescent="0.25">
      <c r="A149" s="8">
        <v>42619.667800925927</v>
      </c>
      <c r="B149" s="23" t="s">
        <v>219</v>
      </c>
      <c r="C149" s="23" t="s">
        <v>494</v>
      </c>
      <c r="D149" s="23">
        <v>2250000</v>
      </c>
      <c r="E149" s="23" t="s">
        <v>446</v>
      </c>
      <c r="F149" s="23" t="str">
        <f t="shared" si="4"/>
        <v>rtdc.l.rtdc.4028:itc</v>
      </c>
      <c r="G149" s="8">
        <f t="shared" si="5"/>
        <v>42619.667800925927</v>
      </c>
    </row>
    <row r="150" spans="1:7" x14ac:dyDescent="0.25">
      <c r="A150" s="8">
        <v>42619.672835648147</v>
      </c>
      <c r="B150" s="23" t="s">
        <v>230</v>
      </c>
      <c r="C150" s="23" t="s">
        <v>495</v>
      </c>
      <c r="D150" s="23">
        <v>1280000</v>
      </c>
      <c r="E150" s="23" t="s">
        <v>278</v>
      </c>
      <c r="F150" s="23" t="str">
        <f t="shared" si="4"/>
        <v>rtdc.l.rtdc.4011:itc</v>
      </c>
      <c r="G150" s="8">
        <f t="shared" si="5"/>
        <v>42619.672835648147</v>
      </c>
    </row>
    <row r="151" spans="1:7" x14ac:dyDescent="0.25">
      <c r="A151" s="8">
        <v>42619.673136574071</v>
      </c>
      <c r="B151" s="23" t="s">
        <v>373</v>
      </c>
      <c r="C151" s="23" t="s">
        <v>496</v>
      </c>
      <c r="D151" s="23">
        <v>2270000</v>
      </c>
      <c r="E151" s="23" t="s">
        <v>490</v>
      </c>
      <c r="F151" s="23" t="str">
        <f t="shared" si="4"/>
        <v>rtdc.l.rtdc.4010:itc</v>
      </c>
      <c r="G151" s="8">
        <f t="shared" si="5"/>
        <v>42619.673136574071</v>
      </c>
    </row>
    <row r="152" spans="1:7" x14ac:dyDescent="0.25">
      <c r="A152" s="8">
        <v>42619.677766203706</v>
      </c>
      <c r="B152" s="23" t="s">
        <v>264</v>
      </c>
      <c r="C152" s="23" t="s">
        <v>497</v>
      </c>
      <c r="D152" s="23">
        <v>1770000</v>
      </c>
      <c r="E152" s="23" t="s">
        <v>265</v>
      </c>
      <c r="F152" s="23" t="str">
        <f t="shared" si="4"/>
        <v>rtdc.l.rtdc.4018:itc</v>
      </c>
      <c r="G152" s="8">
        <f t="shared" si="5"/>
        <v>42619.677766203706</v>
      </c>
    </row>
    <row r="153" spans="1:7" x14ac:dyDescent="0.25">
      <c r="A153" s="8">
        <v>42619.680833333332</v>
      </c>
      <c r="B153" s="23" t="s">
        <v>140</v>
      </c>
      <c r="C153" s="23" t="s">
        <v>498</v>
      </c>
      <c r="D153" s="23">
        <v>1140000</v>
      </c>
      <c r="E153" s="23" t="s">
        <v>279</v>
      </c>
      <c r="F153" s="23" t="str">
        <f t="shared" si="4"/>
        <v>rtdc.l.rtdc.4037:itc</v>
      </c>
      <c r="G153" s="8">
        <f t="shared" si="5"/>
        <v>42619.680833333332</v>
      </c>
    </row>
    <row r="154" spans="1:7" x14ac:dyDescent="0.25">
      <c r="A154" s="8">
        <v>42619.683229166665</v>
      </c>
      <c r="B154" s="23" t="s">
        <v>168</v>
      </c>
      <c r="C154" s="23" t="s">
        <v>499</v>
      </c>
      <c r="D154" s="23">
        <v>1360000</v>
      </c>
      <c r="E154" s="23" t="s">
        <v>438</v>
      </c>
      <c r="F154" s="23" t="str">
        <f t="shared" si="4"/>
        <v>rtdc.l.rtdc.4002:itc</v>
      </c>
      <c r="G154" s="8">
        <f t="shared" si="5"/>
        <v>42619.683229166665</v>
      </c>
    </row>
    <row r="155" spans="1:7" x14ac:dyDescent="0.25">
      <c r="A155" s="8">
        <v>42619.692858796298</v>
      </c>
      <c r="B155" s="23" t="s">
        <v>262</v>
      </c>
      <c r="C155" s="23" t="s">
        <v>500</v>
      </c>
      <c r="D155" s="23">
        <v>1770000</v>
      </c>
      <c r="E155" s="23" t="s">
        <v>265</v>
      </c>
      <c r="F155" s="23" t="str">
        <f t="shared" si="4"/>
        <v>rtdc.l.rtdc.4017:itc</v>
      </c>
      <c r="G155" s="8">
        <f t="shared" si="5"/>
        <v>42619.692858796298</v>
      </c>
    </row>
    <row r="156" spans="1:7" x14ac:dyDescent="0.25">
      <c r="A156" s="8">
        <v>42619.693148148152</v>
      </c>
      <c r="B156" s="23" t="s">
        <v>277</v>
      </c>
      <c r="C156" s="23" t="s">
        <v>501</v>
      </c>
      <c r="D156" s="23">
        <v>930000</v>
      </c>
      <c r="E156" s="23" t="s">
        <v>261</v>
      </c>
      <c r="F156" s="23" t="str">
        <f t="shared" si="4"/>
        <v>rtdc.l.rtdc.4026:itc</v>
      </c>
      <c r="G156" s="8">
        <f t="shared" si="5"/>
        <v>42619.693148148152</v>
      </c>
    </row>
    <row r="157" spans="1:7" x14ac:dyDescent="0.25">
      <c r="A157" s="8">
        <v>42619.693773148145</v>
      </c>
      <c r="B157" s="23" t="s">
        <v>165</v>
      </c>
      <c r="C157" s="23" t="s">
        <v>502</v>
      </c>
      <c r="D157" s="23">
        <v>2270000</v>
      </c>
      <c r="E157" s="23" t="s">
        <v>490</v>
      </c>
      <c r="F157" s="23" t="str">
        <f t="shared" si="4"/>
        <v>rtdc.l.rtdc.4009:itc</v>
      </c>
      <c r="G157" s="8">
        <f t="shared" si="5"/>
        <v>42619.693773148145</v>
      </c>
    </row>
    <row r="158" spans="1:7" x14ac:dyDescent="0.25">
      <c r="A158" s="8">
        <v>42619.696087962962</v>
      </c>
      <c r="B158" s="23" t="s">
        <v>440</v>
      </c>
      <c r="C158" s="23" t="s">
        <v>503</v>
      </c>
      <c r="D158" s="23">
        <v>1540000</v>
      </c>
      <c r="E158" s="23" t="s">
        <v>354</v>
      </c>
      <c r="F158" s="23" t="str">
        <f t="shared" si="4"/>
        <v>rtdc.l.rtdc.4042:itc</v>
      </c>
      <c r="G158" s="8">
        <f t="shared" si="5"/>
        <v>42619.696087962962</v>
      </c>
    </row>
    <row r="159" spans="1:7" x14ac:dyDescent="0.25">
      <c r="A159" s="8">
        <v>42619.698888888888</v>
      </c>
      <c r="B159" s="23" t="s">
        <v>92</v>
      </c>
      <c r="C159" s="23" t="s">
        <v>504</v>
      </c>
      <c r="D159" s="23">
        <v>900000</v>
      </c>
      <c r="E159" s="23" t="s">
        <v>348</v>
      </c>
      <c r="F159" s="23" t="str">
        <f t="shared" si="4"/>
        <v>rtdc.l.rtdc.4030:itc</v>
      </c>
      <c r="G159" s="8">
        <f t="shared" si="5"/>
        <v>42619.698888888888</v>
      </c>
    </row>
    <row r="160" spans="1:7" x14ac:dyDescent="0.25">
      <c r="A160" s="8">
        <v>42619.703472222223</v>
      </c>
      <c r="B160" s="23" t="s">
        <v>93</v>
      </c>
      <c r="C160" s="23" t="s">
        <v>505</v>
      </c>
      <c r="D160" s="23">
        <v>2250000</v>
      </c>
      <c r="E160" s="23" t="s">
        <v>446</v>
      </c>
      <c r="F160" s="23" t="str">
        <f t="shared" si="4"/>
        <v>rtdc.l.rtdc.4027:itc</v>
      </c>
      <c r="G160" s="8">
        <f t="shared" si="5"/>
        <v>42619.703472222223</v>
      </c>
    </row>
    <row r="161" spans="1:7" x14ac:dyDescent="0.25">
      <c r="A161" s="8">
        <v>42619.707418981481</v>
      </c>
      <c r="B161" s="23" t="s">
        <v>343</v>
      </c>
      <c r="C161" s="23" t="s">
        <v>506</v>
      </c>
      <c r="D161" s="23">
        <v>1280000</v>
      </c>
      <c r="E161" s="23" t="s">
        <v>278</v>
      </c>
      <c r="F161" s="23" t="str">
        <f t="shared" si="4"/>
        <v>rtdc.l.rtdc.4012:itc</v>
      </c>
      <c r="G161" s="8">
        <f t="shared" si="5"/>
        <v>42619.707418981481</v>
      </c>
    </row>
    <row r="162" spans="1:7" x14ac:dyDescent="0.25">
      <c r="A162" s="8">
        <v>42619.714745370373</v>
      </c>
      <c r="B162" s="23" t="s">
        <v>373</v>
      </c>
      <c r="C162" s="23" t="s">
        <v>507</v>
      </c>
      <c r="D162" s="23">
        <v>2270000</v>
      </c>
      <c r="E162" s="23" t="s">
        <v>490</v>
      </c>
      <c r="F162" s="23" t="str">
        <f t="shared" si="4"/>
        <v>rtdc.l.rtdc.4010:itc</v>
      </c>
      <c r="G162" s="8">
        <f t="shared" si="5"/>
        <v>42619.714745370373</v>
      </c>
    </row>
    <row r="163" spans="1:7" x14ac:dyDescent="0.25">
      <c r="A163" s="8">
        <v>42619.716840277775</v>
      </c>
      <c r="B163" s="23" t="s">
        <v>145</v>
      </c>
      <c r="C163" s="23" t="s">
        <v>508</v>
      </c>
      <c r="D163" s="23">
        <v>2260000</v>
      </c>
      <c r="E163" s="23" t="s">
        <v>177</v>
      </c>
      <c r="F163" s="23" t="str">
        <f t="shared" si="4"/>
        <v>rtdc.l.rtdc.4038:itc</v>
      </c>
      <c r="G163" s="8">
        <f t="shared" si="5"/>
        <v>42619.716840277775</v>
      </c>
    </row>
    <row r="164" spans="1:7" x14ac:dyDescent="0.25">
      <c r="A164" s="8">
        <v>42619.718587962961</v>
      </c>
      <c r="B164" s="23" t="s">
        <v>264</v>
      </c>
      <c r="C164" s="23" t="s">
        <v>509</v>
      </c>
      <c r="D164" s="23">
        <v>1770000</v>
      </c>
      <c r="E164" s="23" t="s">
        <v>265</v>
      </c>
      <c r="F164" s="23" t="str">
        <f t="shared" si="4"/>
        <v>rtdc.l.rtdc.4018:itc</v>
      </c>
      <c r="G164" s="8">
        <f t="shared" si="5"/>
        <v>42619.718587962961</v>
      </c>
    </row>
    <row r="165" spans="1:7" x14ac:dyDescent="0.25">
      <c r="A165" s="8">
        <v>42619.722453703704</v>
      </c>
      <c r="B165" s="23" t="s">
        <v>244</v>
      </c>
      <c r="C165" s="23" t="s">
        <v>510</v>
      </c>
      <c r="D165" s="23">
        <v>1360000</v>
      </c>
      <c r="E165" s="23" t="s">
        <v>438</v>
      </c>
      <c r="F165" s="23" t="str">
        <f t="shared" si="4"/>
        <v>rtdc.l.rtdc.4001:itc</v>
      </c>
      <c r="G165" s="8">
        <f t="shared" si="5"/>
        <v>42619.722453703704</v>
      </c>
    </row>
    <row r="166" spans="1:7" x14ac:dyDescent="0.25">
      <c r="A166" s="8">
        <v>42619.727222222224</v>
      </c>
      <c r="B166" s="23" t="s">
        <v>274</v>
      </c>
      <c r="C166" s="23" t="s">
        <v>511</v>
      </c>
      <c r="D166" s="23">
        <v>1140000</v>
      </c>
      <c r="E166" s="23" t="s">
        <v>279</v>
      </c>
      <c r="F166" s="23" t="str">
        <f t="shared" si="4"/>
        <v>rtdc.l.rtdc.4025:itc</v>
      </c>
      <c r="G166" s="8">
        <f t="shared" si="5"/>
        <v>42619.727222222224</v>
      </c>
    </row>
    <row r="167" spans="1:7" x14ac:dyDescent="0.25">
      <c r="A167" s="8">
        <v>42619.729768518519</v>
      </c>
      <c r="B167" s="23" t="s">
        <v>215</v>
      </c>
      <c r="C167" s="23" t="s">
        <v>512</v>
      </c>
      <c r="D167" s="23">
        <v>2090000</v>
      </c>
      <c r="E167" s="23" t="s">
        <v>175</v>
      </c>
      <c r="F167" s="23" t="str">
        <f t="shared" si="4"/>
        <v>rtdc.l.rtdc.4019:itc</v>
      </c>
      <c r="G167" s="8">
        <f t="shared" si="5"/>
        <v>42619.729768518519</v>
      </c>
    </row>
    <row r="168" spans="1:7" x14ac:dyDescent="0.25">
      <c r="A168" s="8">
        <v>42619.733483796299</v>
      </c>
      <c r="B168" s="23" t="s">
        <v>371</v>
      </c>
      <c r="C168" s="23" t="s">
        <v>513</v>
      </c>
      <c r="D168" s="23">
        <v>1540000</v>
      </c>
      <c r="E168" s="23" t="s">
        <v>354</v>
      </c>
      <c r="F168" s="23" t="str">
        <f t="shared" si="4"/>
        <v>rtdc.l.rtdc.4041:itc</v>
      </c>
      <c r="G168" s="8">
        <f t="shared" si="5"/>
        <v>42619.733483796299</v>
      </c>
    </row>
    <row r="169" spans="1:7" x14ac:dyDescent="0.25">
      <c r="A169" s="8">
        <v>42619.735208333332</v>
      </c>
      <c r="B169" s="23" t="s">
        <v>262</v>
      </c>
      <c r="C169" s="23" t="s">
        <v>514</v>
      </c>
      <c r="D169" s="23">
        <v>1770000</v>
      </c>
      <c r="E169" s="23" t="s">
        <v>265</v>
      </c>
      <c r="F169" s="23" t="str">
        <f t="shared" si="4"/>
        <v>rtdc.l.rtdc.4017:itc</v>
      </c>
      <c r="G169" s="8">
        <f t="shared" si="5"/>
        <v>42619.735208333332</v>
      </c>
    </row>
    <row r="170" spans="1:7" x14ac:dyDescent="0.25">
      <c r="A170" s="8">
        <v>42619.735694444447</v>
      </c>
      <c r="B170" s="23" t="s">
        <v>515</v>
      </c>
      <c r="C170" s="23" t="s">
        <v>516</v>
      </c>
      <c r="D170" s="23">
        <v>930000</v>
      </c>
      <c r="E170" s="23" t="s">
        <v>261</v>
      </c>
      <c r="F170" s="23" t="str">
        <f t="shared" si="4"/>
        <v>rtdc.l.rtdc.4022:itc</v>
      </c>
      <c r="G170" s="8">
        <f t="shared" si="5"/>
        <v>42619.735694444447</v>
      </c>
    </row>
    <row r="171" spans="1:7" x14ac:dyDescent="0.25">
      <c r="A171" s="8">
        <v>42619.736388888887</v>
      </c>
      <c r="B171" s="23" t="s">
        <v>91</v>
      </c>
      <c r="C171" s="23" t="s">
        <v>517</v>
      </c>
      <c r="D171" s="23">
        <v>1290000</v>
      </c>
      <c r="E171" s="23" t="s">
        <v>280</v>
      </c>
      <c r="F171" s="23" t="str">
        <f t="shared" si="4"/>
        <v>rtdc.l.rtdc.4029:itc</v>
      </c>
      <c r="G171" s="8">
        <f t="shared" si="5"/>
        <v>42619.736388888887</v>
      </c>
    </row>
    <row r="172" spans="1:7" x14ac:dyDescent="0.25">
      <c r="A172" s="8">
        <v>42619.741423611114</v>
      </c>
      <c r="B172" s="23" t="s">
        <v>165</v>
      </c>
      <c r="C172" s="23" t="s">
        <v>518</v>
      </c>
      <c r="D172" s="23">
        <v>2270000</v>
      </c>
      <c r="E172" s="23" t="s">
        <v>490</v>
      </c>
      <c r="F172" s="23" t="str">
        <f t="shared" si="4"/>
        <v>rtdc.l.rtdc.4009:itc</v>
      </c>
      <c r="G172" s="8">
        <f t="shared" si="5"/>
        <v>42619.741423611114</v>
      </c>
    </row>
    <row r="173" spans="1:7" x14ac:dyDescent="0.25">
      <c r="A173" s="8">
        <v>42619.741585648146</v>
      </c>
      <c r="B173" s="23" t="s">
        <v>219</v>
      </c>
      <c r="C173" s="23" t="s">
        <v>519</v>
      </c>
      <c r="D173" s="23">
        <v>2250000</v>
      </c>
      <c r="E173" s="23" t="s">
        <v>446</v>
      </c>
      <c r="F173" s="23" t="str">
        <f t="shared" si="4"/>
        <v>rtdc.l.rtdc.4028:itc</v>
      </c>
      <c r="G173" s="8">
        <f t="shared" si="5"/>
        <v>42619.741585648146</v>
      </c>
    </row>
    <row r="174" spans="1:7" x14ac:dyDescent="0.25">
      <c r="A174" s="8">
        <v>42619.747152777774</v>
      </c>
      <c r="B174" s="23" t="s">
        <v>230</v>
      </c>
      <c r="C174" s="23" t="s">
        <v>520</v>
      </c>
      <c r="D174" s="23">
        <v>2140000</v>
      </c>
      <c r="E174" s="23" t="s">
        <v>521</v>
      </c>
      <c r="F174" s="23" t="str">
        <f t="shared" si="4"/>
        <v>rtdc.l.rtdc.4011:itc</v>
      </c>
      <c r="G174" s="8">
        <f t="shared" si="5"/>
        <v>42619.747152777774</v>
      </c>
    </row>
    <row r="175" spans="1:7" x14ac:dyDescent="0.25">
      <c r="A175" s="8">
        <v>42619.748379629629</v>
      </c>
      <c r="B175" s="23" t="s">
        <v>111</v>
      </c>
      <c r="C175" s="23" t="s">
        <v>522</v>
      </c>
      <c r="D175" s="23">
        <v>1740000</v>
      </c>
      <c r="E175" s="23" t="s">
        <v>523</v>
      </c>
      <c r="F175" s="23" t="str">
        <f t="shared" si="4"/>
        <v>rtdc.l.rtdc.4014:itc</v>
      </c>
      <c r="G175" s="8">
        <f t="shared" si="5"/>
        <v>42619.748379629629</v>
      </c>
    </row>
    <row r="176" spans="1:7" x14ac:dyDescent="0.25">
      <c r="A176" s="8">
        <v>42619.750243055554</v>
      </c>
      <c r="B176" s="23" t="s">
        <v>140</v>
      </c>
      <c r="C176" s="23" t="s">
        <v>524</v>
      </c>
      <c r="D176" s="23">
        <v>2260000</v>
      </c>
      <c r="E176" s="23" t="s">
        <v>177</v>
      </c>
      <c r="F176" s="23" t="str">
        <f t="shared" si="4"/>
        <v>rtdc.l.rtdc.4037:itc</v>
      </c>
      <c r="G176" s="8">
        <f t="shared" si="5"/>
        <v>42619.750243055554</v>
      </c>
    </row>
    <row r="177" spans="1:7" x14ac:dyDescent="0.25">
      <c r="A177" s="8">
        <v>42619.756076388891</v>
      </c>
      <c r="B177" s="23" t="s">
        <v>373</v>
      </c>
      <c r="C177" s="23" t="s">
        <v>525</v>
      </c>
      <c r="D177" s="23">
        <v>2270000</v>
      </c>
      <c r="E177" s="23" t="s">
        <v>490</v>
      </c>
      <c r="F177" s="23" t="str">
        <f t="shared" si="4"/>
        <v>rtdc.l.rtdc.4010:itc</v>
      </c>
      <c r="G177" s="8">
        <f t="shared" si="5"/>
        <v>42619.756076388891</v>
      </c>
    </row>
    <row r="178" spans="1:7" x14ac:dyDescent="0.25">
      <c r="A178" s="8">
        <v>42619.759421296294</v>
      </c>
      <c r="B178" s="23" t="s">
        <v>168</v>
      </c>
      <c r="C178" s="23" t="s">
        <v>526</v>
      </c>
      <c r="D178" s="23">
        <v>2230000</v>
      </c>
      <c r="E178" s="23" t="s">
        <v>527</v>
      </c>
      <c r="F178" s="23" t="str">
        <f t="shared" si="4"/>
        <v>rtdc.l.rtdc.4002:itc</v>
      </c>
      <c r="G178" s="8">
        <f t="shared" si="5"/>
        <v>42619.759421296294</v>
      </c>
    </row>
    <row r="179" spans="1:7" x14ac:dyDescent="0.25">
      <c r="A179" s="8">
        <v>42619.759918981479</v>
      </c>
      <c r="B179" s="23" t="s">
        <v>264</v>
      </c>
      <c r="C179" s="23" t="s">
        <v>528</v>
      </c>
      <c r="D179" s="23">
        <v>1770000</v>
      </c>
      <c r="E179" s="23" t="s">
        <v>265</v>
      </c>
      <c r="F179" s="23" t="str">
        <f t="shared" si="4"/>
        <v>rtdc.l.rtdc.4018:itc</v>
      </c>
      <c r="G179" s="8">
        <f t="shared" si="5"/>
        <v>42619.759918981479</v>
      </c>
    </row>
    <row r="180" spans="1:7" x14ac:dyDescent="0.25">
      <c r="A180" s="8">
        <v>42619.761076388888</v>
      </c>
      <c r="B180" s="23" t="s">
        <v>277</v>
      </c>
      <c r="C180" s="23" t="s">
        <v>529</v>
      </c>
      <c r="D180" s="23">
        <v>1140000</v>
      </c>
      <c r="E180" s="23" t="s">
        <v>279</v>
      </c>
      <c r="F180" s="23" t="str">
        <f t="shared" si="4"/>
        <v>rtdc.l.rtdc.4026:itc</v>
      </c>
      <c r="G180" s="8">
        <f t="shared" si="5"/>
        <v>42619.761076388888</v>
      </c>
    </row>
    <row r="181" spans="1:7" x14ac:dyDescent="0.25">
      <c r="A181" s="8">
        <v>42619.770173611112</v>
      </c>
      <c r="B181" s="23" t="s">
        <v>440</v>
      </c>
      <c r="C181" s="23" t="s">
        <v>530</v>
      </c>
      <c r="D181" s="23">
        <v>1800000</v>
      </c>
      <c r="E181" s="23" t="s">
        <v>166</v>
      </c>
      <c r="F181" s="23" t="str">
        <f t="shared" si="4"/>
        <v>rtdc.l.rtdc.4042:itc</v>
      </c>
      <c r="G181" s="8">
        <f t="shared" si="5"/>
        <v>42619.770173611112</v>
      </c>
    </row>
    <row r="182" spans="1:7" x14ac:dyDescent="0.25">
      <c r="A182" s="8">
        <v>42619.772199074076</v>
      </c>
      <c r="B182" s="23" t="s">
        <v>92</v>
      </c>
      <c r="C182" s="23" t="s">
        <v>531</v>
      </c>
      <c r="D182" s="23">
        <v>1290000</v>
      </c>
      <c r="E182" s="23" t="s">
        <v>280</v>
      </c>
      <c r="F182" s="23" t="str">
        <f t="shared" si="4"/>
        <v>rtdc.l.rtdc.4030:itc</v>
      </c>
      <c r="G182" s="8">
        <f t="shared" si="5"/>
        <v>42619.772199074076</v>
      </c>
    </row>
    <row r="183" spans="1:7" x14ac:dyDescent="0.25">
      <c r="A183" s="8">
        <v>42619.77648148148</v>
      </c>
      <c r="B183" s="23" t="s">
        <v>262</v>
      </c>
      <c r="C183" s="23" t="s">
        <v>532</v>
      </c>
      <c r="D183" s="23">
        <v>1770000</v>
      </c>
      <c r="E183" s="23" t="s">
        <v>265</v>
      </c>
      <c r="F183" s="23" t="str">
        <f t="shared" si="4"/>
        <v>rtdc.l.rtdc.4017:itc</v>
      </c>
      <c r="G183" s="8">
        <f t="shared" si="5"/>
        <v>42619.77648148148</v>
      </c>
    </row>
    <row r="184" spans="1:7" x14ac:dyDescent="0.25">
      <c r="A184" s="8">
        <v>42619.776539351849</v>
      </c>
      <c r="B184" s="23" t="s">
        <v>165</v>
      </c>
      <c r="C184" s="23" t="s">
        <v>533</v>
      </c>
      <c r="D184" s="23">
        <v>2270000</v>
      </c>
      <c r="E184" s="23" t="s">
        <v>490</v>
      </c>
      <c r="F184" s="23" t="str">
        <f t="shared" si="4"/>
        <v>rtdc.l.rtdc.4009:itc</v>
      </c>
      <c r="G184" s="8">
        <f t="shared" si="5"/>
        <v>42619.776539351849</v>
      </c>
    </row>
    <row r="185" spans="1:7" x14ac:dyDescent="0.25">
      <c r="A185" s="8">
        <v>42619.779398148145</v>
      </c>
      <c r="B185" s="23" t="s">
        <v>93</v>
      </c>
      <c r="C185" s="23" t="s">
        <v>534</v>
      </c>
      <c r="D185" s="23">
        <v>2250000</v>
      </c>
      <c r="E185" s="23" t="s">
        <v>446</v>
      </c>
      <c r="F185" s="23" t="str">
        <f t="shared" si="4"/>
        <v>rtdc.l.rtdc.4027:itc</v>
      </c>
      <c r="G185" s="8">
        <f t="shared" si="5"/>
        <v>42619.779398148145</v>
      </c>
    </row>
    <row r="186" spans="1:7" x14ac:dyDescent="0.25">
      <c r="A186" s="8">
        <v>42619.780185185184</v>
      </c>
      <c r="B186" s="23" t="s">
        <v>343</v>
      </c>
      <c r="C186" s="23" t="s">
        <v>535</v>
      </c>
      <c r="D186" s="23">
        <v>2140000</v>
      </c>
      <c r="E186" s="23" t="s">
        <v>521</v>
      </c>
      <c r="F186" s="23" t="str">
        <f t="shared" si="4"/>
        <v>rtdc.l.rtdc.4012:itc</v>
      </c>
      <c r="G186" s="8">
        <f t="shared" si="5"/>
        <v>42619.780185185184</v>
      </c>
    </row>
    <row r="187" spans="1:7" x14ac:dyDescent="0.25">
      <c r="A187" s="8">
        <v>42619.787893518522</v>
      </c>
      <c r="B187" s="23" t="s">
        <v>145</v>
      </c>
      <c r="C187" s="23" t="s">
        <v>536</v>
      </c>
      <c r="D187" s="23">
        <v>2260000</v>
      </c>
      <c r="E187" s="23" t="s">
        <v>177</v>
      </c>
      <c r="F187" s="23" t="str">
        <f t="shared" si="4"/>
        <v>rtdc.l.rtdc.4038:itc</v>
      </c>
      <c r="G187" s="8">
        <f t="shared" si="5"/>
        <v>42619.787893518522</v>
      </c>
    </row>
    <row r="188" spans="1:7" x14ac:dyDescent="0.25">
      <c r="A188" s="8">
        <v>42619.789074074077</v>
      </c>
      <c r="B188" s="23" t="s">
        <v>244</v>
      </c>
      <c r="C188" s="23" t="s">
        <v>537</v>
      </c>
      <c r="D188" s="23">
        <v>2230000</v>
      </c>
      <c r="E188" s="23" t="s">
        <v>527</v>
      </c>
      <c r="F188" s="23" t="str">
        <f t="shared" si="4"/>
        <v>rtdc.l.rtdc.4001:itc</v>
      </c>
      <c r="G188" s="8">
        <f t="shared" si="5"/>
        <v>42619.789074074077</v>
      </c>
    </row>
    <row r="189" spans="1:7" x14ac:dyDescent="0.25">
      <c r="A189" s="8">
        <v>42619.797708333332</v>
      </c>
      <c r="B189" s="23" t="s">
        <v>373</v>
      </c>
      <c r="C189" s="23" t="s">
        <v>538</v>
      </c>
      <c r="D189" s="23">
        <v>2270000</v>
      </c>
      <c r="E189" s="23" t="s">
        <v>490</v>
      </c>
      <c r="F189" s="23" t="str">
        <f t="shared" si="4"/>
        <v>rtdc.l.rtdc.4010:itc</v>
      </c>
      <c r="G189" s="8">
        <f t="shared" si="5"/>
        <v>42619.797708333332</v>
      </c>
    </row>
    <row r="190" spans="1:7" x14ac:dyDescent="0.25">
      <c r="A190" s="8">
        <v>42619.802442129629</v>
      </c>
      <c r="B190" s="23" t="s">
        <v>264</v>
      </c>
      <c r="C190" s="23" t="s">
        <v>539</v>
      </c>
      <c r="D190" s="23">
        <v>1770000</v>
      </c>
      <c r="E190" s="23" t="s">
        <v>265</v>
      </c>
      <c r="F190" s="23" t="str">
        <f t="shared" si="4"/>
        <v>rtdc.l.rtdc.4018:itc</v>
      </c>
      <c r="G190" s="8">
        <f t="shared" si="5"/>
        <v>42619.802442129629</v>
      </c>
    </row>
    <row r="191" spans="1:7" x14ac:dyDescent="0.25">
      <c r="A191" s="8">
        <v>42619.808333333334</v>
      </c>
      <c r="B191" s="23" t="s">
        <v>371</v>
      </c>
      <c r="C191" s="23" t="s">
        <v>540</v>
      </c>
      <c r="D191" s="23">
        <v>1800000</v>
      </c>
      <c r="E191" s="23" t="s">
        <v>166</v>
      </c>
      <c r="F191" s="23" t="str">
        <f t="shared" si="4"/>
        <v>rtdc.l.rtdc.4041:itc</v>
      </c>
      <c r="G191" s="8">
        <f t="shared" si="5"/>
        <v>42619.808333333334</v>
      </c>
    </row>
    <row r="192" spans="1:7" x14ac:dyDescent="0.25">
      <c r="A192" s="8">
        <v>42619.809039351851</v>
      </c>
      <c r="B192" s="23" t="s">
        <v>91</v>
      </c>
      <c r="C192" s="23" t="s">
        <v>541</v>
      </c>
      <c r="D192" s="23">
        <v>1290000</v>
      </c>
      <c r="E192" s="23" t="s">
        <v>280</v>
      </c>
      <c r="F192" s="23" t="str">
        <f t="shared" si="4"/>
        <v>rtdc.l.rtdc.4029:itc</v>
      </c>
      <c r="G192" s="8">
        <f t="shared" si="5"/>
        <v>42619.809039351851</v>
      </c>
    </row>
    <row r="193" spans="1:7" x14ac:dyDescent="0.25">
      <c r="A193" s="8">
        <v>42619.817314814813</v>
      </c>
      <c r="B193" s="23" t="s">
        <v>262</v>
      </c>
      <c r="C193" s="23" t="s">
        <v>542</v>
      </c>
      <c r="D193" s="23">
        <v>1770000</v>
      </c>
      <c r="E193" s="23" t="s">
        <v>265</v>
      </c>
      <c r="F193" s="23" t="str">
        <f t="shared" si="4"/>
        <v>rtdc.l.rtdc.4017:itc</v>
      </c>
      <c r="G193" s="8">
        <f t="shared" si="5"/>
        <v>42619.817314814813</v>
      </c>
    </row>
    <row r="194" spans="1:7" x14ac:dyDescent="0.25">
      <c r="A194" s="8">
        <v>42619.818622685183</v>
      </c>
      <c r="B194" s="23" t="s">
        <v>230</v>
      </c>
      <c r="C194" s="23" t="s">
        <v>543</v>
      </c>
      <c r="D194" s="23">
        <v>2140000</v>
      </c>
      <c r="E194" s="23" t="s">
        <v>521</v>
      </c>
      <c r="F194" s="23" t="str">
        <f t="shared" ref="F194:F235" si="6">B194</f>
        <v>rtdc.l.rtdc.4011:itc</v>
      </c>
      <c r="G194" s="8">
        <f t="shared" ref="G194:G235" si="7">A194</f>
        <v>42619.818622685183</v>
      </c>
    </row>
    <row r="195" spans="1:7" x14ac:dyDescent="0.25">
      <c r="A195" s="8">
        <v>42619.825196759259</v>
      </c>
      <c r="B195" s="23" t="s">
        <v>140</v>
      </c>
      <c r="C195" s="23" t="s">
        <v>544</v>
      </c>
      <c r="D195" s="23">
        <v>2260000</v>
      </c>
      <c r="E195" s="23" t="s">
        <v>177</v>
      </c>
      <c r="F195" s="23" t="str">
        <f t="shared" si="6"/>
        <v>rtdc.l.rtdc.4037:itc</v>
      </c>
      <c r="G195" s="8">
        <f t="shared" si="7"/>
        <v>42619.825196759259</v>
      </c>
    </row>
    <row r="196" spans="1:7" x14ac:dyDescent="0.25">
      <c r="A196" s="8">
        <v>42619.829513888886</v>
      </c>
      <c r="B196" s="23" t="s">
        <v>168</v>
      </c>
      <c r="C196" s="23" t="s">
        <v>545</v>
      </c>
      <c r="D196" s="23">
        <v>2230000</v>
      </c>
      <c r="E196" s="23" t="s">
        <v>527</v>
      </c>
      <c r="F196" s="23" t="str">
        <f t="shared" si="6"/>
        <v>rtdc.l.rtdc.4002:itc</v>
      </c>
      <c r="G196" s="8">
        <f t="shared" si="7"/>
        <v>42619.829513888886</v>
      </c>
    </row>
    <row r="197" spans="1:7" x14ac:dyDescent="0.25">
      <c r="A197" s="8">
        <v>42619.843958333331</v>
      </c>
      <c r="B197" s="23" t="s">
        <v>264</v>
      </c>
      <c r="C197" s="23" t="s">
        <v>546</v>
      </c>
      <c r="D197" s="23">
        <v>1770000</v>
      </c>
      <c r="E197" s="23" t="s">
        <v>265</v>
      </c>
      <c r="F197" s="23" t="str">
        <f t="shared" si="6"/>
        <v>rtdc.l.rtdc.4018:itc</v>
      </c>
      <c r="G197" s="8">
        <f t="shared" si="7"/>
        <v>42619.843958333331</v>
      </c>
    </row>
    <row r="198" spans="1:7" x14ac:dyDescent="0.25">
      <c r="A198" s="8">
        <v>42619.84746527778</v>
      </c>
      <c r="B198" s="23" t="s">
        <v>92</v>
      </c>
      <c r="C198" s="23" t="s">
        <v>547</v>
      </c>
      <c r="D198" s="23">
        <v>1290000</v>
      </c>
      <c r="E198" s="23" t="s">
        <v>280</v>
      </c>
      <c r="F198" s="23" t="str">
        <f t="shared" si="6"/>
        <v>rtdc.l.rtdc.4030:itc</v>
      </c>
      <c r="G198" s="8">
        <f t="shared" si="7"/>
        <v>42619.84746527778</v>
      </c>
    </row>
    <row r="199" spans="1:7" x14ac:dyDescent="0.25">
      <c r="A199" s="8">
        <v>42619.853668981479</v>
      </c>
      <c r="B199" s="23" t="s">
        <v>440</v>
      </c>
      <c r="C199" s="23" t="s">
        <v>548</v>
      </c>
      <c r="D199" s="23">
        <v>1800000</v>
      </c>
      <c r="E199" s="23" t="s">
        <v>166</v>
      </c>
      <c r="F199" s="23" t="str">
        <f t="shared" si="6"/>
        <v>rtdc.l.rtdc.4042:itc</v>
      </c>
      <c r="G199" s="8">
        <f t="shared" si="7"/>
        <v>42619.853668981479</v>
      </c>
    </row>
    <row r="200" spans="1:7" x14ac:dyDescent="0.25">
      <c r="A200" s="8">
        <v>42619.858275462961</v>
      </c>
      <c r="B200" s="23" t="s">
        <v>262</v>
      </c>
      <c r="C200" s="23" t="s">
        <v>549</v>
      </c>
      <c r="D200" s="23">
        <v>1770000</v>
      </c>
      <c r="E200" s="23" t="s">
        <v>265</v>
      </c>
      <c r="F200" s="23" t="str">
        <f t="shared" si="6"/>
        <v>rtdc.l.rtdc.4017:itc</v>
      </c>
      <c r="G200" s="8">
        <f t="shared" si="7"/>
        <v>42619.858275462961</v>
      </c>
    </row>
    <row r="201" spans="1:7" x14ac:dyDescent="0.25">
      <c r="A201" s="8">
        <v>42619.865300925929</v>
      </c>
      <c r="B201" s="23" t="s">
        <v>244</v>
      </c>
      <c r="C201" s="23" t="s">
        <v>550</v>
      </c>
      <c r="D201" s="23">
        <v>2230000</v>
      </c>
      <c r="E201" s="23" t="s">
        <v>527</v>
      </c>
      <c r="F201" s="23" t="str">
        <f t="shared" si="6"/>
        <v>rtdc.l.rtdc.4001:itc</v>
      </c>
      <c r="G201" s="8">
        <f t="shared" si="7"/>
        <v>42619.865300925929</v>
      </c>
    </row>
    <row r="202" spans="1:7" x14ac:dyDescent="0.25">
      <c r="A202" s="29">
        <v>42619.86922453704</v>
      </c>
      <c r="B202" s="23" t="s">
        <v>145</v>
      </c>
      <c r="C202" s="23" t="s">
        <v>551</v>
      </c>
      <c r="D202" s="23">
        <v>2260000</v>
      </c>
      <c r="E202" s="23" t="s">
        <v>177</v>
      </c>
      <c r="F202" s="23" t="str">
        <f t="shared" si="6"/>
        <v>rtdc.l.rtdc.4038:itc</v>
      </c>
      <c r="G202" s="8">
        <f t="shared" si="7"/>
        <v>42619.86922453704</v>
      </c>
    </row>
    <row r="203" spans="1:7" x14ac:dyDescent="0.25">
      <c r="A203" s="8">
        <v>42619.88386574074</v>
      </c>
      <c r="B203" s="23" t="s">
        <v>264</v>
      </c>
      <c r="C203" s="23" t="s">
        <v>552</v>
      </c>
      <c r="D203" s="23">
        <v>2270000</v>
      </c>
      <c r="E203" s="23" t="s">
        <v>490</v>
      </c>
      <c r="F203" s="23" t="str">
        <f t="shared" si="6"/>
        <v>rtdc.l.rtdc.4018:itc</v>
      </c>
      <c r="G203" s="8">
        <f t="shared" si="7"/>
        <v>42619.88386574074</v>
      </c>
    </row>
    <row r="204" spans="1:7" x14ac:dyDescent="0.25">
      <c r="A204" s="8">
        <v>42619.893206018518</v>
      </c>
      <c r="B204" s="23" t="s">
        <v>371</v>
      </c>
      <c r="C204" s="23" t="s">
        <v>553</v>
      </c>
      <c r="D204" s="23">
        <v>1800000</v>
      </c>
      <c r="E204" s="23" t="s">
        <v>166</v>
      </c>
      <c r="F204" s="23" t="str">
        <f t="shared" si="6"/>
        <v>rtdc.l.rtdc.4041:itc</v>
      </c>
      <c r="G204" s="8">
        <f t="shared" si="7"/>
        <v>42619.893206018518</v>
      </c>
    </row>
    <row r="205" spans="1:7" x14ac:dyDescent="0.25">
      <c r="A205" s="8">
        <v>42619.893518518518</v>
      </c>
      <c r="B205" s="23" t="s">
        <v>91</v>
      </c>
      <c r="C205" s="23" t="s">
        <v>554</v>
      </c>
      <c r="D205" s="23">
        <v>1290000</v>
      </c>
      <c r="E205" s="23" t="s">
        <v>280</v>
      </c>
      <c r="F205" s="23" t="str">
        <f t="shared" si="6"/>
        <v>rtdc.l.rtdc.4029:itc</v>
      </c>
      <c r="G205" s="8">
        <f t="shared" si="7"/>
        <v>42619.893518518518</v>
      </c>
    </row>
    <row r="206" spans="1:7" x14ac:dyDescent="0.25">
      <c r="A206" s="8">
        <v>42619.90179398148</v>
      </c>
      <c r="B206" s="23" t="s">
        <v>262</v>
      </c>
      <c r="C206" s="23" t="s">
        <v>555</v>
      </c>
      <c r="D206" s="23">
        <v>2270000</v>
      </c>
      <c r="E206" s="23" t="s">
        <v>490</v>
      </c>
      <c r="F206" s="23" t="str">
        <f t="shared" si="6"/>
        <v>rtdc.l.rtdc.4017:itc</v>
      </c>
      <c r="G206" s="8">
        <f t="shared" si="7"/>
        <v>42619.90179398148</v>
      </c>
    </row>
    <row r="207" spans="1:7" x14ac:dyDescent="0.25">
      <c r="A207" s="8">
        <v>42619.911087962966</v>
      </c>
      <c r="B207" s="23" t="s">
        <v>140</v>
      </c>
      <c r="C207" s="23" t="s">
        <v>556</v>
      </c>
      <c r="D207" s="23">
        <v>2260000</v>
      </c>
      <c r="E207" s="23" t="s">
        <v>177</v>
      </c>
      <c r="F207" s="23" t="str">
        <f t="shared" si="6"/>
        <v>rtdc.l.rtdc.4037:itc</v>
      </c>
      <c r="G207" s="8">
        <f t="shared" si="7"/>
        <v>42619.911087962966</v>
      </c>
    </row>
    <row r="208" spans="1:7" x14ac:dyDescent="0.25">
      <c r="A208" s="8">
        <v>42619.913981481484</v>
      </c>
      <c r="B208" s="23" t="s">
        <v>168</v>
      </c>
      <c r="C208" s="23" t="s">
        <v>557</v>
      </c>
      <c r="D208" s="23">
        <v>2230000</v>
      </c>
      <c r="E208" s="23" t="s">
        <v>527</v>
      </c>
      <c r="F208" s="23" t="str">
        <f t="shared" si="6"/>
        <v>rtdc.l.rtdc.4002:itc</v>
      </c>
      <c r="G208" s="8">
        <f t="shared" si="7"/>
        <v>42619.913981481484</v>
      </c>
    </row>
    <row r="209" spans="1:7" x14ac:dyDescent="0.25">
      <c r="A209" s="8">
        <v>42619.929108796299</v>
      </c>
      <c r="B209" s="23" t="s">
        <v>264</v>
      </c>
      <c r="C209" s="23" t="s">
        <v>558</v>
      </c>
      <c r="D209" s="23">
        <v>2270000</v>
      </c>
      <c r="E209" s="23" t="s">
        <v>490</v>
      </c>
      <c r="F209" s="23" t="str">
        <f t="shared" si="6"/>
        <v>rtdc.l.rtdc.4018:itc</v>
      </c>
      <c r="G209" s="8">
        <f t="shared" si="7"/>
        <v>42619.929108796299</v>
      </c>
    </row>
    <row r="210" spans="1:7" x14ac:dyDescent="0.25">
      <c r="A210" s="8">
        <v>42619.930439814816</v>
      </c>
      <c r="B210" s="23" t="s">
        <v>92</v>
      </c>
      <c r="C210" s="23" t="s">
        <v>559</v>
      </c>
      <c r="D210" s="23">
        <v>1290000</v>
      </c>
      <c r="E210" s="23" t="s">
        <v>280</v>
      </c>
      <c r="F210" s="23" t="str">
        <f t="shared" si="6"/>
        <v>rtdc.l.rtdc.4030:itc</v>
      </c>
      <c r="G210" s="8">
        <f t="shared" si="7"/>
        <v>42619.930439814816</v>
      </c>
    </row>
    <row r="211" spans="1:7" x14ac:dyDescent="0.25">
      <c r="A211" s="8">
        <v>42619.936203703706</v>
      </c>
      <c r="B211" s="23" t="s">
        <v>440</v>
      </c>
      <c r="C211" s="23" t="s">
        <v>560</v>
      </c>
      <c r="D211" s="23">
        <v>1800000</v>
      </c>
      <c r="E211" s="23" t="s">
        <v>166</v>
      </c>
      <c r="F211" s="23" t="str">
        <f t="shared" si="6"/>
        <v>rtdc.l.rtdc.4042:itc</v>
      </c>
      <c r="G211" s="8">
        <f t="shared" si="7"/>
        <v>42619.936203703706</v>
      </c>
    </row>
    <row r="212" spans="1:7" x14ac:dyDescent="0.25">
      <c r="A212" s="8">
        <v>42619.943495370368</v>
      </c>
      <c r="B212" s="23" t="s">
        <v>262</v>
      </c>
      <c r="C212" s="23" t="s">
        <v>561</v>
      </c>
      <c r="D212" s="23">
        <v>2270000</v>
      </c>
      <c r="E212" s="23" t="s">
        <v>490</v>
      </c>
      <c r="F212" s="23" t="str">
        <f t="shared" si="6"/>
        <v>rtdc.l.rtdc.4017:itc</v>
      </c>
      <c r="G212" s="8">
        <f t="shared" si="7"/>
        <v>42619.943495370368</v>
      </c>
    </row>
    <row r="213" spans="1:7" x14ac:dyDescent="0.25">
      <c r="A213" s="8">
        <v>42619.952199074076</v>
      </c>
      <c r="B213" s="23" t="s">
        <v>244</v>
      </c>
      <c r="C213" s="23" t="s">
        <v>562</v>
      </c>
      <c r="D213" s="23">
        <v>2230000</v>
      </c>
      <c r="E213" s="23" t="s">
        <v>527</v>
      </c>
      <c r="F213" s="23" t="str">
        <f t="shared" si="6"/>
        <v>rtdc.l.rtdc.4001:itc</v>
      </c>
      <c r="G213" s="8">
        <f t="shared" si="7"/>
        <v>42619.952199074076</v>
      </c>
    </row>
    <row r="214" spans="1:7" x14ac:dyDescent="0.25">
      <c r="A214" s="8">
        <v>42619.954756944448</v>
      </c>
      <c r="B214" s="23" t="s">
        <v>145</v>
      </c>
      <c r="C214" s="23" t="s">
        <v>563</v>
      </c>
      <c r="D214" s="23">
        <v>2260000</v>
      </c>
      <c r="E214" s="23" t="s">
        <v>177</v>
      </c>
      <c r="F214" s="23" t="str">
        <f t="shared" si="6"/>
        <v>rtdc.l.rtdc.4038:itc</v>
      </c>
      <c r="G214" s="8">
        <f t="shared" si="7"/>
        <v>42619.954756944448</v>
      </c>
    </row>
    <row r="215" spans="1:7" x14ac:dyDescent="0.25">
      <c r="A215" s="8">
        <v>42619.976388888892</v>
      </c>
      <c r="B215" s="23" t="s">
        <v>371</v>
      </c>
      <c r="C215" s="23" t="s">
        <v>564</v>
      </c>
      <c r="D215" s="23">
        <v>1800000</v>
      </c>
      <c r="E215" s="23" t="s">
        <v>166</v>
      </c>
      <c r="F215" s="23" t="str">
        <f t="shared" si="6"/>
        <v>rtdc.l.rtdc.4041:itc</v>
      </c>
      <c r="G215" s="8">
        <f t="shared" si="7"/>
        <v>42619.976388888892</v>
      </c>
    </row>
    <row r="216" spans="1:7" x14ac:dyDescent="0.25">
      <c r="A216" s="8">
        <v>42619.977118055554</v>
      </c>
      <c r="B216" s="23" t="s">
        <v>91</v>
      </c>
      <c r="C216" s="23" t="s">
        <v>565</v>
      </c>
      <c r="D216" s="23">
        <v>1290000</v>
      </c>
      <c r="E216" s="23" t="s">
        <v>280</v>
      </c>
      <c r="F216" s="23" t="str">
        <f t="shared" si="6"/>
        <v>rtdc.l.rtdc.4029:itc</v>
      </c>
      <c r="G216" s="8">
        <f t="shared" si="7"/>
        <v>42619.977118055554</v>
      </c>
    </row>
    <row r="217" spans="1:7" x14ac:dyDescent="0.25">
      <c r="A217" s="8">
        <v>42619.993692129632</v>
      </c>
      <c r="B217" s="23" t="s">
        <v>140</v>
      </c>
      <c r="C217" s="23" t="s">
        <v>566</v>
      </c>
      <c r="D217" s="23">
        <v>2260000</v>
      </c>
      <c r="E217" s="23" t="s">
        <v>177</v>
      </c>
      <c r="F217" s="23" t="str">
        <f t="shared" si="6"/>
        <v>rtdc.l.rtdc.4037:itc</v>
      </c>
      <c r="G217" s="8">
        <f t="shared" si="7"/>
        <v>42619.993692129632</v>
      </c>
    </row>
    <row r="218" spans="1:7" x14ac:dyDescent="0.25">
      <c r="A218" s="8">
        <v>42619.99690972222</v>
      </c>
      <c r="B218" s="23" t="s">
        <v>168</v>
      </c>
      <c r="C218" s="23" t="s">
        <v>567</v>
      </c>
      <c r="D218" s="23">
        <v>2230000</v>
      </c>
      <c r="E218" s="23" t="s">
        <v>527</v>
      </c>
      <c r="F218" s="23" t="str">
        <f t="shared" si="6"/>
        <v>rtdc.l.rtdc.4002:itc</v>
      </c>
      <c r="G218" s="8">
        <f t="shared" si="7"/>
        <v>42619.99690972222</v>
      </c>
    </row>
    <row r="219" spans="1:7" x14ac:dyDescent="0.25">
      <c r="A219" s="8">
        <v>42620.010277777779</v>
      </c>
      <c r="B219" s="23" t="s">
        <v>92</v>
      </c>
      <c r="C219" s="23" t="s">
        <v>568</v>
      </c>
      <c r="D219" s="23">
        <v>1290000</v>
      </c>
      <c r="E219" s="23" t="s">
        <v>280</v>
      </c>
      <c r="F219" s="23" t="str">
        <f t="shared" si="6"/>
        <v>rtdc.l.rtdc.4030:itc</v>
      </c>
      <c r="G219" s="8">
        <f t="shared" si="7"/>
        <v>42620.010277777779</v>
      </c>
    </row>
    <row r="220" spans="1:7" x14ac:dyDescent="0.25">
      <c r="A220" s="8">
        <v>42620.020324074074</v>
      </c>
      <c r="B220" s="23" t="s">
        <v>440</v>
      </c>
      <c r="C220" s="23" t="s">
        <v>569</v>
      </c>
      <c r="D220" s="23">
        <v>1800000</v>
      </c>
      <c r="E220" s="23" t="s">
        <v>166</v>
      </c>
      <c r="F220" s="23" t="str">
        <f t="shared" si="6"/>
        <v>rtdc.l.rtdc.4042:itc</v>
      </c>
      <c r="G220" s="8">
        <f t="shared" si="7"/>
        <v>42620.020324074074</v>
      </c>
    </row>
    <row r="221" spans="1:7" x14ac:dyDescent="0.25">
      <c r="A221" s="8">
        <v>42620.031307870369</v>
      </c>
      <c r="B221" s="23" t="s">
        <v>145</v>
      </c>
      <c r="C221" s="23" t="s">
        <v>570</v>
      </c>
      <c r="D221" s="23">
        <v>2260000</v>
      </c>
      <c r="E221" s="23" t="s">
        <v>177</v>
      </c>
      <c r="F221" s="23" t="str">
        <f t="shared" si="6"/>
        <v>rtdc.l.rtdc.4038:itc</v>
      </c>
      <c r="G221" s="8">
        <f t="shared" si="7"/>
        <v>42620.031307870369</v>
      </c>
    </row>
    <row r="222" spans="1:7" x14ac:dyDescent="0.25">
      <c r="A222" s="8">
        <v>42620.032523148147</v>
      </c>
      <c r="B222" s="23" t="s">
        <v>145</v>
      </c>
      <c r="C222" s="23" t="s">
        <v>570</v>
      </c>
      <c r="D222" s="23">
        <v>2260000</v>
      </c>
      <c r="E222" s="23" t="s">
        <v>177</v>
      </c>
      <c r="F222" s="23" t="str">
        <f t="shared" si="6"/>
        <v>rtdc.l.rtdc.4038:itc</v>
      </c>
      <c r="G222" s="8">
        <f t="shared" si="7"/>
        <v>42620.032523148147</v>
      </c>
    </row>
    <row r="223" spans="1:7" x14ac:dyDescent="0.25">
      <c r="A223" s="8">
        <v>42620.036365740743</v>
      </c>
      <c r="B223" s="23" t="s">
        <v>244</v>
      </c>
      <c r="C223" s="23" t="s">
        <v>571</v>
      </c>
      <c r="D223" s="23">
        <v>2230000</v>
      </c>
      <c r="E223" s="23" t="s">
        <v>527</v>
      </c>
      <c r="F223" s="23" t="str">
        <f t="shared" si="6"/>
        <v>rtdc.l.rtdc.4001:itc</v>
      </c>
      <c r="G223" s="8">
        <f t="shared" si="7"/>
        <v>42620.036365740743</v>
      </c>
    </row>
    <row r="224" spans="1:7" x14ac:dyDescent="0.25">
      <c r="A224" s="8">
        <v>42620.037245370368</v>
      </c>
      <c r="B224" t="s">
        <v>345</v>
      </c>
      <c r="C224" t="s">
        <v>572</v>
      </c>
      <c r="D224">
        <v>630000</v>
      </c>
      <c r="E224" t="b">
        <v>1</v>
      </c>
      <c r="F224" s="23" t="str">
        <f t="shared" si="6"/>
        <v>rtdc.l.rtdc.4051:itc</v>
      </c>
      <c r="G224" s="8">
        <f t="shared" si="7"/>
        <v>42620.037245370368</v>
      </c>
    </row>
    <row r="225" spans="1:7" x14ac:dyDescent="0.25">
      <c r="A225" s="8">
        <v>42620.046793981484</v>
      </c>
      <c r="B225" t="s">
        <v>91</v>
      </c>
      <c r="C225" t="s">
        <v>573</v>
      </c>
      <c r="D225">
        <v>1290000</v>
      </c>
      <c r="E225" t="s">
        <v>280</v>
      </c>
      <c r="F225" s="23" t="str">
        <f t="shared" si="6"/>
        <v>rtdc.l.rtdc.4029:itc</v>
      </c>
      <c r="G225" s="8">
        <f t="shared" si="7"/>
        <v>42620.046793981484</v>
      </c>
    </row>
    <row r="226" spans="1:7" x14ac:dyDescent="0.25">
      <c r="A226" s="8">
        <v>42620.057013888887</v>
      </c>
      <c r="B226" t="s">
        <v>349</v>
      </c>
      <c r="C226" t="s">
        <v>574</v>
      </c>
      <c r="D226">
        <v>630000</v>
      </c>
      <c r="E226" t="b">
        <v>1</v>
      </c>
      <c r="F226" s="23" t="str">
        <f t="shared" si="6"/>
        <v>rtdc.l.rtdc.4052:itc</v>
      </c>
      <c r="G226" s="8">
        <f t="shared" si="7"/>
        <v>42620.057013888887</v>
      </c>
    </row>
    <row r="227" spans="1:7" x14ac:dyDescent="0.25">
      <c r="A227" s="8">
        <v>42620.058171296296</v>
      </c>
      <c r="B227" t="s">
        <v>349</v>
      </c>
      <c r="C227" t="s">
        <v>574</v>
      </c>
      <c r="D227">
        <v>630000</v>
      </c>
      <c r="E227" t="b">
        <v>1</v>
      </c>
      <c r="F227" s="23" t="str">
        <f t="shared" si="6"/>
        <v>rtdc.l.rtdc.4052:itc</v>
      </c>
      <c r="G227" s="8">
        <f t="shared" si="7"/>
        <v>42620.058171296296</v>
      </c>
    </row>
    <row r="228" spans="1:7" x14ac:dyDescent="0.25">
      <c r="A228" s="8">
        <v>42620.059189814812</v>
      </c>
      <c r="B228" t="s">
        <v>349</v>
      </c>
      <c r="C228" t="s">
        <v>572</v>
      </c>
      <c r="D228">
        <v>630000</v>
      </c>
      <c r="E228" t="b">
        <v>1</v>
      </c>
      <c r="F228" s="23" t="str">
        <f t="shared" si="6"/>
        <v>rtdc.l.rtdc.4052:itc</v>
      </c>
      <c r="G228" s="8">
        <f t="shared" si="7"/>
        <v>42620.059189814812</v>
      </c>
    </row>
    <row r="229" spans="1:7" x14ac:dyDescent="0.25">
      <c r="A229" s="8">
        <v>42620.059652777774</v>
      </c>
      <c r="B229" t="s">
        <v>371</v>
      </c>
      <c r="C229" t="s">
        <v>575</v>
      </c>
      <c r="D229">
        <v>1800000</v>
      </c>
      <c r="E229" t="s">
        <v>166</v>
      </c>
      <c r="F229" s="23" t="str">
        <f t="shared" si="6"/>
        <v>rtdc.l.rtdc.4041:itc</v>
      </c>
      <c r="G229" s="8">
        <f t="shared" si="7"/>
        <v>42620.059652777774</v>
      </c>
    </row>
    <row r="230" spans="1:7" x14ac:dyDescent="0.25">
      <c r="A230" s="8">
        <v>42620.060312499998</v>
      </c>
      <c r="B230" t="s">
        <v>349</v>
      </c>
      <c r="C230" t="s">
        <v>574</v>
      </c>
      <c r="D230">
        <v>630000</v>
      </c>
      <c r="E230" t="b">
        <v>1</v>
      </c>
      <c r="F230" s="23" t="str">
        <f t="shared" si="6"/>
        <v>rtdc.l.rtdc.4052:itc</v>
      </c>
      <c r="G230" s="8">
        <f t="shared" si="7"/>
        <v>42620.060312499998</v>
      </c>
    </row>
    <row r="231" spans="1:7" x14ac:dyDescent="0.25">
      <c r="A231" s="8">
        <v>42620.066527777781</v>
      </c>
      <c r="B231" t="s">
        <v>168</v>
      </c>
      <c r="C231" t="s">
        <v>576</v>
      </c>
      <c r="D231">
        <v>2230000</v>
      </c>
      <c r="E231" t="s">
        <v>527</v>
      </c>
      <c r="F231" s="23" t="str">
        <f t="shared" si="6"/>
        <v>rtdc.l.rtdc.4002:itc</v>
      </c>
      <c r="G231" s="8">
        <f t="shared" si="7"/>
        <v>42620.066527777781</v>
      </c>
    </row>
    <row r="232" spans="1:7" x14ac:dyDescent="0.25">
      <c r="A232" s="8">
        <v>42620.078194444446</v>
      </c>
      <c r="B232" t="s">
        <v>345</v>
      </c>
      <c r="C232" t="s">
        <v>572</v>
      </c>
      <c r="D232">
        <v>630000</v>
      </c>
      <c r="E232" t="b">
        <v>1</v>
      </c>
      <c r="F232" s="23" t="str">
        <f t="shared" si="6"/>
        <v>rtdc.l.rtdc.4051:itc</v>
      </c>
      <c r="G232" s="8">
        <f t="shared" si="7"/>
        <v>42620.078194444446</v>
      </c>
    </row>
    <row r="233" spans="1:7" x14ac:dyDescent="0.25">
      <c r="A233" s="8">
        <v>42620.092060185183</v>
      </c>
      <c r="B233" t="s">
        <v>440</v>
      </c>
      <c r="C233" t="s">
        <v>577</v>
      </c>
      <c r="D233">
        <v>1800000</v>
      </c>
      <c r="E233" t="s">
        <v>166</v>
      </c>
      <c r="F233" s="23" t="str">
        <f t="shared" si="6"/>
        <v>rtdc.l.rtdc.4042:itc</v>
      </c>
      <c r="G233" s="8">
        <f t="shared" si="7"/>
        <v>42620.092060185183</v>
      </c>
    </row>
    <row r="234" spans="1:7" x14ac:dyDescent="0.25">
      <c r="A234" s="8">
        <v>42620.103078703702</v>
      </c>
      <c r="B234" t="s">
        <v>349</v>
      </c>
      <c r="C234" t="s">
        <v>574</v>
      </c>
      <c r="D234">
        <v>630000</v>
      </c>
      <c r="E234" t="b">
        <v>1</v>
      </c>
      <c r="F234" s="23" t="str">
        <f t="shared" si="6"/>
        <v>rtdc.l.rtdc.4052:itc</v>
      </c>
      <c r="G234" s="8">
        <f t="shared" si="7"/>
        <v>42620.103078703702</v>
      </c>
    </row>
    <row r="235" spans="1:7" x14ac:dyDescent="0.25">
      <c r="F235" s="23">
        <f t="shared" si="6"/>
        <v>0</v>
      </c>
      <c r="G235" s="8">
        <f t="shared" si="7"/>
        <v>0</v>
      </c>
    </row>
    <row r="236" spans="1:7" x14ac:dyDescent="0.25">
      <c r="A236" s="8">
        <v>42609.076782407406</v>
      </c>
      <c r="B236" t="s">
        <v>176</v>
      </c>
      <c r="C236" t="s">
        <v>220</v>
      </c>
      <c r="D236">
        <v>2090000</v>
      </c>
      <c r="E236" t="s">
        <v>175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221</v>
      </c>
      <c r="D237">
        <v>2260000</v>
      </c>
      <c r="E237" t="s">
        <v>177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150</v>
      </c>
      <c r="D239">
        <v>2100000</v>
      </c>
      <c r="E239" t="s">
        <v>136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140</v>
      </c>
      <c r="C240" t="s">
        <v>151</v>
      </c>
      <c r="D240">
        <v>1300000</v>
      </c>
      <c r="E240" t="s">
        <v>137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113</v>
      </c>
      <c r="C241" t="s">
        <v>153</v>
      </c>
      <c r="D241">
        <v>2000000</v>
      </c>
      <c r="E241" t="s">
        <v>139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152</v>
      </c>
      <c r="D242">
        <v>1230000</v>
      </c>
      <c r="E242" t="s">
        <v>162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111</v>
      </c>
      <c r="C243" t="s">
        <v>155</v>
      </c>
      <c r="D243">
        <v>2100000</v>
      </c>
      <c r="E243" t="s">
        <v>136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145</v>
      </c>
      <c r="C244" t="s">
        <v>157</v>
      </c>
      <c r="D244">
        <v>1300000</v>
      </c>
      <c r="E244" t="s">
        <v>137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114</v>
      </c>
      <c r="C245" t="s">
        <v>154</v>
      </c>
      <c r="D245">
        <v>2000000</v>
      </c>
      <c r="E245" t="s">
        <v>139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159</v>
      </c>
      <c r="D246">
        <v>1230000</v>
      </c>
      <c r="E246" t="s">
        <v>162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156</v>
      </c>
      <c r="D247">
        <v>2100000</v>
      </c>
      <c r="E247" t="s">
        <v>136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113</v>
      </c>
      <c r="C248" t="s">
        <v>160</v>
      </c>
      <c r="D248">
        <v>2000000</v>
      </c>
      <c r="E248" t="s">
        <v>139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140</v>
      </c>
      <c r="C249" t="s">
        <v>158</v>
      </c>
      <c r="D249">
        <v>1300000</v>
      </c>
      <c r="E249" t="s">
        <v>137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111</v>
      </c>
      <c r="C250" t="s">
        <v>163</v>
      </c>
      <c r="D250">
        <v>2100000</v>
      </c>
      <c r="E250" t="s">
        <v>136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145</v>
      </c>
      <c r="C251" t="s">
        <v>161</v>
      </c>
      <c r="D251">
        <v>1300000</v>
      </c>
      <c r="E251" t="s">
        <v>137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115</v>
      </c>
      <c r="D1" s="74" t="s">
        <v>116</v>
      </c>
      <c r="J1" s="34" t="s">
        <v>117</v>
      </c>
      <c r="K1" s="34" t="s">
        <v>72</v>
      </c>
      <c r="L1" s="34" t="s">
        <v>73</v>
      </c>
      <c r="O1" s="77" t="s">
        <v>118</v>
      </c>
    </row>
    <row r="2" spans="1:16" ht="15.75" thickBot="1" x14ac:dyDescent="0.3">
      <c r="A2" s="14">
        <v>42619</v>
      </c>
      <c r="B2" s="4"/>
      <c r="C2" s="75">
        <v>50</v>
      </c>
      <c r="D2" s="76">
        <v>25</v>
      </c>
      <c r="F2" t="s">
        <v>141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119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142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143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144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129</v>
      </c>
    </row>
    <row r="20" spans="10:13" x14ac:dyDescent="0.25">
      <c r="J20" t="s">
        <v>99</v>
      </c>
      <c r="M20" s="70" t="s">
        <v>169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128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125</v>
      </c>
      <c r="K24" s="23"/>
      <c r="M24" s="70" t="s">
        <v>127</v>
      </c>
    </row>
    <row r="25" spans="10:13" x14ac:dyDescent="0.25">
      <c r="J25" t="s">
        <v>217</v>
      </c>
      <c r="M25" s="70" t="b">
        <v>1</v>
      </c>
    </row>
    <row r="26" spans="10:13" x14ac:dyDescent="0.25">
      <c r="J26" t="s">
        <v>218</v>
      </c>
      <c r="M26" s="70" t="str">
        <f>"C:\Users\stu\Documents\GitHub\eaglep3-reporting\EC\"&amp;TEXT(A2,"yyyy-mm-dd")&amp;"-refined-times.txt"</f>
        <v>C:\Users\stu\Documents\GitHub\eaglep3-reporting\EC\2016-09-06-refined-times.txt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182</v>
      </c>
      <c r="B1" s="142" t="s">
        <v>183</v>
      </c>
      <c r="C1" s="143" t="s">
        <v>184</v>
      </c>
      <c r="H1" t="s">
        <v>178</v>
      </c>
      <c r="I1" s="144" t="s">
        <v>180</v>
      </c>
      <c r="J1"/>
    </row>
    <row r="2" spans="1:11" x14ac:dyDescent="0.25">
      <c r="A2" s="143" t="s">
        <v>185</v>
      </c>
      <c r="B2" s="143" t="s">
        <v>186</v>
      </c>
      <c r="C2" s="143" t="s">
        <v>187</v>
      </c>
      <c r="H2" t="s">
        <v>179</v>
      </c>
      <c r="I2" s="114" t="s">
        <v>181</v>
      </c>
      <c r="J2"/>
    </row>
    <row r="3" spans="1:11" x14ac:dyDescent="0.25">
      <c r="A3" s="143" t="s">
        <v>188</v>
      </c>
      <c r="B3" s="143" t="s">
        <v>189</v>
      </c>
      <c r="C3" s="143" t="s">
        <v>190</v>
      </c>
      <c r="H3" t="s">
        <v>205</v>
      </c>
      <c r="I3" s="114">
        <v>1</v>
      </c>
      <c r="J3"/>
      <c r="K3" s="70"/>
    </row>
    <row r="4" spans="1:11" x14ac:dyDescent="0.25">
      <c r="A4" s="143" t="s">
        <v>191</v>
      </c>
      <c r="C4" s="143" t="s">
        <v>192</v>
      </c>
      <c r="H4" t="s">
        <v>206</v>
      </c>
      <c r="I4" s="114">
        <v>2</v>
      </c>
      <c r="J4"/>
      <c r="K4" s="70"/>
    </row>
    <row r="5" spans="1:11" x14ac:dyDescent="0.25">
      <c r="A5" s="143" t="s">
        <v>193</v>
      </c>
      <c r="C5" s="143" t="s">
        <v>194</v>
      </c>
      <c r="H5" t="s">
        <v>207</v>
      </c>
      <c r="I5" s="114">
        <v>23</v>
      </c>
      <c r="J5"/>
      <c r="K5" s="70"/>
    </row>
    <row r="6" spans="1:11" x14ac:dyDescent="0.25">
      <c r="A6" s="143" t="s">
        <v>195</v>
      </c>
      <c r="C6" s="143" t="s">
        <v>196</v>
      </c>
      <c r="H6" s="146" t="s">
        <v>208</v>
      </c>
      <c r="I6" s="147" t="s">
        <v>186</v>
      </c>
    </row>
    <row r="7" spans="1:11" x14ac:dyDescent="0.25">
      <c r="A7" s="143" t="s">
        <v>197</v>
      </c>
      <c r="C7" s="143" t="s">
        <v>198</v>
      </c>
    </row>
    <row r="8" spans="1:11" x14ac:dyDescent="0.25">
      <c r="C8" s="143" t="s">
        <v>199</v>
      </c>
    </row>
    <row r="9" spans="1:11" x14ac:dyDescent="0.25">
      <c r="C9" s="143" t="s">
        <v>200</v>
      </c>
    </row>
    <row r="10" spans="1:11" x14ac:dyDescent="0.25">
      <c r="C10" s="143" t="s">
        <v>201</v>
      </c>
    </row>
    <row r="11" spans="1:11" x14ac:dyDescent="0.25">
      <c r="C11" s="143" t="s">
        <v>202</v>
      </c>
    </row>
    <row r="12" spans="1:11" x14ac:dyDescent="0.25">
      <c r="C12" s="143" t="s">
        <v>203</v>
      </c>
    </row>
    <row r="13" spans="1:11" x14ac:dyDescent="0.25">
      <c r="C13" s="143" t="s">
        <v>204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2016-09-22T18:54:49Z</dcterms:modified>
</cp:coreProperties>
</file>