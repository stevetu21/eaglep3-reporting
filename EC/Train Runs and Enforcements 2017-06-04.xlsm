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Trips'!$A$2:$J$69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X16" i="1"/>
  <c r="X17" i="1"/>
  <c r="K15" i="1"/>
  <c r="L15" i="1"/>
  <c r="M15" i="1"/>
  <c r="P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4" i="1"/>
  <c r="L14" i="1"/>
  <c r="M14" i="1"/>
  <c r="N14" i="1"/>
  <c r="T14" i="1"/>
  <c r="V14" i="1"/>
  <c r="Y14" i="1"/>
  <c r="Z14" i="1"/>
  <c r="AA14" i="1"/>
  <c r="W14" i="1" s="1"/>
  <c r="AB14" i="1"/>
  <c r="AC14" i="1"/>
  <c r="AD14" i="1"/>
  <c r="AG14" i="1" s="1"/>
  <c r="AE14" i="1"/>
  <c r="AF14" i="1"/>
  <c r="AH14" i="1"/>
  <c r="AM14" i="1"/>
  <c r="AN14" i="1"/>
  <c r="P156" i="1"/>
  <c r="X156" i="1"/>
  <c r="X157" i="1"/>
  <c r="X158" i="1"/>
  <c r="X159" i="1"/>
  <c r="K156" i="1"/>
  <c r="L156" i="1"/>
  <c r="M156" i="1"/>
  <c r="V156" i="1"/>
  <c r="AA156" i="1"/>
  <c r="W156" i="1" s="1"/>
  <c r="AB156" i="1"/>
  <c r="AC156" i="1"/>
  <c r="AD156" i="1"/>
  <c r="AG156" i="1" s="1"/>
  <c r="AE156" i="1"/>
  <c r="AF156" i="1"/>
  <c r="AH156" i="1"/>
  <c r="AM156" i="1"/>
  <c r="AN156" i="1"/>
  <c r="X154" i="1"/>
  <c r="X155" i="1"/>
  <c r="X160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/>
  <c r="V17" i="1"/>
  <c r="Y17" i="1"/>
  <c r="AA17" i="1" s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AA22" i="1" s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G30" i="1"/>
  <c r="AI30" i="1" s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X38" i="1"/>
  <c r="Y38" i="1"/>
  <c r="Z38" i="1"/>
  <c r="AA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AA42" i="1" s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I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G54" i="1"/>
  <c r="U54" i="1" s="1"/>
  <c r="S54" i="1" s="1"/>
  <c r="AH54" i="1"/>
  <c r="AM54" i="1"/>
  <c r="AN54" i="1"/>
  <c r="K55" i="1"/>
  <c r="L55" i="1"/>
  <c r="M55" i="1"/>
  <c r="N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AA56" i="1" s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X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X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G78" i="1"/>
  <c r="AI78" i="1" s="1"/>
  <c r="AH78" i="1"/>
  <c r="AM78" i="1"/>
  <c r="AN78" i="1"/>
  <c r="K79" i="1"/>
  <c r="L79" i="1"/>
  <c r="M79" i="1"/>
  <c r="N79" i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T80" i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R26" i="3" s="1"/>
  <c r="AF81" i="1"/>
  <c r="AH81" i="1"/>
  <c r="AM81" i="1"/>
  <c r="AN81" i="1"/>
  <c r="K82" i="1"/>
  <c r="L82" i="1"/>
  <c r="M82" i="1"/>
  <c r="N82" i="1" s="1"/>
  <c r="V82" i="1"/>
  <c r="S22" i="3" s="1"/>
  <c r="Y82" i="1"/>
  <c r="Z82" i="1"/>
  <c r="AA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G84" i="1"/>
  <c r="AI84" i="1" s="1"/>
  <c r="AH84" i="1"/>
  <c r="AM84" i="1"/>
  <c r="AN84" i="1"/>
  <c r="K85" i="1"/>
  <c r="L85" i="1"/>
  <c r="M85" i="1"/>
  <c r="N85" i="1" s="1"/>
  <c r="T85" i="1"/>
  <c r="V85" i="1"/>
  <c r="S27" i="3" s="1"/>
  <c r="Y85" i="1"/>
  <c r="Z85" i="1"/>
  <c r="AA85" i="1" s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G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G157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37" i="3" s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00" i="1"/>
  <c r="AM100" i="1"/>
  <c r="AN100" i="1"/>
  <c r="K165" i="1"/>
  <c r="L165" i="1"/>
  <c r="M165" i="1"/>
  <c r="N165" i="1" s="1"/>
  <c r="T165" i="1"/>
  <c r="V165" i="1"/>
  <c r="X165" i="1"/>
  <c r="Y165" i="1"/>
  <c r="Z165" i="1"/>
  <c r="AA165" i="1" s="1"/>
  <c r="AB165" i="1"/>
  <c r="AC165" i="1"/>
  <c r="AD165" i="1"/>
  <c r="AE165" i="1"/>
  <c r="AF165" i="1"/>
  <c r="AG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103" i="1"/>
  <c r="AM103" i="1"/>
  <c r="AN103" i="1"/>
  <c r="K167" i="1"/>
  <c r="L167" i="1"/>
  <c r="M167" i="1"/>
  <c r="N167" i="1" s="1"/>
  <c r="T167" i="1"/>
  <c r="V167" i="1"/>
  <c r="Y167" i="1"/>
  <c r="Z167" i="1"/>
  <c r="AB167" i="1"/>
  <c r="AC167" i="1"/>
  <c r="AD167" i="1"/>
  <c r="AG167" i="1" s="1"/>
  <c r="AE167" i="1"/>
  <c r="AF167" i="1"/>
  <c r="AH104" i="1"/>
  <c r="AM104" i="1"/>
  <c r="AN104" i="1"/>
  <c r="K168" i="1"/>
  <c r="L168" i="1"/>
  <c r="M168" i="1"/>
  <c r="N168" i="1" s="1"/>
  <c r="T168" i="1"/>
  <c r="V168" i="1"/>
  <c r="X168" i="1"/>
  <c r="Y168" i="1"/>
  <c r="Z168" i="1"/>
  <c r="AA168" i="1" s="1"/>
  <c r="AB168" i="1"/>
  <c r="AC168" i="1"/>
  <c r="AD168" i="1"/>
  <c r="AE168" i="1"/>
  <c r="AF168" i="1"/>
  <c r="AG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G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112" i="1"/>
  <c r="AM112" i="1"/>
  <c r="AN112" i="1"/>
  <c r="K176" i="1"/>
  <c r="L176" i="1"/>
  <c r="M176" i="1"/>
  <c r="N176" i="1" s="1"/>
  <c r="T176" i="1"/>
  <c r="V176" i="1"/>
  <c r="X176" i="1"/>
  <c r="Y176" i="1"/>
  <c r="Z176" i="1"/>
  <c r="AA176" i="1" s="1"/>
  <c r="AB176" i="1"/>
  <c r="AC176" i="1"/>
  <c r="AD176" i="1"/>
  <c r="AE176" i="1"/>
  <c r="AF176" i="1"/>
  <c r="AG176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AE177" i="1"/>
  <c r="R34" i="3" s="1"/>
  <c r="AF177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R43" i="3" s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AE181" i="1"/>
  <c r="R36" i="3" s="1"/>
  <c r="AF181" i="1"/>
  <c r="AH119" i="1"/>
  <c r="AM119" i="1"/>
  <c r="AN119" i="1"/>
  <c r="K182" i="1"/>
  <c r="L182" i="1"/>
  <c r="M182" i="1"/>
  <c r="N182" i="1" s="1"/>
  <c r="T182" i="1"/>
  <c r="V182" i="1"/>
  <c r="Y182" i="1"/>
  <c r="Z182" i="1"/>
  <c r="AB182" i="1"/>
  <c r="AC182" i="1"/>
  <c r="AD182" i="1"/>
  <c r="AG182" i="1" s="1"/>
  <c r="AE182" i="1"/>
  <c r="AF182" i="1"/>
  <c r="AH120" i="1"/>
  <c r="AM120" i="1"/>
  <c r="AN120" i="1"/>
  <c r="K183" i="1"/>
  <c r="L183" i="1"/>
  <c r="M183" i="1"/>
  <c r="N183" i="1"/>
  <c r="V183" i="1"/>
  <c r="Y183" i="1"/>
  <c r="Z183" i="1"/>
  <c r="AB183" i="1"/>
  <c r="AC183" i="1"/>
  <c r="AD183" i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T185" i="1"/>
  <c r="V185" i="1"/>
  <c r="Y185" i="1"/>
  <c r="Z185" i="1"/>
  <c r="AA185" i="1" s="1"/>
  <c r="AB185" i="1"/>
  <c r="AC185" i="1"/>
  <c r="AD185" i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T98" i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/>
  <c r="V100" i="1"/>
  <c r="Y100" i="1"/>
  <c r="AA100" i="1" s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R29" i="3" s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I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/>
  <c r="V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V112" i="1"/>
  <c r="Y112" i="1"/>
  <c r="AA112" i="1" s="1"/>
  <c r="Z112" i="1"/>
  <c r="AB112" i="1"/>
  <c r="AC112" i="1"/>
  <c r="AD112" i="1"/>
  <c r="AG112" i="1" s="1"/>
  <c r="AI112" i="1" s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1" i="1"/>
  <c r="AM151" i="1"/>
  <c r="AN151" i="1"/>
  <c r="K117" i="1"/>
  <c r="L117" i="1"/>
  <c r="M117" i="1"/>
  <c r="N117" i="1" s="1"/>
  <c r="T117" i="1"/>
  <c r="V117" i="1"/>
  <c r="S7" i="3" s="1"/>
  <c r="Y117" i="1"/>
  <c r="Z117" i="1"/>
  <c r="AB117" i="1"/>
  <c r="AC117" i="1"/>
  <c r="AD117" i="1"/>
  <c r="X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61" i="1"/>
  <c r="AM161" i="1"/>
  <c r="AN161" i="1"/>
  <c r="K127" i="1"/>
  <c r="L127" i="1"/>
  <c r="M127" i="1"/>
  <c r="N127" i="1"/>
  <c r="V127" i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63" i="1"/>
  <c r="AM163" i="1"/>
  <c r="AN163" i="1"/>
  <c r="K129" i="1"/>
  <c r="L129" i="1"/>
  <c r="M129" i="1"/>
  <c r="N129" i="1" s="1"/>
  <c r="V129" i="1"/>
  <c r="X129" i="1"/>
  <c r="Y129" i="1"/>
  <c r="Z129" i="1"/>
  <c r="AB129" i="1"/>
  <c r="AC129" i="1"/>
  <c r="AD129" i="1"/>
  <c r="T129" i="1" s="1"/>
  <c r="AE129" i="1"/>
  <c r="AF129" i="1"/>
  <c r="AG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E130" i="1"/>
  <c r="R9" i="3" s="1"/>
  <c r="AF130" i="1"/>
  <c r="AH165" i="1"/>
  <c r="AM165" i="1"/>
  <c r="AN165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7" i="1"/>
  <c r="AM167" i="1"/>
  <c r="AN167" i="1"/>
  <c r="K133" i="1"/>
  <c r="L133" i="1"/>
  <c r="M133" i="1"/>
  <c r="N133" i="1" s="1"/>
  <c r="V133" i="1"/>
  <c r="S32" i="3" s="1"/>
  <c r="Y133" i="1"/>
  <c r="Z133" i="1"/>
  <c r="AB133" i="1"/>
  <c r="AC133" i="1"/>
  <c r="AD133" i="1"/>
  <c r="AE133" i="1"/>
  <c r="AF133" i="1"/>
  <c r="AH168" i="1"/>
  <c r="AM168" i="1"/>
  <c r="AN168" i="1"/>
  <c r="K134" i="1"/>
  <c r="L134" i="1"/>
  <c r="M134" i="1"/>
  <c r="N134" i="1"/>
  <c r="V134" i="1"/>
  <c r="Y134" i="1"/>
  <c r="Z134" i="1"/>
  <c r="AB134" i="1"/>
  <c r="AC134" i="1"/>
  <c r="AD134" i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AM179" i="1"/>
  <c r="AN179" i="1"/>
  <c r="K145" i="1"/>
  <c r="L145" i="1"/>
  <c r="M145" i="1"/>
  <c r="N145" i="1" s="1"/>
  <c r="T145" i="1"/>
  <c r="V145" i="1"/>
  <c r="X145" i="1"/>
  <c r="Y145" i="1"/>
  <c r="Z145" i="1"/>
  <c r="AB145" i="1"/>
  <c r="AC145" i="1"/>
  <c r="AD145" i="1"/>
  <c r="AE145" i="1"/>
  <c r="AF145" i="1"/>
  <c r="AG145" i="1"/>
  <c r="U145" i="1" s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82" i="1"/>
  <c r="AM182" i="1"/>
  <c r="AN182" i="1"/>
  <c r="K148" i="1"/>
  <c r="L148" i="1"/>
  <c r="M148" i="1"/>
  <c r="N148" i="1"/>
  <c r="V148" i="1"/>
  <c r="Y148" i="1"/>
  <c r="Z148" i="1"/>
  <c r="AB148" i="1"/>
  <c r="AC148" i="1"/>
  <c r="AD148" i="1"/>
  <c r="AG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AM186" i="1"/>
  <c r="AN186" i="1"/>
  <c r="K152" i="1"/>
  <c r="L152" i="1"/>
  <c r="M152" i="1"/>
  <c r="N152" i="1" s="1"/>
  <c r="T152" i="1"/>
  <c r="V152" i="1"/>
  <c r="Y152" i="1"/>
  <c r="Z152" i="1"/>
  <c r="AB152" i="1"/>
  <c r="AC152" i="1"/>
  <c r="AD152" i="1"/>
  <c r="AG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I188" i="1"/>
  <c r="AM188" i="1"/>
  <c r="AN188" i="1"/>
  <c r="K154" i="1"/>
  <c r="L154" i="1"/>
  <c r="M154" i="1"/>
  <c r="N154" i="1" s="1"/>
  <c r="T154" i="1"/>
  <c r="V154" i="1"/>
  <c r="Y154" i="1"/>
  <c r="Z154" i="1"/>
  <c r="AA154" i="1" s="1"/>
  <c r="AB154" i="1"/>
  <c r="AC154" i="1"/>
  <c r="AD154" i="1"/>
  <c r="AE154" i="1"/>
  <c r="AF154" i="1"/>
  <c r="AH189" i="1"/>
  <c r="AM189" i="1"/>
  <c r="AN189" i="1"/>
  <c r="K155" i="1"/>
  <c r="L155" i="1"/>
  <c r="M155" i="1"/>
  <c r="N155" i="1" s="1"/>
  <c r="V155" i="1"/>
  <c r="S19" i="3" s="1"/>
  <c r="Y155" i="1"/>
  <c r="AA155" i="1" s="1"/>
  <c r="Z155" i="1"/>
  <c r="AB155" i="1"/>
  <c r="AC155" i="1"/>
  <c r="AD155" i="1"/>
  <c r="T155" i="1" s="1"/>
  <c r="AE155" i="1"/>
  <c r="R15" i="3" s="1"/>
  <c r="AF155" i="1"/>
  <c r="AH190" i="1"/>
  <c r="AM190" i="1"/>
  <c r="AN190" i="1"/>
  <c r="AH191" i="1"/>
  <c r="AM191" i="1"/>
  <c r="AN191" i="1"/>
  <c r="K191" i="1"/>
  <c r="L191" i="1"/>
  <c r="M191" i="1"/>
  <c r="N191" i="1" s="1"/>
  <c r="V191" i="1"/>
  <c r="Y191" i="1"/>
  <c r="AA191" i="1" s="1"/>
  <c r="Z191" i="1"/>
  <c r="AB191" i="1"/>
  <c r="AC191" i="1"/>
  <c r="AD191" i="1"/>
  <c r="T191" i="1" s="1"/>
  <c r="AE191" i="1"/>
  <c r="AF191" i="1"/>
  <c r="AH192" i="1"/>
  <c r="AM192" i="1"/>
  <c r="AN19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3" i="1"/>
  <c r="AM193" i="1"/>
  <c r="AN193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4" i="1"/>
  <c r="AM194" i="1"/>
  <c r="AN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AM195" i="1"/>
  <c r="AN195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T196" i="1"/>
  <c r="V196" i="1"/>
  <c r="Y196" i="1"/>
  <c r="Z196" i="1"/>
  <c r="AA196" i="1" s="1"/>
  <c r="AB196" i="1"/>
  <c r="AC196" i="1"/>
  <c r="AD196" i="1"/>
  <c r="X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AA197" i="1" s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AG198" i="1" s="1"/>
  <c r="AI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A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1" i="1"/>
  <c r="AM201" i="1"/>
  <c r="AN201" i="1"/>
  <c r="K201" i="1"/>
  <c r="L201" i="1"/>
  <c r="M201" i="1"/>
  <c r="N201" i="1" s="1"/>
  <c r="V201" i="1"/>
  <c r="S51" i="3" s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3" i="1"/>
  <c r="AM203" i="1"/>
  <c r="AN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AN205" i="1"/>
  <c r="K206" i="1"/>
  <c r="L206" i="1"/>
  <c r="M206" i="1"/>
  <c r="N206" i="1" s="1"/>
  <c r="V206" i="1"/>
  <c r="S52" i="3" s="1"/>
  <c r="Y206" i="1"/>
  <c r="Z206" i="1"/>
  <c r="AA206" i="1" s="1"/>
  <c r="AB206" i="1"/>
  <c r="AC206" i="1"/>
  <c r="AD206" i="1"/>
  <c r="AG206" i="1" s="1"/>
  <c r="AE206" i="1"/>
  <c r="R53" i="3" s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A210" i="1" s="1"/>
  <c r="W210" i="1" s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T211" i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AA214" i="1" s="1"/>
  <c r="Z214" i="1"/>
  <c r="AB214" i="1"/>
  <c r="AC214" i="1"/>
  <c r="AD214" i="1"/>
  <c r="AG214" i="1" s="1"/>
  <c r="AE214" i="1"/>
  <c r="AF214" i="1"/>
  <c r="AH214" i="1"/>
  <c r="AM214" i="1"/>
  <c r="AN214" i="1"/>
  <c r="M11" i="3"/>
  <c r="R11" i="3"/>
  <c r="S11" i="3"/>
  <c r="U11" i="3"/>
  <c r="T11" i="3" s="1"/>
  <c r="V11" i="3"/>
  <c r="AE11" i="3" s="1"/>
  <c r="W11" i="3"/>
  <c r="Y11" i="3" s="1"/>
  <c r="X11" i="3"/>
  <c r="AC11" i="3"/>
  <c r="M51" i="3"/>
  <c r="R51" i="3"/>
  <c r="U51" i="3"/>
  <c r="V51" i="3"/>
  <c r="W51" i="3"/>
  <c r="X51" i="3"/>
  <c r="Y51" i="3"/>
  <c r="M37" i="3"/>
  <c r="S37" i="3"/>
  <c r="U37" i="3"/>
  <c r="AC37" i="3" s="1"/>
  <c r="V37" i="3"/>
  <c r="W37" i="3"/>
  <c r="X37" i="3"/>
  <c r="Y37" i="3"/>
  <c r="M41" i="3"/>
  <c r="S41" i="3"/>
  <c r="U41" i="3"/>
  <c r="T41" i="3" s="1"/>
  <c r="V41" i="3"/>
  <c r="W41" i="3"/>
  <c r="X41" i="3"/>
  <c r="AC41" i="3"/>
  <c r="M20" i="3"/>
  <c r="R20" i="3"/>
  <c r="S20" i="3"/>
  <c r="U20" i="3"/>
  <c r="T20" i="3" s="1"/>
  <c r="V20" i="3"/>
  <c r="W20" i="3"/>
  <c r="X20" i="3"/>
  <c r="AC20" i="3"/>
  <c r="M21" i="3"/>
  <c r="R21" i="3"/>
  <c r="S21" i="3"/>
  <c r="U21" i="3"/>
  <c r="V21" i="3"/>
  <c r="W21" i="3"/>
  <c r="X21" i="3"/>
  <c r="AC21" i="3"/>
  <c r="M17" i="3"/>
  <c r="R17" i="3"/>
  <c r="S17" i="3"/>
  <c r="U17" i="3"/>
  <c r="AC17" i="3" s="1"/>
  <c r="V17" i="3"/>
  <c r="W17" i="3"/>
  <c r="X17" i="3"/>
  <c r="M18" i="3"/>
  <c r="R18" i="3"/>
  <c r="S18" i="3"/>
  <c r="T18" i="3"/>
  <c r="U18" i="3"/>
  <c r="V18" i="3"/>
  <c r="W18" i="3"/>
  <c r="X18" i="3"/>
  <c r="AC18" i="3"/>
  <c r="M24" i="3"/>
  <c r="R24" i="3"/>
  <c r="S24" i="3"/>
  <c r="U24" i="3"/>
  <c r="T24" i="3" s="1"/>
  <c r="V24" i="3"/>
  <c r="W24" i="3"/>
  <c r="X24" i="3"/>
  <c r="AC24" i="3"/>
  <c r="M26" i="3"/>
  <c r="S26" i="3"/>
  <c r="U26" i="3"/>
  <c r="AD17" i="3" s="1"/>
  <c r="V26" i="3"/>
  <c r="W26" i="3"/>
  <c r="X26" i="3"/>
  <c r="M22" i="3"/>
  <c r="R22" i="3"/>
  <c r="U22" i="3"/>
  <c r="AC22" i="3" s="1"/>
  <c r="V22" i="3"/>
  <c r="W22" i="3"/>
  <c r="X22" i="3"/>
  <c r="M27" i="3"/>
  <c r="R27" i="3"/>
  <c r="U27" i="3"/>
  <c r="V27" i="3"/>
  <c r="W27" i="3"/>
  <c r="X27" i="3"/>
  <c r="M28" i="3"/>
  <c r="R28" i="3"/>
  <c r="S28" i="3"/>
  <c r="U28" i="3"/>
  <c r="T28" i="3" s="1"/>
  <c r="V28" i="3"/>
  <c r="W28" i="3"/>
  <c r="X28" i="3"/>
  <c r="M14" i="3"/>
  <c r="R14" i="3"/>
  <c r="S14" i="3"/>
  <c r="U14" i="3"/>
  <c r="AD21" i="3" s="1"/>
  <c r="V14" i="3"/>
  <c r="W14" i="3"/>
  <c r="X14" i="3"/>
  <c r="Y14" i="3"/>
  <c r="M38" i="3"/>
  <c r="R38" i="3"/>
  <c r="S38" i="3"/>
  <c r="U38" i="3"/>
  <c r="AC38" i="3" s="1"/>
  <c r="V38" i="3"/>
  <c r="W38" i="3"/>
  <c r="X38" i="3"/>
  <c r="M29" i="3"/>
  <c r="S29" i="3"/>
  <c r="U29" i="3"/>
  <c r="T29" i="3" s="1"/>
  <c r="V29" i="3"/>
  <c r="W29" i="3"/>
  <c r="X29" i="3"/>
  <c r="AC29" i="3"/>
  <c r="M34" i="3"/>
  <c r="S34" i="3"/>
  <c r="U34" i="3"/>
  <c r="T34" i="3" s="1"/>
  <c r="V34" i="3"/>
  <c r="W34" i="3"/>
  <c r="X34" i="3"/>
  <c r="M42" i="3"/>
  <c r="S42" i="3"/>
  <c r="U42" i="3"/>
  <c r="AE42" i="3" s="1"/>
  <c r="V42" i="3"/>
  <c r="W42" i="3"/>
  <c r="X42" i="3"/>
  <c r="M52" i="3"/>
  <c r="U52" i="3"/>
  <c r="AC52" i="3" s="1"/>
  <c r="V52" i="3"/>
  <c r="W52" i="3"/>
  <c r="X52" i="3"/>
  <c r="M7" i="3"/>
  <c r="R7" i="3"/>
  <c r="U7" i="3"/>
  <c r="T7" i="3" s="1"/>
  <c r="V7" i="3"/>
  <c r="W7" i="3"/>
  <c r="X7" i="3"/>
  <c r="AC7" i="3"/>
  <c r="M43" i="3"/>
  <c r="S43" i="3"/>
  <c r="U43" i="3"/>
  <c r="T43" i="3" s="1"/>
  <c r="V43" i="3"/>
  <c r="W43" i="3"/>
  <c r="X43" i="3"/>
  <c r="AC43" i="3"/>
  <c r="AD28" i="3"/>
  <c r="M23" i="3"/>
  <c r="R23" i="3"/>
  <c r="S23" i="3"/>
  <c r="U23" i="3"/>
  <c r="V23" i="3"/>
  <c r="W23" i="3"/>
  <c r="X23" i="3"/>
  <c r="AC23" i="3"/>
  <c r="M30" i="3"/>
  <c r="R30" i="3"/>
  <c r="S30" i="3"/>
  <c r="U30" i="3"/>
  <c r="AC30" i="3" s="1"/>
  <c r="V30" i="3"/>
  <c r="W30" i="3"/>
  <c r="X30" i="3"/>
  <c r="Y30" i="3"/>
  <c r="M39" i="3"/>
  <c r="R39" i="3"/>
  <c r="S39" i="3"/>
  <c r="U39" i="3"/>
  <c r="T39" i="3" s="1"/>
  <c r="V39" i="3"/>
  <c r="W39" i="3"/>
  <c r="X39" i="3"/>
  <c r="AC39" i="3"/>
  <c r="M45" i="3"/>
  <c r="R45" i="3"/>
  <c r="S45" i="3"/>
  <c r="U45" i="3"/>
  <c r="T45" i="3" s="1"/>
  <c r="V45" i="3"/>
  <c r="W45" i="3"/>
  <c r="X45" i="3"/>
  <c r="AC45" i="3"/>
  <c r="M46" i="3"/>
  <c r="R46" i="3"/>
  <c r="S46" i="3"/>
  <c r="U46" i="3"/>
  <c r="AD46" i="3" s="1"/>
  <c r="V46" i="3"/>
  <c r="W46" i="3"/>
  <c r="X46" i="3"/>
  <c r="Y46" i="3"/>
  <c r="M36" i="3"/>
  <c r="S36" i="3"/>
  <c r="U36" i="3"/>
  <c r="AC36" i="3" s="1"/>
  <c r="V36" i="3"/>
  <c r="W36" i="3"/>
  <c r="X36" i="3"/>
  <c r="M10" i="3"/>
  <c r="R10" i="3"/>
  <c r="S10" i="3"/>
  <c r="U10" i="3"/>
  <c r="AC10" i="3" s="1"/>
  <c r="V10" i="3"/>
  <c r="W10" i="3"/>
  <c r="X10" i="3"/>
  <c r="M31" i="3"/>
  <c r="R31" i="3"/>
  <c r="S31" i="3"/>
  <c r="U31" i="3"/>
  <c r="T31" i="3" s="1"/>
  <c r="V31" i="3"/>
  <c r="W31" i="3"/>
  <c r="X31" i="3"/>
  <c r="AD36" i="3"/>
  <c r="M53" i="3"/>
  <c r="U53" i="3"/>
  <c r="AC53" i="3" s="1"/>
  <c r="V53" i="3"/>
  <c r="W53" i="3"/>
  <c r="Y53" i="3" s="1"/>
  <c r="X53" i="3"/>
  <c r="M12" i="3"/>
  <c r="R12" i="3"/>
  <c r="S12" i="3"/>
  <c r="U12" i="3"/>
  <c r="AC12" i="3" s="1"/>
  <c r="V12" i="3"/>
  <c r="W12" i="3"/>
  <c r="X12" i="3"/>
  <c r="M47" i="3"/>
  <c r="R47" i="3"/>
  <c r="S47" i="3"/>
  <c r="U47" i="3"/>
  <c r="V47" i="3"/>
  <c r="W47" i="3"/>
  <c r="X47" i="3"/>
  <c r="AC47" i="3"/>
  <c r="M48" i="3"/>
  <c r="R48" i="3"/>
  <c r="S48" i="3"/>
  <c r="U48" i="3"/>
  <c r="T48" i="3" s="1"/>
  <c r="V48" i="3"/>
  <c r="W48" i="3"/>
  <c r="X48" i="3"/>
  <c r="AC48" i="3"/>
  <c r="M25" i="3"/>
  <c r="R25" i="3"/>
  <c r="S25" i="3"/>
  <c r="U25" i="3"/>
  <c r="V25" i="3"/>
  <c r="W25" i="3"/>
  <c r="X25" i="3"/>
  <c r="M13" i="3"/>
  <c r="R13" i="3"/>
  <c r="S13" i="3"/>
  <c r="U13" i="3"/>
  <c r="AC13" i="3" s="1"/>
  <c r="V13" i="3"/>
  <c r="W13" i="3"/>
  <c r="X13" i="3"/>
  <c r="M32" i="3"/>
  <c r="R32" i="3"/>
  <c r="U32" i="3"/>
  <c r="T32" i="3" s="1"/>
  <c r="V32" i="3"/>
  <c r="W32" i="3"/>
  <c r="X32" i="3"/>
  <c r="AC32" i="3"/>
  <c r="M9" i="3"/>
  <c r="S9" i="3"/>
  <c r="U9" i="3"/>
  <c r="T9" i="3" s="1"/>
  <c r="V9" i="3"/>
  <c r="W9" i="3"/>
  <c r="X9" i="3"/>
  <c r="AC9" i="3"/>
  <c r="M16" i="3"/>
  <c r="R16" i="3"/>
  <c r="S16" i="3"/>
  <c r="U16" i="3"/>
  <c r="V16" i="3"/>
  <c r="W16" i="3"/>
  <c r="X16" i="3"/>
  <c r="AC16" i="3"/>
  <c r="M49" i="3"/>
  <c r="R49" i="3"/>
  <c r="S49" i="3"/>
  <c r="U49" i="3"/>
  <c r="AC49" i="3" s="1"/>
  <c r="V49" i="3"/>
  <c r="W49" i="3"/>
  <c r="Y49" i="3" s="1"/>
  <c r="X49" i="3"/>
  <c r="M44" i="3"/>
  <c r="R44" i="3"/>
  <c r="S44" i="3"/>
  <c r="U44" i="3"/>
  <c r="T44" i="3" s="1"/>
  <c r="V44" i="3"/>
  <c r="W44" i="3"/>
  <c r="X44" i="3"/>
  <c r="AC44" i="3"/>
  <c r="M35" i="3"/>
  <c r="R35" i="3"/>
  <c r="S35" i="3"/>
  <c r="U35" i="3"/>
  <c r="T35" i="3" s="1"/>
  <c r="V35" i="3"/>
  <c r="W35" i="3"/>
  <c r="X35" i="3"/>
  <c r="AC35" i="3"/>
  <c r="M40" i="3"/>
  <c r="R40" i="3"/>
  <c r="S40" i="3"/>
  <c r="U40" i="3"/>
  <c r="V40" i="3"/>
  <c r="W40" i="3"/>
  <c r="Y40" i="3" s="1"/>
  <c r="X40" i="3"/>
  <c r="M33" i="3"/>
  <c r="R33" i="3"/>
  <c r="S33" i="3"/>
  <c r="U33" i="3"/>
  <c r="V33" i="3"/>
  <c r="W33" i="3"/>
  <c r="X33" i="3"/>
  <c r="AC33" i="3"/>
  <c r="M8" i="3"/>
  <c r="R8" i="3"/>
  <c r="S8" i="3"/>
  <c r="U8" i="3"/>
  <c r="T8" i="3" s="1"/>
  <c r="V8" i="3"/>
  <c r="W8" i="3"/>
  <c r="X8" i="3"/>
  <c r="AC8" i="3"/>
  <c r="AD51" i="3"/>
  <c r="M15" i="3"/>
  <c r="U15" i="3"/>
  <c r="AD52" i="3" s="1"/>
  <c r="V15" i="3"/>
  <c r="W15" i="3"/>
  <c r="X15" i="3"/>
  <c r="AC15" i="3"/>
  <c r="M19" i="3"/>
  <c r="U19" i="3"/>
  <c r="AC19" i="3" s="1"/>
  <c r="V19" i="3"/>
  <c r="W19" i="3"/>
  <c r="X19" i="3"/>
  <c r="AG15" i="1" l="1"/>
  <c r="U14" i="1"/>
  <c r="S14" i="1" s="1"/>
  <c r="AI14" i="1"/>
  <c r="AC31" i="3"/>
  <c r="AC34" i="3"/>
  <c r="Y26" i="3"/>
  <c r="Y21" i="3"/>
  <c r="S15" i="3"/>
  <c r="Y13" i="3"/>
  <c r="AE27" i="3"/>
  <c r="Y24" i="3"/>
  <c r="Y17" i="3"/>
  <c r="R41" i="3"/>
  <c r="AD43" i="3"/>
  <c r="Y7" i="3"/>
  <c r="Y42" i="3"/>
  <c r="R42" i="3"/>
  <c r="AD29" i="3"/>
  <c r="AD9" i="3"/>
  <c r="T156" i="1"/>
  <c r="U156" i="1" s="1"/>
  <c r="S156" i="1" s="1"/>
  <c r="AI156" i="1"/>
  <c r="AA202" i="1"/>
  <c r="W202" i="1" s="1"/>
  <c r="T202" i="1"/>
  <c r="U202" i="1" s="1"/>
  <c r="S202" i="1" s="1"/>
  <c r="AA201" i="1"/>
  <c r="AA151" i="1"/>
  <c r="AA143" i="1"/>
  <c r="AA120" i="1"/>
  <c r="W120" i="1" s="1"/>
  <c r="T113" i="1"/>
  <c r="AA106" i="1"/>
  <c r="AA104" i="1"/>
  <c r="AA97" i="1"/>
  <c r="W97" i="1" s="1"/>
  <c r="AA181" i="1"/>
  <c r="AA83" i="1"/>
  <c r="W83" i="1" s="1"/>
  <c r="AA75" i="1"/>
  <c r="T75" i="1"/>
  <c r="AA74" i="1"/>
  <c r="AA65" i="1"/>
  <c r="AA58" i="1"/>
  <c r="AA53" i="1"/>
  <c r="W53" i="1" s="1"/>
  <c r="AA49" i="1"/>
  <c r="AA47" i="1"/>
  <c r="AA45" i="1"/>
  <c r="AA41" i="1"/>
  <c r="AG39" i="1"/>
  <c r="AI39" i="1" s="1"/>
  <c r="X39" i="1"/>
  <c r="AA30" i="1"/>
  <c r="W30" i="1" s="1"/>
  <c r="AC27" i="3"/>
  <c r="AD44" i="3"/>
  <c r="AC28" i="3"/>
  <c r="AD39" i="3"/>
  <c r="AE39" i="3"/>
  <c r="Y39" i="3"/>
  <c r="Y23" i="3"/>
  <c r="R52" i="3"/>
  <c r="AI206" i="1"/>
  <c r="T194" i="1"/>
  <c r="U194" i="1" s="1"/>
  <c r="S194" i="1" s="1"/>
  <c r="AA137" i="1"/>
  <c r="AA124" i="1"/>
  <c r="W124" i="1" s="1"/>
  <c r="X120" i="1"/>
  <c r="AG113" i="1"/>
  <c r="U113" i="1" s="1"/>
  <c r="S113" i="1" s="1"/>
  <c r="AI108" i="1"/>
  <c r="AA108" i="1"/>
  <c r="W108" i="1" s="1"/>
  <c r="AG102" i="1"/>
  <c r="X102" i="1"/>
  <c r="W168" i="1"/>
  <c r="X63" i="1"/>
  <c r="AA50" i="1"/>
  <c r="X34" i="1"/>
  <c r="X27" i="1"/>
  <c r="X22" i="1"/>
  <c r="Y44" i="3"/>
  <c r="AD37" i="3"/>
  <c r="Y36" i="3"/>
  <c r="Y38" i="3"/>
  <c r="Y28" i="3"/>
  <c r="Y41" i="3"/>
  <c r="X202" i="1"/>
  <c r="Y15" i="3"/>
  <c r="Y33" i="3"/>
  <c r="AD48" i="3"/>
  <c r="AE46" i="3"/>
  <c r="Y25" i="3"/>
  <c r="Y12" i="3"/>
  <c r="Y31" i="3"/>
  <c r="Y52" i="3"/>
  <c r="AD23" i="3"/>
  <c r="AG208" i="1"/>
  <c r="AI208" i="1" s="1"/>
  <c r="AG199" i="1"/>
  <c r="U199" i="1" s="1"/>
  <c r="S199" i="1" s="1"/>
  <c r="AA194" i="1"/>
  <c r="W194" i="1" s="1"/>
  <c r="AG141" i="1"/>
  <c r="AA127" i="1"/>
  <c r="AA122" i="1"/>
  <c r="X121" i="1"/>
  <c r="AG117" i="1"/>
  <c r="AA115" i="1"/>
  <c r="AA111" i="1"/>
  <c r="AA189" i="1"/>
  <c r="X183" i="1"/>
  <c r="AG179" i="1"/>
  <c r="W179" i="1" s="1"/>
  <c r="AA178" i="1"/>
  <c r="AA173" i="1"/>
  <c r="W173" i="1" s="1"/>
  <c r="AA171" i="1"/>
  <c r="U167" i="1"/>
  <c r="S167" i="1" s="1"/>
  <c r="AA167" i="1"/>
  <c r="W167" i="1" s="1"/>
  <c r="AA162" i="1"/>
  <c r="W162" i="1" s="1"/>
  <c r="AA160" i="1"/>
  <c r="W160" i="1" s="1"/>
  <c r="AG92" i="1"/>
  <c r="AG85" i="1"/>
  <c r="U85" i="1" s="1"/>
  <c r="S85" i="1" s="1"/>
  <c r="AA84" i="1"/>
  <c r="W84" i="1" s="1"/>
  <c r="AI82" i="1"/>
  <c r="AI80" i="1"/>
  <c r="AA80" i="1"/>
  <c r="W80" i="1" s="1"/>
  <c r="X79" i="1"/>
  <c r="AA69" i="1"/>
  <c r="X59" i="1"/>
  <c r="W206" i="1"/>
  <c r="W175" i="1"/>
  <c r="W82" i="1"/>
  <c r="U92" i="1"/>
  <c r="S92" i="1" s="1"/>
  <c r="X213" i="1"/>
  <c r="AA211" i="1"/>
  <c r="W211" i="1" s="1"/>
  <c r="T206" i="1"/>
  <c r="AA205" i="1"/>
  <c r="AG197" i="1"/>
  <c r="W197" i="1" s="1"/>
  <c r="AI194" i="1"/>
  <c r="AG155" i="1"/>
  <c r="U155" i="1" s="1"/>
  <c r="S155" i="1" s="1"/>
  <c r="AA152" i="1"/>
  <c r="X152" i="1"/>
  <c r="T149" i="1"/>
  <c r="AA148" i="1"/>
  <c r="W148" i="1" s="1"/>
  <c r="AA142" i="1"/>
  <c r="U141" i="1"/>
  <c r="X140" i="1"/>
  <c r="AA136" i="1"/>
  <c r="X133" i="1"/>
  <c r="AA133" i="1"/>
  <c r="AA130" i="1"/>
  <c r="AG125" i="1"/>
  <c r="X125" i="1"/>
  <c r="T121" i="1"/>
  <c r="U121" i="1" s="1"/>
  <c r="S121" i="1" s="1"/>
  <c r="AA118" i="1"/>
  <c r="AI116" i="1"/>
  <c r="AA116" i="1"/>
  <c r="X112" i="1"/>
  <c r="T109" i="1"/>
  <c r="AG105" i="1"/>
  <c r="X105" i="1"/>
  <c r="AA103" i="1"/>
  <c r="AA101" i="1"/>
  <c r="W101" i="1" s="1"/>
  <c r="AA188" i="1"/>
  <c r="T188" i="1"/>
  <c r="AA187" i="1"/>
  <c r="AA182" i="1"/>
  <c r="W182" i="1" s="1"/>
  <c r="T175" i="1"/>
  <c r="AA174" i="1"/>
  <c r="AG166" i="1"/>
  <c r="U166" i="1" s="1"/>
  <c r="S166" i="1" s="1"/>
  <c r="AG164" i="1"/>
  <c r="W164" i="1" s="1"/>
  <c r="AA91" i="1"/>
  <c r="X84" i="1"/>
  <c r="AG76" i="1"/>
  <c r="U76" i="1" s="1"/>
  <c r="S76" i="1" s="1"/>
  <c r="AG72" i="1"/>
  <c r="U72" i="1" s="1"/>
  <c r="S72" i="1" s="1"/>
  <c r="AG68" i="1"/>
  <c r="U68" i="1" s="1"/>
  <c r="S68" i="1" s="1"/>
  <c r="AG64" i="1"/>
  <c r="U64" i="1" s="1"/>
  <c r="S64" i="1" s="1"/>
  <c r="AG60" i="1"/>
  <c r="U60" i="1" s="1"/>
  <c r="S60" i="1" s="1"/>
  <c r="AI53" i="1"/>
  <c r="AG51" i="1"/>
  <c r="AA37" i="1"/>
  <c r="AA32" i="1"/>
  <c r="AA31" i="1"/>
  <c r="X30" i="1"/>
  <c r="AA26" i="1"/>
  <c r="AA25" i="1"/>
  <c r="AG23" i="1"/>
  <c r="U23" i="1" s="1"/>
  <c r="S23" i="1" s="1"/>
  <c r="X23" i="1"/>
  <c r="X141" i="1"/>
  <c r="X104" i="1"/>
  <c r="W157" i="1"/>
  <c r="AA71" i="1"/>
  <c r="AA70" i="1"/>
  <c r="AA67" i="1"/>
  <c r="AA66" i="1"/>
  <c r="AA63" i="1"/>
  <c r="AA62" i="1"/>
  <c r="AA59" i="1"/>
  <c r="AA54" i="1"/>
  <c r="W54" i="1" s="1"/>
  <c r="X47" i="1"/>
  <c r="X35" i="1"/>
  <c r="AA21" i="1"/>
  <c r="X18" i="1"/>
  <c r="S53" i="3"/>
  <c r="AA213" i="1"/>
  <c r="AA212" i="1"/>
  <c r="AA208" i="1"/>
  <c r="W208" i="1" s="1"/>
  <c r="AA193" i="1"/>
  <c r="W193" i="1" s="1"/>
  <c r="AG191" i="1"/>
  <c r="W191" i="1" s="1"/>
  <c r="AA153" i="1"/>
  <c r="AG149" i="1"/>
  <c r="U149" i="1" s="1"/>
  <c r="S149" i="1" s="1"/>
  <c r="AA146" i="1"/>
  <c r="W146" i="1" s="1"/>
  <c r="AA144" i="1"/>
  <c r="AA140" i="1"/>
  <c r="AA135" i="1"/>
  <c r="AA132" i="1"/>
  <c r="W132" i="1" s="1"/>
  <c r="X128" i="1"/>
  <c r="AG121" i="1"/>
  <c r="AA119" i="1"/>
  <c r="AA114" i="1"/>
  <c r="AG109" i="1"/>
  <c r="AA102" i="1"/>
  <c r="X188" i="1"/>
  <c r="AA186" i="1"/>
  <c r="AA184" i="1"/>
  <c r="AA180" i="1"/>
  <c r="U179" i="1"/>
  <c r="S179" i="1" s="1"/>
  <c r="AA166" i="1"/>
  <c r="W166" i="1" s="1"/>
  <c r="AA163" i="1"/>
  <c r="AA92" i="1"/>
  <c r="W92" i="1" s="1"/>
  <c r="AA78" i="1"/>
  <c r="W78" i="1" s="1"/>
  <c r="AA48" i="1"/>
  <c r="AA46" i="1"/>
  <c r="AG42" i="1"/>
  <c r="AI42" i="1" s="1"/>
  <c r="X42" i="1"/>
  <c r="AA34" i="1"/>
  <c r="AG31" i="1"/>
  <c r="X31" i="1"/>
  <c r="X26" i="1"/>
  <c r="AI210" i="1"/>
  <c r="AI214" i="1"/>
  <c r="W214" i="1"/>
  <c r="T214" i="1"/>
  <c r="U214" i="1" s="1"/>
  <c r="S214" i="1" s="1"/>
  <c r="U206" i="1"/>
  <c r="S206" i="1" s="1"/>
  <c r="X201" i="1"/>
  <c r="X194" i="1"/>
  <c r="T136" i="1"/>
  <c r="U136" i="1" s="1"/>
  <c r="S136" i="1" s="1"/>
  <c r="T97" i="1"/>
  <c r="U97" i="1" s="1"/>
  <c r="S97" i="1" s="1"/>
  <c r="AG189" i="1"/>
  <c r="X189" i="1"/>
  <c r="W171" i="1"/>
  <c r="X211" i="1"/>
  <c r="X205" i="1"/>
  <c r="R19" i="3"/>
  <c r="X214" i="1"/>
  <c r="AG212" i="1"/>
  <c r="AI212" i="1" s="1"/>
  <c r="T210" i="1"/>
  <c r="U210" i="1" s="1"/>
  <c r="S210" i="1" s="1"/>
  <c r="AA209" i="1"/>
  <c r="X207" i="1"/>
  <c r="AG201" i="1"/>
  <c r="U201" i="1" s="1"/>
  <c r="S201" i="1" s="1"/>
  <c r="X200" i="1"/>
  <c r="AA198" i="1"/>
  <c r="W198" i="1" s="1"/>
  <c r="T198" i="1"/>
  <c r="X197" i="1"/>
  <c r="AG195" i="1"/>
  <c r="W195" i="1" s="1"/>
  <c r="T193" i="1"/>
  <c r="U193" i="1" s="1"/>
  <c r="S193" i="1" s="1"/>
  <c r="AA192" i="1"/>
  <c r="AG151" i="1"/>
  <c r="W151" i="1" s="1"/>
  <c r="AG150" i="1"/>
  <c r="X150" i="1"/>
  <c r="AA149" i="1"/>
  <c r="T148" i="1"/>
  <c r="U148" i="1" s="1"/>
  <c r="S148" i="1" s="1"/>
  <c r="X144" i="1"/>
  <c r="AA141" i="1"/>
  <c r="W141" i="1" s="1"/>
  <c r="AG137" i="1"/>
  <c r="U137" i="1" s="1"/>
  <c r="S137" i="1" s="1"/>
  <c r="X137" i="1"/>
  <c r="AA134" i="1"/>
  <c r="X132" i="1"/>
  <c r="AA129" i="1"/>
  <c r="W129" i="1" s="1"/>
  <c r="T128" i="1"/>
  <c r="X124" i="1"/>
  <c r="AA121" i="1"/>
  <c r="W121" i="1" s="1"/>
  <c r="T120" i="1"/>
  <c r="X116" i="1"/>
  <c r="AA113" i="1"/>
  <c r="T112" i="1"/>
  <c r="U112" i="1" s="1"/>
  <c r="S112" i="1" s="1"/>
  <c r="X108" i="1"/>
  <c r="AA105" i="1"/>
  <c r="W105" i="1" s="1"/>
  <c r="T104" i="1"/>
  <c r="X101" i="1"/>
  <c r="X98" i="1"/>
  <c r="AA98" i="1"/>
  <c r="W98" i="1" s="1"/>
  <c r="AG185" i="1"/>
  <c r="X185" i="1"/>
  <c r="X210" i="1"/>
  <c r="X193" i="1"/>
  <c r="T140" i="1"/>
  <c r="X136" i="1"/>
  <c r="T133" i="1"/>
  <c r="AA203" i="1"/>
  <c r="X97" i="1"/>
  <c r="AI38" i="1"/>
  <c r="X209" i="1"/>
  <c r="AA207" i="1"/>
  <c r="W207" i="1" s="1"/>
  <c r="T207" i="1"/>
  <c r="X206" i="1"/>
  <c r="AG204" i="1"/>
  <c r="W204" i="1" s="1"/>
  <c r="AI202" i="1"/>
  <c r="AA200" i="1"/>
  <c r="T200" i="1"/>
  <c r="X198" i="1"/>
  <c r="X192" i="1"/>
  <c r="AG153" i="1"/>
  <c r="U153" i="1" s="1"/>
  <c r="S153" i="1" s="1"/>
  <c r="AA150" i="1"/>
  <c r="X148" i="1"/>
  <c r="AA145" i="1"/>
  <c r="W145" i="1" s="1"/>
  <c r="T144" i="1"/>
  <c r="U144" i="1" s="1"/>
  <c r="S144" i="1" s="1"/>
  <c r="AA138" i="1"/>
  <c r="AG133" i="1"/>
  <c r="T132" i="1"/>
  <c r="U132" i="1" s="1"/>
  <c r="S132" i="1" s="1"/>
  <c r="AA125" i="1"/>
  <c r="W125" i="1" s="1"/>
  <c r="T124" i="1"/>
  <c r="AA117" i="1"/>
  <c r="W117" i="1" s="1"/>
  <c r="T116" i="1"/>
  <c r="AA109" i="1"/>
  <c r="W109" i="1" s="1"/>
  <c r="T108" i="1"/>
  <c r="W102" i="1"/>
  <c r="T101" i="1"/>
  <c r="U101" i="1" s="1"/>
  <c r="S101" i="1" s="1"/>
  <c r="W189" i="1"/>
  <c r="T186" i="1"/>
  <c r="X186" i="1"/>
  <c r="AG186" i="1"/>
  <c r="AI186" i="1" s="1"/>
  <c r="U31" i="1"/>
  <c r="S31" i="1" s="1"/>
  <c r="AI22" i="1"/>
  <c r="AG56" i="1"/>
  <c r="U56" i="1" s="1"/>
  <c r="S56" i="1" s="1"/>
  <c r="X55" i="1"/>
  <c r="AA52" i="1"/>
  <c r="W52" i="1" s="1"/>
  <c r="AG50" i="1"/>
  <c r="T47" i="1"/>
  <c r="AG46" i="1"/>
  <c r="AI46" i="1" s="1"/>
  <c r="W38" i="1"/>
  <c r="T34" i="1"/>
  <c r="AA28" i="1"/>
  <c r="T27" i="1"/>
  <c r="AG26" i="1"/>
  <c r="AG19" i="1"/>
  <c r="X19" i="1"/>
  <c r="AA190" i="1"/>
  <c r="AG178" i="1"/>
  <c r="U178" i="1" s="1"/>
  <c r="S178" i="1" s="1"/>
  <c r="AG94" i="1"/>
  <c r="AG172" i="1"/>
  <c r="AI172" i="1" s="1"/>
  <c r="X172" i="1"/>
  <c r="T171" i="1"/>
  <c r="U171" i="1" s="1"/>
  <c r="S171" i="1" s="1"/>
  <c r="AA170" i="1"/>
  <c r="AA169" i="1"/>
  <c r="AG161" i="1"/>
  <c r="X161" i="1"/>
  <c r="T160" i="1"/>
  <c r="U160" i="1" s="1"/>
  <c r="S160" i="1" s="1"/>
  <c r="AA159" i="1"/>
  <c r="AA158" i="1"/>
  <c r="AA89" i="1"/>
  <c r="T89" i="1"/>
  <c r="AG88" i="1"/>
  <c r="AG86" i="1"/>
  <c r="T83" i="1"/>
  <c r="X77" i="1"/>
  <c r="AA76" i="1"/>
  <c r="W76" i="1" s="1"/>
  <c r="X76" i="1"/>
  <c r="AG74" i="1"/>
  <c r="AA68" i="1"/>
  <c r="X68" i="1"/>
  <c r="AG66" i="1"/>
  <c r="AA60" i="1"/>
  <c r="X60" i="1"/>
  <c r="AG58" i="1"/>
  <c r="W58" i="1" s="1"/>
  <c r="AI54" i="1"/>
  <c r="T53" i="1"/>
  <c r="X50" i="1"/>
  <c r="AG47" i="1"/>
  <c r="U47" i="1" s="1"/>
  <c r="S47" i="1" s="1"/>
  <c r="X46" i="1"/>
  <c r="AG43" i="1"/>
  <c r="U43" i="1" s="1"/>
  <c r="S43" i="1" s="1"/>
  <c r="X43" i="1"/>
  <c r="T38" i="1"/>
  <c r="U38" i="1" s="1"/>
  <c r="S38" i="1" s="1"/>
  <c r="AA36" i="1"/>
  <c r="AG34" i="1"/>
  <c r="W22" i="1"/>
  <c r="T18" i="1"/>
  <c r="AA16" i="1"/>
  <c r="X179" i="1"/>
  <c r="W176" i="1"/>
  <c r="U175" i="1"/>
  <c r="S175" i="1" s="1"/>
  <c r="W165" i="1"/>
  <c r="U164" i="1"/>
  <c r="S164" i="1" s="1"/>
  <c r="AI92" i="1"/>
  <c r="W90" i="1"/>
  <c r="U84" i="1"/>
  <c r="S84" i="1" s="1"/>
  <c r="AA57" i="1"/>
  <c r="AA55" i="1"/>
  <c r="X51" i="1"/>
  <c r="AA40" i="1"/>
  <c r="AG27" i="1"/>
  <c r="U27" i="1" s="1"/>
  <c r="S27" i="1" s="1"/>
  <c r="T22" i="1"/>
  <c r="U22" i="1" s="1"/>
  <c r="S22" i="1" s="1"/>
  <c r="AA20" i="1"/>
  <c r="AG18" i="1"/>
  <c r="W18" i="1" s="1"/>
  <c r="AA95" i="1"/>
  <c r="AA177" i="1"/>
  <c r="AA94" i="1"/>
  <c r="AA172" i="1"/>
  <c r="AG169" i="1"/>
  <c r="U169" i="1" s="1"/>
  <c r="S169" i="1" s="1"/>
  <c r="AA161" i="1"/>
  <c r="AG158" i="1"/>
  <c r="AG89" i="1"/>
  <c r="AA87" i="1"/>
  <c r="AA86" i="1"/>
  <c r="AI83" i="1"/>
  <c r="AA81" i="1"/>
  <c r="AA77" i="1"/>
  <c r="AA72" i="1"/>
  <c r="X72" i="1"/>
  <c r="AG70" i="1"/>
  <c r="AA64" i="1"/>
  <c r="W64" i="1" s="1"/>
  <c r="X64" i="1"/>
  <c r="AG62" i="1"/>
  <c r="W62" i="1" s="1"/>
  <c r="W56" i="1"/>
  <c r="X56" i="1"/>
  <c r="AA44" i="1"/>
  <c r="U42" i="1"/>
  <c r="S42" i="1" s="1"/>
  <c r="AA24" i="1"/>
  <c r="W24" i="1" s="1"/>
  <c r="U195" i="1"/>
  <c r="S195" i="1" s="1"/>
  <c r="U152" i="1"/>
  <c r="S152" i="1" s="1"/>
  <c r="U208" i="1"/>
  <c r="S208" i="1" s="1"/>
  <c r="U198" i="1"/>
  <c r="S198" i="1" s="1"/>
  <c r="U191" i="1"/>
  <c r="S191" i="1" s="1"/>
  <c r="U211" i="1"/>
  <c r="S211" i="1" s="1"/>
  <c r="AI211" i="1"/>
  <c r="AI195" i="1"/>
  <c r="U207" i="1"/>
  <c r="S207" i="1" s="1"/>
  <c r="AI207" i="1"/>
  <c r="AI191" i="1"/>
  <c r="W152" i="1"/>
  <c r="AG213" i="1"/>
  <c r="X212" i="1"/>
  <c r="AG209" i="1"/>
  <c r="W209" i="1" s="1"/>
  <c r="X208" i="1"/>
  <c r="AG205" i="1"/>
  <c r="X204" i="1"/>
  <c r="AG200" i="1"/>
  <c r="AI200" i="1" s="1"/>
  <c r="X199" i="1"/>
  <c r="AG196" i="1"/>
  <c r="AI196" i="1" s="1"/>
  <c r="X195" i="1"/>
  <c r="AG192" i="1"/>
  <c r="X191" i="1"/>
  <c r="AG154" i="1"/>
  <c r="W154" i="1" s="1"/>
  <c r="X153" i="1"/>
  <c r="T151" i="1"/>
  <c r="X151" i="1"/>
  <c r="T142" i="1"/>
  <c r="X142" i="1"/>
  <c r="AG142" i="1"/>
  <c r="W142" i="1" s="1"/>
  <c r="W140" i="1"/>
  <c r="T134" i="1"/>
  <c r="X134" i="1"/>
  <c r="AG134" i="1"/>
  <c r="U120" i="1"/>
  <c r="S120" i="1" s="1"/>
  <c r="AI155" i="1"/>
  <c r="U104" i="1"/>
  <c r="S104" i="1" s="1"/>
  <c r="U185" i="1"/>
  <c r="S185" i="1" s="1"/>
  <c r="AI185" i="1"/>
  <c r="S141" i="1"/>
  <c r="AI176" i="1"/>
  <c r="U140" i="1"/>
  <c r="S140" i="1" s="1"/>
  <c r="AI175" i="1"/>
  <c r="AI168" i="1"/>
  <c r="AI167" i="1"/>
  <c r="U129" i="1"/>
  <c r="S129" i="1" s="1"/>
  <c r="W116" i="1"/>
  <c r="W188" i="1"/>
  <c r="T146" i="1"/>
  <c r="X146" i="1"/>
  <c r="W144" i="1"/>
  <c r="T138" i="1"/>
  <c r="X138" i="1"/>
  <c r="AG138" i="1"/>
  <c r="W137" i="1"/>
  <c r="W136" i="1"/>
  <c r="T130" i="1"/>
  <c r="X130" i="1"/>
  <c r="AG130" i="1"/>
  <c r="W130" i="1" s="1"/>
  <c r="U124" i="1"/>
  <c r="S124" i="1" s="1"/>
  <c r="U116" i="1"/>
  <c r="S116" i="1" s="1"/>
  <c r="U108" i="1"/>
  <c r="S108" i="1" s="1"/>
  <c r="U188" i="1"/>
  <c r="S188" i="1" s="1"/>
  <c r="W150" i="1"/>
  <c r="U150" i="1"/>
  <c r="S150" i="1" s="1"/>
  <c r="T147" i="1"/>
  <c r="X147" i="1"/>
  <c r="AG147" i="1"/>
  <c r="AI147" i="1" s="1"/>
  <c r="U146" i="1"/>
  <c r="S146" i="1" s="1"/>
  <c r="S145" i="1"/>
  <c r="AI179" i="1"/>
  <c r="AI171" i="1"/>
  <c r="W134" i="1"/>
  <c r="U128" i="1"/>
  <c r="S128" i="1" s="1"/>
  <c r="W112" i="1"/>
  <c r="W104" i="1"/>
  <c r="W185" i="1"/>
  <c r="U125" i="1"/>
  <c r="S125" i="1" s="1"/>
  <c r="U117" i="1"/>
  <c r="S117" i="1" s="1"/>
  <c r="U109" i="1"/>
  <c r="S109" i="1" s="1"/>
  <c r="U105" i="1"/>
  <c r="S105" i="1" s="1"/>
  <c r="U102" i="1"/>
  <c r="S102" i="1" s="1"/>
  <c r="U98" i="1"/>
  <c r="S98" i="1" s="1"/>
  <c r="U189" i="1"/>
  <c r="S189" i="1" s="1"/>
  <c r="T183" i="1"/>
  <c r="AI102" i="1"/>
  <c r="AG126" i="1"/>
  <c r="W126" i="1" s="1"/>
  <c r="AG122" i="1"/>
  <c r="AG118" i="1"/>
  <c r="AG114" i="1"/>
  <c r="AI114" i="1" s="1"/>
  <c r="AG110" i="1"/>
  <c r="W110" i="1" s="1"/>
  <c r="AG106" i="1"/>
  <c r="W106" i="1" s="1"/>
  <c r="AG203" i="1"/>
  <c r="AI203" i="1" s="1"/>
  <c r="AG99" i="1"/>
  <c r="AG190" i="1"/>
  <c r="AG95" i="1"/>
  <c r="AG183" i="1"/>
  <c r="AI183" i="1" s="1"/>
  <c r="U182" i="1"/>
  <c r="S182" i="1" s="1"/>
  <c r="T181" i="1"/>
  <c r="AG181" i="1"/>
  <c r="AI181" i="1" s="1"/>
  <c r="T180" i="1"/>
  <c r="X180" i="1"/>
  <c r="U94" i="1"/>
  <c r="S94" i="1" s="1"/>
  <c r="U173" i="1"/>
  <c r="S173" i="1" s="1"/>
  <c r="AG143" i="1"/>
  <c r="AI143" i="1" s="1"/>
  <c r="AG139" i="1"/>
  <c r="AI139" i="1" s="1"/>
  <c r="AG135" i="1"/>
  <c r="AI135" i="1" s="1"/>
  <c r="AG131" i="1"/>
  <c r="AI131" i="1" s="1"/>
  <c r="AG127" i="1"/>
  <c r="AI127" i="1" s="1"/>
  <c r="X126" i="1"/>
  <c r="AI160" i="1"/>
  <c r="AG123" i="1"/>
  <c r="AI123" i="1" s="1"/>
  <c r="X122" i="1"/>
  <c r="AG119" i="1"/>
  <c r="X118" i="1"/>
  <c r="AI152" i="1"/>
  <c r="AG115" i="1"/>
  <c r="X114" i="1"/>
  <c r="AI148" i="1"/>
  <c r="AG111" i="1"/>
  <c r="X110" i="1"/>
  <c r="AI144" i="1"/>
  <c r="AG107" i="1"/>
  <c r="X106" i="1"/>
  <c r="AI140" i="1"/>
  <c r="AG103" i="1"/>
  <c r="X203" i="1"/>
  <c r="AI136" i="1"/>
  <c r="AG100" i="1"/>
  <c r="AI100" i="1" s="1"/>
  <c r="X99" i="1"/>
  <c r="AI132" i="1"/>
  <c r="AG96" i="1"/>
  <c r="AI96" i="1" s="1"/>
  <c r="X190" i="1"/>
  <c r="AI128" i="1"/>
  <c r="AG187" i="1"/>
  <c r="AI187" i="1" s="1"/>
  <c r="X95" i="1"/>
  <c r="AI124" i="1"/>
  <c r="AG184" i="1"/>
  <c r="AI184" i="1" s="1"/>
  <c r="X182" i="1"/>
  <c r="AG180" i="1"/>
  <c r="AI180" i="1" s="1"/>
  <c r="W94" i="1"/>
  <c r="X143" i="1"/>
  <c r="X139" i="1"/>
  <c r="X135" i="1"/>
  <c r="X131" i="1"/>
  <c r="X127" i="1"/>
  <c r="X123" i="1"/>
  <c r="X119" i="1"/>
  <c r="X115" i="1"/>
  <c r="X111" i="1"/>
  <c r="X107" i="1"/>
  <c r="X103" i="1"/>
  <c r="X100" i="1"/>
  <c r="X96" i="1"/>
  <c r="X187" i="1"/>
  <c r="X184" i="1"/>
  <c r="AA183" i="1"/>
  <c r="W183" i="1" s="1"/>
  <c r="AI120" i="1"/>
  <c r="X181" i="1"/>
  <c r="AI117" i="1"/>
  <c r="T177" i="1"/>
  <c r="X177" i="1"/>
  <c r="AG177" i="1"/>
  <c r="W177" i="1" s="1"/>
  <c r="X178" i="1"/>
  <c r="T174" i="1"/>
  <c r="X174" i="1"/>
  <c r="AG174" i="1"/>
  <c r="X175" i="1"/>
  <c r="T170" i="1"/>
  <c r="X170" i="1"/>
  <c r="AG170" i="1"/>
  <c r="W170" i="1" s="1"/>
  <c r="X171" i="1"/>
  <c r="T93" i="1"/>
  <c r="X93" i="1"/>
  <c r="AG93" i="1"/>
  <c r="X167" i="1"/>
  <c r="U176" i="1"/>
  <c r="S176" i="1" s="1"/>
  <c r="U172" i="1"/>
  <c r="S172" i="1" s="1"/>
  <c r="U168" i="1"/>
  <c r="S168" i="1" s="1"/>
  <c r="U165" i="1"/>
  <c r="S165" i="1" s="1"/>
  <c r="X164" i="1"/>
  <c r="U161" i="1"/>
  <c r="S161" i="1" s="1"/>
  <c r="U157" i="1"/>
  <c r="S157" i="1" s="1"/>
  <c r="X92" i="1"/>
  <c r="U89" i="1"/>
  <c r="S89" i="1" s="1"/>
  <c r="X88" i="1"/>
  <c r="U83" i="1"/>
  <c r="S83" i="1" s="1"/>
  <c r="W81" i="1"/>
  <c r="T81" i="1"/>
  <c r="U81" i="1" s="1"/>
  <c r="S81" i="1" s="1"/>
  <c r="U80" i="1"/>
  <c r="S80" i="1" s="1"/>
  <c r="AI77" i="1"/>
  <c r="AI68" i="1"/>
  <c r="AI64" i="1"/>
  <c r="AI56" i="1"/>
  <c r="U162" i="1"/>
  <c r="S162" i="1" s="1"/>
  <c r="U158" i="1"/>
  <c r="S158" i="1" s="1"/>
  <c r="U90" i="1"/>
  <c r="S90" i="1" s="1"/>
  <c r="U86" i="1"/>
  <c r="S86" i="1" s="1"/>
  <c r="AI81" i="1"/>
  <c r="X94" i="1"/>
  <c r="X173" i="1"/>
  <c r="AI109" i="1"/>
  <c r="X169" i="1"/>
  <c r="AI105" i="1"/>
  <c r="X166" i="1"/>
  <c r="AI101" i="1"/>
  <c r="AG163" i="1"/>
  <c r="W163" i="1" s="1"/>
  <c r="X162" i="1"/>
  <c r="AI97" i="1"/>
  <c r="AG159" i="1"/>
  <c r="AI159" i="1" s="1"/>
  <c r="AI93" i="1"/>
  <c r="AG91" i="1"/>
  <c r="X90" i="1"/>
  <c r="AI89" i="1"/>
  <c r="AG87" i="1"/>
  <c r="X86" i="1"/>
  <c r="AI85" i="1"/>
  <c r="X83" i="1"/>
  <c r="T82" i="1"/>
  <c r="U82" i="1" s="1"/>
  <c r="S82" i="1" s="1"/>
  <c r="X82" i="1"/>
  <c r="X81" i="1"/>
  <c r="U78" i="1"/>
  <c r="S78" i="1" s="1"/>
  <c r="X163" i="1"/>
  <c r="AI98" i="1"/>
  <c r="AI94" i="1"/>
  <c r="X91" i="1"/>
  <c r="AI90" i="1"/>
  <c r="X87" i="1"/>
  <c r="AI86" i="1"/>
  <c r="X80" i="1"/>
  <c r="AG79" i="1"/>
  <c r="W79" i="1" s="1"/>
  <c r="W77" i="1"/>
  <c r="T77" i="1"/>
  <c r="U77" i="1" s="1"/>
  <c r="S77" i="1" s="1"/>
  <c r="T73" i="1"/>
  <c r="X73" i="1"/>
  <c r="AG73" i="1"/>
  <c r="W73" i="1" s="1"/>
  <c r="W72" i="1"/>
  <c r="T69" i="1"/>
  <c r="X69" i="1"/>
  <c r="AG69" i="1"/>
  <c r="W69" i="1" s="1"/>
  <c r="W68" i="1"/>
  <c r="T65" i="1"/>
  <c r="X65" i="1"/>
  <c r="AG65" i="1"/>
  <c r="W65" i="1" s="1"/>
  <c r="T61" i="1"/>
  <c r="X61" i="1"/>
  <c r="AG61" i="1"/>
  <c r="T57" i="1"/>
  <c r="X57" i="1"/>
  <c r="AG57" i="1"/>
  <c r="T44" i="1"/>
  <c r="X44" i="1"/>
  <c r="AG44" i="1"/>
  <c r="W44" i="1" s="1"/>
  <c r="U39" i="1"/>
  <c r="S39" i="1" s="1"/>
  <c r="T28" i="1"/>
  <c r="X28" i="1"/>
  <c r="AG28" i="1"/>
  <c r="X78" i="1"/>
  <c r="AG75" i="1"/>
  <c r="W75" i="1" s="1"/>
  <c r="X74" i="1"/>
  <c r="AG71" i="1"/>
  <c r="X70" i="1"/>
  <c r="AG67" i="1"/>
  <c r="W67" i="1" s="1"/>
  <c r="X66" i="1"/>
  <c r="AG63" i="1"/>
  <c r="X62" i="1"/>
  <c r="AG59" i="1"/>
  <c r="W59" i="1" s="1"/>
  <c r="X58" i="1"/>
  <c r="AG55" i="1"/>
  <c r="X54" i="1"/>
  <c r="U53" i="1"/>
  <c r="S53" i="1" s="1"/>
  <c r="AI51" i="1"/>
  <c r="AA43" i="1"/>
  <c r="W43" i="1" s="1"/>
  <c r="T40" i="1"/>
  <c r="X40" i="1"/>
  <c r="AG40" i="1"/>
  <c r="AI35" i="1"/>
  <c r="AA27" i="1"/>
  <c r="W27" i="1" s="1"/>
  <c r="T24" i="1"/>
  <c r="X24" i="1"/>
  <c r="AG24" i="1"/>
  <c r="AI19" i="1"/>
  <c r="X53" i="1"/>
  <c r="T52" i="1"/>
  <c r="U52" i="1" s="1"/>
  <c r="S52" i="1" s="1"/>
  <c r="X52" i="1"/>
  <c r="AA51" i="1"/>
  <c r="W51" i="1" s="1"/>
  <c r="U51" i="1"/>
  <c r="S51" i="1" s="1"/>
  <c r="T48" i="1"/>
  <c r="X48" i="1"/>
  <c r="AG48" i="1"/>
  <c r="AI43" i="1"/>
  <c r="AA35" i="1"/>
  <c r="W35" i="1" s="1"/>
  <c r="U35" i="1"/>
  <c r="S35" i="1" s="1"/>
  <c r="T32" i="1"/>
  <c r="X32" i="1"/>
  <c r="AG32" i="1"/>
  <c r="U30" i="1"/>
  <c r="S30" i="1" s="1"/>
  <c r="AI27" i="1"/>
  <c r="AA19" i="1"/>
  <c r="W19" i="1" s="1"/>
  <c r="U19" i="1"/>
  <c r="S19" i="1" s="1"/>
  <c r="T16" i="1"/>
  <c r="AG16" i="1"/>
  <c r="AA39" i="1"/>
  <c r="T36" i="1"/>
  <c r="X36" i="1"/>
  <c r="AG36" i="1"/>
  <c r="AI31" i="1"/>
  <c r="AA23" i="1"/>
  <c r="T20" i="1"/>
  <c r="X20" i="1"/>
  <c r="AG20" i="1"/>
  <c r="AG49" i="1"/>
  <c r="AG45" i="1"/>
  <c r="AG41" i="1"/>
  <c r="AG37" i="1"/>
  <c r="AG33" i="1"/>
  <c r="W33" i="1" s="1"/>
  <c r="AG29" i="1"/>
  <c r="AG25" i="1"/>
  <c r="AG21" i="1"/>
  <c r="AG17" i="1"/>
  <c r="X49" i="1"/>
  <c r="X45" i="1"/>
  <c r="X41" i="1"/>
  <c r="X37" i="1"/>
  <c r="X33" i="1"/>
  <c r="X29" i="1"/>
  <c r="X25" i="1"/>
  <c r="X21" i="1"/>
  <c r="AD33" i="3"/>
  <c r="AC14" i="3"/>
  <c r="AD19" i="3"/>
  <c r="AD12" i="3"/>
  <c r="Y19" i="3"/>
  <c r="Y8" i="3"/>
  <c r="Y35" i="3"/>
  <c r="AD40" i="3"/>
  <c r="T47" i="3"/>
  <c r="AD31" i="3"/>
  <c r="AE31" i="3"/>
  <c r="AE23" i="3"/>
  <c r="AD20" i="3"/>
  <c r="Y22" i="3"/>
  <c r="Y18" i="3"/>
  <c r="AD8" i="3"/>
  <c r="Y16" i="3"/>
  <c r="Y32" i="3"/>
  <c r="AD35" i="3"/>
  <c r="Y45" i="3"/>
  <c r="AD25" i="3"/>
  <c r="AD15" i="3"/>
  <c r="AE15" i="3"/>
  <c r="AD13" i="3"/>
  <c r="T33" i="3"/>
  <c r="AD47" i="3"/>
  <c r="Y9" i="3"/>
  <c r="AD42" i="3"/>
  <c r="AC25" i="3"/>
  <c r="Y47" i="3"/>
  <c r="T10" i="3"/>
  <c r="AD32" i="3"/>
  <c r="Y43" i="3"/>
  <c r="AD27" i="3"/>
  <c r="AC42" i="3"/>
  <c r="Y29" i="3"/>
  <c r="T27" i="3"/>
  <c r="AD16" i="3"/>
  <c r="Y20" i="3"/>
  <c r="AD11" i="3"/>
  <c r="AC51" i="3"/>
  <c r="Y48" i="3"/>
  <c r="AE35" i="3"/>
  <c r="Y10" i="3"/>
  <c r="Y34" i="3"/>
  <c r="AE19" i="3"/>
  <c r="Y27" i="3"/>
  <c r="AC40" i="3"/>
  <c r="AC46" i="3"/>
  <c r="AD24" i="3"/>
  <c r="AC26" i="3"/>
  <c r="AE49" i="3"/>
  <c r="AE41" i="3"/>
  <c r="T13" i="3"/>
  <c r="AE30" i="3"/>
  <c r="AE26" i="3"/>
  <c r="T52" i="3"/>
  <c r="AE22" i="3"/>
  <c r="T38" i="3"/>
  <c r="AE18" i="3"/>
  <c r="T22" i="3"/>
  <c r="AE14" i="3"/>
  <c r="T17" i="3"/>
  <c r="AE10" i="3"/>
  <c r="T37" i="3"/>
  <c r="AE53" i="3"/>
  <c r="T19" i="3"/>
  <c r="T30" i="3"/>
  <c r="AD53" i="3"/>
  <c r="AE52" i="3"/>
  <c r="T15" i="3"/>
  <c r="T16" i="3"/>
  <c r="AE40" i="3"/>
  <c r="T25" i="3"/>
  <c r="T53" i="3"/>
  <c r="AD34" i="3"/>
  <c r="AE33" i="3"/>
  <c r="T46" i="3"/>
  <c r="AD30" i="3"/>
  <c r="AE29" i="3"/>
  <c r="T23" i="3"/>
  <c r="AD26" i="3"/>
  <c r="AE25" i="3"/>
  <c r="T42" i="3"/>
  <c r="AD22" i="3"/>
  <c r="AE21" i="3"/>
  <c r="T14" i="3"/>
  <c r="AD18" i="3"/>
  <c r="AE17" i="3"/>
  <c r="T26" i="3"/>
  <c r="AD14" i="3"/>
  <c r="AE13" i="3"/>
  <c r="T21" i="3"/>
  <c r="AD10" i="3"/>
  <c r="AE9" i="3"/>
  <c r="T51" i="3"/>
  <c r="AE45" i="3"/>
  <c r="T49" i="3"/>
  <c r="AE38" i="3"/>
  <c r="T12" i="3"/>
  <c r="AE34" i="3"/>
  <c r="T36" i="3"/>
  <c r="AD49" i="3"/>
  <c r="AE48" i="3"/>
  <c r="T40" i="3"/>
  <c r="AD45" i="3"/>
  <c r="AE44" i="3"/>
  <c r="AD41" i="3"/>
  <c r="AD38" i="3"/>
  <c r="AE37" i="3"/>
  <c r="AE51" i="3"/>
  <c r="AE47" i="3"/>
  <c r="AE43" i="3"/>
  <c r="AE36" i="3"/>
  <c r="AE32" i="3"/>
  <c r="AE28" i="3"/>
  <c r="AE24" i="3"/>
  <c r="AE20" i="3"/>
  <c r="AE16" i="3"/>
  <c r="AE12" i="3"/>
  <c r="AE8" i="3"/>
  <c r="M50" i="3"/>
  <c r="R50" i="3"/>
  <c r="S50" i="3"/>
  <c r="U50" i="3"/>
  <c r="AD50" i="3" s="1"/>
  <c r="V50" i="3"/>
  <c r="W50" i="3"/>
  <c r="X50" i="3"/>
  <c r="Z13" i="1"/>
  <c r="Y13" i="1"/>
  <c r="W57" i="1" l="1"/>
  <c r="AI113" i="1"/>
  <c r="AI60" i="1"/>
  <c r="U151" i="1"/>
  <c r="S151" i="1" s="1"/>
  <c r="W172" i="1"/>
  <c r="W169" i="1"/>
  <c r="W39" i="1"/>
  <c r="AI76" i="1"/>
  <c r="AI199" i="1"/>
  <c r="W85" i="1"/>
  <c r="W60" i="1"/>
  <c r="W122" i="1"/>
  <c r="U186" i="1"/>
  <c r="S186" i="1" s="1"/>
  <c r="AI151" i="1"/>
  <c r="U197" i="1"/>
  <c r="S197" i="1" s="1"/>
  <c r="U212" i="1"/>
  <c r="S212" i="1" s="1"/>
  <c r="W113" i="1"/>
  <c r="W31" i="1"/>
  <c r="AI15" i="1"/>
  <c r="U15" i="1"/>
  <c r="S15" i="1" s="1"/>
  <c r="W15" i="1"/>
  <c r="AI23" i="1"/>
  <c r="AI72" i="1"/>
  <c r="W95" i="1"/>
  <c r="W149" i="1"/>
  <c r="W86" i="1"/>
  <c r="W161" i="1"/>
  <c r="U133" i="1"/>
  <c r="S133" i="1" s="1"/>
  <c r="W23" i="1"/>
  <c r="AI47" i="1"/>
  <c r="AI164" i="1"/>
  <c r="W199" i="1"/>
  <c r="W41" i="1"/>
  <c r="U46" i="1"/>
  <c r="S46" i="1" s="1"/>
  <c r="W40" i="1"/>
  <c r="W47" i="1"/>
  <c r="W42" i="1"/>
  <c r="W133" i="1"/>
  <c r="W155" i="1"/>
  <c r="U34" i="1"/>
  <c r="S34" i="1" s="1"/>
  <c r="AI34" i="1"/>
  <c r="U74" i="1"/>
  <c r="S74" i="1" s="1"/>
  <c r="AI74" i="1"/>
  <c r="W89" i="1"/>
  <c r="U26" i="1"/>
  <c r="S26" i="1" s="1"/>
  <c r="AI26" i="1"/>
  <c r="W186" i="1"/>
  <c r="W178" i="1"/>
  <c r="AI106" i="1"/>
  <c r="AI163" i="1"/>
  <c r="U70" i="1"/>
  <c r="S70" i="1" s="1"/>
  <c r="AI70" i="1"/>
  <c r="U18" i="1"/>
  <c r="S18" i="1" s="1"/>
  <c r="AI18" i="1"/>
  <c r="U66" i="1"/>
  <c r="S66" i="1" s="1"/>
  <c r="AI66" i="1"/>
  <c r="W158" i="1"/>
  <c r="U50" i="1"/>
  <c r="S50" i="1" s="1"/>
  <c r="AI50" i="1"/>
  <c r="W34" i="1"/>
  <c r="U204" i="1"/>
  <c r="S204" i="1" s="1"/>
  <c r="AI204" i="1"/>
  <c r="W66" i="1"/>
  <c r="W26" i="1"/>
  <c r="W190" i="1"/>
  <c r="AI190" i="1"/>
  <c r="AI110" i="1"/>
  <c r="U62" i="1"/>
  <c r="S62" i="1" s="1"/>
  <c r="AI62" i="1"/>
  <c r="U58" i="1"/>
  <c r="S58" i="1" s="1"/>
  <c r="AI58" i="1"/>
  <c r="U88" i="1"/>
  <c r="S88" i="1" s="1"/>
  <c r="AI88" i="1"/>
  <c r="W46" i="1"/>
  <c r="W70" i="1"/>
  <c r="W50" i="1"/>
  <c r="W88" i="1"/>
  <c r="W153" i="1"/>
  <c r="W201" i="1"/>
  <c r="W192" i="1"/>
  <c r="AI192" i="1"/>
  <c r="W74" i="1"/>
  <c r="W212" i="1"/>
  <c r="U17" i="1"/>
  <c r="S17" i="1" s="1"/>
  <c r="AI17" i="1"/>
  <c r="U49" i="1"/>
  <c r="S49" i="1" s="1"/>
  <c r="AI49" i="1"/>
  <c r="AI36" i="1"/>
  <c r="U36" i="1"/>
  <c r="S36" i="1" s="1"/>
  <c r="AI16" i="1"/>
  <c r="U16" i="1"/>
  <c r="S16" i="1" s="1"/>
  <c r="U61" i="1"/>
  <c r="S61" i="1" s="1"/>
  <c r="AI61" i="1"/>
  <c r="U159" i="1"/>
  <c r="S159" i="1" s="1"/>
  <c r="AI95" i="1"/>
  <c r="W16" i="1"/>
  <c r="U100" i="1"/>
  <c r="S100" i="1" s="1"/>
  <c r="AI134" i="1"/>
  <c r="U115" i="1"/>
  <c r="S115" i="1" s="1"/>
  <c r="AI150" i="1"/>
  <c r="U139" i="1"/>
  <c r="S139" i="1" s="1"/>
  <c r="AI174" i="1"/>
  <c r="AI133" i="1"/>
  <c r="U99" i="1"/>
  <c r="S99" i="1" s="1"/>
  <c r="AI149" i="1"/>
  <c r="U114" i="1"/>
  <c r="S114" i="1" s="1"/>
  <c r="U147" i="1"/>
  <c r="S147" i="1" s="1"/>
  <c r="AI182" i="1"/>
  <c r="AI177" i="1"/>
  <c r="U142" i="1"/>
  <c r="S142" i="1" s="1"/>
  <c r="AI189" i="1"/>
  <c r="U154" i="1"/>
  <c r="S154" i="1" s="1"/>
  <c r="AI197" i="1"/>
  <c r="U196" i="1"/>
  <c r="S196" i="1" s="1"/>
  <c r="AI205" i="1"/>
  <c r="U205" i="1"/>
  <c r="S205" i="1" s="1"/>
  <c r="AI213" i="1"/>
  <c r="U213" i="1"/>
  <c r="S213" i="1" s="1"/>
  <c r="W196" i="1"/>
  <c r="W139" i="1"/>
  <c r="W205" i="1"/>
  <c r="U33" i="1"/>
  <c r="S33" i="1" s="1"/>
  <c r="AI33" i="1"/>
  <c r="AI40" i="1"/>
  <c r="U40" i="1"/>
  <c r="S40" i="1" s="1"/>
  <c r="AI28" i="1"/>
  <c r="U28" i="1"/>
  <c r="S28" i="1" s="1"/>
  <c r="U21" i="1"/>
  <c r="S21" i="1" s="1"/>
  <c r="W21" i="1"/>
  <c r="AI21" i="1"/>
  <c r="U37" i="1"/>
  <c r="S37" i="1" s="1"/>
  <c r="W37" i="1"/>
  <c r="AI37" i="1"/>
  <c r="AI20" i="1"/>
  <c r="U20" i="1"/>
  <c r="S20" i="1" s="1"/>
  <c r="W20" i="1"/>
  <c r="AI32" i="1"/>
  <c r="U32" i="1"/>
  <c r="S32" i="1" s="1"/>
  <c r="AI24" i="1"/>
  <c r="U24" i="1"/>
  <c r="S24" i="1" s="1"/>
  <c r="W28" i="1"/>
  <c r="AI55" i="1"/>
  <c r="U55" i="1"/>
  <c r="S55" i="1" s="1"/>
  <c r="AI63" i="1"/>
  <c r="U63" i="1"/>
  <c r="S63" i="1" s="1"/>
  <c r="AI71" i="1"/>
  <c r="U71" i="1"/>
  <c r="S71" i="1" s="1"/>
  <c r="U57" i="1"/>
  <c r="S57" i="1" s="1"/>
  <c r="AI57" i="1"/>
  <c r="AI79" i="1"/>
  <c r="U79" i="1"/>
  <c r="S79" i="1" s="1"/>
  <c r="U91" i="1"/>
  <c r="S91" i="1" s="1"/>
  <c r="AI91" i="1"/>
  <c r="W17" i="1"/>
  <c r="AI118" i="1"/>
  <c r="U180" i="1"/>
  <c r="S180" i="1" s="1"/>
  <c r="U96" i="1"/>
  <c r="S96" i="1" s="1"/>
  <c r="AI130" i="1"/>
  <c r="U111" i="1"/>
  <c r="S111" i="1" s="1"/>
  <c r="AI146" i="1"/>
  <c r="U127" i="1"/>
  <c r="S127" i="1" s="1"/>
  <c r="AI162" i="1"/>
  <c r="U143" i="1"/>
  <c r="S143" i="1" s="1"/>
  <c r="AI178" i="1"/>
  <c r="U183" i="1"/>
  <c r="S183" i="1" s="1"/>
  <c r="AI121" i="1"/>
  <c r="AI137" i="1"/>
  <c r="U203" i="1"/>
  <c r="S203" i="1" s="1"/>
  <c r="AI153" i="1"/>
  <c r="U118" i="1"/>
  <c r="S118" i="1" s="1"/>
  <c r="W99" i="1"/>
  <c r="W114" i="1"/>
  <c r="U25" i="1"/>
  <c r="S25" i="1" s="1"/>
  <c r="AI25" i="1"/>
  <c r="U41" i="1"/>
  <c r="S41" i="1" s="1"/>
  <c r="AI41" i="1"/>
  <c r="W36" i="1"/>
  <c r="AI48" i="1"/>
  <c r="U48" i="1"/>
  <c r="S48" i="1" s="1"/>
  <c r="AI44" i="1"/>
  <c r="U44" i="1"/>
  <c r="S44" i="1" s="1"/>
  <c r="W61" i="1"/>
  <c r="U87" i="1"/>
  <c r="S87" i="1" s="1"/>
  <c r="AI87" i="1"/>
  <c r="W25" i="1"/>
  <c r="W48" i="1"/>
  <c r="W87" i="1"/>
  <c r="U93" i="1"/>
  <c r="S93" i="1" s="1"/>
  <c r="AI103" i="1"/>
  <c r="U170" i="1"/>
  <c r="S170" i="1" s="1"/>
  <c r="AI107" i="1"/>
  <c r="U174" i="1"/>
  <c r="S174" i="1" s="1"/>
  <c r="AI111" i="1"/>
  <c r="U177" i="1"/>
  <c r="S177" i="1" s="1"/>
  <c r="AI115" i="1"/>
  <c r="W93" i="1"/>
  <c r="W174" i="1"/>
  <c r="U187" i="1"/>
  <c r="S187" i="1" s="1"/>
  <c r="AI126" i="1"/>
  <c r="U107" i="1"/>
  <c r="S107" i="1" s="1"/>
  <c r="AI142" i="1"/>
  <c r="U123" i="1"/>
  <c r="S123" i="1" s="1"/>
  <c r="AI158" i="1"/>
  <c r="U131" i="1"/>
  <c r="S131" i="1" s="1"/>
  <c r="AI166" i="1"/>
  <c r="U181" i="1"/>
  <c r="S181" i="1" s="1"/>
  <c r="AI119" i="1"/>
  <c r="AI125" i="1"/>
  <c r="U95" i="1"/>
  <c r="S95" i="1" s="1"/>
  <c r="AI141" i="1"/>
  <c r="U106" i="1"/>
  <c r="S106" i="1" s="1"/>
  <c r="AI157" i="1"/>
  <c r="U122" i="1"/>
  <c r="S122" i="1" s="1"/>
  <c r="W187" i="1"/>
  <c r="W100" i="1"/>
  <c r="W107" i="1"/>
  <c r="W115" i="1"/>
  <c r="W123" i="1"/>
  <c r="AI165" i="1"/>
  <c r="U130" i="1"/>
  <c r="S130" i="1" s="1"/>
  <c r="W203" i="1"/>
  <c r="W118" i="1"/>
  <c r="AI193" i="1"/>
  <c r="U192" i="1"/>
  <c r="S192" i="1" s="1"/>
  <c r="AI201" i="1"/>
  <c r="U200" i="1"/>
  <c r="S200" i="1" s="1"/>
  <c r="AI209" i="1"/>
  <c r="U209" i="1"/>
  <c r="S209" i="1" s="1"/>
  <c r="W131" i="1"/>
  <c r="W200" i="1"/>
  <c r="U29" i="1"/>
  <c r="S29" i="1" s="1"/>
  <c r="AI29" i="1"/>
  <c r="W29" i="1"/>
  <c r="U45" i="1"/>
  <c r="S45" i="1" s="1"/>
  <c r="AI45" i="1"/>
  <c r="W45" i="1"/>
  <c r="AI59" i="1"/>
  <c r="U59" i="1"/>
  <c r="S59" i="1" s="1"/>
  <c r="AI67" i="1"/>
  <c r="U67" i="1"/>
  <c r="S67" i="1" s="1"/>
  <c r="AI75" i="1"/>
  <c r="U75" i="1"/>
  <c r="S75" i="1" s="1"/>
  <c r="U65" i="1"/>
  <c r="S65" i="1" s="1"/>
  <c r="AI65" i="1"/>
  <c r="U69" i="1"/>
  <c r="S69" i="1" s="1"/>
  <c r="AI69" i="1"/>
  <c r="U73" i="1"/>
  <c r="S73" i="1" s="1"/>
  <c r="AI73" i="1"/>
  <c r="W55" i="1"/>
  <c r="W63" i="1"/>
  <c r="W71" i="1"/>
  <c r="U163" i="1"/>
  <c r="S163" i="1" s="1"/>
  <c r="AI99" i="1"/>
  <c r="W32" i="1"/>
  <c r="W49" i="1"/>
  <c r="W91" i="1"/>
  <c r="U184" i="1"/>
  <c r="S184" i="1" s="1"/>
  <c r="AI122" i="1"/>
  <c r="U103" i="1"/>
  <c r="S103" i="1" s="1"/>
  <c r="AI138" i="1"/>
  <c r="U119" i="1"/>
  <c r="S119" i="1" s="1"/>
  <c r="AI154" i="1"/>
  <c r="U135" i="1"/>
  <c r="S135" i="1" s="1"/>
  <c r="AI170" i="1"/>
  <c r="W159" i="1"/>
  <c r="AI129" i="1"/>
  <c r="U190" i="1"/>
  <c r="S190" i="1" s="1"/>
  <c r="AI145" i="1"/>
  <c r="U110" i="1"/>
  <c r="S110" i="1" s="1"/>
  <c r="AI161" i="1"/>
  <c r="U126" i="1"/>
  <c r="S126" i="1" s="1"/>
  <c r="W180" i="1"/>
  <c r="AI173" i="1"/>
  <c r="U138" i="1"/>
  <c r="S138" i="1" s="1"/>
  <c r="W184" i="1"/>
  <c r="W96" i="1"/>
  <c r="W103" i="1"/>
  <c r="W111" i="1"/>
  <c r="W119" i="1"/>
  <c r="W127" i="1"/>
  <c r="W138" i="1"/>
  <c r="W181" i="1"/>
  <c r="AI169" i="1"/>
  <c r="U134" i="1"/>
  <c r="S134" i="1" s="1"/>
  <c r="W143" i="1"/>
  <c r="W147" i="1"/>
  <c r="W135" i="1"/>
  <c r="W213" i="1"/>
  <c r="AC50" i="3"/>
  <c r="AE50" i="3"/>
  <c r="T50" i="3"/>
  <c r="Y50" i="3"/>
  <c r="O2" i="3" l="1"/>
  <c r="B3" i="6" l="1"/>
  <c r="M28" i="5"/>
  <c r="B4" i="6" l="1"/>
  <c r="F3" i="6"/>
  <c r="I3" i="6"/>
  <c r="G3" i="6"/>
  <c r="J3" i="6"/>
  <c r="M23" i="5"/>
  <c r="B5" i="6" l="1"/>
  <c r="G4" i="6"/>
  <c r="I4" i="6"/>
  <c r="J4" i="6"/>
  <c r="F4" i="6"/>
  <c r="AD7" i="3"/>
  <c r="AN13" i="1"/>
  <c r="F5" i="6" l="1"/>
  <c r="I5" i="6"/>
  <c r="G5" i="6"/>
  <c r="J5" i="6"/>
  <c r="B6" i="6"/>
  <c r="AE7" i="3"/>
  <c r="G6" i="6" l="1"/>
  <c r="I6" i="6"/>
  <c r="F6" i="6"/>
  <c r="J6" i="6"/>
  <c r="B7" i="6"/>
  <c r="K13" i="1"/>
  <c r="M13" i="1"/>
  <c r="P13" i="1" s="1"/>
  <c r="AB13" i="1"/>
  <c r="AC13" i="1"/>
  <c r="AD13" i="1"/>
  <c r="AE13" i="1"/>
  <c r="AM13" i="1"/>
  <c r="X14" i="1" l="1"/>
  <c r="F7" i="6"/>
  <c r="I7" i="6"/>
  <c r="G7" i="6"/>
  <c r="J7" i="6"/>
  <c r="B8" i="6"/>
  <c r="AG13" i="1"/>
  <c r="AI13" i="1" s="1"/>
  <c r="X13" i="1"/>
  <c r="AA13" i="1"/>
  <c r="T13" i="1"/>
  <c r="G8" i="6" l="1"/>
  <c r="I8" i="6"/>
  <c r="J8" i="6"/>
  <c r="F8" i="6"/>
  <c r="B9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0" i="6" l="1"/>
  <c r="F9" i="6"/>
  <c r="G9" i="6"/>
  <c r="I9" i="6"/>
  <c r="J9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0" i="6" l="1"/>
  <c r="I10" i="6"/>
  <c r="J10" i="6"/>
  <c r="F10" i="6"/>
  <c r="B11" i="6"/>
  <c r="B87" i="9"/>
  <c r="B88" i="9"/>
  <c r="B89" i="9"/>
  <c r="B90" i="9"/>
  <c r="B91" i="9"/>
  <c r="B92" i="9"/>
  <c r="B12" i="6" l="1"/>
  <c r="F11" i="6"/>
  <c r="G11" i="6"/>
  <c r="I11" i="6"/>
  <c r="J11" i="6"/>
  <c r="C88" i="9"/>
  <c r="C92" i="9"/>
  <c r="C93" i="9"/>
  <c r="C90" i="9"/>
  <c r="C89" i="9"/>
  <c r="C91" i="9"/>
  <c r="B13" i="6" l="1"/>
  <c r="G12" i="6"/>
  <c r="I12" i="6"/>
  <c r="J12" i="6"/>
  <c r="F12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3" i="6" l="1"/>
  <c r="G13" i="6"/>
  <c r="I13" i="6"/>
  <c r="J13" i="6"/>
  <c r="B14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4" i="6" l="1"/>
  <c r="F14" i="6"/>
  <c r="G14" i="6"/>
  <c r="J14" i="6"/>
  <c r="B15" i="6"/>
  <c r="B55" i="9"/>
  <c r="B56" i="9"/>
  <c r="B57" i="9"/>
  <c r="B58" i="9"/>
  <c r="B59" i="9"/>
  <c r="B60" i="9"/>
  <c r="B61" i="9"/>
  <c r="B62" i="9"/>
  <c r="C63" i="9" s="1"/>
  <c r="F15" i="6" l="1"/>
  <c r="I15" i="6"/>
  <c r="G15" i="6"/>
  <c r="J15" i="6"/>
  <c r="B16" i="6"/>
  <c r="C61" i="9"/>
  <c r="C57" i="9"/>
  <c r="C59" i="9"/>
  <c r="C62" i="9"/>
  <c r="C60" i="9"/>
  <c r="C58" i="9"/>
  <c r="C56" i="9"/>
  <c r="G16" i="6" l="1"/>
  <c r="I16" i="6"/>
  <c r="J16" i="6"/>
  <c r="F16" i="6"/>
  <c r="B17" i="6"/>
  <c r="B50" i="9"/>
  <c r="B51" i="9"/>
  <c r="B52" i="9"/>
  <c r="B53" i="9"/>
  <c r="B54" i="9"/>
  <c r="F17" i="6" l="1"/>
  <c r="G17" i="6"/>
  <c r="I17" i="6"/>
  <c r="J17" i="6"/>
  <c r="B18" i="6"/>
  <c r="C52" i="9"/>
  <c r="C54" i="9"/>
  <c r="C55" i="9"/>
  <c r="C53" i="9"/>
  <c r="C51" i="9"/>
  <c r="G18" i="6" l="1"/>
  <c r="I18" i="6"/>
  <c r="J18" i="6"/>
  <c r="F18" i="6"/>
  <c r="B19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0" i="6" l="1"/>
  <c r="F19" i="6"/>
  <c r="G19" i="6"/>
  <c r="I19" i="6"/>
  <c r="J19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0" i="6" l="1"/>
  <c r="I20" i="6"/>
  <c r="J20" i="6"/>
  <c r="F20" i="6"/>
  <c r="B21" i="6"/>
  <c r="V13" i="1"/>
  <c r="B31" i="9"/>
  <c r="B32" i="9"/>
  <c r="C33" i="9" s="1"/>
  <c r="F21" i="6" l="1"/>
  <c r="G21" i="6"/>
  <c r="I21" i="6"/>
  <c r="J21" i="6"/>
  <c r="B22" i="6"/>
  <c r="C32" i="9"/>
  <c r="G22" i="6" l="1"/>
  <c r="I22" i="6"/>
  <c r="F22" i="6"/>
  <c r="H22" i="6"/>
  <c r="J22" i="6"/>
  <c r="B23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11" i="3" s="1"/>
  <c r="G22" i="4"/>
  <c r="G23" i="4"/>
  <c r="G24" i="4"/>
  <c r="G25" i="4"/>
  <c r="G26" i="4"/>
  <c r="N51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17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18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N24" i="3" s="1"/>
  <c r="G91" i="4"/>
  <c r="G92" i="4"/>
  <c r="G93" i="4"/>
  <c r="G94" i="4"/>
  <c r="G95" i="4"/>
  <c r="G96" i="4"/>
  <c r="G97" i="4"/>
  <c r="G98" i="4"/>
  <c r="G99" i="4"/>
  <c r="G100" i="4"/>
  <c r="N26" i="3" s="1"/>
  <c r="G101" i="4"/>
  <c r="G102" i="4"/>
  <c r="G103" i="4"/>
  <c r="G104" i="4"/>
  <c r="G105" i="4"/>
  <c r="G106" i="4"/>
  <c r="G107" i="4"/>
  <c r="N27" i="3" s="1"/>
  <c r="G108" i="4"/>
  <c r="G109" i="4"/>
  <c r="G110" i="4"/>
  <c r="N28" i="3" s="1"/>
  <c r="G111" i="4"/>
  <c r="G112" i="4"/>
  <c r="N22" i="3" s="1"/>
  <c r="G113" i="4"/>
  <c r="G114" i="4"/>
  <c r="G115" i="4"/>
  <c r="G116" i="4"/>
  <c r="H5" i="6" s="1"/>
  <c r="G117" i="4"/>
  <c r="G118" i="4"/>
  <c r="G119" i="4"/>
  <c r="G120" i="4"/>
  <c r="G121" i="4"/>
  <c r="N38" i="3" s="1"/>
  <c r="G122" i="4"/>
  <c r="G123" i="4"/>
  <c r="G124" i="4"/>
  <c r="G125" i="4"/>
  <c r="G126" i="4"/>
  <c r="G127" i="4"/>
  <c r="G128" i="4"/>
  <c r="G129" i="4"/>
  <c r="G130" i="4"/>
  <c r="N29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H19" i="6" s="1"/>
  <c r="G143" i="4"/>
  <c r="G144" i="4"/>
  <c r="G145" i="4"/>
  <c r="G146" i="4"/>
  <c r="G147" i="4"/>
  <c r="G148" i="4"/>
  <c r="G149" i="4"/>
  <c r="N43" i="3" s="1"/>
  <c r="G150" i="4"/>
  <c r="G151" i="4"/>
  <c r="G152" i="4"/>
  <c r="N23" i="3" s="1"/>
  <c r="G153" i="4"/>
  <c r="G154" i="4"/>
  <c r="G155" i="4"/>
  <c r="G156" i="4"/>
  <c r="G157" i="4"/>
  <c r="G158" i="4"/>
  <c r="N31" i="3" s="1"/>
  <c r="G159" i="4"/>
  <c r="N10" i="3" s="1"/>
  <c r="G160" i="4"/>
  <c r="G161" i="4"/>
  <c r="N36" i="3" s="1"/>
  <c r="G162" i="4"/>
  <c r="G163" i="4"/>
  <c r="N25" i="3" s="1"/>
  <c r="G164" i="4"/>
  <c r="G165" i="4"/>
  <c r="G166" i="4"/>
  <c r="N12" i="3" s="1"/>
  <c r="G167" i="4"/>
  <c r="G168" i="4"/>
  <c r="G169" i="4"/>
  <c r="G170" i="4"/>
  <c r="G171" i="4"/>
  <c r="G172" i="4"/>
  <c r="N13" i="3" s="1"/>
  <c r="G173" i="4"/>
  <c r="G174" i="4"/>
  <c r="G175" i="4"/>
  <c r="G176" i="4"/>
  <c r="N32" i="3" s="1"/>
  <c r="G177" i="4"/>
  <c r="N9" i="3" s="1"/>
  <c r="G178" i="4"/>
  <c r="G179" i="4"/>
  <c r="G180" i="4"/>
  <c r="G181" i="4"/>
  <c r="G182" i="4"/>
  <c r="G183" i="4"/>
  <c r="G184" i="4"/>
  <c r="G185" i="4"/>
  <c r="N16" i="3" s="1"/>
  <c r="G186" i="4"/>
  <c r="G187" i="4"/>
  <c r="G188" i="4"/>
  <c r="G189" i="4"/>
  <c r="G190" i="4"/>
  <c r="G191" i="4"/>
  <c r="G192" i="4"/>
  <c r="G193" i="4"/>
  <c r="N49" i="3" s="1"/>
  <c r="G194" i="4"/>
  <c r="G195" i="4"/>
  <c r="G196" i="4"/>
  <c r="N44" i="3" s="1"/>
  <c r="G197" i="4"/>
  <c r="G198" i="4"/>
  <c r="G199" i="4"/>
  <c r="G200" i="4"/>
  <c r="G201" i="4"/>
  <c r="G202" i="4"/>
  <c r="N33" i="3" s="1"/>
  <c r="G203" i="4"/>
  <c r="G204" i="4"/>
  <c r="G205" i="4"/>
  <c r="G206" i="4"/>
  <c r="G207" i="4"/>
  <c r="N8" i="3" s="1"/>
  <c r="G208" i="4"/>
  <c r="G209" i="4"/>
  <c r="G210" i="4"/>
  <c r="G211" i="4"/>
  <c r="G212" i="4"/>
  <c r="G213" i="4"/>
  <c r="G214" i="4"/>
  <c r="N50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3" i="3" l="1"/>
  <c r="N52" i="3"/>
  <c r="N41" i="3"/>
  <c r="N37" i="3"/>
  <c r="N39" i="3"/>
  <c r="N46" i="3"/>
  <c r="N45" i="3"/>
  <c r="N30" i="3"/>
  <c r="N7" i="3"/>
  <c r="H4" i="6"/>
  <c r="N14" i="3"/>
  <c r="N20" i="3"/>
  <c r="N21" i="3"/>
  <c r="N15" i="3"/>
  <c r="N19" i="3"/>
  <c r="N35" i="3"/>
  <c r="N40" i="3"/>
  <c r="N47" i="3"/>
  <c r="N48" i="3"/>
  <c r="N34" i="3"/>
  <c r="N42" i="3"/>
  <c r="H13" i="6"/>
  <c r="H3" i="6"/>
  <c r="H21" i="6"/>
  <c r="H16" i="6"/>
  <c r="H7" i="6"/>
  <c r="H20" i="6"/>
  <c r="H14" i="6"/>
  <c r="H11" i="6"/>
  <c r="H6" i="6"/>
  <c r="H10" i="6"/>
  <c r="H12" i="6"/>
  <c r="H9" i="6"/>
  <c r="H17" i="6"/>
  <c r="H18" i="6"/>
  <c r="H15" i="6"/>
  <c r="H8" i="6"/>
  <c r="F23" i="6"/>
  <c r="I23" i="6"/>
  <c r="G23" i="6"/>
  <c r="H23" i="6"/>
  <c r="J23" i="6"/>
  <c r="B24" i="6"/>
  <c r="L13" i="1"/>
  <c r="G24" i="6" l="1"/>
  <c r="I24" i="6"/>
  <c r="J24" i="6"/>
  <c r="F24" i="6"/>
  <c r="H24" i="6"/>
  <c r="B25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5" i="6" l="1"/>
  <c r="G25" i="6"/>
  <c r="I25" i="6"/>
  <c r="J25" i="6"/>
  <c r="H25" i="6"/>
  <c r="B26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6" i="6" l="1"/>
  <c r="H26" i="6"/>
  <c r="J26" i="6"/>
  <c r="I26" i="6"/>
  <c r="F26" i="6"/>
  <c r="B2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8" i="6" l="1"/>
  <c r="F27" i="6"/>
  <c r="G27" i="6"/>
  <c r="I27" i="6"/>
  <c r="H27" i="6"/>
  <c r="J27" i="6"/>
  <c r="M30" i="5"/>
  <c r="M29" i="5"/>
  <c r="M27" i="5"/>
  <c r="G28" i="6" l="1"/>
  <c r="I28" i="6"/>
  <c r="J28" i="6"/>
  <c r="H28" i="6"/>
  <c r="F28" i="6"/>
  <c r="B29" i="6"/>
  <c r="M26" i="5"/>
  <c r="B30" i="6" l="1"/>
  <c r="F29" i="6"/>
  <c r="G29" i="6"/>
  <c r="H29" i="6"/>
  <c r="J29" i="6"/>
  <c r="I29" i="6"/>
  <c r="AH13" i="1"/>
  <c r="J7" i="1"/>
  <c r="G30" i="6" l="1"/>
  <c r="F30" i="6"/>
  <c r="H30" i="6"/>
  <c r="J30" i="6"/>
  <c r="I30" i="6"/>
  <c r="B31" i="6"/>
  <c r="X6" i="1"/>
  <c r="W6" i="1"/>
  <c r="V6" i="1"/>
  <c r="S6" i="1"/>
  <c r="R2" i="1"/>
  <c r="I2" i="1"/>
  <c r="O6" i="1"/>
  <c r="N6" i="1"/>
  <c r="M6" i="1"/>
  <c r="J6" i="1"/>
  <c r="B32" i="6" l="1"/>
  <c r="I31" i="6"/>
  <c r="G31" i="6"/>
  <c r="H31" i="6"/>
  <c r="J31" i="6"/>
  <c r="F31" i="6"/>
  <c r="P3" i="5"/>
  <c r="G32" i="6" l="1"/>
  <c r="I32" i="6"/>
  <c r="J32" i="6"/>
  <c r="F32" i="6"/>
  <c r="H32" i="6"/>
  <c r="B33" i="6"/>
  <c r="M18" i="5"/>
  <c r="B34" i="6" l="1"/>
  <c r="F33" i="6"/>
  <c r="G33" i="6"/>
  <c r="I33" i="6"/>
  <c r="J33" i="6"/>
  <c r="H33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4" i="6" l="1"/>
  <c r="I34" i="6"/>
  <c r="J34" i="6"/>
  <c r="F34" i="6"/>
  <c r="H34" i="6"/>
  <c r="B3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6" i="6" l="1"/>
  <c r="F35" i="6"/>
  <c r="G35" i="6"/>
  <c r="I35" i="6"/>
  <c r="H35" i="6"/>
  <c r="J35" i="6"/>
  <c r="G259" i="4"/>
  <c r="G260" i="4"/>
  <c r="G261" i="4"/>
  <c r="G262" i="4"/>
  <c r="G263" i="4"/>
  <c r="G264" i="4"/>
  <c r="G265" i="4"/>
  <c r="B37" i="6" l="1"/>
  <c r="G36" i="6"/>
  <c r="I36" i="6"/>
  <c r="H36" i="6"/>
  <c r="J36" i="6"/>
  <c r="F36" i="6"/>
  <c r="M14" i="5"/>
  <c r="M13" i="5"/>
  <c r="M12" i="5"/>
  <c r="M11" i="5"/>
  <c r="M10" i="5"/>
  <c r="M9" i="5"/>
  <c r="M8" i="5"/>
  <c r="M7" i="5"/>
  <c r="M6" i="5"/>
  <c r="M5" i="5"/>
  <c r="M4" i="5"/>
  <c r="M3" i="5"/>
  <c r="F37" i="6" l="1"/>
  <c r="G37" i="6"/>
  <c r="I37" i="6"/>
  <c r="J37" i="6"/>
  <c r="H37" i="6"/>
  <c r="B38" i="6"/>
  <c r="U13" i="1"/>
  <c r="S13" i="1" s="1"/>
  <c r="O3" i="3"/>
  <c r="H38" i="6" l="1"/>
  <c r="I38" i="6"/>
  <c r="F38" i="6"/>
  <c r="G38" i="6"/>
  <c r="J38" i="6"/>
  <c r="B3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0" i="6" l="1"/>
  <c r="F40" i="6" s="1"/>
  <c r="F39" i="6"/>
  <c r="G39" i="6"/>
  <c r="I39" i="6"/>
  <c r="H39" i="6"/>
  <c r="J39" i="6"/>
  <c r="J8" i="1"/>
  <c r="J4" i="1"/>
  <c r="S8" i="1"/>
  <c r="S4" i="1"/>
  <c r="J40" i="6" l="1"/>
  <c r="I40" i="6"/>
  <c r="G40" i="6"/>
  <c r="H40" i="6"/>
  <c r="B41" i="6"/>
  <c r="S9" i="1"/>
  <c r="J9" i="1"/>
  <c r="B42" i="6" l="1"/>
  <c r="H41" i="6"/>
  <c r="J41" i="6"/>
  <c r="F41" i="6"/>
  <c r="G41" i="6"/>
  <c r="I41" i="6"/>
  <c r="S11" i="1"/>
  <c r="A11" i="1"/>
  <c r="B43" i="6" l="1"/>
  <c r="F42" i="6"/>
  <c r="I42" i="6"/>
  <c r="J42" i="6"/>
  <c r="G42" i="6"/>
  <c r="H42" i="6"/>
  <c r="B1" i="6"/>
  <c r="A5" i="3"/>
  <c r="B44" i="6" l="1"/>
  <c r="G43" i="6"/>
  <c r="H43" i="6"/>
  <c r="F43" i="6"/>
  <c r="I43" i="6"/>
  <c r="J43" i="6"/>
  <c r="G44" i="6" l="1"/>
  <c r="H44" i="6"/>
  <c r="I44" i="6"/>
  <c r="J44" i="6"/>
  <c r="F44" i="6"/>
  <c r="B45" i="6"/>
  <c r="H45" i="6" l="1"/>
  <c r="F45" i="6"/>
  <c r="G45" i="6"/>
  <c r="I45" i="6"/>
  <c r="J45" i="6"/>
  <c r="B46" i="6"/>
  <c r="B47" i="6" l="1"/>
  <c r="G46" i="6"/>
  <c r="H46" i="6"/>
  <c r="I46" i="6"/>
  <c r="J46" i="6"/>
  <c r="F46" i="6"/>
  <c r="B48" i="6" l="1"/>
  <c r="I47" i="6"/>
  <c r="G47" i="6"/>
  <c r="F47" i="6"/>
  <c r="H47" i="6"/>
  <c r="J47" i="6"/>
  <c r="G48" i="6" l="1"/>
  <c r="F48" i="6"/>
  <c r="H48" i="6"/>
  <c r="I48" i="6"/>
  <c r="J48" i="6"/>
  <c r="B49" i="6"/>
  <c r="H49" i="6" l="1"/>
  <c r="J49" i="6"/>
  <c r="F49" i="6"/>
  <c r="G49" i="6"/>
  <c r="I49" i="6"/>
  <c r="B50" i="6"/>
  <c r="B51" i="6" l="1"/>
  <c r="F50" i="6"/>
  <c r="G50" i="6"/>
  <c r="I50" i="6"/>
  <c r="H50" i="6"/>
  <c r="J50" i="6"/>
  <c r="F51" i="6" l="1"/>
  <c r="G51" i="6"/>
  <c r="J51" i="6"/>
  <c r="H51" i="6"/>
  <c r="I51" i="6"/>
  <c r="B52" i="6"/>
  <c r="G52" i="6" l="1"/>
  <c r="J52" i="6"/>
  <c r="F52" i="6"/>
  <c r="H52" i="6"/>
  <c r="I52" i="6"/>
  <c r="B53" i="6"/>
  <c r="B54" i="6" l="1"/>
  <c r="F53" i="6"/>
  <c r="G53" i="6"/>
  <c r="H53" i="6"/>
  <c r="I53" i="6"/>
  <c r="J53" i="6"/>
  <c r="B55" i="6" l="1"/>
  <c r="J54" i="6"/>
  <c r="F54" i="6"/>
  <c r="I54" i="6"/>
  <c r="G54" i="6"/>
  <c r="H54" i="6"/>
  <c r="B56" i="6" l="1"/>
  <c r="G55" i="6"/>
  <c r="H55" i="6"/>
  <c r="F55" i="6"/>
  <c r="I55" i="6"/>
  <c r="J55" i="6"/>
  <c r="G56" i="6" l="1"/>
  <c r="I56" i="6"/>
  <c r="J56" i="6"/>
  <c r="F56" i="6"/>
  <c r="H56" i="6"/>
  <c r="B57" i="6"/>
  <c r="B58" i="6" l="1"/>
  <c r="J57" i="6"/>
  <c r="F57" i="6"/>
  <c r="H57" i="6"/>
  <c r="G57" i="6"/>
  <c r="I57" i="6"/>
  <c r="B59" i="6" l="1"/>
  <c r="H58" i="6"/>
  <c r="F58" i="6"/>
  <c r="I58" i="6"/>
  <c r="J58" i="6"/>
  <c r="G58" i="6"/>
  <c r="B61" i="6" l="1"/>
  <c r="B60" i="6"/>
  <c r="G59" i="6"/>
  <c r="H59" i="6"/>
  <c r="F59" i="6"/>
  <c r="I59" i="6"/>
  <c r="J59" i="6"/>
  <c r="G60" i="6" l="1"/>
  <c r="H60" i="6"/>
  <c r="I60" i="6"/>
  <c r="J60" i="6"/>
  <c r="F60" i="6"/>
  <c r="H61" i="6"/>
  <c r="J61" i="6"/>
  <c r="G61" i="6"/>
  <c r="I61" i="6"/>
  <c r="F6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<sst xmlns="http://schemas.openxmlformats.org/spreadsheetml/2006/main" count="2848" uniqueCount="1017">
  <si>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</si>
  <si>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</si>
  <si>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</si>
  <si>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</si>
  <si>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</si>
  <si>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</si>
  <si>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</si>
  <si>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</si>
  <si>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</si>
  <si>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</si>
  <si>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</si>
  <si>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</si>
  <si>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</si>
  <si>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</si>
  <si>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</si>
  <si>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</si>
  <si>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</si>
  <si>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</si>
  <si>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</si>
  <si>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</si>
  <si>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</si>
  <si>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</si>
  <si>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</si>
  <si>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</si>
  <si>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</si>
  <si>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</si>
  <si>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</si>
  <si>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</si>
  <si>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</si>
  <si>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</si>
  <si>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</si>
  <si>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</si>
  <si>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</si>
  <si>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</si>
  <si>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</si>
  <si>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</si>
  <si>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</si>
  <si>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</si>
  <si>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</si>
  <si>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</si>
  <si>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</si>
  <si>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</si>
  <si>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</si>
  <si>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</si>
  <si>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</si>
  <si>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</si>
  <si>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</si>
  <si>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</si>
  <si>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</si>
  <si>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</si>
  <si>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</si>
  <si>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</si>
  <si>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</si>
  <si>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</si>
  <si>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</si>
  <si>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</si>
  <si>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</si>
  <si>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</si>
  <si>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</si>
  <si>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</si>
  <si>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</si>
  <si>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</si>
  <si>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</si>
  <si>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</si>
  <si>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</si>
  <si>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</si>
  <si>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</si>
  <si>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</si>
  <si>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</si>
  <si>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</si>
  <si>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</si>
  <si>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</si>
  <si>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</si>
  <si>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</si>
  <si>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</si>
  <si>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</si>
  <si>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</si>
  <si>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</si>
  <si>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</si>
  <si>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</si>
  <si>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</si>
  <si>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</si>
  <si>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</si>
  <si>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</si>
  <si>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</si>
  <si>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</si>
  <si>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</si>
  <si>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</si>
  <si>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</si>
  <si>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</si>
  <si>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</si>
  <si>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</si>
  <si>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</si>
  <si>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</si>
  <si>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</si>
  <si>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</si>
  <si>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</si>
  <si>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</si>
  <si>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</si>
  <si>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</si>
  <si>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</si>
  <si>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</si>
  <si>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</si>
  <si>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</si>
  <si>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</si>
  <si>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</si>
  <si>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</si>
  <si>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</si>
  <si>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</si>
  <si>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</si>
  <si>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</si>
  <si>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</si>
  <si>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</si>
  <si>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</si>
  <si>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</si>
  <si>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</si>
  <si>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</si>
  <si>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</si>
  <si>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</si>
  <si>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</si>
  <si>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</si>
  <si>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</si>
  <si>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</si>
  <si>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</si>
  <si>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</si>
  <si>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</si>
  <si>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</si>
  <si>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</si>
  <si>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</si>
  <si>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</si>
  <si>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</si>
  <si>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</si>
  <si>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</si>
  <si>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</si>
  <si>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</si>
  <si>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</si>
  <si>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</si>
  <si>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</si>
  <si>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</si>
  <si>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</si>
  <si>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</si>
  <si>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</si>
  <si>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</si>
  <si>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</si>
  <si>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</si>
  <si>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</si>
  <si>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</si>
  <si>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</si>
  <si>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</si>
  <si>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</si>
  <si>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</si>
  <si>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</si>
  <si>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</si>
  <si>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</si>
  <si>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</si>
  <si>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</si>
  <si>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</si>
  <si>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</si>
  <si>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</si>
  <si>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</si>
  <si>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</si>
  <si>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</si>
  <si>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</si>
  <si>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</si>
  <si>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</si>
  <si>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</si>
  <si>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</si>
  <si>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</si>
  <si>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</si>
  <si>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</si>
  <si>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</si>
  <si>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</si>
  <si>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</si>
  <si>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</si>
  <si>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</si>
  <si>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</si>
  <si>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</si>
  <si>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</si>
  <si>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</si>
  <si>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</si>
  <si>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</si>
  <si>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</si>
  <si>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</si>
  <si>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</si>
  <si>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</si>
  <si>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</si>
  <si>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</si>
  <si>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</si>
  <si>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</si>
  <si>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</si>
  <si>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</si>
  <si>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</si>
  <si>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</si>
  <si>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</si>
  <si>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</si>
  <si>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</si>
  <si>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</si>
  <si>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</si>
  <si>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</si>
  <si>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</si>
  <si>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</si>
  <si>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</si>
  <si>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</si>
  <si>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</si>
  <si>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</si>
  <si>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</si>
  <si>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</si>
  <si>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</si>
  <si>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</si>
  <si>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</si>
  <si>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</si>
  <si>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</si>
  <si>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</si>
  <si>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</si>
  <si>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</si>
  <si>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</si>
  <si>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</si>
  <si>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</si>
  <si>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</si>
  <si>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</si>
  <si>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</si>
  <si>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</si>
  <si>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</si>
  <si>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</si>
  <si>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</si>
  <si>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</si>
  <si>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</si>
  <si>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</si>
  <si>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</si>
  <si>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</si>
  <si>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</si>
  <si>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</si>
  <si>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</si>
  <si>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</si>
  <si>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</si>
  <si>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</si>
  <si>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</si>
  <si>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</si>
  <si>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</si>
  <si>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</si>
  <si>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</si>
  <si>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</si>
  <si>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</si>
  <si>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</si>
  <si>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</si>
  <si>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</si>
  <si>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</si>
  <si>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</si>
  <si>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</si>
  <si>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</si>
  <si>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</si>
  <si>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</si>
  <si>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</si>
  <si>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</si>
  <si>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</si>
  <si>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</si>
  <si>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</si>
  <si>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</si>
  <si>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</si>
  <si>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</si>
  <si>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</si>
  <si>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</si>
  <si>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</si>
  <si>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</si>
  <si>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</si>
  <si>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</si>
  <si>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</si>
  <si>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</si>
  <si>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</si>
  <si>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</si>
  <si>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</si>
  <si>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</si>
  <si>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</si>
  <si>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</si>
  <si>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</si>
  <si>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</si>
  <si>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</si>
  <si>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</si>
  <si>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</si>
  <si>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</si>
  <si>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</si>
  <si>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</si>
  <si>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</si>
  <si>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</si>
  <si>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</si>
  <si>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</si>
  <si>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</si>
  <si>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</si>
  <si>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</si>
  <si>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</si>
  <si>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</si>
  <si>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</si>
  <si>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</si>
  <si>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</si>
  <si>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</si>
  <si>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</si>
  <si>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</si>
  <si>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</si>
  <si>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</si>
  <si>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</si>
  <si>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</si>
  <si>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</si>
  <si>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</si>
  <si>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</si>
  <si>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</si>
  <si>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</si>
  <si>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</si>
  <si>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</si>
  <si>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</si>
  <si>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</si>
  <si>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</si>
  <si>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</si>
  <si>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</si>
  <si>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</si>
  <si>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</si>
  <si>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</si>
  <si>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</si>
  <si>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</si>
  <si>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</si>
  <si>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</si>
  <si>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</si>
  <si>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</si>
  <si>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</si>
  <si>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</si>
  <si>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</si>
  <si>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</si>
  <si>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</si>
  <si>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</si>
  <si>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</si>
  <si>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</si>
  <si>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</si>
  <si>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</si>
  <si>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</si>
  <si>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</si>
  <si>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</si>
  <si>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</si>
  <si>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</si>
  <si>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</si>
  <si>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</si>
  <si>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</si>
  <si>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</si>
  <si>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</si>
  <si>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</si>
  <si>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</si>
  <si>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</si>
  <si>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</si>
  <si>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</si>
  <si>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</si>
  <si>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</si>
  <si>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</si>
  <si>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</si>
  <si>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</si>
  <si>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</si>
  <si>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</si>
  <si>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</si>
  <si>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</si>
  <si>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</si>
  <si>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</si>
  <si>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</si>
  <si>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</si>
  <si>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</si>
  <si>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</si>
  <si>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</si>
  <si>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</si>
  <si>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</si>
  <si>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</si>
  <si>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</si>
  <si>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</si>
  <si>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</si>
  <si>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</si>
  <si>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</si>
  <si>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</si>
  <si>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</si>
  <si>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</si>
  <si>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</si>
  <si>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</si>
  <si>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</si>
  <si>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</si>
  <si>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</si>
  <si>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</si>
  <si>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</si>
  <si>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</si>
  <si>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</si>
  <si>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</si>
  <si>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</si>
  <si>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</si>
  <si>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</si>
  <si>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</si>
  <si>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</si>
  <si>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</si>
  <si>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</si>
  <si>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</si>
  <si>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</si>
  <si>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</si>
  <si>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</si>
  <si>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</si>
  <si>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</si>
  <si>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</si>
  <si>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</si>
  <si>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</si>
  <si>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</si>
  <si>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</si>
  <si>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</si>
  <si>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</si>
  <si>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</si>
  <si>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</si>
  <si>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</si>
  <si>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</si>
  <si>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</si>
  <si>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</si>
  <si>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</si>
  <si>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</si>
  <si>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</si>
  <si>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</si>
  <si>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</si>
  <si>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</si>
  <si>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</si>
  <si>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</si>
  <si>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</si>
  <si>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</si>
  <si>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</si>
  <si>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</si>
  <si>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</si>
  <si>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</si>
  <si>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</si>
  <si>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</si>
  <si>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</si>
  <si>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</si>
  <si>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</si>
  <si>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</si>
  <si>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</si>
  <si>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</si>
  <si>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204:232998</t>
  </si>
  <si>
    <t>204:161</t>
  </si>
  <si>
    <t>204:232977</t>
  </si>
  <si>
    <t>rtdc.l.rtdc.4025:itc</t>
  </si>
  <si>
    <t>204:232994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</si>
  <si>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</si>
  <si>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</si>
  <si>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</si>
  <si>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</si>
  <si>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</si>
  <si>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</si>
  <si>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</si>
  <si>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</si>
  <si>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</si>
  <si>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</si>
  <si>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</si>
  <si>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</si>
  <si>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</si>
  <si>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</si>
  <si>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</si>
  <si>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</si>
  <si>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</si>
  <si>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</si>
  <si>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</si>
  <si>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</si>
  <si>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</si>
  <si>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</si>
  <si>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</si>
  <si>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</si>
  <si>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</si>
  <si>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rtdc.l.rtdc.4010:itc</t>
  </si>
  <si>
    <t>204:232987</t>
  </si>
  <si>
    <t>204:233305</t>
  </si>
  <si>
    <t>204:467</t>
  </si>
  <si>
    <t>204:156</t>
  </si>
  <si>
    <t>204:233000</t>
  </si>
  <si>
    <t>204:433</t>
  </si>
  <si>
    <t>rtdc.l.rtdc.4009:itc</t>
  </si>
  <si>
    <t>clear-night</t>
  </si>
  <si>
    <t>Clear</t>
  </si>
  <si>
    <t>204:138</t>
  </si>
  <si>
    <t>204:469</t>
  </si>
  <si>
    <t>204:233309</t>
  </si>
  <si>
    <t>204:233312</t>
  </si>
  <si>
    <t>204:232978</t>
  </si>
  <si>
    <t>204:475</t>
  </si>
  <si>
    <t>rtdc.l.rtdc.4001:itc</t>
  </si>
  <si>
    <t>rtdc.l.rtdc.4002:itc</t>
  </si>
  <si>
    <t>YANG</t>
  </si>
  <si>
    <t>JAN</t>
  </si>
  <si>
    <t>SAFIEF</t>
  </si>
  <si>
    <t>AEIMEN</t>
  </si>
  <si>
    <t>204:233306</t>
  </si>
  <si>
    <t>204:232979</t>
  </si>
  <si>
    <t>204:163</t>
  </si>
  <si>
    <t>204:233295</t>
  </si>
  <si>
    <t>204:233002</t>
  </si>
  <si>
    <t>204:978</t>
  </si>
  <si>
    <t>rtdc.l.rtdc.4023:itc</t>
  </si>
  <si>
    <t>rtdc.l.rtdc.4024:itc</t>
  </si>
  <si>
    <t>WENDY</t>
  </si>
  <si>
    <t>GEBRETEKLE</t>
  </si>
  <si>
    <t>DAGNEW</t>
  </si>
  <si>
    <t>MOSES</t>
  </si>
  <si>
    <t>BRADLEY</t>
  </si>
  <si>
    <t>DELGADO</t>
  </si>
  <si>
    <t>DIANAH</t>
  </si>
  <si>
    <t>HOLCOMB</t>
  </si>
  <si>
    <t>KAMDEN</t>
  </si>
  <si>
    <t>DE LA ROSA</t>
  </si>
  <si>
    <t>ALEX</t>
  </si>
  <si>
    <t>BADERTSCHER</t>
  </si>
  <si>
    <t>DIANE</t>
  </si>
  <si>
    <t>204:233318</t>
  </si>
  <si>
    <t>204:233315</t>
  </si>
  <si>
    <t>204:232988</t>
  </si>
  <si>
    <t>204:233317</t>
  </si>
  <si>
    <t>204:233270</t>
  </si>
  <si>
    <t>204:233289</t>
  </si>
  <si>
    <t>204:165</t>
  </si>
  <si>
    <t>204:232990</t>
  </si>
  <si>
    <t>300:58956</t>
  </si>
  <si>
    <t>842-01</t>
  </si>
  <si>
    <t>226-01</t>
  </si>
  <si>
    <t>234-01</t>
  </si>
  <si>
    <t>240-01</t>
  </si>
  <si>
    <t>rtdc.l.rtdc.4007:itc</t>
  </si>
  <si>
    <t>THOMPSON</t>
  </si>
  <si>
    <t>LESTER</t>
  </si>
  <si>
    <t>ROMERO</t>
  </si>
  <si>
    <t>CHAD</t>
  </si>
  <si>
    <t>LOPES</t>
  </si>
  <si>
    <t>KIMBERLY</t>
  </si>
  <si>
    <t>81-01</t>
  </si>
  <si>
    <t>82-01</t>
  </si>
  <si>
    <t>843-01</t>
  </si>
  <si>
    <t>224-01</t>
  </si>
  <si>
    <t>227-01</t>
  </si>
  <si>
    <t>229-01</t>
  </si>
  <si>
    <t>228-01</t>
  </si>
  <si>
    <t>231-01</t>
  </si>
  <si>
    <t>845-01</t>
  </si>
  <si>
    <t>844-01</t>
  </si>
  <si>
    <t>233-01</t>
  </si>
  <si>
    <t>230-01</t>
  </si>
  <si>
    <t>235-01</t>
  </si>
  <si>
    <t>847-01</t>
  </si>
  <si>
    <t>232-01</t>
  </si>
  <si>
    <t>908-01</t>
  </si>
  <si>
    <t>237-01</t>
  </si>
  <si>
    <t>236-01</t>
  </si>
  <si>
    <t>239-01</t>
  </si>
  <si>
    <t>241-01</t>
  </si>
  <si>
    <t>238-01</t>
  </si>
  <si>
    <t>243-01</t>
  </si>
  <si>
    <t>307-01</t>
  </si>
  <si>
    <t>242-01</t>
  </si>
  <si>
    <t>309-01</t>
  </si>
  <si>
    <t>244-01</t>
  </si>
  <si>
    <t>311-01</t>
  </si>
  <si>
    <t>SUR-02</t>
  </si>
  <si>
    <t>SUR</t>
  </si>
  <si>
    <t>JEREMY</t>
  </si>
  <si>
    <t>313-01</t>
  </si>
  <si>
    <t>204:480</t>
  </si>
  <si>
    <t>204:232981</t>
  </si>
  <si>
    <t>204:431</t>
  </si>
  <si>
    <t>204:232993</t>
  </si>
  <si>
    <t>204:444</t>
  </si>
  <si>
    <t>204:233299</t>
  </si>
  <si>
    <t>204:233308</t>
  </si>
  <si>
    <t>204:233023</t>
  </si>
  <si>
    <t>204:232996</t>
  </si>
  <si>
    <t>300:58672</t>
  </si>
  <si>
    <t>204:685</t>
  </si>
  <si>
    <t>300:58958</t>
  </si>
  <si>
    <t>204:1011</t>
  </si>
  <si>
    <t>rtdc.l.rtdc.4003:itc</t>
  </si>
  <si>
    <t>rtdc.l.rtdc.4004:itc</t>
  </si>
  <si>
    <t>242-03</t>
  </si>
  <si>
    <t>rtdc.l.rtdc.4011:itc</t>
  </si>
  <si>
    <t>ARVIDSON</t>
  </si>
  <si>
    <t>DANIEL</t>
  </si>
  <si>
    <t>rtdc.l.rtdc.4012:itc</t>
  </si>
  <si>
    <t>LALONDE</t>
  </si>
  <si>
    <t>GREGORY</t>
  </si>
  <si>
    <t>DAVIDSON</t>
  </si>
  <si>
    <t>DAVID</t>
  </si>
  <si>
    <t>MACDONALD</t>
  </si>
  <si>
    <t>BROWN</t>
  </si>
  <si>
    <t>JACOB</t>
  </si>
  <si>
    <t>BRUDER</t>
  </si>
  <si>
    <t>RICHARD</t>
  </si>
  <si>
    <t>BRANDNER</t>
  </si>
  <si>
    <t>MELINDA</t>
  </si>
  <si>
    <t>MCREYNOLDS</t>
  </si>
  <si>
    <t>KYLE</t>
  </si>
  <si>
    <t>PERKINS</t>
  </si>
  <si>
    <t>DARREN</t>
  </si>
  <si>
    <t>245-03</t>
  </si>
  <si>
    <t>307-03</t>
  </si>
  <si>
    <t>244-03</t>
  </si>
  <si>
    <t>309-03</t>
  </si>
  <si>
    <t>246-03</t>
  </si>
  <si>
    <t>311-03</t>
  </si>
  <si>
    <t>313-03</t>
  </si>
  <si>
    <t>300-04</t>
  </si>
  <si>
    <t>MAELZER</t>
  </si>
  <si>
    <t>KURT</t>
  </si>
  <si>
    <t>clear-day</t>
  </si>
  <si>
    <t>204:232991</t>
  </si>
  <si>
    <t>204:426</t>
  </si>
  <si>
    <t>204:232984</t>
  </si>
  <si>
    <t>204:233307</t>
  </si>
  <si>
    <t>204:233334</t>
  </si>
  <si>
    <t>204:232963</t>
  </si>
  <si>
    <t>204:233339</t>
  </si>
  <si>
    <t>204:233324</t>
  </si>
  <si>
    <t>204:233301</t>
  </si>
  <si>
    <t>204:1169</t>
  </si>
  <si>
    <t>204:486</t>
  </si>
  <si>
    <t>204:233310</t>
  </si>
  <si>
    <t>204:233302</t>
  </si>
  <si>
    <t>204:233311</t>
  </si>
  <si>
    <t>204:1009</t>
  </si>
  <si>
    <t>300:58950</t>
  </si>
  <si>
    <t>204:752</t>
  </si>
  <si>
    <t>204:705</t>
  </si>
  <si>
    <t>204:979</t>
  </si>
  <si>
    <t>300:58656</t>
  </si>
  <si>
    <t>300:58670</t>
  </si>
  <si>
    <t>204:981</t>
  </si>
  <si>
    <t>204:712</t>
  </si>
  <si>
    <t>204:233372</t>
  </si>
  <si>
    <t>204:233329</t>
  </si>
  <si>
    <t>204:482</t>
  </si>
  <si>
    <t>204:232972</t>
  </si>
  <si>
    <t>204:232969</t>
  </si>
  <si>
    <t>204:233359</t>
  </si>
  <si>
    <t>204:233011</t>
  </si>
  <si>
    <t>204:233325</t>
  </si>
  <si>
    <t>204:233009</t>
  </si>
  <si>
    <t>204:233025</t>
  </si>
  <si>
    <t>204:437</t>
  </si>
  <si>
    <t>204:233013</t>
  </si>
  <si>
    <t>204:129</t>
  </si>
  <si>
    <t>300:21884</t>
  </si>
  <si>
    <t>300:20000</t>
  </si>
  <si>
    <t>300:23308</t>
  </si>
  <si>
    <t>300:13416</t>
  </si>
  <si>
    <t>204:2419</t>
  </si>
  <si>
    <t>204:1154</t>
  </si>
  <si>
    <t>start /low /b %USERPROFILE%\Documents\GitHub\eaglep3\Utilities\DownloadLogsFromS3.py --loco 4007 --day 2017-06-04</t>
  </si>
  <si>
    <t>start /low /b %USERPROFILE%\Documents\GitHub\eaglep3\Utilities\DownloadLogsFromS3.py --loco 4025 --day 2017-06-04</t>
  </si>
  <si>
    <t>start /low /b %USERPROFILE%\Documents\GitHub\eaglep3\Utilities\DownloadLogsFromS3.py --loco 4050 --day 2017-06-04</t>
  </si>
  <si>
    <t>302-04</t>
  </si>
  <si>
    <t>106-04</t>
  </si>
  <si>
    <t>rtdc.l.rtdc.4055:itc</t>
  </si>
  <si>
    <t>312-04</t>
  </si>
  <si>
    <t>1802-04</t>
  </si>
  <si>
    <t>129-04</t>
  </si>
  <si>
    <t>rtdc.l.rtdc.4056:itc</t>
  </si>
  <si>
    <t>131-04</t>
  </si>
  <si>
    <t>147-04</t>
  </si>
  <si>
    <t>154-04</t>
  </si>
  <si>
    <t>169-04</t>
  </si>
  <si>
    <t>170-04</t>
  </si>
  <si>
    <t>173-04</t>
  </si>
  <si>
    <t>175-04</t>
  </si>
  <si>
    <t>172-04</t>
  </si>
  <si>
    <t>1817-04</t>
  </si>
  <si>
    <t>191-04</t>
  </si>
  <si>
    <t>1820-04</t>
  </si>
  <si>
    <t>51-04</t>
  </si>
  <si>
    <t>205-04</t>
  </si>
  <si>
    <t>1822-04</t>
  </si>
  <si>
    <t>202-04</t>
  </si>
  <si>
    <t>1823-04</t>
  </si>
  <si>
    <t>1824-04</t>
  </si>
  <si>
    <t>204-04</t>
  </si>
  <si>
    <t>211-04</t>
  </si>
  <si>
    <t>217-04</t>
  </si>
  <si>
    <t>1825-04</t>
  </si>
  <si>
    <t>208-04</t>
  </si>
  <si>
    <t>214-04</t>
  </si>
  <si>
    <t>221-04</t>
  </si>
  <si>
    <t>218-04</t>
  </si>
  <si>
    <t>222-04</t>
  </si>
  <si>
    <t>1831-04</t>
  </si>
  <si>
    <t>1832-04</t>
  </si>
  <si>
    <t>1833-04</t>
  </si>
  <si>
    <t>237-04</t>
  </si>
  <si>
    <t>238-04</t>
  </si>
  <si>
    <t>243-04</t>
  </si>
  <si>
    <t>105-04</t>
  </si>
  <si>
    <t>GRASTON</t>
  </si>
  <si>
    <t>MATHEU</t>
  </si>
  <si>
    <t>102-04</t>
  </si>
  <si>
    <t>306-04</t>
  </si>
  <si>
    <t>308-04</t>
  </si>
  <si>
    <t>104-04</t>
  </si>
  <si>
    <t>107-04</t>
  </si>
  <si>
    <t>109-04</t>
  </si>
  <si>
    <t>310-04</t>
  </si>
  <si>
    <t>111-04</t>
  </si>
  <si>
    <t>113-04</t>
  </si>
  <si>
    <t>108-04</t>
  </si>
  <si>
    <t>1901-04</t>
  </si>
  <si>
    <t>115-04</t>
  </si>
  <si>
    <t>1800-04</t>
  </si>
  <si>
    <t>110-04</t>
  </si>
  <si>
    <t>56-04</t>
  </si>
  <si>
    <t>112-04</t>
  </si>
  <si>
    <t>117-04</t>
  </si>
  <si>
    <t>119-04</t>
  </si>
  <si>
    <t>1801-04</t>
  </si>
  <si>
    <t>121-04</t>
  </si>
  <si>
    <t>114-04</t>
  </si>
  <si>
    <t>116-04</t>
  </si>
  <si>
    <t>123-04</t>
  </si>
  <si>
    <t>118-04</t>
  </si>
  <si>
    <t>125-04</t>
  </si>
  <si>
    <t>120-04</t>
  </si>
  <si>
    <t>122-04</t>
  </si>
  <si>
    <t>127-04</t>
  </si>
  <si>
    <t>1803-04</t>
  </si>
  <si>
    <t>124-04</t>
  </si>
  <si>
    <t>126-04</t>
  </si>
  <si>
    <t>1804-04</t>
  </si>
  <si>
    <t>133-04</t>
  </si>
  <si>
    <t>128-04</t>
  </si>
  <si>
    <t>135-04</t>
  </si>
  <si>
    <t>1805-04</t>
  </si>
  <si>
    <t>130-04</t>
  </si>
  <si>
    <t>137-04</t>
  </si>
  <si>
    <t>132-04</t>
  </si>
  <si>
    <t>139-04</t>
  </si>
  <si>
    <t>134-04</t>
  </si>
  <si>
    <t>1806-04</t>
  </si>
  <si>
    <t>136-04</t>
  </si>
  <si>
    <t>141-04</t>
  </si>
  <si>
    <t>143-04</t>
  </si>
  <si>
    <t>138-04</t>
  </si>
  <si>
    <t>1807-04</t>
  </si>
  <si>
    <t>145-04</t>
  </si>
  <si>
    <t>140-04</t>
  </si>
  <si>
    <t>142-04</t>
  </si>
  <si>
    <t>149-04</t>
  </si>
  <si>
    <t>1808-04</t>
  </si>
  <si>
    <t>144-04</t>
  </si>
  <si>
    <t>151-04</t>
  </si>
  <si>
    <t>1809-04</t>
  </si>
  <si>
    <t>146-04</t>
  </si>
  <si>
    <t>153-04</t>
  </si>
  <si>
    <t>54-04</t>
  </si>
  <si>
    <t>150-04</t>
  </si>
  <si>
    <t>148-04</t>
  </si>
  <si>
    <t>155-04</t>
  </si>
  <si>
    <t>1810-04</t>
  </si>
  <si>
    <t>152-04</t>
  </si>
  <si>
    <t>157-04</t>
  </si>
  <si>
    <t>159-04</t>
  </si>
  <si>
    <t>1811-04</t>
  </si>
  <si>
    <t>156-04</t>
  </si>
  <si>
    <t>161-04</t>
  </si>
  <si>
    <t>163-04</t>
  </si>
  <si>
    <t>158-04</t>
  </si>
  <si>
    <t>1812-04</t>
  </si>
  <si>
    <t>165-04</t>
  </si>
  <si>
    <t>160-04</t>
  </si>
  <si>
    <t>167-04</t>
  </si>
  <si>
    <t>1813-04</t>
  </si>
  <si>
    <t>162-04</t>
  </si>
  <si>
    <t>164-04</t>
  </si>
  <si>
    <t>171-04</t>
  </si>
  <si>
    <t>166-04</t>
  </si>
  <si>
    <t>50-04</t>
  </si>
  <si>
    <t>1814-04</t>
  </si>
  <si>
    <t>168-04</t>
  </si>
  <si>
    <t>1815-04</t>
  </si>
  <si>
    <t>177-04</t>
  </si>
  <si>
    <t>179-04</t>
  </si>
  <si>
    <t>174-04</t>
  </si>
  <si>
    <t>1816-04</t>
  </si>
  <si>
    <t>176-04</t>
  </si>
  <si>
    <t>181-04</t>
  </si>
  <si>
    <t>183-04</t>
  </si>
  <si>
    <t>178-04</t>
  </si>
  <si>
    <t>185-04</t>
  </si>
  <si>
    <t>180-04</t>
  </si>
  <si>
    <t>187-04</t>
  </si>
  <si>
    <t>182-04</t>
  </si>
  <si>
    <t>189-04</t>
  </si>
  <si>
    <t>1818-04</t>
  </si>
  <si>
    <t>184-04</t>
  </si>
  <si>
    <t>186-04</t>
  </si>
  <si>
    <t>193-04</t>
  </si>
  <si>
    <t>188-04</t>
  </si>
  <si>
    <t>1819-04</t>
  </si>
  <si>
    <t>195-04</t>
  </si>
  <si>
    <t>67-04</t>
  </si>
  <si>
    <t>197-04</t>
  </si>
  <si>
    <t>190-04</t>
  </si>
  <si>
    <t>192-04</t>
  </si>
  <si>
    <t>199-04</t>
  </si>
  <si>
    <t>194-04</t>
  </si>
  <si>
    <t>201-04</t>
  </si>
  <si>
    <t>1821-04</t>
  </si>
  <si>
    <t>196-04</t>
  </si>
  <si>
    <t>198-04</t>
  </si>
  <si>
    <t>203-04</t>
  </si>
  <si>
    <t>200-04</t>
  </si>
  <si>
    <t>207-04</t>
  </si>
  <si>
    <t>209-04</t>
  </si>
  <si>
    <t>rtdc.l.rtdc.4016:itc</t>
  </si>
  <si>
    <t>69-04</t>
  </si>
  <si>
    <t>206-04</t>
  </si>
  <si>
    <t>213-04</t>
  </si>
  <si>
    <t>215-04</t>
  </si>
  <si>
    <t>210-04</t>
  </si>
  <si>
    <t>212-04</t>
  </si>
  <si>
    <t>219-04</t>
  </si>
  <si>
    <t>1826-04</t>
  </si>
  <si>
    <t>301-04</t>
  </si>
  <si>
    <t>216-04</t>
  </si>
  <si>
    <t>303-04</t>
  </si>
  <si>
    <t>220-04</t>
  </si>
  <si>
    <t>1827-04</t>
  </si>
  <si>
    <t>223-04</t>
  </si>
  <si>
    <t>1828-04</t>
  </si>
  <si>
    <t>305-04</t>
  </si>
  <si>
    <t>225-04</t>
  </si>
  <si>
    <t>227-04</t>
  </si>
  <si>
    <t>HAITHCOX</t>
  </si>
  <si>
    <t>224-04</t>
  </si>
  <si>
    <t>1829-04</t>
  </si>
  <si>
    <t>229-04</t>
  </si>
  <si>
    <t>1830-04</t>
  </si>
  <si>
    <t>226-04</t>
  </si>
  <si>
    <t>228-04</t>
  </si>
  <si>
    <t>231-04</t>
  </si>
  <si>
    <t>233-04</t>
  </si>
  <si>
    <t>230-04</t>
  </si>
  <si>
    <t>232-04</t>
  </si>
  <si>
    <t>235-04</t>
  </si>
  <si>
    <t>1902-04</t>
  </si>
  <si>
    <t>234-04</t>
  </si>
  <si>
    <t>236-04</t>
  </si>
  <si>
    <t>239-04</t>
  </si>
  <si>
    <t>241-04</t>
  </si>
  <si>
    <t>240-04</t>
  </si>
  <si>
    <t>307-04</t>
  </si>
  <si>
    <t>242-04</t>
  </si>
  <si>
    <t>309-04</t>
  </si>
  <si>
    <t>244-04</t>
  </si>
  <si>
    <t>311-04</t>
  </si>
  <si>
    <t>50-05</t>
  </si>
  <si>
    <t>fog</t>
  </si>
  <si>
    <t>Foggy</t>
  </si>
  <si>
    <t>partly-cloudy-day</t>
  </si>
  <si>
    <t>Partly Cloudy</t>
  </si>
  <si>
    <t>204:232960</t>
  </si>
  <si>
    <t>204:232989</t>
  </si>
  <si>
    <t>204:233196</t>
  </si>
  <si>
    <t>204:232881</t>
  </si>
  <si>
    <t>204:233368</t>
  </si>
  <si>
    <t>204:233034</t>
  </si>
  <si>
    <t>204:440</t>
  </si>
  <si>
    <t>204:233230</t>
  </si>
  <si>
    <t>204:232942</t>
  </si>
  <si>
    <t>204:233343</t>
  </si>
  <si>
    <t>204:233019</t>
  </si>
  <si>
    <t>204:233036</t>
  </si>
  <si>
    <t>204:233363</t>
  </si>
  <si>
    <t>204:233053</t>
  </si>
  <si>
    <t>204:233374</t>
  </si>
  <si>
    <t>204:232986</t>
  </si>
  <si>
    <t>204:484</t>
  </si>
  <si>
    <t>204:435</t>
  </si>
  <si>
    <t>204:233338</t>
  </si>
  <si>
    <t>204:233336</t>
  </si>
  <si>
    <t>204:233364</t>
  </si>
  <si>
    <t>204:233030</t>
  </si>
  <si>
    <t>204:233268</t>
  </si>
  <si>
    <t>204:233017</t>
  </si>
  <si>
    <t>204:477</t>
  </si>
  <si>
    <t>204:233463</t>
  </si>
  <si>
    <t>204:233085</t>
  </si>
  <si>
    <t>204:233345</t>
  </si>
  <si>
    <t>204:233349</t>
  </si>
  <si>
    <t>204:233414</t>
  </si>
  <si>
    <t>204:233088</t>
  </si>
  <si>
    <t>204:233402</t>
  </si>
  <si>
    <t>204:233117</t>
  </si>
  <si>
    <t>300:58636</t>
  </si>
  <si>
    <t>204:698</t>
  </si>
  <si>
    <t>204:965</t>
  </si>
  <si>
    <t>300:58643</t>
  </si>
  <si>
    <t>204:706</t>
  </si>
  <si>
    <t>204:995</t>
  </si>
  <si>
    <t>300:58954</t>
  </si>
  <si>
    <t>300:58642</t>
  </si>
  <si>
    <t>204:703</t>
  </si>
  <si>
    <t>204:988</t>
  </si>
  <si>
    <t>300:58638</t>
  </si>
  <si>
    <t>204:689</t>
  </si>
  <si>
    <t>300:58969</t>
  </si>
  <si>
    <t>300:58649</t>
  </si>
  <si>
    <t>204:691</t>
  </si>
  <si>
    <t>204:993</t>
  </si>
  <si>
    <t>300:58632</t>
  </si>
  <si>
    <t>300:58647</t>
  </si>
  <si>
    <t>204:682</t>
  </si>
  <si>
    <t>204:976</t>
  </si>
  <si>
    <t>300:58980</t>
  </si>
  <si>
    <t>204:675</t>
  </si>
  <si>
    <t>204:950</t>
  </si>
  <si>
    <t>300:58993</t>
  </si>
  <si>
    <t>300:58675</t>
  </si>
  <si>
    <t>204:741</t>
  </si>
  <si>
    <t>204:1021</t>
  </si>
  <si>
    <t>300:58984</t>
  </si>
  <si>
    <t>204:743</t>
  </si>
  <si>
    <t>204:1039</t>
  </si>
  <si>
    <t>300:58982</t>
  </si>
  <si>
    <t>300:58664</t>
  </si>
  <si>
    <t>204:733</t>
  </si>
  <si>
    <t>204:1014</t>
  </si>
  <si>
    <t>300:58668</t>
  </si>
  <si>
    <t>204:1037</t>
  </si>
  <si>
    <t>300:58973</t>
  </si>
  <si>
    <t>204:719</t>
  </si>
  <si>
    <t>300:58658</t>
  </si>
  <si>
    <t>204:1006</t>
  </si>
  <si>
    <t>300:58975</t>
  </si>
  <si>
    <t>300:33049</t>
  </si>
  <si>
    <t>204:233370</t>
  </si>
  <si>
    <t>204:233049</t>
  </si>
  <si>
    <t>204:233342</t>
  </si>
  <si>
    <t>204:233027</t>
  </si>
  <si>
    <t>300:29680</t>
  </si>
  <si>
    <t>204:233391</t>
  </si>
  <si>
    <t>204:233115</t>
  </si>
  <si>
    <t>204:233320</t>
  </si>
  <si>
    <t>204:233383</t>
  </si>
  <si>
    <t>204:233100</t>
  </si>
  <si>
    <t>204:233378</t>
  </si>
  <si>
    <t>204:233070</t>
  </si>
  <si>
    <t>204:233055</t>
  </si>
  <si>
    <t>204:233423</t>
  </si>
  <si>
    <t>204:233134</t>
  </si>
  <si>
    <t>204:233172</t>
  </si>
  <si>
    <t>204:233144</t>
  </si>
  <si>
    <t>204:233416</t>
  </si>
  <si>
    <t>204:233111</t>
  </si>
  <si>
    <t>204:233453</t>
  </si>
  <si>
    <t>204:233108</t>
  </si>
  <si>
    <t>204:169</t>
  </si>
  <si>
    <t>204:232967</t>
  </si>
  <si>
    <t>204:233395</t>
  </si>
  <si>
    <t>204:233072</t>
  </si>
  <si>
    <t>204:427</t>
  </si>
  <si>
    <t>204:233439</t>
  </si>
  <si>
    <t>204:233126</t>
  </si>
  <si>
    <t>204:118</t>
  </si>
  <si>
    <t>204:233381</t>
  </si>
  <si>
    <t>204:233291</t>
  </si>
  <si>
    <t>204:439</t>
  </si>
  <si>
    <t>300:23297</t>
  </si>
  <si>
    <t>300:22355</t>
  </si>
  <si>
    <t>300:17389</t>
  </si>
  <si>
    <t>300:23316</t>
  </si>
  <si>
    <t>300:23368</t>
  </si>
  <si>
    <t>300:23650</t>
  </si>
  <si>
    <t>300:24029</t>
  </si>
  <si>
    <t>300:19194</t>
  </si>
  <si>
    <t>300:23474</t>
  </si>
  <si>
    <t>204:172</t>
  </si>
  <si>
    <t>204:3080</t>
  </si>
  <si>
    <t>204:1481</t>
  </si>
  <si>
    <t>204:3398</t>
  </si>
  <si>
    <t>300:23027</t>
  </si>
  <si>
    <t>204:887</t>
  </si>
  <si>
    <t>300:5319</t>
  </si>
  <si>
    <t>204:911</t>
  </si>
  <si>
    <t>204:1192</t>
  </si>
  <si>
    <t>300:5552</t>
  </si>
  <si>
    <t>300:22147</t>
  </si>
  <si>
    <t>300:25442</t>
  </si>
  <si>
    <t>300:22197</t>
  </si>
  <si>
    <t>204:1171</t>
  </si>
  <si>
    <t>300:23400</t>
  </si>
  <si>
    <t>300:14793</t>
  </si>
  <si>
    <t>300:15106</t>
  </si>
  <si>
    <t>300:24218</t>
  </si>
  <si>
    <t>204:1503</t>
  </si>
  <si>
    <t>300:23117</t>
  </si>
  <si>
    <t>start /low /b %USERPROFILE%\Documents\GitHub\eaglep3\Utilities\DownloadLogsFromS3.py --loco 4004 --day 2017-06-04</t>
  </si>
  <si>
    <t>start /low /b %USERPROFILE%\Documents\GitHub\eaglep3\Utilities\DownloadLogsFromS3.py --loco 4011 --day 2017-06-05</t>
  </si>
  <si>
    <t>start /low /b %USERPROFILE%\Documents\GitHub\eaglep3\Utilities\DownloadLogsFromS3.py --loco 4025 --day 2017-06-05</t>
  </si>
  <si>
    <t>start /low /b %USERPROFILE%\Documents\GitHub\eaglep3\Utilities\DownloadLogsFromS3.py --loco 4023 --day 2017-06-04</t>
  </si>
  <si>
    <t>start /low /b %USERPROFILE%\Documents\GitHub\eaglep3\Utilities\DownloadLogsFromS3.py --loco 4026 --day 2017-06-05</t>
  </si>
  <si>
    <t>start /low /b %USERPROFILE%\Documents\GitHub\eaglep3\Utilities\DownloadLogsFromS3.py --loco 4059 --day 2017-06-05</t>
  </si>
  <si>
    <t>start /low /b %USERPROFILE%\Documents\GitHub\eaglep3\Utilities\DownloadLogsFromS3.py --loco 4059 --day 2017-06-04</t>
  </si>
  <si>
    <t>start /low /b %USERPROFILE%\Documents\GitHub\eaglep3\Utilities\DownloadLogsFromS3.py --loco 4004 --day 2017-06-05</t>
  </si>
  <si>
    <t>start /low /b %USERPROFILE%\Documents\GitHub\eaglep3\Utilities\DownloadLogsFromS3.py --loco 4056 --day 2017-06-04</t>
  </si>
  <si>
    <t>start /low /b %USERPROFILE%\Documents\GitHub\eaglep3\Utilities\DownloadLogsFromS3.py --loco 4024 --day 2017-06-04</t>
  </si>
  <si>
    <t>start /low /b %USERPROFILE%\Documents\GitHub\eaglep3\Utilities\DownloadLogsFromS3.py --loco 4060 --day 2017-06-04</t>
  </si>
  <si>
    <t>start /low /b %USERPROFILE%\Documents\GitHub\eaglep3\Utilities\DownloadLogsFromS3.py --loco 4039 --day 2017-06-04</t>
  </si>
  <si>
    <t>start /low /b %USERPROFILE%\Documents\GitHub\eaglep3\Utilities\DownloadLogsFromS3.py --loco 4055 --day 2017-06-04</t>
  </si>
  <si>
    <t>start /low /b %USERPROFILE%\Documents\GitHub\eaglep3\Utilities\DownloadLogsFromS3.py --loco 4011 --day 2017-06-04</t>
  </si>
  <si>
    <t>start /low /b %USERPROFILE%\Documents\GitHub\eaglep3\Utilities\DownloadLogsFromS3.py --loco 4041 --day 2017-06-05</t>
  </si>
  <si>
    <t>start /low /b %USERPROFILE%\Documents\GitHub\eaglep3\Utilities\DownloadLogsFromS3.py --loco 4040 --day 2017-06-04</t>
  </si>
  <si>
    <t>start /low /b %USERPROFILE%\Documents\GitHub\eaglep3\Utilities\DownloadLogsFromS3.py --loco 4026 --day 2017-06-04</t>
  </si>
  <si>
    <t>start /low /b %USERPROFILE%\Documents\GitHub\eaglep3\Utilities\DownloadLogsFromS3.py --loco 4040 --day 2017-06-05</t>
  </si>
  <si>
    <t>start /low /b %USERPROFILE%\Documents\GitHub\eaglep3\Utilities\DownloadLogsFromS3.py --loco 4012 --day 2017-06-05</t>
  </si>
  <si>
    <t>start /low /b %USERPROFILE%\Documents\GitHub\eaglep3\Utilities\DownloadLogsFromS3.py --loco 4049 --day 2017-06-04</t>
  </si>
  <si>
    <t>start /low /b %USERPROFILE%\Documents\GitHub\eaglep3\Utilities\DownloadLogsFromS3.py --loco 4050 --day 2017-06-05</t>
  </si>
  <si>
    <t>start /low /b %USERPROFILE%\Documents\GitHub\eaglep3\Utilities\DownloadLogsFromS3.py --loco 4049 --day 2017-06-05</t>
  </si>
  <si>
    <t>Extended Wi-MAX data drop</t>
  </si>
  <si>
    <t>101-04</t>
  </si>
  <si>
    <t>No initialization attempted</t>
  </si>
  <si>
    <t>103-04</t>
  </si>
  <si>
    <t>Overspeed</t>
  </si>
  <si>
    <t>Banner without braking against SPEED RESTRICTION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</si>
</sst>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42890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42890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34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COUNTIFS($N$13:$N$9324,"&gt;0",$AG$13:$AG$9324,I1)</f>
        <v>141</v>
      </c>
      <c r="K5" s="39"/>
      <c r="L5" s="39"/>
      <c r="M5" s="40">
        <f>AVERAGEIFS($N$13:$N$9324,$AG$13:$AG$9324,I1)</f>
        <v>37.415248226755836</v>
      </c>
      <c r="N5" s="38">
        <f t="array" ref="N5">MIN(IF($AG$13:$AG$9324=I1,IF(ISNUMBER($N$13:$N$9324),IF($N$13:$N$9324&gt;0,$N$13:$N$9324))))</f>
        <v>34.099999997997656</v>
      </c>
      <c r="O5" s="3">
        <f t="array" ref="O5">MAX(IF($AG$13:$AG$9324=I1,IF(ISNUMBER($N$13:$N$9324),IF($N$13:$N$9324&gt;0,$N$13:$N$9324))))</f>
        <v>44.583333330228925</v>
      </c>
      <c r="P5" s="2"/>
      <c r="R5" s="169" t="s">
        <v>17</v>
      </c>
      <c r="S5" s="193">
        <f>COUNTIFS($N$13:$N$9324,"&gt;0",$AG$13:$AG$9324,R1)</f>
        <v>34</v>
      </c>
      <c r="T5" s="194"/>
      <c r="U5" s="194"/>
      <c r="V5" s="190">
        <f>AVERAGEIFS($N$13:$N$9324,$AG$13:$AG$9324,R1)</f>
        <v>15.40588235218927</v>
      </c>
      <c r="W5" s="191">
        <f t="array" ref="W5">MIN(IF($AG$13:$AG$9324=R1,IF(ISNUMBER($N$13:$N$9324),IF($N$13:$N$9324&gt;0,$N$13:$N$9324))))</f>
        <v>9.1833333321847022</v>
      </c>
      <c r="X5" s="192">
        <f t="array" ref="X5">MAX(IF($AG$13:$AG$9324=R1,IF(ISNUMBER($N$13:$N$9324),IF($N$13:$N$9324&gt;0,$N$13:$N$9324))))</f>
        <v>18.999999999068677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COUNT($O$13:$O$128)</f>
        <v>0</v>
      </c>
      <c r="K6" s="39"/>
      <c r="L6" s="39"/>
      <c r="M6" s="40">
        <f>IFERROR(AVERAGE($O$13:$O$128),0)</f>
        <v>0</v>
      </c>
      <c r="N6" s="38">
        <f>MIN($O$13:$O$128)</f>
        <v>0</v>
      </c>
      <c r="O6" s="3">
        <f>MAX($O$13:$O$128)</f>
        <v>0</v>
      </c>
      <c r="P6" s="2"/>
      <c r="R6" s="170" t="s">
        <v>43</v>
      </c>
      <c r="S6" s="193">
        <f>COUNT($O$13:$O$128)</f>
        <v>0</v>
      </c>
      <c r="T6" s="194"/>
      <c r="U6" s="194"/>
      <c r="V6" s="190">
        <f>IFERROR(AVERAGE($O$13:$O$128),0)</f>
        <v>0</v>
      </c>
      <c r="W6" s="191">
        <f>MIN($O$13:$O$128)</f>
        <v>0</v>
      </c>
      <c r="X6" s="192">
        <f>MAX($O$13:$O$128)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COUNTIFS($P$13:$P$9324,"&gt;0",$AG$13:$AG$9324,I1)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COUNTIFS($P$13:$P$9324,"&gt;0",$AG$13:$AG$9324,R1)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37.415248226755836</v>
      </c>
      <c r="N8" s="38">
        <f>N5</f>
        <v>34.099999997997656</v>
      </c>
      <c r="O8" s="3">
        <f>O5</f>
        <v>44.583333330228925</v>
      </c>
      <c r="P8" s="2"/>
      <c r="R8" s="169" t="s">
        <v>16</v>
      </c>
      <c r="S8" s="193">
        <f>S5</f>
        <v>34</v>
      </c>
      <c r="T8" s="194"/>
      <c r="U8" s="194"/>
      <c r="V8" s="190">
        <f>V5</f>
        <v>15.40588235218927</v>
      </c>
      <c r="W8" s="191">
        <f>W5</f>
        <v>9.1833333321847022</v>
      </c>
      <c r="X8" s="192">
        <f>X5</f>
        <v>18.999999999068677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- 2017-06-04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AVERAGE(S13:S102)</f>
        <v>0.97777777777777775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1012</v>
      </c>
      <c r="B13" s="7">
        <v>4012</v>
      </c>
      <c r="C13" s="21" t="s">
        <v>204</v>
      </c>
      <c r="D13" s="21" t="s">
        <v>636</v>
      </c>
      <c r="E13" s="13">
        <v>42890.170659722222</v>
      </c>
      <c r="F13" s="13">
        <v>42890.131249999999</v>
      </c>
      <c r="G13" s="7">
        <v>1</v>
      </c>
      <c r="H13" s="21" t="s">
        <v>354</v>
      </c>
      <c r="I13" s="13">
        <v>42890.131944444445</v>
      </c>
      <c r="J13" s="7">
        <v>0</v>
      </c>
      <c r="K13" s="92" t="str">
        <f t="shared" ref="K13:K76" si="0">IF(ISEVEN(B13),(B13-1)&amp;"/"&amp;B13,B13&amp;"/"&amp;(B13+1))</f>
        <v>4011/4012</v>
      </c>
      <c r="L13" s="21" t="e">
        <f>VLOOKUP(A13,'Trips&amp;Operators'!$C$1:$G$99999,5,FALSE)</f>
        <v>#N/A</v>
      </c>
      <c r="M13" s="6">
        <f t="shared" ref="M13:M76" si="1">I13-F13</f>
        <v>6.944444467080757E-4</v>
      </c>
      <c r="N13" s="7"/>
      <c r="O13" s="7"/>
      <c r="P13" s="7">
        <f>24*60*SUM($M13:$M13)</f>
        <v>1.000000003259629</v>
      </c>
      <c r="Q13" s="22"/>
      <c r="R13" s="173" t="s">
        <v>1013</v>
      </c>
      <c r="S13" s="176">
        <f t="shared" ref="S13:S76" si="2">SUM(U13:U13)/IF(AG13="EC",12,1)</f>
        <v>0</v>
      </c>
      <c r="T13" s="202" t="str">
        <f t="shared" ref="T13:T76" si="3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03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-04T03:05:45-0600',mode:absolute,to:'2017-06-04T04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204" t="str">
        <f t="shared" ref="W13:W76" si="5">IF(AA13&lt;IF(AG13="EC",23,5.65),"Y","N")</f>
        <v>N</v>
      </c>
      <c r="X13" s="204" t="e">
        <f>VALUE(LEFT(AD13,4))-VALUE(LEFT(AD12,4))</f>
        <v>#VALUE!</v>
      </c>
      <c r="Y13" s="204">
        <f t="shared" ref="Y13:Y76" si="6">RIGHT(D13,LEN(D13)-4)/10000</f>
        <v>23.301300000000001</v>
      </c>
      <c r="Z13" s="204">
        <f t="shared" ref="Z13:Z76" si="7">RIGHT(H13,LEN(H13)-4)/10000</f>
        <v>1.43E-2</v>
      </c>
      <c r="AA13" s="204">
        <f t="shared" ref="AA13:AA76" si="8">ABS(Z13-Y13)</f>
        <v>23.287000000000003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9">IF(LEN(A13)=6,"0"&amp;A13,A13)</f>
        <v>0101-04</v>
      </c>
      <c r="AE13" s="80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13" s="77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/stypes="app*4012*20170604*"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1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4012 --swversion DE.1.0.9.0 --startMP 204:233013 --initTime 2017-06-04T04:05:45 --startdatetime 2017-06-04T03:09:00 --delay 1 --endMP 204:143 --enddatetime 2017-06-04T03:10:00 --enforcementcount 0 &gt;&gt;C:\Users\stu\Documents\GitHub\eaglep3-reporting\EC\2017-06-04-refined-times.txt</v>
      </c>
      <c r="AI13" s="9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{"issue":{"subject":"No initialization attempted","project_id":79,"tracker_id":40,"status_id":1,"priority_id":2,"assigned_to_id":23,"start_date":"2017-06-04","description":"","custom_fields":[{"id":1,"name":"Subdivision","value":"EC"},{"id":4,"name":"Milepost","value":"0.0143"},{"id":17,"name":"Train ID","value":"101-04"},{"id":16,"name":"Locomotive ID","value":"4012"},{"id":130,"name":"Impact","value":""},{"id":150,"name":"Time of Event (Mountain Time)","value":"03:10:00"},{"id":151,"name":"Denver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5">"start /low /b "&amp;dls3logs&amp;" --loco "&amp;B13&amp;" --day "&amp;TEXT(F13,"YYYY-MM-DD")</f>
        <v>start /low /b %USERPROFILE%\Documents\GitHub\eaglep3\Utilities\DownloadLogsFromS3.py --loco 4012 --day 2017-06-04</v>
      </c>
      <c r="AN13" s="154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initialization attempted","project_id":30,"tracker_id":4,"status_id":1,"priority_id":1,"assigned_to_id":10,"start_date":"2017-06-04","description":"","custom_fields":[{"id":30,"name":"Category","value":"Issue"},{"id":3,"name":"Functional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09:10:00"},{"id":29,"name":"Sharepoint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689</v>
      </c>
      <c r="B14" s="7">
        <v>4011</v>
      </c>
      <c r="C14" s="21" t="s">
        <v>204</v>
      </c>
      <c r="D14" s="21" t="s">
        <v>636</v>
      </c>
      <c r="E14" s="13">
        <v>42890.170659722222</v>
      </c>
      <c r="F14" s="13">
        <v>42890.175219907411</v>
      </c>
      <c r="G14" s="7">
        <v>1</v>
      </c>
      <c r="H14" s="21" t="s">
        <v>354</v>
      </c>
      <c r="I14" s="13">
        <v>42890.202037037037</v>
      </c>
      <c r="J14" s="7">
        <v>0</v>
      </c>
      <c r="K14" s="92" t="str">
        <f t="shared" si="0"/>
        <v>4011/4012</v>
      </c>
      <c r="L14" s="21" t="str">
        <f>VLOOKUP(A14,'Trips&amp;Operators'!$C$1:$G$99999,5,FALSE)</f>
        <v>MAELZER KURT</v>
      </c>
      <c r="M14" s="6">
        <f t="shared" si="1"/>
        <v>2.6817129626579117E-2</v>
      </c>
      <c r="N14" s="7">
        <f>24*60*SUM($M14:$M14)</f>
        <v>38.616666662273929</v>
      </c>
      <c r="O14" s="7"/>
      <c r="P14" s="7"/>
      <c r="Q14" s="22"/>
      <c r="R14" s="173"/>
      <c r="S14" s="176">
        <f t="shared" si="2"/>
        <v>1</v>
      </c>
      <c r="T14" s="202" t="str">
        <f t="shared" si="3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4"/>
        <v>https://d0f6bd738d7f1b3e5a7ca70fe4ff75f0.us-east-1.aws.found.io/app/kibana#/discover/Steve-Slow-Train-Analysis-(2080s-and-2083s)?_g=(refreshInterval:(display:Off,pause:!f,section:0,value:0),time:(from:'2017-06-04T03:05:45-0600',mode:absolute,to:'2017-06-04T05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204" t="str">
        <f t="shared" si="5"/>
        <v>N</v>
      </c>
      <c r="X14" s="204">
        <f>VALUE(LEFT(AD14,4))-VALUE(LEFT(AD13,4))</f>
        <v>1</v>
      </c>
      <c r="Y14" s="204">
        <f t="shared" si="6"/>
        <v>23.301300000000001</v>
      </c>
      <c r="Z14" s="204">
        <f t="shared" si="7"/>
        <v>1.43E-2</v>
      </c>
      <c r="AA14" s="204">
        <f t="shared" si="8"/>
        <v>23.287000000000003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9"/>
        <v>0102-04</v>
      </c>
      <c r="AE14" s="80" t="str">
        <f t="shared" si="10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14" s="77" t="str">
        <f t="shared" si="11"/>
        <v>"C:\Program Files (x86)\AstroGrep\AstroGrep.exe" /e /r /s /spath="%USERPROFILE%\AppData\Local\Temp\OnboardLogs" /stypes="app*4011*20170604*" /stext=" 10:.+((SYSTEM_STATE.+slice.+state.+changed )|(ment ac)|(multiple cpu faults)|(system.+state.+changed )|(\[timeout)|(PRM\|1\|D)|(kpr)|(kdp)|(train st.+moving)|(\|lc)|(penalty))"</v>
      </c>
      <c r="AG14" s="1" t="str">
        <f t="shared" si="12"/>
        <v>EC</v>
      </c>
      <c r="AH14" s="81" t="str">
        <f t="shared" ref="AH1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4011 --swversion DE.1.0.9.0 --startMP 204:233013 --initTime 2017-06-04T04:05:45 --startdatetime 2017-06-04T04:12:19 --delay 1 --endMP 204:143 --enddatetime 2017-06-04T04:50:56 --enforcementcount 0 &gt;&gt;C:\Users\stu\Documents\GitHub\eaglep3-reporting\EC\2017-06-04-refined-times.txt</v>
      </c>
      <c r="AI14" s="99" t="str">
        <f t="shared" ref="AI1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{"issue":{"subject":"","project_id":79,"tracker_id":40,"status_id":1,"priority_id":2,"assigned_to_id":23,"start_date":"2017-06-04","description":"","custom_fields":[{"id":1,"name":"Subdivision","value":"EC"},{"id":4,"name":"Milepost","value":"0.0143"},{"id":17,"name":"Train ID","value":"102-04"},{"id":16,"name":"Locomotive ID","value":"4011"},{"id":130,"name":"Impact","value":""},{"id":150,"name":"Time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" si="19">"start /low /b "&amp;dls3logs&amp;" --loco "&amp;B14&amp;" --day "&amp;TEXT(F14,"YYYY-MM-DD")</f>
        <v>start /low /b %USERPROFILE%\Documents\GitHub\eaglep3\Utilities\DownloadLogsFromS3.py --loco 4011 --day 2017-06-04</v>
      </c>
      <c r="AN14" s="154" t="str">
        <f t="shared" ref="AN14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1014</v>
      </c>
      <c r="B15" s="7">
        <v>4060</v>
      </c>
      <c r="C15" s="21" t="s">
        <v>204</v>
      </c>
      <c r="D15" s="21" t="s">
        <v>636</v>
      </c>
      <c r="E15" s="13">
        <v>42890.170659722222</v>
      </c>
      <c r="F15" s="13">
        <v>42890.15625</v>
      </c>
      <c r="G15" s="7">
        <v>1</v>
      </c>
      <c r="H15" s="21" t="s">
        <v>354</v>
      </c>
      <c r="I15" s="13">
        <v>42890.156944444447</v>
      </c>
      <c r="J15" s="7">
        <v>0</v>
      </c>
      <c r="K15" s="92" t="str">
        <f t="shared" si="0"/>
        <v>4059/4060</v>
      </c>
      <c r="L15" s="21" t="e">
        <f>VLOOKUP(A15,'Trips&amp;Operators'!$C$1:$G$99999,5,FALSE)</f>
        <v>#N/A</v>
      </c>
      <c r="M15" s="6">
        <f t="shared" si="1"/>
        <v>6.944444467080757E-4</v>
      </c>
      <c r="N15" s="7"/>
      <c r="O15" s="7"/>
      <c r="P15" s="7">
        <f>24*60*SUM($M15:$M15)</f>
        <v>1.000000003259629</v>
      </c>
      <c r="Q15" s="22"/>
      <c r="R15" s="173" t="s">
        <v>1013</v>
      </c>
      <c r="S15" s="176">
        <f t="shared" si="2"/>
        <v>0</v>
      </c>
      <c r="T15" s="202" t="str">
        <f t="shared" si="3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03" t="str">
        <f t="shared" si="4"/>
        <v>https://d0f6bd738d7f1b3e5a7ca70fe4ff75f0.us-east-1.aws.found.io/app/kibana#/discover/Steve-Slow-Train-Analysis-(2080s-and-2083s)?_g=(refreshInterval:(display:Off,pause:!f,section:0,value:0),time:(from:'2017-06-04T03:05:45-0600',mode:absolute,to:'2017-06-04T04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204" t="str">
        <f t="shared" si="5"/>
        <v>N</v>
      </c>
      <c r="X15" s="204">
        <f t="shared" ref="X15:X17" si="21">VALUE(LEFT(AD15,4))-VALUE(LEFT(AD14,4))</f>
        <v>1</v>
      </c>
      <c r="Y15" s="204">
        <f t="shared" si="6"/>
        <v>23.301300000000001</v>
      </c>
      <c r="Z15" s="204">
        <f t="shared" si="7"/>
        <v>1.43E-2</v>
      </c>
      <c r="AA15" s="204">
        <f t="shared" si="8"/>
        <v>23.287000000000003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9"/>
        <v>0103-04</v>
      </c>
      <c r="AE15" s="80" t="str">
        <f t="shared" si="10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15" s="77" t="str">
        <f t="shared" si="11"/>
        <v>"C:\Program Files (x86)\AstroGrep\AstroGrep.exe" /e /r /s /spath="%USERPROFILE%\AppData\Local\Temp\OnboardLogs" /stypes="app*4060*20170604*" /stext=" 09:.+((SYSTEM_STATE.+slice.+state.+changed )|(ment ac)|(multiple cpu faults)|(system.+state.+changed )|(\[timeout)|(PRM\|1\|D)|(kpr)|(kdp)|(train st.+moving)|(\|lc)|(penalty))"</v>
      </c>
      <c r="AG15" s="1" t="str">
        <f t="shared" si="12"/>
        <v>EC</v>
      </c>
      <c r="AH15" s="81" t="str">
        <f t="shared" ref="AH15" si="22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103-04 --locoid 4060 --swversion DE.1.0.9.0 --startMP 204:233013 --initTime 2017-06-04T04:05:45 --startdatetime 2017-06-04T03:45:00 --delay 1 --endMP 204:143 --enddatetime 2017-06-04T03:46:00 --enforcementcount 0 &gt;&gt;C:\Users\stu\Documents\GitHub\eaglep3-reporting\EC\2017-06-04-refined-times.txt</v>
      </c>
      <c r="AI15" s="99" t="str">
        <f t="shared" ref="AI15" si="23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{"issue":{"subject":"No initialization attempted","project_id":79,"tracker_id":40,"status_id":1,"priority_id":2,"assigned_to_id":23,"start_date":"2017-06-04","description":"","custom_fields":[{"id":1,"name":"Subdivision","value":"EC"},{"id":4,"name":"Milepost","value":"0.0143"},{"id":17,"name":"Train ID","value":"103-04"},{"id":16,"name":"Locomotive ID","value":"4060"},{"id":130,"name":"Impact","value":""},{"id":150,"name":"Time of Event (Mountain Time)","value":"03:46:00"},{"id":151,"name":"Denver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ref="AM15" si="24">"start /low /b "&amp;dls3logs&amp;" --loco "&amp;B15&amp;" --day "&amp;TEXT(F15,"YYYY-MM-DD")</f>
        <v>start /low /b %USERPROFILE%\Documents\GitHub\eaglep3\Utilities\DownloadLogsFromS3.py --loco 4060 --day 2017-06-04</v>
      </c>
      <c r="AN15" s="154" t="str">
        <f t="shared" ref="AN15" si="25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initialization attempted","project_id":30,"tracker_id":4,"status_id":1,"priority_id":1,"assigned_to_id":10,"start_date":"2017-06-04","description":"","custom_fields":[{"id":30,"name":"Category","value":"Issue"},{"id":3,"name":"Functional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09:46:00"},{"id":29,"name":"Sharepoint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2" t="s">
        <v>692</v>
      </c>
      <c r="B16" s="7">
        <v>4059</v>
      </c>
      <c r="C16" s="21" t="s">
        <v>204</v>
      </c>
      <c r="D16" s="21" t="s">
        <v>438</v>
      </c>
      <c r="E16" s="13">
        <v>42890.185474537036</v>
      </c>
      <c r="F16" s="13">
        <v>42890.196099537039</v>
      </c>
      <c r="G16" s="7">
        <v>1</v>
      </c>
      <c r="H16" s="21" t="s">
        <v>511</v>
      </c>
      <c r="I16" s="13">
        <v>42890.224907407406</v>
      </c>
      <c r="J16" s="7">
        <v>0</v>
      </c>
      <c r="K16" s="92" t="str">
        <f t="shared" si="0"/>
        <v>4059/4060</v>
      </c>
      <c r="L16" s="21" t="str">
        <f>VLOOKUP(A16,'Trips&amp;Operators'!$C$1:$G$99999,5,FALSE)</f>
        <v>WILLIAMS DONTE</v>
      </c>
      <c r="M16" s="6">
        <f t="shared" si="1"/>
        <v>2.880787036701804E-2</v>
      </c>
      <c r="N16" s="7">
        <f t="shared" ref="N16:N47" si="26">24*60*SUM($M16:$M16)</f>
        <v>41.483333328505978</v>
      </c>
      <c r="O16" s="7"/>
      <c r="P16" s="7"/>
      <c r="Q16" s="22"/>
      <c r="R16" s="173"/>
      <c r="S16" s="176">
        <f t="shared" si="2"/>
        <v>1</v>
      </c>
      <c r="T16" s="202" t="str">
        <f t="shared" si="3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4"/>
        <v>https://d0f6bd738d7f1b3e5a7ca70fe4ff75f0.us-east-1.aws.found.io/app/kibana#/discover/Steve-Slow-Train-Analysis-(2080s-and-2083s)?_g=(refreshInterval:(display:Off,pause:!f,section:0,value:0),time:(from:'2017-06-04T03:27:05-0600',mode:absolute,to:'2017-06-04T06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204" t="str">
        <f t="shared" si="5"/>
        <v>N</v>
      </c>
      <c r="X16" s="204">
        <f t="shared" si="21"/>
        <v>1</v>
      </c>
      <c r="Y16" s="204">
        <f t="shared" si="6"/>
        <v>23.297999999999998</v>
      </c>
      <c r="Z16" s="204">
        <f t="shared" si="7"/>
        <v>1.6500000000000001E-2</v>
      </c>
      <c r="AA16" s="204">
        <f t="shared" si="8"/>
        <v>23.281499999999998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9"/>
        <v>0104-04</v>
      </c>
      <c r="AE16" s="80" t="str">
        <f t="shared" si="10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16" s="77" t="str">
        <f t="shared" si="11"/>
        <v>"C:\Program Files (x86)\AstroGrep\AstroGrep.exe" /e /r /s /spath="%USERPROFILE%\AppData\Local\Temp\OnboardLogs" /stypes="app*4059*20170604*" /stext=" 11:.+((SYSTEM_STATE.+slice.+state.+changed )|(ment ac)|(multiple cpu faults)|(system.+state.+changed )|(\[timeout)|(PRM\|1\|D)|(kpr)|(kdp)|(train st.+moving)|(\|lc)|(penalty))"</v>
      </c>
      <c r="AG16" s="1" t="str">
        <f t="shared" si="12"/>
        <v>EC</v>
      </c>
      <c r="AH16" s="81" t="str">
        <f t="shared" ref="AH16:AH79" si="27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104-04 --locoid 4059 --swversion DE.1.0.9.0 --startMP 204:232980 --initTime 2017-06-04T04:27:05 --startdatetime 2017-06-04T04:42:23 --delay 1 --endMP 204:165 --enddatetime 2017-06-04T05:23:52 --enforcementcount 0 &gt;&gt;C:\Users\stu\Documents\GitHub\eaglep3-reporting\EC\2017-06-04-refined-times.txt</v>
      </c>
      <c r="AI16" s="99" t="str">
        <f t="shared" ref="AI16:AI79" si="28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{"issue":{"subject":"","project_id":79,"tracker_id":40,"status_id":1,"priority_id":2,"assigned_to_id":23,"start_date":"2017-06-04","description":"","custom_fields":[{"id":1,"name":"Subdivision","value":"EC"},{"id":4,"name":"Milepost","value":"0.0165"},{"id":17,"name":"Train ID","value":"104-04"},{"id":16,"name":"Locomotive ID","value":"4059"},{"id":130,"name":"Impact","value":""},{"id":150,"name":"Time of Event (Mountain Time)","value":"05:23:52"},{"id":151,"name":"Denver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ref="AM16:AM79" si="29">"start /low /b "&amp;dls3logs&amp;" --loco "&amp;B16&amp;" --day "&amp;TEXT(F16,"YYYY-MM-DD")</f>
        <v>start /low /b %USERPROFILE%\Documents\GitHub\eaglep3\Utilities\DownloadLogsFromS3.py --loco 4059 --day 2017-06-04</v>
      </c>
      <c r="AN16" s="154" t="str">
        <f t="shared" ref="AN16:AN79" si="30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686</v>
      </c>
      <c r="B17" s="7">
        <v>4024</v>
      </c>
      <c r="C17" s="21" t="s">
        <v>204</v>
      </c>
      <c r="D17" s="21" t="s">
        <v>612</v>
      </c>
      <c r="E17" s="13">
        <v>42890.16909722222</v>
      </c>
      <c r="F17" s="13">
        <v>42890.177303240744</v>
      </c>
      <c r="G17" s="7">
        <v>1</v>
      </c>
      <c r="H17" s="21" t="s">
        <v>398</v>
      </c>
      <c r="I17" s="13">
        <v>42890.202743055554</v>
      </c>
      <c r="J17" s="7">
        <v>0</v>
      </c>
      <c r="K17" s="92" t="str">
        <f t="shared" si="0"/>
        <v>4023/4024</v>
      </c>
      <c r="L17" s="21" t="str">
        <f>VLOOKUP(A17,'Trips&amp;Operators'!$C$1:$G$99999,5,FALSE)</f>
        <v>GRASTON MATHEU</v>
      </c>
      <c r="M17" s="6">
        <f t="shared" si="1"/>
        <v>2.5439814809942618E-2</v>
      </c>
      <c r="N17" s="7">
        <f t="shared" si="26"/>
        <v>36.63333332631737</v>
      </c>
      <c r="O17" s="7"/>
      <c r="P17" s="7"/>
      <c r="Q17" s="22"/>
      <c r="R17" s="173"/>
      <c r="S17" s="176">
        <f t="shared" si="2"/>
        <v>1</v>
      </c>
      <c r="T17" s="202" t="str">
        <f t="shared" si="3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4"/>
        <v>https://d0f6bd738d7f1b3e5a7ca70fe4ff75f0.us-east-1.aws.found.io/app/kibana#/discover/Steve-Slow-Train-Analysis-(2080s-and-2083s)?_g=(refreshInterval:(display:Off,pause:!f,section:0,value:0),time:(from:'2017-06-04T03:03:30-0600',mode:absolute,to:'2017-06-04T05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204" t="str">
        <f t="shared" si="5"/>
        <v>N</v>
      </c>
      <c r="X17" s="204">
        <f t="shared" si="21"/>
        <v>1</v>
      </c>
      <c r="Y17" s="204">
        <f t="shared" si="6"/>
        <v>4.8599999999999997E-2</v>
      </c>
      <c r="Z17" s="204">
        <f t="shared" si="7"/>
        <v>23.3293</v>
      </c>
      <c r="AA17" s="204">
        <f t="shared" si="8"/>
        <v>23.2807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9"/>
        <v>0105-04</v>
      </c>
      <c r="AE17" s="80" t="str">
        <f t="shared" si="10"/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AF17" s="77" t="str">
        <f t="shared" si="11"/>
        <v>"C:\Program Files (x86)\AstroGrep\AstroGrep.exe" /e /r /s /spath="%USERPROFILE%\AppData\Local\Temp\OnboardLogs" /stypes="app*4024*20170604*" /stext=" 10:.+((SYSTEM_STATE.+slice.+state.+changed )|(ment ac)|(multiple cpu faults)|(system.+state.+changed )|(\[timeout)|(PRM\|1\|D)|(kpr)|(kdp)|(train st.+moving)|(\|lc)|(penalty))"</v>
      </c>
      <c r="AG17" s="1" t="str">
        <f t="shared" si="12"/>
        <v>EC</v>
      </c>
      <c r="AH17" s="81" t="str">
        <f t="shared" si="27"/>
        <v>"%USERPROFILE%\Documents\GitHub\eaglep3\Utilities\RefineRTDCRunTimes.py" --tripid 105-04 --locoid 4024 --swversion DE.1.0.9.0 --startMP 204:486 --initTime 2017-06-04T04:03:30 --startdatetime 2017-06-04T04:15:19 --delay 1 --endMP 204:233293 --enddatetime 2017-06-04T04:51:57 --enforcementcount 0 &gt;&gt;C:\Users\stu\Documents\GitHub\eaglep3-reporting\EC\2017-06-04-refined-times.txt</v>
      </c>
      <c r="AI1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{"issue":{"subject":"","project_id":79,"tracker_id":40,"status_id":1,"priority_id":2,"assigned_to_id":23,"start_date":"2017-06-04","description":"","custom_fields":[{"id":1,"name":"Subdivision","value":"EC"},{"id":4,"name":"Milepost","value":"23.3293"},{"id":17,"name":"Train ID","value":"105-04"},{"id":16,"name":"Locomotive ID","value":"4024"},{"id":130,"name":"Impact","value":""},{"id":150,"name":"Time of Event (Mountain Time)","value":"04:51:57"},{"id":151,"name":"Denver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9"/>
        <v>start /low /b %USERPROFILE%\Documents\GitHub\eaglep3\Utilities\DownloadLogsFromS3.py --loco 4024 --day 2017-06-04</v>
      </c>
      <c r="AN1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648</v>
      </c>
      <c r="B18" s="7">
        <v>4023</v>
      </c>
      <c r="C18" s="21" t="s">
        <v>204</v>
      </c>
      <c r="D18" s="21" t="s">
        <v>853</v>
      </c>
      <c r="E18" s="13">
        <v>42890.21</v>
      </c>
      <c r="F18" s="13">
        <v>42890.216886574075</v>
      </c>
      <c r="G18" s="7">
        <v>1</v>
      </c>
      <c r="H18" s="21" t="s">
        <v>350</v>
      </c>
      <c r="I18" s="13">
        <v>42890.243310185186</v>
      </c>
      <c r="J18" s="7">
        <v>0</v>
      </c>
      <c r="K18" s="92" t="str">
        <f t="shared" si="0"/>
        <v>4023/4024</v>
      </c>
      <c r="L18" s="21" t="str">
        <f>VLOOKUP(A18,'Trips&amp;Operators'!$C$1:$G$99999,5,FALSE)</f>
        <v>GRASTON MATHEU</v>
      </c>
      <c r="M18" s="6">
        <f t="shared" si="1"/>
        <v>2.6423611110658385E-2</v>
      </c>
      <c r="N18" s="7">
        <f t="shared" si="26"/>
        <v>38.049999999348074</v>
      </c>
      <c r="O18" s="7"/>
      <c r="P18" s="7"/>
      <c r="Q18" s="22"/>
      <c r="R18" s="173"/>
      <c r="S18" s="176">
        <f t="shared" si="2"/>
        <v>1</v>
      </c>
      <c r="T18" s="202" t="str">
        <f t="shared" si="3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4"/>
        <v>https://d0f6bd738d7f1b3e5a7ca70fe4ff75f0.us-east-1.aws.found.io/app/kibana#/discover/Steve-Slow-Train-Analysis-(2080s-and-2083s)?_g=(refreshInterval:(display:Off,pause:!f,section:0,value:0),time:(from:'2017-06-04T04:02:24-0600',mode:absolute,to:'2017-06-04T06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" s="204" t="str">
        <f t="shared" si="5"/>
        <v>N</v>
      </c>
      <c r="X18" s="204">
        <f t="shared" ref="X18:X49" si="31">VALUE(LEFT(AD18,4))-VALUE(LEFT(AD17,4))</f>
        <v>1</v>
      </c>
      <c r="Y18" s="204">
        <f t="shared" si="6"/>
        <v>23.295999999999999</v>
      </c>
      <c r="Z18" s="204">
        <f t="shared" si="7"/>
        <v>1.6E-2</v>
      </c>
      <c r="AA18" s="204">
        <f t="shared" si="8"/>
        <v>23.28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 t="shared" si="9"/>
        <v>0106-04</v>
      </c>
      <c r="AE18" s="80" t="str">
        <f t="shared" si="10"/>
        <v>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 &amp; aws s3 cp s3://rtdc.mdm.uploadarchive.raw/RTDC4023/ "%USERPROFILE%\AppData\Local\Temp\OnboardLogs"\RTDC4023\2017-06-05 --exclude "*" --recursive --include "*20170605*" &amp; "%USERPROFILE%\Documents\GitHub\mrs-test-scripts\Headless Mode &amp; Sideloading\WalkAndUnGZ.bat" "%USERPROFILE%\AppData\Local\Temp\OnboardLogs"\RTDC4023\2017-06-05</v>
      </c>
      <c r="AF18" s="77" t="str">
        <f t="shared" si="11"/>
        <v>"C:\Program Files (x86)\AstroGrep\AstroGrep.exe" /e /r /s /spath="%USERPROFILE%\AppData\Local\Temp\OnboardLogs" /stypes="app*4023*20170604*" /stext=" 11:.+((SYSTEM_STATE.+slice.+state.+changed )|(ment ac)|(multiple cpu faults)|(system.+state.+changed )|(\[timeout)|(PRM\|1\|D)|(kpr)|(kdp)|(train st.+moving)|(\|lc)|(penalty))"</v>
      </c>
      <c r="AG18" s="1" t="str">
        <f t="shared" si="12"/>
        <v>EC</v>
      </c>
      <c r="AH18" s="81" t="str">
        <f t="shared" si="27"/>
        <v>"%USERPROFILE%\Documents\GitHub\eaglep3\Utilities\RefineRTDCRunTimes.py" --tripid 106-04 --locoid 4023 --swversion DE.1.0.9.0 --startMP 204:232960 --initTime 2017-06-04T05:02:24 --startdatetime 2017-06-04T05:12:19 --delay 1 --endMP 204:160 --enddatetime 2017-06-04T05:50:22 --enforcementcount 0 &gt;&gt;C:\Users\stu\Documents\GitHub\eaglep3-reporting\EC\2017-06-04-refined-times.txt</v>
      </c>
      <c r="AI1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{"issue":{"subject":"","project_id":79,"tracker_id":40,"status_id":1,"priority_id":2,"assigned_to_id":23,"start_date":"2017-06-04","description":"","custom_fields":[{"id":1,"name":"Subdivision","value":"EC"},{"id":4,"name":"Milepost","value":"0.016"},{"id":17,"name":"Train ID","value":"106-04"},{"id":16,"name":"Locomotive ID","value":"4023"},{"id":130,"name":"Impact","value":""},{"id":150,"name":"Time of Event (Mountain Time)","value":"05:50:22"},{"id":151,"name":"Denver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9"/>
        <v>start /low /b %USERPROFILE%\Documents\GitHub\eaglep3\Utilities\DownloadLogsFromS3.py --loco 4023 --day 2017-06-04</v>
      </c>
      <c r="AN1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693</v>
      </c>
      <c r="B19" s="7">
        <v>4004</v>
      </c>
      <c r="C19" s="21" t="s">
        <v>204</v>
      </c>
      <c r="D19" s="21" t="s">
        <v>397</v>
      </c>
      <c r="E19" s="13">
        <v>42890.185706018521</v>
      </c>
      <c r="F19" s="13">
        <v>42890.187638888892</v>
      </c>
      <c r="G19" s="7">
        <v>1</v>
      </c>
      <c r="H19" s="21" t="s">
        <v>609</v>
      </c>
      <c r="I19" s="13">
        <v>42890.211770833332</v>
      </c>
      <c r="J19" s="7">
        <v>0</v>
      </c>
      <c r="K19" s="92" t="str">
        <f t="shared" si="0"/>
        <v>4003/4004</v>
      </c>
      <c r="L19" s="21" t="str">
        <f>VLOOKUP(A19,'Trips&amp;Operators'!$C$1:$G$99999,5,FALSE)</f>
        <v>LALONDE GREGORY</v>
      </c>
      <c r="M19" s="6">
        <f t="shared" si="1"/>
        <v>2.4131944439432118E-2</v>
      </c>
      <c r="N19" s="7">
        <f t="shared" si="26"/>
        <v>34.74999999278225</v>
      </c>
      <c r="O19" s="7"/>
      <c r="P19" s="7"/>
      <c r="Q19" s="22"/>
      <c r="R19" s="173"/>
      <c r="S19" s="176">
        <f t="shared" si="2"/>
        <v>1</v>
      </c>
      <c r="T19" s="202" t="str">
        <f t="shared" si="3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4"/>
        <v>https://d0f6bd738d7f1b3e5a7ca70fe4ff75f0.us-east-1.aws.found.io/app/kibana#/discover/Steve-Slow-Train-Analysis-(2080s-and-2083s)?_g=(refreshInterval:(display:Off,pause:!f,section:0,value:0),time:(from:'2017-06-04T03:27:25-0600',mode:absolute,to:'2017-06-04T06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" s="204" t="str">
        <f t="shared" si="5"/>
        <v>N</v>
      </c>
      <c r="X19" s="204">
        <f t="shared" si="31"/>
        <v>1</v>
      </c>
      <c r="Y19" s="204">
        <f t="shared" si="6"/>
        <v>4.6199999999999998E-2</v>
      </c>
      <c r="Z19" s="204">
        <f t="shared" si="7"/>
        <v>23.3324</v>
      </c>
      <c r="AA19" s="204">
        <f t="shared" si="8"/>
        <v>23.286200000000001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9"/>
        <v>0107-04</v>
      </c>
      <c r="AE19" s="80" t="str">
        <f t="shared" si="10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19" s="77" t="str">
        <f t="shared" si="11"/>
        <v>"C:\Program Files (x86)\AstroGrep\AstroGrep.exe" /e /r /s /spath="%USERPROFILE%\AppData\Local\Temp\OnboardLogs" /stypes="app*4004*20170604*" /stext=" 11:.+((SYSTEM_STATE.+slice.+state.+changed )|(ment ac)|(multiple cpu faults)|(system.+state.+changed )|(\[timeout)|(PRM\|1\|D)|(kpr)|(kdp)|(train st.+moving)|(\|lc)|(penalty))"</v>
      </c>
      <c r="AG19" s="1" t="str">
        <f t="shared" si="12"/>
        <v>EC</v>
      </c>
      <c r="AH19" s="81" t="str">
        <f t="shared" si="27"/>
        <v>"%USERPROFILE%\Documents\GitHub\eaglep3\Utilities\RefineRTDCRunTimes.py" --tripid 107-04 --locoid 4004 --swversion DE.1.0.9.0 --startMP 204:462 --initTime 2017-06-04T04:27:25 --startdatetime 2017-06-04T04:30:12 --delay 1 --endMP 204:233324 --enddatetime 2017-06-04T05:04:57 --enforcementcount 0 &gt;&gt;C:\Users\stu\Documents\GitHub\eaglep3-reporting\EC\2017-06-04-refined-times.txt</v>
      </c>
      <c r="AI1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{"issue":{"subject":"","project_id":79,"tracker_id":40,"status_id":1,"priority_id":2,"assigned_to_id":23,"start_date":"2017-06-04","description":"","custom_fields":[{"id":1,"name":"Subdivision","value":"EC"},{"id":4,"name":"Milepost","value":"23.3324"},{"id":17,"name":"Train ID","value":"107-04"},{"id":16,"name":"Locomotive ID","value":"4004"},{"id":130,"name":"Impact","value":""},{"id":150,"name":"Time of Event (Mountain Time)","value":"05:04:57"},{"id":151,"name":"Denver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9"/>
        <v>start /low /b %USERPROFILE%\Documents\GitHub\eaglep3\Utilities\DownloadLogsFromS3.py --loco 4004 --day 2017-06-04</v>
      </c>
      <c r="AN1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698</v>
      </c>
      <c r="B20" s="7">
        <v>4003</v>
      </c>
      <c r="C20" s="21" t="s">
        <v>204</v>
      </c>
      <c r="D20" s="21" t="s">
        <v>467</v>
      </c>
      <c r="E20" s="13">
        <v>42890.216817129629</v>
      </c>
      <c r="F20" s="13">
        <v>42890.22724537037</v>
      </c>
      <c r="G20" s="7">
        <v>0</v>
      </c>
      <c r="H20" s="21" t="s">
        <v>437</v>
      </c>
      <c r="I20" s="13">
        <v>42890.25271990741</v>
      </c>
      <c r="J20" s="7">
        <v>0</v>
      </c>
      <c r="K20" s="92" t="str">
        <f t="shared" si="0"/>
        <v>4003/4004</v>
      </c>
      <c r="L20" s="21" t="str">
        <f>VLOOKUP(A20,'Trips&amp;Operators'!$C$1:$G$99999,5,FALSE)</f>
        <v>LALONDE GREGORY</v>
      </c>
      <c r="M20" s="6">
        <f t="shared" si="1"/>
        <v>2.5474537040281575E-2</v>
      </c>
      <c r="N20" s="7">
        <f t="shared" si="26"/>
        <v>36.683333338005468</v>
      </c>
      <c r="O20" s="7"/>
      <c r="P20" s="7"/>
      <c r="Q20" s="22"/>
      <c r="R20" s="173"/>
      <c r="S20" s="176">
        <f t="shared" si="2"/>
        <v>1</v>
      </c>
      <c r="T20" s="202" t="str">
        <f t="shared" si="3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4"/>
        <v>https://d0f6bd738d7f1b3e5a7ca70fe4ff75f0.us-east-1.aws.found.io/app/kibana#/discover/Steve-Slow-Train-Analysis-(2080s-and-2083s)?_g=(refreshInterval:(display:Off,pause:!f,section:0,value:0),time:(from:'2017-06-04T04:12:13-0600',mode:absolute,to:'2017-06-04T07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" s="204" t="str">
        <f t="shared" si="5"/>
        <v>N</v>
      </c>
      <c r="X20" s="204">
        <f t="shared" si="31"/>
        <v>1</v>
      </c>
      <c r="Y20" s="204">
        <f t="shared" si="6"/>
        <v>23.3</v>
      </c>
      <c r="Z20" s="204">
        <f t="shared" si="7"/>
        <v>1.4500000000000001E-2</v>
      </c>
      <c r="AA20" s="204">
        <f t="shared" si="8"/>
        <v>23.285499999999999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9"/>
        <v>0108-04</v>
      </c>
      <c r="AE20" s="80" t="str">
        <f t="shared" si="10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20" s="77" t="str">
        <f t="shared" si="11"/>
        <v>"C:\Program Files (x86)\AstroGrep\AstroGrep.exe" /e /r /s /spath="%USERPROFILE%\AppData\Local\Temp\OnboardLogs" /stypes="app*4003*20170604*" /stext=" 12:.+((SYSTEM_STATE.+slice.+state.+changed )|(ment ac)|(multiple cpu faults)|(system.+state.+changed )|(\[timeout)|(PRM\|1\|D)|(kpr)|(kdp)|(train st.+moving)|(\|lc)|(penalty))"</v>
      </c>
      <c r="AG20" s="1" t="str">
        <f t="shared" si="12"/>
        <v>EC</v>
      </c>
      <c r="AH20" s="81" t="str">
        <f t="shared" si="27"/>
        <v>"%USERPROFILE%\Documents\GitHub\eaglep3\Utilities\RefineRTDCRunTimes.py" --tripid 108-04 --locoid 4003 --swversion DE.1.0.9.0 --startMP 204:233000 --initTime 2017-06-04T05:12:13 --startdatetime 2017-06-04T05:27:14 --delay 0 --endMP 204:145 --enddatetime 2017-06-04T06:03:55 --enforcementcount 0 &gt;&gt;C:\Users\stu\Documents\GitHub\eaglep3-reporting\EC\2017-06-04-refined-times.txt</v>
      </c>
      <c r="AI20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ID","value":"108-04"},{"id":16,"name":"Locomotive ID","value":"4003"},{"id":130,"name":"Impact","value":""},{"id":150,"name":"Time of Event (Mountain Time)","value":"06:03:55"},{"id":151,"name":"Denver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9"/>
        <v>start /low /b %USERPROFILE%\Documents\GitHub\eaglep3\Utilities\DownloadLogsFromS3.py --loco 4003 --day 2017-06-04</v>
      </c>
      <c r="AN20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694</v>
      </c>
      <c r="B21" s="7">
        <v>4042</v>
      </c>
      <c r="C21" s="21" t="s">
        <v>204</v>
      </c>
      <c r="D21" s="21" t="s">
        <v>349</v>
      </c>
      <c r="E21" s="13">
        <v>42890.193344907406</v>
      </c>
      <c r="F21" s="13">
        <v>42890.198113425926</v>
      </c>
      <c r="G21" s="7">
        <v>2</v>
      </c>
      <c r="H21" s="21" t="s">
        <v>484</v>
      </c>
      <c r="I21" s="13">
        <v>42890.223379629628</v>
      </c>
      <c r="J21" s="7">
        <v>0</v>
      </c>
      <c r="K21" s="92" t="str">
        <f t="shared" si="0"/>
        <v>4041/4042</v>
      </c>
      <c r="L21" s="21" t="str">
        <f>VLOOKUP(A21,'Trips&amp;Operators'!$C$1:$G$99999,5,FALSE)</f>
        <v>GEBRETEKLE DAGNEW</v>
      </c>
      <c r="M21" s="6">
        <f t="shared" si="1"/>
        <v>2.5266203701903578E-2</v>
      </c>
      <c r="N21" s="7">
        <f t="shared" si="26"/>
        <v>36.383333330741152</v>
      </c>
      <c r="O21" s="7"/>
      <c r="P21" s="7"/>
      <c r="Q21" s="22"/>
      <c r="R21" s="173"/>
      <c r="S21" s="176">
        <f t="shared" si="2"/>
        <v>1</v>
      </c>
      <c r="T21" s="202" t="str">
        <f t="shared" si="3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4"/>
        <v>https://d0f6bd738d7f1b3e5a7ca70fe4ff75f0.us-east-1.aws.found.io/app/kibana#/discover/Steve-Slow-Train-Analysis-(2080s-and-2083s)?_g=(refreshInterval:(display:Off,pause:!f,section:0,value:0),time:(from:'2017-06-04T03:38:25-0600',mode:absolute,to:'2017-06-04T06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 t="shared" si="5"/>
        <v>N</v>
      </c>
      <c r="X21" s="204">
        <f t="shared" si="31"/>
        <v>1</v>
      </c>
      <c r="Y21" s="204">
        <f t="shared" si="6"/>
        <v>4.4600000000000001E-2</v>
      </c>
      <c r="Z21" s="204">
        <f t="shared" si="7"/>
        <v>23.3306</v>
      </c>
      <c r="AA21" s="204">
        <f t="shared" si="8"/>
        <v>23.286000000000001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9"/>
        <v>0109-04</v>
      </c>
      <c r="AE21" s="80" t="str">
        <f t="shared" si="10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21" s="77" t="str">
        <f t="shared" si="11"/>
        <v>"C:\Program Files (x86)\AstroGrep\AstroGrep.exe" /e /r /s /spath="%USERPROFILE%\AppData\Local\Temp\OnboardLogs" /stypes="app*4042*20170604*" /stext=" 11:.+((SYSTEM_STATE.+slice.+state.+changed )|(ment ac)|(multiple cpu faults)|(system.+state.+changed )|(\[timeout)|(PRM\|1\|D)|(kpr)|(kdp)|(train st.+moving)|(\|lc)|(penalty))"</v>
      </c>
      <c r="AG21" s="1" t="str">
        <f t="shared" si="12"/>
        <v>EC</v>
      </c>
      <c r="AH21" s="81" t="str">
        <f t="shared" si="27"/>
        <v>"%USERPROFILE%\Documents\GitHub\eaglep3\Utilities\RefineRTDCRunTimes.py" --tripid 109-04 --locoid 4042 --swversion DE.1.0.9.0 --startMP 204:446 --initTime 2017-06-04T04:38:25 --startdatetime 2017-06-04T04:45:17 --delay 2 --endMP 204:233306 --enddatetime 2017-06-04T05:21:40 --enforcementcount 0 &gt;&gt;C:\Users\stu\Documents\GitHub\eaglep3-reporting\EC\2017-06-04-refined-times.txt</v>
      </c>
      <c r="AI21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{"issue":{"subject":"","project_id":79,"tracker_id":40,"status_id":1,"priority_id":2,"assigned_to_id":23,"start_date":"2017-06-04","description":"","custom_fields":[{"id":1,"name":"Subdivision","value":"EC"},{"id":4,"name":"Milepost","value":"23.3306"},{"id":17,"name":"Train ID","value":"109-04"},{"id":16,"name":"Locomotive ID","value":"4042"},{"id":130,"name":"Impact","value":""},{"id":150,"name":"Time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9"/>
        <v>start /low /b %USERPROFILE%\Documents\GitHub\eaglep3\Utilities\DownloadLogsFromS3.py --loco 4042 --day 2017-06-04</v>
      </c>
      <c r="AN21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702</v>
      </c>
      <c r="B22" s="7">
        <v>4041</v>
      </c>
      <c r="C22" s="21" t="s">
        <v>204</v>
      </c>
      <c r="D22" s="21" t="s">
        <v>854</v>
      </c>
      <c r="E22" s="13">
        <v>42890.234629629631</v>
      </c>
      <c r="F22" s="13">
        <v>42890.237685185188</v>
      </c>
      <c r="G22" s="7">
        <v>1</v>
      </c>
      <c r="H22" s="21" t="s">
        <v>195</v>
      </c>
      <c r="I22" s="13">
        <v>42890.264444444445</v>
      </c>
      <c r="J22" s="7">
        <v>0</v>
      </c>
      <c r="K22" s="92" t="str">
        <f t="shared" si="0"/>
        <v>4041/4042</v>
      </c>
      <c r="L22" s="21" t="str">
        <f>VLOOKUP(A22,'Trips&amp;Operators'!$C$1:$G$99999,5,FALSE)</f>
        <v>GEBRETEKLE DAGNEW</v>
      </c>
      <c r="M22" s="6">
        <f t="shared" si="1"/>
        <v>2.675925925723277E-2</v>
      </c>
      <c r="N22" s="7">
        <f t="shared" si="26"/>
        <v>38.533333330415189</v>
      </c>
      <c r="O22" s="7"/>
      <c r="P22" s="7"/>
      <c r="Q22" s="22"/>
      <c r="R22" s="173"/>
      <c r="S22" s="176">
        <f t="shared" si="2"/>
        <v>1</v>
      </c>
      <c r="T22" s="202" t="str">
        <f t="shared" si="3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4"/>
        <v>https://d0f6bd738d7f1b3e5a7ca70fe4ff75f0.us-east-1.aws.found.io/app/kibana#/discover/Steve-Slow-Train-Analysis-(2080s-and-2083s)?_g=(refreshInterval:(display:Off,pause:!f,section:0,value:0),time:(from:'2017-06-04T04:37:52-0600',mode:absolute,to:'2017-06-04T07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 t="shared" si="5"/>
        <v>N</v>
      </c>
      <c r="X22" s="204">
        <f t="shared" si="31"/>
        <v>1</v>
      </c>
      <c r="Y22" s="204">
        <f t="shared" si="6"/>
        <v>23.2989</v>
      </c>
      <c r="Z22" s="204">
        <f t="shared" si="7"/>
        <v>1.52E-2</v>
      </c>
      <c r="AA22" s="204">
        <f t="shared" si="8"/>
        <v>23.2837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9"/>
        <v>0110-04</v>
      </c>
      <c r="AE22" s="80" t="str">
        <f t="shared" si="10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22" s="77" t="str">
        <f t="shared" si="11"/>
        <v>"C:\Program Files (x86)\AstroGrep\AstroGrep.exe" /e /r /s /spath="%USERPROFILE%\AppData\Local\Temp\OnboardLogs" /stypes="app*4041*20170604*" /stext=" 12:.+((SYSTEM_STATE.+slice.+state.+changed )|(ment ac)|(multiple cpu faults)|(system.+state.+changed )|(\[timeout)|(PRM\|1\|D)|(kpr)|(kdp)|(train st.+moving)|(\|lc)|(penalty))"</v>
      </c>
      <c r="AG22" s="1" t="str">
        <f t="shared" si="12"/>
        <v>EC</v>
      </c>
      <c r="AH22" s="81" t="str">
        <f t="shared" si="27"/>
        <v>"%USERPROFILE%\Documents\GitHub\eaglep3\Utilities\RefineRTDCRunTimes.py" --tripid 110-04 --locoid 4041 --swversion DE.1.0.9.0 --startMP 204:232989 --initTime 2017-06-04T05:37:52 --startdatetime 2017-06-04T05:42:16 --delay 1 --endMP 204:152 --enddatetime 2017-06-04T06:20:48 --enforcementcount 0 &gt;&gt;C:\Users\stu\Documents\GitHub\eaglep3-reporting\EC\2017-06-04-refined-times.txt</v>
      </c>
      <c r="AI22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{"issue":{"subject":"","project_id":79,"tracker_id":40,"status_id":1,"priority_id":2,"assigned_to_id":23,"start_date":"2017-06-04","description":"","custom_fields":[{"id":1,"name":"Subdivision","value":"EC"},{"id":4,"name":"Milepost","value":"0.0152"},{"id":17,"name":"Train ID","value":"110-04"},{"id":16,"name":"Locomotive ID","value":"4041"},{"id":130,"name":"Impact","value":""},{"id":150,"name":"Time of Event (Mountain Time)","value":"06:20:48"},{"id":151,"name":"Denver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9"/>
        <v>start /low /b %USERPROFILE%\Documents\GitHub\eaglep3\Utilities\DownloadLogsFromS3.py --loco 4041 --day 2017-06-04</v>
      </c>
      <c r="AN22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696</v>
      </c>
      <c r="B23" s="7">
        <v>4012</v>
      </c>
      <c r="C23" s="21" t="s">
        <v>204</v>
      </c>
      <c r="D23" s="21" t="s">
        <v>473</v>
      </c>
      <c r="E23" s="13">
        <v>42890.20652777778</v>
      </c>
      <c r="F23" s="13">
        <v>42890.208541666667</v>
      </c>
      <c r="G23" s="7">
        <v>1</v>
      </c>
      <c r="H23" s="21" t="s">
        <v>464</v>
      </c>
      <c r="I23" s="13">
        <v>42890.233414351853</v>
      </c>
      <c r="J23" s="7">
        <v>0</v>
      </c>
      <c r="K23" s="92" t="str">
        <f t="shared" si="0"/>
        <v>4011/4012</v>
      </c>
      <c r="L23" s="21" t="str">
        <f>VLOOKUP(A23,'Trips&amp;Operators'!$C$1:$G$99999,5,FALSE)</f>
        <v>MAELZER KURT</v>
      </c>
      <c r="M23" s="6">
        <f t="shared" si="1"/>
        <v>2.4872685185982846E-2</v>
      </c>
      <c r="N23" s="7">
        <f t="shared" si="26"/>
        <v>35.816666667815298</v>
      </c>
      <c r="O23" s="7"/>
      <c r="P23" s="7"/>
      <c r="Q23" s="22"/>
      <c r="R23" s="173"/>
      <c r="S23" s="176">
        <f t="shared" si="2"/>
        <v>1</v>
      </c>
      <c r="T23" s="202" t="str">
        <f t="shared" si="3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4"/>
        <v>https://d0f6bd738d7f1b3e5a7ca70fe4ff75f0.us-east-1.aws.found.io/app/kibana#/discover/Steve-Slow-Train-Analysis-(2080s-and-2083s)?_g=(refreshInterval:(display:Off,pause:!f,section:0,value:0),time:(from:'2017-06-04T03:57:24-0600',mode:absolute,to:'2017-06-04T06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" s="204" t="str">
        <f t="shared" si="5"/>
        <v>N</v>
      </c>
      <c r="X23" s="204">
        <f t="shared" si="31"/>
        <v>1</v>
      </c>
      <c r="Y23" s="204">
        <f t="shared" si="6"/>
        <v>4.6899999999999997E-2</v>
      </c>
      <c r="Z23" s="204">
        <f t="shared" si="7"/>
        <v>23.330500000000001</v>
      </c>
      <c r="AA23" s="204">
        <f t="shared" si="8"/>
        <v>23.2836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9"/>
        <v>0111-04</v>
      </c>
      <c r="AE23" s="80" t="str">
        <f t="shared" si="10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23" s="77" t="str">
        <f t="shared" si="11"/>
        <v>"C:\Program Files (x86)\AstroGrep\AstroGrep.exe" /e /r /s /spath="%USERPROFILE%\AppData\Local\Temp\OnboardLogs" /stypes="app*4012*20170604*" /stext=" 11:.+((SYSTEM_STATE.+slice.+state.+changed )|(ment ac)|(multiple cpu faults)|(system.+state.+changed )|(\[timeout)|(PRM\|1\|D)|(kpr)|(kdp)|(train st.+moving)|(\|lc)|(penalty))"</v>
      </c>
      <c r="AG23" s="1" t="str">
        <f t="shared" si="12"/>
        <v>EC</v>
      </c>
      <c r="AH23" s="81" t="str">
        <f t="shared" si="27"/>
        <v>"%USERPROFILE%\Documents\GitHub\eaglep3\Utilities\RefineRTDCRunTimes.py" --tripid 111-04 --locoid 4012 --swversion DE.1.0.9.0 --startMP 204:469 --initTime 2017-06-04T04:57:24 --startdatetime 2017-06-04T05:00:18 --delay 1 --endMP 204:233305 --enddatetime 2017-06-04T05:36:07 --enforcementcount 0 &gt;&gt;C:\Users\stu\Documents\GitHub\eaglep3-reporting\EC\2017-06-04-refined-times.txt</v>
      </c>
      <c r="AI23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{"issue":{"subject":"","project_id":79,"tracker_id":40,"status_id":1,"priority_id":2,"assigned_to_id":23,"start_date":"2017-06-04","description":"","custom_fields":[{"id":1,"name":"Subdivision","value":"EC"},{"id":4,"name":"Milepost","value":"23.3305"},{"id":17,"name":"Train ID","value":"111-04"},{"id":16,"name":"Locomotive ID","value":"4012"},{"id":130,"name":"Impact","value":""},{"id":150,"name":"Time of Event (Mountain Time)","value":"05:36:07"},{"id":151,"name":"Denver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9"/>
        <v>start /low /b %USERPROFILE%\Documents\GitHub\eaglep3\Utilities\DownloadLogsFromS3.py --loco 4012 --day 2017-06-04</v>
      </c>
      <c r="AN23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704</v>
      </c>
      <c r="B24" s="7">
        <v>4011</v>
      </c>
      <c r="C24" s="21" t="s">
        <v>204</v>
      </c>
      <c r="D24" s="21" t="s">
        <v>604</v>
      </c>
      <c r="E24" s="13">
        <v>42890.242164351854</v>
      </c>
      <c r="F24" s="13">
        <v>42890.248171296298</v>
      </c>
      <c r="G24" s="7">
        <v>1</v>
      </c>
      <c r="H24" s="21" t="s">
        <v>361</v>
      </c>
      <c r="I24" s="13">
        <v>42890.275543981479</v>
      </c>
      <c r="J24" s="7">
        <v>0</v>
      </c>
      <c r="K24" s="92" t="str">
        <f t="shared" si="0"/>
        <v>4011/4012</v>
      </c>
      <c r="L24" s="21" t="str">
        <f>VLOOKUP(A24,'Trips&amp;Operators'!$C$1:$G$99999,5,FALSE)</f>
        <v>MAELZER KURT</v>
      </c>
      <c r="M24" s="6">
        <f t="shared" si="1"/>
        <v>2.7372685181035195E-2</v>
      </c>
      <c r="N24" s="7">
        <f t="shared" si="26"/>
        <v>39.41666666069068</v>
      </c>
      <c r="O24" s="7"/>
      <c r="P24" s="7"/>
      <c r="Q24" s="22"/>
      <c r="R24" s="173"/>
      <c r="S24" s="176">
        <f t="shared" si="2"/>
        <v>1</v>
      </c>
      <c r="T24" s="202" t="str">
        <f t="shared" si="3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4"/>
        <v>https://d0f6bd738d7f1b3e5a7ca70fe4ff75f0.us-east-1.aws.found.io/app/kibana#/discover/Steve-Slow-Train-Analysis-(2080s-and-2083s)?_g=(refreshInterval:(display:Off,pause:!f,section:0,value:0),time:(from:'2017-06-04T04:48:43-0600',mode:absolute,to:'2017-06-04T07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" s="204" t="str">
        <f t="shared" si="5"/>
        <v>N</v>
      </c>
      <c r="X24" s="204">
        <f t="shared" si="31"/>
        <v>1</v>
      </c>
      <c r="Y24" s="204">
        <f t="shared" si="6"/>
        <v>23.298400000000001</v>
      </c>
      <c r="Z24" s="204">
        <f t="shared" si="7"/>
        <v>1.3899999999999999E-2</v>
      </c>
      <c r="AA24" s="204">
        <f t="shared" si="8"/>
        <v>23.284500000000001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9"/>
        <v>0112-04</v>
      </c>
      <c r="AE24" s="80" t="str">
        <f t="shared" si="10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24" s="77" t="str">
        <f t="shared" si="11"/>
        <v>"C:\Program Files (x86)\AstroGrep\AstroGrep.exe" /e /r /s /spath="%USERPROFILE%\AppData\Local\Temp\OnboardLogs" /stypes="app*4011*20170604*" /stext=" 12:.+((SYSTEM_STATE.+slice.+state.+changed )|(ment ac)|(multiple cpu faults)|(system.+state.+changed )|(\[timeout)|(PRM\|1\|D)|(kpr)|(kdp)|(train st.+moving)|(\|lc)|(penalty))"</v>
      </c>
      <c r="AG24" s="1" t="str">
        <f t="shared" si="12"/>
        <v>EC</v>
      </c>
      <c r="AH24" s="81" t="str">
        <f t="shared" si="27"/>
        <v>"%USERPROFILE%\Documents\GitHub\eaglep3\Utilities\RefineRTDCRunTimes.py" --tripid 112-04 --locoid 4011 --swversion DE.1.0.9.0 --startMP 204:232984 --initTime 2017-06-04T05:48:43 --startdatetime 2017-06-04T05:57:22 --delay 1 --endMP 204:139 --enddatetime 2017-06-04T06:36:47 --enforcementcount 0 &gt;&gt;C:\Users\stu\Documents\GitHub\eaglep3-reporting\EC\2017-06-04-refined-times.txt</v>
      </c>
      <c r="AI24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{"issue":{"subject":"","project_id":79,"tracker_id":40,"status_id":1,"priority_id":2,"assigned_to_id":23,"start_date":"2017-06-04","description":"","custom_fields":[{"id":1,"name":"Subdivision","value":"EC"},{"id":4,"name":"Milepost","value":"0.0139"},{"id":17,"name":"Train ID","value":"112-04"},{"id":16,"name":"Locomotive ID","value":"4011"},{"id":130,"name":"Impact","value":""},{"id":150,"name":"Time of Event (Mountain Time)","value":"06:36:47"},{"id":151,"name":"Denver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9"/>
        <v>start /low /b %USERPROFILE%\Documents\GitHub\eaglep3\Utilities\DownloadLogsFromS3.py --loco 4011 --day 2017-06-04</v>
      </c>
      <c r="AN24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697</v>
      </c>
      <c r="B25" s="7">
        <v>4040</v>
      </c>
      <c r="C25" s="21" t="s">
        <v>204</v>
      </c>
      <c r="D25" s="21" t="s">
        <v>345</v>
      </c>
      <c r="E25" s="13">
        <v>42890.212094907409</v>
      </c>
      <c r="F25" s="13">
        <v>42890.219074074077</v>
      </c>
      <c r="G25" s="7">
        <v>2</v>
      </c>
      <c r="H25" s="21" t="s">
        <v>614</v>
      </c>
      <c r="I25" s="13">
        <v>42890.245162037034</v>
      </c>
      <c r="J25" s="7">
        <v>0</v>
      </c>
      <c r="K25" s="92" t="str">
        <f t="shared" si="0"/>
        <v>4039/4040</v>
      </c>
      <c r="L25" s="21" t="str">
        <f>VLOOKUP(A25,'Trips&amp;Operators'!$C$1:$G$99999,5,FALSE)</f>
        <v>CHANDLER KELVIN</v>
      </c>
      <c r="M25" s="6">
        <f t="shared" si="1"/>
        <v>2.6087962956808042E-2</v>
      </c>
      <c r="N25" s="7">
        <f t="shared" si="26"/>
        <v>37.56666665780358</v>
      </c>
      <c r="O25" s="7"/>
      <c r="P25" s="7"/>
      <c r="Q25" s="22"/>
      <c r="R25" s="173"/>
      <c r="S25" s="176">
        <f t="shared" si="2"/>
        <v>1</v>
      </c>
      <c r="T25" s="202" t="str">
        <f t="shared" si="3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4"/>
        <v>https://d0f6bd738d7f1b3e5a7ca70fe4ff75f0.us-east-1.aws.found.io/app/kibana#/discover/Steve-Slow-Train-Analysis-(2080s-and-2083s)?_g=(refreshInterval:(display:Off,pause:!f,section:0,value:0),time:(from:'2017-06-04T04:05:25-0600',mode:absolute,to:'2017-06-04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204" t="str">
        <f t="shared" si="5"/>
        <v>N</v>
      </c>
      <c r="X25" s="204">
        <f t="shared" si="31"/>
        <v>1</v>
      </c>
      <c r="Y25" s="204">
        <f t="shared" si="6"/>
        <v>4.4900000000000002E-2</v>
      </c>
      <c r="Z25" s="204">
        <f t="shared" si="7"/>
        <v>23.330200000000001</v>
      </c>
      <c r="AA25" s="204">
        <f t="shared" si="8"/>
        <v>23.285300000000003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9"/>
        <v>0113-04</v>
      </c>
      <c r="AE25" s="80" t="str">
        <f t="shared" si="10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25" s="77" t="str">
        <f t="shared" si="11"/>
        <v>"C:\Program Files (x86)\AstroGrep\AstroGrep.exe" /e /r /s /spath="%USERPROFILE%\AppData\Local\Temp\OnboardLogs" /stypes="app*4040*20170604*" /stext=" 11:.+((SYSTEM_STATE.+slice.+state.+changed )|(ment ac)|(multiple cpu faults)|(system.+state.+changed )|(\[timeout)|(PRM\|1\|D)|(kpr)|(kdp)|(train st.+moving)|(\|lc)|(penalty))"</v>
      </c>
      <c r="AG25" s="1" t="str">
        <f t="shared" si="12"/>
        <v>EC</v>
      </c>
      <c r="AH25" s="81" t="str">
        <f t="shared" si="27"/>
        <v>"%USERPROFILE%\Documents\GitHub\eaglep3\Utilities\RefineRTDCRunTimes.py" --tripid 113-04 --locoid 4040 --swversion DE.1.0.9.0 --startMP 204:449 --initTime 2017-06-04T05:05:25 --startdatetime 2017-06-04T05:15:28 --delay 2 --endMP 204:233302 --enddatetime 2017-06-04T05:53:02 --enforcementcount 0 &gt;&gt;C:\Users\stu\Documents\GitHub\eaglep3-reporting\EC\2017-06-04-refined-times.txt</v>
      </c>
      <c r="AI25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{"issue":{"subject":"","project_id":79,"tracker_id":40,"status_id":1,"priority_id":2,"assigned_to_id":23,"start_date":"2017-06-04","description":"","custom_fields":[{"id":1,"name":"Subdivision","value":"EC"},{"id":4,"name":"Milepost","value":"23.3302"},{"id":17,"name":"Train ID","value":"113-04"},{"id":16,"name":"Locomotive ID","value":"4040"},{"id":130,"name":"Impact","value":""},{"id":150,"name":"Time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9"/>
        <v>start /low /b %USERPROFILE%\Documents\GitHub\eaglep3\Utilities\DownloadLogsFromS3.py --loco 4040 --day 2017-06-04</v>
      </c>
      <c r="AN25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709</v>
      </c>
      <c r="B26" s="7">
        <v>4039</v>
      </c>
      <c r="C26" s="21" t="s">
        <v>204</v>
      </c>
      <c r="D26" s="21" t="s">
        <v>436</v>
      </c>
      <c r="E26" s="13">
        <v>42890.254131944443</v>
      </c>
      <c r="F26" s="13">
        <v>42890.258576388886</v>
      </c>
      <c r="G26" s="7">
        <v>1</v>
      </c>
      <c r="H26" s="21" t="s">
        <v>466</v>
      </c>
      <c r="I26" s="13">
        <v>42890.287812499999</v>
      </c>
      <c r="J26" s="7">
        <v>0</v>
      </c>
      <c r="K26" s="92" t="str">
        <f t="shared" si="0"/>
        <v>4039/4040</v>
      </c>
      <c r="L26" s="21" t="str">
        <f>VLOOKUP(A26,'Trips&amp;Operators'!$C$1:$G$99999,5,FALSE)</f>
        <v>CHANDLER KELVIN</v>
      </c>
      <c r="M26" s="6">
        <f t="shared" si="1"/>
        <v>2.923611111327773E-2</v>
      </c>
      <c r="N26" s="7">
        <f t="shared" si="26"/>
        <v>42.100000003119931</v>
      </c>
      <c r="O26" s="7"/>
      <c r="P26" s="7"/>
      <c r="Q26" s="22"/>
      <c r="R26" s="173"/>
      <c r="S26" s="176">
        <f t="shared" si="2"/>
        <v>1</v>
      </c>
      <c r="T26" s="202" t="str">
        <f t="shared" si="3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4"/>
        <v>https://d0f6bd738d7f1b3e5a7ca70fe4ff75f0.us-east-1.aws.found.io/app/kibana#/discover/Steve-Slow-Train-Analysis-(2080s-and-2083s)?_g=(refreshInterval:(display:Off,pause:!f,section:0,value:0),time:(from:'2017-06-04T05:05:57-0600',mode:absolute,to:'2017-06-04T07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204" t="str">
        <f t="shared" si="5"/>
        <v>N</v>
      </c>
      <c r="X26" s="204">
        <f t="shared" si="31"/>
        <v>1</v>
      </c>
      <c r="Y26" s="204">
        <f t="shared" si="6"/>
        <v>23.299399999999999</v>
      </c>
      <c r="Z26" s="204">
        <f t="shared" si="7"/>
        <v>1.5599999999999999E-2</v>
      </c>
      <c r="AA26" s="204">
        <f t="shared" si="8"/>
        <v>23.283799999999999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9"/>
        <v>0114-04</v>
      </c>
      <c r="AE26" s="80" t="str">
        <f t="shared" si="10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26" s="77" t="str">
        <f t="shared" si="11"/>
        <v>"C:\Program Files (x86)\AstroGrep\AstroGrep.exe" /e /r /s /spath="%USERPROFILE%\AppData\Local\Temp\OnboardLogs" /stypes="app*4039*20170604*" /stext=" 12:.+((SYSTEM_STATE.+slice.+state.+changed )|(ment ac)|(multiple cpu faults)|(system.+state.+changed )|(\[timeout)|(PRM\|1\|D)|(kpr)|(kdp)|(train st.+moving)|(\|lc)|(penalty))"</v>
      </c>
      <c r="AG26" s="1" t="str">
        <f t="shared" si="12"/>
        <v>EC</v>
      </c>
      <c r="AH26" s="81" t="str">
        <f t="shared" si="27"/>
        <v>"%USERPROFILE%\Documents\GitHub\eaglep3\Utilities\RefineRTDCRunTimes.py" --tripid 114-04 --locoid 4039 --swversion DE.1.0.9.0 --startMP 204:232994 --initTime 2017-06-04T06:05:57 --startdatetime 2017-06-04T06:12:21 --delay 1 --endMP 204:156 --enddatetime 2017-06-04T06:54:27 --enforcementcount 0 &gt;&gt;C:\Users\stu\Documents\GitHub\eaglep3-reporting\EC\2017-06-04-refined-times.txt</v>
      </c>
      <c r="AI26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{"issue":{"subject":"","project_id":79,"tracker_id":40,"status_id":1,"priority_id":2,"assigned_to_id":23,"start_date":"2017-06-04","description":"","custom_fields":[{"id":1,"name":"Subdivision","value":"EC"},{"id":4,"name":"Milepost","value":"0.0156"},{"id":17,"name":"Train ID","value":"114-04"},{"id":16,"name":"Locomotive ID","value":"4039"},{"id":130,"name":"Impact","value":""},{"id":150,"name":"Time of Event (Mountain Time)","value":"06:54:27"},{"id":151,"name":"Denver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9"/>
        <v>start /low /b %USERPROFILE%\Documents\GitHub\eaglep3\Utilities\DownloadLogsFromS3.py --loco 4039 --day 2017-06-04</v>
      </c>
      <c r="AN26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700</v>
      </c>
      <c r="B27" s="7">
        <v>4060</v>
      </c>
      <c r="C27" s="21" t="s">
        <v>204</v>
      </c>
      <c r="D27" s="21" t="s">
        <v>358</v>
      </c>
      <c r="E27" s="13">
        <v>42890.226747685185</v>
      </c>
      <c r="F27" s="13">
        <v>42890.229398148149</v>
      </c>
      <c r="G27" s="7">
        <v>2</v>
      </c>
      <c r="H27" s="21" t="s">
        <v>464</v>
      </c>
      <c r="I27" s="13">
        <v>42890.255532407406</v>
      </c>
      <c r="J27" s="7">
        <v>0</v>
      </c>
      <c r="K27" s="92" t="str">
        <f t="shared" si="0"/>
        <v>4059/4060</v>
      </c>
      <c r="L27" s="21" t="str">
        <f>VLOOKUP(A27,'Trips&amp;Operators'!$C$1:$G$99999,5,FALSE)</f>
        <v>WILLIAMS DONTE</v>
      </c>
      <c r="M27" s="6">
        <f t="shared" si="1"/>
        <v>2.6134259256650694E-2</v>
      </c>
      <c r="N27" s="7">
        <f t="shared" si="26"/>
        <v>37.633333329576999</v>
      </c>
      <c r="O27" s="7"/>
      <c r="P27" s="7"/>
      <c r="Q27" s="22"/>
      <c r="R27" s="173"/>
      <c r="S27" s="176">
        <f t="shared" si="2"/>
        <v>1</v>
      </c>
      <c r="T27" s="202" t="str">
        <f t="shared" si="3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4"/>
        <v>https://d0f6bd738d7f1b3e5a7ca70fe4ff75f0.us-east-1.aws.found.io/app/kibana#/discover/Steve-Slow-Train-Analysis-(2080s-and-2083s)?_g=(refreshInterval:(display:Off,pause:!f,section:0,value:0),time:(from:'2017-06-04T04:26:31-0600',mode:absolute,to:'2017-06-04T07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7" s="204" t="str">
        <f t="shared" si="5"/>
        <v>N</v>
      </c>
      <c r="X27" s="204">
        <f t="shared" si="31"/>
        <v>1</v>
      </c>
      <c r="Y27" s="204">
        <f t="shared" si="6"/>
        <v>4.6399999999999997E-2</v>
      </c>
      <c r="Z27" s="204">
        <f t="shared" si="7"/>
        <v>23.330500000000001</v>
      </c>
      <c r="AA27" s="204">
        <f t="shared" si="8"/>
        <v>23.284100000000002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9"/>
        <v>0115-04</v>
      </c>
      <c r="AE27" s="80" t="str">
        <f t="shared" si="10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27" s="77" t="str">
        <f t="shared" si="11"/>
        <v>"C:\Program Files (x86)\AstroGrep\AstroGrep.exe" /e /r /s /spath="%USERPROFILE%\AppData\Local\Temp\OnboardLogs" /stypes="app*4060*20170604*" /stext=" 12:.+((SYSTEM_STATE.+slice.+state.+changed )|(ment ac)|(multiple cpu faults)|(system.+state.+changed )|(\[timeout)|(PRM\|1\|D)|(kpr)|(kdp)|(train st.+moving)|(\|lc)|(penalty))"</v>
      </c>
      <c r="AG27" s="1" t="str">
        <f t="shared" si="12"/>
        <v>EC</v>
      </c>
      <c r="AH27" s="81" t="str">
        <f t="shared" si="27"/>
        <v>"%USERPROFILE%\Documents\GitHub\eaglep3\Utilities\RefineRTDCRunTimes.py" --tripid 115-04 --locoid 4060 --swversion DE.1.0.9.0 --startMP 204:464 --initTime 2017-06-04T05:26:31 --startdatetime 2017-06-04T05:30:20 --delay 2 --endMP 204:233305 --enddatetime 2017-06-04T06:07:58 --enforcementcount 0 &gt;&gt;C:\Users\stu\Documents\GitHub\eaglep3-reporting\EC\2017-06-04-refined-times.txt</v>
      </c>
      <c r="AI2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{"issue":{"subject":"","project_id":79,"tracker_id":40,"status_id":1,"priority_id":2,"assigned_to_id":23,"start_date":"2017-06-04","description":"","custom_fields":[{"id":1,"name":"Subdivision","value":"EC"},{"id":4,"name":"Milepost","value":"23.3305"},{"id":17,"name":"Train ID","value":"115-04"},{"id":16,"name":"Locomotive ID","value":"4060"},{"id":130,"name":"Impact","value":""},{"id":150,"name":"Time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9"/>
        <v>start /low /b %USERPROFILE%\Documents\GitHub\eaglep3\Utilities\DownloadLogsFromS3.py --loco 4060 --day 2017-06-04</v>
      </c>
      <c r="AN2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710</v>
      </c>
      <c r="B28" s="7">
        <v>4059</v>
      </c>
      <c r="C28" s="21" t="s">
        <v>204</v>
      </c>
      <c r="D28" s="21" t="s">
        <v>403</v>
      </c>
      <c r="E28" s="13">
        <v>42890.257719907408</v>
      </c>
      <c r="F28" s="13">
        <v>42890.268645833334</v>
      </c>
      <c r="G28" s="7">
        <v>1</v>
      </c>
      <c r="H28" s="21" t="s">
        <v>466</v>
      </c>
      <c r="I28" s="13">
        <v>42890.296817129631</v>
      </c>
      <c r="J28" s="7">
        <v>0</v>
      </c>
      <c r="K28" s="92" t="str">
        <f t="shared" si="0"/>
        <v>4059/4060</v>
      </c>
      <c r="L28" s="21" t="str">
        <f>VLOOKUP(A28,'Trips&amp;Operators'!$C$1:$G$99999,5,FALSE)</f>
        <v>WILLIAMS DONTE</v>
      </c>
      <c r="M28" s="6">
        <f t="shared" si="1"/>
        <v>2.8171296296932269E-2</v>
      </c>
      <c r="N28" s="7">
        <f t="shared" si="26"/>
        <v>40.566666667582467</v>
      </c>
      <c r="O28" s="7"/>
      <c r="P28" s="7"/>
      <c r="Q28" s="22"/>
      <c r="R28" s="173"/>
      <c r="S28" s="176">
        <f t="shared" si="2"/>
        <v>1</v>
      </c>
      <c r="T28" s="202" t="str">
        <f t="shared" si="3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4"/>
        <v>https://d0f6bd738d7f1b3e5a7ca70fe4ff75f0.us-east-1.aws.found.io/app/kibana#/discover/Steve-Slow-Train-Analysis-(2080s-and-2083s)?_g=(refreshInterval:(display:Off,pause:!f,section:0,value:0),time:(from:'2017-06-04T05:11:07-0600',mode:absolute,to:'2017-06-04T08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8" s="204" t="str">
        <f t="shared" si="5"/>
        <v>N</v>
      </c>
      <c r="X28" s="204">
        <f t="shared" si="31"/>
        <v>1</v>
      </c>
      <c r="Y28" s="204">
        <f t="shared" si="6"/>
        <v>23.298200000000001</v>
      </c>
      <c r="Z28" s="204">
        <f t="shared" si="7"/>
        <v>1.5599999999999999E-2</v>
      </c>
      <c r="AA28" s="204">
        <f t="shared" si="8"/>
        <v>23.282600000000002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9"/>
        <v>0116-04</v>
      </c>
      <c r="AE28" s="80" t="str">
        <f t="shared" si="10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28" s="77" t="str">
        <f t="shared" si="11"/>
        <v>"C:\Program Files (x86)\AstroGrep\AstroGrep.exe" /e /r /s /spath="%USERPROFILE%\AppData\Local\Temp\OnboardLogs" /stypes="app*4059*20170604*" /stext=" 13:.+((SYSTEM_STATE.+slice.+state.+changed )|(ment ac)|(multiple cpu faults)|(system.+state.+changed )|(\[timeout)|(PRM\|1\|D)|(kpr)|(kdp)|(train st.+moving)|(\|lc)|(penalty))"</v>
      </c>
      <c r="AG28" s="1" t="str">
        <f t="shared" si="12"/>
        <v>EC</v>
      </c>
      <c r="AH28" s="81" t="str">
        <f t="shared" si="27"/>
        <v>"%USERPROFILE%\Documents\GitHub\eaglep3\Utilities\RefineRTDCRunTimes.py" --tripid 116-04 --locoid 4059 --swversion DE.1.0.9.0 --startMP 204:232982 --initTime 2017-06-04T06:11:07 --startdatetime 2017-06-04T06:26:51 --delay 1 --endMP 204:156 --enddatetime 2017-06-04T07:07:25 --enforcementcount 0 &gt;&gt;C:\Users\stu\Documents\GitHub\eaglep3-reporting\EC\2017-06-04-refined-times.txt</v>
      </c>
      <c r="AI2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{"issue":{"subject":"","project_id":79,"tracker_id":40,"status_id":1,"priority_id":2,"assigned_to_id":23,"start_date":"2017-06-04","description":"","custom_fields":[{"id":1,"name":"Subdivision","value":"EC"},{"id":4,"name":"Milepost","value":"0.0156"},{"id":17,"name":"Train ID","value":"116-04"},{"id":16,"name":"Locomotive ID","value":"4059"},{"id":130,"name":"Impact","value":""},{"id":150,"name":"Time of Event (Mountain Time)","value":"07:07:25"},{"id":151,"name":"Denver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9"/>
        <v>start /low /b %USERPROFILE%\Documents\GitHub\eaglep3\Utilities\DownloadLogsFromS3.py --loco 4059 --day 2017-06-04</v>
      </c>
      <c r="AN2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705</v>
      </c>
      <c r="B29" s="7">
        <v>4056</v>
      </c>
      <c r="C29" s="21" t="s">
        <v>204</v>
      </c>
      <c r="D29" s="21" t="s">
        <v>404</v>
      </c>
      <c r="E29" s="13">
        <v>42890.242407407408</v>
      </c>
      <c r="F29" s="13">
        <v>42890.243587962963</v>
      </c>
      <c r="G29" s="7">
        <v>1</v>
      </c>
      <c r="H29" s="21" t="s">
        <v>855</v>
      </c>
      <c r="I29" s="13">
        <v>42890.267627314817</v>
      </c>
      <c r="J29" s="7">
        <v>0</v>
      </c>
      <c r="K29" s="92" t="str">
        <f t="shared" si="0"/>
        <v>4055/4056</v>
      </c>
      <c r="L29" s="21" t="str">
        <f>VLOOKUP(A29,'Trips&amp;Operators'!$C$1:$G$99999,5,FALSE)</f>
        <v>NEWELL JAMES</v>
      </c>
      <c r="M29" s="6">
        <f t="shared" si="1"/>
        <v>2.4039351854298729E-2</v>
      </c>
      <c r="N29" s="7">
        <f t="shared" si="26"/>
        <v>34.61666667019017</v>
      </c>
      <c r="O29" s="7"/>
      <c r="P29" s="7"/>
      <c r="Q29" s="22"/>
      <c r="R29" s="173"/>
      <c r="S29" s="176">
        <f t="shared" si="2"/>
        <v>1</v>
      </c>
      <c r="T29" s="202" t="str">
        <f t="shared" si="3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4"/>
        <v>https://d0f6bd738d7f1b3e5a7ca70fe4ff75f0.us-east-1.aws.found.io/app/kibana#/discover/Steve-Slow-Train-Analysis-(2080s-and-2083s)?_g=(refreshInterval:(display:Off,pause:!f,section:0,value:0),time:(from:'2017-06-04T04:49:04-0600',mode:absolute,to:'2017-06-04T07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9" s="204" t="str">
        <f t="shared" si="5"/>
        <v>N</v>
      </c>
      <c r="X29" s="204">
        <f t="shared" si="31"/>
        <v>1</v>
      </c>
      <c r="Y29" s="204">
        <f t="shared" si="6"/>
        <v>4.7300000000000002E-2</v>
      </c>
      <c r="Z29" s="204">
        <f t="shared" si="7"/>
        <v>23.319600000000001</v>
      </c>
      <c r="AA29" s="204">
        <f t="shared" si="8"/>
        <v>23.272300000000001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9"/>
        <v>0117-04</v>
      </c>
      <c r="AE29" s="80" t="str">
        <f t="shared" si="10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29" s="77" t="str">
        <f t="shared" si="11"/>
        <v>"C:\Program Files (x86)\AstroGrep\AstroGrep.exe" /e /r /s /spath="%USERPROFILE%\AppData\Local\Temp\OnboardLogs" /stypes="app*4056*20170604*" /stext=" 12:.+((SYSTEM_STATE.+slice.+state.+changed )|(ment ac)|(multiple cpu faults)|(system.+state.+changed )|(\[timeout)|(PRM\|1\|D)|(kpr)|(kdp)|(train st.+moving)|(\|lc)|(penalty))"</v>
      </c>
      <c r="AG29" s="1" t="str">
        <f t="shared" si="12"/>
        <v>EC</v>
      </c>
      <c r="AH29" s="81" t="str">
        <f t="shared" si="27"/>
        <v>"%USERPROFILE%\Documents\GitHub\eaglep3\Utilities\RefineRTDCRunTimes.py" --tripid 117-04 --locoid 4056 --swversion DE.1.0.9.0 --startMP 204:473 --initTime 2017-06-04T05:49:04 --startdatetime 2017-06-04T05:50:46 --delay 1 --endMP 204:233196 --enddatetime 2017-06-04T06:25:23 --enforcementcount 0 &gt;&gt;C:\Users\stu\Documents\GitHub\eaglep3-reporting\EC\2017-06-04-refined-times.txt</v>
      </c>
      <c r="AI2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{"issue":{"subject":"","project_id":79,"tracker_id":40,"status_id":1,"priority_id":2,"assigned_to_id":23,"start_date":"2017-06-04","description":"","custom_fields":[{"id":1,"name":"Subdivision","value":"EC"},{"id":4,"name":"Milepost","value":"23.3196"},{"id":17,"name":"Train ID","value":"117-04"},{"id":16,"name":"Locomotive ID","value":"4056"},{"id":130,"name":"Impact","value":""},{"id":150,"name":"Time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9"/>
        <v>start /low /b %USERPROFILE%\Documents\GitHub\eaglep3\Utilities\DownloadLogsFromS3.py --loco 4056 --day 2017-06-04</v>
      </c>
      <c r="AN2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712</v>
      </c>
      <c r="B30" s="7">
        <v>4055</v>
      </c>
      <c r="C30" s="21" t="s">
        <v>204</v>
      </c>
      <c r="D30" s="21" t="s">
        <v>856</v>
      </c>
      <c r="E30" s="13">
        <v>42890.27003472222</v>
      </c>
      <c r="F30" s="13">
        <v>42890.279328703706</v>
      </c>
      <c r="G30" s="7">
        <v>1</v>
      </c>
      <c r="H30" s="21" t="s">
        <v>433</v>
      </c>
      <c r="I30" s="13">
        <v>42890.305219907408</v>
      </c>
      <c r="J30" s="7">
        <v>0</v>
      </c>
      <c r="K30" s="92" t="str">
        <f t="shared" si="0"/>
        <v>4055/4056</v>
      </c>
      <c r="L30" s="21" t="str">
        <f>VLOOKUP(A30,'Trips&amp;Operators'!$C$1:$G$99999,5,FALSE)</f>
        <v>NEWELL JAMES</v>
      </c>
      <c r="M30" s="6">
        <f t="shared" si="1"/>
        <v>2.5891203702485655E-2</v>
      </c>
      <c r="N30" s="7">
        <f t="shared" si="26"/>
        <v>37.283333331579342</v>
      </c>
      <c r="O30" s="7"/>
      <c r="P30" s="7"/>
      <c r="Q30" s="22"/>
      <c r="R30" s="173"/>
      <c r="S30" s="176">
        <f t="shared" si="2"/>
        <v>1</v>
      </c>
      <c r="T30" s="202" t="str">
        <f t="shared" si="3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4"/>
        <v>https://d0f6bd738d7f1b3e5a7ca70fe4ff75f0.us-east-1.aws.found.io/app/kibana#/discover/Steve-Slow-Train-Analysis-(2080s-and-2083s)?_g=(refreshInterval:(display:Off,pause:!f,section:0,value:0),time:(from:'2017-06-04T05:28:51-0600',mode:absolute,to:'2017-06-04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0" s="204" t="str">
        <f t="shared" si="5"/>
        <v>N</v>
      </c>
      <c r="X30" s="204">
        <f t="shared" si="31"/>
        <v>1</v>
      </c>
      <c r="Y30" s="204">
        <f t="shared" si="6"/>
        <v>23.2881</v>
      </c>
      <c r="Z30" s="204">
        <f t="shared" si="7"/>
        <v>1.61E-2</v>
      </c>
      <c r="AA30" s="204">
        <f t="shared" si="8"/>
        <v>23.271999999999998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9"/>
        <v>0118-04</v>
      </c>
      <c r="AE30" s="80" t="str">
        <f t="shared" si="10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30" s="77" t="str">
        <f t="shared" si="11"/>
        <v>"C:\Program Files (x86)\AstroGrep\AstroGrep.exe" /e /r /s /spath="%USERPROFILE%\AppData\Local\Temp\OnboardLogs" /stypes="app*4055*20170604*" /stext=" 13:.+((SYSTEM_STATE.+slice.+state.+changed )|(ment ac)|(multiple cpu faults)|(system.+state.+changed )|(\[timeout)|(PRM\|1\|D)|(kpr)|(kdp)|(train st.+moving)|(\|lc)|(penalty))"</v>
      </c>
      <c r="AG30" s="1" t="str">
        <f t="shared" si="12"/>
        <v>EC</v>
      </c>
      <c r="AH30" s="81" t="str">
        <f t="shared" si="27"/>
        <v>"%USERPROFILE%\Documents\GitHub\eaglep3\Utilities\RefineRTDCRunTimes.py" --tripid 118-04 --locoid 4055 --swversion DE.1.0.9.0 --startMP 204:232881 --initTime 2017-06-04T06:28:51 --startdatetime 2017-06-04T06:42:14 --delay 1 --endMP 204:161 --enddatetime 2017-06-04T07:19:31 --enforcementcount 0 &gt;&gt;C:\Users\stu\Documents\GitHub\eaglep3-reporting\EC\2017-06-04-refined-times.txt</v>
      </c>
      <c r="AI30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{"issue":{"subject":"","project_id":79,"tracker_id":40,"status_id":1,"priority_id":2,"assigned_to_id":23,"start_date":"2017-06-04","description":"","custom_fields":[{"id":1,"name":"Subdivision","value":"EC"},{"id":4,"name":"Milepost","value":"0.0161"},{"id":17,"name":"Train ID","value":"118-04"},{"id":16,"name":"Locomotive ID","value":"4055"},{"id":130,"name":"Impact","value":""},{"id":150,"name":"Time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9"/>
        <v>start /low /b %USERPROFILE%\Documents\GitHub\eaglep3\Utilities\DownloadLogsFromS3.py --loco 4055 --day 2017-06-04</v>
      </c>
      <c r="AN30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706</v>
      </c>
      <c r="B31" s="7">
        <v>4024</v>
      </c>
      <c r="C31" s="21" t="s">
        <v>204</v>
      </c>
      <c r="D31" s="21" t="s">
        <v>473</v>
      </c>
      <c r="E31" s="13">
        <v>42890.245648148149</v>
      </c>
      <c r="F31" s="13">
        <v>42890.250173611108</v>
      </c>
      <c r="G31" s="7">
        <v>3</v>
      </c>
      <c r="H31" s="21" t="s">
        <v>610</v>
      </c>
      <c r="I31" s="13">
        <v>42890.275509259256</v>
      </c>
      <c r="J31" s="7">
        <v>0</v>
      </c>
      <c r="K31" s="92" t="str">
        <f t="shared" si="0"/>
        <v>4023/4024</v>
      </c>
      <c r="L31" s="21" t="str">
        <f>VLOOKUP(A31,'Trips&amp;Operators'!$C$1:$G$99999,5,FALSE)</f>
        <v>GRASTON MATHEU</v>
      </c>
      <c r="M31" s="6">
        <f t="shared" si="1"/>
        <v>2.5335648148029577E-2</v>
      </c>
      <c r="N31" s="7">
        <f t="shared" si="26"/>
        <v>36.483333333162591</v>
      </c>
      <c r="O31" s="7"/>
      <c r="P31" s="7"/>
      <c r="Q31" s="22"/>
      <c r="R31" s="173"/>
      <c r="S31" s="176">
        <f t="shared" si="2"/>
        <v>1</v>
      </c>
      <c r="T31" s="202" t="str">
        <f t="shared" si="3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4"/>
        <v>https://d0f6bd738d7f1b3e5a7ca70fe4ff75f0.us-east-1.aws.found.io/app/kibana#/discover/Steve-Slow-Train-Analysis-(2080s-and-2083s)?_g=(refreshInterval:(display:Off,pause:!f,section:0,value:0),time:(from:'2017-06-04T04:53:44-0600',mode:absolute,to:'2017-06-04T07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1" s="204" t="str">
        <f t="shared" si="5"/>
        <v>N</v>
      </c>
      <c r="X31" s="204">
        <f t="shared" si="31"/>
        <v>1</v>
      </c>
      <c r="Y31" s="204">
        <f t="shared" si="6"/>
        <v>4.6899999999999997E-2</v>
      </c>
      <c r="Z31" s="204">
        <f t="shared" si="7"/>
        <v>23.330100000000002</v>
      </c>
      <c r="AA31" s="204">
        <f t="shared" si="8"/>
        <v>23.283200000000001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9"/>
        <v>0119-04</v>
      </c>
      <c r="AE31" s="80" t="str">
        <f t="shared" si="10"/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AF31" s="77" t="str">
        <f t="shared" si="11"/>
        <v>"C:\Program Files (x86)\AstroGrep\AstroGrep.exe" /e /r /s /spath="%USERPROFILE%\AppData\Local\Temp\OnboardLogs" /stypes="app*4024*20170604*" /stext=" 12:.+((SYSTEM_STATE.+slice.+state.+changed )|(ment ac)|(multiple cpu faults)|(system.+state.+changed )|(\[timeout)|(PRM\|1\|D)|(kpr)|(kdp)|(train st.+moving)|(\|lc)|(penalty))"</v>
      </c>
      <c r="AG31" s="1" t="str">
        <f t="shared" si="12"/>
        <v>EC</v>
      </c>
      <c r="AH31" s="81" t="str">
        <f t="shared" si="27"/>
        <v>"%USERPROFILE%\Documents\GitHub\eaglep3\Utilities\RefineRTDCRunTimes.py" --tripid 119-04 --locoid 4024 --swversion DE.1.0.9.0 --startMP 204:469 --initTime 2017-06-04T05:53:44 --startdatetime 2017-06-04T06:00:15 --delay 3 --endMP 204:233301 --enddatetime 2017-06-04T06:36:44 --enforcementcount 0 &gt;&gt;C:\Users\stu\Documents\GitHub\eaglep3-reporting\EC\2017-06-04-refined-times.txt</v>
      </c>
      <c r="AI31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{"issue":{"subject":"","project_id":79,"tracker_id":40,"status_id":1,"priority_id":2,"assigned_to_id":23,"start_date":"2017-06-04","description":"","custom_fields":[{"id":1,"name":"Subdivision","value":"EC"},{"id":4,"name":"Milepost","value":"23.3301"},{"id":17,"name":"Train ID","value":"119-04"},{"id":16,"name":"Locomotive ID","value":"4024"},{"id":130,"name":"Impact","value":""},{"id":150,"name":"Time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9"/>
        <v>start /low /b %USERPROFILE%\Documents\GitHub\eaglep3\Utilities\DownloadLogsFromS3.py --loco 4024 --day 2017-06-04</v>
      </c>
      <c r="AN31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714</v>
      </c>
      <c r="B32" s="7">
        <v>4023</v>
      </c>
      <c r="C32" s="21" t="s">
        <v>204</v>
      </c>
      <c r="D32" s="21" t="s">
        <v>507</v>
      </c>
      <c r="E32" s="13">
        <v>42890.279745370368</v>
      </c>
      <c r="F32" s="13">
        <v>42890.289780092593</v>
      </c>
      <c r="G32" s="7">
        <v>0</v>
      </c>
      <c r="H32" s="21" t="s">
        <v>195</v>
      </c>
      <c r="I32" s="13">
        <v>42890.316145833334</v>
      </c>
      <c r="J32" s="7">
        <v>0</v>
      </c>
      <c r="K32" s="92" t="str">
        <f t="shared" si="0"/>
        <v>4023/4024</v>
      </c>
      <c r="L32" s="21" t="str">
        <f>VLOOKUP(A32,'Trips&amp;Operators'!$C$1:$G$99999,5,FALSE)</f>
        <v>GRASTON MATHEU</v>
      </c>
      <c r="M32" s="6">
        <f t="shared" si="1"/>
        <v>2.6365740741312038E-2</v>
      </c>
      <c r="N32" s="7">
        <f t="shared" si="26"/>
        <v>37.966666667489335</v>
      </c>
      <c r="O32" s="7"/>
      <c r="P32" s="7"/>
      <c r="Q32" s="22"/>
      <c r="R32" s="173"/>
      <c r="S32" s="176">
        <f t="shared" si="2"/>
        <v>1</v>
      </c>
      <c r="T32" s="202" t="str">
        <f t="shared" si="3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4"/>
        <v>https://d0f6bd738d7f1b3e5a7ca70fe4ff75f0.us-east-1.aws.found.io/app/kibana#/discover/Steve-Slow-Train-Analysis-(2080s-and-2083s)?_g=(refreshInterval:(display:Off,pause:!f,section:0,value:0),time:(from:'2017-06-04T05:42:50-0600',mode:absolute,to:'2017-06-04T08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2" s="204" t="str">
        <f t="shared" si="5"/>
        <v>N</v>
      </c>
      <c r="X32" s="204">
        <f t="shared" si="31"/>
        <v>1</v>
      </c>
      <c r="Y32" s="204">
        <f t="shared" si="6"/>
        <v>23.2988</v>
      </c>
      <c r="Z32" s="204">
        <f t="shared" si="7"/>
        <v>1.52E-2</v>
      </c>
      <c r="AA32" s="204">
        <f t="shared" si="8"/>
        <v>23.2836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9"/>
        <v>0120-04</v>
      </c>
      <c r="AE32" s="80" t="str">
        <f t="shared" si="10"/>
        <v>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 &amp; aws s3 cp s3://rtdc.mdm.uploadarchive.raw/RTDC4023/ "%USERPROFILE%\AppData\Local\Temp\OnboardLogs"\RTDC4023\2017-06-05 --exclude "*" --recursive --include "*20170605*" &amp; "%USERPROFILE%\Documents\GitHub\mrs-test-scripts\Headless Mode &amp; Sideloading\WalkAndUnGZ.bat" "%USERPROFILE%\AppData\Local\Temp\OnboardLogs"\RTDC4023\2017-06-05</v>
      </c>
      <c r="AF32" s="77" t="str">
        <f t="shared" si="11"/>
        <v>"C:\Program Files (x86)\AstroGrep\AstroGrep.exe" /e /r /s /spath="%USERPROFILE%\AppData\Local\Temp\OnboardLogs" /stypes="app*4023*20170604*" /stext=" 13:.+((SYSTEM_STATE.+slice.+state.+changed )|(ment ac)|(multiple cpu faults)|(system.+state.+changed )|(\[timeout)|(PRM\|1\|D)|(kpr)|(kdp)|(train st.+moving)|(\|lc)|(penalty))"</v>
      </c>
      <c r="AG32" s="1" t="str">
        <f t="shared" si="12"/>
        <v>EC</v>
      </c>
      <c r="AH32" s="81" t="str">
        <f t="shared" si="27"/>
        <v>"%USERPROFILE%\Documents\GitHub\eaglep3\Utilities\RefineRTDCRunTimes.py" --tripid 120-04 --locoid 4023 --swversion DE.1.0.9.0 --startMP 204:232988 --initTime 2017-06-04T06:42:50 --startdatetime 2017-06-04T06:57:17 --delay 0 --endMP 204:152 --enddatetime 2017-06-04T07:35:15 --enforcementcount 0 &gt;&gt;C:\Users\stu\Documents\GitHub\eaglep3-reporting\EC\2017-06-04-refined-times.txt</v>
      </c>
      <c r="AI32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{"issue":{"subject":"","project_id":79,"tracker_id":40,"status_id":1,"priority_id":2,"assigned_to_id":23,"start_date":"2017-06-04","description":"","custom_fields":[{"id":1,"name":"Subdivision","value":"EC"},{"id":4,"name":"Milepost","value":"0.0152"},{"id":17,"name":"Train ID","value":"120-04"},{"id":16,"name":"Locomotive ID","value":"4023"},{"id":130,"name":"Impact","value":""},{"id":150,"name":"Time of Event (Mountain Time)","value":"07:35:15"},{"id":151,"name":"Denver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9"/>
        <v>start /low /b %USERPROFILE%\Documents\GitHub\eaglep3\Utilities\DownloadLogsFromS3.py --loco 4023 --day 2017-06-04</v>
      </c>
      <c r="AN32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708</v>
      </c>
      <c r="B33" s="7">
        <v>4004</v>
      </c>
      <c r="C33" s="21" t="s">
        <v>204</v>
      </c>
      <c r="D33" s="21" t="s">
        <v>201</v>
      </c>
      <c r="E33" s="13">
        <v>42890.254247685189</v>
      </c>
      <c r="F33" s="13">
        <v>42890.260625000003</v>
      </c>
      <c r="G33" s="7">
        <v>1</v>
      </c>
      <c r="H33" s="21" t="s">
        <v>857</v>
      </c>
      <c r="I33" s="13">
        <v>42890.285150462965</v>
      </c>
      <c r="J33" s="7">
        <v>0</v>
      </c>
      <c r="K33" s="92" t="str">
        <f t="shared" si="0"/>
        <v>4003/4004</v>
      </c>
      <c r="L33" s="21" t="str">
        <f>VLOOKUP(A33,'Trips&amp;Operators'!$C$1:$G$99999,5,FALSE)</f>
        <v>LALONDE GREGORY</v>
      </c>
      <c r="M33" s="6">
        <f t="shared" si="1"/>
        <v>2.4525462962628808E-2</v>
      </c>
      <c r="N33" s="7">
        <f t="shared" si="26"/>
        <v>35.316666666185483</v>
      </c>
      <c r="O33" s="7"/>
      <c r="P33" s="7"/>
      <c r="Q33" s="22"/>
      <c r="R33" s="173"/>
      <c r="S33" s="176">
        <f t="shared" si="2"/>
        <v>1</v>
      </c>
      <c r="T33" s="202" t="str">
        <f t="shared" si="3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4"/>
        <v>https://d0f6bd738d7f1b3e5a7ca70fe4ff75f0.us-east-1.aws.found.io/app/kibana#/discover/Steve-Slow-Train-Analysis-(2080s-and-2083s)?_g=(refreshInterval:(display:Off,pause:!f,section:0,value:0),time:(from:'2017-06-04T05:06:07-0600',mode:absolute,to:'2017-06-04T07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3" s="204" t="str">
        <f t="shared" si="5"/>
        <v>N</v>
      </c>
      <c r="X33" s="204">
        <f t="shared" si="31"/>
        <v>1</v>
      </c>
      <c r="Y33" s="204">
        <f t="shared" si="6"/>
        <v>4.5999999999999999E-2</v>
      </c>
      <c r="Z33" s="204">
        <f t="shared" si="7"/>
        <v>23.3368</v>
      </c>
      <c r="AA33" s="204">
        <f t="shared" si="8"/>
        <v>23.290800000000001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9"/>
        <v>0121-04</v>
      </c>
      <c r="AE33" s="80" t="str">
        <f t="shared" si="10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33" s="77" t="str">
        <f t="shared" si="11"/>
        <v>"C:\Program Files (x86)\AstroGrep\AstroGrep.exe" /e /r /s /spath="%USERPROFILE%\AppData\Local\Temp\OnboardLogs" /stypes="app*4004*20170604*" /stext=" 12:.+((SYSTEM_STATE.+slice.+state.+changed )|(ment ac)|(multiple cpu faults)|(system.+state.+changed )|(\[timeout)|(PRM\|1\|D)|(kpr)|(kdp)|(train st.+moving)|(\|lc)|(penalty))"</v>
      </c>
      <c r="AG33" s="1" t="str">
        <f t="shared" si="12"/>
        <v>EC</v>
      </c>
      <c r="AH33" s="81" t="str">
        <f t="shared" si="27"/>
        <v>"%USERPROFILE%\Documents\GitHub\eaglep3\Utilities\RefineRTDCRunTimes.py" --tripid 121-04 --locoid 4004 --swversion DE.1.0.9.0 --startMP 204:460 --initTime 2017-06-04T06:06:07 --startdatetime 2017-06-04T06:15:18 --delay 1 --endMP 204:233368 --enddatetime 2017-06-04T06:50:37 --enforcementcount 0 &gt;&gt;C:\Users\stu\Documents\GitHub\eaglep3-reporting\EC\2017-06-04-refined-times.txt</v>
      </c>
      <c r="AI33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{"issue":{"subject":"","project_id":79,"tracker_id":40,"status_id":1,"priority_id":2,"assigned_to_id":23,"start_date":"2017-06-04","description":"","custom_fields":[{"id":1,"name":"Subdivision","value":"EC"},{"id":4,"name":"Milepost","value":"23.3368"},{"id":17,"name":"Train ID","value":"121-04"},{"id":16,"name":"Locomotive ID","value":"4004"},{"id":130,"name":"Impact","value":""},{"id":150,"name":"Time of Event (Mountain Time)","value":"06:50:37"},{"id":151,"name":"Denver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9"/>
        <v>start /low /b %USERPROFILE%\Documents\GitHub\eaglep3\Utilities\DownloadLogsFromS3.py --loco 4004 --day 2017-06-04</v>
      </c>
      <c r="AN33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715</v>
      </c>
      <c r="B34" s="7">
        <v>4003</v>
      </c>
      <c r="C34" s="21" t="s">
        <v>204</v>
      </c>
      <c r="D34" s="21" t="s">
        <v>858</v>
      </c>
      <c r="E34" s="13">
        <v>42890.28634259259</v>
      </c>
      <c r="F34" s="13">
        <v>42890.300208333334</v>
      </c>
      <c r="G34" s="7">
        <v>1</v>
      </c>
      <c r="H34" s="21" t="s">
        <v>361</v>
      </c>
      <c r="I34" s="13">
        <v>42890.325729166667</v>
      </c>
      <c r="J34" s="7">
        <v>0</v>
      </c>
      <c r="K34" s="92" t="str">
        <f t="shared" si="0"/>
        <v>4003/4004</v>
      </c>
      <c r="L34" s="21" t="str">
        <f>VLOOKUP(A34,'Trips&amp;Operators'!$C$1:$G$99999,5,FALSE)</f>
        <v>LALONDE GREGORY</v>
      </c>
      <c r="M34" s="6">
        <f t="shared" si="1"/>
        <v>2.5520833332848269E-2</v>
      </c>
      <c r="N34" s="7">
        <f t="shared" si="26"/>
        <v>36.749999999301508</v>
      </c>
      <c r="O34" s="7"/>
      <c r="P34" s="7"/>
      <c r="Q34" s="22"/>
      <c r="R34" s="173"/>
      <c r="S34" s="176">
        <f t="shared" si="2"/>
        <v>1</v>
      </c>
      <c r="T34" s="202" t="str">
        <f t="shared" si="3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4"/>
        <v>https://d0f6bd738d7f1b3e5a7ca70fe4ff75f0.us-east-1.aws.found.io/app/kibana#/discover/Steve-Slow-Train-Analysis-(2080s-and-2083s)?_g=(refreshInterval:(display:Off,pause:!f,section:0,value:0),time:(from:'2017-06-04T05:52:20-0600',mode:absolute,to:'2017-06-04T08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4" s="204" t="str">
        <f t="shared" si="5"/>
        <v>N</v>
      </c>
      <c r="X34" s="204">
        <f t="shared" si="31"/>
        <v>1</v>
      </c>
      <c r="Y34" s="204">
        <f t="shared" si="6"/>
        <v>23.3034</v>
      </c>
      <c r="Z34" s="204">
        <f t="shared" si="7"/>
        <v>1.3899999999999999E-2</v>
      </c>
      <c r="AA34" s="204">
        <f t="shared" si="8"/>
        <v>23.2895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9"/>
        <v>0122-04</v>
      </c>
      <c r="AE34" s="80" t="str">
        <f t="shared" si="10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34" s="77" t="str">
        <f t="shared" si="11"/>
        <v>"C:\Program Files (x86)\AstroGrep\AstroGrep.exe" /e /r /s /spath="%USERPROFILE%\AppData\Local\Temp\OnboardLogs" /stypes="app*4003*20170604*" /stext=" 13:.+((SYSTEM_STATE.+slice.+state.+changed )|(ment ac)|(multiple cpu faults)|(system.+state.+changed )|(\[timeout)|(PRM\|1\|D)|(kpr)|(kdp)|(train st.+moving)|(\|lc)|(penalty))"</v>
      </c>
      <c r="AG34" s="1" t="str">
        <f t="shared" si="12"/>
        <v>EC</v>
      </c>
      <c r="AH34" s="81" t="str">
        <f t="shared" si="27"/>
        <v>"%USERPROFILE%\Documents\GitHub\eaglep3\Utilities\RefineRTDCRunTimes.py" --tripid 122-04 --locoid 4003 --swversion DE.1.0.9.0 --startMP 204:233034 --initTime 2017-06-04T06:52:20 --startdatetime 2017-06-04T07:12:18 --delay 1 --endMP 204:139 --enddatetime 2017-06-04T07:49:03 --enforcementcount 0 &gt;&gt;C:\Users\stu\Documents\GitHub\eaglep3-reporting\EC\2017-06-04-refined-times.txt</v>
      </c>
      <c r="AI34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{"issue":{"subject":"","project_id":79,"tracker_id":40,"status_id":1,"priority_id":2,"assigned_to_id":23,"start_date":"2017-06-04","description":"","custom_fields":[{"id":1,"name":"Subdivision","value":"EC"},{"id":4,"name":"Milepost","value":"0.0139"},{"id":17,"name":"Train ID","value":"122-04"},{"id":16,"name":"Locomotive ID","value":"4003"},{"id":130,"name":"Impact","value":""},{"id":150,"name":"Time of Event (Mountain Time)","value":"07:49:03"},{"id":151,"name":"Denver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9"/>
        <v>start /low /b %USERPROFILE%\Documents\GitHub\eaglep3\Utilities\DownloadLogsFromS3.py --loco 4003 --day 2017-06-04</v>
      </c>
      <c r="AN34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711</v>
      </c>
      <c r="B35" s="7">
        <v>4042</v>
      </c>
      <c r="C35" s="21" t="s">
        <v>204</v>
      </c>
      <c r="D35" s="21" t="s">
        <v>358</v>
      </c>
      <c r="E35" s="13">
        <v>42890.266875000001</v>
      </c>
      <c r="F35" s="13">
        <v>42890.271087962959</v>
      </c>
      <c r="G35" s="7">
        <v>1</v>
      </c>
      <c r="H35" s="21" t="s">
        <v>459</v>
      </c>
      <c r="I35" s="13">
        <v>42890.295231481483</v>
      </c>
      <c r="J35" s="7">
        <v>0</v>
      </c>
      <c r="K35" s="92" t="str">
        <f t="shared" si="0"/>
        <v>4041/4042</v>
      </c>
      <c r="L35" s="21" t="str">
        <f>VLOOKUP(A35,'Trips&amp;Operators'!$C$1:$G$99999,5,FALSE)</f>
        <v>GEBRETEKLE DAGNEW</v>
      </c>
      <c r="M35" s="6">
        <f t="shared" si="1"/>
        <v>2.4143518523487728E-2</v>
      </c>
      <c r="N35" s="7">
        <f t="shared" si="26"/>
        <v>34.766666673822328</v>
      </c>
      <c r="O35" s="7"/>
      <c r="P35" s="7"/>
      <c r="Q35" s="22"/>
      <c r="R35" s="173"/>
      <c r="S35" s="176">
        <f t="shared" si="2"/>
        <v>1</v>
      </c>
      <c r="T35" s="202" t="str">
        <f t="shared" si="3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4"/>
        <v>https://d0f6bd738d7f1b3e5a7ca70fe4ff75f0.us-east-1.aws.found.io/app/kibana#/discover/Steve-Slow-Train-Analysis-(2080s-and-2083s)?_g=(refreshInterval:(display:Off,pause:!f,section:0,value:0),time:(from:'2017-06-04T05:24:18-0600',mode:absolute,to:'2017-06-04T08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 t="shared" si="5"/>
        <v>N</v>
      </c>
      <c r="X35" s="204">
        <f t="shared" si="31"/>
        <v>1</v>
      </c>
      <c r="Y35" s="204">
        <f t="shared" si="6"/>
        <v>4.6399999999999997E-2</v>
      </c>
      <c r="Z35" s="204">
        <f t="shared" si="7"/>
        <v>23.329699999999999</v>
      </c>
      <c r="AA35" s="204">
        <f t="shared" si="8"/>
        <v>23.283300000000001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9"/>
        <v>0123-04</v>
      </c>
      <c r="AE35" s="80" t="str">
        <f t="shared" si="10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35" s="77" t="str">
        <f t="shared" si="11"/>
        <v>"C:\Program Files (x86)\AstroGrep\AstroGrep.exe" /e /r /s /spath="%USERPROFILE%\AppData\Local\Temp\OnboardLogs" /stypes="app*4042*20170604*" /stext=" 13:.+((SYSTEM_STATE.+slice.+state.+changed )|(ment ac)|(multiple cpu faults)|(system.+state.+changed )|(\[timeout)|(PRM\|1\|D)|(kpr)|(kdp)|(train st.+moving)|(\|lc)|(penalty))"</v>
      </c>
      <c r="AG35" s="1" t="str">
        <f t="shared" si="12"/>
        <v>EC</v>
      </c>
      <c r="AH35" s="81" t="str">
        <f t="shared" si="27"/>
        <v>"%USERPROFILE%\Documents\GitHub\eaglep3\Utilities\RefineRTDCRunTimes.py" --tripid 123-04 --locoid 4042 --swversion DE.1.0.9.0 --startMP 204:464 --initTime 2017-06-04T06:24:18 --startdatetime 2017-06-04T06:30:22 --delay 1 --endMP 204:233297 --enddatetime 2017-06-04T07:05:08 --enforcementcount 0 &gt;&gt;C:\Users\stu\Documents\GitHub\eaglep3-reporting\EC\2017-06-04-refined-times.txt</v>
      </c>
      <c r="AI35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{"issue":{"subject":"","project_id":79,"tracker_id":40,"status_id":1,"priority_id":2,"assigned_to_id":23,"start_date":"2017-06-04","description":"","custom_fields":[{"id":1,"name":"Subdivision","value":"EC"},{"id":4,"name":"Milepost","value":"23.3297"},{"id":17,"name":"Train ID","value":"123-04"},{"id":16,"name":"Locomotive ID","value":"4042"},{"id":130,"name":"Impact","value":""},{"id":150,"name":"Time of Event (Mountain Time)","value":"07:05:08"},{"id":151,"name":"Denver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9"/>
        <v>start /low /b %USERPROFILE%\Documents\GitHub\eaglep3\Utilities\DownloadLogsFromS3.py --loco 4042 --day 2017-06-04</v>
      </c>
      <c r="AN35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718</v>
      </c>
      <c r="B36" s="7">
        <v>4041</v>
      </c>
      <c r="C36" s="21" t="s">
        <v>204</v>
      </c>
      <c r="D36" s="21" t="s">
        <v>629</v>
      </c>
      <c r="E36" s="13">
        <v>42890.305590277778</v>
      </c>
      <c r="F36" s="13">
        <v>42890.310590277775</v>
      </c>
      <c r="G36" s="7">
        <v>1</v>
      </c>
      <c r="H36" s="21" t="s">
        <v>352</v>
      </c>
      <c r="I36" s="13">
        <v>42890.336921296293</v>
      </c>
      <c r="J36" s="7">
        <v>0</v>
      </c>
      <c r="K36" s="92" t="str">
        <f t="shared" si="0"/>
        <v>4041/4042</v>
      </c>
      <c r="L36" s="21" t="str">
        <f>VLOOKUP(A36,'Trips&amp;Operators'!$C$1:$G$99999,5,FALSE)</f>
        <v>GEBRETEKLE DAGNEW</v>
      </c>
      <c r="M36" s="6">
        <f t="shared" si="1"/>
        <v>2.6331018518249039E-2</v>
      </c>
      <c r="N36" s="7">
        <f t="shared" si="26"/>
        <v>37.916666666278616</v>
      </c>
      <c r="O36" s="7"/>
      <c r="P36" s="7"/>
      <c r="Q36" s="22"/>
      <c r="R36" s="173"/>
      <c r="S36" s="176">
        <f t="shared" si="2"/>
        <v>1</v>
      </c>
      <c r="T36" s="202" t="str">
        <f t="shared" si="3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4"/>
        <v>https://d0f6bd738d7f1b3e5a7ca70fe4ff75f0.us-east-1.aws.found.io/app/kibana#/discover/Steve-Slow-Train-Analysis-(2080s-and-2083s)?_g=(refreshInterval:(display:Off,pause:!f,section:0,value:0),time:(from:'2017-06-04T06:20:03-0600',mode:absolute,to:'2017-06-04T09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 t="shared" si="5"/>
        <v>N</v>
      </c>
      <c r="X36" s="204">
        <f t="shared" si="31"/>
        <v>1</v>
      </c>
      <c r="Y36" s="204">
        <f t="shared" si="6"/>
        <v>23.296900000000001</v>
      </c>
      <c r="Z36" s="204">
        <f t="shared" si="7"/>
        <v>1.4999999999999999E-2</v>
      </c>
      <c r="AA36" s="204">
        <f t="shared" si="8"/>
        <v>23.2819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9"/>
        <v>0124-04</v>
      </c>
      <c r="AE36" s="80" t="str">
        <f t="shared" si="10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36" s="77" t="str">
        <f t="shared" si="11"/>
        <v>"C:\Program Files (x86)\AstroGrep\AstroGrep.exe" /e /r /s /spath="%USERPROFILE%\AppData\Local\Temp\OnboardLogs" /stypes="app*4041*20170604*" /stext=" 14:.+((SYSTEM_STATE.+slice.+state.+changed )|(ment ac)|(multiple cpu faults)|(system.+state.+changed )|(\[timeout)|(PRM\|1\|D)|(kpr)|(kdp)|(train st.+moving)|(\|lc)|(penalty))"</v>
      </c>
      <c r="AG36" s="1" t="str">
        <f t="shared" si="12"/>
        <v>EC</v>
      </c>
      <c r="AH36" s="81" t="str">
        <f t="shared" si="27"/>
        <v>"%USERPROFILE%\Documents\GitHub\eaglep3\Utilities\RefineRTDCRunTimes.py" --tripid 124-04 --locoid 4041 --swversion DE.1.0.9.0 --startMP 204:232969 --initTime 2017-06-04T07:20:03 --startdatetime 2017-06-04T07:27:15 --delay 1 --endMP 204:150 --enddatetime 2017-06-04T08:05:10 --enforcementcount 0 &gt;&gt;C:\Users\stu\Documents\GitHub\eaglep3-reporting\EC\2017-06-04-refined-times.txt</v>
      </c>
      <c r="AI36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ID","value":"124-04"},{"id":16,"name":"Locomotive ID","value":"4041"},{"id":130,"name":"Impact","value":""},{"id":150,"name":"Time of Event (Mountain Time)","value":"08:05:10"},{"id":151,"name":"Denver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9"/>
        <v>start /low /b %USERPROFILE%\Documents\GitHub\eaglep3\Utilities\DownloadLogsFromS3.py --loco 4041 --day 2017-06-04</v>
      </c>
      <c r="AN36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713</v>
      </c>
      <c r="B37" s="7">
        <v>4012</v>
      </c>
      <c r="C37" s="21" t="s">
        <v>204</v>
      </c>
      <c r="D37" s="21" t="s">
        <v>859</v>
      </c>
      <c r="E37" s="13">
        <v>42890.27752314815</v>
      </c>
      <c r="F37" s="13">
        <v>42890.281631944446</v>
      </c>
      <c r="G37" s="7">
        <v>1</v>
      </c>
      <c r="H37" s="21" t="s">
        <v>475</v>
      </c>
      <c r="I37" s="13">
        <v>42890.306516203702</v>
      </c>
      <c r="J37" s="7">
        <v>0</v>
      </c>
      <c r="K37" s="92" t="str">
        <f t="shared" si="0"/>
        <v>4011/4012</v>
      </c>
      <c r="L37" s="21" t="str">
        <f>VLOOKUP(A37,'Trips&amp;Operators'!$C$1:$G$99999,5,FALSE)</f>
        <v>MAELZER KURT</v>
      </c>
      <c r="M37" s="6">
        <f t="shared" si="1"/>
        <v>2.488425925548654E-2</v>
      </c>
      <c r="N37" s="7">
        <f t="shared" si="26"/>
        <v>35.833333327900618</v>
      </c>
      <c r="O37" s="7"/>
      <c r="P37" s="7"/>
      <c r="Q37" s="22"/>
      <c r="R37" s="173"/>
      <c r="S37" s="176">
        <f t="shared" si="2"/>
        <v>1</v>
      </c>
      <c r="T37" s="202" t="str">
        <f t="shared" si="3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4"/>
        <v>https://d0f6bd738d7f1b3e5a7ca70fe4ff75f0.us-east-1.aws.found.io/app/kibana#/discover/Steve-Slow-Train-Analysis-(2080s-and-2083s)?_g=(refreshInterval:(display:Off,pause:!f,section:0,value:0),time:(from:'2017-06-04T05:39:38-0600',mode:absolute,to:'2017-06-04T08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204" t="str">
        <f t="shared" si="5"/>
        <v>N</v>
      </c>
      <c r="X37" s="204">
        <f t="shared" si="31"/>
        <v>1</v>
      </c>
      <c r="Y37" s="204">
        <f t="shared" si="6"/>
        <v>4.3999999999999997E-2</v>
      </c>
      <c r="Z37" s="204">
        <f t="shared" si="7"/>
        <v>23.331199999999999</v>
      </c>
      <c r="AA37" s="204">
        <f t="shared" si="8"/>
        <v>23.287199999999999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9"/>
        <v>0125-04</v>
      </c>
      <c r="AE37" s="80" t="str">
        <f t="shared" si="10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37" s="77" t="str">
        <f t="shared" si="11"/>
        <v>"C:\Program Files (x86)\AstroGrep\AstroGrep.exe" /e /r /s /spath="%USERPROFILE%\AppData\Local\Temp\OnboardLogs" /stypes="app*4012*20170604*" /stext=" 13:.+((SYSTEM_STATE.+slice.+state.+changed )|(ment ac)|(multiple cpu faults)|(system.+state.+changed )|(\[timeout)|(PRM\|1\|D)|(kpr)|(kdp)|(train st.+moving)|(\|lc)|(penalty))"</v>
      </c>
      <c r="AG37" s="1" t="str">
        <f t="shared" si="12"/>
        <v>EC</v>
      </c>
      <c r="AH37" s="81" t="str">
        <f t="shared" si="27"/>
        <v>"%USERPROFILE%\Documents\GitHub\eaglep3\Utilities\RefineRTDCRunTimes.py" --tripid 125-04 --locoid 4012 --swversion DE.1.0.9.0 --startMP 204:440 --initTime 2017-06-04T06:39:38 --startdatetime 2017-06-04T06:45:33 --delay 1 --endMP 204:233312 --enddatetime 2017-06-04T07:21:23 --enforcementcount 0 &gt;&gt;C:\Users\stu\Documents\GitHub\eaglep3-reporting\EC\2017-06-04-refined-times.txt</v>
      </c>
      <c r="AI3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{"issue":{"subject":"","project_id":79,"tracker_id":40,"status_id":1,"priority_id":2,"assigned_to_id":23,"start_date":"2017-06-04","description":"","custom_fields":[{"id":1,"name":"Subdivision","value":"EC"},{"id":4,"name":"Milepost","value":"23.3312"},{"id":17,"name":"Train ID","value":"125-04"},{"id":16,"name":"Locomotive ID","value":"4012"},{"id":130,"name":"Impact","value":""},{"id":150,"name":"Time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9"/>
        <v>start /low /b %USERPROFILE%\Documents\GitHub\eaglep3\Utilities\DownloadLogsFromS3.py --loco 4012 --day 2017-06-04</v>
      </c>
      <c r="AN3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719</v>
      </c>
      <c r="B38" s="7">
        <v>4011</v>
      </c>
      <c r="C38" s="21" t="s">
        <v>204</v>
      </c>
      <c r="D38" s="21" t="s">
        <v>557</v>
      </c>
      <c r="E38" s="13">
        <v>42890.314687500002</v>
      </c>
      <c r="F38" s="13">
        <v>42890.321168981478</v>
      </c>
      <c r="G38" s="7">
        <v>1</v>
      </c>
      <c r="H38" s="21" t="s">
        <v>196</v>
      </c>
      <c r="I38" s="13">
        <v>42890.350729166668</v>
      </c>
      <c r="J38" s="7">
        <v>0</v>
      </c>
      <c r="K38" s="92" t="str">
        <f t="shared" si="0"/>
        <v>4011/4012</v>
      </c>
      <c r="L38" s="21" t="str">
        <f>VLOOKUP(A38,'Trips&amp;Operators'!$C$1:$G$99999,5,FALSE)</f>
        <v>MAELZER KURT</v>
      </c>
      <c r="M38" s="6">
        <f t="shared" si="1"/>
        <v>2.956018519034842E-2</v>
      </c>
      <c r="N38" s="7">
        <f t="shared" si="26"/>
        <v>42.566666674101725</v>
      </c>
      <c r="O38" s="7"/>
      <c r="P38" s="7"/>
      <c r="Q38" s="22"/>
      <c r="R38" s="173"/>
      <c r="S38" s="176">
        <f t="shared" si="2"/>
        <v>1</v>
      </c>
      <c r="T38" s="202" t="str">
        <f t="shared" si="3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4"/>
        <v>https://d0f6bd738d7f1b3e5a7ca70fe4ff75f0.us-east-1.aws.found.io/app/kibana#/discover/Steve-Slow-Train-Analysis-(2080s-and-2083s)?_g=(refreshInterval:(display:Off,pause:!f,section:0,value:0),time:(from:'2017-06-04T06:33:09-0600',mode:absolute,to:'2017-06-04T09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8" s="204" t="str">
        <f t="shared" si="5"/>
        <v>N</v>
      </c>
      <c r="X38" s="204">
        <f t="shared" si="31"/>
        <v>1</v>
      </c>
      <c r="Y38" s="204">
        <f t="shared" si="6"/>
        <v>23.298100000000002</v>
      </c>
      <c r="Z38" s="204">
        <f t="shared" si="7"/>
        <v>1.5800000000000002E-2</v>
      </c>
      <c r="AA38" s="204">
        <f t="shared" si="8"/>
        <v>23.282300000000003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9"/>
        <v>0126-04</v>
      </c>
      <c r="AE38" s="80" t="str">
        <f t="shared" si="10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38" s="77" t="str">
        <f t="shared" si="11"/>
        <v>"C:\Program Files (x86)\AstroGrep\AstroGrep.exe" /e /r /s /spath="%USERPROFILE%\AppData\Local\Temp\OnboardLogs" /stypes="app*4011*20170604*" /stext=" 14:.+((SYSTEM_STATE.+slice.+state.+changed )|(ment ac)|(multiple cpu faults)|(system.+state.+changed )|(\[timeout)|(PRM\|1\|D)|(kpr)|(kdp)|(train st.+moving)|(\|lc)|(penalty))"</v>
      </c>
      <c r="AG38" s="1" t="str">
        <f t="shared" si="12"/>
        <v>EC</v>
      </c>
      <c r="AH38" s="81" t="str">
        <f t="shared" si="27"/>
        <v>"%USERPROFILE%\Documents\GitHub\eaglep3\Utilities\RefineRTDCRunTimes.py" --tripid 126-04 --locoid 4011 --swversion DE.1.0.9.0 --startMP 204:232981 --initTime 2017-06-04T07:33:09 --startdatetime 2017-06-04T07:42:29 --delay 1 --endMP 204:158 --enddatetime 2017-06-04T08:25:03 --enforcementcount 0 &gt;&gt;C:\Users\stu\Documents\GitHub\eaglep3-reporting\EC\2017-06-04-refined-times.txt</v>
      </c>
      <c r="AI3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{"issue":{"subject":"","project_id":79,"tracker_id":40,"status_id":1,"priority_id":2,"assigned_to_id":23,"start_date":"2017-06-04","description":"","custom_fields":[{"id":1,"name":"Subdivision","value":"EC"},{"id":4,"name":"Milepost","value":"0.0158"},{"id":17,"name":"Train ID","value":"126-04"},{"id":16,"name":"Locomotive ID","value":"4011"},{"id":130,"name":"Impact","value":""},{"id":150,"name":"Time of Event (Mountain Time)","value":"08:25:03"},{"id":151,"name":"Denver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9"/>
        <v>start /low /b %USERPROFILE%\Documents\GitHub\eaglep3\Utilities\DownloadLogsFromS3.py --loco 4011 --day 2017-06-04</v>
      </c>
      <c r="AN3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716</v>
      </c>
      <c r="B39" s="7">
        <v>4040</v>
      </c>
      <c r="C39" s="21" t="s">
        <v>204</v>
      </c>
      <c r="D39" s="21" t="s">
        <v>556</v>
      </c>
      <c r="E39" s="13">
        <v>42890.288958333331</v>
      </c>
      <c r="F39" s="13">
        <v>42890.291817129626</v>
      </c>
      <c r="G39" s="7">
        <v>1</v>
      </c>
      <c r="H39" s="21" t="s">
        <v>561</v>
      </c>
      <c r="I39" s="13">
        <v>42890.316967592589</v>
      </c>
      <c r="J39" s="7">
        <v>0</v>
      </c>
      <c r="K39" s="92" t="str">
        <f t="shared" si="0"/>
        <v>4039/4040</v>
      </c>
      <c r="L39" s="21" t="str">
        <f>VLOOKUP(A39,'Trips&amp;Operators'!$C$1:$G$99999,5,FALSE)</f>
        <v>GUZMAN DANNY</v>
      </c>
      <c r="M39" s="6">
        <f t="shared" si="1"/>
        <v>2.5150462963210884E-2</v>
      </c>
      <c r="N39" s="7">
        <f t="shared" si="26"/>
        <v>36.216666667023674</v>
      </c>
      <c r="O39" s="7"/>
      <c r="P39" s="7"/>
      <c r="Q39" s="22"/>
      <c r="R39" s="173"/>
      <c r="S39" s="176">
        <f t="shared" si="2"/>
        <v>1</v>
      </c>
      <c r="T39" s="202" t="str">
        <f t="shared" si="3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4"/>
        <v>https://d0f6bd738d7f1b3e5a7ca70fe4ff75f0.us-east-1.aws.found.io/app/kibana#/discover/Steve-Slow-Train-Analysis-(2080s-and-2083s)?_g=(refreshInterval:(display:Off,pause:!f,section:0,value:0),time:(from:'2017-06-04T05:56:06-0600',mode:absolute,to:'2017-06-04T08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204" t="str">
        <f t="shared" si="5"/>
        <v>N</v>
      </c>
      <c r="X39" s="204">
        <f t="shared" si="31"/>
        <v>1</v>
      </c>
      <c r="Y39" s="204">
        <f t="shared" si="6"/>
        <v>4.8000000000000001E-2</v>
      </c>
      <c r="Z39" s="204">
        <f t="shared" si="7"/>
        <v>23.329899999999999</v>
      </c>
      <c r="AA39" s="204">
        <f t="shared" si="8"/>
        <v>23.2819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9"/>
        <v>0127-04</v>
      </c>
      <c r="AE39" s="80" t="str">
        <f t="shared" si="10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39" s="77" t="str">
        <f t="shared" si="11"/>
        <v>"C:\Program Files (x86)\AstroGrep\AstroGrep.exe" /e /r /s /spath="%USERPROFILE%\AppData\Local\Temp\OnboardLogs" /stypes="app*4040*20170604*" /stext=" 13:.+((SYSTEM_STATE.+slice.+state.+changed )|(ment ac)|(multiple cpu faults)|(system.+state.+changed )|(\[timeout)|(PRM\|1\|D)|(kpr)|(kdp)|(train st.+moving)|(\|lc)|(penalty))"</v>
      </c>
      <c r="AG39" s="1" t="str">
        <f t="shared" si="12"/>
        <v>EC</v>
      </c>
      <c r="AH39" s="81" t="str">
        <f t="shared" si="27"/>
        <v>"%USERPROFILE%\Documents\GitHub\eaglep3\Utilities\RefineRTDCRunTimes.py" --tripid 127-04 --locoid 4040 --swversion DE.1.0.9.0 --startMP 204:480 --initTime 2017-06-04T06:56:06 --startdatetime 2017-06-04T07:00:13 --delay 1 --endMP 204:233299 --enddatetime 2017-06-04T07:36:26 --enforcementcount 0 &gt;&gt;C:\Users\stu\Documents\GitHub\eaglep3-reporting\EC\2017-06-04-refined-times.txt</v>
      </c>
      <c r="AI3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{"issue":{"subject":"","project_id":79,"tracker_id":40,"status_id":1,"priority_id":2,"assigned_to_id":23,"start_date":"2017-06-04","description":"","custom_fields":[{"id":1,"name":"Subdivision","value":"EC"},{"id":4,"name":"Milepost","value":"23.3299"},{"id":17,"name":"Train ID","value":"127-04"},{"id":16,"name":"Locomotive ID","value":"4040"},{"id":130,"name":"Impact","value":""},{"id":150,"name":"Time of Event (Mountain Time)","value":"07:36:26"},{"id":151,"name":"Denver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9"/>
        <v>start /low /b %USERPROFILE%\Documents\GitHub\eaglep3\Utilities\DownloadLogsFromS3.py --loco 4040 --day 2017-06-04</v>
      </c>
      <c r="AN3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722</v>
      </c>
      <c r="B40" s="7">
        <v>4039</v>
      </c>
      <c r="C40" s="21" t="s">
        <v>204</v>
      </c>
      <c r="D40" s="21" t="s">
        <v>432</v>
      </c>
      <c r="E40" s="13">
        <v>42890.318877314814</v>
      </c>
      <c r="F40" s="13">
        <v>42890.331435185188</v>
      </c>
      <c r="G40" s="7">
        <v>1</v>
      </c>
      <c r="H40" s="21" t="s">
        <v>466</v>
      </c>
      <c r="I40" s="13">
        <v>42890.358865740738</v>
      </c>
      <c r="J40" s="7">
        <v>0</v>
      </c>
      <c r="K40" s="92" t="str">
        <f t="shared" si="0"/>
        <v>4039/4040</v>
      </c>
      <c r="L40" s="21" t="str">
        <f>VLOOKUP(A40,'Trips&amp;Operators'!$C$1:$G$99999,5,FALSE)</f>
        <v>GUZMAN DANNY</v>
      </c>
      <c r="M40" s="6">
        <f t="shared" si="1"/>
        <v>2.7430555550381541E-2</v>
      </c>
      <c r="N40" s="7">
        <f t="shared" si="26"/>
        <v>39.499999992549419</v>
      </c>
      <c r="O40" s="7"/>
      <c r="P40" s="7"/>
      <c r="Q40" s="22"/>
      <c r="R40" s="173"/>
      <c r="S40" s="176">
        <f t="shared" si="2"/>
        <v>1</v>
      </c>
      <c r="T40" s="202" t="str">
        <f t="shared" si="3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4"/>
        <v>https://d0f6bd738d7f1b3e5a7ca70fe4ff75f0.us-east-1.aws.found.io/app/kibana#/discover/Steve-Slow-Train-Analysis-(2080s-and-2083s)?_g=(refreshInterval:(display:Off,pause:!f,section:0,value:0),time:(from:'2017-06-04T06:39:11-0600',mode:absolute,to:'2017-06-04T09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204" t="str">
        <f t="shared" si="5"/>
        <v>N</v>
      </c>
      <c r="X40" s="204">
        <f t="shared" si="31"/>
        <v>1</v>
      </c>
      <c r="Y40" s="204">
        <f t="shared" si="6"/>
        <v>23.299800000000001</v>
      </c>
      <c r="Z40" s="204">
        <f t="shared" si="7"/>
        <v>1.5599999999999999E-2</v>
      </c>
      <c r="AA40" s="204">
        <f t="shared" si="8"/>
        <v>23.284200000000002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9"/>
        <v>0128-04</v>
      </c>
      <c r="AE40" s="80" t="str">
        <f t="shared" si="10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40" s="77" t="str">
        <f t="shared" si="11"/>
        <v>"C:\Program Files (x86)\AstroGrep\AstroGrep.exe" /e /r /s /spath="%USERPROFILE%\AppData\Local\Temp\OnboardLogs" /stypes="app*4039*20170604*" /stext=" 14:.+((SYSTEM_STATE.+slice.+state.+changed )|(ment ac)|(multiple cpu faults)|(system.+state.+changed )|(\[timeout)|(PRM\|1\|D)|(kpr)|(kdp)|(train st.+moving)|(\|lc)|(penalty))"</v>
      </c>
      <c r="AG40" s="1" t="str">
        <f t="shared" si="12"/>
        <v>EC</v>
      </c>
      <c r="AH40" s="81" t="str">
        <f t="shared" si="27"/>
        <v>"%USERPROFILE%\Documents\GitHub\eaglep3\Utilities\RefineRTDCRunTimes.py" --tripid 128-04 --locoid 4039 --swversion DE.1.0.9.0 --startMP 204:232998 --initTime 2017-06-04T07:39:11 --startdatetime 2017-06-04T07:57:16 --delay 1 --endMP 204:156 --enddatetime 2017-06-04T08:36:46 --enforcementcount 0 &gt;&gt;C:\Users\stu\Documents\GitHub\eaglep3-reporting\EC\2017-06-04-refined-times.txt</v>
      </c>
      <c r="AI40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{"issue":{"subject":"","project_id":79,"tracker_id":40,"status_id":1,"priority_id":2,"assigned_to_id":23,"start_date":"2017-06-04","description":"","custom_fields":[{"id":1,"name":"Subdivision","value":"EC"},{"id":4,"name":"Milepost","value":"0.0156"},{"id":17,"name":"Train ID","value":"128-04"},{"id":16,"name":"Locomotive ID","value":"4039"},{"id":130,"name":"Impact","value":""},{"id":150,"name":"Time of Event (Mountain Time)","value":"08:36:46"},{"id":151,"name":"Denver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9"/>
        <v>start /low /b %USERPROFILE%\Documents\GitHub\eaglep3\Utilities\DownloadLogsFromS3.py --loco 4039 --day 2017-06-04</v>
      </c>
      <c r="AN40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652</v>
      </c>
      <c r="B41" s="7">
        <v>4060</v>
      </c>
      <c r="C41" s="21" t="s">
        <v>204</v>
      </c>
      <c r="D41" s="21" t="s">
        <v>349</v>
      </c>
      <c r="E41" s="13">
        <v>42890.298750000002</v>
      </c>
      <c r="F41" s="13">
        <v>42890.30232638889</v>
      </c>
      <c r="G41" s="7">
        <v>1</v>
      </c>
      <c r="H41" s="21" t="s">
        <v>613</v>
      </c>
      <c r="I41" s="13">
        <v>42890.332361111112</v>
      </c>
      <c r="J41" s="7">
        <v>0</v>
      </c>
      <c r="K41" s="92" t="str">
        <f t="shared" si="0"/>
        <v>4059/4060</v>
      </c>
      <c r="L41" s="21" t="str">
        <f>VLOOKUP(A41,'Trips&amp;Operators'!$C$1:$G$99999,5,FALSE)</f>
        <v>WILLIAMS DONTE</v>
      </c>
      <c r="M41" s="6">
        <f t="shared" si="1"/>
        <v>3.0034722221898846E-2</v>
      </c>
      <c r="N41" s="7">
        <f t="shared" si="26"/>
        <v>43.249999999534339</v>
      </c>
      <c r="O41" s="7"/>
      <c r="P41" s="7"/>
      <c r="Q41" s="22"/>
      <c r="R41" s="173"/>
      <c r="S41" s="176">
        <f t="shared" si="2"/>
        <v>1</v>
      </c>
      <c r="T41" s="202" t="str">
        <f t="shared" si="3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4"/>
        <v>https://d0f6bd738d7f1b3e5a7ca70fe4ff75f0.us-east-1.aws.found.io/app/kibana#/discover/Steve-Slow-Train-Analysis-(2080s-and-2083s)?_g=(refreshInterval:(display:Off,pause:!f,section:0,value:0),time:(from:'2017-06-04T06:10:12-0600',mode:absolute,to:'2017-06-04T08:58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1" s="204" t="str">
        <f t="shared" si="5"/>
        <v>N</v>
      </c>
      <c r="X41" s="204">
        <f t="shared" si="31"/>
        <v>1</v>
      </c>
      <c r="Y41" s="204">
        <f t="shared" si="6"/>
        <v>4.4600000000000001E-2</v>
      </c>
      <c r="Z41" s="204">
        <f t="shared" si="7"/>
        <v>23.331</v>
      </c>
      <c r="AA41" s="204">
        <f t="shared" si="8"/>
        <v>23.2864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9"/>
        <v>0129-04</v>
      </c>
      <c r="AE41" s="80" t="str">
        <f t="shared" si="10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41" s="77" t="str">
        <f t="shared" si="11"/>
        <v>"C:\Program Files (x86)\AstroGrep\AstroGrep.exe" /e /r /s /spath="%USERPROFILE%\AppData\Local\Temp\OnboardLogs" /stypes="app*4060*20170604*" /stext=" 13:.+((SYSTEM_STATE.+slice.+state.+changed )|(ment ac)|(multiple cpu faults)|(system.+state.+changed )|(\[timeout)|(PRM\|1\|D)|(kpr)|(kdp)|(train st.+moving)|(\|lc)|(penalty))"</v>
      </c>
      <c r="AG41" s="1" t="str">
        <f t="shared" si="12"/>
        <v>EC</v>
      </c>
      <c r="AH41" s="81" t="str">
        <f t="shared" si="27"/>
        <v>"%USERPROFILE%\Documents\GitHub\eaglep3\Utilities\RefineRTDCRunTimes.py" --tripid 129-04 --locoid 4060 --swversion DE.1.0.9.0 --startMP 204:446 --initTime 2017-06-04T07:10:12 --startdatetime 2017-06-04T07:15:21 --delay 1 --endMP 204:233310 --enddatetime 2017-06-04T07:58:36 --enforcementcount 0 &gt;&gt;C:\Users\stu\Documents\GitHub\eaglep3-reporting\EC\2017-06-04-refined-times.txt</v>
      </c>
      <c r="AI41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{"issue":{"subject":"","project_id":79,"tracker_id":40,"status_id":1,"priority_id":2,"assigned_to_id":23,"start_date":"2017-06-04","description":"","custom_fields":[{"id":1,"name":"Subdivision","value":"EC"},{"id":4,"name":"Milepost","value":"23.331"},{"id":17,"name":"Train ID","value":"129-04"},{"id":16,"name":"Locomotive ID","value":"4060"},{"id":130,"name":"Impact","value":""},{"id":150,"name":"Time of Event (Mountain Time)","value":"07:58:36"},{"id":151,"name":"Denver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9"/>
        <v>start /low /b %USERPROFILE%\Documents\GitHub\eaglep3\Utilities\DownloadLogsFromS3.py --loco 4060 --day 2017-06-04</v>
      </c>
      <c r="AN41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13:58:36"},{"id":29,"name":"Sharepoint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725</v>
      </c>
      <c r="B42" s="7">
        <v>4059</v>
      </c>
      <c r="C42" s="21" t="s">
        <v>204</v>
      </c>
      <c r="D42" s="21" t="s">
        <v>488</v>
      </c>
      <c r="E42" s="13">
        <v>42890.334398148145</v>
      </c>
      <c r="F42" s="13">
        <v>42890.342395833337</v>
      </c>
      <c r="G42" s="7">
        <v>1</v>
      </c>
      <c r="H42" s="21" t="s">
        <v>196</v>
      </c>
      <c r="I42" s="13">
        <v>42890.369953703703</v>
      </c>
      <c r="J42" s="7">
        <v>0</v>
      </c>
      <c r="K42" s="92" t="str">
        <f t="shared" si="0"/>
        <v>4059/4060</v>
      </c>
      <c r="L42" s="21" t="str">
        <f>VLOOKUP(A42,'Trips&amp;Operators'!$C$1:$G$99999,5,FALSE)</f>
        <v>WILLIAMS DONTE</v>
      </c>
      <c r="M42" s="6">
        <f t="shared" si="1"/>
        <v>2.7557870365853887E-2</v>
      </c>
      <c r="N42" s="7">
        <f t="shared" si="26"/>
        <v>39.683333326829597</v>
      </c>
      <c r="O42" s="7"/>
      <c r="P42" s="7"/>
      <c r="Q42" s="22"/>
      <c r="R42" s="173"/>
      <c r="S42" s="176">
        <f t="shared" si="2"/>
        <v>1</v>
      </c>
      <c r="T42" s="202" t="str">
        <f t="shared" si="3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4"/>
        <v>https://d0f6bd738d7f1b3e5a7ca70fe4ff75f0.us-east-1.aws.found.io/app/kibana#/discover/Steve-Slow-Train-Analysis-(2080s-and-2083s)?_g=(refreshInterval:(display:Off,pause:!f,section:0,value:0),time:(from:'2017-06-04T07:01:32-0600',mode:absolute,to:'2017-06-04T09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2" s="204" t="str">
        <f t="shared" si="5"/>
        <v>N</v>
      </c>
      <c r="X42" s="204">
        <f t="shared" si="31"/>
        <v>1</v>
      </c>
      <c r="Y42" s="204">
        <f t="shared" si="6"/>
        <v>23.3002</v>
      </c>
      <c r="Z42" s="204">
        <f t="shared" si="7"/>
        <v>1.5800000000000002E-2</v>
      </c>
      <c r="AA42" s="204">
        <f t="shared" si="8"/>
        <v>23.284400000000002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9"/>
        <v>0130-04</v>
      </c>
      <c r="AE42" s="80" t="str">
        <f t="shared" si="10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42" s="77" t="str">
        <f t="shared" si="11"/>
        <v>"C:\Program Files (x86)\AstroGrep\AstroGrep.exe" /e /r /s /spath="%USERPROFILE%\AppData\Local\Temp\OnboardLogs" /stypes="app*4059*20170604*" /stext=" 14:.+((SYSTEM_STATE.+slice.+state.+changed )|(ment ac)|(multiple cpu faults)|(system.+state.+changed )|(\[timeout)|(PRM\|1\|D)|(kpr)|(kdp)|(train st.+moving)|(\|lc)|(penalty))"</v>
      </c>
      <c r="AG42" s="1" t="str">
        <f t="shared" si="12"/>
        <v>EC</v>
      </c>
      <c r="AH42" s="81" t="str">
        <f t="shared" si="27"/>
        <v>"%USERPROFILE%\Documents\GitHub\eaglep3\Utilities\RefineRTDCRunTimes.py" --tripid 130-04 --locoid 4059 --swversion DE.1.0.9.0 --startMP 204:233002 --initTime 2017-06-04T08:01:32 --startdatetime 2017-06-04T08:13:03 --delay 1 --endMP 204:158 --enddatetime 2017-06-04T08:52:44 --enforcementcount 0 &gt;&gt;C:\Users\stu\Documents\GitHub\eaglep3-reporting\EC\2017-06-04-refined-times.txt</v>
      </c>
      <c r="AI42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{"issue":{"subject":"","project_id":79,"tracker_id":40,"status_id":1,"priority_id":2,"assigned_to_id":23,"start_date":"2017-06-04","description":"","custom_fields":[{"id":1,"name":"Subdivision","value":"EC"},{"id":4,"name":"Milepost","value":"0.0158"},{"id":17,"name":"Train ID","value":"130-04"},{"id":16,"name":"Locomotive ID","value":"4059"},{"id":130,"name":"Impact","value":""},{"id":150,"name":"Time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9"/>
        <v>start /low /b %USERPROFILE%\Documents\GitHub\eaglep3\Utilities\DownloadLogsFromS3.py --loco 4059 --day 2017-06-04</v>
      </c>
      <c r="AN42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654</v>
      </c>
      <c r="B43" s="7">
        <v>4056</v>
      </c>
      <c r="C43" s="21" t="s">
        <v>204</v>
      </c>
      <c r="D43" s="21" t="s">
        <v>359</v>
      </c>
      <c r="E43" s="13">
        <v>42890.306597222225</v>
      </c>
      <c r="F43" s="13">
        <v>42890.312824074077</v>
      </c>
      <c r="G43" s="7">
        <v>1</v>
      </c>
      <c r="H43" s="21" t="s">
        <v>860</v>
      </c>
      <c r="I43" s="13">
        <v>42890.339780092596</v>
      </c>
      <c r="J43" s="7">
        <v>0</v>
      </c>
      <c r="K43" s="92" t="str">
        <f t="shared" si="0"/>
        <v>4055/4056</v>
      </c>
      <c r="L43" s="21" t="str">
        <f>VLOOKUP(A43,'Trips&amp;Operators'!$C$1:$G$99999,5,FALSE)</f>
        <v>MACDONALD THOMAS</v>
      </c>
      <c r="M43" s="6">
        <f t="shared" si="1"/>
        <v>2.6956018518831115E-2</v>
      </c>
      <c r="N43" s="7">
        <f t="shared" si="26"/>
        <v>38.816666667116806</v>
      </c>
      <c r="O43" s="7"/>
      <c r="P43" s="7"/>
      <c r="Q43" s="22"/>
      <c r="R43" s="173"/>
      <c r="S43" s="176">
        <f t="shared" si="2"/>
        <v>1</v>
      </c>
      <c r="T43" s="202" t="str">
        <f t="shared" si="3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4"/>
        <v>https://d0f6bd738d7f1b3e5a7ca70fe4ff75f0.us-east-1.aws.found.io/app/kibana#/discover/Steve-Slow-Train-Analysis-(2080s-and-2083s)?_g=(refreshInterval:(display:Off,pause:!f,section:0,value:0),time:(from:'2017-06-04T06:21:30-0600',mode:absolute,to:'2017-06-04T09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3" s="204" t="str">
        <f t="shared" si="5"/>
        <v>N</v>
      </c>
      <c r="X43" s="204">
        <f t="shared" si="31"/>
        <v>1</v>
      </c>
      <c r="Y43" s="204">
        <f t="shared" si="6"/>
        <v>4.53E-2</v>
      </c>
      <c r="Z43" s="204">
        <f t="shared" si="7"/>
        <v>23.323</v>
      </c>
      <c r="AA43" s="204">
        <f t="shared" si="8"/>
        <v>23.277699999999999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9"/>
        <v>0131-04</v>
      </c>
      <c r="AE43" s="80" t="str">
        <f t="shared" si="10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43" s="77" t="str">
        <f t="shared" si="11"/>
        <v>"C:\Program Files (x86)\AstroGrep\AstroGrep.exe" /e /r /s /spath="%USERPROFILE%\AppData\Local\Temp\OnboardLogs" /stypes="app*4056*20170604*" /stext=" 14:.+((SYSTEM_STATE.+slice.+state.+changed )|(ment ac)|(multiple cpu faults)|(system.+state.+changed )|(\[timeout)|(PRM\|1\|D)|(kpr)|(kdp)|(train st.+moving)|(\|lc)|(penalty))"</v>
      </c>
      <c r="AG43" s="1" t="str">
        <f t="shared" si="12"/>
        <v>EC</v>
      </c>
      <c r="AH43" s="81" t="str">
        <f t="shared" si="27"/>
        <v>"%USERPROFILE%\Documents\GitHub\eaglep3\Utilities\RefineRTDCRunTimes.py" --tripid 131-04 --locoid 4056 --swversion DE.1.0.9.0 --startMP 204:453 --initTime 2017-06-04T07:21:30 --startdatetime 2017-06-04T07:30:28 --delay 1 --endMP 204:233230 --enddatetime 2017-06-04T08:09:17 --enforcementcount 0 &gt;&gt;C:\Users\stu\Documents\GitHub\eaglep3-reporting\EC\2017-06-04-refined-times.txt</v>
      </c>
      <c r="AI43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{"issue":{"subject":"","project_id":79,"tracker_id":40,"status_id":1,"priority_id":2,"assigned_to_id":23,"start_date":"2017-06-04","description":"","custom_fields":[{"id":1,"name":"Subdivision","value":"EC"},{"id":4,"name":"Milepost","value":"23.323"},{"id":17,"name":"Train ID","value":"131-04"},{"id":16,"name":"Locomotive ID","value":"4056"},{"id":130,"name":"Impact","value":""},{"id":150,"name":"Time of Event (Mountain Time)","value":"08:09:17"},{"id":151,"name":"Denver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9"/>
        <v>start /low /b %USERPROFILE%\Documents\GitHub\eaglep3\Utilities\DownloadLogsFromS3.py --loco 4056 --day 2017-06-04</v>
      </c>
      <c r="AN43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727</v>
      </c>
      <c r="B44" s="7">
        <v>4055</v>
      </c>
      <c r="C44" s="21" t="s">
        <v>204</v>
      </c>
      <c r="D44" s="21" t="s">
        <v>861</v>
      </c>
      <c r="E44" s="13">
        <v>42890.349293981482</v>
      </c>
      <c r="F44" s="13">
        <v>42890.352314814816</v>
      </c>
      <c r="G44" s="7">
        <v>3</v>
      </c>
      <c r="H44" s="21" t="s">
        <v>196</v>
      </c>
      <c r="I44" s="13">
        <v>42890.37840277778</v>
      </c>
      <c r="J44" s="7">
        <v>0</v>
      </c>
      <c r="K44" s="92" t="str">
        <f t="shared" si="0"/>
        <v>4055/4056</v>
      </c>
      <c r="L44" s="21" t="str">
        <f>VLOOKUP(A44,'Trips&amp;Operators'!$C$1:$G$99999,5,FALSE)</f>
        <v>MACDONALD THOMAS</v>
      </c>
      <c r="M44" s="6">
        <f t="shared" si="1"/>
        <v>2.6087962964083999E-2</v>
      </c>
      <c r="N44" s="7">
        <f t="shared" si="26"/>
        <v>37.566666668280959</v>
      </c>
      <c r="O44" s="7"/>
      <c r="P44" s="7"/>
      <c r="Q44" s="22"/>
      <c r="R44" s="173"/>
      <c r="S44" s="176">
        <f t="shared" si="2"/>
        <v>1</v>
      </c>
      <c r="T44" s="202" t="str">
        <f t="shared" si="3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4"/>
        <v>https://d0f6bd738d7f1b3e5a7ca70fe4ff75f0.us-east-1.aws.found.io/app/kibana#/discover/Steve-Slow-Train-Analysis-(2080s-and-2083s)?_g=(refreshInterval:(display:Off,pause:!f,section:0,value:0),time:(from:'2017-06-04T07:22:59-0600',mode:absolute,to:'2017-06-04T10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4" s="204" t="str">
        <f t="shared" si="5"/>
        <v>N</v>
      </c>
      <c r="X44" s="204">
        <f t="shared" si="31"/>
        <v>1</v>
      </c>
      <c r="Y44" s="204">
        <f t="shared" si="6"/>
        <v>23.2942</v>
      </c>
      <c r="Z44" s="204">
        <f t="shared" si="7"/>
        <v>1.5800000000000002E-2</v>
      </c>
      <c r="AA44" s="204">
        <f t="shared" si="8"/>
        <v>23.278400000000001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9"/>
        <v>0132-04</v>
      </c>
      <c r="AE44" s="80" t="str">
        <f t="shared" si="10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44" s="77" t="str">
        <f t="shared" si="11"/>
        <v>"C:\Program Files (x86)\AstroGrep\AstroGrep.exe" /e /r /s /spath="%USERPROFILE%\AppData\Local\Temp\OnboardLogs" /stypes="app*4055*20170604*" /stext=" 15:.+((SYSTEM_STATE.+slice.+state.+changed )|(ment ac)|(multiple cpu faults)|(system.+state.+changed )|(\[timeout)|(PRM\|1\|D)|(kpr)|(kdp)|(train st.+moving)|(\|lc)|(penalty))"</v>
      </c>
      <c r="AG44" s="1" t="str">
        <f t="shared" si="12"/>
        <v>EC</v>
      </c>
      <c r="AH44" s="81" t="str">
        <f t="shared" si="27"/>
        <v>"%USERPROFILE%\Documents\GitHub\eaglep3\Utilities\RefineRTDCRunTimes.py" --tripid 132-04 --locoid 4055 --swversion DE.1.0.9.0 --startMP 204:232942 --initTime 2017-06-04T08:22:59 --startdatetime 2017-06-04T08:27:20 --delay 3 --endMP 204:158 --enddatetime 2017-06-04T09:04:54 --enforcementcount 0 &gt;&gt;C:\Users\stu\Documents\GitHub\eaglep3-reporting\EC\2017-06-04-refined-times.txt</v>
      </c>
      <c r="AI44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{"issue":{"subject":"","project_id":79,"tracker_id":40,"status_id":1,"priority_id":2,"assigned_to_id":23,"start_date":"2017-06-04","description":"","custom_fields":[{"id":1,"name":"Subdivision","value":"EC"},{"id":4,"name":"Milepost","value":"0.0158"},{"id":17,"name":"Train ID","value":"132-04"},{"id":16,"name":"Locomotive ID","value":"4055"},{"id":130,"name":"Impact","value":""},{"id":150,"name":"Time of Event (Mountain Time)","value":"09:04:54"},{"id":151,"name":"Denver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9"/>
        <v>start /low /b %USERPROFILE%\Documents\GitHub\eaglep3\Utilities\DownloadLogsFromS3.py --loco 4055 --day 2017-06-04</v>
      </c>
      <c r="AN44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721</v>
      </c>
      <c r="B45" s="7">
        <v>4024</v>
      </c>
      <c r="C45" s="21" t="s">
        <v>204</v>
      </c>
      <c r="D45" s="21" t="s">
        <v>368</v>
      </c>
      <c r="E45" s="13">
        <v>42890.31790509259</v>
      </c>
      <c r="F45" s="13">
        <v>42890.32309027778</v>
      </c>
      <c r="G45" s="7">
        <v>1</v>
      </c>
      <c r="H45" s="21" t="s">
        <v>508</v>
      </c>
      <c r="I45" s="13">
        <v>42890.34957175926</v>
      </c>
      <c r="J45" s="7">
        <v>0</v>
      </c>
      <c r="K45" s="92" t="str">
        <f t="shared" si="0"/>
        <v>4023/4024</v>
      </c>
      <c r="L45" s="21" t="str">
        <f>VLOOKUP(A45,'Trips&amp;Operators'!$C$1:$G$99999,5,FALSE)</f>
        <v>DAVIS WENDY</v>
      </c>
      <c r="M45" s="6">
        <f t="shared" si="1"/>
        <v>2.6481481480004732E-2</v>
      </c>
      <c r="N45" s="7">
        <f t="shared" si="26"/>
        <v>38.133333331206813</v>
      </c>
      <c r="O45" s="7"/>
      <c r="P45" s="7"/>
      <c r="Q45" s="22"/>
      <c r="R45" s="173"/>
      <c r="S45" s="176">
        <f t="shared" si="2"/>
        <v>1</v>
      </c>
      <c r="T45" s="202" t="str">
        <f t="shared" si="3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4"/>
        <v>https://d0f6bd738d7f1b3e5a7ca70fe4ff75f0.us-east-1.aws.found.io/app/kibana#/discover/Steve-Slow-Train-Analysis-(2080s-and-2083s)?_g=(refreshInterval:(display:Off,pause:!f,section:0,value:0),time:(from:'2017-06-04T06:37:47-0600',mode:absolute,to:'2017-06-04T09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5" s="204" t="str">
        <f t="shared" si="5"/>
        <v>N</v>
      </c>
      <c r="X45" s="204">
        <f t="shared" si="31"/>
        <v>1</v>
      </c>
      <c r="Y45" s="204">
        <f t="shared" si="6"/>
        <v>4.5499999999999999E-2</v>
      </c>
      <c r="Z45" s="204">
        <f t="shared" si="7"/>
        <v>23.331700000000001</v>
      </c>
      <c r="AA45" s="204">
        <f t="shared" si="8"/>
        <v>23.286200000000001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9"/>
        <v>0133-04</v>
      </c>
      <c r="AE45" s="80" t="str">
        <f t="shared" si="10"/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AF45" s="77" t="str">
        <f t="shared" si="11"/>
        <v>"C:\Program Files (x86)\AstroGrep\AstroGrep.exe" /e /r /s /spath="%USERPROFILE%\AppData\Local\Temp\OnboardLogs" /stypes="app*4024*20170604*" /stext=" 14:.+((SYSTEM_STATE.+slice.+state.+changed )|(ment ac)|(multiple cpu faults)|(system.+state.+changed )|(\[timeout)|(PRM\|1\|D)|(kpr)|(kdp)|(train st.+moving)|(\|lc)|(penalty))"</v>
      </c>
      <c r="AG45" s="1" t="str">
        <f t="shared" si="12"/>
        <v>EC</v>
      </c>
      <c r="AH45" s="81" t="str">
        <f t="shared" si="27"/>
        <v>"%USERPROFILE%\Documents\GitHub\eaglep3\Utilities\RefineRTDCRunTimes.py" --tripid 133-04 --locoid 4024 --swversion DE.1.0.9.0 --startMP 204:455 --initTime 2017-06-04T07:37:47 --startdatetime 2017-06-04T07:45:15 --delay 1 --endMP 204:233317 --enddatetime 2017-06-04T08:23:23 --enforcementcount 0 &gt;&gt;C:\Users\stu\Documents\GitHub\eaglep3-reporting\EC\2017-06-04-refined-times.txt</v>
      </c>
      <c r="AI45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{"issue":{"subject":"","project_id":79,"tracker_id":40,"status_id":1,"priority_id":2,"assigned_to_id":23,"start_date":"2017-06-04","description":"","custom_fields":[{"id":1,"name":"Subdivision","value":"EC"},{"id":4,"name":"Milepost","value":"23.3317"},{"id":17,"name":"Train ID","value":"133-04"},{"id":16,"name":"Locomotive ID","value":"4024"},{"id":130,"name":"Impact","value":""},{"id":150,"name":"Time of Event (Mountain Time)","value":"08:23:23"},{"id":151,"name":"Denver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9"/>
        <v>start /low /b %USERPROFILE%\Documents\GitHub\eaglep3\Utilities\DownloadLogsFromS3.py --loco 4024 --day 2017-06-04</v>
      </c>
      <c r="AN45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729</v>
      </c>
      <c r="B46" s="7">
        <v>4023</v>
      </c>
      <c r="C46" s="21" t="s">
        <v>204</v>
      </c>
      <c r="D46" s="21" t="s">
        <v>854</v>
      </c>
      <c r="E46" s="13">
        <v>42890.358935185184</v>
      </c>
      <c r="F46" s="13">
        <v>42890.362650462965</v>
      </c>
      <c r="G46" s="7">
        <v>1</v>
      </c>
      <c r="H46" s="21" t="s">
        <v>437</v>
      </c>
      <c r="I46" s="13">
        <v>42890.389224537037</v>
      </c>
      <c r="J46" s="7">
        <v>0</v>
      </c>
      <c r="K46" s="92" t="str">
        <f t="shared" si="0"/>
        <v>4023/4024</v>
      </c>
      <c r="L46" s="21" t="str">
        <f>VLOOKUP(A46,'Trips&amp;Operators'!$C$1:$G$99999,5,FALSE)</f>
        <v>DAVIS WENDY</v>
      </c>
      <c r="M46" s="6">
        <f t="shared" si="1"/>
        <v>2.6574074072414078E-2</v>
      </c>
      <c r="N46" s="7">
        <f t="shared" si="26"/>
        <v>38.266666664276272</v>
      </c>
      <c r="O46" s="7"/>
      <c r="P46" s="7"/>
      <c r="Q46" s="22"/>
      <c r="R46" s="173"/>
      <c r="S46" s="176">
        <f t="shared" si="2"/>
        <v>1</v>
      </c>
      <c r="T46" s="202" t="str">
        <f t="shared" si="3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4"/>
        <v>https://d0f6bd738d7f1b3e5a7ca70fe4ff75f0.us-east-1.aws.found.io/app/kibana#/discover/Steve-Slow-Train-Analysis-(2080s-and-2083s)?_g=(refreshInterval:(display:Off,pause:!f,section:0,value:0),time:(from:'2017-06-04T07:36:52-0600',mode:absolute,to:'2017-06-04T10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6" s="204" t="str">
        <f t="shared" si="5"/>
        <v>N</v>
      </c>
      <c r="X46" s="204">
        <f t="shared" si="31"/>
        <v>1</v>
      </c>
      <c r="Y46" s="204">
        <f t="shared" si="6"/>
        <v>23.2989</v>
      </c>
      <c r="Z46" s="204">
        <f t="shared" si="7"/>
        <v>1.4500000000000001E-2</v>
      </c>
      <c r="AA46" s="204">
        <f t="shared" si="8"/>
        <v>23.284399999999998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9"/>
        <v>0134-04</v>
      </c>
      <c r="AE46" s="80" t="str">
        <f t="shared" si="10"/>
        <v>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 &amp; aws s3 cp s3://rtdc.mdm.uploadarchive.raw/RTDC4023/ "%USERPROFILE%\AppData\Local\Temp\OnboardLogs"\RTDC4023\2017-06-05 --exclude "*" --recursive --include "*20170605*" &amp; "%USERPROFILE%\Documents\GitHub\mrs-test-scripts\Headless Mode &amp; Sideloading\WalkAndUnGZ.bat" "%USERPROFILE%\AppData\Local\Temp\OnboardLogs"\RTDC4023\2017-06-05</v>
      </c>
      <c r="AF46" s="77" t="str">
        <f t="shared" si="11"/>
        <v>"C:\Program Files (x86)\AstroGrep\AstroGrep.exe" /e /r /s /spath="%USERPROFILE%\AppData\Local\Temp\OnboardLogs" /stypes="app*4023*20170604*" /stext=" 15:.+((SYSTEM_STATE.+slice.+state.+changed )|(ment ac)|(multiple cpu faults)|(system.+state.+changed )|(\[timeout)|(PRM\|1\|D)|(kpr)|(kdp)|(train st.+moving)|(\|lc)|(penalty))"</v>
      </c>
      <c r="AG46" s="1" t="str">
        <f t="shared" si="12"/>
        <v>EC</v>
      </c>
      <c r="AH46" s="81" t="str">
        <f t="shared" si="27"/>
        <v>"%USERPROFILE%\Documents\GitHub\eaglep3\Utilities\RefineRTDCRunTimes.py" --tripid 134-04 --locoid 4023 --swversion DE.1.0.9.0 --startMP 204:232989 --initTime 2017-06-04T08:36:52 --startdatetime 2017-06-04T08:42:13 --delay 1 --endMP 204:145 --enddatetime 2017-06-04T09:20:29 --enforcementcount 0 &gt;&gt;C:\Users\stu\Documents\GitHub\eaglep3-reporting\EC\2017-06-04-refined-times.txt</v>
      </c>
      <c r="AI46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ID","value":"134-04"},{"id":16,"name":"Locomotive ID","value":"4023"},{"id":130,"name":"Impact","value":""},{"id":150,"name":"Time of Event (Mountain Time)","value":"09:20:29"},{"id":151,"name":"Denver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9"/>
        <v>start /low /b %USERPROFILE%\Documents\GitHub\eaglep3\Utilities\DownloadLogsFromS3.py --loco 4023 --day 2017-06-04</v>
      </c>
      <c r="AN46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723</v>
      </c>
      <c r="B47" s="7">
        <v>4004</v>
      </c>
      <c r="C47" s="21" t="s">
        <v>204</v>
      </c>
      <c r="D47" s="21" t="s">
        <v>560</v>
      </c>
      <c r="E47" s="13">
        <v>42890.330138888887</v>
      </c>
      <c r="F47" s="13">
        <v>42890.333692129629</v>
      </c>
      <c r="G47" s="7">
        <v>1</v>
      </c>
      <c r="H47" s="21" t="s">
        <v>862</v>
      </c>
      <c r="I47" s="13">
        <v>42890.357766203706</v>
      </c>
      <c r="J47" s="7">
        <v>0</v>
      </c>
      <c r="K47" s="92" t="str">
        <f t="shared" si="0"/>
        <v>4003/4004</v>
      </c>
      <c r="L47" s="21" t="str">
        <f>VLOOKUP(A47,'Trips&amp;Operators'!$C$1:$G$99999,5,FALSE)</f>
        <v>LALONDE GREGORY</v>
      </c>
      <c r="M47" s="6">
        <f t="shared" si="1"/>
        <v>2.4074074077361729E-2</v>
      </c>
      <c r="N47" s="7">
        <f t="shared" si="26"/>
        <v>34.66666667140089</v>
      </c>
      <c r="O47" s="7"/>
      <c r="P47" s="7"/>
      <c r="Q47" s="22"/>
      <c r="R47" s="173"/>
      <c r="S47" s="176">
        <f t="shared" si="2"/>
        <v>1</v>
      </c>
      <c r="T47" s="202" t="str">
        <f t="shared" si="3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4"/>
        <v>https://d0f6bd738d7f1b3e5a7ca70fe4ff75f0.us-east-1.aws.found.io/app/kibana#/discover/Steve-Slow-Train-Analysis-(2080s-and-2083s)?_g=(refreshInterval:(display:Off,pause:!f,section:0,value:0),time:(from:'2017-06-04T06:55:24-0600',mode:absolute,to:'2017-06-04T09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204" t="str">
        <f t="shared" si="5"/>
        <v>N</v>
      </c>
      <c r="X47" s="204">
        <f t="shared" si="31"/>
        <v>1</v>
      </c>
      <c r="Y47" s="204">
        <f t="shared" si="6"/>
        <v>4.4400000000000002E-2</v>
      </c>
      <c r="Z47" s="204">
        <f t="shared" si="7"/>
        <v>23.334299999999999</v>
      </c>
      <c r="AA47" s="204">
        <f t="shared" si="8"/>
        <v>23.289899999999999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9"/>
        <v>0135-04</v>
      </c>
      <c r="AE47" s="80" t="str">
        <f t="shared" si="10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47" s="77" t="str">
        <f t="shared" si="11"/>
        <v>"C:\Program Files (x86)\AstroGrep\AstroGrep.exe" /e /r /s /spath="%USERPROFILE%\AppData\Local\Temp\OnboardLogs" /stypes="app*4004*20170604*" /stext=" 14:.+((SYSTEM_STATE.+slice.+state.+changed )|(ment ac)|(multiple cpu faults)|(system.+state.+changed )|(\[timeout)|(PRM\|1\|D)|(kpr)|(kdp)|(train st.+moving)|(\|lc)|(penalty))"</v>
      </c>
      <c r="AG47" s="1" t="str">
        <f t="shared" si="12"/>
        <v>EC</v>
      </c>
      <c r="AH47" s="81" t="str">
        <f t="shared" si="27"/>
        <v>"%USERPROFILE%\Documents\GitHub\eaglep3\Utilities\RefineRTDCRunTimes.py" --tripid 135-04 --locoid 4004 --swversion DE.1.0.9.0 --startMP 204:444 --initTime 2017-06-04T07:55:24 --startdatetime 2017-06-04T08:00:31 --delay 1 --endMP 204:233343 --enddatetime 2017-06-04T08:35:11 --enforcementcount 0 &gt;&gt;C:\Users\stu\Documents\GitHub\eaglep3-reporting\EC\2017-06-04-refined-times.txt</v>
      </c>
      <c r="AI4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{"issue":{"subject":"","project_id":79,"tracker_id":40,"status_id":1,"priority_id":2,"assigned_to_id":23,"start_date":"2017-06-04","description":"","custom_fields":[{"id":1,"name":"Subdivision","value":"EC"},{"id":4,"name":"Milepost","value":"23.3343"},{"id":17,"name":"Train ID","value":"135-04"},{"id":16,"name":"Locomotive ID","value":"4004"},{"id":130,"name":"Impact","value":""},{"id":150,"name":"Time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9"/>
        <v>start /low /b %USERPROFILE%\Documents\GitHub\eaglep3\Utilities\DownloadLogsFromS3.py --loco 4004 --day 2017-06-04</v>
      </c>
      <c r="AN4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731</v>
      </c>
      <c r="B48" s="7">
        <v>4003</v>
      </c>
      <c r="C48" s="21" t="s">
        <v>204</v>
      </c>
      <c r="D48" s="21" t="s">
        <v>863</v>
      </c>
      <c r="E48" s="13">
        <v>42890.359780092593</v>
      </c>
      <c r="F48" s="13">
        <v>42890.373055555552</v>
      </c>
      <c r="G48" s="7">
        <v>0</v>
      </c>
      <c r="H48" s="21" t="s">
        <v>352</v>
      </c>
      <c r="I48" s="13">
        <v>42890.398726851854</v>
      </c>
      <c r="J48" s="7">
        <v>0</v>
      </c>
      <c r="K48" s="92" t="str">
        <f t="shared" si="0"/>
        <v>4003/4004</v>
      </c>
      <c r="L48" s="21" t="str">
        <f>VLOOKUP(A48,'Trips&amp;Operators'!$C$1:$G$99999,5,FALSE)</f>
        <v>LALONDE GREGORY</v>
      </c>
      <c r="M48" s="6">
        <f t="shared" si="1"/>
        <v>2.567129630187992E-2</v>
      </c>
      <c r="N48" s="7">
        <f t="shared" ref="N48:N79" si="32">24*60*SUM($M48:$M48)</f>
        <v>36.966666674707085</v>
      </c>
      <c r="O48" s="7"/>
      <c r="P48" s="7"/>
      <c r="Q48" s="22"/>
      <c r="R48" s="173"/>
      <c r="S48" s="176">
        <f t="shared" si="2"/>
        <v>1</v>
      </c>
      <c r="T48" s="202" t="str">
        <f t="shared" si="3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4"/>
        <v>https://d0f6bd738d7f1b3e5a7ca70fe4ff75f0.us-east-1.aws.found.io/app/kibana#/discover/Steve-Slow-Train-Analysis-(2080s-and-2083s)?_g=(refreshInterval:(display:Off,pause:!f,section:0,value:0),time:(from:'2017-06-04T07:38:05-0600',mode:absolute,to:'2017-06-04T10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8" s="204" t="str">
        <f t="shared" si="5"/>
        <v>N</v>
      </c>
      <c r="X48" s="204">
        <f t="shared" si="31"/>
        <v>1</v>
      </c>
      <c r="Y48" s="204">
        <f t="shared" si="6"/>
        <v>23.3019</v>
      </c>
      <c r="Z48" s="204">
        <f t="shared" si="7"/>
        <v>1.4999999999999999E-2</v>
      </c>
      <c r="AA48" s="204">
        <f t="shared" si="8"/>
        <v>23.286899999999999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9"/>
        <v>0136-04</v>
      </c>
      <c r="AE48" s="80" t="str">
        <f t="shared" si="10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48" s="77" t="str">
        <f t="shared" si="11"/>
        <v>"C:\Program Files (x86)\AstroGrep\AstroGrep.exe" /e /r /s /spath="%USERPROFILE%\AppData\Local\Temp\OnboardLogs" /stypes="app*4003*20170604*" /stext=" 15:.+((SYSTEM_STATE.+slice.+state.+changed )|(ment ac)|(multiple cpu faults)|(system.+state.+changed )|(\[timeout)|(PRM\|1\|D)|(kpr)|(kdp)|(train st.+moving)|(\|lc)|(penalty))"</v>
      </c>
      <c r="AG48" s="1" t="str">
        <f t="shared" si="12"/>
        <v>EC</v>
      </c>
      <c r="AH48" s="81" t="str">
        <f t="shared" si="27"/>
        <v>"%USERPROFILE%\Documents\GitHub\eaglep3\Utilities\RefineRTDCRunTimes.py" --tripid 136-04 --locoid 4003 --swversion DE.1.0.9.0 --startMP 204:233019 --initTime 2017-06-04T08:38:05 --startdatetime 2017-06-04T08:57:12 --delay 0 --endMP 204:150 --enddatetime 2017-06-04T09:34:10 --enforcementcount 0 &gt;&gt;C:\Users\stu\Documents\GitHub\eaglep3-reporting\EC\2017-06-04-refined-times.txt</v>
      </c>
      <c r="AI4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ID","value":"136-04"},{"id":16,"name":"Locomotive ID","value":"4003"},{"id":130,"name":"Impact","value":""},{"id":150,"name":"Time of Event (Mountain Time)","value":"09:34:10"},{"id":151,"name":"Denver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9"/>
        <v>start /low /b %USERPROFILE%\Documents\GitHub\eaglep3\Utilities\DownloadLogsFromS3.py --loco 4003 --day 2017-06-04</v>
      </c>
      <c r="AN4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726</v>
      </c>
      <c r="B49" s="7">
        <v>4042</v>
      </c>
      <c r="C49" s="21" t="s">
        <v>204</v>
      </c>
      <c r="D49" s="21" t="s">
        <v>404</v>
      </c>
      <c r="E49" s="13">
        <v>42890.340081018519</v>
      </c>
      <c r="F49" s="13">
        <v>42890.343946759262</v>
      </c>
      <c r="G49" s="7">
        <v>1</v>
      </c>
      <c r="H49" s="21" t="s">
        <v>484</v>
      </c>
      <c r="I49" s="13">
        <v>42890.368622685186</v>
      </c>
      <c r="J49" s="7">
        <v>0</v>
      </c>
      <c r="K49" s="92" t="str">
        <f t="shared" si="0"/>
        <v>4041/4042</v>
      </c>
      <c r="L49" s="21" t="str">
        <f>VLOOKUP(A49,'Trips&amp;Operators'!$C$1:$G$99999,5,FALSE)</f>
        <v>GEBRETEKLE DAGNEW</v>
      </c>
      <c r="M49" s="6">
        <f t="shared" si="1"/>
        <v>2.4675925924384501E-2</v>
      </c>
      <c r="N49" s="7">
        <f t="shared" si="32"/>
        <v>35.533333331113681</v>
      </c>
      <c r="O49" s="7"/>
      <c r="P49" s="7"/>
      <c r="Q49" s="22"/>
      <c r="R49" s="173"/>
      <c r="S49" s="176">
        <f t="shared" si="2"/>
        <v>1</v>
      </c>
      <c r="T49" s="202" t="str">
        <f t="shared" si="3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4"/>
        <v>https://d0f6bd738d7f1b3e5a7ca70fe4ff75f0.us-east-1.aws.found.io/app/kibana#/discover/Steve-Slow-Train-Analysis-(2080s-and-2083s)?_g=(refreshInterval:(display:Off,pause:!f,section:0,value:0),time:(from:'2017-06-04T07:09:43-0600',mode:absolute,to:'2017-06-04T09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 t="shared" si="5"/>
        <v>N</v>
      </c>
      <c r="X49" s="204">
        <f t="shared" si="31"/>
        <v>1</v>
      </c>
      <c r="Y49" s="204">
        <f t="shared" si="6"/>
        <v>4.7300000000000002E-2</v>
      </c>
      <c r="Z49" s="204">
        <f t="shared" si="7"/>
        <v>23.3306</v>
      </c>
      <c r="AA49" s="204">
        <f t="shared" si="8"/>
        <v>23.283300000000001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9"/>
        <v>0137-04</v>
      </c>
      <c r="AE49" s="80" t="str">
        <f t="shared" si="10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49" s="77" t="str">
        <f t="shared" si="11"/>
        <v>"C:\Program Files (x86)\AstroGrep\AstroGrep.exe" /e /r /s /spath="%USERPROFILE%\AppData\Local\Temp\OnboardLogs" /stypes="app*4042*20170604*" /stext=" 14:.+((SYSTEM_STATE.+slice.+state.+changed )|(ment ac)|(multiple cpu faults)|(system.+state.+changed )|(\[timeout)|(PRM\|1\|D)|(kpr)|(kdp)|(train st.+moving)|(\|lc)|(penalty))"</v>
      </c>
      <c r="AG49" s="1" t="str">
        <f t="shared" si="12"/>
        <v>EC</v>
      </c>
      <c r="AH49" s="81" t="str">
        <f t="shared" si="27"/>
        <v>"%USERPROFILE%\Documents\GitHub\eaglep3\Utilities\RefineRTDCRunTimes.py" --tripid 137-04 --locoid 4042 --swversion DE.1.0.9.0 --startMP 204:473 --initTime 2017-06-04T08:09:43 --startdatetime 2017-06-04T08:15:17 --delay 1 --endMP 204:233306 --enddatetime 2017-06-04T08:50:49 --enforcementcount 0 &gt;&gt;C:\Users\stu\Documents\GitHub\eaglep3-reporting\EC\2017-06-04-refined-times.txt</v>
      </c>
      <c r="AI4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{"issue":{"subject":"","project_id":79,"tracker_id":40,"status_id":1,"priority_id":2,"assigned_to_id":23,"start_date":"2017-06-04","description":"","custom_fields":[{"id":1,"name":"Subdivision","value":"EC"},{"id":4,"name":"Milepost","value":"23.3306"},{"id":17,"name":"Train ID","value":"137-04"},{"id":16,"name":"Locomotive ID","value":"4042"},{"id":130,"name":"Impact","value":""},{"id":150,"name":"Time of Event (Mountain Time)","value":"08:50:49"},{"id":151,"name":"Denver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9"/>
        <v>start /low /b %USERPROFILE%\Documents\GitHub\eaglep3\Utilities\DownloadLogsFromS3.py --loco 4042 --day 2017-06-04</v>
      </c>
      <c r="AN4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734</v>
      </c>
      <c r="B50" s="7">
        <v>4041</v>
      </c>
      <c r="C50" s="21" t="s">
        <v>204</v>
      </c>
      <c r="D50" s="21" t="s">
        <v>463</v>
      </c>
      <c r="E50" s="13">
        <v>42890.372187499997</v>
      </c>
      <c r="F50" s="13">
        <v>42890.383518518516</v>
      </c>
      <c r="G50" s="7">
        <v>1</v>
      </c>
      <c r="H50" s="21" t="s">
        <v>196</v>
      </c>
      <c r="I50" s="13">
        <v>42890.409351851849</v>
      </c>
      <c r="J50" s="7">
        <v>0</v>
      </c>
      <c r="K50" s="92" t="str">
        <f t="shared" si="0"/>
        <v>4041/4042</v>
      </c>
      <c r="L50" s="21" t="str">
        <f>VLOOKUP(A50,'Trips&amp;Operators'!$C$1:$G$99999,5,FALSE)</f>
        <v>GEBRETEKLE DAGNEW</v>
      </c>
      <c r="M50" s="6">
        <f t="shared" si="1"/>
        <v>2.5833333333139308E-2</v>
      </c>
      <c r="N50" s="7">
        <f t="shared" si="32"/>
        <v>37.199999999720603</v>
      </c>
      <c r="O50" s="7"/>
      <c r="P50" s="7"/>
      <c r="Q50" s="22"/>
      <c r="R50" s="173"/>
      <c r="S50" s="176">
        <f t="shared" si="2"/>
        <v>1</v>
      </c>
      <c r="T50" s="202" t="str">
        <f t="shared" si="3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4"/>
        <v>https://d0f6bd738d7f1b3e5a7ca70fe4ff75f0.us-east-1.aws.found.io/app/kibana#/discover/Steve-Slow-Train-Analysis-(2080s-and-2083s)?_g=(refreshInterval:(display:Off,pause:!f,section:0,value:0),time:(from:'2017-06-04T07:55:57-0600',mode:absolute,to:'2017-06-04T10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 t="shared" si="5"/>
        <v>N</v>
      </c>
      <c r="X50" s="204">
        <f t="shared" ref="X50:X81" si="33">VALUE(LEFT(AD50,4))-VALUE(LEFT(AD49,4))</f>
        <v>1</v>
      </c>
      <c r="Y50" s="204">
        <f t="shared" si="6"/>
        <v>23.2987</v>
      </c>
      <c r="Z50" s="204">
        <f t="shared" si="7"/>
        <v>1.5800000000000002E-2</v>
      </c>
      <c r="AA50" s="204">
        <f t="shared" si="8"/>
        <v>23.282900000000001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9"/>
        <v>0138-04</v>
      </c>
      <c r="AE50" s="80" t="str">
        <f t="shared" si="10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50" s="77" t="str">
        <f t="shared" si="11"/>
        <v>"C:\Program Files (x86)\AstroGrep\AstroGrep.exe" /e /r /s /spath="%USERPROFILE%\AppData\Local\Temp\OnboardLogs" /stypes="app*4041*20170604*" /stext=" 15:.+((SYSTEM_STATE.+slice.+state.+changed )|(ment ac)|(multiple cpu faults)|(system.+state.+changed )|(\[timeout)|(PRM\|1\|D)|(kpr)|(kdp)|(train st.+moving)|(\|lc)|(penalty))"</v>
      </c>
      <c r="AG50" s="1" t="str">
        <f t="shared" si="12"/>
        <v>EC</v>
      </c>
      <c r="AH50" s="81" t="str">
        <f t="shared" si="27"/>
        <v>"%USERPROFILE%\Documents\GitHub\eaglep3\Utilities\RefineRTDCRunTimes.py" --tripid 138-04 --locoid 4041 --swversion DE.1.0.9.0 --startMP 204:232987 --initTime 2017-06-04T08:55:57 --startdatetime 2017-06-04T09:12:16 --delay 1 --endMP 204:158 --enddatetime 2017-06-04T09:49:28 --enforcementcount 0 &gt;&gt;C:\Users\stu\Documents\GitHub\eaglep3-reporting\EC\2017-06-04-refined-times.txt</v>
      </c>
      <c r="AI50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{"issue":{"subject":"","project_id":79,"tracker_id":40,"status_id":1,"priority_id":2,"assigned_to_id":23,"start_date":"2017-06-04","description":"","custom_fields":[{"id":1,"name":"Subdivision","value":"EC"},{"id":4,"name":"Milepost","value":"0.0158"},{"id":17,"name":"Train ID","value":"138-04"},{"id":16,"name":"Locomotive ID","value":"4041"},{"id":130,"name":"Impact","value":""},{"id":150,"name":"Time of Event (Mountain Time)","value":"09:49:28"},{"id":151,"name":"Denver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9"/>
        <v>start /low /b %USERPROFILE%\Documents\GitHub\eaglep3\Utilities\DownloadLogsFromS3.py --loco 4041 --day 2017-06-04</v>
      </c>
      <c r="AN50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728</v>
      </c>
      <c r="B51" s="7">
        <v>4012</v>
      </c>
      <c r="C51" s="21" t="s">
        <v>204</v>
      </c>
      <c r="D51" s="21" t="s">
        <v>368</v>
      </c>
      <c r="E51" s="13">
        <v>42890.352962962963</v>
      </c>
      <c r="F51" s="13">
        <v>42890.354421296295</v>
      </c>
      <c r="G51" s="7">
        <v>1</v>
      </c>
      <c r="H51" s="21" t="s">
        <v>608</v>
      </c>
      <c r="I51" s="13">
        <v>42890.378900462965</v>
      </c>
      <c r="J51" s="7">
        <v>0</v>
      </c>
      <c r="K51" s="92" t="str">
        <f t="shared" si="0"/>
        <v>4011/4012</v>
      </c>
      <c r="L51" s="21" t="str">
        <f>VLOOKUP(A51,'Trips&amp;Operators'!$C$1:$G$99999,5,FALSE)</f>
        <v>MAELZER KURT</v>
      </c>
      <c r="M51" s="6">
        <f t="shared" si="1"/>
        <v>2.4479166670062114E-2</v>
      </c>
      <c r="N51" s="7">
        <f t="shared" si="32"/>
        <v>35.250000004889444</v>
      </c>
      <c r="O51" s="7"/>
      <c r="P51" s="7"/>
      <c r="Q51" s="22"/>
      <c r="R51" s="173"/>
      <c r="S51" s="176">
        <f t="shared" si="2"/>
        <v>1</v>
      </c>
      <c r="T51" s="202" t="str">
        <f t="shared" si="3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4"/>
        <v>https://d0f6bd738d7f1b3e5a7ca70fe4ff75f0.us-east-1.aws.found.io/app/kibana#/discover/Steve-Slow-Train-Analysis-(2080s-and-2083s)?_g=(refreshInterval:(display:Off,pause:!f,section:0,value:0),time:(from:'2017-06-04T07:28:16-0600',mode:absolute,to:'2017-06-04T10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1" s="204" t="str">
        <f t="shared" si="5"/>
        <v>N</v>
      </c>
      <c r="X51" s="204">
        <f t="shared" si="33"/>
        <v>1</v>
      </c>
      <c r="Y51" s="204">
        <f t="shared" si="6"/>
        <v>4.5499999999999999E-2</v>
      </c>
      <c r="Z51" s="204">
        <f t="shared" si="7"/>
        <v>23.3339</v>
      </c>
      <c r="AA51" s="204">
        <f t="shared" si="8"/>
        <v>23.288399999999999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9"/>
        <v>0139-04</v>
      </c>
      <c r="AE51" s="80" t="str">
        <f t="shared" si="10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51" s="77" t="str">
        <f t="shared" si="11"/>
        <v>"C:\Program Files (x86)\AstroGrep\AstroGrep.exe" /e /r /s /spath="%USERPROFILE%\AppData\Local\Temp\OnboardLogs" /stypes="app*4012*20170604*" /stext=" 15:.+((SYSTEM_STATE.+slice.+state.+changed )|(ment ac)|(multiple cpu faults)|(system.+state.+changed )|(\[timeout)|(PRM\|1\|D)|(kpr)|(kdp)|(train st.+moving)|(\|lc)|(penalty))"</v>
      </c>
      <c r="AG51" s="1" t="str">
        <f t="shared" si="12"/>
        <v>EC</v>
      </c>
      <c r="AH51" s="81" t="str">
        <f t="shared" si="27"/>
        <v>"%USERPROFILE%\Documents\GitHub\eaglep3\Utilities\RefineRTDCRunTimes.py" --tripid 139-04 --locoid 4012 --swversion DE.1.0.9.0 --startMP 204:455 --initTime 2017-06-04T08:28:16 --startdatetime 2017-06-04T08:30:22 --delay 1 --endMP 204:233339 --enddatetime 2017-06-04T09:05:37 --enforcementcount 0 &gt;&gt;C:\Users\stu\Documents\GitHub\eaglep3-reporting\EC\2017-06-04-refined-times.txt</v>
      </c>
      <c r="AI51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{"issue":{"subject":"","project_id":79,"tracker_id":40,"status_id":1,"priority_id":2,"assigned_to_id":23,"start_date":"2017-06-04","description":"","custom_fields":[{"id":1,"name":"Subdivision","value":"EC"},{"id":4,"name":"Milepost","value":"23.3339"},{"id":17,"name":"Train ID","value":"139-04"},{"id":16,"name":"Locomotive ID","value":"4012"},{"id":130,"name":"Impact","value":""},{"id":150,"name":"Time of Event (Mountain Time)","value":"09:05:37"},{"id":151,"name":"Denver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9"/>
        <v>start /low /b %USERPROFILE%\Documents\GitHub\eaglep3\Utilities\DownloadLogsFromS3.py --loco 4012 --day 2017-06-04</v>
      </c>
      <c r="AN51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737</v>
      </c>
      <c r="B52" s="7">
        <v>4011</v>
      </c>
      <c r="C52" s="21" t="s">
        <v>204</v>
      </c>
      <c r="D52" s="21" t="s">
        <v>864</v>
      </c>
      <c r="E52" s="13">
        <v>42890.383611111109</v>
      </c>
      <c r="F52" s="13">
        <v>42890.39398148148</v>
      </c>
      <c r="G52" s="7">
        <v>0</v>
      </c>
      <c r="H52" s="21" t="s">
        <v>437</v>
      </c>
      <c r="I52" s="13">
        <v>42890.420358796298</v>
      </c>
      <c r="J52" s="7">
        <v>0</v>
      </c>
      <c r="K52" s="92" t="str">
        <f t="shared" si="0"/>
        <v>4011/4012</v>
      </c>
      <c r="L52" s="21" t="str">
        <f>VLOOKUP(A52,'Trips&amp;Operators'!$C$1:$G$99999,5,FALSE)</f>
        <v>MAELZER KURT</v>
      </c>
      <c r="M52" s="6">
        <f t="shared" si="1"/>
        <v>2.6377314818091691E-2</v>
      </c>
      <c r="N52" s="7">
        <f t="shared" si="32"/>
        <v>37.983333338052034</v>
      </c>
      <c r="O52" s="7"/>
      <c r="P52" s="7"/>
      <c r="Q52" s="22"/>
      <c r="R52" s="173"/>
      <c r="S52" s="176">
        <f t="shared" si="2"/>
        <v>1</v>
      </c>
      <c r="T52" s="202" t="str">
        <f t="shared" si="3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4"/>
        <v>https://d0f6bd738d7f1b3e5a7ca70fe4ff75f0.us-east-1.aws.found.io/app/kibana#/discover/Steve-Slow-Train-Analysis-(2080s-and-2083s)?_g=(refreshInterval:(display:Off,pause:!f,section:0,value:0),time:(from:'2017-06-04T08:12:24-0600',mode:absolute,to:'2017-06-04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204" t="str">
        <f t="shared" si="5"/>
        <v>N</v>
      </c>
      <c r="X52" s="204">
        <f t="shared" si="33"/>
        <v>1</v>
      </c>
      <c r="Y52" s="204">
        <f t="shared" si="6"/>
        <v>23.303599999999999</v>
      </c>
      <c r="Z52" s="204">
        <f t="shared" si="7"/>
        <v>1.4500000000000001E-2</v>
      </c>
      <c r="AA52" s="204">
        <f t="shared" si="8"/>
        <v>23.289099999999998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9"/>
        <v>0140-04</v>
      </c>
      <c r="AE52" s="80" t="str">
        <f t="shared" si="10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52" s="77" t="str">
        <f t="shared" si="11"/>
        <v>"C:\Program Files (x86)\AstroGrep\AstroGrep.exe" /e /r /s /spath="%USERPROFILE%\AppData\Local\Temp\OnboardLogs" /stypes="app*4011*20170604*" /stext=" 16:.+((SYSTEM_STATE.+slice.+state.+changed )|(ment ac)|(multiple cpu faults)|(system.+state.+changed )|(\[timeout)|(PRM\|1\|D)|(kpr)|(kdp)|(train st.+moving)|(\|lc)|(penalty))"</v>
      </c>
      <c r="AG52" s="1" t="str">
        <f t="shared" si="12"/>
        <v>EC</v>
      </c>
      <c r="AH52" s="81" t="str">
        <f t="shared" si="27"/>
        <v>"%USERPROFILE%\Documents\GitHub\eaglep3\Utilities\RefineRTDCRunTimes.py" --tripid 140-04 --locoid 4011 --swversion DE.1.0.9.0 --startMP 204:233036 --initTime 2017-06-04T09:12:24 --startdatetime 2017-06-04T09:27:20 --delay 0 --endMP 204:145 --enddatetime 2017-06-04T10:05:19 --enforcementcount 0 &gt;&gt;C:\Users\stu\Documents\GitHub\eaglep3-reporting\EC\2017-06-04-refined-times.txt</v>
      </c>
      <c r="AI52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ID","value":"140-04"},{"id":16,"name":"Locomotive ID","value":"4011"},{"id":130,"name":"Impact","value":""},{"id":150,"name":"Time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9"/>
        <v>start /low /b %USERPROFILE%\Documents\GitHub\eaglep3\Utilities\DownloadLogsFromS3.py --loco 4011 --day 2017-06-04</v>
      </c>
      <c r="AN52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732</v>
      </c>
      <c r="B53" s="7">
        <v>4040</v>
      </c>
      <c r="C53" s="21" t="s">
        <v>204</v>
      </c>
      <c r="D53" s="21" t="s">
        <v>349</v>
      </c>
      <c r="E53" s="13">
        <v>42890.360439814816</v>
      </c>
      <c r="F53" s="13">
        <v>42890.364733796298</v>
      </c>
      <c r="G53" s="7">
        <v>2</v>
      </c>
      <c r="H53" s="21" t="s">
        <v>865</v>
      </c>
      <c r="I53" s="13">
        <v>42890.390057870369</v>
      </c>
      <c r="J53" s="7">
        <v>0</v>
      </c>
      <c r="K53" s="92" t="str">
        <f t="shared" si="0"/>
        <v>4039/4040</v>
      </c>
      <c r="L53" s="21" t="str">
        <f>VLOOKUP(A53,'Trips&amp;Operators'!$C$1:$G$99999,5,FALSE)</f>
        <v>GUZMAN DANNY</v>
      </c>
      <c r="M53" s="6">
        <f t="shared" si="1"/>
        <v>2.5324074071249925E-2</v>
      </c>
      <c r="N53" s="7">
        <f t="shared" si="32"/>
        <v>36.466666662599891</v>
      </c>
      <c r="O53" s="7"/>
      <c r="P53" s="7"/>
      <c r="Q53" s="22"/>
      <c r="R53" s="173"/>
      <c r="S53" s="176">
        <f t="shared" si="2"/>
        <v>1</v>
      </c>
      <c r="T53" s="202" t="str">
        <f t="shared" si="3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4"/>
        <v>https://d0f6bd738d7f1b3e5a7ca70fe4ff75f0.us-east-1.aws.found.io/app/kibana#/discover/Steve-Slow-Train-Analysis-(2080s-and-2083s)?_g=(refreshInterval:(display:Off,pause:!f,section:0,value:0),time:(from:'2017-06-04T07:39:02-0600',mode:absolute,to:'2017-06-04T10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204" t="str">
        <f t="shared" si="5"/>
        <v>N</v>
      </c>
      <c r="X53" s="204">
        <f t="shared" si="33"/>
        <v>1</v>
      </c>
      <c r="Y53" s="204">
        <f t="shared" si="6"/>
        <v>4.4600000000000001E-2</v>
      </c>
      <c r="Z53" s="204">
        <f t="shared" si="7"/>
        <v>23.336300000000001</v>
      </c>
      <c r="AA53" s="204">
        <f t="shared" si="8"/>
        <v>23.291700000000002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9"/>
        <v>0141-04</v>
      </c>
      <c r="AE53" s="80" t="str">
        <f t="shared" si="10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53" s="77" t="str">
        <f t="shared" si="11"/>
        <v>"C:\Program Files (x86)\AstroGrep\AstroGrep.exe" /e /r /s /spath="%USERPROFILE%\AppData\Local\Temp\OnboardLogs" /stypes="app*4040*20170604*" /stext=" 15:.+((SYSTEM_STATE.+slice.+state.+changed )|(ment ac)|(multiple cpu faults)|(system.+state.+changed )|(\[timeout)|(PRM\|1\|D)|(kpr)|(kdp)|(train st.+moving)|(\|lc)|(penalty))"</v>
      </c>
      <c r="AG53" s="1" t="str">
        <f t="shared" si="12"/>
        <v>EC</v>
      </c>
      <c r="AH53" s="81" t="str">
        <f t="shared" si="27"/>
        <v>"%USERPROFILE%\Documents\GitHub\eaglep3\Utilities\RefineRTDCRunTimes.py" --tripid 141-04 --locoid 4040 --swversion DE.1.0.9.0 --startMP 204:446 --initTime 2017-06-04T08:39:02 --startdatetime 2017-06-04T08:45:13 --delay 2 --endMP 204:233363 --enddatetime 2017-06-04T09:21:41 --enforcementcount 0 &gt;&gt;C:\Users\stu\Documents\GitHub\eaglep3-reporting\EC\2017-06-04-refined-times.txt</v>
      </c>
      <c r="AI53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{"issue":{"subject":"","project_id":79,"tracker_id":40,"status_id":1,"priority_id":2,"assigned_to_id":23,"start_date":"2017-06-04","description":"","custom_fields":[{"id":1,"name":"Subdivision","value":"EC"},{"id":4,"name":"Milepost","value":"23.3363"},{"id":17,"name":"Train ID","value":"141-04"},{"id":16,"name":"Locomotive ID","value":"4040"},{"id":130,"name":"Impact","value":""},{"id":150,"name":"Time of Event (Mountain Time)","value":"09:21:41"},{"id":151,"name":"Denver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9"/>
        <v>start /low /b %USERPROFILE%\Documents\GitHub\eaglep3\Utilities\DownloadLogsFromS3.py --loco 4040 --day 2017-06-04</v>
      </c>
      <c r="AN53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738</v>
      </c>
      <c r="B54" s="7">
        <v>4039</v>
      </c>
      <c r="C54" s="21" t="s">
        <v>204</v>
      </c>
      <c r="D54" s="21" t="s">
        <v>866</v>
      </c>
      <c r="E54" s="13">
        <v>42890.392581018517</v>
      </c>
      <c r="F54" s="13">
        <v>42890.40457175926</v>
      </c>
      <c r="G54" s="7">
        <v>0</v>
      </c>
      <c r="H54" s="21" t="s">
        <v>437</v>
      </c>
      <c r="I54" s="13">
        <v>42890.431192129632</v>
      </c>
      <c r="J54" s="7">
        <v>0</v>
      </c>
      <c r="K54" s="92" t="str">
        <f t="shared" si="0"/>
        <v>4039/4040</v>
      </c>
      <c r="L54" s="21" t="str">
        <f>VLOOKUP(A54,'Trips&amp;Operators'!$C$1:$G$99999,5,FALSE)</f>
        <v>GUZMAN DANNY</v>
      </c>
      <c r="M54" s="6">
        <f t="shared" si="1"/>
        <v>2.662037037225673E-2</v>
      </c>
      <c r="N54" s="7">
        <f t="shared" si="32"/>
        <v>38.333333336049691</v>
      </c>
      <c r="O54" s="7"/>
      <c r="P54" s="7"/>
      <c r="Q54" s="22"/>
      <c r="R54" s="173"/>
      <c r="S54" s="176">
        <f t="shared" si="2"/>
        <v>1</v>
      </c>
      <c r="T54" s="202" t="str">
        <f t="shared" si="3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4"/>
        <v>https://d0f6bd738d7f1b3e5a7ca70fe4ff75f0.us-east-1.aws.found.io/app/kibana#/discover/Steve-Slow-Train-Analysis-(2080s-and-2083s)?_g=(refreshInterval:(display:Off,pause:!f,section:0,value:0),time:(from:'2017-06-04T08:25:19-0600',mode:absolute,to:'2017-06-04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204" t="str">
        <f t="shared" si="5"/>
        <v>N</v>
      </c>
      <c r="X54" s="204">
        <f t="shared" si="33"/>
        <v>1</v>
      </c>
      <c r="Y54" s="204">
        <f t="shared" si="6"/>
        <v>23.305299999999999</v>
      </c>
      <c r="Z54" s="204">
        <f t="shared" si="7"/>
        <v>1.4500000000000001E-2</v>
      </c>
      <c r="AA54" s="204">
        <f t="shared" si="8"/>
        <v>23.290799999999997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9"/>
        <v>0142-04</v>
      </c>
      <c r="AE54" s="80" t="str">
        <f t="shared" si="10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54" s="77" t="str">
        <f t="shared" si="11"/>
        <v>"C:\Program Files (x86)\AstroGrep\AstroGrep.exe" /e /r /s /spath="%USERPROFILE%\AppData\Local\Temp\OnboardLogs" /stypes="app*4039*20170604*" /stext=" 16:.+((SYSTEM_STATE.+slice.+state.+changed )|(ment ac)|(multiple cpu faults)|(system.+state.+changed )|(\[timeout)|(PRM\|1\|D)|(kpr)|(kdp)|(train st.+moving)|(\|lc)|(penalty))"</v>
      </c>
      <c r="AG54" s="1" t="str">
        <f t="shared" si="12"/>
        <v>EC</v>
      </c>
      <c r="AH54" s="81" t="str">
        <f t="shared" si="27"/>
        <v>"%USERPROFILE%\Documents\GitHub\eaglep3\Utilities\RefineRTDCRunTimes.py" --tripid 142-04 --locoid 4039 --swversion DE.1.0.9.0 --startMP 204:233053 --initTime 2017-06-04T09:25:19 --startdatetime 2017-06-04T09:42:35 --delay 0 --endMP 204:145 --enddatetime 2017-06-04T10:20:55 --enforcementcount 0 &gt;&gt;C:\Users\stu\Documents\GitHub\eaglep3-reporting\EC\2017-06-04-refined-times.txt</v>
      </c>
      <c r="AI54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ID","value":"142-04"},{"id":16,"name":"Locomotive ID","value":"4039"},{"id":130,"name":"Impact","value":""},{"id":150,"name":"Time of Event (Mountain Time)","value":"10:20:55"},{"id":151,"name":"Denver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9"/>
        <v>start /low /b %USERPROFILE%\Documents\GitHub\eaglep3\Utilities\DownloadLogsFromS3.py --loco 4039 --day 2017-06-04</v>
      </c>
      <c r="AN54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733</v>
      </c>
      <c r="B55" s="7">
        <v>4060</v>
      </c>
      <c r="C55" s="21" t="s">
        <v>204</v>
      </c>
      <c r="D55" s="21" t="s">
        <v>358</v>
      </c>
      <c r="E55" s="13">
        <v>42890.371655092589</v>
      </c>
      <c r="F55" s="13">
        <v>42890.375162037039</v>
      </c>
      <c r="G55" s="7">
        <v>1</v>
      </c>
      <c r="H55" s="21" t="s">
        <v>867</v>
      </c>
      <c r="I55" s="13">
        <v>42890.400775462964</v>
      </c>
      <c r="J55" s="7">
        <v>0</v>
      </c>
      <c r="K55" s="92" t="str">
        <f t="shared" si="0"/>
        <v>4059/4060</v>
      </c>
      <c r="L55" s="21" t="str">
        <f>VLOOKUP(A55,'Trips&amp;Operators'!$C$1:$G$99999,5,FALSE)</f>
        <v>WILLIAMS DONTE</v>
      </c>
      <c r="M55" s="6">
        <f t="shared" si="1"/>
        <v>2.5613425925257616E-2</v>
      </c>
      <c r="N55" s="7">
        <f t="shared" si="32"/>
        <v>36.883333332370967</v>
      </c>
      <c r="O55" s="7"/>
      <c r="P55" s="7"/>
      <c r="Q55" s="22"/>
      <c r="R55" s="173"/>
      <c r="S55" s="176">
        <f t="shared" si="2"/>
        <v>1</v>
      </c>
      <c r="T55" s="202" t="str">
        <f t="shared" si="3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4"/>
        <v>https://d0f6bd738d7f1b3e5a7ca70fe4ff75f0.us-east-1.aws.found.io/app/kibana#/discover/Steve-Slow-Train-Analysis-(2080s-and-2083s)?_g=(refreshInterval:(display:Off,pause:!f,section:0,value:0),time:(from:'2017-06-04T07:55:11-0600',mode:absolute,to:'2017-06-04T10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5" s="204" t="str">
        <f t="shared" si="5"/>
        <v>N</v>
      </c>
      <c r="X55" s="204">
        <f t="shared" si="33"/>
        <v>1</v>
      </c>
      <c r="Y55" s="204">
        <f t="shared" si="6"/>
        <v>4.6399999999999997E-2</v>
      </c>
      <c r="Z55" s="204">
        <f t="shared" si="7"/>
        <v>23.337399999999999</v>
      </c>
      <c r="AA55" s="204">
        <f t="shared" si="8"/>
        <v>23.291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9"/>
        <v>0143-04</v>
      </c>
      <c r="AE55" s="80" t="str">
        <f t="shared" si="10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55" s="77" t="str">
        <f t="shared" si="11"/>
        <v>"C:\Program Files (x86)\AstroGrep\AstroGrep.exe" /e /r /s /spath="%USERPROFILE%\AppData\Local\Temp\OnboardLogs" /stypes="app*4060*20170604*" /stext=" 15:.+((SYSTEM_STATE.+slice.+state.+changed )|(ment ac)|(multiple cpu faults)|(system.+state.+changed )|(\[timeout)|(PRM\|1\|D)|(kpr)|(kdp)|(train st.+moving)|(\|lc)|(penalty))"</v>
      </c>
      <c r="AG55" s="1" t="str">
        <f t="shared" si="12"/>
        <v>EC</v>
      </c>
      <c r="AH55" s="81" t="str">
        <f t="shared" si="27"/>
        <v>"%USERPROFILE%\Documents\GitHub\eaglep3\Utilities\RefineRTDCRunTimes.py" --tripid 143-04 --locoid 4060 --swversion DE.1.0.9.0 --startMP 204:464 --initTime 2017-06-04T08:55:11 --startdatetime 2017-06-04T09:00:14 --delay 1 --endMP 204:233374 --enddatetime 2017-06-04T09:37:07 --enforcementcount 0 &gt;&gt;C:\Users\stu\Documents\GitHub\eaglep3-reporting\EC\2017-06-04-refined-times.txt</v>
      </c>
      <c r="AI55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{"issue":{"subject":"","project_id":79,"tracker_id":40,"status_id":1,"priority_id":2,"assigned_to_id":23,"start_date":"2017-06-04","description":"","custom_fields":[{"id":1,"name":"Subdivision","value":"EC"},{"id":4,"name":"Milepost","value":"23.3374"},{"id":17,"name":"Train ID","value":"143-04"},{"id":16,"name":"Locomotive ID","value":"4060"},{"id":130,"name":"Impact","value":""},{"id":150,"name":"Time of Event (Mountain Time)","value":"09:37:07"},{"id":151,"name":"Denver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9"/>
        <v>start /low /b %USERPROFILE%\Documents\GitHub\eaglep3\Utilities\DownloadLogsFromS3.py --loco 4060 --day 2017-06-04</v>
      </c>
      <c r="AN55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741</v>
      </c>
      <c r="B56" s="7">
        <v>4059</v>
      </c>
      <c r="C56" s="21" t="s">
        <v>204</v>
      </c>
      <c r="D56" s="21" t="s">
        <v>868</v>
      </c>
      <c r="E56" s="13">
        <v>42890.403310185182</v>
      </c>
      <c r="F56" s="13">
        <v>42890.414780092593</v>
      </c>
      <c r="G56" s="7">
        <v>2</v>
      </c>
      <c r="H56" s="21" t="s">
        <v>401</v>
      </c>
      <c r="I56" s="13">
        <v>42890.442986111113</v>
      </c>
      <c r="J56" s="7">
        <v>0</v>
      </c>
      <c r="K56" s="92" t="str">
        <f t="shared" si="0"/>
        <v>4059/4060</v>
      </c>
      <c r="L56" s="21" t="str">
        <f>VLOOKUP(A56,'Trips&amp;Operators'!$C$1:$G$99999,5,FALSE)</f>
        <v>WILLIAMS DONTE</v>
      </c>
      <c r="M56" s="6">
        <f t="shared" si="1"/>
        <v>2.8206018519995268E-2</v>
      </c>
      <c r="N56" s="7">
        <f t="shared" si="32"/>
        <v>40.616666668793187</v>
      </c>
      <c r="O56" s="7"/>
      <c r="P56" s="7"/>
      <c r="Q56" s="22"/>
      <c r="R56" s="173"/>
      <c r="S56" s="176">
        <f t="shared" si="2"/>
        <v>1</v>
      </c>
      <c r="T56" s="202" t="str">
        <f t="shared" si="3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4"/>
        <v>https://d0f6bd738d7f1b3e5a7ca70fe4ff75f0.us-east-1.aws.found.io/app/kibana#/discover/Steve-Slow-Train-Analysis-(2080s-and-2083s)?_g=(refreshInterval:(display:Off,pause:!f,section:0,value:0),time:(from:'2017-06-04T08:40:46-0600',mode:absolute,to:'2017-06-04T11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6" s="204" t="str">
        <f t="shared" si="5"/>
        <v>N</v>
      </c>
      <c r="X56" s="204">
        <f t="shared" si="33"/>
        <v>1</v>
      </c>
      <c r="Y56" s="204">
        <f t="shared" si="6"/>
        <v>23.2986</v>
      </c>
      <c r="Z56" s="204">
        <f t="shared" si="7"/>
        <v>1.54E-2</v>
      </c>
      <c r="AA56" s="204">
        <f t="shared" si="8"/>
        <v>23.283200000000001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9"/>
        <v>0144-04</v>
      </c>
      <c r="AE56" s="80" t="str">
        <f t="shared" si="10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56" s="77" t="str">
        <f t="shared" si="11"/>
        <v>"C:\Program Files (x86)\AstroGrep\AstroGrep.exe" /e /r /s /spath="%USERPROFILE%\AppData\Local\Temp\OnboardLogs" /stypes="app*4059*20170604*" /stext=" 16:.+((SYSTEM_STATE.+slice.+state.+changed )|(ment ac)|(multiple cpu faults)|(system.+state.+changed )|(\[timeout)|(PRM\|1\|D)|(kpr)|(kdp)|(train st.+moving)|(\|lc)|(penalty))"</v>
      </c>
      <c r="AG56" s="1" t="str">
        <f t="shared" si="12"/>
        <v>EC</v>
      </c>
      <c r="AH56" s="81" t="str">
        <f t="shared" si="27"/>
        <v>"%USERPROFILE%\Documents\GitHub\eaglep3\Utilities\RefineRTDCRunTimes.py" --tripid 144-04 --locoid 4059 --swversion DE.1.0.9.0 --startMP 204:232986 --initTime 2017-06-04T09:40:46 --startdatetime 2017-06-04T09:57:17 --delay 2 --endMP 204:154 --enddatetime 2017-06-04T10:37:54 --enforcementcount 0 &gt;&gt;C:\Users\stu\Documents\GitHub\eaglep3-reporting\EC\2017-06-04-refined-times.txt</v>
      </c>
      <c r="AI56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{"issue":{"subject":"","project_id":79,"tracker_id":40,"status_id":1,"priority_id":2,"assigned_to_id":23,"start_date":"2017-06-04","description":"","custom_fields":[{"id":1,"name":"Subdivision","value":"EC"},{"id":4,"name":"Milepost","value":"0.0154"},{"id":17,"name":"Train ID","value":"144-04"},{"id":16,"name":"Locomotive ID","value":"4059"},{"id":130,"name":"Impact","value":""},{"id":150,"name":"Time of Event (Mountain Time)","value":"10:37:54"},{"id":151,"name":"Denver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9"/>
        <v>start /low /b %USERPROFILE%\Documents\GitHub\eaglep3\Utilities\DownloadLogsFromS3.py --loco 4059 --day 2017-06-04</v>
      </c>
      <c r="AN56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736</v>
      </c>
      <c r="B57" s="7">
        <v>4056</v>
      </c>
      <c r="C57" s="21" t="s">
        <v>204</v>
      </c>
      <c r="D57" s="21" t="s">
        <v>869</v>
      </c>
      <c r="E57" s="13">
        <v>42890.382673611108</v>
      </c>
      <c r="F57" s="13">
        <v>42890.385879629626</v>
      </c>
      <c r="G57" s="7">
        <v>1</v>
      </c>
      <c r="H57" s="21" t="s">
        <v>459</v>
      </c>
      <c r="I57" s="13">
        <v>42890.410474537035</v>
      </c>
      <c r="J57" s="7">
        <v>0</v>
      </c>
      <c r="K57" s="92" t="str">
        <f t="shared" si="0"/>
        <v>4055/4056</v>
      </c>
      <c r="L57" s="21" t="str">
        <f>VLOOKUP(A57,'Trips&amp;Operators'!$C$1:$G$99999,5,FALSE)</f>
        <v>MACDONALD THOMAS</v>
      </c>
      <c r="M57" s="6">
        <f t="shared" si="1"/>
        <v>2.4594907408754807E-2</v>
      </c>
      <c r="N57" s="7">
        <f t="shared" si="32"/>
        <v>35.416666668606922</v>
      </c>
      <c r="O57" s="7"/>
      <c r="P57" s="7"/>
      <c r="Q57" s="22"/>
      <c r="R57" s="173"/>
      <c r="S57" s="176">
        <f t="shared" si="2"/>
        <v>1</v>
      </c>
      <c r="T57" s="202" t="str">
        <f t="shared" si="3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4"/>
        <v>https://d0f6bd738d7f1b3e5a7ca70fe4ff75f0.us-east-1.aws.found.io/app/kibana#/discover/Steve-Slow-Train-Analysis-(2080s-and-2083s)?_g=(refreshInterval:(display:Off,pause:!f,section:0,value:0),time:(from:'2017-06-04T08:11:03-0600',mode:absolute,to:'2017-06-04T10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204" t="str">
        <f t="shared" si="5"/>
        <v>N</v>
      </c>
      <c r="X57" s="204">
        <f t="shared" si="33"/>
        <v>1</v>
      </c>
      <c r="Y57" s="204">
        <f t="shared" si="6"/>
        <v>4.8399999999999999E-2</v>
      </c>
      <c r="Z57" s="204">
        <f t="shared" si="7"/>
        <v>23.329699999999999</v>
      </c>
      <c r="AA57" s="204">
        <f t="shared" si="8"/>
        <v>23.281299999999998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9"/>
        <v>0145-04</v>
      </c>
      <c r="AE57" s="80" t="str">
        <f t="shared" si="10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57" s="77" t="str">
        <f t="shared" si="11"/>
        <v>"C:\Program Files (x86)\AstroGrep\AstroGrep.exe" /e /r /s /spath="%USERPROFILE%\AppData\Local\Temp\OnboardLogs" /stypes="app*4056*20170604*" /stext=" 15:.+((SYSTEM_STATE.+slice.+state.+changed )|(ment ac)|(multiple cpu faults)|(system.+state.+changed )|(\[timeout)|(PRM\|1\|D)|(kpr)|(kdp)|(train st.+moving)|(\|lc)|(penalty))"</v>
      </c>
      <c r="AG57" s="1" t="str">
        <f t="shared" si="12"/>
        <v>EC</v>
      </c>
      <c r="AH57" s="81" t="str">
        <f t="shared" si="27"/>
        <v>"%USERPROFILE%\Documents\GitHub\eaglep3\Utilities\RefineRTDCRunTimes.py" --tripid 145-04 --locoid 4056 --swversion DE.1.0.9.0 --startMP 204:484 --initTime 2017-06-04T09:11:03 --startdatetime 2017-06-04T09:15:40 --delay 1 --endMP 204:233297 --enddatetime 2017-06-04T09:51:05 --enforcementcount 0 &gt;&gt;C:\Users\stu\Documents\GitHub\eaglep3-reporting\EC\2017-06-04-refined-times.txt</v>
      </c>
      <c r="AI5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{"issue":{"subject":"","project_id":79,"tracker_id":40,"status_id":1,"priority_id":2,"assigned_to_id":23,"start_date":"2017-06-04","description":"","custom_fields":[{"id":1,"name":"Subdivision","value":"EC"},{"id":4,"name":"Milepost","value":"23.3297"},{"id":17,"name":"Train ID","value":"145-04"},{"id":16,"name":"Locomotive ID","value":"4056"},{"id":130,"name":"Impact","value":""},{"id":150,"name":"Time of Event (Mountain Time)","value":"09:51:05"},{"id":151,"name":"Denver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9"/>
        <v>start /low /b %USERPROFILE%\Documents\GitHub\eaglep3\Utilities\DownloadLogsFromS3.py --loco 4056 --day 2017-06-04</v>
      </c>
      <c r="AN5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744</v>
      </c>
      <c r="B58" s="7">
        <v>4055</v>
      </c>
      <c r="C58" s="21" t="s">
        <v>204</v>
      </c>
      <c r="D58" s="21" t="s">
        <v>485</v>
      </c>
      <c r="E58" s="13">
        <v>42890.42287037037</v>
      </c>
      <c r="F58" s="13">
        <v>42890.425451388888</v>
      </c>
      <c r="G58" s="7">
        <v>1</v>
      </c>
      <c r="H58" s="21" t="s">
        <v>511</v>
      </c>
      <c r="I58" s="13">
        <v>42890.450891203705</v>
      </c>
      <c r="J58" s="7">
        <v>0</v>
      </c>
      <c r="K58" s="92" t="str">
        <f t="shared" si="0"/>
        <v>4055/4056</v>
      </c>
      <c r="L58" s="21" t="str">
        <f>VLOOKUP(A58,'Trips&amp;Operators'!$C$1:$G$99999,5,FALSE)</f>
        <v>MACDONALD THOMAS</v>
      </c>
      <c r="M58" s="6">
        <f t="shared" si="1"/>
        <v>2.5439814817218576E-2</v>
      </c>
      <c r="N58" s="7">
        <f t="shared" si="32"/>
        <v>36.633333336794749</v>
      </c>
      <c r="O58" s="7"/>
      <c r="P58" s="7"/>
      <c r="Q58" s="22"/>
      <c r="R58" s="173"/>
      <c r="S58" s="176">
        <f t="shared" si="2"/>
        <v>1</v>
      </c>
      <c r="T58" s="202" t="str">
        <f t="shared" si="3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4"/>
        <v>https://d0f6bd738d7f1b3e5a7ca70fe4ff75f0.us-east-1.aws.found.io/app/kibana#/discover/Steve-Slow-Train-Analysis-(2080s-and-2083s)?_g=(refreshInterval:(display:Off,pause:!f,section:0,value:0),time:(from:'2017-06-04T09:08:56-0600',mode:absolute,to:'2017-06-04T11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204" t="str">
        <f t="shared" si="5"/>
        <v>N</v>
      </c>
      <c r="X58" s="204">
        <f t="shared" si="33"/>
        <v>1</v>
      </c>
      <c r="Y58" s="204">
        <f t="shared" si="6"/>
        <v>23.297899999999998</v>
      </c>
      <c r="Z58" s="204">
        <f t="shared" si="7"/>
        <v>1.6500000000000001E-2</v>
      </c>
      <c r="AA58" s="204">
        <f t="shared" si="8"/>
        <v>23.281399999999998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9"/>
        <v>0146-04</v>
      </c>
      <c r="AE58" s="80" t="str">
        <f t="shared" si="10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58" s="77" t="str">
        <f t="shared" si="11"/>
        <v>"C:\Program Files (x86)\AstroGrep\AstroGrep.exe" /e /r /s /spath="%USERPROFILE%\AppData\Local\Temp\OnboardLogs" /stypes="app*4055*20170604*" /stext=" 16:.+((SYSTEM_STATE.+slice.+state.+changed )|(ment ac)|(multiple cpu faults)|(system.+state.+changed )|(\[timeout)|(PRM\|1\|D)|(kpr)|(kdp)|(train st.+moving)|(\|lc)|(penalty))"</v>
      </c>
      <c r="AG58" s="1" t="str">
        <f t="shared" si="12"/>
        <v>EC</v>
      </c>
      <c r="AH58" s="81" t="str">
        <f t="shared" si="27"/>
        <v>"%USERPROFILE%\Documents\GitHub\eaglep3\Utilities\RefineRTDCRunTimes.py" --tripid 146-04 --locoid 4055 --swversion DE.1.0.9.0 --startMP 204:232979 --initTime 2017-06-04T10:08:56 --startdatetime 2017-06-04T10:12:39 --delay 1 --endMP 204:165 --enddatetime 2017-06-04T10:49:17 --enforcementcount 0 &gt;&gt;C:\Users\stu\Documents\GitHub\eaglep3-reporting\EC\2017-06-04-refined-times.txt</v>
      </c>
      <c r="AI5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{"issue":{"subject":"","project_id":79,"tracker_id":40,"status_id":1,"priority_id":2,"assigned_to_id":23,"start_date":"2017-06-04","description":"","custom_fields":[{"id":1,"name":"Subdivision","value":"EC"},{"id":4,"name":"Milepost","value":"0.0165"},{"id":17,"name":"Train ID","value":"146-04"},{"id":16,"name":"Locomotive ID","value":"4055"},{"id":130,"name":"Impact","value":""},{"id":150,"name":"Time of Event (Mountain Time)","value":"10:49:17"},{"id":151,"name":"Denver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9"/>
        <v>start /low /b %USERPROFILE%\Documents\GitHub\eaglep3\Utilities\DownloadLogsFromS3.py --loco 4055 --day 2017-06-04</v>
      </c>
      <c r="AN5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655</v>
      </c>
      <c r="B59" s="7">
        <v>4024</v>
      </c>
      <c r="C59" s="21" t="s">
        <v>204</v>
      </c>
      <c r="D59" s="21" t="s">
        <v>356</v>
      </c>
      <c r="E59" s="13">
        <v>42890.3903587963</v>
      </c>
      <c r="F59" s="13">
        <v>42890.396041666667</v>
      </c>
      <c r="G59" s="7">
        <v>1</v>
      </c>
      <c r="H59" s="21" t="s">
        <v>474</v>
      </c>
      <c r="I59" s="13">
        <v>42890.421701388892</v>
      </c>
      <c r="J59" s="7">
        <v>0</v>
      </c>
      <c r="K59" s="92" t="str">
        <f t="shared" si="0"/>
        <v>4023/4024</v>
      </c>
      <c r="L59" s="21" t="str">
        <f>VLOOKUP(A59,'Trips&amp;Operators'!$C$1:$G$99999,5,FALSE)</f>
        <v>DAVIS WENDY</v>
      </c>
      <c r="M59" s="6">
        <f t="shared" si="1"/>
        <v>2.5659722225100268E-2</v>
      </c>
      <c r="N59" s="7">
        <f t="shared" si="32"/>
        <v>36.950000004144385</v>
      </c>
      <c r="O59" s="7"/>
      <c r="P59" s="7"/>
      <c r="Q59" s="22"/>
      <c r="R59" s="173"/>
      <c r="S59" s="176">
        <f t="shared" si="2"/>
        <v>1</v>
      </c>
      <c r="T59" s="202" t="str">
        <f t="shared" si="3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4"/>
        <v>https://d0f6bd738d7f1b3e5a7ca70fe4ff75f0.us-east-1.aws.found.io/app/kibana#/discover/Steve-Slow-Train-Analysis-(2080s-and-2083s)?_g=(refreshInterval:(display:Off,pause:!f,section:0,value:0),time:(from:'2017-06-04T08:22:07-0600',mode:absolute,to:'2017-06-04T11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9" s="204" t="str">
        <f t="shared" si="5"/>
        <v>N</v>
      </c>
      <c r="X59" s="204">
        <f t="shared" si="33"/>
        <v>1</v>
      </c>
      <c r="Y59" s="204">
        <f t="shared" si="6"/>
        <v>4.5100000000000001E-2</v>
      </c>
      <c r="Z59" s="204">
        <f t="shared" si="7"/>
        <v>23.3309</v>
      </c>
      <c r="AA59" s="204">
        <f t="shared" si="8"/>
        <v>23.285799999999998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9"/>
        <v>0147-04</v>
      </c>
      <c r="AE59" s="80" t="str">
        <f t="shared" si="10"/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AF59" s="77" t="str">
        <f t="shared" si="11"/>
        <v>"C:\Program Files (x86)\AstroGrep\AstroGrep.exe" /e /r /s /spath="%USERPROFILE%\AppData\Local\Temp\OnboardLogs" /stypes="app*4024*20170604*" /stext=" 16:.+((SYSTEM_STATE.+slice.+state.+changed )|(ment ac)|(multiple cpu faults)|(system.+state.+changed )|(\[timeout)|(PRM\|1\|D)|(kpr)|(kdp)|(train st.+moving)|(\|lc)|(penalty))"</v>
      </c>
      <c r="AG59" s="1" t="str">
        <f t="shared" si="12"/>
        <v>EC</v>
      </c>
      <c r="AH59" s="81" t="str">
        <f t="shared" si="27"/>
        <v>"%USERPROFILE%\Documents\GitHub\eaglep3\Utilities\RefineRTDCRunTimes.py" --tripid 147-04 --locoid 4024 --swversion DE.1.0.9.0 --startMP 204:451 --initTime 2017-06-04T09:22:07 --startdatetime 2017-06-04T09:30:18 --delay 1 --endMP 204:233309 --enddatetime 2017-06-04T10:07:15 --enforcementcount 0 &gt;&gt;C:\Users\stu\Documents\GitHub\eaglep3-reporting\EC\2017-06-04-refined-times.txt</v>
      </c>
      <c r="AI5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{"issue":{"subject":"","project_id":79,"tracker_id":40,"status_id":1,"priority_id":2,"assigned_to_id":23,"start_date":"2017-06-04","description":"","custom_fields":[{"id":1,"name":"Subdivision","value":"EC"},{"id":4,"name":"Milepost","value":"23.3309"},{"id":17,"name":"Train ID","value":"147-04"},{"id":16,"name":"Locomotive ID","value":"4024"},{"id":130,"name":"Impact","value":""},{"id":150,"name":"Time of Event (Mountain Time)","value":"10:07:15"},{"id":151,"name":"Denver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9"/>
        <v>start /low /b %USERPROFILE%\Documents\GitHub\eaglep3\Utilities\DownloadLogsFromS3.py --loco 4024 --day 2017-06-04</v>
      </c>
      <c r="AN5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748</v>
      </c>
      <c r="B60" s="7">
        <v>4023</v>
      </c>
      <c r="C60" s="21" t="s">
        <v>204</v>
      </c>
      <c r="D60" s="21" t="s">
        <v>438</v>
      </c>
      <c r="E60" s="13">
        <v>42890.432800925926</v>
      </c>
      <c r="F60" s="13">
        <v>42890.435590277775</v>
      </c>
      <c r="G60" s="7">
        <v>1</v>
      </c>
      <c r="H60" s="21" t="s">
        <v>352</v>
      </c>
      <c r="I60" s="13">
        <v>42890.462627314817</v>
      </c>
      <c r="J60" s="7">
        <v>0</v>
      </c>
      <c r="K60" s="92" t="str">
        <f t="shared" si="0"/>
        <v>4023/4024</v>
      </c>
      <c r="L60" s="21" t="str">
        <f>VLOOKUP(A60,'Trips&amp;Operators'!$C$1:$G$99999,5,FALSE)</f>
        <v>DAVIS WENDY</v>
      </c>
      <c r="M60" s="6">
        <f t="shared" si="1"/>
        <v>2.7037037041736767E-2</v>
      </c>
      <c r="N60" s="7">
        <f t="shared" si="32"/>
        <v>38.933333340100944</v>
      </c>
      <c r="O60" s="7"/>
      <c r="P60" s="7"/>
      <c r="Q60" s="22"/>
      <c r="R60" s="173"/>
      <c r="S60" s="176">
        <f t="shared" si="2"/>
        <v>1</v>
      </c>
      <c r="T60" s="202" t="str">
        <f t="shared" si="3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4"/>
        <v>https://d0f6bd738d7f1b3e5a7ca70fe4ff75f0.us-east-1.aws.found.io/app/kibana#/discover/Steve-Slow-Train-Analysis-(2080s-and-2083s)?_g=(refreshInterval:(display:Off,pause:!f,section:0,value:0),time:(from:'2017-06-04T09:23:14-0600',mode:absolute,to:'2017-06-04T12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0" s="204" t="str">
        <f t="shared" si="5"/>
        <v>N</v>
      </c>
      <c r="X60" s="204">
        <f t="shared" si="33"/>
        <v>1</v>
      </c>
      <c r="Y60" s="204">
        <f t="shared" si="6"/>
        <v>23.297999999999998</v>
      </c>
      <c r="Z60" s="204">
        <f t="shared" si="7"/>
        <v>1.4999999999999999E-2</v>
      </c>
      <c r="AA60" s="204">
        <f t="shared" si="8"/>
        <v>23.282999999999998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9"/>
        <v>0148-04</v>
      </c>
      <c r="AE60" s="80" t="str">
        <f t="shared" si="10"/>
        <v>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 &amp; aws s3 cp s3://rtdc.mdm.uploadarchive.raw/RTDC4023/ "%USERPROFILE%\AppData\Local\Temp\OnboardLogs"\RTDC4023\2017-06-05 --exclude "*" --recursive --include "*20170605*" &amp; "%USERPROFILE%\Documents\GitHub\mrs-test-scripts\Headless Mode &amp; Sideloading\WalkAndUnGZ.bat" "%USERPROFILE%\AppData\Local\Temp\OnboardLogs"\RTDC4023\2017-06-05</v>
      </c>
      <c r="AF60" s="77" t="str">
        <f t="shared" si="11"/>
        <v>"C:\Program Files (x86)\AstroGrep\AstroGrep.exe" /e /r /s /spath="%USERPROFILE%\AppData\Local\Temp\OnboardLogs" /stypes="app*4023*20170604*" /stext=" 17:.+((SYSTEM_STATE.+slice.+state.+changed )|(ment ac)|(multiple cpu faults)|(system.+state.+changed )|(\[timeout)|(PRM\|1\|D)|(kpr)|(kdp)|(train st.+moving)|(\|lc)|(penalty))"</v>
      </c>
      <c r="AG60" s="1" t="str">
        <f t="shared" si="12"/>
        <v>EC</v>
      </c>
      <c r="AH60" s="81" t="str">
        <f t="shared" si="27"/>
        <v>"%USERPROFILE%\Documents\GitHub\eaglep3\Utilities\RefineRTDCRunTimes.py" --tripid 148-04 --locoid 4023 --swversion DE.1.0.9.0 --startMP 204:232980 --initTime 2017-06-04T10:23:14 --startdatetime 2017-06-04T10:27:15 --delay 1 --endMP 204:150 --enddatetime 2017-06-04T11:06:11 --enforcementcount 0 &gt;&gt;C:\Users\stu\Documents\GitHub\eaglep3-reporting\EC\2017-06-04-refined-times.txt</v>
      </c>
      <c r="AI60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ID","value":"148-04"},{"id":16,"name":"Locomotive ID","value":"4023"},{"id":130,"name":"Impact","value":""},{"id":150,"name":"Time of Event (Mountain Time)","value":"11:06:11"},{"id":151,"name":"Denver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9"/>
        <v>start /low /b %USERPROFILE%\Documents\GitHub\eaglep3\Utilities\DownloadLogsFromS3.py --loco 4023 --day 2017-06-04</v>
      </c>
      <c r="AN60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739</v>
      </c>
      <c r="B61" s="7">
        <v>4004</v>
      </c>
      <c r="C61" s="21" t="s">
        <v>204</v>
      </c>
      <c r="D61" s="21" t="s">
        <v>870</v>
      </c>
      <c r="E61" s="13">
        <v>42890.400416666664</v>
      </c>
      <c r="F61" s="13">
        <v>42890.406400462962</v>
      </c>
      <c r="G61" s="7">
        <v>1</v>
      </c>
      <c r="H61" s="21" t="s">
        <v>871</v>
      </c>
      <c r="I61" s="13">
        <v>42890.43105324074</v>
      </c>
      <c r="J61" s="7">
        <v>0</v>
      </c>
      <c r="K61" s="92" t="str">
        <f t="shared" si="0"/>
        <v>4003/4004</v>
      </c>
      <c r="L61" s="21" t="str">
        <f>VLOOKUP(A61,'Trips&amp;Operators'!$C$1:$G$99999,5,FALSE)</f>
        <v>LALONDE GREGORY</v>
      </c>
      <c r="M61" s="6">
        <f t="shared" si="1"/>
        <v>2.4652777778101154E-2</v>
      </c>
      <c r="N61" s="7">
        <f t="shared" si="32"/>
        <v>35.500000000465661</v>
      </c>
      <c r="O61" s="7"/>
      <c r="P61" s="7"/>
      <c r="Q61" s="22"/>
      <c r="R61" s="173"/>
      <c r="S61" s="176">
        <f t="shared" si="2"/>
        <v>1</v>
      </c>
      <c r="T61" s="202" t="str">
        <f t="shared" si="3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4"/>
        <v>https://d0f6bd738d7f1b3e5a7ca70fe4ff75f0.us-east-1.aws.found.io/app/kibana#/discover/Steve-Slow-Train-Analysis-(2080s-and-2083s)?_g=(refreshInterval:(display:Off,pause:!f,section:0,value:0),time:(from:'2017-06-04T08:36:36-0600',mode:absolute,to:'2017-06-04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1" s="204" t="str">
        <f t="shared" si="5"/>
        <v>N</v>
      </c>
      <c r="X61" s="204">
        <f t="shared" si="33"/>
        <v>1</v>
      </c>
      <c r="Y61" s="204">
        <f t="shared" si="6"/>
        <v>4.3499999999999997E-2</v>
      </c>
      <c r="Z61" s="204">
        <f t="shared" si="7"/>
        <v>23.3338</v>
      </c>
      <c r="AA61" s="204">
        <f t="shared" si="8"/>
        <v>23.290299999999998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9"/>
        <v>0149-04</v>
      </c>
      <c r="AE61" s="80" t="str">
        <f t="shared" si="10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61" s="77" t="str">
        <f t="shared" si="11"/>
        <v>"C:\Program Files (x86)\AstroGrep\AstroGrep.exe" /e /r /s /spath="%USERPROFILE%\AppData\Local\Temp\OnboardLogs" /stypes="app*4004*20170604*" /stext=" 16:.+((SYSTEM_STATE.+slice.+state.+changed )|(ment ac)|(multiple cpu faults)|(system.+state.+changed )|(\[timeout)|(PRM\|1\|D)|(kpr)|(kdp)|(train st.+moving)|(\|lc)|(penalty))"</v>
      </c>
      <c r="AG61" s="1" t="str">
        <f t="shared" si="12"/>
        <v>EC</v>
      </c>
      <c r="AH61" s="81" t="str">
        <f t="shared" si="27"/>
        <v>"%USERPROFILE%\Documents\GitHub\eaglep3\Utilities\RefineRTDCRunTimes.py" --tripid 149-04 --locoid 4004 --swversion DE.1.0.9.0 --startMP 204:435 --initTime 2017-06-04T09:36:36 --startdatetime 2017-06-04T09:45:13 --delay 1 --endMP 204:233338 --enddatetime 2017-06-04T10:20:43 --enforcementcount 0 &gt;&gt;C:\Users\stu\Documents\GitHub\eaglep3-reporting\EC\2017-06-04-refined-times.txt</v>
      </c>
      <c r="AI61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{"issue":{"subject":"","project_id":79,"tracker_id":40,"status_id":1,"priority_id":2,"assigned_to_id":23,"start_date":"2017-06-04","description":"","custom_fields":[{"id":1,"name":"Subdivision","value":"EC"},{"id":4,"name":"Milepost","value":"23.3338"},{"id":17,"name":"Train ID","value":"149-04"},{"id":16,"name":"Locomotive ID","value":"4004"},{"id":130,"name":"Impact","value":""},{"id":150,"name":"Time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9"/>
        <v>start /low /b %USERPROFILE%\Documents\GitHub\eaglep3\Utilities\DownloadLogsFromS3.py --loco 4004 --day 2017-06-04</v>
      </c>
      <c r="AN61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747</v>
      </c>
      <c r="B62" s="7">
        <v>4003</v>
      </c>
      <c r="C62" s="21" t="s">
        <v>204</v>
      </c>
      <c r="D62" s="21" t="s">
        <v>864</v>
      </c>
      <c r="E62" s="13">
        <v>42890.432719907411</v>
      </c>
      <c r="F62" s="13">
        <v>42890.446111111109</v>
      </c>
      <c r="G62" s="7">
        <v>1</v>
      </c>
      <c r="H62" s="21" t="s">
        <v>195</v>
      </c>
      <c r="I62" s="13">
        <v>42890.471655092595</v>
      </c>
      <c r="J62" s="7">
        <v>0</v>
      </c>
      <c r="K62" s="92" t="str">
        <f t="shared" si="0"/>
        <v>4003/4004</v>
      </c>
      <c r="L62" s="21" t="str">
        <f>VLOOKUP(A62,'Trips&amp;Operators'!$C$1:$G$99999,5,FALSE)</f>
        <v>LALONDE GREGORY</v>
      </c>
      <c r="M62" s="6">
        <f t="shared" si="1"/>
        <v>2.5543981486407574E-2</v>
      </c>
      <c r="N62" s="7">
        <f t="shared" si="32"/>
        <v>36.783333340426907</v>
      </c>
      <c r="O62" s="7"/>
      <c r="P62" s="7"/>
      <c r="Q62" s="22"/>
      <c r="R62" s="173"/>
      <c r="S62" s="176">
        <f t="shared" si="2"/>
        <v>1</v>
      </c>
      <c r="T62" s="202" t="str">
        <f t="shared" si="3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4"/>
        <v>https://d0f6bd738d7f1b3e5a7ca70fe4ff75f0.us-east-1.aws.found.io/app/kibana#/discover/Steve-Slow-Train-Analysis-(2080s-and-2083s)?_g=(refreshInterval:(display:Off,pause:!f,section:0,value:0),time:(from:'2017-06-04T09:23:07-0600',mode:absolute,to:'2017-06-04T12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2" s="204" t="str">
        <f t="shared" si="5"/>
        <v>N</v>
      </c>
      <c r="X62" s="204">
        <f t="shared" si="33"/>
        <v>1</v>
      </c>
      <c r="Y62" s="204">
        <f t="shared" si="6"/>
        <v>23.303599999999999</v>
      </c>
      <c r="Z62" s="204">
        <f t="shared" si="7"/>
        <v>1.52E-2</v>
      </c>
      <c r="AA62" s="204">
        <f t="shared" si="8"/>
        <v>23.288399999999999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9"/>
        <v>0150-04</v>
      </c>
      <c r="AE62" s="80" t="str">
        <f t="shared" si="10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62" s="77" t="str">
        <f t="shared" si="11"/>
        <v>"C:\Program Files (x86)\AstroGrep\AstroGrep.exe" /e /r /s /spath="%USERPROFILE%\AppData\Local\Temp\OnboardLogs" /stypes="app*4003*20170604*" /stext=" 17:.+((SYSTEM_STATE.+slice.+state.+changed )|(ment ac)|(multiple cpu faults)|(system.+state.+changed )|(\[timeout)|(PRM\|1\|D)|(kpr)|(kdp)|(train st.+moving)|(\|lc)|(penalty))"</v>
      </c>
      <c r="AG62" s="1" t="str">
        <f t="shared" si="12"/>
        <v>EC</v>
      </c>
      <c r="AH62" s="81" t="str">
        <f t="shared" si="27"/>
        <v>"%USERPROFILE%\Documents\GitHub\eaglep3\Utilities\RefineRTDCRunTimes.py" --tripid 150-04 --locoid 4003 --swversion DE.1.0.9.0 --startMP 204:233036 --initTime 2017-06-04T10:23:07 --startdatetime 2017-06-04T10:42:24 --delay 1 --endMP 204:152 --enddatetime 2017-06-04T11:19:11 --enforcementcount 0 &gt;&gt;C:\Users\stu\Documents\GitHub\eaglep3-reporting\EC\2017-06-04-refined-times.txt</v>
      </c>
      <c r="AI62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{"issue":{"subject":"","project_id":79,"tracker_id":40,"status_id":1,"priority_id":2,"assigned_to_id":23,"start_date":"2017-06-04","description":"","custom_fields":[{"id":1,"name":"Subdivision","value":"EC"},{"id":4,"name":"Milepost","value":"0.0152"},{"id":17,"name":"Train ID","value":"150-04"},{"id":16,"name":"Locomotive ID","value":"4003"},{"id":130,"name":"Impact","value":""},{"id":150,"name":"Time of Event (Mountain Time)","value":"11:19:11"},{"id":151,"name":"Denver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9"/>
        <v>start /low /b %USERPROFILE%\Documents\GitHub\eaglep3\Utilities\DownloadLogsFromS3.py --loco 4003 --day 2017-06-04</v>
      </c>
      <c r="AN62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742</v>
      </c>
      <c r="B63" s="7">
        <v>4042</v>
      </c>
      <c r="C63" s="21" t="s">
        <v>204</v>
      </c>
      <c r="D63" s="21" t="s">
        <v>397</v>
      </c>
      <c r="E63" s="13">
        <v>42890.411423611113</v>
      </c>
      <c r="F63" s="13">
        <v>42890.416851851849</v>
      </c>
      <c r="G63" s="7">
        <v>1</v>
      </c>
      <c r="H63" s="21" t="s">
        <v>510</v>
      </c>
      <c r="I63" s="13">
        <v>42890.441053240742</v>
      </c>
      <c r="J63" s="7">
        <v>0</v>
      </c>
      <c r="K63" s="92" t="str">
        <f t="shared" si="0"/>
        <v>4041/4042</v>
      </c>
      <c r="L63" s="21" t="str">
        <f>VLOOKUP(A63,'Trips&amp;Operators'!$C$1:$G$99999,5,FALSE)</f>
        <v>GEBRETEKLE DAGNEW</v>
      </c>
      <c r="M63" s="6">
        <f t="shared" si="1"/>
        <v>2.4201388892834075E-2</v>
      </c>
      <c r="N63" s="7">
        <f t="shared" si="32"/>
        <v>34.850000005681068</v>
      </c>
      <c r="O63" s="7"/>
      <c r="P63" s="7"/>
      <c r="Q63" s="22"/>
      <c r="R63" s="173"/>
      <c r="S63" s="176">
        <f t="shared" si="2"/>
        <v>1</v>
      </c>
      <c r="T63" s="202" t="str">
        <f t="shared" si="3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4"/>
        <v>https://d0f6bd738d7f1b3e5a7ca70fe4ff75f0.us-east-1.aws.found.io/app/kibana#/discover/Steve-Slow-Train-Analysis-(2080s-and-2083s)?_g=(refreshInterval:(display:Off,pause:!f,section:0,value:0),time:(from:'2017-06-04T08:52:27-0600',mode:absolute,to:'2017-06-04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 t="shared" si="5"/>
        <v>N</v>
      </c>
      <c r="X63" s="204">
        <f t="shared" si="33"/>
        <v>1</v>
      </c>
      <c r="Y63" s="204">
        <f t="shared" si="6"/>
        <v>4.6199999999999998E-2</v>
      </c>
      <c r="Z63" s="204">
        <f t="shared" si="7"/>
        <v>23.328900000000001</v>
      </c>
      <c r="AA63" s="204">
        <f t="shared" si="8"/>
        <v>23.282700000000002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9"/>
        <v>0151-04</v>
      </c>
      <c r="AE63" s="80" t="str">
        <f t="shared" si="10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63" s="77" t="str">
        <f t="shared" si="11"/>
        <v>"C:\Program Files (x86)\AstroGrep\AstroGrep.exe" /e /r /s /spath="%USERPROFILE%\AppData\Local\Temp\OnboardLogs" /stypes="app*4042*20170604*" /stext=" 16:.+((SYSTEM_STATE.+slice.+state.+changed )|(ment ac)|(multiple cpu faults)|(system.+state.+changed )|(\[timeout)|(PRM\|1\|D)|(kpr)|(kdp)|(train st.+moving)|(\|lc)|(penalty))"</v>
      </c>
      <c r="AG63" s="1" t="str">
        <f t="shared" si="12"/>
        <v>EC</v>
      </c>
      <c r="AH63" s="81" t="str">
        <f t="shared" si="27"/>
        <v>"%USERPROFILE%\Documents\GitHub\eaglep3\Utilities\RefineRTDCRunTimes.py" --tripid 151-04 --locoid 4042 --swversion DE.1.0.9.0 --startMP 204:462 --initTime 2017-06-04T09:52:27 --startdatetime 2017-06-04T10:00:16 --delay 1 --endMP 204:233289 --enddatetime 2017-06-04T10:35:07 --enforcementcount 0 &gt;&gt;C:\Users\stu\Documents\GitHub\eaglep3-reporting\EC\2017-06-04-refined-times.txt</v>
      </c>
      <c r="AI63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{"issue":{"subject":"","project_id":79,"tracker_id":40,"status_id":1,"priority_id":2,"assigned_to_id":23,"start_date":"2017-06-04","description":"","custom_fields":[{"id":1,"name":"Subdivision","value":"EC"},{"id":4,"name":"Milepost","value":"23.3289"},{"id":17,"name":"Train ID","value":"151-04"},{"id":16,"name":"Locomotive ID","value":"4042"},{"id":130,"name":"Impact","value":""},{"id":150,"name":"Time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9"/>
        <v>start /low /b %USERPROFILE%\Documents\GitHub\eaglep3\Utilities\DownloadLogsFromS3.py --loco 4042 --day 2017-06-04</v>
      </c>
      <c r="AN63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751</v>
      </c>
      <c r="B64" s="7">
        <v>4041</v>
      </c>
      <c r="C64" s="21" t="s">
        <v>204</v>
      </c>
      <c r="D64" s="21" t="s">
        <v>607</v>
      </c>
      <c r="E64" s="13">
        <v>42890.443148148152</v>
      </c>
      <c r="F64" s="13">
        <v>42890.456423611111</v>
      </c>
      <c r="G64" s="7">
        <v>1</v>
      </c>
      <c r="H64" s="21" t="s">
        <v>354</v>
      </c>
      <c r="I64" s="13">
        <v>42890.482233796298</v>
      </c>
      <c r="J64" s="7">
        <v>0</v>
      </c>
      <c r="K64" s="92" t="str">
        <f t="shared" si="0"/>
        <v>4041/4042</v>
      </c>
      <c r="L64" s="21" t="str">
        <f>VLOOKUP(A64,'Trips&amp;Operators'!$C$1:$G$99999,5,FALSE)</f>
        <v>GEBRETEKLE DAGNEW</v>
      </c>
      <c r="M64" s="6">
        <f t="shared" si="1"/>
        <v>2.5810185186855961E-2</v>
      </c>
      <c r="N64" s="7">
        <f t="shared" si="32"/>
        <v>37.166666669072583</v>
      </c>
      <c r="O64" s="7"/>
      <c r="P64" s="7"/>
      <c r="Q64" s="22"/>
      <c r="R64" s="173"/>
      <c r="S64" s="176">
        <f t="shared" si="2"/>
        <v>1</v>
      </c>
      <c r="T64" s="202" t="str">
        <f t="shared" si="3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4"/>
        <v>https://d0f6bd738d7f1b3e5a7ca70fe4ff75f0.us-east-1.aws.found.io/app/kibana#/discover/Steve-Slow-Train-Analysis-(2080s-and-2083s)?_g=(refreshInterval:(display:Off,pause:!f,section:0,value:0),time:(from:'2017-06-04T09:38:08-0600',mode:absolute,to:'2017-06-04T12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 t="shared" si="5"/>
        <v>N</v>
      </c>
      <c r="X64" s="204">
        <f t="shared" si="33"/>
        <v>1</v>
      </c>
      <c r="Y64" s="204">
        <f t="shared" si="6"/>
        <v>23.296299999999999</v>
      </c>
      <c r="Z64" s="204">
        <f t="shared" si="7"/>
        <v>1.43E-2</v>
      </c>
      <c r="AA64" s="204">
        <f t="shared" si="8"/>
        <v>23.282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9"/>
        <v>0152-04</v>
      </c>
      <c r="AE64" s="80" t="str">
        <f t="shared" si="10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64" s="77" t="str">
        <f t="shared" si="11"/>
        <v>"C:\Program Files (x86)\AstroGrep\AstroGrep.exe" /e /r /s /spath="%USERPROFILE%\AppData\Local\Temp\OnboardLogs" /stypes="app*4041*20170604*" /stext=" 17:.+((SYSTEM_STATE.+slice.+state.+changed )|(ment ac)|(multiple cpu faults)|(system.+state.+changed )|(\[timeout)|(PRM\|1\|D)|(kpr)|(kdp)|(train st.+moving)|(\|lc)|(penalty))"</v>
      </c>
      <c r="AG64" s="1" t="str">
        <f t="shared" si="12"/>
        <v>EC</v>
      </c>
      <c r="AH64" s="81" t="str">
        <f t="shared" si="27"/>
        <v>"%USERPROFILE%\Documents\GitHub\eaglep3\Utilities\RefineRTDCRunTimes.py" --tripid 152-04 --locoid 4041 --swversion DE.1.0.9.0 --startMP 204:232963 --initTime 2017-06-04T10:38:08 --startdatetime 2017-06-04T10:57:15 --delay 1 --endMP 204:143 --enddatetime 2017-06-04T11:34:25 --enforcementcount 0 &gt;&gt;C:\Users\stu\Documents\GitHub\eaglep3-reporting\EC\2017-06-04-refined-times.txt</v>
      </c>
      <c r="AI64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{"issue":{"subject":"","project_id":79,"tracker_id":40,"status_id":1,"priority_id":2,"assigned_to_id":23,"start_date":"2017-06-04","description":"","custom_fields":[{"id":1,"name":"Subdivision","value":"EC"},{"id":4,"name":"Milepost","value":"0.0143"},{"id":17,"name":"Train ID","value":"152-04"},{"id":16,"name":"Locomotive ID","value":"4041"},{"id":130,"name":"Impact","value":""},{"id":150,"name":"Time of Event (Mountain Time)","value":"11:34:25"},{"id":151,"name":"Denver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9"/>
        <v>start /low /b %USERPROFILE%\Documents\GitHub\eaglep3\Utilities\DownloadLogsFromS3.py --loco 4041 --day 2017-06-04</v>
      </c>
      <c r="AN64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745</v>
      </c>
      <c r="B65" s="7">
        <v>4012</v>
      </c>
      <c r="C65" s="21" t="s">
        <v>204</v>
      </c>
      <c r="D65" s="21" t="s">
        <v>360</v>
      </c>
      <c r="E65" s="13">
        <v>42890.423217592594</v>
      </c>
      <c r="F65" s="13">
        <v>42890.427314814813</v>
      </c>
      <c r="G65" s="7">
        <v>2</v>
      </c>
      <c r="H65" s="21" t="s">
        <v>872</v>
      </c>
      <c r="I65" s="13">
        <v>42890.452638888892</v>
      </c>
      <c r="J65" s="7">
        <v>0</v>
      </c>
      <c r="K65" s="92" t="str">
        <f t="shared" si="0"/>
        <v>4011/4012</v>
      </c>
      <c r="L65" s="21" t="str">
        <f>VLOOKUP(A65,'Trips&amp;Operators'!$C$1:$G$99999,5,FALSE)</f>
        <v>MOSES BRADLEY</v>
      </c>
      <c r="M65" s="6">
        <f t="shared" si="1"/>
        <v>2.5324074078525882E-2</v>
      </c>
      <c r="N65" s="7">
        <f t="shared" si="32"/>
        <v>36.46666667307727</v>
      </c>
      <c r="O65" s="7"/>
      <c r="P65" s="7"/>
      <c r="Q65" s="22"/>
      <c r="R65" s="173"/>
      <c r="S65" s="176">
        <f t="shared" si="2"/>
        <v>1</v>
      </c>
      <c r="T65" s="202" t="str">
        <f t="shared" si="3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4"/>
        <v>https://d0f6bd738d7f1b3e5a7ca70fe4ff75f0.us-east-1.aws.found.io/app/kibana#/discover/Steve-Slow-Train-Analysis-(2080s-and-2083s)?_g=(refreshInterval:(display:Off,pause:!f,section:0,value:0),time:(from:'2017-06-04T09:09:26-0600',mode:absolute,to:'2017-06-04T11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204" t="str">
        <f t="shared" si="5"/>
        <v>N</v>
      </c>
      <c r="X65" s="204">
        <f t="shared" si="33"/>
        <v>1</v>
      </c>
      <c r="Y65" s="204">
        <f t="shared" si="6"/>
        <v>4.4699999999999997E-2</v>
      </c>
      <c r="Z65" s="204">
        <f t="shared" si="7"/>
        <v>23.333600000000001</v>
      </c>
      <c r="AA65" s="204">
        <f t="shared" si="8"/>
        <v>23.288900000000002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9"/>
        <v>0153-04</v>
      </c>
      <c r="AE65" s="80" t="str">
        <f t="shared" si="10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65" s="77" t="str">
        <f t="shared" si="11"/>
        <v>"C:\Program Files (x86)\AstroGrep\AstroGrep.exe" /e /r /s /spath="%USERPROFILE%\AppData\Local\Temp\OnboardLogs" /stypes="app*4012*20170604*" /stext=" 16:.+((SYSTEM_STATE.+slice.+state.+changed )|(ment ac)|(multiple cpu faults)|(system.+state.+changed )|(\[timeout)|(PRM\|1\|D)|(kpr)|(kdp)|(train st.+moving)|(\|lc)|(penalty))"</v>
      </c>
      <c r="AG65" s="1" t="str">
        <f t="shared" si="12"/>
        <v>EC</v>
      </c>
      <c r="AH65" s="81" t="str">
        <f t="shared" si="27"/>
        <v>"%USERPROFILE%\Documents\GitHub\eaglep3\Utilities\RefineRTDCRunTimes.py" --tripid 153-04 --locoid 4012 --swversion DE.1.0.9.0 --startMP 204:447 --initTime 2017-06-04T10:09:26 --startdatetime 2017-06-04T10:15:20 --delay 2 --endMP 204:233336 --enddatetime 2017-06-04T10:51:48 --enforcementcount 0 &gt;&gt;C:\Users\stu\Documents\GitHub\eaglep3-reporting\EC\2017-06-04-refined-times.txt</v>
      </c>
      <c r="AI65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{"issue":{"subject":"","project_id":79,"tracker_id":40,"status_id":1,"priority_id":2,"assigned_to_id":23,"start_date":"2017-06-04","description":"","custom_fields":[{"id":1,"name":"Subdivision","value":"EC"},{"id":4,"name":"Milepost","value":"23.3336"},{"id":17,"name":"Train ID","value":"153-04"},{"id":16,"name":"Locomotive ID","value":"4012"},{"id":130,"name":"Impact","value":""},{"id":150,"name":"Time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9"/>
        <v>start /low /b %USERPROFILE%\Documents\GitHub\eaglep3\Utilities\DownloadLogsFromS3.py --loco 4012 --day 2017-06-04</v>
      </c>
      <c r="AN65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656</v>
      </c>
      <c r="B66" s="7">
        <v>4011</v>
      </c>
      <c r="C66" s="21" t="s">
        <v>204</v>
      </c>
      <c r="D66" s="21" t="s">
        <v>863</v>
      </c>
      <c r="E66" s="13">
        <v>42890.463240740741</v>
      </c>
      <c r="F66" s="13">
        <v>42890.46702546296</v>
      </c>
      <c r="G66" s="7">
        <v>1</v>
      </c>
      <c r="H66" s="21" t="s">
        <v>433</v>
      </c>
      <c r="I66" s="13">
        <v>42890.494409722225</v>
      </c>
      <c r="J66" s="7">
        <v>0</v>
      </c>
      <c r="K66" s="92" t="str">
        <f t="shared" si="0"/>
        <v>4011/4012</v>
      </c>
      <c r="L66" s="21" t="str">
        <f>VLOOKUP(A66,'Trips&amp;Operators'!$C$1:$G$99999,5,FALSE)</f>
        <v>MOSES BRADLEY</v>
      </c>
      <c r="M66" s="6">
        <f t="shared" si="1"/>
        <v>2.7384259265090805E-2</v>
      </c>
      <c r="N66" s="7">
        <f t="shared" si="32"/>
        <v>39.433333341730759</v>
      </c>
      <c r="O66" s="7"/>
      <c r="P66" s="7"/>
      <c r="Q66" s="22"/>
      <c r="R66" s="173"/>
      <c r="S66" s="176">
        <f t="shared" si="2"/>
        <v>1</v>
      </c>
      <c r="T66" s="202" t="str">
        <f t="shared" si="3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4"/>
        <v>https://d0f6bd738d7f1b3e5a7ca70fe4ff75f0.us-east-1.aws.found.io/app/kibana#/discover/Steve-Slow-Train-Analysis-(2080s-and-2083s)?_g=(refreshInterval:(display:Off,pause:!f,section:0,value:0),time:(from:'2017-06-04T10:07:04-0600',mode:absolute,to:'2017-06-04T12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204" t="str">
        <f t="shared" si="5"/>
        <v>N</v>
      </c>
      <c r="X66" s="204">
        <f t="shared" si="33"/>
        <v>1</v>
      </c>
      <c r="Y66" s="204">
        <f t="shared" si="6"/>
        <v>23.3019</v>
      </c>
      <c r="Z66" s="204">
        <f t="shared" si="7"/>
        <v>1.61E-2</v>
      </c>
      <c r="AA66" s="204">
        <f t="shared" si="8"/>
        <v>23.285799999999998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9"/>
        <v>0154-04</v>
      </c>
      <c r="AE66" s="80" t="str">
        <f t="shared" si="10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66" s="77" t="str">
        <f t="shared" si="11"/>
        <v>"C:\Program Files (x86)\AstroGrep\AstroGrep.exe" /e /r /s /spath="%USERPROFILE%\AppData\Local\Temp\OnboardLogs" /stypes="app*4011*20170604*" /stext=" 17:.+((SYSTEM_STATE.+slice.+state.+changed )|(ment ac)|(multiple cpu faults)|(system.+state.+changed )|(\[timeout)|(PRM\|1\|D)|(kpr)|(kdp)|(train st.+moving)|(\|lc)|(penalty))"</v>
      </c>
      <c r="AG66" s="1" t="str">
        <f t="shared" si="12"/>
        <v>EC</v>
      </c>
      <c r="AH66" s="81" t="str">
        <f t="shared" si="27"/>
        <v>"%USERPROFILE%\Documents\GitHub\eaglep3\Utilities\RefineRTDCRunTimes.py" --tripid 154-04 --locoid 4011 --swversion DE.1.0.9.0 --startMP 204:233019 --initTime 2017-06-04T11:07:04 --startdatetime 2017-06-04T11:12:31 --delay 1 --endMP 204:161 --enddatetime 2017-06-04T11:51:57 --enforcementcount 0 &gt;&gt;C:\Users\stu\Documents\GitHub\eaglep3-reporting\EC\2017-06-04-refined-times.txt</v>
      </c>
      <c r="AI66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{"issue":{"subject":"","project_id":79,"tracker_id":40,"status_id":1,"priority_id":2,"assigned_to_id":23,"start_date":"2017-06-04","description":"","custom_fields":[{"id":1,"name":"Subdivision","value":"EC"},{"id":4,"name":"Milepost","value":"0.0161"},{"id":17,"name":"Train ID","value":"154-04"},{"id":16,"name":"Locomotive ID","value":"4011"},{"id":130,"name":"Impact","value":""},{"id":150,"name":"Time of Event (Mountain Time)","value":"11:51:57"},{"id":151,"name":"Denver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9"/>
        <v>start /low /b %USERPROFILE%\Documents\GitHub\eaglep3\Utilities\DownloadLogsFromS3.py --loco 4011 --day 2017-06-04</v>
      </c>
      <c r="AN66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749</v>
      </c>
      <c r="B67" s="7">
        <v>4040</v>
      </c>
      <c r="C67" s="21" t="s">
        <v>204</v>
      </c>
      <c r="D67" s="21" t="s">
        <v>345</v>
      </c>
      <c r="E67" s="13">
        <v>42890.432939814818</v>
      </c>
      <c r="F67" s="13">
        <v>42890.437696759262</v>
      </c>
      <c r="G67" s="7">
        <v>1</v>
      </c>
      <c r="H67" s="21" t="s">
        <v>873</v>
      </c>
      <c r="I67" s="13">
        <v>42890.462789351855</v>
      </c>
      <c r="J67" s="7">
        <v>0</v>
      </c>
      <c r="K67" s="92" t="str">
        <f t="shared" si="0"/>
        <v>4039/4040</v>
      </c>
      <c r="L67" s="21" t="str">
        <f>VLOOKUP(A67,'Trips&amp;Operators'!$C$1:$G$99999,5,FALSE)</f>
        <v>GUZMAN DANNY</v>
      </c>
      <c r="M67" s="6">
        <f t="shared" si="1"/>
        <v>2.5092592593864538E-2</v>
      </c>
      <c r="N67" s="7">
        <f t="shared" si="32"/>
        <v>36.133333335164934</v>
      </c>
      <c r="O67" s="7"/>
      <c r="P67" s="7"/>
      <c r="Q67" s="22"/>
      <c r="R67" s="173"/>
      <c r="S67" s="176">
        <f t="shared" si="2"/>
        <v>1</v>
      </c>
      <c r="T67" s="202" t="str">
        <f t="shared" si="3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4"/>
        <v>https://d0f6bd738d7f1b3e5a7ca70fe4ff75f0.us-east-1.aws.found.io/app/kibana#/discover/Steve-Slow-Train-Analysis-(2080s-and-2083s)?_g=(refreshInterval:(display:Off,pause:!f,section:0,value:0),time:(from:'2017-06-04T09:23:26-0600',mode:absolute,to:'2017-06-04T12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204" t="str">
        <f t="shared" si="5"/>
        <v>N</v>
      </c>
      <c r="X67" s="204">
        <f t="shared" si="33"/>
        <v>1</v>
      </c>
      <c r="Y67" s="204">
        <f t="shared" si="6"/>
        <v>4.4900000000000002E-2</v>
      </c>
      <c r="Z67" s="204">
        <f t="shared" si="7"/>
        <v>23.336400000000001</v>
      </c>
      <c r="AA67" s="204">
        <f t="shared" si="8"/>
        <v>23.291500000000003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9"/>
        <v>0155-04</v>
      </c>
      <c r="AE67" s="80" t="str">
        <f t="shared" si="10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67" s="77" t="str">
        <f t="shared" si="11"/>
        <v>"C:\Program Files (x86)\AstroGrep\AstroGrep.exe" /e /r /s /spath="%USERPROFILE%\AppData\Local\Temp\OnboardLogs" /stypes="app*4040*20170604*" /stext=" 17:.+((SYSTEM_STATE.+slice.+state.+changed )|(ment ac)|(multiple cpu faults)|(system.+state.+changed )|(\[timeout)|(PRM\|1\|D)|(kpr)|(kdp)|(train st.+moving)|(\|lc)|(penalty))"</v>
      </c>
      <c r="AG67" s="1" t="str">
        <f t="shared" si="12"/>
        <v>EC</v>
      </c>
      <c r="AH67" s="81" t="str">
        <f t="shared" si="27"/>
        <v>"%USERPROFILE%\Documents\GitHub\eaglep3\Utilities\RefineRTDCRunTimes.py" --tripid 155-04 --locoid 4040 --swversion DE.1.0.9.0 --startMP 204:449 --initTime 2017-06-04T10:23:26 --startdatetime 2017-06-04T10:30:17 --delay 1 --endMP 204:233364 --enddatetime 2017-06-04T11:06:25 --enforcementcount 0 &gt;&gt;C:\Users\stu\Documents\GitHub\eaglep3-reporting\EC\2017-06-04-refined-times.txt</v>
      </c>
      <c r="AI6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{"issue":{"subject":"","project_id":79,"tracker_id":40,"status_id":1,"priority_id":2,"assigned_to_id":23,"start_date":"2017-06-04","description":"","custom_fields":[{"id":1,"name":"Subdivision","value":"EC"},{"id":4,"name":"Milepost","value":"23.3364"},{"id":17,"name":"Train ID","value":"155-04"},{"id":16,"name":"Locomotive ID","value":"4040"},{"id":130,"name":"Impact","value":""},{"id":150,"name":"Time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9"/>
        <v>start /low /b %USERPROFILE%\Documents\GitHub\eaglep3\Utilities\DownloadLogsFromS3.py --loco 4040 --day 2017-06-04</v>
      </c>
      <c r="AN6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755</v>
      </c>
      <c r="B68" s="7">
        <v>4039</v>
      </c>
      <c r="C68" s="21" t="s">
        <v>204</v>
      </c>
      <c r="D68" s="21" t="s">
        <v>858</v>
      </c>
      <c r="E68" s="13">
        <v>42890.464942129627</v>
      </c>
      <c r="F68" s="13">
        <v>42890.477256944447</v>
      </c>
      <c r="G68" s="7">
        <v>1</v>
      </c>
      <c r="H68" s="21" t="s">
        <v>353</v>
      </c>
      <c r="I68" s="13">
        <v>42890.50403935185</v>
      </c>
      <c r="J68" s="7">
        <v>0</v>
      </c>
      <c r="K68" s="92" t="str">
        <f t="shared" si="0"/>
        <v>4039/4040</v>
      </c>
      <c r="L68" s="21" t="str">
        <f>VLOOKUP(A68,'Trips&amp;Operators'!$C$1:$G$99999,5,FALSE)</f>
        <v>GUZMAN DANNY</v>
      </c>
      <c r="M68" s="6">
        <f t="shared" si="1"/>
        <v>2.6782407403516117E-2</v>
      </c>
      <c r="N68" s="7">
        <f t="shared" si="32"/>
        <v>38.566666661063209</v>
      </c>
      <c r="O68" s="7"/>
      <c r="P68" s="7"/>
      <c r="Q68" s="22"/>
      <c r="R68" s="173"/>
      <c r="S68" s="176">
        <f t="shared" si="2"/>
        <v>1</v>
      </c>
      <c r="T68" s="202" t="str">
        <f t="shared" si="3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4"/>
        <v>https://d0f6bd738d7f1b3e5a7ca70fe4ff75f0.us-east-1.aws.found.io/app/kibana#/discover/Steve-Slow-Train-Analysis-(2080s-and-2083s)?_g=(refreshInterval:(display:Off,pause:!f,section:0,value:0),time:(from:'2017-06-04T10:09:31-0600',mode:absolute,to:'2017-06-04T13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204" t="str">
        <f t="shared" si="5"/>
        <v>N</v>
      </c>
      <c r="X68" s="204">
        <f t="shared" si="33"/>
        <v>1</v>
      </c>
      <c r="Y68" s="204">
        <f t="shared" si="6"/>
        <v>23.3034</v>
      </c>
      <c r="Z68" s="204">
        <f t="shared" si="7"/>
        <v>1.49E-2</v>
      </c>
      <c r="AA68" s="204">
        <f t="shared" si="8"/>
        <v>23.288499999999999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9"/>
        <v>0156-04</v>
      </c>
      <c r="AE68" s="80" t="str">
        <f t="shared" si="10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68" s="77" t="str">
        <f t="shared" si="11"/>
        <v>"C:\Program Files (x86)\AstroGrep\AstroGrep.exe" /e /r /s /spath="%USERPROFILE%\AppData\Local\Temp\OnboardLogs" /stypes="app*4039*20170604*" /stext=" 18:.+((SYSTEM_STATE.+slice.+state.+changed )|(ment ac)|(multiple cpu faults)|(system.+state.+changed )|(\[timeout)|(PRM\|1\|D)|(kpr)|(kdp)|(train st.+moving)|(\|lc)|(penalty))"</v>
      </c>
      <c r="AG68" s="1" t="str">
        <f t="shared" si="12"/>
        <v>EC</v>
      </c>
      <c r="AH68" s="81" t="str">
        <f t="shared" si="27"/>
        <v>"%USERPROFILE%\Documents\GitHub\eaglep3\Utilities\RefineRTDCRunTimes.py" --tripid 156-04 --locoid 4039 --swversion DE.1.0.9.0 --startMP 204:233034 --initTime 2017-06-04T11:09:31 --startdatetime 2017-06-04T11:27:15 --delay 1 --endMP 204:149 --enddatetime 2017-06-04T12:05:49 --enforcementcount 0 &gt;&gt;C:\Users\stu\Documents\GitHub\eaglep3-reporting\EC\2017-06-04-refined-times.txt</v>
      </c>
      <c r="AI6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{"issue":{"subject":"","project_id":79,"tracker_id":40,"status_id":1,"priority_id":2,"assigned_to_id":23,"start_date":"2017-06-04","description":"","custom_fields":[{"id":1,"name":"Subdivision","value":"EC"},{"id":4,"name":"Milepost","value":"0.0149"},{"id":17,"name":"Train ID","value":"156-04"},{"id":16,"name":"Locomotive ID","value":"4039"},{"id":130,"name":"Impact","value":""},{"id":150,"name":"Time of Event (Mountain Time)","value":"12:05:49"},{"id":151,"name":"Denver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9"/>
        <v>start /low /b %USERPROFILE%\Documents\GitHub\eaglep3\Utilities\DownloadLogsFromS3.py --loco 4039 --day 2017-06-04</v>
      </c>
      <c r="AN6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752</v>
      </c>
      <c r="B69" s="7">
        <v>4060</v>
      </c>
      <c r="C69" s="21" t="s">
        <v>204</v>
      </c>
      <c r="D69" s="21" t="s">
        <v>349</v>
      </c>
      <c r="E69" s="13">
        <v>42890.445370370369</v>
      </c>
      <c r="F69" s="13">
        <v>42890.44809027778</v>
      </c>
      <c r="G69" s="7">
        <v>1</v>
      </c>
      <c r="H69" s="21" t="s">
        <v>506</v>
      </c>
      <c r="I69" s="13">
        <v>42890.473506944443</v>
      </c>
      <c r="J69" s="7">
        <v>0</v>
      </c>
      <c r="K69" s="92" t="str">
        <f t="shared" si="0"/>
        <v>4059/4060</v>
      </c>
      <c r="L69" s="21" t="str">
        <f>VLOOKUP(A69,'Trips&amp;Operators'!$C$1:$G$99999,5,FALSE)</f>
        <v>BROWN JACOB</v>
      </c>
      <c r="M69" s="6">
        <f t="shared" si="1"/>
        <v>2.5416666663659271E-2</v>
      </c>
      <c r="N69" s="7">
        <f t="shared" si="32"/>
        <v>36.59999999566935</v>
      </c>
      <c r="O69" s="7"/>
      <c r="P69" s="7"/>
      <c r="Q69" s="22"/>
      <c r="R69" s="173"/>
      <c r="S69" s="176">
        <f t="shared" si="2"/>
        <v>1</v>
      </c>
      <c r="T69" s="202" t="str">
        <f t="shared" si="3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4"/>
        <v>https://d0f6bd738d7f1b3e5a7ca70fe4ff75f0.us-east-1.aws.found.io/app/kibana#/discover/Steve-Slow-Train-Analysis-(2080s-and-2083s)?_g=(refreshInterval:(display:Off,pause:!f,section:0,value:0),time:(from:'2017-06-04T09:41:20-0600',mode:absolute,to:'2017-06-04T12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9" s="204" t="str">
        <f t="shared" si="5"/>
        <v>N</v>
      </c>
      <c r="X69" s="204">
        <f t="shared" si="33"/>
        <v>1</v>
      </c>
      <c r="Y69" s="204">
        <f t="shared" si="6"/>
        <v>4.4600000000000001E-2</v>
      </c>
      <c r="Z69" s="204">
        <f t="shared" si="7"/>
        <v>23.331499999999998</v>
      </c>
      <c r="AA69" s="204">
        <f t="shared" si="8"/>
        <v>23.286899999999999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9"/>
        <v>0157-04</v>
      </c>
      <c r="AE69" s="80" t="str">
        <f t="shared" si="10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69" s="77" t="str">
        <f t="shared" si="11"/>
        <v>"C:\Program Files (x86)\AstroGrep\AstroGrep.exe" /e /r /s /spath="%USERPROFILE%\AppData\Local\Temp\OnboardLogs" /stypes="app*4060*20170604*" /stext=" 17:.+((SYSTEM_STATE.+slice.+state.+changed )|(ment ac)|(multiple cpu faults)|(system.+state.+changed )|(\[timeout)|(PRM\|1\|D)|(kpr)|(kdp)|(train st.+moving)|(\|lc)|(penalty))"</v>
      </c>
      <c r="AG69" s="1" t="str">
        <f t="shared" si="12"/>
        <v>EC</v>
      </c>
      <c r="AH69" s="81" t="str">
        <f t="shared" si="27"/>
        <v>"%USERPROFILE%\Documents\GitHub\eaglep3\Utilities\RefineRTDCRunTimes.py" --tripid 157-04 --locoid 4060 --swversion DE.1.0.9.0 --startMP 204:446 --initTime 2017-06-04T10:41:20 --startdatetime 2017-06-04T10:45:15 --delay 1 --endMP 204:233315 --enddatetime 2017-06-04T11:21:51 --enforcementcount 0 &gt;&gt;C:\Users\stu\Documents\GitHub\eaglep3-reporting\EC\2017-06-04-refined-times.txt</v>
      </c>
      <c r="AI6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{"issue":{"subject":"","project_id":79,"tracker_id":40,"status_id":1,"priority_id":2,"assigned_to_id":23,"start_date":"2017-06-04","description":"","custom_fields":[{"id":1,"name":"Subdivision","value":"EC"},{"id":4,"name":"Milepost","value":"23.3315"},{"id":17,"name":"Train ID","value":"157-04"},{"id":16,"name":"Locomotive ID","value":"4060"},{"id":130,"name":"Impact","value":""},{"id":150,"name":"Time of Event (Mountain Time)","value":"11:21:51"},{"id":151,"name":"Denver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9"/>
        <v>start /low /b %USERPROFILE%\Documents\GitHub\eaglep3\Utilities\DownloadLogsFromS3.py --loco 4060 --day 2017-06-04</v>
      </c>
      <c r="AN6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758</v>
      </c>
      <c r="B70" s="7">
        <v>4059</v>
      </c>
      <c r="C70" s="21" t="s">
        <v>204</v>
      </c>
      <c r="D70" s="21" t="s">
        <v>874</v>
      </c>
      <c r="E70" s="13">
        <v>42890.482268518521</v>
      </c>
      <c r="F70" s="13">
        <v>42890.487800925926</v>
      </c>
      <c r="G70" s="7">
        <v>2</v>
      </c>
      <c r="H70" s="21" t="s">
        <v>354</v>
      </c>
      <c r="I70" s="13">
        <v>42890.514444444445</v>
      </c>
      <c r="J70" s="7">
        <v>0</v>
      </c>
      <c r="K70" s="92" t="str">
        <f t="shared" si="0"/>
        <v>4059/4060</v>
      </c>
      <c r="L70" s="21" t="str">
        <f>VLOOKUP(A70,'Trips&amp;Operators'!$C$1:$G$99999,5,FALSE)</f>
        <v>BROWN JACOB</v>
      </c>
      <c r="M70" s="6">
        <f t="shared" si="1"/>
        <v>2.6643518518540077E-2</v>
      </c>
      <c r="N70" s="7">
        <f t="shared" si="32"/>
        <v>38.366666666697711</v>
      </c>
      <c r="O70" s="7"/>
      <c r="P70" s="7"/>
      <c r="Q70" s="22"/>
      <c r="R70" s="173"/>
      <c r="S70" s="176">
        <f t="shared" si="2"/>
        <v>1</v>
      </c>
      <c r="T70" s="202" t="str">
        <f t="shared" si="3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4"/>
        <v>https://d0f6bd738d7f1b3e5a7ca70fe4ff75f0.us-east-1.aws.found.io/app/kibana#/discover/Steve-Slow-Train-Analysis-(2080s-and-2083s)?_g=(refreshInterval:(display:Off,pause:!f,section:0,value:0),time:(from:'2017-06-04T10:34:28-0600',mode:absolute,to:'2017-06-04T13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0" s="204" t="str">
        <f t="shared" si="5"/>
        <v>N</v>
      </c>
      <c r="X70" s="204">
        <f t="shared" si="33"/>
        <v>1</v>
      </c>
      <c r="Y70" s="204">
        <f t="shared" si="6"/>
        <v>23.303000000000001</v>
      </c>
      <c r="Z70" s="204">
        <f t="shared" si="7"/>
        <v>1.43E-2</v>
      </c>
      <c r="AA70" s="204">
        <f t="shared" si="8"/>
        <v>23.288700000000002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9"/>
        <v>0158-04</v>
      </c>
      <c r="AE70" s="80" t="str">
        <f t="shared" si="10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70" s="77" t="str">
        <f t="shared" si="11"/>
        <v>"C:\Program Files (x86)\AstroGrep\AstroGrep.exe" /e /r /s /spath="%USERPROFILE%\AppData\Local\Temp\OnboardLogs" /stypes="app*4059*20170604*" /stext=" 18:.+((SYSTEM_STATE.+slice.+state.+changed )|(ment ac)|(multiple cpu faults)|(system.+state.+changed )|(\[timeout)|(PRM\|1\|D)|(kpr)|(kdp)|(train st.+moving)|(\|lc)|(penalty))"</v>
      </c>
      <c r="AG70" s="1" t="str">
        <f t="shared" si="12"/>
        <v>EC</v>
      </c>
      <c r="AH70" s="81" t="str">
        <f t="shared" si="27"/>
        <v>"%USERPROFILE%\Documents\GitHub\eaglep3\Utilities\RefineRTDCRunTimes.py" --tripid 158-04 --locoid 4059 --swversion DE.1.0.9.0 --startMP 204:233030 --initTime 2017-06-04T11:34:28 --startdatetime 2017-06-04T11:42:26 --delay 2 --endMP 204:143 --enddatetime 2017-06-04T12:20:48 --enforcementcount 0 &gt;&gt;C:\Users\stu\Documents\GitHub\eaglep3-reporting\EC\2017-06-04-refined-times.txt</v>
      </c>
      <c r="AI70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{"issue":{"subject":"","project_id":79,"tracker_id":40,"status_id":1,"priority_id":2,"assigned_to_id":23,"start_date":"2017-06-04","description":"","custom_fields":[{"id":1,"name":"Subdivision","value":"EC"},{"id":4,"name":"Milepost","value":"0.0143"},{"id":17,"name":"Train ID","value":"158-04"},{"id":16,"name":"Locomotive ID","value":"4059"},{"id":130,"name":"Impact","value":""},{"id":150,"name":"Time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9"/>
        <v>start /low /b %USERPROFILE%\Documents\GitHub\eaglep3\Utilities\DownloadLogsFromS3.py --loco 4059 --day 2017-06-04</v>
      </c>
      <c r="AN70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753</v>
      </c>
      <c r="B71" s="7">
        <v>4056</v>
      </c>
      <c r="C71" s="21" t="s">
        <v>204</v>
      </c>
      <c r="D71" s="21" t="s">
        <v>368</v>
      </c>
      <c r="E71" s="13">
        <v>42890.454953703702</v>
      </c>
      <c r="F71" s="13">
        <v>42890.458611111113</v>
      </c>
      <c r="G71" s="7">
        <v>2</v>
      </c>
      <c r="H71" s="21" t="s">
        <v>475</v>
      </c>
      <c r="I71" s="13">
        <v>42890.483182870368</v>
      </c>
      <c r="J71" s="7">
        <v>0</v>
      </c>
      <c r="K71" s="92" t="str">
        <f t="shared" si="0"/>
        <v>4055/4056</v>
      </c>
      <c r="L71" s="21" t="str">
        <f>VLOOKUP(A71,'Trips&amp;Operators'!$C$1:$G$99999,5,FALSE)</f>
        <v>MACDONALD THOMAS</v>
      </c>
      <c r="M71" s="6">
        <f t="shared" si="1"/>
        <v>2.4571759255195502E-2</v>
      </c>
      <c r="N71" s="7">
        <f t="shared" si="32"/>
        <v>35.383333327481523</v>
      </c>
      <c r="O71" s="7"/>
      <c r="P71" s="7"/>
      <c r="Q71" s="22"/>
      <c r="R71" s="173"/>
      <c r="S71" s="176">
        <f t="shared" si="2"/>
        <v>1</v>
      </c>
      <c r="T71" s="202" t="str">
        <f t="shared" si="3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4"/>
        <v>https://d0f6bd738d7f1b3e5a7ca70fe4ff75f0.us-east-1.aws.found.io/app/kibana#/discover/Steve-Slow-Train-Analysis-(2080s-and-2083s)?_g=(refreshInterval:(display:Off,pause:!f,section:0,value:0),time:(from:'2017-06-04T09:55:08-0600',mode:absolute,to:'2017-06-04T12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204" t="str">
        <f t="shared" si="5"/>
        <v>N</v>
      </c>
      <c r="X71" s="204">
        <f t="shared" si="33"/>
        <v>1</v>
      </c>
      <c r="Y71" s="204">
        <f t="shared" si="6"/>
        <v>4.5499999999999999E-2</v>
      </c>
      <c r="Z71" s="204">
        <f t="shared" si="7"/>
        <v>23.331199999999999</v>
      </c>
      <c r="AA71" s="204">
        <f t="shared" si="8"/>
        <v>23.285699999999999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9"/>
        <v>0159-04</v>
      </c>
      <c r="AE71" s="80" t="str">
        <f t="shared" si="10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71" s="77" t="str">
        <f t="shared" si="11"/>
        <v>"C:\Program Files (x86)\AstroGrep\AstroGrep.exe" /e /r /s /spath="%USERPROFILE%\AppData\Local\Temp\OnboardLogs" /stypes="app*4056*20170604*" /stext=" 17:.+((SYSTEM_STATE.+slice.+state.+changed )|(ment ac)|(multiple cpu faults)|(system.+state.+changed )|(\[timeout)|(PRM\|1\|D)|(kpr)|(kdp)|(train st.+moving)|(\|lc)|(penalty))"</v>
      </c>
      <c r="AG71" s="1" t="str">
        <f t="shared" si="12"/>
        <v>EC</v>
      </c>
      <c r="AH71" s="81" t="str">
        <f t="shared" si="27"/>
        <v>"%USERPROFILE%\Documents\GitHub\eaglep3\Utilities\RefineRTDCRunTimes.py" --tripid 159-04 --locoid 4056 --swversion DE.1.0.9.0 --startMP 204:455 --initTime 2017-06-04T10:55:08 --startdatetime 2017-06-04T11:00:24 --delay 2 --endMP 204:233312 --enddatetime 2017-06-04T11:35:47 --enforcementcount 0 &gt;&gt;C:\Users\stu\Documents\GitHub\eaglep3-reporting\EC\2017-06-04-refined-times.txt</v>
      </c>
      <c r="AI71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{"issue":{"subject":"","project_id":79,"tracker_id":40,"status_id":1,"priority_id":2,"assigned_to_id":23,"start_date":"2017-06-04","description":"","custom_fields":[{"id":1,"name":"Subdivision","value":"EC"},{"id":4,"name":"Milepost","value":"23.3312"},{"id":17,"name":"Train ID","value":"159-04"},{"id":16,"name":"Locomotive ID","value":"4056"},{"id":130,"name":"Impact","value":""},{"id":150,"name":"Time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9"/>
        <v>start /low /b %USERPROFILE%\Documents\GitHub\eaglep3\Utilities\DownloadLogsFromS3.py --loco 4056 --day 2017-06-04</v>
      </c>
      <c r="AN71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761</v>
      </c>
      <c r="B72" s="7">
        <v>4055</v>
      </c>
      <c r="C72" s="21" t="s">
        <v>204</v>
      </c>
      <c r="D72" s="21" t="s">
        <v>436</v>
      </c>
      <c r="E72" s="13">
        <v>42890.495625000003</v>
      </c>
      <c r="F72" s="13">
        <v>42890.498124999998</v>
      </c>
      <c r="G72" s="7">
        <v>1</v>
      </c>
      <c r="H72" s="21" t="s">
        <v>511</v>
      </c>
      <c r="I72" s="13">
        <v>42890.525127314817</v>
      </c>
      <c r="J72" s="7">
        <v>0</v>
      </c>
      <c r="K72" s="92" t="str">
        <f t="shared" si="0"/>
        <v>4055/4056</v>
      </c>
      <c r="L72" s="21" t="str">
        <f>VLOOKUP(A72,'Trips&amp;Operators'!$C$1:$G$99999,5,FALSE)</f>
        <v>MACDONALD THOMAS</v>
      </c>
      <c r="M72" s="6">
        <f t="shared" si="1"/>
        <v>2.7002314818673767E-2</v>
      </c>
      <c r="N72" s="7">
        <f t="shared" si="32"/>
        <v>38.883333338890225</v>
      </c>
      <c r="O72" s="7"/>
      <c r="P72" s="7"/>
      <c r="Q72" s="22"/>
      <c r="R72" s="173"/>
      <c r="S72" s="176">
        <f t="shared" si="2"/>
        <v>1</v>
      </c>
      <c r="T72" s="202" t="str">
        <f t="shared" si="3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4"/>
        <v>https://d0f6bd738d7f1b3e5a7ca70fe4ff75f0.us-east-1.aws.found.io/app/kibana#/discover/Steve-Slow-Train-Analysis-(2080s-and-2083s)?_g=(refreshInterval:(display:Off,pause:!f,section:0,value:0),time:(from:'2017-06-04T10:53:42-0600',mode:absolute,to:'2017-06-04T13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204" t="str">
        <f t="shared" si="5"/>
        <v>N</v>
      </c>
      <c r="X72" s="204">
        <f t="shared" si="33"/>
        <v>1</v>
      </c>
      <c r="Y72" s="204">
        <f t="shared" si="6"/>
        <v>23.299399999999999</v>
      </c>
      <c r="Z72" s="204">
        <f t="shared" si="7"/>
        <v>1.6500000000000001E-2</v>
      </c>
      <c r="AA72" s="204">
        <f t="shared" si="8"/>
        <v>23.282899999999998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9"/>
        <v>0160-04</v>
      </c>
      <c r="AE72" s="80" t="str">
        <f t="shared" si="10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72" s="77" t="str">
        <f t="shared" si="11"/>
        <v>"C:\Program Files (x86)\AstroGrep\AstroGrep.exe" /e /r /s /spath="%USERPROFILE%\AppData\Local\Temp\OnboardLogs" /stypes="app*4055*20170604*" /stext=" 18:.+((SYSTEM_STATE.+slice.+state.+changed )|(ment ac)|(multiple cpu faults)|(system.+state.+changed )|(\[timeout)|(PRM\|1\|D)|(kpr)|(kdp)|(train st.+moving)|(\|lc)|(penalty))"</v>
      </c>
      <c r="AG72" s="1" t="str">
        <f t="shared" si="12"/>
        <v>EC</v>
      </c>
      <c r="AH72" s="81" t="str">
        <f t="shared" si="27"/>
        <v>"%USERPROFILE%\Documents\GitHub\eaglep3\Utilities\RefineRTDCRunTimes.py" --tripid 160-04 --locoid 4055 --swversion DE.1.0.9.0 --startMP 204:232994 --initTime 2017-06-04T11:53:42 --startdatetime 2017-06-04T11:57:18 --delay 1 --endMP 204:165 --enddatetime 2017-06-04T12:36:11 --enforcementcount 0 &gt;&gt;C:\Users\stu\Documents\GitHub\eaglep3-reporting\EC\2017-06-04-refined-times.txt</v>
      </c>
      <c r="AI72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{"issue":{"subject":"","project_id":79,"tracker_id":40,"status_id":1,"priority_id":2,"assigned_to_id":23,"start_date":"2017-06-04","description":"","custom_fields":[{"id":1,"name":"Subdivision","value":"EC"},{"id":4,"name":"Milepost","value":"0.0165"},{"id":17,"name":"Train ID","value":"160-04"},{"id":16,"name":"Locomotive ID","value":"4055"},{"id":130,"name":"Impact","value":""},{"id":150,"name":"Time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9"/>
        <v>start /low /b %USERPROFILE%\Documents\GitHub\eaglep3\Utilities\DownloadLogsFromS3.py --loco 4055 --day 2017-06-04</v>
      </c>
      <c r="AN72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756</v>
      </c>
      <c r="B73" s="7">
        <v>4024</v>
      </c>
      <c r="C73" s="21" t="s">
        <v>204</v>
      </c>
      <c r="D73" s="21" t="s">
        <v>201</v>
      </c>
      <c r="E73" s="13">
        <v>42890.466157407405</v>
      </c>
      <c r="F73" s="13">
        <v>42890.469039351854</v>
      </c>
      <c r="G73" s="7">
        <v>2</v>
      </c>
      <c r="H73" s="21" t="s">
        <v>875</v>
      </c>
      <c r="I73" s="13">
        <v>42890.494756944441</v>
      </c>
      <c r="J73" s="7">
        <v>0</v>
      </c>
      <c r="K73" s="92" t="str">
        <f t="shared" si="0"/>
        <v>4023/4024</v>
      </c>
      <c r="L73" s="21" t="str">
        <f>VLOOKUP(A73,'Trips&amp;Operators'!$C$1:$G$99999,5,FALSE)</f>
        <v>DAVIS MICHAEL</v>
      </c>
      <c r="M73" s="6">
        <f t="shared" si="1"/>
        <v>2.5717592587170657E-2</v>
      </c>
      <c r="N73" s="7">
        <f t="shared" si="32"/>
        <v>37.033333325525746</v>
      </c>
      <c r="O73" s="7"/>
      <c r="P73" s="7"/>
      <c r="Q73" s="22"/>
      <c r="R73" s="173"/>
      <c r="S73" s="176">
        <f t="shared" si="2"/>
        <v>1</v>
      </c>
      <c r="T73" s="202" t="str">
        <f t="shared" si="3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4"/>
        <v>https://d0f6bd738d7f1b3e5a7ca70fe4ff75f0.us-east-1.aws.found.io/app/kibana#/discover/Steve-Slow-Train-Analysis-(2080s-and-2083s)?_g=(refreshInterval:(display:Off,pause:!f,section:0,value:0),time:(from:'2017-06-04T10:11:16-0600',mode:absolute,to:'2017-06-04T12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3" s="204" t="str">
        <f t="shared" si="5"/>
        <v>N</v>
      </c>
      <c r="X73" s="204">
        <f t="shared" si="33"/>
        <v>1</v>
      </c>
      <c r="Y73" s="204">
        <f t="shared" si="6"/>
        <v>4.5999999999999999E-2</v>
      </c>
      <c r="Z73" s="204">
        <f t="shared" si="7"/>
        <v>23.326799999999999</v>
      </c>
      <c r="AA73" s="204">
        <f t="shared" si="8"/>
        <v>23.280799999999999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9"/>
        <v>0161-04</v>
      </c>
      <c r="AE73" s="80" t="str">
        <f t="shared" si="10"/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AF73" s="77" t="str">
        <f t="shared" si="11"/>
        <v>"C:\Program Files (x86)\AstroGrep\AstroGrep.exe" /e /r /s /spath="%USERPROFILE%\AppData\Local\Temp\OnboardLogs" /stypes="app*4024*20170604*" /stext=" 17:.+((SYSTEM_STATE.+slice.+state.+changed )|(ment ac)|(multiple cpu faults)|(system.+state.+changed )|(\[timeout)|(PRM\|1\|D)|(kpr)|(kdp)|(train st.+moving)|(\|lc)|(penalty))"</v>
      </c>
      <c r="AG73" s="1" t="str">
        <f t="shared" si="12"/>
        <v>EC</v>
      </c>
      <c r="AH73" s="81" t="str">
        <f t="shared" si="27"/>
        <v>"%USERPROFILE%\Documents\GitHub\eaglep3\Utilities\RefineRTDCRunTimes.py" --tripid 161-04 --locoid 4024 --swversion DE.1.0.9.0 --startMP 204:460 --initTime 2017-06-04T11:11:16 --startdatetime 2017-06-04T11:15:25 --delay 2 --endMP 204:233268 --enddatetime 2017-06-04T11:52:27 --enforcementcount 0 &gt;&gt;C:\Users\stu\Documents\GitHub\eaglep3-reporting\EC\2017-06-04-refined-times.txt</v>
      </c>
      <c r="AI73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{"issue":{"subject":"","project_id":79,"tracker_id":40,"status_id":1,"priority_id":2,"assigned_to_id":23,"start_date":"2017-06-04","description":"","custom_fields":[{"id":1,"name":"Subdivision","value":"EC"},{"id":4,"name":"Milepost","value":"23.3268"},{"id":17,"name":"Train ID","value":"161-04"},{"id":16,"name":"Locomotive ID","value":"4024"},{"id":130,"name":"Impact","value":""},{"id":150,"name":"Time of Event (Mountain Time)","value":"11:52:27"},{"id":151,"name":"Denver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9"/>
        <v>start /low /b %USERPROFILE%\Documents\GitHub\eaglep3\Utilities\DownloadLogsFromS3.py --loco 4024 --day 2017-06-04</v>
      </c>
      <c r="AN73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764</v>
      </c>
      <c r="B74" s="7">
        <v>4023</v>
      </c>
      <c r="C74" s="21" t="s">
        <v>204</v>
      </c>
      <c r="D74" s="21" t="s">
        <v>876</v>
      </c>
      <c r="E74" s="13">
        <v>42890.507025462961</v>
      </c>
      <c r="F74" s="13">
        <v>42890.509004629632</v>
      </c>
      <c r="G74" s="7">
        <v>1</v>
      </c>
      <c r="H74" s="21" t="s">
        <v>611</v>
      </c>
      <c r="I74" s="13">
        <v>42890.539965277778</v>
      </c>
      <c r="J74" s="7">
        <v>0</v>
      </c>
      <c r="K74" s="92" t="str">
        <f t="shared" si="0"/>
        <v>4023/4024</v>
      </c>
      <c r="L74" s="21" t="str">
        <f>VLOOKUP(A74,'Trips&amp;Operators'!$C$1:$G$99999,5,FALSE)</f>
        <v>DAVIS MICHAEL</v>
      </c>
      <c r="M74" s="6">
        <f t="shared" si="1"/>
        <v>3.0960648145992309E-2</v>
      </c>
      <c r="N74" s="7">
        <f t="shared" si="32"/>
        <v>44.583333330228925</v>
      </c>
      <c r="O74" s="7"/>
      <c r="P74" s="7"/>
      <c r="Q74" s="22"/>
      <c r="R74" s="173"/>
      <c r="S74" s="176">
        <f t="shared" si="2"/>
        <v>1</v>
      </c>
      <c r="T74" s="202" t="str">
        <f t="shared" si="3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4"/>
        <v>https://d0f6bd738d7f1b3e5a7ca70fe4ff75f0.us-east-1.aws.found.io/app/kibana#/discover/Steve-Slow-Train-Analysis-(2080s-and-2083s)?_g=(refreshInterval:(display:Off,pause:!f,section:0,value:0),time:(from:'2017-06-04T11:10:07-0600',mode:absolute,to:'2017-06-04T13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4" s="204" t="str">
        <f t="shared" si="5"/>
        <v>N</v>
      </c>
      <c r="X74" s="204">
        <f t="shared" si="33"/>
        <v>1</v>
      </c>
      <c r="Y74" s="204">
        <f t="shared" si="6"/>
        <v>23.3017</v>
      </c>
      <c r="Z74" s="204">
        <f t="shared" si="7"/>
        <v>0.1169</v>
      </c>
      <c r="AA74" s="204">
        <f t="shared" si="8"/>
        <v>23.184799999999999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9"/>
        <v>0162-04</v>
      </c>
      <c r="AE74" s="80" t="str">
        <f t="shared" si="10"/>
        <v>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 &amp; aws s3 cp s3://rtdc.mdm.uploadarchive.raw/RTDC4023/ "%USERPROFILE%\AppData\Local\Temp\OnboardLogs"\RTDC4023\2017-06-05 --exclude "*" --recursive --include "*20170605*" &amp; "%USERPROFILE%\Documents\GitHub\mrs-test-scripts\Headless Mode &amp; Sideloading\WalkAndUnGZ.bat" "%USERPROFILE%\AppData\Local\Temp\OnboardLogs"\RTDC4023\2017-06-05</v>
      </c>
      <c r="AF74" s="77" t="str">
        <f t="shared" si="11"/>
        <v>"C:\Program Files (x86)\AstroGrep\AstroGrep.exe" /e /r /s /spath="%USERPROFILE%\AppData\Local\Temp\OnboardLogs" /stypes="app*4023*20170604*" /stext=" 18:.+((SYSTEM_STATE.+slice.+state.+changed )|(ment ac)|(multiple cpu faults)|(system.+state.+changed )|(\[timeout)|(PRM\|1\|D)|(kpr)|(kdp)|(train st.+moving)|(\|lc)|(penalty))"</v>
      </c>
      <c r="AG74" s="1" t="str">
        <f t="shared" si="12"/>
        <v>EC</v>
      </c>
      <c r="AH74" s="81" t="str">
        <f t="shared" si="27"/>
        <v>"%USERPROFILE%\Documents\GitHub\eaglep3\Utilities\RefineRTDCRunTimes.py" --tripid 162-04 --locoid 4023 --swversion DE.1.0.9.0 --startMP 204:233017 --initTime 2017-06-04T12:10:07 --startdatetime 2017-06-04T12:12:58 --delay 1 --endMP 204:1169 --enddatetime 2017-06-04T12:57:33 --enforcementcount 0 &gt;&gt;C:\Users\stu\Documents\GitHub\eaglep3-reporting\EC\2017-06-04-refined-times.txt</v>
      </c>
      <c r="AI74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{"issue":{"subject":"","project_id":79,"tracker_id":40,"status_id":1,"priority_id":2,"assigned_to_id":23,"start_date":"2017-06-04","description":"","custom_fields":[{"id":1,"name":"Subdivision","value":"EC"},{"id":4,"name":"Milepost","value":"0.1169"},{"id":17,"name":"Train ID","value":"162-04"},{"id":16,"name":"Locomotive ID","value":"4023"},{"id":130,"name":"Impact","value":""},{"id":150,"name":"Time of Event (Mountain Time)","value":"12:57:33"},{"id":151,"name":"Denver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9"/>
        <v>start /low /b %USERPROFILE%\Documents\GitHub\eaglep3\Utilities\DownloadLogsFromS3.py --loco 4023 --day 2017-06-04</v>
      </c>
      <c r="AN74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757</v>
      </c>
      <c r="B75" s="7">
        <v>4004</v>
      </c>
      <c r="C75" s="21" t="s">
        <v>204</v>
      </c>
      <c r="D75" s="21" t="s">
        <v>200</v>
      </c>
      <c r="E75" s="13">
        <v>42890.474224537036</v>
      </c>
      <c r="F75" s="13">
        <v>42890.47965277778</v>
      </c>
      <c r="G75" s="7">
        <v>1</v>
      </c>
      <c r="H75" s="21" t="s">
        <v>606</v>
      </c>
      <c r="I75" s="13">
        <v>42890.504953703705</v>
      </c>
      <c r="J75" s="7">
        <v>0</v>
      </c>
      <c r="K75" s="92" t="str">
        <f t="shared" si="0"/>
        <v>4003/4004</v>
      </c>
      <c r="L75" s="21" t="str">
        <f>VLOOKUP(A75,'Trips&amp;Operators'!$C$1:$G$99999,5,FALSE)</f>
        <v>BRANDNER MELINDA</v>
      </c>
      <c r="M75" s="6">
        <f t="shared" si="1"/>
        <v>2.5300925924966577E-2</v>
      </c>
      <c r="N75" s="7">
        <f t="shared" si="32"/>
        <v>36.433333331951872</v>
      </c>
      <c r="O75" s="7"/>
      <c r="P75" s="7"/>
      <c r="Q75" s="22"/>
      <c r="R75" s="173"/>
      <c r="S75" s="176">
        <f t="shared" si="2"/>
        <v>1</v>
      </c>
      <c r="T75" s="202" t="str">
        <f t="shared" si="3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4"/>
        <v>https://d0f6bd738d7f1b3e5a7ca70fe4ff75f0.us-east-1.aws.found.io/app/kibana#/discover/Steve-Slow-Train-Analysis-(2080s-and-2083s)?_g=(refreshInterval:(display:Off,pause:!f,section:0,value:0),time:(from:'2017-06-04T10:22:53-0600',mode:absolute,to:'2017-06-04T13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204" t="str">
        <f t="shared" si="5"/>
        <v>N</v>
      </c>
      <c r="X75" s="204">
        <f t="shared" si="33"/>
        <v>1</v>
      </c>
      <c r="Y75" s="204">
        <f t="shared" si="6"/>
        <v>4.5699999999999998E-2</v>
      </c>
      <c r="Z75" s="204">
        <f t="shared" si="7"/>
        <v>23.333400000000001</v>
      </c>
      <c r="AA75" s="204">
        <f t="shared" si="8"/>
        <v>23.287700000000001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9"/>
        <v>0163-04</v>
      </c>
      <c r="AE75" s="80" t="str">
        <f t="shared" si="10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75" s="77" t="str">
        <f t="shared" si="11"/>
        <v>"C:\Program Files (x86)\AstroGrep\AstroGrep.exe" /e /r /s /spath="%USERPROFILE%\AppData\Local\Temp\OnboardLogs" /stypes="app*4004*20170604*" /stext=" 18:.+((SYSTEM_STATE.+slice.+state.+changed )|(ment ac)|(multiple cpu faults)|(system.+state.+changed )|(\[timeout)|(PRM\|1\|D)|(kpr)|(kdp)|(train st.+moving)|(\|lc)|(penalty))"</v>
      </c>
      <c r="AG75" s="1" t="str">
        <f t="shared" si="12"/>
        <v>EC</v>
      </c>
      <c r="AH75" s="81" t="str">
        <f t="shared" si="27"/>
        <v>"%USERPROFILE%\Documents\GitHub\eaglep3\Utilities\RefineRTDCRunTimes.py" --tripid 163-04 --locoid 4004 --swversion DE.1.0.9.0 --startMP 204:457 --initTime 2017-06-04T11:22:53 --startdatetime 2017-06-04T11:30:42 --delay 1 --endMP 204:233334 --enddatetime 2017-06-04T12:07:08 --enforcementcount 0 &gt;&gt;C:\Users\stu\Documents\GitHub\eaglep3-reporting\EC\2017-06-04-refined-times.txt</v>
      </c>
      <c r="AI75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{"issue":{"subject":"","project_id":79,"tracker_id":40,"status_id":1,"priority_id":2,"assigned_to_id":23,"start_date":"2017-06-04","description":"","custom_fields":[{"id":1,"name":"Subdivision","value":"EC"},{"id":4,"name":"Milepost","value":"23.3334"},{"id":17,"name":"Train ID","value":"163-04"},{"id":16,"name":"Locomotive ID","value":"4004"},{"id":130,"name":"Impact","value":""},{"id":150,"name":"Time of Event (Mountain Time)","value":"12:07:08"},{"id":151,"name":"Denver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9"/>
        <v>start /low /b %USERPROFILE%\Documents\GitHub\eaglep3\Utilities\DownloadLogsFromS3.py --loco 4004 --day 2017-06-04</v>
      </c>
      <c r="AN75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765</v>
      </c>
      <c r="B76" s="7">
        <v>4003</v>
      </c>
      <c r="C76" s="21" t="s">
        <v>204</v>
      </c>
      <c r="D76" s="21" t="s">
        <v>633</v>
      </c>
      <c r="E76" s="13">
        <v>42890.514548611114</v>
      </c>
      <c r="F76" s="13">
        <v>42890.518912037034</v>
      </c>
      <c r="G76" s="7">
        <v>2</v>
      </c>
      <c r="H76" s="21" t="s">
        <v>637</v>
      </c>
      <c r="I76" s="13">
        <v>42890.546111111114</v>
      </c>
      <c r="J76" s="7">
        <v>0</v>
      </c>
      <c r="K76" s="92" t="str">
        <f t="shared" si="0"/>
        <v>4003/4004</v>
      </c>
      <c r="L76" s="21" t="str">
        <f>VLOOKUP(A76,'Trips&amp;Operators'!$C$1:$G$99999,5,FALSE)</f>
        <v>BRANDNER MELINDA</v>
      </c>
      <c r="M76" s="6">
        <f t="shared" si="1"/>
        <v>2.7199074080272112E-2</v>
      </c>
      <c r="N76" s="7">
        <f t="shared" si="32"/>
        <v>39.166666675591841</v>
      </c>
      <c r="O76" s="7"/>
      <c r="P76" s="7"/>
      <c r="Q76" s="22"/>
      <c r="R76" s="173"/>
      <c r="S76" s="176">
        <f t="shared" si="2"/>
        <v>1</v>
      </c>
      <c r="T76" s="202" t="str">
        <f t="shared" si="3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4"/>
        <v>https://d0f6bd738d7f1b3e5a7ca70fe4ff75f0.us-east-1.aws.found.io/app/kibana#/discover/Steve-Slow-Train-Analysis-(2080s-and-2083s)?_g=(refreshInterval:(display:Off,pause:!f,section:0,value:0),time:(from:'2017-06-04T11:20:57-0600',mode:absolute,to:'2017-06-04T14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6" s="204" t="str">
        <f t="shared" si="5"/>
        <v>N</v>
      </c>
      <c r="X76" s="204">
        <f t="shared" si="33"/>
        <v>1</v>
      </c>
      <c r="Y76" s="204">
        <f t="shared" si="6"/>
        <v>23.300899999999999</v>
      </c>
      <c r="Z76" s="204">
        <f t="shared" si="7"/>
        <v>1.29E-2</v>
      </c>
      <c r="AA76" s="204">
        <f t="shared" si="8"/>
        <v>23.288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9"/>
        <v>0164-04</v>
      </c>
      <c r="AE76" s="80" t="str">
        <f t="shared" si="10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76" s="77" t="str">
        <f t="shared" si="11"/>
        <v>"C:\Program Files (x86)\AstroGrep\AstroGrep.exe" /e /r /s /spath="%USERPROFILE%\AppData\Local\Temp\OnboardLogs" /stypes="app*4003*20170604*" /stext=" 19:.+((SYSTEM_STATE.+slice.+state.+changed )|(ment ac)|(multiple cpu faults)|(system.+state.+changed )|(\[timeout)|(PRM\|1\|D)|(kpr)|(kdp)|(train st.+moving)|(\|lc)|(penalty))"</v>
      </c>
      <c r="AG76" s="1" t="str">
        <f t="shared" si="12"/>
        <v>EC</v>
      </c>
      <c r="AH76" s="81" t="str">
        <f t="shared" si="27"/>
        <v>"%USERPROFILE%\Documents\GitHub\eaglep3\Utilities\RefineRTDCRunTimes.py" --tripid 164-04 --locoid 4003 --swversion DE.1.0.9.0 --startMP 204:233009 --initTime 2017-06-04T12:20:57 --startdatetime 2017-06-04T12:27:14 --delay 2 --endMP 204:129 --enddatetime 2017-06-04T13:06:24 --enforcementcount 0 &gt;&gt;C:\Users\stu\Documents\GitHub\eaglep3-reporting\EC\2017-06-04-refined-times.txt</v>
      </c>
      <c r="AI76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{"issue":{"subject":"","project_id":79,"tracker_id":40,"status_id":1,"priority_id":2,"assigned_to_id":23,"start_date":"2017-06-04","description":"","custom_fields":[{"id":1,"name":"Subdivision","value":"EC"},{"id":4,"name":"Milepost","value":"0.0129"},{"id":17,"name":"Train ID","value":"164-04"},{"id":16,"name":"Locomotive ID","value":"4003"},{"id":130,"name":"Impact","value":""},{"id":150,"name":"Time of Event (Mountain Time)","value":"13:06:24"},{"id":151,"name":"Denver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9"/>
        <v>start /low /b %USERPROFILE%\Documents\GitHub\eaglep3\Utilities\DownloadLogsFromS3.py --loco 4003 --day 2017-06-04</v>
      </c>
      <c r="AN76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760</v>
      </c>
      <c r="B77" s="7">
        <v>4042</v>
      </c>
      <c r="C77" s="21" t="s">
        <v>204</v>
      </c>
      <c r="D77" s="21" t="s">
        <v>397</v>
      </c>
      <c r="E77" s="13">
        <v>42890.485636574071</v>
      </c>
      <c r="F77" s="13">
        <v>42890.489756944444</v>
      </c>
      <c r="G77" s="7">
        <v>2</v>
      </c>
      <c r="H77" s="21" t="s">
        <v>484</v>
      </c>
      <c r="I77" s="13">
        <v>42890.515810185185</v>
      </c>
      <c r="J77" s="7">
        <v>0</v>
      </c>
      <c r="K77" s="92" t="str">
        <f t="shared" ref="K77:K140" si="34">IF(ISEVEN(B77),(B77-1)&amp;"/"&amp;B77,B77&amp;"/"&amp;(B77+1))</f>
        <v>4041/4042</v>
      </c>
      <c r="L77" s="21" t="str">
        <f>VLOOKUP(A77,'Trips&amp;Operators'!$C$1:$G$99999,5,FALSE)</f>
        <v>BRUDER RICHARD</v>
      </c>
      <c r="M77" s="6">
        <f t="shared" ref="M77:M140" si="35">I77-F77</f>
        <v>2.6053240741021E-2</v>
      </c>
      <c r="N77" s="7">
        <f t="shared" si="32"/>
        <v>37.51666666707024</v>
      </c>
      <c r="O77" s="7"/>
      <c r="P77" s="7"/>
      <c r="Q77" s="22"/>
      <c r="R77" s="173"/>
      <c r="S77" s="176">
        <f t="shared" ref="S77:S140" si="36">SUM(U77:U77)/IF(AG77="EC",12,1)</f>
        <v>1</v>
      </c>
      <c r="T77" s="202" t="str">
        <f t="shared" ref="T77:T140" si="37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-04T10:39:19-0600',mode:absolute,to:'2017-06-04T13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 t="shared" ref="W77:W140" si="39">IF(AA77&lt;IF(AG77="EC",23,5.65),"Y","N")</f>
        <v>N</v>
      </c>
      <c r="X77" s="204">
        <f t="shared" si="33"/>
        <v>1</v>
      </c>
      <c r="Y77" s="204">
        <f t="shared" ref="Y77:Y140" si="40">RIGHT(D77,LEN(D77)-4)/10000</f>
        <v>4.6199999999999998E-2</v>
      </c>
      <c r="Z77" s="204">
        <f t="shared" ref="Z77:Z140" si="41">RIGHT(H77,LEN(H77)-4)/10000</f>
        <v>23.3306</v>
      </c>
      <c r="AA77" s="204">
        <f t="shared" ref="AA77:AA140" si="42">ABS(Z77-Y77)</f>
        <v>23.284400000000002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3">IF(LEN(A77)=6,"0"&amp;A77,A77)</f>
        <v>0165-04</v>
      </c>
      <c r="AE77" s="80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77" s="77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/stypes="app*4042*20170604*"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6">IFERROR(IF(VALUE(LEFT(AD77,2))&lt;=2,"EC",IF(OR(VALUE(LEFT(AD77,2))=8,VALUE(LEFT(AD77,2))=18),"NW","Other")),"Other")</f>
        <v>EC</v>
      </c>
      <c r="AH77" s="81" t="str">
        <f t="shared" si="27"/>
        <v>"%USERPROFILE%\Documents\GitHub\eaglep3\Utilities\RefineRTDCRunTimes.py" --tripid 165-04 --locoid 4042 --swversion DE.1.0.9.0 --startMP 204:462 --initTime 2017-06-04T11:39:19 --startdatetime 2017-06-04T11:45:15 --delay 2 --endMP 204:233306 --enddatetime 2017-06-04T12:22:46 --enforcementcount 0 &gt;&gt;C:\Users\stu\Documents\GitHub\eaglep3-reporting\EC\2017-06-04-refined-times.txt</v>
      </c>
      <c r="AI77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{"issue":{"subject":"","project_id":79,"tracker_id":40,"status_id":1,"priority_id":2,"assigned_to_id":23,"start_date":"2017-06-04","description":"","custom_fields":[{"id":1,"name":"Subdivision","value":"EC"},{"id":4,"name":"Milepost","value":"23.3306"},{"id":17,"name":"Train ID","value":"165-04"},{"id":16,"name":"Locomotive ID","value":"4042"},{"id":130,"name":"Impact","value":""},{"id":150,"name":"Time of Event (Mountain Time)","value":"12:22:46"},{"id":151,"name":"Denver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9"/>
        <v>start /low /b %USERPROFILE%\Documents\GitHub\eaglep3\Utilities\DownloadLogsFromS3.py --loco 4042 --day 2017-06-04</v>
      </c>
      <c r="AN77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767</v>
      </c>
      <c r="B78" s="7">
        <v>4041</v>
      </c>
      <c r="C78" s="21" t="s">
        <v>204</v>
      </c>
      <c r="D78" s="21" t="s">
        <v>485</v>
      </c>
      <c r="E78" s="13">
        <v>42890.523275462961</v>
      </c>
      <c r="F78" s="13">
        <v>42890.529374999998</v>
      </c>
      <c r="G78" s="7">
        <v>3</v>
      </c>
      <c r="H78" s="21" t="s">
        <v>196</v>
      </c>
      <c r="I78" s="13">
        <v>42890.555289351854</v>
      </c>
      <c r="J78" s="7">
        <v>0</v>
      </c>
      <c r="K78" s="92" t="str">
        <f t="shared" si="34"/>
        <v>4041/4042</v>
      </c>
      <c r="L78" s="21" t="str">
        <f>VLOOKUP(A78,'Trips&amp;Operators'!$C$1:$G$99999,5,FALSE)</f>
        <v>BRUDER RICHARD</v>
      </c>
      <c r="M78" s="6">
        <f t="shared" si="35"/>
        <v>2.5914351856044959E-2</v>
      </c>
      <c r="N78" s="7">
        <f t="shared" si="32"/>
        <v>37.316666672704741</v>
      </c>
      <c r="O78" s="7"/>
      <c r="P78" s="7"/>
      <c r="Q78" s="22"/>
      <c r="R78" s="173"/>
      <c r="S78" s="176">
        <f t="shared" si="36"/>
        <v>1</v>
      </c>
      <c r="T78" s="202" t="str">
        <f t="shared" si="37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8"/>
        <v>https://d0f6bd738d7f1b3e5a7ca70fe4ff75f0.us-east-1.aws.found.io/app/kibana#/discover/Steve-Slow-Train-Analysis-(2080s-and-2083s)?_g=(refreshInterval:(display:Off,pause:!f,section:0,value:0),time:(from:'2017-06-04T11:33:31-0600',mode:absolute,to:'2017-06-04T14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 t="shared" si="39"/>
        <v>N</v>
      </c>
      <c r="X78" s="204">
        <f t="shared" si="33"/>
        <v>1</v>
      </c>
      <c r="Y78" s="204">
        <f t="shared" si="40"/>
        <v>23.297899999999998</v>
      </c>
      <c r="Z78" s="204">
        <f t="shared" si="41"/>
        <v>1.5800000000000002E-2</v>
      </c>
      <c r="AA78" s="204">
        <f t="shared" si="42"/>
        <v>23.2821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3"/>
        <v>0166-04</v>
      </c>
      <c r="AE78" s="80" t="str">
        <f t="shared" si="44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78" s="77" t="str">
        <f t="shared" si="45"/>
        <v>"C:\Program Files (x86)\AstroGrep\AstroGrep.exe" /e /r /s /spath="%USERPROFILE%\AppData\Local\Temp\OnboardLogs" /stypes="app*4041*20170604*" /stext=" 19:.+((SYSTEM_STATE.+slice.+state.+changed )|(ment ac)|(multiple cpu faults)|(system.+state.+changed )|(\[timeout)|(PRM\|1\|D)|(kpr)|(kdp)|(train st.+moving)|(\|lc)|(penalty))"</v>
      </c>
      <c r="AG78" s="1" t="str">
        <f t="shared" si="46"/>
        <v>EC</v>
      </c>
      <c r="AH78" s="81" t="str">
        <f t="shared" si="27"/>
        <v>"%USERPROFILE%\Documents\GitHub\eaglep3\Utilities\RefineRTDCRunTimes.py" --tripid 166-04 --locoid 4041 --swversion DE.1.0.9.0 --startMP 204:232979 --initTime 2017-06-04T12:33:31 --startdatetime 2017-06-04T12:42:18 --delay 3 --endMP 204:158 --enddatetime 2017-06-04T13:19:37 --enforcementcount 0 &gt;&gt;C:\Users\stu\Documents\GitHub\eaglep3-reporting\EC\2017-06-04-refined-times.txt</v>
      </c>
      <c r="AI78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{"issue":{"subject":"","project_id":79,"tracker_id":40,"status_id":1,"priority_id":2,"assigned_to_id":23,"start_date":"2017-06-04","description":"","custom_fields":[{"id":1,"name":"Subdivision","value":"EC"},{"id":4,"name":"Milepost","value":"0.0158"},{"id":17,"name":"Train ID","value":"166-04"},{"id":16,"name":"Locomotive ID","value":"4041"},{"id":130,"name":"Impact","value":""},{"id":150,"name":"Time of Event (Mountain Time)","value":"13:19:37"},{"id":151,"name":"Denver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9"/>
        <v>start /low /b %USERPROFILE%\Documents\GitHub\eaglep3\Utilities\DownloadLogsFromS3.py --loco 4041 --day 2017-06-04</v>
      </c>
      <c r="AN78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762</v>
      </c>
      <c r="B79" s="7">
        <v>4012</v>
      </c>
      <c r="C79" s="21" t="s">
        <v>204</v>
      </c>
      <c r="D79" s="21" t="s">
        <v>877</v>
      </c>
      <c r="E79" s="13">
        <v>42890.498425925929</v>
      </c>
      <c r="F79" s="13">
        <v>42890.5002662037</v>
      </c>
      <c r="G79" s="7">
        <v>1</v>
      </c>
      <c r="H79" s="21" t="s">
        <v>475</v>
      </c>
      <c r="I79" s="13">
        <v>42890.525324074071</v>
      </c>
      <c r="J79" s="7">
        <v>0</v>
      </c>
      <c r="K79" s="92" t="str">
        <f t="shared" si="34"/>
        <v>4011/4012</v>
      </c>
      <c r="L79" s="21" t="str">
        <f>VLOOKUP(A79,'Trips&amp;Operators'!$C$1:$G$99999,5,FALSE)</f>
        <v>MOSES BRADLEY</v>
      </c>
      <c r="M79" s="6">
        <f t="shared" si="35"/>
        <v>2.5057870370801538E-2</v>
      </c>
      <c r="N79" s="7">
        <f t="shared" si="32"/>
        <v>36.083333333954215</v>
      </c>
      <c r="O79" s="7"/>
      <c r="P79" s="7"/>
      <c r="Q79" s="22"/>
      <c r="R79" s="173"/>
      <c r="S79" s="176">
        <f t="shared" si="36"/>
        <v>1</v>
      </c>
      <c r="T79" s="202" t="str">
        <f t="shared" si="37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8"/>
        <v>https://d0f6bd738d7f1b3e5a7ca70fe4ff75f0.us-east-1.aws.found.io/app/kibana#/discover/Steve-Slow-Train-Analysis-(2080s-and-2083s)?_g=(refreshInterval:(display:Off,pause:!f,section:0,value:0),time:(from:'2017-06-04T10:57:44-0600',mode:absolute,to:'2017-06-04T13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204" t="str">
        <f t="shared" si="39"/>
        <v>N</v>
      </c>
      <c r="X79" s="204">
        <f t="shared" si="33"/>
        <v>1</v>
      </c>
      <c r="Y79" s="204">
        <f t="shared" si="40"/>
        <v>4.7699999999999999E-2</v>
      </c>
      <c r="Z79" s="204">
        <f t="shared" si="41"/>
        <v>23.331199999999999</v>
      </c>
      <c r="AA79" s="204">
        <f t="shared" si="42"/>
        <v>23.2835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3"/>
        <v>0167-04</v>
      </c>
      <c r="AE79" s="80" t="str">
        <f t="shared" si="44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79" s="77" t="str">
        <f t="shared" si="45"/>
        <v>"C:\Program Files (x86)\AstroGrep\AstroGrep.exe" /e /r /s /spath="%USERPROFILE%\AppData\Local\Temp\OnboardLogs" /stypes="app*4012*20170604*" /stext=" 18:.+((SYSTEM_STATE.+slice.+state.+changed )|(ment ac)|(multiple cpu faults)|(system.+state.+changed )|(\[timeout)|(PRM\|1\|D)|(kpr)|(kdp)|(train st.+moving)|(\|lc)|(penalty))"</v>
      </c>
      <c r="AG79" s="1" t="str">
        <f t="shared" si="46"/>
        <v>EC</v>
      </c>
      <c r="AH79" s="81" t="str">
        <f t="shared" si="27"/>
        <v>"%USERPROFILE%\Documents\GitHub\eaglep3\Utilities\RefineRTDCRunTimes.py" --tripid 167-04 --locoid 4012 --swversion DE.1.0.9.0 --startMP 204:477 --initTime 2017-06-04T11:57:44 --startdatetime 2017-06-04T12:00:23 --delay 1 --endMP 204:233312 --enddatetime 2017-06-04T12:36:28 --enforcementcount 0 &gt;&gt;C:\Users\stu\Documents\GitHub\eaglep3-reporting\EC\2017-06-04-refined-times.txt</v>
      </c>
      <c r="AI79" s="99" t="str">
        <f t="shared" si="28"/>
        <v>echo {"issue":{"subject":"","project_id":79,"tracker_id":40,"status_id":1,"priority_id":2,"assigned_to_id":23,"start_date":"2017-06-04","description":"","custom_fields":[{"id":1,"name":"Subdivision","value":"EC"},{"id":4,"name":"Milepost","value":"23.3312"},{"id":17,"name":"Train ID","value":"167-04"},{"id":16,"name":"Locomotive ID","value":"4012"},{"id":130,"name":"Impact","value":""},{"id":150,"name":"Time of Event (Mountain Time)","value":"12:36:28"},{"id":151,"name":"Denver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29"/>
        <v>start /low /b %USERPROFILE%\Documents\GitHub\eaglep3\Utilities\DownloadLogsFromS3.py --loco 4012 --day 2017-06-04</v>
      </c>
      <c r="AN79" s="154" t="str">
        <f t="shared" si="30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770</v>
      </c>
      <c r="B80" s="7">
        <v>4011</v>
      </c>
      <c r="C80" s="21" t="s">
        <v>204</v>
      </c>
      <c r="D80" s="21" t="s">
        <v>868</v>
      </c>
      <c r="E80" s="13">
        <v>42890.535127314812</v>
      </c>
      <c r="F80" s="13">
        <v>42890.539884259262</v>
      </c>
      <c r="G80" s="7">
        <v>2</v>
      </c>
      <c r="H80" s="21" t="s">
        <v>437</v>
      </c>
      <c r="I80" s="13">
        <v>42890.566319444442</v>
      </c>
      <c r="J80" s="7">
        <v>0</v>
      </c>
      <c r="K80" s="92" t="str">
        <f t="shared" si="34"/>
        <v>4011/4012</v>
      </c>
      <c r="L80" s="21" t="str">
        <f>VLOOKUP(A80,'Trips&amp;Operators'!$C$1:$G$99999,5,FALSE)</f>
        <v>MOSES BRADLEY</v>
      </c>
      <c r="M80" s="6">
        <f t="shared" si="35"/>
        <v>2.643518518016208E-2</v>
      </c>
      <c r="N80" s="7">
        <f t="shared" ref="N80:N111" si="47">24*60*SUM($M80:$M80)</f>
        <v>38.066666659433395</v>
      </c>
      <c r="O80" s="7"/>
      <c r="P80" s="7"/>
      <c r="Q80" s="22"/>
      <c r="R80" s="173"/>
      <c r="S80" s="176">
        <f t="shared" si="36"/>
        <v>1</v>
      </c>
      <c r="T80" s="202" t="str">
        <f t="shared" si="37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8"/>
        <v>https://d0f6bd738d7f1b3e5a7ca70fe4ff75f0.us-east-1.aws.found.io/app/kibana#/discover/Steve-Slow-Train-Analysis-(2080s-and-2083s)?_g=(refreshInterval:(display:Off,pause:!f,section:0,value:0),time:(from:'2017-06-04T11:50:35-0600',mode:absolute,to:'2017-06-04T14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204" t="str">
        <f t="shared" si="39"/>
        <v>N</v>
      </c>
      <c r="X80" s="204">
        <f t="shared" si="33"/>
        <v>1</v>
      </c>
      <c r="Y80" s="204">
        <f t="shared" si="40"/>
        <v>23.2986</v>
      </c>
      <c r="Z80" s="204">
        <f t="shared" si="41"/>
        <v>1.4500000000000001E-2</v>
      </c>
      <c r="AA80" s="204">
        <f t="shared" si="42"/>
        <v>23.284099999999999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3"/>
        <v>0168-04</v>
      </c>
      <c r="AE80" s="80" t="str">
        <f t="shared" si="44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80" s="77" t="str">
        <f t="shared" si="45"/>
        <v>"C:\Program Files (x86)\AstroGrep\AstroGrep.exe" /e /r /s /spath="%USERPROFILE%\AppData\Local\Temp\OnboardLogs" /stypes="app*4011*20170604*" /stext=" 19:.+((SYSTEM_STATE.+slice.+state.+changed )|(ment ac)|(multiple cpu faults)|(system.+state.+changed )|(\[timeout)|(PRM\|1\|D)|(kpr)|(kdp)|(train st.+moving)|(\|lc)|(penalty))"</v>
      </c>
      <c r="AG80" s="1" t="str">
        <f t="shared" si="46"/>
        <v>EC</v>
      </c>
      <c r="AH80" s="81" t="str">
        <f t="shared" ref="AH80:AH143" si="4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168-04 --locoid 4011 --swversion DE.1.0.9.0 --startMP 204:232986 --initTime 2017-06-04T12:50:35 --startdatetime 2017-06-04T12:57:26 --delay 2 --endMP 204:145 --enddatetime 2017-06-04T13:35:30 --enforcementcount 0 &gt;&gt;C:\Users\stu\Documents\GitHub\eaglep3-reporting\EC\2017-06-04-refined-times.txt</v>
      </c>
      <c r="AI80" s="99" t="str">
        <f t="shared" ref="AI80:AI143" si="4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ID","value":"168-04"},{"id":16,"name":"Locomotive ID","value":"4011"},{"id":130,"name":"Impact","value":""},{"id":150,"name":"Time of Event (Mountain Time)","value":"13:35:30"},{"id":151,"name":"Denver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ref="AM80:AM143" si="50">"start /low /b "&amp;dls3logs&amp;" --loco "&amp;B80&amp;" --day "&amp;TEXT(F80,"YYYY-MM-DD")</f>
        <v>start /low /b %USERPROFILE%\Documents\GitHub\eaglep3\Utilities\DownloadLogsFromS3.py --loco 4011 --day 2017-06-04</v>
      </c>
      <c r="AN80" s="154" t="str">
        <f t="shared" ref="AN80:AN143" si="51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657</v>
      </c>
      <c r="B81" s="7">
        <v>4040</v>
      </c>
      <c r="C81" s="21" t="s">
        <v>204</v>
      </c>
      <c r="D81" s="21" t="s">
        <v>200</v>
      </c>
      <c r="E81" s="13">
        <v>42890.505879629629</v>
      </c>
      <c r="F81" s="13">
        <v>42890.510578703703</v>
      </c>
      <c r="G81" s="7">
        <v>1</v>
      </c>
      <c r="H81" s="21" t="s">
        <v>878</v>
      </c>
      <c r="I81" s="13">
        <v>42890.535590277781</v>
      </c>
      <c r="J81" s="7">
        <v>0</v>
      </c>
      <c r="K81" s="92" t="str">
        <f t="shared" si="34"/>
        <v>4039/4040</v>
      </c>
      <c r="L81" s="21" t="str">
        <f>VLOOKUP(A81,'Trips&amp;Operators'!$C$1:$G$99999,5,FALSE)</f>
        <v>DELGADO DIANAH</v>
      </c>
      <c r="M81" s="6">
        <f t="shared" si="35"/>
        <v>2.5011574078234844E-2</v>
      </c>
      <c r="N81" s="7">
        <f t="shared" si="47"/>
        <v>36.016666672658175</v>
      </c>
      <c r="O81" s="7"/>
      <c r="P81" s="7"/>
      <c r="Q81" s="22"/>
      <c r="R81" s="173"/>
      <c r="S81" s="176">
        <f t="shared" si="36"/>
        <v>1</v>
      </c>
      <c r="T81" s="202" t="str">
        <f t="shared" si="37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8"/>
        <v>https://d0f6bd738d7f1b3e5a7ca70fe4ff75f0.us-east-1.aws.found.io/app/kibana#/discover/Steve-Slow-Train-Analysis-(2080s-and-2083s)?_g=(refreshInterval:(display:Off,pause:!f,section:0,value:0),time:(from:'2017-06-04T11:08:28-0600',mode:absolute,to:'2017-06-04T13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204" t="str">
        <f t="shared" si="39"/>
        <v>N</v>
      </c>
      <c r="X81" s="204">
        <f t="shared" si="33"/>
        <v>1</v>
      </c>
      <c r="Y81" s="204">
        <f t="shared" si="40"/>
        <v>4.5699999999999998E-2</v>
      </c>
      <c r="Z81" s="204">
        <f t="shared" si="41"/>
        <v>23.346299999999999</v>
      </c>
      <c r="AA81" s="204">
        <f t="shared" si="42"/>
        <v>23.300599999999999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3"/>
        <v>0169-04</v>
      </c>
      <c r="AE81" s="80" t="str">
        <f t="shared" si="44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81" s="77" t="str">
        <f t="shared" si="45"/>
        <v>"C:\Program Files (x86)\AstroGrep\AstroGrep.exe" /e /r /s /spath="%USERPROFILE%\AppData\Local\Temp\OnboardLogs" /stypes="app*4040*20170604*" /stext=" 18:.+((SYSTEM_STATE.+slice.+state.+changed )|(ment ac)|(multiple cpu faults)|(system.+state.+changed )|(\[timeout)|(PRM\|1\|D)|(kpr)|(kdp)|(train st.+moving)|(\|lc)|(penalty))"</v>
      </c>
      <c r="AG81" s="1" t="str">
        <f t="shared" si="46"/>
        <v>EC</v>
      </c>
      <c r="AH81" s="81" t="str">
        <f t="shared" si="48"/>
        <v>"%USERPROFILE%\Documents\GitHub\eaglep3\Utilities\RefineRTDCRunTimes.py" --tripid 169-04 --locoid 4040 --swversion DE.1.0.9.0 --startMP 204:457 --initTime 2017-06-04T12:08:28 --startdatetime 2017-06-04T12:15:14 --delay 1 --endMP 204:233463 --enddatetime 2017-06-04T12:51:15 --enforcementcount 0 &gt;&gt;C:\Users\stu\Documents\GitHub\eaglep3-reporting\EC\2017-06-04-refined-times.txt</v>
      </c>
      <c r="AI8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{"issue":{"subject":"","project_id":79,"tracker_id":40,"status_id":1,"priority_id":2,"assigned_to_id":23,"start_date":"2017-06-04","description":"","custom_fields":[{"id":1,"name":"Subdivision","value":"EC"},{"id":4,"name":"Milepost","value":"23.3463"},{"id":17,"name":"Train ID","value":"169-04"},{"id":16,"name":"Locomotive ID","value":"4040"},{"id":130,"name":"Impact","value":""},{"id":150,"name":"Time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50"/>
        <v>start /low /b %USERPROFILE%\Documents\GitHub\eaglep3\Utilities\DownloadLogsFromS3.py --loco 4040 --day 2017-06-04</v>
      </c>
      <c r="AN81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658</v>
      </c>
      <c r="B82" s="7">
        <v>4039</v>
      </c>
      <c r="C82" s="21" t="s">
        <v>204</v>
      </c>
      <c r="D82" s="21" t="s">
        <v>879</v>
      </c>
      <c r="E82" s="13">
        <v>42890.539953703701</v>
      </c>
      <c r="F82" s="13">
        <v>42890.550219907411</v>
      </c>
      <c r="G82" s="7">
        <v>5</v>
      </c>
      <c r="H82" s="21" t="s">
        <v>352</v>
      </c>
      <c r="I82" s="13">
        <v>42890.575937499998</v>
      </c>
      <c r="J82" s="7">
        <v>0</v>
      </c>
      <c r="K82" s="92" t="str">
        <f t="shared" si="34"/>
        <v>4039/4040</v>
      </c>
      <c r="L82" s="21" t="str">
        <f>VLOOKUP(A82,'Trips&amp;Operators'!$C$1:$G$99999,5,FALSE)</f>
        <v>DELGADO DIANAH</v>
      </c>
      <c r="M82" s="6">
        <f t="shared" si="35"/>
        <v>2.5717592587170657E-2</v>
      </c>
      <c r="N82" s="7">
        <f t="shared" si="47"/>
        <v>37.033333325525746</v>
      </c>
      <c r="O82" s="7"/>
      <c r="P82" s="7"/>
      <c r="Q82" s="22"/>
      <c r="R82" s="173"/>
      <c r="S82" s="176">
        <f t="shared" si="36"/>
        <v>1</v>
      </c>
      <c r="T82" s="202" t="str">
        <f t="shared" si="37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8"/>
        <v>https://d0f6bd738d7f1b3e5a7ca70fe4ff75f0.us-east-1.aws.found.io/app/kibana#/discover/Steve-Slow-Train-Analysis-(2080s-and-2083s)?_g=(refreshInterval:(display:Off,pause:!f,section:0,value:0),time:(from:'2017-06-04T11:57:32-0600',mode:absolute,to:'2017-06-04T14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204" t="str">
        <f t="shared" si="39"/>
        <v>N</v>
      </c>
      <c r="X82" s="204">
        <f t="shared" ref="X82:X113" si="52">VALUE(LEFT(AD82,4))-VALUE(LEFT(AD81,4))</f>
        <v>1</v>
      </c>
      <c r="Y82" s="204">
        <f t="shared" si="40"/>
        <v>23.308499999999999</v>
      </c>
      <c r="Z82" s="204">
        <f t="shared" si="41"/>
        <v>1.4999999999999999E-2</v>
      </c>
      <c r="AA82" s="204">
        <f t="shared" si="42"/>
        <v>23.293499999999998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3"/>
        <v>0170-04</v>
      </c>
      <c r="AE82" s="80" t="str">
        <f t="shared" si="44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82" s="77" t="str">
        <f t="shared" si="45"/>
        <v>"C:\Program Files (x86)\AstroGrep\AstroGrep.exe" /e /r /s /spath="%USERPROFILE%\AppData\Local\Temp\OnboardLogs" /stypes="app*4039*20170604*" /stext=" 19:.+((SYSTEM_STATE.+slice.+state.+changed )|(ment ac)|(multiple cpu faults)|(system.+state.+changed )|(\[timeout)|(PRM\|1\|D)|(kpr)|(kdp)|(train st.+moving)|(\|lc)|(penalty))"</v>
      </c>
      <c r="AG82" s="1" t="str">
        <f t="shared" si="46"/>
        <v>EC</v>
      </c>
      <c r="AH82" s="81" t="str">
        <f t="shared" si="48"/>
        <v>"%USERPROFILE%\Documents\GitHub\eaglep3\Utilities\RefineRTDCRunTimes.py" --tripid 170-04 --locoid 4039 --swversion DE.1.0.9.0 --startMP 204:233085 --initTime 2017-06-04T12:57:32 --startdatetime 2017-06-04T13:12:19 --delay 5 --endMP 204:150 --enddatetime 2017-06-04T13:49:21 --enforcementcount 0 &gt;&gt;C:\Users\stu\Documents\GitHub\eaglep3-reporting\EC\2017-06-04-refined-times.txt</v>
      </c>
      <c r="AI8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ID","value":"170-04"},{"id":16,"name":"Locomotive ID","value":"4039"},{"id":130,"name":"Impact","value":""},{"id":150,"name":"Time of Event (Mountain Time)","value":"13:49:21"},{"id":151,"name":"Denver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50"/>
        <v>start /low /b %USERPROFILE%\Documents\GitHub\eaglep3\Utilities\DownloadLogsFromS3.py --loco 4039 --day 2017-06-04</v>
      </c>
      <c r="AN82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766</v>
      </c>
      <c r="B83" s="7">
        <v>4060</v>
      </c>
      <c r="C83" s="21" t="s">
        <v>204</v>
      </c>
      <c r="D83" s="21" t="s">
        <v>359</v>
      </c>
      <c r="E83" s="13">
        <v>42890.516180555554</v>
      </c>
      <c r="F83" s="13">
        <v>42890.521006944444</v>
      </c>
      <c r="G83" s="7">
        <v>1</v>
      </c>
      <c r="H83" s="21" t="s">
        <v>880</v>
      </c>
      <c r="I83" s="13">
        <v>42890.546226851853</v>
      </c>
      <c r="J83" s="7">
        <v>0</v>
      </c>
      <c r="K83" s="92" t="str">
        <f t="shared" si="34"/>
        <v>4059/4060</v>
      </c>
      <c r="L83" s="21" t="str">
        <f>VLOOKUP(A83,'Trips&amp;Operators'!$C$1:$G$99999,5,FALSE)</f>
        <v>BROWN JACOB</v>
      </c>
      <c r="M83" s="6">
        <f t="shared" si="35"/>
        <v>2.5219907409336884E-2</v>
      </c>
      <c r="N83" s="7">
        <f t="shared" si="47"/>
        <v>36.316666669445112</v>
      </c>
      <c r="O83" s="7"/>
      <c r="P83" s="7"/>
      <c r="Q83" s="22"/>
      <c r="R83" s="173"/>
      <c r="S83" s="176">
        <f t="shared" si="36"/>
        <v>1</v>
      </c>
      <c r="T83" s="202" t="str">
        <f t="shared" si="37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8"/>
        <v>https://d0f6bd738d7f1b3e5a7ca70fe4ff75f0.us-east-1.aws.found.io/app/kibana#/discover/Steve-Slow-Train-Analysis-(2080s-and-2083s)?_g=(refreshInterval:(display:Off,pause:!f,section:0,value:0),time:(from:'2017-06-04T11:23:18-0600',mode:absolute,to:'2017-06-04T14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3" s="204" t="str">
        <f t="shared" si="39"/>
        <v>N</v>
      </c>
      <c r="X83" s="204">
        <f t="shared" si="52"/>
        <v>1</v>
      </c>
      <c r="Y83" s="204">
        <f t="shared" si="40"/>
        <v>4.53E-2</v>
      </c>
      <c r="Z83" s="204">
        <f t="shared" si="41"/>
        <v>23.334499999999998</v>
      </c>
      <c r="AA83" s="204">
        <f t="shared" si="42"/>
        <v>23.289199999999997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3"/>
        <v>0171-04</v>
      </c>
      <c r="AE83" s="80" t="str">
        <f t="shared" si="44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83" s="77" t="str">
        <f t="shared" si="45"/>
        <v>"C:\Program Files (x86)\AstroGrep\AstroGrep.exe" /e /r /s /spath="%USERPROFILE%\AppData\Local\Temp\OnboardLogs" /stypes="app*4060*20170604*" /stext=" 19:.+((SYSTEM_STATE.+slice.+state.+changed )|(ment ac)|(multiple cpu faults)|(system.+state.+changed )|(\[timeout)|(PRM\|1\|D)|(kpr)|(kdp)|(train st.+moving)|(\|lc)|(penalty))"</v>
      </c>
      <c r="AG83" s="1" t="str">
        <f t="shared" si="46"/>
        <v>EC</v>
      </c>
      <c r="AH83" s="81" t="str">
        <f t="shared" si="48"/>
        <v>"%USERPROFILE%\Documents\GitHub\eaglep3\Utilities\RefineRTDCRunTimes.py" --tripid 171-04 --locoid 4060 --swversion DE.1.0.9.0 --startMP 204:453 --initTime 2017-06-04T12:23:18 --startdatetime 2017-06-04T12:30:15 --delay 1 --endMP 204:233345 --enddatetime 2017-06-04T13:06:34 --enforcementcount 0 &gt;&gt;C:\Users\stu\Documents\GitHub\eaglep3-reporting\EC\2017-06-04-refined-times.txt</v>
      </c>
      <c r="AI8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{"issue":{"subject":"","project_id":79,"tracker_id":40,"status_id":1,"priority_id":2,"assigned_to_id":23,"start_date":"2017-06-04","description":"","custom_fields":[{"id":1,"name":"Subdivision","value":"EC"},{"id":4,"name":"Milepost","value":"23.3345"},{"id":17,"name":"Train ID","value":"171-04"},{"id":16,"name":"Locomotive ID","value":"4060"},{"id":130,"name":"Impact","value":""},{"id":150,"name":"Time of Event (Mountain Time)","value":"13:06:34"},{"id":151,"name":"Denver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0"/>
        <v>start /low /b %USERPROFILE%\Documents\GitHub\eaglep3\Utilities\DownloadLogsFromS3.py --loco 4060 --day 2017-06-04</v>
      </c>
      <c r="AN83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661</v>
      </c>
      <c r="B84" s="7">
        <v>4059</v>
      </c>
      <c r="C84" s="21" t="s">
        <v>204</v>
      </c>
      <c r="D84" s="21" t="s">
        <v>631</v>
      </c>
      <c r="E84" s="13">
        <v>42890.551099537035</v>
      </c>
      <c r="F84" s="13">
        <v>42890.560555555552</v>
      </c>
      <c r="G84" s="7">
        <v>1</v>
      </c>
      <c r="H84" s="21" t="s">
        <v>352</v>
      </c>
      <c r="I84" s="13">
        <v>42890.588425925926</v>
      </c>
      <c r="J84" s="7">
        <v>0</v>
      </c>
      <c r="K84" s="92" t="str">
        <f t="shared" si="34"/>
        <v>4059/4060</v>
      </c>
      <c r="L84" s="21" t="str">
        <f>VLOOKUP(A84,'Trips&amp;Operators'!$C$1:$G$99999,5,FALSE)</f>
        <v>BROWN JACOB</v>
      </c>
      <c r="M84" s="6">
        <f t="shared" si="35"/>
        <v>2.7870370373420883E-2</v>
      </c>
      <c r="N84" s="7">
        <f t="shared" si="47"/>
        <v>40.133333337726071</v>
      </c>
      <c r="O84" s="7"/>
      <c r="P84" s="7"/>
      <c r="Q84" s="22"/>
      <c r="R84" s="173"/>
      <c r="S84" s="176">
        <f t="shared" si="36"/>
        <v>1</v>
      </c>
      <c r="T84" s="202" t="str">
        <f t="shared" si="37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8"/>
        <v>https://d0f6bd738d7f1b3e5a7ca70fe4ff75f0.us-east-1.aws.found.io/app/kibana#/discover/Steve-Slow-Train-Analysis-(2080s-and-2083s)?_g=(refreshInterval:(display:Off,pause:!f,section:0,value:0),time:(from:'2017-06-04T12:13:35-0600',mode:absolute,to:'2017-06-04T15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4" s="204" t="str">
        <f t="shared" si="39"/>
        <v>N</v>
      </c>
      <c r="X84" s="204">
        <f t="shared" si="52"/>
        <v>1</v>
      </c>
      <c r="Y84" s="204">
        <f t="shared" si="40"/>
        <v>23.301100000000002</v>
      </c>
      <c r="Z84" s="204">
        <f t="shared" si="41"/>
        <v>1.4999999999999999E-2</v>
      </c>
      <c r="AA84" s="204">
        <f t="shared" si="42"/>
        <v>23.286100000000001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3"/>
        <v>0172-04</v>
      </c>
      <c r="AE84" s="80" t="str">
        <f t="shared" si="44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84" s="77" t="str">
        <f t="shared" si="45"/>
        <v>"C:\Program Files (x86)\AstroGrep\AstroGrep.exe" /e /r /s /spath="%USERPROFILE%\AppData\Local\Temp\OnboardLogs" /stypes="app*4059*20170604*" /stext=" 20:.+((SYSTEM_STATE.+slice.+state.+changed )|(ment ac)|(multiple cpu faults)|(system.+state.+changed )|(\[timeout)|(PRM\|1\|D)|(kpr)|(kdp)|(train st.+moving)|(\|lc)|(penalty))"</v>
      </c>
      <c r="AG84" s="1" t="str">
        <f t="shared" si="46"/>
        <v>EC</v>
      </c>
      <c r="AH84" s="81" t="str">
        <f t="shared" si="48"/>
        <v>"%USERPROFILE%\Documents\GitHub\eaglep3\Utilities\RefineRTDCRunTimes.py" --tripid 172-04 --locoid 4059 --swversion DE.1.0.9.0 --startMP 204:233011 --initTime 2017-06-04T13:13:35 --startdatetime 2017-06-04T13:27:12 --delay 1 --endMP 204:150 --enddatetime 2017-06-04T14:07:20 --enforcementcount 0 &gt;&gt;C:\Users\stu\Documents\GitHub\eaglep3-reporting\EC\2017-06-04-refined-times.txt</v>
      </c>
      <c r="AI84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ID","value":"172-04"},{"id":16,"name":"Locomotive ID","value":"4059"},{"id":130,"name":"Impact","value":""},{"id":150,"name":"Time of Event (Mountain Time)","value":"14:07:20"},{"id":151,"name":"Denver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50"/>
        <v>start /low /b %USERPROFILE%\Documents\GitHub\eaglep3\Utilities\DownloadLogsFromS3.py --loco 4059 --day 2017-06-04</v>
      </c>
      <c r="AN84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659</v>
      </c>
      <c r="B85" s="7">
        <v>4056</v>
      </c>
      <c r="C85" s="21" t="s">
        <v>204</v>
      </c>
      <c r="D85" s="21" t="s">
        <v>473</v>
      </c>
      <c r="E85" s="13">
        <v>42890.527650462966</v>
      </c>
      <c r="F85" s="13">
        <v>42890.531412037039</v>
      </c>
      <c r="G85" s="7">
        <v>1</v>
      </c>
      <c r="H85" s="21" t="s">
        <v>881</v>
      </c>
      <c r="I85" s="13">
        <v>42890.556250000001</v>
      </c>
      <c r="J85" s="7">
        <v>0</v>
      </c>
      <c r="K85" s="92" t="str">
        <f t="shared" si="34"/>
        <v>4055/4056</v>
      </c>
      <c r="L85" s="21" t="str">
        <f>VLOOKUP(A85,'Trips&amp;Operators'!$C$1:$G$99999,5,FALSE)</f>
        <v>MCREYNOLDS KYLE</v>
      </c>
      <c r="M85" s="6">
        <f t="shared" si="35"/>
        <v>2.4837962962919846E-2</v>
      </c>
      <c r="N85" s="7">
        <f t="shared" si="47"/>
        <v>35.766666666604578</v>
      </c>
      <c r="O85" s="7"/>
      <c r="P85" s="7"/>
      <c r="Q85" s="22"/>
      <c r="R85" s="173"/>
      <c r="S85" s="176">
        <f t="shared" si="36"/>
        <v>1</v>
      </c>
      <c r="T85" s="202" t="str">
        <f t="shared" si="37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8"/>
        <v>https://d0f6bd738d7f1b3e5a7ca70fe4ff75f0.us-east-1.aws.found.io/app/kibana#/discover/Steve-Slow-Train-Analysis-(2080s-and-2083s)?_g=(refreshInterval:(display:Off,pause:!f,section:0,value:0),time:(from:'2017-06-04T11:39:49-0600',mode:absolute,to:'2017-06-04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204" t="str">
        <f t="shared" si="39"/>
        <v>N</v>
      </c>
      <c r="X85" s="204">
        <f t="shared" si="52"/>
        <v>1</v>
      </c>
      <c r="Y85" s="204">
        <f t="shared" si="40"/>
        <v>4.6899999999999997E-2</v>
      </c>
      <c r="Z85" s="204">
        <f t="shared" si="41"/>
        <v>23.334900000000001</v>
      </c>
      <c r="AA85" s="204">
        <f t="shared" si="42"/>
        <v>23.288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3"/>
        <v>0173-04</v>
      </c>
      <c r="AE85" s="80" t="str">
        <f t="shared" si="44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85" s="77" t="str">
        <f t="shared" si="45"/>
        <v>"C:\Program Files (x86)\AstroGrep\AstroGrep.exe" /e /r /s /spath="%USERPROFILE%\AppData\Local\Temp\OnboardLogs" /stypes="app*4056*20170604*" /stext=" 19:.+((SYSTEM_STATE.+slice.+state.+changed )|(ment ac)|(multiple cpu faults)|(system.+state.+changed )|(\[timeout)|(PRM\|1\|D)|(kpr)|(kdp)|(train st.+moving)|(\|lc)|(penalty))"</v>
      </c>
      <c r="AG85" s="1" t="str">
        <f t="shared" si="46"/>
        <v>EC</v>
      </c>
      <c r="AH85" s="81" t="str">
        <f t="shared" si="48"/>
        <v>"%USERPROFILE%\Documents\GitHub\eaglep3\Utilities\RefineRTDCRunTimes.py" --tripid 173-04 --locoid 4056 --swversion DE.1.0.9.0 --startMP 204:469 --initTime 2017-06-04T12:39:49 --startdatetime 2017-06-04T12:45:14 --delay 1 --endMP 204:233349 --enddatetime 2017-06-04T13:21:00 --enforcementcount 0 &gt;&gt;C:\Users\stu\Documents\GitHub\eaglep3-reporting\EC\2017-06-04-refined-times.txt</v>
      </c>
      <c r="AI85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{"issue":{"subject":"","project_id":79,"tracker_id":40,"status_id":1,"priority_id":2,"assigned_to_id":23,"start_date":"2017-06-04","description":"","custom_fields":[{"id":1,"name":"Subdivision","value":"EC"},{"id":4,"name":"Milepost","value":"23.3349"},{"id":17,"name":"Train ID","value":"173-04"},{"id":16,"name":"Locomotive ID","value":"4056"},{"id":130,"name":"Impact","value":""},{"id":150,"name":"Time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50"/>
        <v>start /low /b %USERPROFILE%\Documents\GitHub\eaglep3\Utilities\DownloadLogsFromS3.py --loco 4056 --day 2017-06-04</v>
      </c>
      <c r="AN85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774</v>
      </c>
      <c r="B86" s="7">
        <v>4055</v>
      </c>
      <c r="C86" s="21" t="s">
        <v>204</v>
      </c>
      <c r="D86" s="21" t="s">
        <v>563</v>
      </c>
      <c r="E86" s="13">
        <v>42890.565648148149</v>
      </c>
      <c r="F86" s="13">
        <v>42890.57099537037</v>
      </c>
      <c r="G86" s="7">
        <v>1</v>
      </c>
      <c r="H86" s="21" t="s">
        <v>437</v>
      </c>
      <c r="I86" s="13">
        <v>42890.596979166665</v>
      </c>
      <c r="J86" s="7">
        <v>0</v>
      </c>
      <c r="K86" s="92" t="str">
        <f t="shared" si="34"/>
        <v>4055/4056</v>
      </c>
      <c r="L86" s="21" t="str">
        <f>VLOOKUP(A86,'Trips&amp;Operators'!$C$1:$G$99999,5,FALSE)</f>
        <v>MCREYNOLDS KYLE</v>
      </c>
      <c r="M86" s="6">
        <f t="shared" si="35"/>
        <v>2.5983796294895001E-2</v>
      </c>
      <c r="N86" s="7">
        <f t="shared" si="47"/>
        <v>37.416666664648801</v>
      </c>
      <c r="O86" s="7"/>
      <c r="P86" s="7"/>
      <c r="Q86" s="22"/>
      <c r="R86" s="173"/>
      <c r="S86" s="176">
        <f t="shared" si="36"/>
        <v>1</v>
      </c>
      <c r="T86" s="202" t="str">
        <f t="shared" si="37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8"/>
        <v>https://d0f6bd738d7f1b3e5a7ca70fe4ff75f0.us-east-1.aws.found.io/app/kibana#/discover/Steve-Slow-Train-Analysis-(2080s-and-2083s)?_g=(refreshInterval:(display:Off,pause:!f,section:0,value:0),time:(from:'2017-06-04T12:34:32-0600',mode:absolute,to:'2017-06-04T15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204" t="str">
        <f t="shared" si="39"/>
        <v>N</v>
      </c>
      <c r="X86" s="204">
        <f t="shared" si="52"/>
        <v>1</v>
      </c>
      <c r="Y86" s="204">
        <f t="shared" si="40"/>
        <v>23.302299999999999</v>
      </c>
      <c r="Z86" s="204">
        <f t="shared" si="41"/>
        <v>1.4500000000000001E-2</v>
      </c>
      <c r="AA86" s="204">
        <f t="shared" si="42"/>
        <v>23.287799999999997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3"/>
        <v>0174-04</v>
      </c>
      <c r="AE86" s="80" t="str">
        <f t="shared" si="44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86" s="77" t="str">
        <f t="shared" si="45"/>
        <v>"C:\Program Files (x86)\AstroGrep\AstroGrep.exe" /e /r /s /spath="%USERPROFILE%\AppData\Local\Temp\OnboardLogs" /stypes="app*4055*20170604*" /stext=" 20:.+((SYSTEM_STATE.+slice.+state.+changed )|(ment ac)|(multiple cpu faults)|(system.+state.+changed )|(\[timeout)|(PRM\|1\|D)|(kpr)|(kdp)|(train st.+moving)|(\|lc)|(penalty))"</v>
      </c>
      <c r="AG86" s="1" t="str">
        <f t="shared" si="46"/>
        <v>EC</v>
      </c>
      <c r="AH86" s="81" t="str">
        <f t="shared" si="48"/>
        <v>"%USERPROFILE%\Documents\GitHub\eaglep3\Utilities\RefineRTDCRunTimes.py" --tripid 174-04 --locoid 4055 --swversion DE.1.0.9.0 --startMP 204:233023 --initTime 2017-06-04T13:34:32 --startdatetime 2017-06-04T13:42:14 --delay 1 --endMP 204:145 --enddatetime 2017-06-04T14:19:39 --enforcementcount 0 &gt;&gt;C:\Users\stu\Documents\GitHub\eaglep3-reporting\EC\2017-06-04-refined-times.txt</v>
      </c>
      <c r="AI86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ID","value":"174-04"},{"id":16,"name":"Locomotive ID","value":"4055"},{"id":130,"name":"Impact","value":""},{"id":150,"name":"Time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50"/>
        <v>start /low /b %USERPROFILE%\Documents\GitHub\eaglep3\Utilities\DownloadLogsFromS3.py --loco 4055 --day 2017-06-04</v>
      </c>
      <c r="AN86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660</v>
      </c>
      <c r="B87" s="7">
        <v>4026</v>
      </c>
      <c r="C87" s="21" t="s">
        <v>204</v>
      </c>
      <c r="D87" s="21" t="s">
        <v>465</v>
      </c>
      <c r="E87" s="13">
        <v>42890.536504629628</v>
      </c>
      <c r="F87" s="13">
        <v>42890.542210648149</v>
      </c>
      <c r="G87" s="7">
        <v>2</v>
      </c>
      <c r="H87" s="21" t="s">
        <v>882</v>
      </c>
      <c r="I87" s="13">
        <v>42890.565891203703</v>
      </c>
      <c r="J87" s="7">
        <v>0</v>
      </c>
      <c r="K87" s="92" t="str">
        <f t="shared" si="34"/>
        <v>4025/4026</v>
      </c>
      <c r="L87" s="21" t="str">
        <f>VLOOKUP(A87,'Trips&amp;Operators'!$C$1:$G$99999,5,FALSE)</f>
        <v>ROMERO CHAD</v>
      </c>
      <c r="M87" s="6">
        <f t="shared" si="35"/>
        <v>2.3680555554165039E-2</v>
      </c>
      <c r="N87" s="7">
        <f t="shared" si="47"/>
        <v>34.099999997997656</v>
      </c>
      <c r="O87" s="7"/>
      <c r="P87" s="7"/>
      <c r="Q87" s="22"/>
      <c r="R87" s="173"/>
      <c r="S87" s="176">
        <f t="shared" si="36"/>
        <v>1</v>
      </c>
      <c r="T87" s="202" t="str">
        <f t="shared" si="37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8"/>
        <v>https://d0f6bd738d7f1b3e5a7ca70fe4ff75f0.us-east-1.aws.found.io/app/kibana#/discover/Steve-Slow-Train-Analysis-(2080s-and-2083s)?_g=(refreshInterval:(display:Off,pause:!f,section:0,value:0),time:(from:'2017-06-04T11:52:34-0600',mode:absolute,to:'2017-06-04T14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04" t="str">
        <f t="shared" si="39"/>
        <v>N</v>
      </c>
      <c r="X87" s="204">
        <f t="shared" si="52"/>
        <v>1</v>
      </c>
      <c r="Y87" s="204">
        <f t="shared" si="40"/>
        <v>4.6699999999999998E-2</v>
      </c>
      <c r="Z87" s="204">
        <f t="shared" si="41"/>
        <v>23.3414</v>
      </c>
      <c r="AA87" s="204">
        <f t="shared" si="42"/>
        <v>23.294699999999999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3"/>
        <v>0175-04</v>
      </c>
      <c r="AE87" s="80" t="str">
        <f t="shared" si="44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87" s="77" t="str">
        <f t="shared" si="45"/>
        <v>"C:\Program Files (x86)\AstroGrep\AstroGrep.exe" /e /r /s /spath="%USERPROFILE%\AppData\Local\Temp\OnboardLogs" /stypes="app*4026*20170604*" /stext=" 19:.+((SYSTEM_STATE.+slice.+state.+changed )|(ment ac)|(multiple cpu faults)|(system.+state.+changed )|(\[timeout)|(PRM\|1\|D)|(kpr)|(kdp)|(train st.+moving)|(\|lc)|(penalty))"</v>
      </c>
      <c r="AG87" s="1" t="str">
        <f t="shared" si="46"/>
        <v>EC</v>
      </c>
      <c r="AH87" s="81" t="str">
        <f t="shared" si="48"/>
        <v>"%USERPROFILE%\Documents\GitHub\eaglep3\Utilities\RefineRTDCRunTimes.py" --tripid 175-04 --locoid 4026 --swversion DE.1.0.9.0 --startMP 204:467 --initTime 2017-06-04T12:52:34 --startdatetime 2017-06-04T13:00:47 --delay 2 --endMP 204:233414 --enddatetime 2017-06-04T13:34:53 --enforcementcount 0 &gt;&gt;C:\Users\stu\Documents\GitHub\eaglep3-reporting\EC\2017-06-04-refined-times.txt</v>
      </c>
      <c r="AI87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{"issue":{"subject":"","project_id":79,"tracker_id":40,"status_id":1,"priority_id":2,"assigned_to_id":23,"start_date":"2017-06-04","description":"","custom_fields":[{"id":1,"name":"Subdivision","value":"EC"},{"id":4,"name":"Milepost","value":"23.3414"},{"id":17,"name":"Train ID","value":"175-04"},{"id":16,"name":"Locomotive ID","value":"4026"},{"id":130,"name":"Impact","value":""},{"id":150,"name":"Time of Event (Mountain Time)","value":"13:34:53"},{"id":151,"name":"Denver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50"/>
        <v>start /low /b %USERPROFILE%\Documents\GitHub\eaglep3\Utilities\DownloadLogsFromS3.py --loco 4026 --day 2017-06-04</v>
      </c>
      <c r="AN87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776</v>
      </c>
      <c r="B88" s="7">
        <v>4025</v>
      </c>
      <c r="C88" s="21" t="s">
        <v>204</v>
      </c>
      <c r="D88" s="21" t="s">
        <v>883</v>
      </c>
      <c r="E88" s="13">
        <v>42890.567627314813</v>
      </c>
      <c r="F88" s="13">
        <v>42890.581412037034</v>
      </c>
      <c r="G88" s="7">
        <v>1</v>
      </c>
      <c r="H88" s="21" t="s">
        <v>354</v>
      </c>
      <c r="I88" s="13">
        <v>42890.606782407405</v>
      </c>
      <c r="J88" s="7">
        <v>0</v>
      </c>
      <c r="K88" s="92" t="str">
        <f t="shared" si="34"/>
        <v>4025/4026</v>
      </c>
      <c r="L88" s="21" t="str">
        <f>VLOOKUP(A88,'Trips&amp;Operators'!$C$1:$G$99999,5,FALSE)</f>
        <v>ROMERO CHAD</v>
      </c>
      <c r="M88" s="6">
        <f t="shared" si="35"/>
        <v>2.5370370371092577E-2</v>
      </c>
      <c r="N88" s="7">
        <f t="shared" si="47"/>
        <v>36.53333333437331</v>
      </c>
      <c r="O88" s="7"/>
      <c r="P88" s="7"/>
      <c r="Q88" s="22"/>
      <c r="R88" s="173"/>
      <c r="S88" s="176">
        <f t="shared" si="36"/>
        <v>1</v>
      </c>
      <c r="T88" s="202" t="str">
        <f t="shared" si="37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8"/>
        <v>https://d0f6bd738d7f1b3e5a7ca70fe4ff75f0.us-east-1.aws.found.io/app/kibana#/discover/Steve-Slow-Train-Analysis-(2080s-and-2083s)?_g=(refreshInterval:(display:Off,pause:!f,section:0,value:0),time:(from:'2017-06-04T12:37:23-0600',mode:absolute,to:'2017-06-04T15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04" t="str">
        <f t="shared" si="39"/>
        <v>N</v>
      </c>
      <c r="X88" s="204">
        <f t="shared" si="52"/>
        <v>1</v>
      </c>
      <c r="Y88" s="204">
        <f t="shared" si="40"/>
        <v>23.308800000000002</v>
      </c>
      <c r="Z88" s="204">
        <f t="shared" si="41"/>
        <v>1.43E-2</v>
      </c>
      <c r="AA88" s="204">
        <f t="shared" si="42"/>
        <v>23.294500000000003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3"/>
        <v>0176-04</v>
      </c>
      <c r="AE88" s="80" t="str">
        <f t="shared" si="44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88" s="77" t="str">
        <f t="shared" si="45"/>
        <v>"C:\Program Files (x86)\AstroGrep\AstroGrep.exe" /e /r /s /spath="%USERPROFILE%\AppData\Local\Temp\OnboardLogs" /stypes="app*4025*20170604*" /stext=" 20:.+((SYSTEM_STATE.+slice.+state.+changed )|(ment ac)|(multiple cpu faults)|(system.+state.+changed )|(\[timeout)|(PRM\|1\|D)|(kpr)|(kdp)|(train st.+moving)|(\|lc)|(penalty))"</v>
      </c>
      <c r="AG88" s="1" t="str">
        <f t="shared" si="46"/>
        <v>EC</v>
      </c>
      <c r="AH88" s="81" t="str">
        <f t="shared" si="48"/>
        <v>"%USERPROFILE%\Documents\GitHub\eaglep3\Utilities\RefineRTDCRunTimes.py" --tripid 176-04 --locoid 4025 --swversion DE.1.0.9.0 --startMP 204:233088 --initTime 2017-06-04T13:37:23 --startdatetime 2017-06-04T13:57:14 --delay 1 --endMP 204:143 --enddatetime 2017-06-04T14:33:46 --enforcementcount 0 &gt;&gt;C:\Users\stu\Documents\GitHub\eaglep3-reporting\EC\2017-06-04-refined-times.txt</v>
      </c>
      <c r="AI88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{"issue":{"subject":"","project_id":79,"tracker_id":40,"status_id":1,"priority_id":2,"assigned_to_id":23,"start_date":"2017-06-04","description":"","custom_fields":[{"id":1,"name":"Subdivision","value":"EC"},{"id":4,"name":"Milepost","value":"0.0143"},{"id":17,"name":"Train ID","value":"176-04"},{"id":16,"name":"Locomotive ID","value":"4025"},{"id":130,"name":"Impact","value":""},{"id":150,"name":"Time of Event (Mountain Time)","value":"14:33:46"},{"id":151,"name":"Denver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50"/>
        <v>start /low /b %USERPROFILE%\Documents\GitHub\eaglep3\Utilities\DownloadLogsFromS3.py --loco 4025 --day 2017-06-04</v>
      </c>
      <c r="AN88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772</v>
      </c>
      <c r="B89" s="7">
        <v>4004</v>
      </c>
      <c r="C89" s="21" t="s">
        <v>204</v>
      </c>
      <c r="D89" s="21" t="s">
        <v>468</v>
      </c>
      <c r="E89" s="13">
        <v>42890.548090277778</v>
      </c>
      <c r="F89" s="13">
        <v>42890.552268518521</v>
      </c>
      <c r="G89" s="7">
        <v>1</v>
      </c>
      <c r="H89" s="21" t="s">
        <v>884</v>
      </c>
      <c r="I89" s="13">
        <v>42890.578553240739</v>
      </c>
      <c r="J89" s="7">
        <v>0</v>
      </c>
      <c r="K89" s="92" t="str">
        <f t="shared" si="34"/>
        <v>4003/4004</v>
      </c>
      <c r="L89" s="21" t="str">
        <f>VLOOKUP(A89,'Trips&amp;Operators'!$C$1:$G$99999,5,FALSE)</f>
        <v>BRANDNER MELINDA</v>
      </c>
      <c r="M89" s="6">
        <f t="shared" si="35"/>
        <v>2.6284722218406387E-2</v>
      </c>
      <c r="N89" s="7">
        <f t="shared" si="47"/>
        <v>37.849999994505197</v>
      </c>
      <c r="O89" s="7"/>
      <c r="P89" s="7"/>
      <c r="Q89" s="22"/>
      <c r="R89" s="173"/>
      <c r="S89" s="176">
        <f t="shared" si="36"/>
        <v>1</v>
      </c>
      <c r="T89" s="202" t="str">
        <f t="shared" si="37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8"/>
        <v>https://d0f6bd738d7f1b3e5a7ca70fe4ff75f0.us-east-1.aws.found.io/app/kibana#/discover/Steve-Slow-Train-Analysis-(2080s-and-2083s)?_g=(refreshInterval:(display:Off,pause:!f,section:0,value:0),time:(from:'2017-06-04T12:09:15-0600',mode:absolute,to:'2017-06-04T14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204" t="str">
        <f t="shared" si="39"/>
        <v>N</v>
      </c>
      <c r="X89" s="204">
        <f t="shared" si="52"/>
        <v>1</v>
      </c>
      <c r="Y89" s="204">
        <f t="shared" si="40"/>
        <v>4.3299999999999998E-2</v>
      </c>
      <c r="Z89" s="204">
        <f t="shared" si="41"/>
        <v>23.340199999999999</v>
      </c>
      <c r="AA89" s="204">
        <f t="shared" si="42"/>
        <v>23.296900000000001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3"/>
        <v>0177-04</v>
      </c>
      <c r="AE89" s="80" t="str">
        <f t="shared" si="44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89" s="77" t="str">
        <f t="shared" si="45"/>
        <v>"C:\Program Files (x86)\AstroGrep\AstroGrep.exe" /e /r /s /spath="%USERPROFILE%\AppData\Local\Temp\OnboardLogs" /stypes="app*4004*20170604*" /stext=" 19:.+((SYSTEM_STATE.+slice.+state.+changed )|(ment ac)|(multiple cpu faults)|(system.+state.+changed )|(\[timeout)|(PRM\|1\|D)|(kpr)|(kdp)|(train st.+moving)|(\|lc)|(penalty))"</v>
      </c>
      <c r="AG89" s="1" t="str">
        <f t="shared" si="46"/>
        <v>EC</v>
      </c>
      <c r="AH89" s="81" t="str">
        <f t="shared" si="48"/>
        <v>"%USERPROFILE%\Documents\GitHub\eaglep3\Utilities\RefineRTDCRunTimes.py" --tripid 177-04 --locoid 4004 --swversion DE.1.0.9.0 --startMP 204:433 --initTime 2017-06-04T13:09:15 --startdatetime 2017-06-04T13:15:16 --delay 1 --endMP 204:233402 --enddatetime 2017-06-04T13:53:07 --enforcementcount 0 &gt;&gt;C:\Users\stu\Documents\GitHub\eaglep3-reporting\EC\2017-06-04-refined-times.txt</v>
      </c>
      <c r="AI89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{"issue":{"subject":"","project_id":79,"tracker_id":40,"status_id":1,"priority_id":2,"assigned_to_id":23,"start_date":"2017-06-04","description":"","custom_fields":[{"id":1,"name":"Subdivision","value":"EC"},{"id":4,"name":"Milepost","value":"23.3402"},{"id":17,"name":"Train ID","value":"177-04"},{"id":16,"name":"Locomotive ID","value":"4004"},{"id":130,"name":"Impact","value":""},{"id":150,"name":"Time of Event (Mountain Time)","value":"13:53:07"},{"id":151,"name":"Denver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50"/>
        <v>start /low /b %USERPROFILE%\Documents\GitHub\eaglep3\Utilities\DownloadLogsFromS3.py --loco 4004 --day 2017-06-04</v>
      </c>
      <c r="AN89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779</v>
      </c>
      <c r="B90" s="7">
        <v>4003</v>
      </c>
      <c r="C90" s="21" t="s">
        <v>204</v>
      </c>
      <c r="D90" s="21" t="s">
        <v>885</v>
      </c>
      <c r="E90" s="13">
        <v>42890.588425925926</v>
      </c>
      <c r="F90" s="13">
        <v>42890.591817129629</v>
      </c>
      <c r="G90" s="7">
        <v>1</v>
      </c>
      <c r="H90" s="21" t="s">
        <v>437</v>
      </c>
      <c r="I90" s="13">
        <v>42890.619004629632</v>
      </c>
      <c r="J90" s="7">
        <v>0</v>
      </c>
      <c r="K90" s="92" t="str">
        <f t="shared" si="34"/>
        <v>4003/4004</v>
      </c>
      <c r="L90" s="21" t="str">
        <f>VLOOKUP(A90,'Trips&amp;Operators'!$C$1:$G$99999,5,FALSE)</f>
        <v>BRANDNER MELINDA</v>
      </c>
      <c r="M90" s="6">
        <f t="shared" si="35"/>
        <v>2.718750000349246E-2</v>
      </c>
      <c r="N90" s="7">
        <f t="shared" si="47"/>
        <v>39.150000005029142</v>
      </c>
      <c r="O90" s="7"/>
      <c r="P90" s="7"/>
      <c r="Q90" s="22"/>
      <c r="R90" s="173"/>
      <c r="S90" s="176">
        <f t="shared" si="36"/>
        <v>1</v>
      </c>
      <c r="T90" s="202" t="str">
        <f t="shared" si="37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8"/>
        <v>https://d0f6bd738d7f1b3e5a7ca70fe4ff75f0.us-east-1.aws.found.io/app/kibana#/discover/Steve-Slow-Train-Analysis-(2080s-and-2083s)?_g=(refreshInterval:(display:Off,pause:!f,section:0,value:0),time:(from:'2017-06-04T13:07:20-0600',mode:absolute,to:'2017-06-04T15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204" t="str">
        <f t="shared" si="39"/>
        <v>N</v>
      </c>
      <c r="X90" s="204">
        <f t="shared" si="52"/>
        <v>1</v>
      </c>
      <c r="Y90" s="204">
        <f t="shared" si="40"/>
        <v>23.311699999999998</v>
      </c>
      <c r="Z90" s="204">
        <f t="shared" si="41"/>
        <v>1.4500000000000001E-2</v>
      </c>
      <c r="AA90" s="204">
        <f t="shared" si="42"/>
        <v>23.297199999999997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3"/>
        <v>0178-04</v>
      </c>
      <c r="AE90" s="80" t="str">
        <f t="shared" si="44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90" s="77" t="str">
        <f t="shared" si="45"/>
        <v>"C:\Program Files (x86)\AstroGrep\AstroGrep.exe" /e /r /s /spath="%USERPROFILE%\AppData\Local\Temp\OnboardLogs" /stypes="app*4003*20170604*" /stext=" 20:.+((SYSTEM_STATE.+slice.+state.+changed )|(ment ac)|(multiple cpu faults)|(system.+state.+changed )|(\[timeout)|(PRM\|1\|D)|(kpr)|(kdp)|(train st.+moving)|(\|lc)|(penalty))"</v>
      </c>
      <c r="AG90" s="1" t="str">
        <f t="shared" si="46"/>
        <v>EC</v>
      </c>
      <c r="AH90" s="81" t="str">
        <f t="shared" si="48"/>
        <v>"%USERPROFILE%\Documents\GitHub\eaglep3\Utilities\RefineRTDCRunTimes.py" --tripid 178-04 --locoid 4003 --swversion DE.1.0.9.0 --startMP 204:233117 --initTime 2017-06-04T14:07:20 --startdatetime 2017-06-04T14:12:13 --delay 1 --endMP 204:145 --enddatetime 2017-06-04T14:51:22 --enforcementcount 0 &gt;&gt;C:\Users\stu\Documents\GitHub\eaglep3-reporting\EC\2017-06-04-refined-times.txt</v>
      </c>
      <c r="AI90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{"issue":{"subject":"","project_id":79,"tracker_id":40,"status_id":1,"priority_id":2,"assigned_to_id":23,"start_date":"2017-06-04","description":"","custom_fields":[{"id":1,"name":"Subdivision","value":"EC"},{"id":4,"name":"Milepost","value":"0.0145"},{"id":17,"name":"Train ID","value":"178-04"},{"id":16,"name":"Locomotive ID","value":"4003"},{"id":130,"name":"Impact","value":""},{"id":150,"name":"Time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50"/>
        <v>start /low /b %USERPROFILE%\Documents\GitHub\eaglep3\Utilities\DownloadLogsFromS3.py --loco 4003 --day 2017-06-04</v>
      </c>
      <c r="AN90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773</v>
      </c>
      <c r="B91" s="7">
        <v>4042</v>
      </c>
      <c r="C91" s="21" t="s">
        <v>204</v>
      </c>
      <c r="D91" s="21" t="s">
        <v>200</v>
      </c>
      <c r="E91" s="13">
        <v>42890.557106481479</v>
      </c>
      <c r="F91" s="13">
        <v>42890.562719907408</v>
      </c>
      <c r="G91" s="7">
        <v>1</v>
      </c>
      <c r="H91" s="21" t="s">
        <v>510</v>
      </c>
      <c r="I91" s="13">
        <v>42890.587361111109</v>
      </c>
      <c r="J91" s="7">
        <v>0</v>
      </c>
      <c r="K91" s="92" t="str">
        <f t="shared" si="34"/>
        <v>4041/4042</v>
      </c>
      <c r="L91" s="21" t="str">
        <f>VLOOKUP(A91,'Trips&amp;Operators'!$C$1:$G$99999,5,FALSE)</f>
        <v>BRUDER RICHARD</v>
      </c>
      <c r="M91" s="6">
        <f t="shared" si="35"/>
        <v>2.4641203701321501E-2</v>
      </c>
      <c r="N91" s="7">
        <f t="shared" si="47"/>
        <v>35.483333329902962</v>
      </c>
      <c r="O91" s="7"/>
      <c r="P91" s="7"/>
      <c r="Q91" s="22"/>
      <c r="R91" s="173"/>
      <c r="S91" s="176">
        <f t="shared" si="36"/>
        <v>1</v>
      </c>
      <c r="T91" s="202" t="str">
        <f t="shared" si="37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8"/>
        <v>https://d0f6bd738d7f1b3e5a7ca70fe4ff75f0.us-east-1.aws.found.io/app/kibana#/discover/Steve-Slow-Train-Analysis-(2080s-and-2083s)?_g=(refreshInterval:(display:Off,pause:!f,section:0,value:0),time:(from:'2017-06-04T12:22:14-0600',mode:absolute,to:'2017-06-04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04" t="str">
        <f t="shared" si="39"/>
        <v>N</v>
      </c>
      <c r="X91" s="204">
        <f t="shared" si="52"/>
        <v>1</v>
      </c>
      <c r="Y91" s="204">
        <f t="shared" si="40"/>
        <v>4.5699999999999998E-2</v>
      </c>
      <c r="Z91" s="204">
        <f t="shared" si="41"/>
        <v>23.328900000000001</v>
      </c>
      <c r="AA91" s="204">
        <f t="shared" si="42"/>
        <v>23.283200000000001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3"/>
        <v>0179-04</v>
      </c>
      <c r="AE91" s="80" t="str">
        <f t="shared" si="44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91" s="77" t="str">
        <f t="shared" si="45"/>
        <v>"C:\Program Files (x86)\AstroGrep\AstroGrep.exe" /e /r /s /spath="%USERPROFILE%\AppData\Local\Temp\OnboardLogs" /stypes="app*4042*20170604*" /stext=" 20:.+((SYSTEM_STATE.+slice.+state.+changed )|(ment ac)|(multiple cpu faults)|(system.+state.+changed )|(\[timeout)|(PRM\|1\|D)|(kpr)|(kdp)|(train st.+moving)|(\|lc)|(penalty))"</v>
      </c>
      <c r="AG91" s="1" t="str">
        <f t="shared" si="46"/>
        <v>EC</v>
      </c>
      <c r="AH91" s="81" t="str">
        <f t="shared" si="48"/>
        <v>"%USERPROFILE%\Documents\GitHub\eaglep3\Utilities\RefineRTDCRunTimes.py" --tripid 179-04 --locoid 4042 --swversion DE.1.0.9.0 --startMP 204:457 --initTime 2017-06-04T13:22:14 --startdatetime 2017-06-04T13:30:19 --delay 1 --endMP 204:233289 --enddatetime 2017-06-04T14:05:48 --enforcementcount 0 &gt;&gt;C:\Users\stu\Documents\GitHub\eaglep3-reporting\EC\2017-06-04-refined-times.txt</v>
      </c>
      <c r="AI9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{"issue":{"subject":"","project_id":79,"tracker_id":40,"status_id":1,"priority_id":2,"assigned_to_id":23,"start_date":"2017-06-04","description":"","custom_fields":[{"id":1,"name":"Subdivision","value":"EC"},{"id":4,"name":"Milepost","value":"23.3289"},{"id":17,"name":"Train ID","value":"179-04"},{"id":16,"name":"Locomotive ID","value":"4042"},{"id":130,"name":"Impact","value":""},{"id":150,"name":"Time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50"/>
        <v>start /low /b %USERPROFILE%\Documents\GitHub\eaglep3\Utilities\DownloadLogsFromS3.py --loco 4042 --day 2017-06-04</v>
      </c>
      <c r="AN91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781</v>
      </c>
      <c r="B92" s="7">
        <v>4041</v>
      </c>
      <c r="C92" s="21" t="s">
        <v>204</v>
      </c>
      <c r="D92" s="21" t="s">
        <v>434</v>
      </c>
      <c r="E92" s="13">
        <v>42890.596909722219</v>
      </c>
      <c r="F92" s="13">
        <v>42890.602268518516</v>
      </c>
      <c r="G92" s="7">
        <v>1</v>
      </c>
      <c r="H92" s="21" t="s">
        <v>486</v>
      </c>
      <c r="I92" s="13">
        <v>42890.628275462965</v>
      </c>
      <c r="J92" s="7">
        <v>0</v>
      </c>
      <c r="K92" s="92" t="str">
        <f t="shared" si="34"/>
        <v>4041/4042</v>
      </c>
      <c r="L92" s="21" t="str">
        <f>VLOOKUP(A92,'Trips&amp;Operators'!$C$1:$G$99999,5,FALSE)</f>
        <v>BRUDER RICHARD</v>
      </c>
      <c r="M92" s="6">
        <f t="shared" si="35"/>
        <v>2.6006944448454306E-2</v>
      </c>
      <c r="N92" s="7">
        <f t="shared" si="47"/>
        <v>37.4500000057742</v>
      </c>
      <c r="O92" s="7"/>
      <c r="P92" s="7"/>
      <c r="Q92" s="22"/>
      <c r="R92" s="173"/>
      <c r="S92" s="176">
        <f t="shared" si="36"/>
        <v>1</v>
      </c>
      <c r="T92" s="202" t="str">
        <f t="shared" si="37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8"/>
        <v>https://d0f6bd738d7f1b3e5a7ca70fe4ff75f0.us-east-1.aws.found.io/app/kibana#/discover/Steve-Slow-Train-Analysis-(2080s-and-2083s)?_g=(refreshInterval:(display:Off,pause:!f,section:0,value:0),time:(from:'2017-06-04T13:19:33-0600',mode:absolute,to:'2017-06-04T16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04" t="str">
        <f t="shared" si="39"/>
        <v>N</v>
      </c>
      <c r="X92" s="204">
        <f t="shared" si="52"/>
        <v>1</v>
      </c>
      <c r="Y92" s="204">
        <f t="shared" si="40"/>
        <v>23.297699999999999</v>
      </c>
      <c r="Z92" s="204">
        <f t="shared" si="41"/>
        <v>1.6299999999999999E-2</v>
      </c>
      <c r="AA92" s="204">
        <f t="shared" si="42"/>
        <v>23.281399999999998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3"/>
        <v>0180-04</v>
      </c>
      <c r="AE92" s="80" t="str">
        <f t="shared" si="44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92" s="77" t="str">
        <f t="shared" si="45"/>
        <v>"C:\Program Files (x86)\AstroGrep\AstroGrep.exe" /e /r /s /spath="%USERPROFILE%\AppData\Local\Temp\OnboardLogs" /stypes="app*4041*20170604*" /stext=" 21:.+((SYSTEM_STATE.+slice.+state.+changed )|(ment ac)|(multiple cpu faults)|(system.+state.+changed )|(\[timeout)|(PRM\|1\|D)|(kpr)|(kdp)|(train st.+moving)|(\|lc)|(penalty))"</v>
      </c>
      <c r="AG92" s="1" t="str">
        <f t="shared" si="46"/>
        <v>EC</v>
      </c>
      <c r="AH92" s="81" t="str">
        <f t="shared" si="48"/>
        <v>"%USERPROFILE%\Documents\GitHub\eaglep3\Utilities\RefineRTDCRunTimes.py" --tripid 180-04 --locoid 4041 --swversion DE.1.0.9.0 --startMP 204:232977 --initTime 2017-06-04T14:19:33 --startdatetime 2017-06-04T14:27:16 --delay 1 --endMP 204:163 --enddatetime 2017-06-04T15:04:43 --enforcementcount 0 &gt;&gt;C:\Users\stu\Documents\GitHub\eaglep3-reporting\EC\2017-06-04-refined-times.txt</v>
      </c>
      <c r="AI9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{"issue":{"subject":"","project_id":79,"tracker_id":40,"status_id":1,"priority_id":2,"assigned_to_id":23,"start_date":"2017-06-04","description":"","custom_fields":[{"id":1,"name":"Subdivision","value":"EC"},{"id":4,"name":"Milepost","value":"0.0163"},{"id":17,"name":"Train ID","value":"180-04"},{"id":16,"name":"Locomotive ID","value":"4041"},{"id":130,"name":"Impact","value":""},{"id":150,"name":"Time of Event (Mountain Time)","value":"15:04:43"},{"id":151,"name":"Denver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50"/>
        <v>start /low /b %USERPROFILE%\Documents\GitHub\eaglep3\Utilities\DownloadLogsFromS3.py --loco 4041 --day 2017-06-04</v>
      </c>
      <c r="AN92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777</v>
      </c>
      <c r="B93" s="7">
        <v>4012</v>
      </c>
      <c r="C93" s="21" t="s">
        <v>204</v>
      </c>
      <c r="D93" s="21" t="s">
        <v>356</v>
      </c>
      <c r="E93" s="13">
        <v>42890.569918981484</v>
      </c>
      <c r="F93" s="13">
        <v>42890.573136574072</v>
      </c>
      <c r="G93" s="7">
        <v>1</v>
      </c>
      <c r="H93" s="21" t="s">
        <v>871</v>
      </c>
      <c r="I93" s="13">
        <v>42890.59820601852</v>
      </c>
      <c r="J93" s="7">
        <v>0</v>
      </c>
      <c r="K93" s="92" t="str">
        <f t="shared" si="34"/>
        <v>4011/4012</v>
      </c>
      <c r="L93" s="21" t="str">
        <f>VLOOKUP(A93,'Trips&amp;Operators'!$C$1:$G$99999,5,FALSE)</f>
        <v>MOSES BRADLEY</v>
      </c>
      <c r="M93" s="6">
        <f t="shared" si="35"/>
        <v>2.5069444447581191E-2</v>
      </c>
      <c r="N93" s="7">
        <f t="shared" si="47"/>
        <v>36.100000004516914</v>
      </c>
      <c r="O93" s="7"/>
      <c r="P93" s="7"/>
      <c r="Q93" s="22"/>
      <c r="R93" s="173"/>
      <c r="S93" s="176">
        <f t="shared" si="36"/>
        <v>1</v>
      </c>
      <c r="T93" s="202" t="str">
        <f t="shared" si="37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8"/>
        <v>https://d0f6bd738d7f1b3e5a7ca70fe4ff75f0.us-east-1.aws.found.io/app/kibana#/discover/Steve-Slow-Train-Analysis-(2080s-and-2083s)?_g=(refreshInterval:(display:Off,pause:!f,section:0,value:0),time:(from:'2017-06-04T12:40:41-0600',mode:absolute,to:'2017-06-04T15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204" t="str">
        <f t="shared" si="39"/>
        <v>N</v>
      </c>
      <c r="X93" s="204">
        <f t="shared" si="52"/>
        <v>1</v>
      </c>
      <c r="Y93" s="204">
        <f t="shared" si="40"/>
        <v>4.5100000000000001E-2</v>
      </c>
      <c r="Z93" s="204">
        <f t="shared" si="41"/>
        <v>23.3338</v>
      </c>
      <c r="AA93" s="204">
        <f t="shared" si="42"/>
        <v>23.288699999999999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3"/>
        <v>0181-04</v>
      </c>
      <c r="AE93" s="80" t="str">
        <f t="shared" si="44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93" s="77" t="str">
        <f t="shared" si="45"/>
        <v>"C:\Program Files (x86)\AstroGrep\AstroGrep.exe" /e /r /s /spath="%USERPROFILE%\AppData\Local\Temp\OnboardLogs" /stypes="app*4012*20170604*" /stext=" 20:.+((SYSTEM_STATE.+slice.+state.+changed )|(ment ac)|(multiple cpu faults)|(system.+state.+changed )|(\[timeout)|(PRM\|1\|D)|(kpr)|(kdp)|(train st.+moving)|(\|lc)|(penalty))"</v>
      </c>
      <c r="AG93" s="1" t="str">
        <f t="shared" si="46"/>
        <v>EC</v>
      </c>
      <c r="AH93" s="81" t="str">
        <f t="shared" si="48"/>
        <v>"%USERPROFILE%\Documents\GitHub\eaglep3\Utilities\RefineRTDCRunTimes.py" --tripid 181-04 --locoid 4012 --swversion DE.1.0.9.0 --startMP 204:451 --initTime 2017-06-04T13:40:41 --startdatetime 2017-06-04T13:45:19 --delay 1 --endMP 204:233338 --enddatetime 2017-06-04T14:21:25 --enforcementcount 0 &gt;&gt;C:\Users\stu\Documents\GitHub\eaglep3-reporting\EC\2017-06-04-refined-times.txt</v>
      </c>
      <c r="AI9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{"issue":{"subject":"","project_id":79,"tracker_id":40,"status_id":1,"priority_id":2,"assigned_to_id":23,"start_date":"2017-06-04","description":"","custom_fields":[{"id":1,"name":"Subdivision","value":"EC"},{"id":4,"name":"Milepost","value":"23.3338"},{"id":17,"name":"Train ID","value":"181-04"},{"id":16,"name":"Locomotive ID","value":"4012"},{"id":130,"name":"Impact","value":""},{"id":150,"name":"Time of Event (Mountain Time)","value":"14:21:25"},{"id":151,"name":"Denver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50"/>
        <v>start /low /b %USERPROFILE%\Documents\GitHub\eaglep3\Utilities\DownloadLogsFromS3.py --loco 4012 --day 2017-06-04</v>
      </c>
      <c r="AN93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783</v>
      </c>
      <c r="B94" s="7">
        <v>4011</v>
      </c>
      <c r="C94" s="21" t="s">
        <v>204</v>
      </c>
      <c r="D94" s="21" t="s">
        <v>634</v>
      </c>
      <c r="E94" s="13">
        <v>42890.608124999999</v>
      </c>
      <c r="F94" s="13">
        <v>42890.612743055557</v>
      </c>
      <c r="G94" s="7">
        <v>1</v>
      </c>
      <c r="H94" s="21" t="s">
        <v>486</v>
      </c>
      <c r="I94" s="13">
        <v>42890.639317129629</v>
      </c>
      <c r="J94" s="7">
        <v>0</v>
      </c>
      <c r="K94" s="92" t="str">
        <f t="shared" si="34"/>
        <v>4011/4012</v>
      </c>
      <c r="L94" s="21" t="str">
        <f>VLOOKUP(A94,'Trips&amp;Operators'!$C$1:$G$99999,5,FALSE)</f>
        <v>MOSES BRADLEY</v>
      </c>
      <c r="M94" s="6">
        <f t="shared" si="35"/>
        <v>2.6574074072414078E-2</v>
      </c>
      <c r="N94" s="7">
        <f t="shared" si="47"/>
        <v>38.266666664276272</v>
      </c>
      <c r="O94" s="7"/>
      <c r="P94" s="7"/>
      <c r="Q94" s="22"/>
      <c r="R94" s="173"/>
      <c r="S94" s="176">
        <f t="shared" si="36"/>
        <v>1</v>
      </c>
      <c r="T94" s="202" t="str">
        <f t="shared" si="37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8"/>
        <v>https://d0f6bd738d7f1b3e5a7ca70fe4ff75f0.us-east-1.aws.found.io/app/kibana#/discover/Steve-Slow-Train-Analysis-(2080s-and-2083s)?_g=(refreshInterval:(display:Off,pause:!f,section:0,value:0),time:(from:'2017-06-04T13:35:42-0600',mode:absolute,to:'2017-06-04T16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204" t="str">
        <f t="shared" si="39"/>
        <v>N</v>
      </c>
      <c r="X94" s="204">
        <f t="shared" si="52"/>
        <v>1</v>
      </c>
      <c r="Y94" s="204">
        <f t="shared" si="40"/>
        <v>23.302499999999998</v>
      </c>
      <c r="Z94" s="204">
        <f t="shared" si="41"/>
        <v>1.6299999999999999E-2</v>
      </c>
      <c r="AA94" s="204">
        <f t="shared" si="42"/>
        <v>23.286199999999997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3"/>
        <v>0182-04</v>
      </c>
      <c r="AE94" s="80" t="str">
        <f t="shared" si="44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94" s="77" t="str">
        <f t="shared" si="45"/>
        <v>"C:\Program Files (x86)\AstroGrep\AstroGrep.exe" /e /r /s /spath="%USERPROFILE%\AppData\Local\Temp\OnboardLogs" /stypes="app*4011*20170604*" /stext=" 21:.+((SYSTEM_STATE.+slice.+state.+changed )|(ment ac)|(multiple cpu faults)|(system.+state.+changed )|(\[timeout)|(PRM\|1\|D)|(kpr)|(kdp)|(train st.+moving)|(\|lc)|(penalty))"</v>
      </c>
      <c r="AG94" s="1" t="str">
        <f t="shared" si="46"/>
        <v>EC</v>
      </c>
      <c r="AH94" s="81" t="str">
        <f t="shared" si="48"/>
        <v>"%USERPROFILE%\Documents\GitHub\eaglep3\Utilities\RefineRTDCRunTimes.py" --tripid 182-04 --locoid 4011 --swversion DE.1.0.9.0 --startMP 204:233025 --initTime 2017-06-04T14:35:42 --startdatetime 2017-06-04T14:42:21 --delay 1 --endMP 204:163 --enddatetime 2017-06-04T15:20:37 --enforcementcount 0 &gt;&gt;C:\Users\stu\Documents\GitHub\eaglep3-reporting\EC\2017-06-04-refined-times.txt</v>
      </c>
      <c r="AI94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{"issue":{"subject":"","project_id":79,"tracker_id":40,"status_id":1,"priority_id":2,"assigned_to_id":23,"start_date":"2017-06-04","description":"","custom_fields":[{"id":1,"name":"Subdivision","value":"EC"},{"id":4,"name":"Milepost","value":"0.0163"},{"id":17,"name":"Train ID","value":"182-04"},{"id":16,"name":"Locomotive ID","value":"4011"},{"id":130,"name":"Impact","value":""},{"id":150,"name":"Time of Event (Mountain Time)","value":"15:20:37"},{"id":151,"name":"Denver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50"/>
        <v>start /low /b %USERPROFILE%\Documents\GitHub\eaglep3\Utilities\DownloadLogsFromS3.py --loco 4011 --day 2017-06-04</v>
      </c>
      <c r="AN94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778</v>
      </c>
      <c r="B95" s="7">
        <v>4040</v>
      </c>
      <c r="C95" s="21" t="s">
        <v>204</v>
      </c>
      <c r="D95" s="21" t="s">
        <v>356</v>
      </c>
      <c r="E95" s="13">
        <v>42890.578645833331</v>
      </c>
      <c r="F95" s="13">
        <v>42890.583483796298</v>
      </c>
      <c r="G95" s="7">
        <v>1</v>
      </c>
      <c r="H95" s="21" t="s">
        <v>606</v>
      </c>
      <c r="I95" s="13">
        <v>42890.608530092592</v>
      </c>
      <c r="J95" s="7">
        <v>0</v>
      </c>
      <c r="K95" s="92" t="str">
        <f t="shared" si="34"/>
        <v>4039/4040</v>
      </c>
      <c r="L95" s="21" t="str">
        <f>VLOOKUP(A95,'Trips&amp;Operators'!$C$1:$G$99999,5,FALSE)</f>
        <v>DELGADO DIANAH</v>
      </c>
      <c r="M95" s="6">
        <f t="shared" si="35"/>
        <v>2.5046296294021886E-2</v>
      </c>
      <c r="N95" s="7">
        <f t="shared" si="47"/>
        <v>36.066666663391516</v>
      </c>
      <c r="O95" s="7"/>
      <c r="P95" s="7"/>
      <c r="Q95" s="22"/>
      <c r="R95" s="173"/>
      <c r="S95" s="176">
        <f t="shared" si="36"/>
        <v>1</v>
      </c>
      <c r="T95" s="202" t="str">
        <f t="shared" si="37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8"/>
        <v>https://d0f6bd738d7f1b3e5a7ca70fe4ff75f0.us-east-1.aws.found.io/app/kibana#/discover/Steve-Slow-Train-Analysis-(2080s-and-2083s)?_g=(refreshInterval:(display:Off,pause:!f,section:0,value:0),time:(from:'2017-06-04T12:53:15-0600',mode:absolute,to:'2017-06-04T15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204" t="str">
        <f t="shared" si="39"/>
        <v>N</v>
      </c>
      <c r="X95" s="204">
        <f t="shared" si="52"/>
        <v>1</v>
      </c>
      <c r="Y95" s="204">
        <f t="shared" si="40"/>
        <v>4.5100000000000001E-2</v>
      </c>
      <c r="Z95" s="204">
        <f t="shared" si="41"/>
        <v>23.333400000000001</v>
      </c>
      <c r="AA95" s="204">
        <f t="shared" si="42"/>
        <v>23.2883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3"/>
        <v>0183-04</v>
      </c>
      <c r="AE95" s="80" t="str">
        <f t="shared" si="44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95" s="77" t="str">
        <f t="shared" si="45"/>
        <v>"C:\Program Files (x86)\AstroGrep\AstroGrep.exe" /e /r /s /spath="%USERPROFILE%\AppData\Local\Temp\OnboardLogs" /stypes="app*4040*20170604*" /stext=" 20:.+((SYSTEM_STATE.+slice.+state.+changed )|(ment ac)|(multiple cpu faults)|(system.+state.+changed )|(\[timeout)|(PRM\|1\|D)|(kpr)|(kdp)|(train st.+moving)|(\|lc)|(penalty))"</v>
      </c>
      <c r="AG95" s="1" t="str">
        <f t="shared" si="46"/>
        <v>EC</v>
      </c>
      <c r="AH95" s="81" t="str">
        <f t="shared" si="48"/>
        <v>"%USERPROFILE%\Documents\GitHub\eaglep3\Utilities\RefineRTDCRunTimes.py" --tripid 183-04 --locoid 4040 --swversion DE.1.0.9.0 --startMP 204:451 --initTime 2017-06-04T13:53:15 --startdatetime 2017-06-04T14:00:13 --delay 1 --endMP 204:233334 --enddatetime 2017-06-04T14:36:17 --enforcementcount 0 &gt;&gt;C:\Users\stu\Documents\GitHub\eaglep3-reporting\EC\2017-06-04-refined-times.txt</v>
      </c>
      <c r="AI95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{"issue":{"subject":"","project_id":79,"tracker_id":40,"status_id":1,"priority_id":2,"assigned_to_id":23,"start_date":"2017-06-04","description":"","custom_fields":[{"id":1,"name":"Subdivision","value":"EC"},{"id":4,"name":"Milepost","value":"23.3334"},{"id":17,"name":"Train ID","value":"183-04"},{"id":16,"name":"Locomotive ID","value":"4040"},{"id":130,"name":"Impact","value":""},{"id":150,"name":"Time of Event (Mountain Time)","value":"14:36:17"},{"id":151,"name":"Denver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50"/>
        <v>start /low /b %USERPROFILE%\Documents\GitHub\eaglep3\Utilities\DownloadLogsFromS3.py --loco 4040 --day 2017-06-04</v>
      </c>
      <c r="AN95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786</v>
      </c>
      <c r="B96" s="7">
        <v>4039</v>
      </c>
      <c r="C96" s="21" t="s">
        <v>204</v>
      </c>
      <c r="D96" s="21" t="s">
        <v>858</v>
      </c>
      <c r="E96" s="13">
        <v>42890.613865740743</v>
      </c>
      <c r="F96" s="13">
        <v>42890.623078703706</v>
      </c>
      <c r="G96" s="7">
        <v>2</v>
      </c>
      <c r="H96" s="21" t="s">
        <v>354</v>
      </c>
      <c r="I96" s="13">
        <v>42890.648946759262</v>
      </c>
      <c r="J96" s="7">
        <v>0</v>
      </c>
      <c r="K96" s="92" t="str">
        <f t="shared" si="34"/>
        <v>4039/4040</v>
      </c>
      <c r="L96" s="21" t="str">
        <f>VLOOKUP(A96,'Trips&amp;Operators'!$C$1:$G$99999,5,FALSE)</f>
        <v>DELGADO DIANAH</v>
      </c>
      <c r="M96" s="6">
        <f t="shared" si="35"/>
        <v>2.5868055556202307E-2</v>
      </c>
      <c r="N96" s="7">
        <f t="shared" si="47"/>
        <v>37.250000000931323</v>
      </c>
      <c r="O96" s="7"/>
      <c r="P96" s="7"/>
      <c r="Q96" s="22"/>
      <c r="R96" s="173"/>
      <c r="S96" s="176">
        <f t="shared" si="36"/>
        <v>1</v>
      </c>
      <c r="T96" s="202" t="str">
        <f t="shared" si="37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8"/>
        <v>https://d0f6bd738d7f1b3e5a7ca70fe4ff75f0.us-east-1.aws.found.io/app/kibana#/discover/Steve-Slow-Train-Analysis-(2080s-and-2083s)?_g=(refreshInterval:(display:Off,pause:!f,section:0,value:0),time:(from:'2017-06-04T13:43:58-0600',mode:absolute,to:'2017-06-04T16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204" t="str">
        <f t="shared" si="39"/>
        <v>N</v>
      </c>
      <c r="X96" s="204">
        <f t="shared" si="52"/>
        <v>1</v>
      </c>
      <c r="Y96" s="204">
        <f t="shared" si="40"/>
        <v>23.3034</v>
      </c>
      <c r="Z96" s="204">
        <f t="shared" si="41"/>
        <v>1.43E-2</v>
      </c>
      <c r="AA96" s="204">
        <f t="shared" si="42"/>
        <v>23.289100000000001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3"/>
        <v>0184-04</v>
      </c>
      <c r="AE96" s="80" t="str">
        <f t="shared" si="44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96" s="77" t="str">
        <f t="shared" si="45"/>
        <v>"C:\Program Files (x86)\AstroGrep\AstroGrep.exe" /e /r /s /spath="%USERPROFILE%\AppData\Local\Temp\OnboardLogs" /stypes="app*4039*20170604*" /stext=" 21:.+((SYSTEM_STATE.+slice.+state.+changed )|(ment ac)|(multiple cpu faults)|(system.+state.+changed )|(\[timeout)|(PRM\|1\|D)|(kpr)|(kdp)|(train st.+moving)|(\|lc)|(penalty))"</v>
      </c>
      <c r="AG96" s="1" t="str">
        <f t="shared" si="46"/>
        <v>EC</v>
      </c>
      <c r="AH96" s="81" t="str">
        <f t="shared" si="48"/>
        <v>"%USERPROFILE%\Documents\GitHub\eaglep3\Utilities\RefineRTDCRunTimes.py" --tripid 184-04 --locoid 4039 --swversion DE.1.0.9.0 --startMP 204:233034 --initTime 2017-06-04T14:43:58 --startdatetime 2017-06-04T14:57:14 --delay 2 --endMP 204:143 --enddatetime 2017-06-04T15:34:29 --enforcementcount 0 &gt;&gt;C:\Users\stu\Documents\GitHub\eaglep3-reporting\EC\2017-06-04-refined-times.txt</v>
      </c>
      <c r="AI96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{"issue":{"subject":"","project_id":79,"tracker_id":40,"status_id":1,"priority_id":2,"assigned_to_id":23,"start_date":"2017-06-04","description":"","custom_fields":[{"id":1,"name":"Subdivision","value":"EC"},{"id":4,"name":"Milepost","value":"0.0143"},{"id":17,"name":"Train ID","value":"184-04"},{"id":16,"name":"Locomotive ID","value":"4039"},{"id":130,"name":"Impact","value":""},{"id":150,"name":"Time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5" t="str">
        <f t="shared" si="50"/>
        <v>start /low /b %USERPROFILE%\Documents\GitHub\eaglep3\Utilities\DownloadLogsFromS3.py --loco 4039 --day 2017-06-04</v>
      </c>
      <c r="AN96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780</v>
      </c>
      <c r="B97" s="7">
        <v>4060</v>
      </c>
      <c r="C97" s="21" t="s">
        <v>204</v>
      </c>
      <c r="D97" s="21" t="s">
        <v>351</v>
      </c>
      <c r="E97" s="13">
        <v>42890.591585648152</v>
      </c>
      <c r="F97" s="13">
        <v>42890.593923611108</v>
      </c>
      <c r="G97" s="7">
        <v>1</v>
      </c>
      <c r="H97" s="21" t="s">
        <v>632</v>
      </c>
      <c r="I97" s="13">
        <v>42890.619328703702</v>
      </c>
      <c r="J97" s="7">
        <v>0</v>
      </c>
      <c r="K97" s="92" t="str">
        <f t="shared" si="34"/>
        <v>4059/4060</v>
      </c>
      <c r="L97" s="21" t="str">
        <f>VLOOKUP(A97,'Trips&amp;Operators'!$C$1:$G$99999,5,FALSE)</f>
        <v>BROWN JACOB</v>
      </c>
      <c r="M97" s="6">
        <f t="shared" si="35"/>
        <v>2.5405092594155576E-2</v>
      </c>
      <c r="N97" s="7">
        <f t="shared" si="47"/>
        <v>36.58333333558403</v>
      </c>
      <c r="O97" s="7"/>
      <c r="P97" s="7"/>
      <c r="Q97" s="22"/>
      <c r="R97" s="173"/>
      <c r="S97" s="176">
        <f t="shared" si="36"/>
        <v>1</v>
      </c>
      <c r="T97" s="202" t="str">
        <f t="shared" si="37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8"/>
        <v>https://d0f6bd738d7f1b3e5a7ca70fe4ff75f0.us-east-1.aws.found.io/app/kibana#/discover/Steve-Slow-Train-Analysis-(2080s-and-2083s)?_g=(refreshInterval:(display:Off,pause:!f,section:0,value:0),time:(from:'2017-06-04T13:11:53-0600',mode:absolute,to:'2017-06-04T15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7" s="204" t="str">
        <f t="shared" si="39"/>
        <v>N</v>
      </c>
      <c r="X97" s="204">
        <f t="shared" si="52"/>
        <v>1</v>
      </c>
      <c r="Y97" s="204">
        <f t="shared" si="40"/>
        <v>4.58E-2</v>
      </c>
      <c r="Z97" s="204">
        <f t="shared" si="41"/>
        <v>23.3325</v>
      </c>
      <c r="AA97" s="204">
        <f t="shared" si="42"/>
        <v>23.2867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3"/>
        <v>0185-04</v>
      </c>
      <c r="AE97" s="80" t="str">
        <f t="shared" si="44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97" s="77" t="str">
        <f t="shared" si="45"/>
        <v>"C:\Program Files (x86)\AstroGrep\AstroGrep.exe" /e /r /s /spath="%USERPROFILE%\AppData\Local\Temp\OnboardLogs" /stypes="app*4060*20170604*" /stext=" 20:.+((SYSTEM_STATE.+slice.+state.+changed )|(ment ac)|(multiple cpu faults)|(system.+state.+changed )|(\[timeout)|(PRM\|1\|D)|(kpr)|(kdp)|(train st.+moving)|(\|lc)|(penalty))"</v>
      </c>
      <c r="AG97" s="1" t="str">
        <f t="shared" si="46"/>
        <v>EC</v>
      </c>
      <c r="AH97" s="81" t="str">
        <f t="shared" si="48"/>
        <v>"%USERPROFILE%\Documents\GitHub\eaglep3\Utilities\RefineRTDCRunTimes.py" --tripid 185-04 --locoid 4060 --swversion DE.1.0.9.0 --startMP 204:458 --initTime 2017-06-04T14:11:53 --startdatetime 2017-06-04T14:15:15 --delay 1 --endMP 204:233325 --enddatetime 2017-06-04T14:51:50 --enforcementcount 0 &gt;&gt;C:\Users\stu\Documents\GitHub\eaglep3-reporting\EC\2017-06-04-refined-times.txt</v>
      </c>
      <c r="AI97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{"issue":{"subject":"","project_id":79,"tracker_id":40,"status_id":1,"priority_id":2,"assigned_to_id":23,"start_date":"2017-06-04","description":"","custom_fields":[{"id":1,"name":"Subdivision","value":"EC"},{"id":4,"name":"Milepost","value":"23.3325"},{"id":17,"name":"Train ID","value":"185-04"},{"id":16,"name":"Locomotive ID","value":"4060"},{"id":130,"name":"Impact","value":""},{"id":150,"name":"Time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50"/>
        <v>start /low /b %USERPROFILE%\Documents\GitHub\eaglep3\Utilities\DownloadLogsFromS3.py --loco 4060 --day 2017-06-04</v>
      </c>
      <c r="AN97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787</v>
      </c>
      <c r="B98" s="7">
        <v>4059</v>
      </c>
      <c r="C98" s="21" t="s">
        <v>204</v>
      </c>
      <c r="D98" s="21" t="s">
        <v>467</v>
      </c>
      <c r="E98" s="13">
        <v>42890.628240740742</v>
      </c>
      <c r="F98" s="13">
        <v>42890.633692129632</v>
      </c>
      <c r="G98" s="7">
        <v>1</v>
      </c>
      <c r="H98" s="21" t="s">
        <v>361</v>
      </c>
      <c r="I98" s="13">
        <v>42890.660439814812</v>
      </c>
      <c r="J98" s="7">
        <v>0</v>
      </c>
      <c r="K98" s="92" t="str">
        <f t="shared" si="34"/>
        <v>4059/4060</v>
      </c>
      <c r="L98" s="21" t="str">
        <f>VLOOKUP(A98,'Trips&amp;Operators'!$C$1:$G$99999,5,FALSE)</f>
        <v>BROWN JACOB</v>
      </c>
      <c r="M98" s="6">
        <f t="shared" si="35"/>
        <v>2.6747685180453118E-2</v>
      </c>
      <c r="N98" s="7">
        <f t="shared" si="47"/>
        <v>38.51666665985249</v>
      </c>
      <c r="O98" s="7"/>
      <c r="P98" s="7"/>
      <c r="Q98" s="22"/>
      <c r="R98" s="173"/>
      <c r="S98" s="176">
        <f t="shared" si="36"/>
        <v>1</v>
      </c>
      <c r="T98" s="202" t="str">
        <f t="shared" si="37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8"/>
        <v>https://d0f6bd738d7f1b3e5a7ca70fe4ff75f0.us-east-1.aws.found.io/app/kibana#/discover/Steve-Slow-Train-Analysis-(2080s-and-2083s)?_g=(refreshInterval:(display:Off,pause:!f,section:0,value:0),time:(from:'2017-06-04T14:04:40-0600',mode:absolute,to:'2017-06-04T16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8" s="204" t="str">
        <f t="shared" si="39"/>
        <v>N</v>
      </c>
      <c r="X98" s="204">
        <f t="shared" si="52"/>
        <v>1</v>
      </c>
      <c r="Y98" s="204">
        <f t="shared" si="40"/>
        <v>23.3</v>
      </c>
      <c r="Z98" s="204">
        <f t="shared" si="41"/>
        <v>1.3899999999999999E-2</v>
      </c>
      <c r="AA98" s="204">
        <f t="shared" si="42"/>
        <v>23.286100000000001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3"/>
        <v>0186-04</v>
      </c>
      <c r="AE98" s="80" t="str">
        <f t="shared" si="44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98" s="77" t="str">
        <f t="shared" si="45"/>
        <v>"C:\Program Files (x86)\AstroGrep\AstroGrep.exe" /e /r /s /spath="%USERPROFILE%\AppData\Local\Temp\OnboardLogs" /stypes="app*4059*20170604*" /stext=" 21:.+((SYSTEM_STATE.+slice.+state.+changed )|(ment ac)|(multiple cpu faults)|(system.+state.+changed )|(\[timeout)|(PRM\|1\|D)|(kpr)|(kdp)|(train st.+moving)|(\|lc)|(penalty))"</v>
      </c>
      <c r="AG98" s="1" t="str">
        <f t="shared" si="46"/>
        <v>EC</v>
      </c>
      <c r="AH98" s="81" t="str">
        <f t="shared" si="48"/>
        <v>"%USERPROFILE%\Documents\GitHub\eaglep3\Utilities\RefineRTDCRunTimes.py" --tripid 186-04 --locoid 4059 --swversion DE.1.0.9.0 --startMP 204:233000 --initTime 2017-06-04T15:04:40 --startdatetime 2017-06-04T15:12:31 --delay 1 --endMP 204:139 --enddatetime 2017-06-04T15:51:02 --enforcementcount 0 &gt;&gt;C:\Users\stu\Documents\GitHub\eaglep3-reporting\EC\2017-06-04-refined-times.txt</v>
      </c>
      <c r="AI98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{"issue":{"subject":"","project_id":79,"tracker_id":40,"status_id":1,"priority_id":2,"assigned_to_id":23,"start_date":"2017-06-04","description":"","custom_fields":[{"id":1,"name":"Subdivision","value":"EC"},{"id":4,"name":"Milepost","value":"0.0139"},{"id":17,"name":"Train ID","value":"186-04"},{"id":16,"name":"Locomotive ID","value":"4059"},{"id":130,"name":"Impact","value":""},{"id":150,"name":"Time of Event (Mountain Time)","value":"15:51:02"},{"id":151,"name":"Denver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50"/>
        <v>start /low /b %USERPROFILE%\Documents\GitHub\eaglep3\Utilities\DownloadLogsFromS3.py --loco 4059 --day 2017-06-04</v>
      </c>
      <c r="AN98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782</v>
      </c>
      <c r="B99" s="7">
        <v>4056</v>
      </c>
      <c r="C99" s="21" t="s">
        <v>204</v>
      </c>
      <c r="D99" s="21" t="s">
        <v>473</v>
      </c>
      <c r="E99" s="13">
        <v>42890.599421296298</v>
      </c>
      <c r="F99" s="13">
        <v>42890.604409722226</v>
      </c>
      <c r="G99" s="7">
        <v>1</v>
      </c>
      <c r="H99" s="21" t="s">
        <v>928</v>
      </c>
      <c r="I99" s="13">
        <v>42890.629606481481</v>
      </c>
      <c r="J99" s="7">
        <v>0</v>
      </c>
      <c r="K99" s="92" t="str">
        <f t="shared" si="34"/>
        <v>4055/4056</v>
      </c>
      <c r="L99" s="21" t="str">
        <f>VLOOKUP(A99,'Trips&amp;Operators'!$C$1:$G$99999,5,FALSE)</f>
        <v>MCREYNOLDS KYLE</v>
      </c>
      <c r="M99" s="6">
        <f t="shared" si="35"/>
        <v>2.5196759255777579E-2</v>
      </c>
      <c r="N99" s="7">
        <f t="shared" si="47"/>
        <v>36.283333328319713</v>
      </c>
      <c r="O99" s="7"/>
      <c r="P99" s="7"/>
      <c r="Q99" s="22"/>
      <c r="R99" s="173"/>
      <c r="S99" s="176">
        <f t="shared" si="36"/>
        <v>1</v>
      </c>
      <c r="T99" s="202" t="str">
        <f t="shared" si="37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8"/>
        <v>https://d0f6bd738d7f1b3e5a7ca70fe4ff75f0.us-east-1.aws.found.io/app/kibana#/discover/Steve-Slow-Train-Analysis-(2080s-and-2083s)?_g=(refreshInterval:(display:Off,pause:!f,section:0,value:0),time:(from:'2017-06-04T13:23:10-0600',mode:absolute,to:'2017-06-04T16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204" t="str">
        <f t="shared" si="39"/>
        <v>N</v>
      </c>
      <c r="X99" s="204">
        <f t="shared" si="52"/>
        <v>1</v>
      </c>
      <c r="Y99" s="204">
        <f t="shared" si="40"/>
        <v>4.6899999999999997E-2</v>
      </c>
      <c r="Z99" s="204">
        <f t="shared" si="41"/>
        <v>23.337</v>
      </c>
      <c r="AA99" s="204">
        <f t="shared" si="42"/>
        <v>23.290099999999999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3"/>
        <v>0187-04</v>
      </c>
      <c r="AE99" s="80" t="str">
        <f t="shared" si="44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99" s="77" t="str">
        <f t="shared" si="45"/>
        <v>"C:\Program Files (x86)\AstroGrep\AstroGrep.exe" /e /r /s /spath="%USERPROFILE%\AppData\Local\Temp\OnboardLogs" /stypes="app*4056*20170604*" /stext=" 21:.+((SYSTEM_STATE.+slice.+state.+changed )|(ment ac)|(multiple cpu faults)|(system.+state.+changed )|(\[timeout)|(PRM\|1\|D)|(kpr)|(kdp)|(train st.+moving)|(\|lc)|(penalty))"</v>
      </c>
      <c r="AG99" s="1" t="str">
        <f t="shared" si="46"/>
        <v>EC</v>
      </c>
      <c r="AH99" s="81" t="str">
        <f t="shared" si="48"/>
        <v>"%USERPROFILE%\Documents\GitHub\eaglep3\Utilities\RefineRTDCRunTimes.py" --tripid 187-04 --locoid 4056 --swversion DE.1.0.9.0 --startMP 204:469 --initTime 2017-06-04T14:23:10 --startdatetime 2017-06-04T14:30:21 --delay 1 --endMP 204:233370 --enddatetime 2017-06-04T15:06:38 --enforcementcount 0 &gt;&gt;C:\Users\stu\Documents\GitHub\eaglep3-reporting\EC\2017-06-04-refined-times.txt</v>
      </c>
      <c r="AI99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{"issue":{"subject":"","project_id":79,"tracker_id":40,"status_id":1,"priority_id":2,"assigned_to_id":23,"start_date":"2017-06-04","description":"","custom_fields":[{"id":1,"name":"Subdivision","value":"EC"},{"id":4,"name":"Milepost","value":"23.337"},{"id":17,"name":"Train ID","value":"187-04"},{"id":16,"name":"Locomotive ID","value":"4056"},{"id":130,"name":"Impact","value":""},{"id":150,"name":"Time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5" t="str">
        <f t="shared" si="50"/>
        <v>start /low /b %USERPROFILE%\Documents\GitHub\eaglep3\Utilities\DownloadLogsFromS3.py --loco 4056 --day 2017-06-04</v>
      </c>
      <c r="AN99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789</v>
      </c>
      <c r="B100" s="7">
        <v>4055</v>
      </c>
      <c r="C100" s="21" t="s">
        <v>204</v>
      </c>
      <c r="D100" s="21" t="s">
        <v>929</v>
      </c>
      <c r="E100" s="13">
        <v>42890.637465277781</v>
      </c>
      <c r="F100" s="13">
        <v>42890.643923611111</v>
      </c>
      <c r="G100" s="7">
        <v>1</v>
      </c>
      <c r="H100" s="21" t="s">
        <v>401</v>
      </c>
      <c r="I100" s="13">
        <v>42890.669965277775</v>
      </c>
      <c r="J100" s="7">
        <v>0</v>
      </c>
      <c r="K100" s="92" t="str">
        <f t="shared" si="34"/>
        <v>4055/4056</v>
      </c>
      <c r="L100" s="21" t="str">
        <f>VLOOKUP(A100,'Trips&amp;Operators'!$C$1:$G$99999,5,FALSE)</f>
        <v>MCREYNOLDS KYLE</v>
      </c>
      <c r="M100" s="6">
        <f t="shared" si="35"/>
        <v>2.6041666664241347E-2</v>
      </c>
      <c r="N100" s="7">
        <f t="shared" si="47"/>
        <v>37.49999999650754</v>
      </c>
      <c r="O100" s="7"/>
      <c r="P100" s="7"/>
      <c r="Q100" s="22"/>
      <c r="R100" s="173"/>
      <c r="S100" s="176">
        <f t="shared" si="36"/>
        <v>1</v>
      </c>
      <c r="T100" s="202" t="str">
        <f t="shared" si="37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8"/>
        <v>https://d0f6bd738d7f1b3e5a7ca70fe4ff75f0.us-east-1.aws.found.io/app/kibana#/discover/Steve-Slow-Train-Analysis-(2080s-and-2083s)?_g=(refreshInterval:(display:Off,pause:!f,section:0,value:0),time:(from:'2017-06-04T14:17:57-0600',mode:absolute,to:'2017-06-04T17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204" t="str">
        <f t="shared" si="39"/>
        <v>N</v>
      </c>
      <c r="X100" s="204">
        <f t="shared" si="52"/>
        <v>1</v>
      </c>
      <c r="Y100" s="204">
        <f t="shared" si="40"/>
        <v>23.3049</v>
      </c>
      <c r="Z100" s="204">
        <f t="shared" si="41"/>
        <v>1.54E-2</v>
      </c>
      <c r="AA100" s="204">
        <f t="shared" si="42"/>
        <v>23.2895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3"/>
        <v>0188-04</v>
      </c>
      <c r="AE100" s="80" t="str">
        <f t="shared" si="44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100" s="77" t="str">
        <f t="shared" si="45"/>
        <v>"C:\Program Files (x86)\AstroGrep\AstroGrep.exe" /e /r /s /spath="%USERPROFILE%\AppData\Local\Temp\OnboardLogs" /stypes="app*4055*20170604*" /stext=" 22:.+((SYSTEM_STATE.+slice.+state.+changed )|(ment ac)|(multiple cpu faults)|(system.+state.+changed )|(\[timeout)|(PRM\|1\|D)|(kpr)|(kdp)|(train st.+moving)|(\|lc)|(penalty))"</v>
      </c>
      <c r="AG100" s="1" t="str">
        <f t="shared" si="46"/>
        <v>EC</v>
      </c>
      <c r="AH100" s="81" t="str">
        <f t="shared" si="48"/>
        <v>"%USERPROFILE%\Documents\GitHub\eaglep3\Utilities\RefineRTDCRunTimes.py" --tripid 188-04 --locoid 4055 --swversion DE.1.0.9.0 --startMP 204:233049 --initTime 2017-06-04T15:17:57 --startdatetime 2017-06-04T15:27:15 --delay 1 --endMP 204:154 --enddatetime 2017-06-04T16:04:45 --enforcementcount 0 &gt;&gt;C:\Users\stu\Documents\GitHub\eaglep3-reporting\EC\2017-06-04-refined-times.txt</v>
      </c>
      <c r="AI100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{"issue":{"subject":"","project_id":79,"tracker_id":40,"status_id":1,"priority_id":2,"assigned_to_id":23,"start_date":"2017-06-04","description":"","custom_fields":[{"id":1,"name":"Subdivision","value":"EC"},{"id":4,"name":"Milepost","value":"0.0154"},{"id":17,"name":"Train ID","value":"188-04"},{"id":16,"name":"Locomotive ID","value":"4055"},{"id":130,"name":"Impact","value":""},{"id":150,"name":"Time of Event (Mountain Time)","value":"16:04:45"},{"id":151,"name":"Denver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0"/>
        <v>start /low /b %USERPROFILE%\Documents\GitHub\eaglep3\Utilities\DownloadLogsFromS3.py --loco 4055 --day 2017-06-04</v>
      </c>
      <c r="AN100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784</v>
      </c>
      <c r="B101" s="7">
        <v>4026</v>
      </c>
      <c r="C101" s="21" t="s">
        <v>204</v>
      </c>
      <c r="D101" s="21" t="s">
        <v>359</v>
      </c>
      <c r="E101" s="13">
        <v>42890.608969907407</v>
      </c>
      <c r="F101" s="13">
        <v>42890.614803240744</v>
      </c>
      <c r="G101" s="7">
        <v>2</v>
      </c>
      <c r="H101" s="21" t="s">
        <v>930</v>
      </c>
      <c r="I101" s="13">
        <v>42890.640416666669</v>
      </c>
      <c r="J101" s="7">
        <v>0</v>
      </c>
      <c r="K101" s="92" t="str">
        <f t="shared" si="34"/>
        <v>4025/4026</v>
      </c>
      <c r="L101" s="21" t="str">
        <f>VLOOKUP(A101,'Trips&amp;Operators'!$C$1:$G$99999,5,FALSE)</f>
        <v>DAVIS MICHAEL</v>
      </c>
      <c r="M101" s="6">
        <f t="shared" si="35"/>
        <v>2.5613425925257616E-2</v>
      </c>
      <c r="N101" s="7">
        <f t="shared" si="47"/>
        <v>36.883333332370967</v>
      </c>
      <c r="O101" s="7"/>
      <c r="P101" s="7"/>
      <c r="Q101" s="22"/>
      <c r="R101" s="173"/>
      <c r="S101" s="176">
        <f t="shared" si="36"/>
        <v>1</v>
      </c>
      <c r="T101" s="202" t="str">
        <f t="shared" si="37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8"/>
        <v>https://d0f6bd738d7f1b3e5a7ca70fe4ff75f0.us-east-1.aws.found.io/app/kibana#/discover/Steve-Slow-Train-Analysis-(2080s-and-2083s)?_g=(refreshInterval:(display:Off,pause:!f,section:0,value:0),time:(from:'2017-06-04T13:36:55-0600',mode:absolute,to:'2017-06-04T16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04" t="str">
        <f t="shared" si="39"/>
        <v>N</v>
      </c>
      <c r="X101" s="204">
        <f t="shared" si="52"/>
        <v>1</v>
      </c>
      <c r="Y101" s="204">
        <f t="shared" si="40"/>
        <v>4.53E-2</v>
      </c>
      <c r="Z101" s="204">
        <f t="shared" si="41"/>
        <v>23.334199999999999</v>
      </c>
      <c r="AA101" s="204">
        <f t="shared" si="42"/>
        <v>23.288899999999998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3"/>
        <v>0189-04</v>
      </c>
      <c r="AE101" s="80" t="str">
        <f t="shared" si="44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101" s="77" t="str">
        <f t="shared" si="45"/>
        <v>"C:\Program Files (x86)\AstroGrep\AstroGrep.exe" /e /r /s /spath="%USERPROFILE%\AppData\Local\Temp\OnboardLogs" /stypes="app*4026*20170604*" /stext=" 21:.+((SYSTEM_STATE.+slice.+state.+changed )|(ment ac)|(multiple cpu faults)|(system.+state.+changed )|(\[timeout)|(PRM\|1\|D)|(kpr)|(kdp)|(train st.+moving)|(\|lc)|(penalty))"</v>
      </c>
      <c r="AG101" s="1" t="str">
        <f t="shared" si="46"/>
        <v>EC</v>
      </c>
      <c r="AH101" s="81" t="str">
        <f t="shared" si="48"/>
        <v>"%USERPROFILE%\Documents\GitHub\eaglep3\Utilities\RefineRTDCRunTimes.py" --tripid 189-04 --locoid 4026 --swversion DE.1.0.9.0 --startMP 204:453 --initTime 2017-06-04T14:36:55 --startdatetime 2017-06-04T14:45:19 --delay 2 --endMP 204:233342 --enddatetime 2017-06-04T15:22:12 --enforcementcount 0 &gt;&gt;C:\Users\stu\Documents\GitHub\eaglep3-reporting\EC\2017-06-04-refined-times.txt</v>
      </c>
      <c r="AI10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{"issue":{"subject":"","project_id":79,"tracker_id":40,"status_id":1,"priority_id":2,"assigned_to_id":23,"start_date":"2017-06-04","description":"","custom_fields":[{"id":1,"name":"Subdivision","value":"EC"},{"id":4,"name":"Milepost","value":"23.3342"},{"id":17,"name":"Train ID","value":"189-04"},{"id":16,"name":"Locomotive ID","value":"4026"},{"id":130,"name":"Impact","value":""},{"id":150,"name":"Time of Event (Mountain Time)","value":"15:22:12"},{"id":151,"name":"Denver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0"/>
        <v>start /low /b %USERPROFILE%\Documents\GitHub\eaglep3\Utilities\DownloadLogsFromS3.py --loco 4026 --day 2017-06-04</v>
      </c>
      <c r="AN101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794</v>
      </c>
      <c r="B102" s="7">
        <v>4025</v>
      </c>
      <c r="C102" s="21" t="s">
        <v>204</v>
      </c>
      <c r="D102" s="21" t="s">
        <v>931</v>
      </c>
      <c r="E102" s="13">
        <v>42890.651863425926</v>
      </c>
      <c r="F102" s="13">
        <v>42890.654386574075</v>
      </c>
      <c r="G102" s="7">
        <v>1</v>
      </c>
      <c r="H102" s="21" t="s">
        <v>361</v>
      </c>
      <c r="I102" s="13">
        <v>42890.681620370371</v>
      </c>
      <c r="J102" s="7">
        <v>0</v>
      </c>
      <c r="K102" s="92" t="str">
        <f t="shared" si="34"/>
        <v>4025/4026</v>
      </c>
      <c r="L102" s="21" t="str">
        <f>VLOOKUP(A102,'Trips&amp;Operators'!$C$1:$G$99999,5,FALSE)</f>
        <v>DAVIS MICHAEL</v>
      </c>
      <c r="M102" s="6">
        <f t="shared" si="35"/>
        <v>2.7233796296059154E-2</v>
      </c>
      <c r="N102" s="7">
        <f t="shared" si="47"/>
        <v>39.216666666325182</v>
      </c>
      <c r="O102" s="7"/>
      <c r="P102" s="7"/>
      <c r="Q102" s="22"/>
      <c r="R102" s="173"/>
      <c r="S102" s="176">
        <f t="shared" si="36"/>
        <v>1</v>
      </c>
      <c r="T102" s="202" t="str">
        <f t="shared" si="37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8"/>
        <v>https://d0f6bd738d7f1b3e5a7ca70fe4ff75f0.us-east-1.aws.found.io/app/kibana#/discover/Steve-Slow-Train-Analysis-(2080s-and-2083s)?_g=(refreshInterval:(display:Off,pause:!f,section:0,value:0),time:(from:'2017-06-04T14:38:41-0600',mode:absolute,to:'2017-06-04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04" t="str">
        <f t="shared" si="39"/>
        <v>N</v>
      </c>
      <c r="X102" s="204">
        <f t="shared" si="52"/>
        <v>1</v>
      </c>
      <c r="Y102" s="204">
        <f t="shared" si="40"/>
        <v>23.302700000000002</v>
      </c>
      <c r="Z102" s="204">
        <f t="shared" si="41"/>
        <v>1.3899999999999999E-2</v>
      </c>
      <c r="AA102" s="204">
        <f t="shared" si="42"/>
        <v>23.288800000000002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3"/>
        <v>0190-04</v>
      </c>
      <c r="AE102" s="80" t="str">
        <f t="shared" si="44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102" s="77" t="str">
        <f t="shared" si="45"/>
        <v>"C:\Program Files (x86)\AstroGrep\AstroGrep.exe" /e /r /s /spath="%USERPROFILE%\AppData\Local\Temp\OnboardLogs" /stypes="app*4025*20170604*" /stext=" 22:.+((SYSTEM_STATE.+slice.+state.+changed )|(ment ac)|(multiple cpu faults)|(system.+state.+changed )|(\[timeout)|(PRM\|1\|D)|(kpr)|(kdp)|(train st.+moving)|(\|lc)|(penalty))"</v>
      </c>
      <c r="AG102" s="1" t="str">
        <f t="shared" si="46"/>
        <v>EC</v>
      </c>
      <c r="AH102" s="81" t="str">
        <f t="shared" si="48"/>
        <v>"%USERPROFILE%\Documents\GitHub\eaglep3\Utilities\RefineRTDCRunTimes.py" --tripid 190-04 --locoid 4025 --swversion DE.1.0.9.0 --startMP 204:233027 --initTime 2017-06-04T15:38:41 --startdatetime 2017-06-04T15:42:19 --delay 1 --endMP 204:139 --enddatetime 2017-06-04T16:21:32 --enforcementcount 0 &gt;&gt;C:\Users\stu\Documents\GitHub\eaglep3-reporting\EC\2017-06-04-refined-times.txt</v>
      </c>
      <c r="AI10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{"issue":{"subject":"","project_id":79,"tracker_id":40,"status_id":1,"priority_id":2,"assigned_to_id":23,"start_date":"2017-06-04","description":"","custom_fields":[{"id":1,"name":"Subdivision","value":"EC"},{"id":4,"name":"Milepost","value":"0.0139"},{"id":17,"name":"Train ID","value":"190-04"},{"id":16,"name":"Locomotive ID","value":"4025"},{"id":130,"name":"Impact","value":""},{"id":150,"name":"Time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50"/>
        <v>start /low /b %USERPROFILE%\Documents\GitHub\eaglep3\Utilities\DownloadLogsFromS3.py --loco 4025 --day 2017-06-04</v>
      </c>
      <c r="AN102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663</v>
      </c>
      <c r="B103" s="7">
        <v>4004</v>
      </c>
      <c r="C103" s="21" t="s">
        <v>204</v>
      </c>
      <c r="D103" s="21" t="s">
        <v>468</v>
      </c>
      <c r="E103" s="13">
        <v>42890.620868055557</v>
      </c>
      <c r="F103" s="13">
        <v>42890.625462962962</v>
      </c>
      <c r="G103" s="7">
        <v>2</v>
      </c>
      <c r="H103" s="21" t="s">
        <v>933</v>
      </c>
      <c r="I103" s="13">
        <v>42890.651689814818</v>
      </c>
      <c r="J103" s="7">
        <v>0</v>
      </c>
      <c r="K103" s="92" t="str">
        <f t="shared" si="34"/>
        <v>4003/4004</v>
      </c>
      <c r="L103" s="21" t="str">
        <f>VLOOKUP(A103,'Trips&amp;Operators'!$C$1:$G$99999,5,FALSE)</f>
        <v>BRANDNER MELINDA</v>
      </c>
      <c r="M103" s="6">
        <f t="shared" si="35"/>
        <v>2.6226851856335998E-2</v>
      </c>
      <c r="N103" s="7">
        <f t="shared" si="47"/>
        <v>37.766666673123837</v>
      </c>
      <c r="O103" s="7"/>
      <c r="P103" s="7"/>
      <c r="Q103" s="22"/>
      <c r="R103" s="173"/>
      <c r="S103" s="176">
        <f t="shared" si="36"/>
        <v>1</v>
      </c>
      <c r="T103" s="202" t="str">
        <f t="shared" si="37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8"/>
        <v>https://d0f6bd738d7f1b3e5a7ca70fe4ff75f0.us-east-1.aws.found.io/app/kibana#/discover/Steve-Slow-Train-Analysis-(2080s-and-2083s)?_g=(refreshInterval:(display:Off,pause:!f,section:0,value:0),time:(from:'2017-06-04T13:54:03-0600',mode:absolute,to:'2017-06-04T16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204" t="str">
        <f t="shared" si="39"/>
        <v>N</v>
      </c>
      <c r="X103" s="204">
        <f t="shared" si="52"/>
        <v>1</v>
      </c>
      <c r="Y103" s="204">
        <f t="shared" si="40"/>
        <v>4.3299999999999998E-2</v>
      </c>
      <c r="Z103" s="204">
        <f t="shared" si="41"/>
        <v>23.339099999999998</v>
      </c>
      <c r="AA103" s="204">
        <f t="shared" si="42"/>
        <v>23.2958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3"/>
        <v>0191-04</v>
      </c>
      <c r="AE103" s="80" t="str">
        <f t="shared" si="44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103" s="77" t="str">
        <f t="shared" si="45"/>
        <v>"C:\Program Files (x86)\AstroGrep\AstroGrep.exe" /e /r /s /spath="%USERPROFILE%\AppData\Local\Temp\OnboardLogs" /stypes="app*4004*20170604*" /stext=" 21:.+((SYSTEM_STATE.+slice.+state.+changed )|(ment ac)|(multiple cpu faults)|(system.+state.+changed )|(\[timeout)|(PRM\|1\|D)|(kpr)|(kdp)|(train st.+moving)|(\|lc)|(penalty))"</v>
      </c>
      <c r="AG103" s="1" t="str">
        <f t="shared" si="46"/>
        <v>EC</v>
      </c>
      <c r="AH103" s="81" t="str">
        <f t="shared" si="48"/>
        <v>"%USERPROFILE%\Documents\GitHub\eaglep3\Utilities\RefineRTDCRunTimes.py" --tripid 191-04 --locoid 4004 --swversion DE.1.0.9.0 --startMP 204:433 --initTime 2017-06-04T14:54:03 --startdatetime 2017-06-04T15:00:40 --delay 2 --endMP 204:233391 --enddatetime 2017-06-04T15:38:26 --enforcementcount 0 &gt;&gt;C:\Users\stu\Documents\GitHub\eaglep3-reporting\EC\2017-06-04-refined-times.txt</v>
      </c>
      <c r="AI10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{"issue":{"subject":"","project_id":79,"tracker_id":40,"status_id":1,"priority_id":2,"assigned_to_id":23,"start_date":"2017-06-04","description":"","custom_fields":[{"id":1,"name":"Subdivision","value":"EC"},{"id":4,"name":"Milepost","value":"23.3391"},{"id":17,"name":"Train ID","value":"191-04"},{"id":16,"name":"Locomotive ID","value":"4004"},{"id":130,"name":"Impact","value":""},{"id":150,"name":"Time of Event (Mountain Time)","value":"15:38:26"},{"id":151,"name":"Denver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0"/>
        <v>start /low /b %USERPROFILE%\Documents\GitHub\eaglep3\Utilities\DownloadLogsFromS3.py --loco 4004 --day 2017-06-04</v>
      </c>
      <c r="AN103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795</v>
      </c>
      <c r="B104" s="7">
        <v>4003</v>
      </c>
      <c r="C104" s="21" t="s">
        <v>204</v>
      </c>
      <c r="D104" s="21" t="s">
        <v>934</v>
      </c>
      <c r="E104" s="13">
        <v>42890.659826388888</v>
      </c>
      <c r="F104" s="13">
        <v>42890.664722222224</v>
      </c>
      <c r="G104" s="7">
        <v>1</v>
      </c>
      <c r="H104" s="21" t="s">
        <v>472</v>
      </c>
      <c r="I104" s="13">
        <v>42890.691701388889</v>
      </c>
      <c r="J104" s="7">
        <v>0</v>
      </c>
      <c r="K104" s="92" t="str">
        <f t="shared" si="34"/>
        <v>4003/4004</v>
      </c>
      <c r="L104" s="21" t="str">
        <f>VLOOKUP(A104,'Trips&amp;Operators'!$C$1:$G$99999,5,FALSE)</f>
        <v>BRANDNER MELINDA</v>
      </c>
      <c r="M104" s="6">
        <f t="shared" si="35"/>
        <v>2.6979166665114462E-2</v>
      </c>
      <c r="N104" s="7">
        <f t="shared" si="47"/>
        <v>38.849999997764826</v>
      </c>
      <c r="O104" s="7"/>
      <c r="P104" s="7"/>
      <c r="Q104" s="22"/>
      <c r="R104" s="173"/>
      <c r="S104" s="176">
        <f t="shared" si="36"/>
        <v>1</v>
      </c>
      <c r="T104" s="202" t="str">
        <f t="shared" si="37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8"/>
        <v>https://d0f6bd738d7f1b3e5a7ca70fe4ff75f0.us-east-1.aws.found.io/app/kibana#/discover/Steve-Slow-Train-Analysis-(2080s-and-2083s)?_g=(refreshInterval:(display:Off,pause:!f,section:0,value:0),time:(from:'2017-06-04T14:50:09-0600',mode:absolute,to:'2017-06-04T17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204" t="str">
        <f t="shared" si="39"/>
        <v>N</v>
      </c>
      <c r="X104" s="204">
        <f t="shared" si="52"/>
        <v>1</v>
      </c>
      <c r="Y104" s="204">
        <f t="shared" si="40"/>
        <v>23.311499999999999</v>
      </c>
      <c r="Z104" s="204">
        <f t="shared" si="41"/>
        <v>1.38E-2</v>
      </c>
      <c r="AA104" s="204">
        <f t="shared" si="42"/>
        <v>23.297699999999999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3"/>
        <v>0192-04</v>
      </c>
      <c r="AE104" s="80" t="str">
        <f t="shared" si="44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104" s="77" t="str">
        <f t="shared" si="45"/>
        <v>"C:\Program Files (x86)\AstroGrep\AstroGrep.exe" /e /r /s /spath="%USERPROFILE%\AppData\Local\Temp\OnboardLogs" /stypes="app*4003*20170604*" /stext=" 22:.+((SYSTEM_STATE.+slice.+state.+changed )|(ment ac)|(multiple cpu faults)|(system.+state.+changed )|(\[timeout)|(PRM\|1\|D)|(kpr)|(kdp)|(train st.+moving)|(\|lc)|(penalty))"</v>
      </c>
      <c r="AG104" s="1" t="str">
        <f t="shared" si="46"/>
        <v>EC</v>
      </c>
      <c r="AH104" s="81" t="str">
        <f t="shared" si="48"/>
        <v>"%USERPROFILE%\Documents\GitHub\eaglep3\Utilities\RefineRTDCRunTimes.py" --tripid 192-04 --locoid 4003 --swversion DE.1.0.9.0 --startMP 204:233115 --initTime 2017-06-04T15:50:09 --startdatetime 2017-06-04T15:57:12 --delay 1 --endMP 204:138 --enddatetime 2017-06-04T16:36:03 --enforcementcount 0 &gt;&gt;C:\Users\stu\Documents\GitHub\eaglep3-reporting\EC\2017-06-04-refined-times.txt</v>
      </c>
      <c r="AI104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{"issue":{"subject":"","project_id":79,"tracker_id":40,"status_id":1,"priority_id":2,"assigned_to_id":23,"start_date":"2017-06-04","description":"","custom_fields":[{"id":1,"name":"Subdivision","value":"EC"},{"id":4,"name":"Milepost","value":"0.0138"},{"id":17,"name":"Train ID","value":"192-04"},{"id":16,"name":"Locomotive ID","value":"4003"},{"id":130,"name":"Impact","value":""},{"id":150,"name":"Time of Event (Mountain Time)","value":"16:36:03"},{"id":151,"name":"Denver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5" t="str">
        <f t="shared" si="50"/>
        <v>start /low /b %USERPROFILE%\Documents\GitHub\eaglep3\Utilities\DownloadLogsFromS3.py --loco 4003 --day 2017-06-04</v>
      </c>
      <c r="AN104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5" spans="1:91" s="20" customFormat="1" x14ac:dyDescent="0.25">
      <c r="A105" s="32" t="s">
        <v>788</v>
      </c>
      <c r="B105" s="7">
        <v>4042</v>
      </c>
      <c r="C105" s="21" t="s">
        <v>204</v>
      </c>
      <c r="D105" s="21" t="s">
        <v>200</v>
      </c>
      <c r="E105" s="13">
        <v>42890.630520833336</v>
      </c>
      <c r="F105" s="13">
        <v>42890.635613425926</v>
      </c>
      <c r="G105" s="7">
        <v>1</v>
      </c>
      <c r="H105" s="21" t="s">
        <v>508</v>
      </c>
      <c r="I105" s="13">
        <v>42890.660474537035</v>
      </c>
      <c r="J105" s="7">
        <v>0</v>
      </c>
      <c r="K105" s="92" t="str">
        <f t="shared" si="34"/>
        <v>4041/4042</v>
      </c>
      <c r="L105" s="21" t="str">
        <f>VLOOKUP(A105,'Trips&amp;Operators'!$C$1:$G$99999,5,FALSE)</f>
        <v>BRUDER RICHARD</v>
      </c>
      <c r="M105" s="6">
        <f t="shared" si="35"/>
        <v>2.4861111109203193E-2</v>
      </c>
      <c r="N105" s="7">
        <f t="shared" si="47"/>
        <v>35.799999997252598</v>
      </c>
      <c r="O105" s="7"/>
      <c r="P105" s="7"/>
      <c r="Q105" s="22"/>
      <c r="R105" s="173"/>
      <c r="S105" s="176">
        <f t="shared" si="36"/>
        <v>1</v>
      </c>
      <c r="T105" s="202" t="str">
        <f t="shared" si="37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8"/>
        <v>https://d0f6bd738d7f1b3e5a7ca70fe4ff75f0.us-east-1.aws.found.io/app/kibana#/discover/Steve-Slow-Train-Analysis-(2080s-and-2083s)?_g=(refreshInterval:(display:Off,pause:!f,section:0,value:0),time:(from:'2017-06-04T14:07:57-0600',mode:absolute,to:'2017-06-04T16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204" t="str">
        <f t="shared" si="39"/>
        <v>N</v>
      </c>
      <c r="X105" s="204">
        <f t="shared" si="52"/>
        <v>1</v>
      </c>
      <c r="Y105" s="204">
        <f t="shared" si="40"/>
        <v>4.5699999999999998E-2</v>
      </c>
      <c r="Z105" s="204">
        <f t="shared" si="41"/>
        <v>23.331700000000001</v>
      </c>
      <c r="AA105" s="204">
        <f t="shared" si="42"/>
        <v>23.286000000000001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3"/>
        <v>0193-04</v>
      </c>
      <c r="AE105" s="80" t="str">
        <f t="shared" si="44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105" s="77" t="str">
        <f t="shared" si="45"/>
        <v>"C:\Program Files (x86)\AstroGrep\AstroGrep.exe" /e /r /s /spath="%USERPROFILE%\AppData\Local\Temp\OnboardLogs" /stypes="app*4042*20170604*" /stext=" 21:.+((SYSTEM_STATE.+slice.+state.+changed )|(ment ac)|(multiple cpu faults)|(system.+state.+changed )|(\[timeout)|(PRM\|1\|D)|(kpr)|(kdp)|(train st.+moving)|(\|lc)|(penalty))"</v>
      </c>
      <c r="AG105" s="1" t="str">
        <f t="shared" si="46"/>
        <v>EC</v>
      </c>
      <c r="AH105" s="81" t="str">
        <f t="shared" si="48"/>
        <v>"%USERPROFILE%\Documents\GitHub\eaglep3\Utilities\RefineRTDCRunTimes.py" --tripid 193-04 --locoid 4042 --swversion DE.1.0.9.0 --startMP 204:457 --initTime 2017-06-04T15:07:57 --startdatetime 2017-06-04T15:15:17 --delay 1 --endMP 204:233317 --enddatetime 2017-06-04T15:51:05 --enforcementcount 0 &gt;&gt;C:\Users\stu\Documents\GitHub\eaglep3-reporting\EC\2017-06-04-refined-times.txt</v>
      </c>
      <c r="AI105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{"issue":{"subject":"","project_id":79,"tracker_id":40,"status_id":1,"priority_id":2,"assigned_to_id":23,"start_date":"2017-06-04","description":"","custom_fields":[{"id":1,"name":"Subdivision","value":"EC"},{"id":4,"name":"Milepost","value":"23.3317"},{"id":17,"name":"Train ID","value":"193-04"},{"id":16,"name":"Locomotive ID","value":"4042"},{"id":130,"name":"Impact","value":""},{"id":150,"name":"Time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0"/>
        <v>start /low /b %USERPROFILE%\Documents\GitHub\eaglep3\Utilities\DownloadLogsFromS3.py --loco 4042 --day 2017-06-04</v>
      </c>
      <c r="AN105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797</v>
      </c>
      <c r="B106" s="7">
        <v>4041</v>
      </c>
      <c r="C106" s="21" t="s">
        <v>204</v>
      </c>
      <c r="D106" s="21" t="s">
        <v>602</v>
      </c>
      <c r="E106" s="13">
        <v>42890.66983796296</v>
      </c>
      <c r="F106" s="13">
        <v>42890.675185185188</v>
      </c>
      <c r="G106" s="7">
        <v>2</v>
      </c>
      <c r="H106" s="21" t="s">
        <v>486</v>
      </c>
      <c r="I106" s="13">
        <v>42890.701145833336</v>
      </c>
      <c r="J106" s="7">
        <v>0</v>
      </c>
      <c r="K106" s="92" t="str">
        <f t="shared" si="34"/>
        <v>4041/4042</v>
      </c>
      <c r="L106" s="21" t="str">
        <f>VLOOKUP(A106,'Trips&amp;Operators'!$C$1:$G$99999,5,FALSE)</f>
        <v>BRUDER RICHARD</v>
      </c>
      <c r="M106" s="6">
        <f t="shared" si="35"/>
        <v>2.5960648148611654E-2</v>
      </c>
      <c r="N106" s="7">
        <f t="shared" si="47"/>
        <v>37.383333334000781</v>
      </c>
      <c r="O106" s="7"/>
      <c r="P106" s="7"/>
      <c r="Q106" s="22"/>
      <c r="R106" s="173"/>
      <c r="S106" s="176">
        <f t="shared" si="36"/>
        <v>1</v>
      </c>
      <c r="T106" s="202" t="str">
        <f t="shared" si="37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8"/>
        <v>https://d0f6bd738d7f1b3e5a7ca70fe4ff75f0.us-east-1.aws.found.io/app/kibana#/discover/Steve-Slow-Train-Analysis-(2080s-and-2083s)?_g=(refreshInterval:(display:Off,pause:!f,section:0,value:0),time:(from:'2017-06-04T15:04:34-0600',mode:absolute,to:'2017-06-04T17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204" t="str">
        <f t="shared" si="39"/>
        <v>N</v>
      </c>
      <c r="X106" s="204">
        <f t="shared" si="52"/>
        <v>1</v>
      </c>
      <c r="Y106" s="204">
        <f t="shared" si="40"/>
        <v>23.299099999999999</v>
      </c>
      <c r="Z106" s="204">
        <f t="shared" si="41"/>
        <v>1.6299999999999999E-2</v>
      </c>
      <c r="AA106" s="204">
        <f t="shared" si="42"/>
        <v>23.282799999999998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3"/>
        <v>0194-04</v>
      </c>
      <c r="AE106" s="80" t="str">
        <f t="shared" si="44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106" s="77" t="str">
        <f t="shared" si="45"/>
        <v>"C:\Program Files (x86)\AstroGrep\AstroGrep.exe" /e /r /s /spath="%USERPROFILE%\AppData\Local\Temp\OnboardLogs" /stypes="app*4041*20170604*" /stext=" 22:.+((SYSTEM_STATE.+slice.+state.+changed )|(ment ac)|(multiple cpu faults)|(system.+state.+changed )|(\[timeout)|(PRM\|1\|D)|(kpr)|(kdp)|(train st.+moving)|(\|lc)|(penalty))"</v>
      </c>
      <c r="AG106" s="1" t="str">
        <f t="shared" si="46"/>
        <v>EC</v>
      </c>
      <c r="AH106" s="81" t="str">
        <f t="shared" si="48"/>
        <v>"%USERPROFILE%\Documents\GitHub\eaglep3\Utilities\RefineRTDCRunTimes.py" --tripid 194-04 --locoid 4041 --swversion DE.1.0.9.0 --startMP 204:232991 --initTime 2017-06-04T16:04:34 --startdatetime 2017-06-04T16:12:16 --delay 2 --endMP 204:163 --enddatetime 2017-06-04T16:49:39 --enforcementcount 0 &gt;&gt;C:\Users\stu\Documents\GitHub\eaglep3-reporting\EC\2017-06-04-refined-times.txt</v>
      </c>
      <c r="AI106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{"issue":{"subject":"","project_id":79,"tracker_id":40,"status_id":1,"priority_id":2,"assigned_to_id":23,"start_date":"2017-06-04","description":"","custom_fields":[{"id":1,"name":"Subdivision","value":"EC"},{"id":4,"name":"Milepost","value":"0.0163"},{"id":17,"name":"Train ID","value":"194-04"},{"id":16,"name":"Locomotive ID","value":"4041"},{"id":130,"name":"Impact","value":""},{"id":150,"name":"Time of Event (Mountain Time)","value":"16:49:39"},{"id":151,"name":"Denver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0"/>
        <v>start /low /b %USERPROFILE%\Documents\GitHub\eaglep3\Utilities\DownloadLogsFromS3.py --loco 4041 --day 2017-06-04</v>
      </c>
      <c r="AN106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791</v>
      </c>
      <c r="B107" s="7">
        <v>4012</v>
      </c>
      <c r="C107" s="21" t="s">
        <v>204</v>
      </c>
      <c r="D107" s="21" t="s">
        <v>200</v>
      </c>
      <c r="E107" s="13">
        <v>42890.642951388887</v>
      </c>
      <c r="F107" s="13">
        <v>42890.646099537036</v>
      </c>
      <c r="G107" s="7">
        <v>1</v>
      </c>
      <c r="H107" s="21" t="s">
        <v>935</v>
      </c>
      <c r="I107" s="13">
        <v>42890.671203703707</v>
      </c>
      <c r="J107" s="7">
        <v>0</v>
      </c>
      <c r="K107" s="92" t="str">
        <f t="shared" si="34"/>
        <v>4011/4012</v>
      </c>
      <c r="L107" s="21" t="str">
        <f>VLOOKUP(A107,'Trips&amp;Operators'!$C$1:$G$99999,5,FALSE)</f>
        <v>MOSES BRADLEY</v>
      </c>
      <c r="M107" s="6">
        <f t="shared" si="35"/>
        <v>2.510416667064419E-2</v>
      </c>
      <c r="N107" s="7">
        <f t="shared" si="47"/>
        <v>36.150000005727634</v>
      </c>
      <c r="O107" s="7"/>
      <c r="P107" s="7"/>
      <c r="Q107" s="22"/>
      <c r="R107" s="173"/>
      <c r="S107" s="176">
        <f t="shared" si="36"/>
        <v>1</v>
      </c>
      <c r="T107" s="202" t="str">
        <f t="shared" si="37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8"/>
        <v>https://d0f6bd738d7f1b3e5a7ca70fe4ff75f0.us-east-1.aws.found.io/app/kibana#/discover/Steve-Slow-Train-Analysis-(2080s-and-2083s)?_g=(refreshInterval:(display:Off,pause:!f,section:0,value:0),time:(from:'2017-06-04T14:25:51-0600',mode:absolute,to:'2017-06-04T17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204" t="str">
        <f t="shared" si="39"/>
        <v>N</v>
      </c>
      <c r="X107" s="204">
        <f t="shared" si="52"/>
        <v>1</v>
      </c>
      <c r="Y107" s="204">
        <f t="shared" si="40"/>
        <v>4.5699999999999998E-2</v>
      </c>
      <c r="Z107" s="204">
        <f t="shared" si="41"/>
        <v>23.332000000000001</v>
      </c>
      <c r="AA107" s="204">
        <f t="shared" si="42"/>
        <v>23.286300000000001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3"/>
        <v>0195-04</v>
      </c>
      <c r="AE107" s="80" t="str">
        <f t="shared" si="44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107" s="77" t="str">
        <f t="shared" si="45"/>
        <v>"C:\Program Files (x86)\AstroGrep\AstroGrep.exe" /e /r /s /spath="%USERPROFILE%\AppData\Local\Temp\OnboardLogs" /stypes="app*4012*20170604*" /stext=" 22:.+((SYSTEM_STATE.+slice.+state.+changed )|(ment ac)|(multiple cpu faults)|(system.+state.+changed )|(\[timeout)|(PRM\|1\|D)|(kpr)|(kdp)|(train st.+moving)|(\|lc)|(penalty))"</v>
      </c>
      <c r="AG107" s="1" t="str">
        <f t="shared" si="46"/>
        <v>EC</v>
      </c>
      <c r="AH107" s="81" t="str">
        <f t="shared" si="48"/>
        <v>"%USERPROFILE%\Documents\GitHub\eaglep3\Utilities\RefineRTDCRunTimes.py" --tripid 195-04 --locoid 4012 --swversion DE.1.0.9.0 --startMP 204:457 --initTime 2017-06-04T15:25:51 --startdatetime 2017-06-04T15:30:23 --delay 1 --endMP 204:233320 --enddatetime 2017-06-04T16:06:32 --enforcementcount 0 &gt;&gt;C:\Users\stu\Documents\GitHub\eaglep3-reporting\EC\2017-06-04-refined-times.txt</v>
      </c>
      <c r="AI107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{"issue":{"subject":"","project_id":79,"tracker_id":40,"status_id":1,"priority_id":2,"assigned_to_id":23,"start_date":"2017-06-04","description":"","custom_fields":[{"id":1,"name":"Subdivision","value":"EC"},{"id":4,"name":"Milepost","value":"23.332"},{"id":17,"name":"Train ID","value":"195-04"},{"id":16,"name":"Locomotive ID","value":"4012"},{"id":130,"name":"Impact","value":""},{"id":150,"name":"Time of Event (Mountain Time)","value":"16:06:32"},{"id":151,"name":"Denver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50"/>
        <v>start /low /b %USERPROFILE%\Documents\GitHub\eaglep3\Utilities\DownloadLogsFromS3.py --loco 4012 --day 2017-06-04</v>
      </c>
      <c r="AN107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800</v>
      </c>
      <c r="B108" s="7">
        <v>4011</v>
      </c>
      <c r="C108" s="21" t="s">
        <v>204</v>
      </c>
      <c r="D108" s="21" t="s">
        <v>467</v>
      </c>
      <c r="E108" s="13">
        <v>42890.681909722225</v>
      </c>
      <c r="F108" s="13">
        <v>42890.685648148145</v>
      </c>
      <c r="G108" s="7">
        <v>1</v>
      </c>
      <c r="H108" s="21" t="s">
        <v>433</v>
      </c>
      <c r="I108" s="13">
        <v>42890.711886574078</v>
      </c>
      <c r="J108" s="7">
        <v>0</v>
      </c>
      <c r="K108" s="92" t="str">
        <f t="shared" si="34"/>
        <v>4011/4012</v>
      </c>
      <c r="L108" s="21" t="str">
        <f>VLOOKUP(A108,'Trips&amp;Operators'!$C$1:$G$99999,5,FALSE)</f>
        <v>MOSES BRADLEY</v>
      </c>
      <c r="M108" s="6">
        <f t="shared" si="35"/>
        <v>2.623842593311565E-2</v>
      </c>
      <c r="N108" s="7">
        <f t="shared" si="47"/>
        <v>37.783333343686536</v>
      </c>
      <c r="O108" s="7"/>
      <c r="P108" s="7"/>
      <c r="Q108" s="22"/>
      <c r="R108" s="173"/>
      <c r="S108" s="176">
        <f t="shared" si="36"/>
        <v>1</v>
      </c>
      <c r="T108" s="202" t="str">
        <f t="shared" si="37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8"/>
        <v>https://d0f6bd738d7f1b3e5a7ca70fe4ff75f0.us-east-1.aws.found.io/app/kibana#/discover/Steve-Slow-Train-Analysis-(2080s-and-2083s)?_g=(refreshInterval:(display:Off,pause:!f,section:0,value:0),time:(from:'2017-06-04T15:21:57-0600',mode:absolute,to:'2017-06-04T18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204" t="str">
        <f t="shared" si="39"/>
        <v>N</v>
      </c>
      <c r="X108" s="204">
        <f t="shared" si="52"/>
        <v>1</v>
      </c>
      <c r="Y108" s="204">
        <f t="shared" si="40"/>
        <v>23.3</v>
      </c>
      <c r="Z108" s="204">
        <f t="shared" si="41"/>
        <v>1.61E-2</v>
      </c>
      <c r="AA108" s="204">
        <f t="shared" si="42"/>
        <v>23.283899999999999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3"/>
        <v>0196-04</v>
      </c>
      <c r="AE108" s="80" t="str">
        <f t="shared" si="44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108" s="77" t="str">
        <f t="shared" si="45"/>
        <v>"C:\Program Files (x86)\AstroGrep\AstroGrep.exe" /e /r /s /spath="%USERPROFILE%\AppData\Local\Temp\OnboardLogs" /stypes="app*4011*20170604*" /stext=" 23:.+((SYSTEM_STATE.+slice.+state.+changed )|(ment ac)|(multiple cpu faults)|(system.+state.+changed )|(\[timeout)|(PRM\|1\|D)|(kpr)|(kdp)|(train st.+moving)|(\|lc)|(penalty))"</v>
      </c>
      <c r="AG108" s="1" t="str">
        <f t="shared" si="46"/>
        <v>EC</v>
      </c>
      <c r="AH108" s="81" t="str">
        <f t="shared" si="48"/>
        <v>"%USERPROFILE%\Documents\GitHub\eaglep3\Utilities\RefineRTDCRunTimes.py" --tripid 196-04 --locoid 4011 --swversion DE.1.0.9.0 --startMP 204:233000 --initTime 2017-06-04T16:21:57 --startdatetime 2017-06-04T16:27:20 --delay 1 --endMP 204:161 --enddatetime 2017-06-04T17:05:07 --enforcementcount 0 &gt;&gt;C:\Users\stu\Documents\GitHub\eaglep3-reporting\EC\2017-06-04-refined-times.txt</v>
      </c>
      <c r="AI108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{"issue":{"subject":"","project_id":79,"tracker_id":40,"status_id":1,"priority_id":2,"assigned_to_id":23,"start_date":"2017-06-04","description":"","custom_fields":[{"id":1,"name":"Subdivision","value":"EC"},{"id":4,"name":"Milepost","value":"0.0161"},{"id":17,"name":"Train ID","value":"196-04"},{"id":16,"name":"Locomotive ID","value":"4011"},{"id":130,"name":"Impact","value":""},{"id":150,"name":"Time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50"/>
        <v>start /low /b %USERPROFILE%\Documents\GitHub\eaglep3\Utilities\DownloadLogsFromS3.py --loco 4011 --day 2017-06-04</v>
      </c>
      <c r="AN108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793</v>
      </c>
      <c r="B109" s="7">
        <v>4040</v>
      </c>
      <c r="C109" s="21" t="s">
        <v>204</v>
      </c>
      <c r="D109" s="21" t="s">
        <v>558</v>
      </c>
      <c r="E109" s="13">
        <v>42890.65115740741</v>
      </c>
      <c r="F109" s="13">
        <v>42890.6565162037</v>
      </c>
      <c r="G109" s="7">
        <v>1</v>
      </c>
      <c r="H109" s="21" t="s">
        <v>936</v>
      </c>
      <c r="I109" s="13">
        <v>42890.680937500001</v>
      </c>
      <c r="J109" s="7">
        <v>0</v>
      </c>
      <c r="K109" s="92" t="str">
        <f t="shared" si="34"/>
        <v>4039/4040</v>
      </c>
      <c r="L109" s="21" t="str">
        <f>VLOOKUP(A109,'Trips&amp;Operators'!$C$1:$G$99999,5,FALSE)</f>
        <v>ROMERO CHAD</v>
      </c>
      <c r="M109" s="6">
        <f t="shared" si="35"/>
        <v>2.4421296300715767E-2</v>
      </c>
      <c r="N109" s="7">
        <f t="shared" si="47"/>
        <v>35.166666673030704</v>
      </c>
      <c r="O109" s="7"/>
      <c r="P109" s="7"/>
      <c r="Q109" s="22"/>
      <c r="R109" s="173"/>
      <c r="S109" s="176">
        <f t="shared" si="36"/>
        <v>1</v>
      </c>
      <c r="T109" s="202" t="str">
        <f t="shared" si="37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8"/>
        <v>https://d0f6bd738d7f1b3e5a7ca70fe4ff75f0.us-east-1.aws.found.io/app/kibana#/discover/Steve-Slow-Train-Analysis-(2080s-and-2083s)?_g=(refreshInterval:(display:Off,pause:!f,section:0,value:0),time:(from:'2017-06-04T14:37:40-0600',mode:absolute,to:'2017-06-04T17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204" t="str">
        <f t="shared" si="39"/>
        <v>N</v>
      </c>
      <c r="X109" s="204">
        <f t="shared" si="52"/>
        <v>1</v>
      </c>
      <c r="Y109" s="204">
        <f t="shared" si="40"/>
        <v>4.3099999999999999E-2</v>
      </c>
      <c r="Z109" s="204">
        <f t="shared" si="41"/>
        <v>23.3383</v>
      </c>
      <c r="AA109" s="204">
        <f t="shared" si="42"/>
        <v>23.295200000000001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3"/>
        <v>0197-04</v>
      </c>
      <c r="AE109" s="80" t="str">
        <f t="shared" si="44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109" s="77" t="str">
        <f t="shared" si="45"/>
        <v>"C:\Program Files (x86)\AstroGrep\AstroGrep.exe" /e /r /s /spath="%USERPROFILE%\AppData\Local\Temp\OnboardLogs" /stypes="app*4040*20170604*" /stext=" 22:.+((SYSTEM_STATE.+slice.+state.+changed )|(ment ac)|(multiple cpu faults)|(system.+state.+changed )|(\[timeout)|(PRM\|1\|D)|(kpr)|(kdp)|(train st.+moving)|(\|lc)|(penalty))"</v>
      </c>
      <c r="AG109" s="1" t="str">
        <f t="shared" si="46"/>
        <v>EC</v>
      </c>
      <c r="AH109" s="81" t="str">
        <f t="shared" si="48"/>
        <v>"%USERPROFILE%\Documents\GitHub\eaglep3\Utilities\RefineRTDCRunTimes.py" --tripid 197-04 --locoid 4040 --swversion DE.1.0.9.0 --startMP 204:431 --initTime 2017-06-04T15:37:40 --startdatetime 2017-06-04T15:45:23 --delay 1 --endMP 204:233383 --enddatetime 2017-06-04T16:20:33 --enforcementcount 0 &gt;&gt;C:\Users\stu\Documents\GitHub\eaglep3-reporting\EC\2017-06-04-refined-times.txt</v>
      </c>
      <c r="AI109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{"issue":{"subject":"","project_id":79,"tracker_id":40,"status_id":1,"priority_id":2,"assigned_to_id":23,"start_date":"2017-06-04","description":"","custom_fields":[{"id":1,"name":"Subdivision","value":"EC"},{"id":4,"name":"Milepost","value":"23.3383"},{"id":17,"name":"Train ID","value":"197-04"},{"id":16,"name":"Locomotive ID","value":"4040"},{"id":130,"name":"Impact","value":""},{"id":150,"name":"Time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0"/>
        <v>start /low /b %USERPROFILE%\Documents\GitHub\eaglep3\Utilities\DownloadLogsFromS3.py --loco 4040 --day 2017-06-04</v>
      </c>
      <c r="AN109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2" t="s">
        <v>801</v>
      </c>
      <c r="B110" s="7">
        <v>4039</v>
      </c>
      <c r="C110" s="21" t="s">
        <v>204</v>
      </c>
      <c r="D110" s="21" t="s">
        <v>937</v>
      </c>
      <c r="E110" s="13">
        <v>42890.683935185189</v>
      </c>
      <c r="F110" s="13">
        <v>42890.72934027778</v>
      </c>
      <c r="G110" s="7">
        <v>1</v>
      </c>
      <c r="H110" s="21" t="s">
        <v>363</v>
      </c>
      <c r="I110" s="13">
        <v>42890.754976851851</v>
      </c>
      <c r="J110" s="7">
        <v>0</v>
      </c>
      <c r="K110" s="92" t="str">
        <f t="shared" si="34"/>
        <v>4039/4040</v>
      </c>
      <c r="L110" s="21" t="str">
        <f>VLOOKUP(A110,'Trips&amp;Operators'!$C$1:$G$99999,5,FALSE)</f>
        <v>ROMERO CHAD</v>
      </c>
      <c r="M110" s="6">
        <f t="shared" si="35"/>
        <v>2.5636574071540963E-2</v>
      </c>
      <c r="N110" s="7">
        <f t="shared" si="47"/>
        <v>36.916666663018987</v>
      </c>
      <c r="O110" s="7"/>
      <c r="P110" s="7"/>
      <c r="Q110" s="22"/>
      <c r="R110" s="173"/>
      <c r="S110" s="176">
        <f t="shared" si="36"/>
        <v>1</v>
      </c>
      <c r="T110" s="202" t="str">
        <f t="shared" si="37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8"/>
        <v>https://d0f6bd738d7f1b3e5a7ca70fe4ff75f0.us-east-1.aws.found.io/app/kibana#/discover/Steve-Slow-Train-Analysis-(2080s-and-2083s)?_g=(refreshInterval:(display:Off,pause:!f,section:0,value:0),time:(from:'2017-06-04T15:24:52-0600',mode:absolute,to:'2017-06-04T19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204" t="str">
        <f t="shared" si="39"/>
        <v>N</v>
      </c>
      <c r="X110" s="204">
        <f t="shared" si="52"/>
        <v>1</v>
      </c>
      <c r="Y110" s="204">
        <f t="shared" si="40"/>
        <v>23.31</v>
      </c>
      <c r="Z110" s="204">
        <f t="shared" si="41"/>
        <v>1.41E-2</v>
      </c>
      <c r="AA110" s="204">
        <f t="shared" si="42"/>
        <v>23.2959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3"/>
        <v>0198-04</v>
      </c>
      <c r="AE110" s="80" t="str">
        <f t="shared" si="44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110" s="77" t="str">
        <f t="shared" si="45"/>
        <v>"C:\Program Files (x86)\AstroGrep\AstroGrep.exe" /e /r /s /spath="%USERPROFILE%\AppData\Local\Temp\OnboardLogs" /stypes="app*4039*20170605*" /stext=" 00:.+((SYSTEM_STATE.+slice.+state.+changed )|(ment ac)|(multiple cpu faults)|(system.+state.+changed )|(\[timeout)|(PRM\|1\|D)|(kpr)|(kdp)|(train st.+moving)|(\|lc)|(penalty))"</v>
      </c>
      <c r="AG110" s="1" t="str">
        <f t="shared" si="46"/>
        <v>EC</v>
      </c>
      <c r="AH110" s="81" t="str">
        <f t="shared" si="48"/>
        <v>"%USERPROFILE%\Documents\GitHub\eaglep3\Utilities\RefineRTDCRunTimes.py" --tripid 198-04 --locoid 4039 --swversion DE.1.0.9.0 --startMP 204:233100 --initTime 2017-06-04T16:24:52 --startdatetime 2017-06-04T17:30:15 --delay 1 --endMP 204:141 --enddatetime 2017-06-04T18:07:10 --enforcementcount 0 &gt;&gt;C:\Users\stu\Documents\GitHub\eaglep3-reporting\EC\2017-06-04-refined-times.txt</v>
      </c>
      <c r="AI110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{"issue":{"subject":"","project_id":79,"tracker_id":40,"status_id":1,"priority_id":2,"assigned_to_id":23,"start_date":"2017-06-04","description":"","custom_fields":[{"id":1,"name":"Subdivision","value":"EC"},{"id":4,"name":"Milepost","value":"0.0141"},{"id":17,"name":"Train ID","value":"198-04"},{"id":16,"name":"Locomotive ID","value":"4039"},{"id":130,"name":"Impact","value":""},{"id":150,"name":"Time of Event (Mountain Time)","value":"18:07:10"},{"id":151,"name":"Denver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20"/>
      <c r="AK110" s="47"/>
      <c r="AL110" s="47"/>
      <c r="AM110" s="145" t="str">
        <f t="shared" si="50"/>
        <v>start /low /b %USERPROFILE%\Documents\GitHub\eaglep3\Utilities\DownloadLogsFromS3.py --loco 4039 --day 2017-06-04</v>
      </c>
      <c r="AN110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1" spans="1:91" s="20" customFormat="1" x14ac:dyDescent="0.25">
      <c r="A111" s="32" t="s">
        <v>796</v>
      </c>
      <c r="B111" s="7">
        <v>4060</v>
      </c>
      <c r="C111" s="21" t="s">
        <v>204</v>
      </c>
      <c r="D111" s="21" t="s">
        <v>349</v>
      </c>
      <c r="E111" s="13">
        <v>42890.665682870371</v>
      </c>
      <c r="F111" s="13">
        <v>42890.666817129626</v>
      </c>
      <c r="G111" s="7">
        <v>1</v>
      </c>
      <c r="H111" s="21" t="s">
        <v>880</v>
      </c>
      <c r="I111" s="13">
        <v>42890.692511574074</v>
      </c>
      <c r="J111" s="7">
        <v>0</v>
      </c>
      <c r="K111" s="92" t="str">
        <f t="shared" si="34"/>
        <v>4059/4060</v>
      </c>
      <c r="L111" s="21" t="str">
        <f>VLOOKUP(A111,'Trips&amp;Operators'!$C$1:$G$99999,5,FALSE)</f>
        <v>BROWN JACOB</v>
      </c>
      <c r="M111" s="6">
        <f t="shared" si="35"/>
        <v>2.5694444448163267E-2</v>
      </c>
      <c r="N111" s="7">
        <f t="shared" si="47"/>
        <v>37.000000005355105</v>
      </c>
      <c r="O111" s="7"/>
      <c r="P111" s="7"/>
      <c r="Q111" s="22"/>
      <c r="R111" s="173"/>
      <c r="S111" s="176">
        <f t="shared" si="36"/>
        <v>1</v>
      </c>
      <c r="T111" s="202" t="str">
        <f t="shared" si="37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8"/>
        <v>https://d0f6bd738d7f1b3e5a7ca70fe4ff75f0.us-east-1.aws.found.io/app/kibana#/discover/Steve-Slow-Train-Analysis-(2080s-and-2083s)?_g=(refreshInterval:(display:Off,pause:!f,section:0,value:0),time:(from:'2017-06-04T14:58:35-0600',mode:absolute,to:'2017-06-04T17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1" s="204" t="str">
        <f t="shared" si="39"/>
        <v>N</v>
      </c>
      <c r="X111" s="204">
        <f t="shared" si="52"/>
        <v>1</v>
      </c>
      <c r="Y111" s="204">
        <f t="shared" si="40"/>
        <v>4.4600000000000001E-2</v>
      </c>
      <c r="Z111" s="204">
        <f t="shared" si="41"/>
        <v>23.334499999999998</v>
      </c>
      <c r="AA111" s="204">
        <f t="shared" si="42"/>
        <v>23.289899999999999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3"/>
        <v>0199-04</v>
      </c>
      <c r="AE111" s="80" t="str">
        <f t="shared" si="44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111" s="77" t="str">
        <f t="shared" si="45"/>
        <v>"C:\Program Files (x86)\AstroGrep\AstroGrep.exe" /e /r /s /spath="%USERPROFILE%\AppData\Local\Temp\OnboardLogs" /stypes="app*4060*20170604*" /stext=" 22:.+((SYSTEM_STATE.+slice.+state.+changed )|(ment ac)|(multiple cpu faults)|(system.+state.+changed )|(\[timeout)|(PRM\|1\|D)|(kpr)|(kdp)|(train st.+moving)|(\|lc)|(penalty))"</v>
      </c>
      <c r="AG111" s="1" t="str">
        <f t="shared" si="46"/>
        <v>EC</v>
      </c>
      <c r="AH111" s="81" t="str">
        <f t="shared" si="48"/>
        <v>"%USERPROFILE%\Documents\GitHub\eaglep3\Utilities\RefineRTDCRunTimes.py" --tripid 199-04 --locoid 4060 --swversion DE.1.0.9.0 --startMP 204:446 --initTime 2017-06-04T15:58:35 --startdatetime 2017-06-04T16:00:13 --delay 1 --endMP 204:233345 --enddatetime 2017-06-04T16:37:13 --enforcementcount 0 &gt;&gt;C:\Users\stu\Documents\GitHub\eaglep3-reporting\EC\2017-06-04-refined-times.txt</v>
      </c>
      <c r="AI11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{"issue":{"subject":"","project_id":79,"tracker_id":40,"status_id":1,"priority_id":2,"assigned_to_id":23,"start_date":"2017-06-04","description":"","custom_fields":[{"id":1,"name":"Subdivision","value":"EC"},{"id":4,"name":"Milepost","value":"23.3345"},{"id":17,"name":"Train ID","value":"199-04"},{"id":16,"name":"Locomotive ID","value":"4060"},{"id":130,"name":"Impact","value":""},{"id":150,"name":"Time of Event (Mountain Time)","value":"16:37:13"},{"id":151,"name":"Denver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0"/>
        <v>start /low /b %USERPROFILE%\Documents\GitHub\eaglep3\Utilities\DownloadLogsFromS3.py --loco 4060 --day 2017-06-04</v>
      </c>
      <c r="AN111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803</v>
      </c>
      <c r="B112" s="7">
        <v>4059</v>
      </c>
      <c r="C112" s="21" t="s">
        <v>204</v>
      </c>
      <c r="D112" s="21" t="s">
        <v>512</v>
      </c>
      <c r="E112" s="13">
        <v>42890.700289351851</v>
      </c>
      <c r="F112" s="13">
        <v>42890.706446759257</v>
      </c>
      <c r="G112" s="7">
        <v>1</v>
      </c>
      <c r="H112" s="21" t="s">
        <v>352</v>
      </c>
      <c r="I112" s="13">
        <v>42890.733206018522</v>
      </c>
      <c r="J112" s="7">
        <v>0</v>
      </c>
      <c r="K112" s="92" t="str">
        <f t="shared" si="34"/>
        <v>4059/4060</v>
      </c>
      <c r="L112" s="21" t="str">
        <f>VLOOKUP(A112,'Trips&amp;Operators'!$C$1:$G$99999,5,FALSE)</f>
        <v>BROWN JACOB</v>
      </c>
      <c r="M112" s="6">
        <f t="shared" si="35"/>
        <v>2.6759259264508728E-2</v>
      </c>
      <c r="N112" s="7">
        <f t="shared" ref="N112:N143" si="53">24*60*SUM($M112:$M112)</f>
        <v>38.533333340892568</v>
      </c>
      <c r="O112" s="7"/>
      <c r="P112" s="7"/>
      <c r="Q112" s="22"/>
      <c r="R112" s="173"/>
      <c r="S112" s="176">
        <f t="shared" si="36"/>
        <v>1</v>
      </c>
      <c r="T112" s="202" t="str">
        <f t="shared" si="37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8"/>
        <v>https://d0f6bd738d7f1b3e5a7ca70fe4ff75f0.us-east-1.aws.found.io/app/kibana#/discover/Steve-Slow-Train-Analysis-(2080s-and-2083s)?_g=(refreshInterval:(display:Off,pause:!f,section:0,value:0),time:(from:'2017-06-04T15:48:25-0600',mode:absolute,to:'2017-06-04T18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2" s="204" t="str">
        <f t="shared" si="39"/>
        <v>N</v>
      </c>
      <c r="X112" s="204">
        <f t="shared" si="52"/>
        <v>1</v>
      </c>
      <c r="Y112" s="204">
        <f t="shared" si="40"/>
        <v>23.298999999999999</v>
      </c>
      <c r="Z112" s="204">
        <f t="shared" si="41"/>
        <v>1.4999999999999999E-2</v>
      </c>
      <c r="AA112" s="204">
        <f t="shared" si="42"/>
        <v>23.283999999999999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3"/>
        <v>0200-04</v>
      </c>
      <c r="AE112" s="80" t="str">
        <f t="shared" si="44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112" s="77" t="str">
        <f t="shared" si="45"/>
        <v>"C:\Program Files (x86)\AstroGrep\AstroGrep.exe" /e /r /s /spath="%USERPROFILE%\AppData\Local\Temp\OnboardLogs" /stypes="app*4059*20170604*" /stext=" 23:.+((SYSTEM_STATE.+slice.+state.+changed )|(ment ac)|(multiple cpu faults)|(system.+state.+changed )|(\[timeout)|(PRM\|1\|D)|(kpr)|(kdp)|(train st.+moving)|(\|lc)|(penalty))"</v>
      </c>
      <c r="AG112" s="1" t="str">
        <f t="shared" si="46"/>
        <v>EC</v>
      </c>
      <c r="AH112" s="81" t="str">
        <f t="shared" si="48"/>
        <v>"%USERPROFILE%\Documents\GitHub\eaglep3\Utilities\RefineRTDCRunTimes.py" --tripid 200-04 --locoid 4059 --swversion DE.1.0.9.0 --startMP 204:232990 --initTime 2017-06-04T16:48:25 --startdatetime 2017-06-04T16:57:17 --delay 1 --endMP 204:150 --enddatetime 2017-06-04T17:35:49 --enforcementcount 0 &gt;&gt;C:\Users\stu\Documents\GitHub\eaglep3-reporting\EC\2017-06-04-refined-times.txt</v>
      </c>
      <c r="AI11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ID","value":"200-04"},{"id":16,"name":"Locomotive ID","value":"4059"},{"id":130,"name":"Impact","value":""},{"id":150,"name":"Time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0"/>
        <v>start /low /b %USERPROFILE%\Documents\GitHub\eaglep3\Utilities\DownloadLogsFromS3.py --loco 4059 --day 2017-06-04</v>
      </c>
      <c r="AN112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798</v>
      </c>
      <c r="B113" s="7">
        <v>4056</v>
      </c>
      <c r="C113" s="21" t="s">
        <v>204</v>
      </c>
      <c r="D113" s="21" t="s">
        <v>359</v>
      </c>
      <c r="E113" s="13">
        <v>42890.671620370369</v>
      </c>
      <c r="F113" s="13">
        <v>42890.677245370367</v>
      </c>
      <c r="G113" s="7">
        <v>1</v>
      </c>
      <c r="H113" s="21" t="s">
        <v>938</v>
      </c>
      <c r="I113" s="13">
        <v>42890.701898148145</v>
      </c>
      <c r="J113" s="7">
        <v>0</v>
      </c>
      <c r="K113" s="92" t="str">
        <f t="shared" si="34"/>
        <v>4055/4056</v>
      </c>
      <c r="L113" s="21" t="str">
        <f>VLOOKUP(A113,'Trips&amp;Operators'!$C$1:$G$99999,5,FALSE)</f>
        <v>MCREYNOLDS KYLE</v>
      </c>
      <c r="M113" s="6">
        <f t="shared" si="35"/>
        <v>2.4652777778101154E-2</v>
      </c>
      <c r="N113" s="7">
        <f t="shared" si="53"/>
        <v>35.500000000465661</v>
      </c>
      <c r="O113" s="7"/>
      <c r="P113" s="7"/>
      <c r="Q113" s="22"/>
      <c r="R113" s="173"/>
      <c r="S113" s="176">
        <f t="shared" si="36"/>
        <v>1</v>
      </c>
      <c r="T113" s="202" t="str">
        <f t="shared" si="37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8"/>
        <v>https://d0f6bd738d7f1b3e5a7ca70fe4ff75f0.us-east-1.aws.found.io/app/kibana#/discover/Steve-Slow-Train-Analysis-(2080s-and-2083s)?_g=(refreshInterval:(display:Off,pause:!f,section:0,value:0),time:(from:'2017-06-04T15:07:08-0600',mode:absolute,to:'2017-06-04T17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204" t="str">
        <f t="shared" si="39"/>
        <v>N</v>
      </c>
      <c r="X113" s="204">
        <f t="shared" si="52"/>
        <v>1</v>
      </c>
      <c r="Y113" s="204">
        <f t="shared" si="40"/>
        <v>4.53E-2</v>
      </c>
      <c r="Z113" s="204">
        <f t="shared" si="41"/>
        <v>23.337800000000001</v>
      </c>
      <c r="AA113" s="204">
        <f t="shared" si="42"/>
        <v>23.2925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3"/>
        <v>0201-04</v>
      </c>
      <c r="AE113" s="80" t="str">
        <f t="shared" si="44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113" s="77" t="str">
        <f t="shared" si="45"/>
        <v>"C:\Program Files (x86)\AstroGrep\AstroGrep.exe" /e /r /s /spath="%USERPROFILE%\AppData\Local\Temp\OnboardLogs" /stypes="app*4056*20170604*" /stext=" 22:.+((SYSTEM_STATE.+slice.+state.+changed )|(ment ac)|(multiple cpu faults)|(system.+state.+changed )|(\[timeout)|(PRM\|1\|D)|(kpr)|(kdp)|(train st.+moving)|(\|lc)|(penalty))"</v>
      </c>
      <c r="AG113" s="1" t="str">
        <f t="shared" si="46"/>
        <v>EC</v>
      </c>
      <c r="AH113" s="81" t="str">
        <f t="shared" si="48"/>
        <v>"%USERPROFILE%\Documents\GitHub\eaglep3\Utilities\RefineRTDCRunTimes.py" --tripid 201-04 --locoid 4056 --swversion DE.1.0.9.0 --startMP 204:453 --initTime 2017-06-04T16:07:08 --startdatetime 2017-06-04T16:15:14 --delay 1 --endMP 204:233378 --enddatetime 2017-06-04T16:50:44 --enforcementcount 0 &gt;&gt;C:\Users\stu\Documents\GitHub\eaglep3-reporting\EC\2017-06-04-refined-times.txt</v>
      </c>
      <c r="AI11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{"issue":{"subject":"","project_id":79,"tracker_id":40,"status_id":1,"priority_id":2,"assigned_to_id":23,"start_date":"2017-06-04","description":"","custom_fields":[{"id":1,"name":"Subdivision","value":"EC"},{"id":4,"name":"Milepost","value":"23.3378"},{"id":17,"name":"Train ID","value":"201-04"},{"id":16,"name":"Locomotive ID","value":"4056"},{"id":130,"name":"Impact","value":""},{"id":150,"name":"Time of Event (Mountain Time)","value":"16:50:44"},{"id":151,"name":"Denver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0"/>
        <v>start /low /b %USERPROFILE%\Documents\GitHub\eaglep3\Utilities\DownloadLogsFromS3.py --loco 4056 --day 2017-06-04</v>
      </c>
      <c r="AN113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668</v>
      </c>
      <c r="B114" s="7">
        <v>4055</v>
      </c>
      <c r="C114" s="21" t="s">
        <v>204</v>
      </c>
      <c r="D114" s="21" t="s">
        <v>939</v>
      </c>
      <c r="E114" s="13">
        <v>42890.702986111108</v>
      </c>
      <c r="F114" s="13">
        <v>42890.716979166667</v>
      </c>
      <c r="G114" s="7">
        <v>1</v>
      </c>
      <c r="H114" s="21" t="s">
        <v>352</v>
      </c>
      <c r="I114" s="13">
        <v>42890.743483796294</v>
      </c>
      <c r="J114" s="7">
        <v>0</v>
      </c>
      <c r="K114" s="92" t="str">
        <f t="shared" si="34"/>
        <v>4055/4056</v>
      </c>
      <c r="L114" s="21" t="str">
        <f>VLOOKUP(A114,'Trips&amp;Operators'!$C$1:$G$99999,5,FALSE)</f>
        <v>MCREYNOLDS KYLE</v>
      </c>
      <c r="M114" s="6">
        <f t="shared" si="35"/>
        <v>2.6504629626288079E-2</v>
      </c>
      <c r="N114" s="7">
        <f t="shared" si="53"/>
        <v>38.166666661854833</v>
      </c>
      <c r="O114" s="7"/>
      <c r="P114" s="7"/>
      <c r="Q114" s="22"/>
      <c r="R114" s="173"/>
      <c r="S114" s="176">
        <f t="shared" si="36"/>
        <v>1</v>
      </c>
      <c r="T114" s="202" t="str">
        <f t="shared" si="37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8"/>
        <v>https://d0f6bd738d7f1b3e5a7ca70fe4ff75f0.us-east-1.aws.found.io/app/kibana#/discover/Steve-Slow-Train-Analysis-(2080s-and-2083s)?_g=(refreshInterval:(display:Off,pause:!f,section:0,value:0),time:(from:'2017-06-04T15:52:18-0600',mode:absolute,to:'2017-06-04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204" t="str">
        <f t="shared" si="39"/>
        <v>N</v>
      </c>
      <c r="X114" s="204">
        <f t="shared" ref="X114:X145" si="54">VALUE(LEFT(AD114,4))-VALUE(LEFT(AD113,4))</f>
        <v>1</v>
      </c>
      <c r="Y114" s="204">
        <f t="shared" si="40"/>
        <v>23.306999999999999</v>
      </c>
      <c r="Z114" s="204">
        <f t="shared" si="41"/>
        <v>1.4999999999999999E-2</v>
      </c>
      <c r="AA114" s="204">
        <f t="shared" si="42"/>
        <v>23.291999999999998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3"/>
        <v>0202-04</v>
      </c>
      <c r="AE114" s="80" t="str">
        <f t="shared" si="44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114" s="77" t="str">
        <f t="shared" si="45"/>
        <v>"C:\Program Files (x86)\AstroGrep\AstroGrep.exe" /e /r /s /spath="%USERPROFILE%\AppData\Local\Temp\OnboardLogs" /stypes="app*4055*20170604*" /stext=" 23:.+((SYSTEM_STATE.+slice.+state.+changed )|(ment ac)|(multiple cpu faults)|(system.+state.+changed )|(\[timeout)|(PRM\|1\|D)|(kpr)|(kdp)|(train st.+moving)|(\|lc)|(penalty))"</v>
      </c>
      <c r="AG114" s="1" t="str">
        <f t="shared" si="46"/>
        <v>EC</v>
      </c>
      <c r="AH114" s="81" t="str">
        <f t="shared" si="48"/>
        <v>"%USERPROFILE%\Documents\GitHub\eaglep3\Utilities\RefineRTDCRunTimes.py" --tripid 202-04 --locoid 4055 --swversion DE.1.0.9.0 --startMP 204:233070 --initTime 2017-06-04T16:52:18 --startdatetime 2017-06-04T17:12:27 --delay 1 --endMP 204:150 --enddatetime 2017-06-04T17:50:37 --enforcementcount 0 &gt;&gt;C:\Users\stu\Documents\GitHub\eaglep3-reporting\EC\2017-06-04-refined-times.txt</v>
      </c>
      <c r="AI114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ID","value":"202-04"},{"id":16,"name":"Locomotive ID","value":"4055"},{"id":130,"name":"Impact","value":""},{"id":150,"name":"Time of Event (Mountain Time)","value":"17:50:37"},{"id":151,"name":"Denver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0"/>
        <v>start /low /b %USERPROFILE%\Documents\GitHub\eaglep3\Utilities\DownloadLogsFromS3.py --loco 4055 --day 2017-06-04</v>
      </c>
      <c r="AN114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802</v>
      </c>
      <c r="B115" s="7">
        <v>4026</v>
      </c>
      <c r="C115" s="21" t="s">
        <v>204</v>
      </c>
      <c r="D115" s="21" t="s">
        <v>345</v>
      </c>
      <c r="E115" s="13">
        <v>42890.684016203704</v>
      </c>
      <c r="F115" s="13">
        <v>42890.687800925924</v>
      </c>
      <c r="G115" s="7">
        <v>2</v>
      </c>
      <c r="H115" s="21" t="s">
        <v>933</v>
      </c>
      <c r="I115" s="13">
        <v>42890.713726851849</v>
      </c>
      <c r="J115" s="7">
        <v>0</v>
      </c>
      <c r="K115" s="92" t="str">
        <f t="shared" si="34"/>
        <v>4025/4026</v>
      </c>
      <c r="L115" s="21" t="str">
        <f>VLOOKUP(A115,'Trips&amp;Operators'!$C$1:$G$99999,5,FALSE)</f>
        <v>DAVIS MICHAEL</v>
      </c>
      <c r="M115" s="6">
        <f t="shared" si="35"/>
        <v>2.5925925925548654E-2</v>
      </c>
      <c r="N115" s="7">
        <f t="shared" si="53"/>
        <v>37.333333332790062</v>
      </c>
      <c r="O115" s="7"/>
      <c r="P115" s="7"/>
      <c r="Q115" s="22"/>
      <c r="R115" s="173"/>
      <c r="S115" s="176">
        <f t="shared" si="36"/>
        <v>1</v>
      </c>
      <c r="T115" s="202" t="str">
        <f t="shared" si="37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8"/>
        <v>https://d0f6bd738d7f1b3e5a7ca70fe4ff75f0.us-east-1.aws.found.io/app/kibana#/discover/Steve-Slow-Train-Analysis-(2080s-and-2083s)?_g=(refreshInterval:(display:Off,pause:!f,section:0,value:0),time:(from:'2017-06-04T15:24:59-0600',mode:absolute,to:'2017-06-04T18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04" t="str">
        <f t="shared" si="39"/>
        <v>N</v>
      </c>
      <c r="X115" s="204">
        <f t="shared" si="54"/>
        <v>1</v>
      </c>
      <c r="Y115" s="204">
        <f t="shared" si="40"/>
        <v>4.4900000000000002E-2</v>
      </c>
      <c r="Z115" s="204">
        <f t="shared" si="41"/>
        <v>23.339099999999998</v>
      </c>
      <c r="AA115" s="204">
        <f t="shared" si="42"/>
        <v>23.2942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3"/>
        <v>0203-04</v>
      </c>
      <c r="AE115" s="80" t="str">
        <f t="shared" si="44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115" s="77" t="str">
        <f t="shared" si="45"/>
        <v>"C:\Program Files (x86)\AstroGrep\AstroGrep.exe" /e /r /s /spath="%USERPROFILE%\AppData\Local\Temp\OnboardLogs" /stypes="app*4026*20170604*" /stext=" 23:.+((SYSTEM_STATE.+slice.+state.+changed )|(ment ac)|(multiple cpu faults)|(system.+state.+changed )|(\[timeout)|(PRM\|1\|D)|(kpr)|(kdp)|(train st.+moving)|(\|lc)|(penalty))"</v>
      </c>
      <c r="AG115" s="1" t="str">
        <f t="shared" si="46"/>
        <v>EC</v>
      </c>
      <c r="AH115" s="81" t="str">
        <f t="shared" si="48"/>
        <v>"%USERPROFILE%\Documents\GitHub\eaglep3\Utilities\RefineRTDCRunTimes.py" --tripid 203-04 --locoid 4026 --swversion DE.1.0.9.0 --startMP 204:449 --initTime 2017-06-04T16:24:59 --startdatetime 2017-06-04T16:30:26 --delay 2 --endMP 204:233391 --enddatetime 2017-06-04T17:07:46 --enforcementcount 0 &gt;&gt;C:\Users\stu\Documents\GitHub\eaglep3-reporting\EC\2017-06-04-refined-times.txt</v>
      </c>
      <c r="AI115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{"issue":{"subject":"","project_id":79,"tracker_id":40,"status_id":1,"priority_id":2,"assigned_to_id":23,"start_date":"2017-06-04","description":"","custom_fields":[{"id":1,"name":"Subdivision","value":"EC"},{"id":4,"name":"Milepost","value":"23.3391"},{"id":17,"name":"Train ID","value":"203-04"},{"id":16,"name":"Locomotive ID","value":"4026"},{"id":130,"name":"Impact","value":""},{"id":150,"name":"Time of Event (Mountain Time)","value":"17:07:46"},{"id":151,"name":"Denver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0"/>
        <v>start /low /b %USERPROFILE%\Documents\GitHub\eaglep3\Utilities\DownloadLogsFromS3.py --loco 4026 --day 2017-06-04</v>
      </c>
      <c r="AN115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671</v>
      </c>
      <c r="B116" s="7">
        <v>4025</v>
      </c>
      <c r="C116" s="21" t="s">
        <v>204</v>
      </c>
      <c r="D116" s="21" t="s">
        <v>940</v>
      </c>
      <c r="E116" s="13">
        <v>42890.724942129629</v>
      </c>
      <c r="F116" s="13">
        <v>42890.727847222224</v>
      </c>
      <c r="G116" s="7">
        <v>1</v>
      </c>
      <c r="H116" s="21" t="s">
        <v>364</v>
      </c>
      <c r="I116" s="13">
        <v>42890.755231481482</v>
      </c>
      <c r="J116" s="7">
        <v>0</v>
      </c>
      <c r="K116" s="92" t="str">
        <f t="shared" si="34"/>
        <v>4025/4026</v>
      </c>
      <c r="L116" s="21" t="str">
        <f>VLOOKUP(A116,'Trips&amp;Operators'!$C$1:$G$99999,5,FALSE)</f>
        <v>DAVIS MICHAEL</v>
      </c>
      <c r="M116" s="6">
        <f t="shared" si="35"/>
        <v>2.7384259257814847E-2</v>
      </c>
      <c r="N116" s="7">
        <f t="shared" si="53"/>
        <v>39.43333333125338</v>
      </c>
      <c r="O116" s="7"/>
      <c r="P116" s="7"/>
      <c r="Q116" s="22"/>
      <c r="R116" s="173"/>
      <c r="S116" s="176">
        <f t="shared" si="36"/>
        <v>1</v>
      </c>
      <c r="T116" s="202" t="str">
        <f t="shared" si="37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8"/>
        <v>https://d0f6bd738d7f1b3e5a7ca70fe4ff75f0.us-east-1.aws.found.io/app/kibana#/discover/Steve-Slow-Train-Analysis-(2080s-and-2083s)?_g=(refreshInterval:(display:Off,pause:!f,section:0,value:0),time:(from:'2017-06-04T16:23:55-0600',mode:absolute,to:'2017-06-04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04" t="str">
        <f t="shared" si="39"/>
        <v>N</v>
      </c>
      <c r="X116" s="204">
        <f t="shared" si="54"/>
        <v>1</v>
      </c>
      <c r="Y116" s="204">
        <f t="shared" si="40"/>
        <v>23.305499999999999</v>
      </c>
      <c r="Z116" s="204">
        <f t="shared" si="41"/>
        <v>1.47E-2</v>
      </c>
      <c r="AA116" s="204">
        <f t="shared" si="42"/>
        <v>23.290799999999997</v>
      </c>
      <c r="AB116" s="57" t="str">
        <f>VLOOKUP(A116,Enforcements!$C$7:$K$13,8,0)</f>
        <v>Bulletin (2)</v>
      </c>
      <c r="AC116" s="53" t="str">
        <f>VLOOKUP(A116,Enforcements!$C$7:$E$13,3,0)</f>
        <v>GRADE CROSSING</v>
      </c>
      <c r="AD116" s="54" t="str">
        <f t="shared" si="43"/>
        <v>0204-04</v>
      </c>
      <c r="AE116" s="80" t="str">
        <f t="shared" si="44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116" s="77" t="str">
        <f t="shared" si="45"/>
        <v>"C:\Program Files (x86)\AstroGrep\AstroGrep.exe" /e /r /s /spath="%USERPROFILE%\AppData\Local\Temp\OnboardLogs" /stypes="app*4025*20170605*" /stext=" 00:.+((SYSTEM_STATE.+slice.+state.+changed )|(ment ac)|(multiple cpu faults)|(system.+state.+changed )|(\[timeout)|(PRM\|1\|D)|(kpr)|(kdp)|(train st.+moving)|(\|lc)|(penalty))"</v>
      </c>
      <c r="AG116" s="1" t="str">
        <f t="shared" si="46"/>
        <v>EC</v>
      </c>
      <c r="AH116" s="81" t="str">
        <f t="shared" si="48"/>
        <v>"%USERPROFILE%\Documents\GitHub\eaglep3\Utilities\RefineRTDCRunTimes.py" --tripid 204-04 --locoid 4025 --swversion DE.1.0.9.0 --startMP 204:233055 --initTime 2017-06-04T17:23:55 --startdatetime 2017-06-04T17:28:06 --delay 1 --endMP 204:147 --enddatetime 2017-06-04T18:07:32 --enforcementcount 0 &gt;&gt;C:\Users\stu\Documents\GitHub\eaglep3-reporting\EC\2017-06-04-refined-times.txt</v>
      </c>
      <c r="AI116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{"issue":{"subject":"","project_id":79,"tracker_id":40,"status_id":1,"priority_id":2,"assigned_to_id":23,"start_date":"2017-06-04","description":"","custom_fields":[{"id":1,"name":"Subdivision","value":"EC"},{"id":4,"name":"Milepost","value":"0.0147"},{"id":17,"name":"Train ID","value":"204-04"},{"id":16,"name":"Locomotive ID","value":"4025"},{"id":130,"name":"Impact","value":""},{"id":150,"name":"Time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0"/>
        <v>start /low /b %USERPROFILE%\Documents\GitHub\eaglep3\Utilities\DownloadLogsFromS3.py --loco 4025 --day 2017-06-04</v>
      </c>
      <c r="AN116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666</v>
      </c>
      <c r="B117" s="7">
        <v>4004</v>
      </c>
      <c r="C117" s="21" t="s">
        <v>204</v>
      </c>
      <c r="D117" s="21" t="s">
        <v>635</v>
      </c>
      <c r="E117" s="13">
        <v>42890.694490740738</v>
      </c>
      <c r="F117" s="13">
        <v>42890.698252314818</v>
      </c>
      <c r="G117" s="7">
        <v>1</v>
      </c>
      <c r="H117" s="21" t="s">
        <v>562</v>
      </c>
      <c r="I117" s="13">
        <v>42890.724687499998</v>
      </c>
      <c r="J117" s="7">
        <v>0</v>
      </c>
      <c r="K117" s="92" t="str">
        <f t="shared" si="34"/>
        <v>4003/4004</v>
      </c>
      <c r="L117" s="21" t="str">
        <f>VLOOKUP(A117,'Trips&amp;Operators'!$C$1:$G$99999,5,FALSE)</f>
        <v>BRANDNER MELINDA</v>
      </c>
      <c r="M117" s="6">
        <f t="shared" si="35"/>
        <v>2.643518518016208E-2</v>
      </c>
      <c r="N117" s="7">
        <f t="shared" si="53"/>
        <v>38.066666659433395</v>
      </c>
      <c r="O117" s="7"/>
      <c r="P117" s="7"/>
      <c r="Q117" s="22"/>
      <c r="R117" s="173"/>
      <c r="S117" s="176">
        <f t="shared" si="36"/>
        <v>1</v>
      </c>
      <c r="T117" s="202" t="str">
        <f t="shared" si="37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8"/>
        <v>https://d0f6bd738d7f1b3e5a7ca70fe4ff75f0.us-east-1.aws.found.io/app/kibana#/discover/Steve-Slow-Train-Analysis-(2080s-and-2083s)?_g=(refreshInterval:(display:Off,pause:!f,section:0,value:0),time:(from:'2017-06-04T15:40:04-0600',mode:absolute,to:'2017-06-04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204" t="str">
        <f t="shared" si="39"/>
        <v>N</v>
      </c>
      <c r="X117" s="204">
        <f t="shared" si="54"/>
        <v>1</v>
      </c>
      <c r="Y117" s="204">
        <f t="shared" si="40"/>
        <v>4.3700000000000003E-2</v>
      </c>
      <c r="Z117" s="204">
        <f t="shared" si="41"/>
        <v>23.3308</v>
      </c>
      <c r="AA117" s="204">
        <f t="shared" si="42"/>
        <v>23.287099999999999</v>
      </c>
      <c r="AB117" s="57" t="str">
        <f>VLOOKUP(A117,Enforcements!$C$7:$K$13,8,0)</f>
        <v>Bulletin (2)</v>
      </c>
      <c r="AC117" s="53" t="str">
        <f>VLOOKUP(A117,Enforcements!$C$7:$E$13,3,0)</f>
        <v>GRADE CROSSING</v>
      </c>
      <c r="AD117" s="54" t="str">
        <f t="shared" si="43"/>
        <v>0205-04</v>
      </c>
      <c r="AE117" s="80" t="str">
        <f t="shared" si="44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117" s="77" t="str">
        <f t="shared" si="45"/>
        <v>"C:\Program Files (x86)\AstroGrep\AstroGrep.exe" /e /r /s /spath="%USERPROFILE%\AppData\Local\Temp\OnboardLogs" /stypes="app*4004*20170604*" /stext=" 23:.+((SYSTEM_STATE.+slice.+state.+changed )|(ment ac)|(multiple cpu faults)|(system.+state.+changed )|(\[timeout)|(PRM\|1\|D)|(kpr)|(kdp)|(train st.+moving)|(\|lc)|(penalty))"</v>
      </c>
      <c r="AG117" s="1" t="str">
        <f t="shared" si="46"/>
        <v>EC</v>
      </c>
      <c r="AH117" s="81" t="str">
        <f t="shared" si="48"/>
        <v>"%USERPROFILE%\Documents\GitHub\eaglep3\Utilities\RefineRTDCRunTimes.py" --tripid 205-04 --locoid 4004 --swversion DE.1.0.9.0 --startMP 204:437 --initTime 2017-06-04T16:40:04 --startdatetime 2017-06-04T16:45:29 --delay 1 --endMP 204:233308 --enddatetime 2017-06-04T17:23:33 --enforcementcount 0 &gt;&gt;C:\Users\stu\Documents\GitHub\eaglep3-reporting\EC\2017-06-04-refined-times.txt</v>
      </c>
      <c r="AI117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{"issue":{"subject":"","project_id":79,"tracker_id":40,"status_id":1,"priority_id":2,"assigned_to_id":23,"start_date":"2017-06-04","description":"","custom_fields":[{"id":1,"name":"Subdivision","value":"EC"},{"id":4,"name":"Milepost","value":"23.3308"},{"id":17,"name":"Train ID","value":"205-04"},{"id":16,"name":"Locomotive ID","value":"4004"},{"id":130,"name":"Impact","value":""},{"id":150,"name":"Time of Event (Mountain Time)","value":"17:23:33"},{"id":151,"name":"Denver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0"/>
        <v>start /low /b %USERPROFILE%\Documents\GitHub\eaglep3\Utilities\DownloadLogsFromS3.py --loco 4004 --day 2017-06-04</v>
      </c>
      <c r="AN117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808</v>
      </c>
      <c r="B118" s="7">
        <v>4003</v>
      </c>
      <c r="C118" s="21" t="s">
        <v>204</v>
      </c>
      <c r="D118" s="21" t="s">
        <v>559</v>
      </c>
      <c r="E118" s="13">
        <v>42890.734733796293</v>
      </c>
      <c r="F118" s="13">
        <v>42890.73777777778</v>
      </c>
      <c r="G118" s="7">
        <v>1</v>
      </c>
      <c r="H118" s="21" t="s">
        <v>364</v>
      </c>
      <c r="I118" s="13">
        <v>42890.764421296299</v>
      </c>
      <c r="J118" s="7">
        <v>0</v>
      </c>
      <c r="K118" s="92" t="str">
        <f t="shared" si="34"/>
        <v>4003/4004</v>
      </c>
      <c r="L118" s="21" t="str">
        <f>VLOOKUP(A118,'Trips&amp;Operators'!$C$1:$G$99999,5,FALSE)</f>
        <v>BRANDNER MELINDA</v>
      </c>
      <c r="M118" s="6">
        <f t="shared" si="35"/>
        <v>2.6643518518540077E-2</v>
      </c>
      <c r="N118" s="7">
        <f t="shared" si="53"/>
        <v>38.366666666697711</v>
      </c>
      <c r="O118" s="7"/>
      <c r="P118" s="7"/>
      <c r="Q118" s="22"/>
      <c r="R118" s="173"/>
      <c r="S118" s="176">
        <f t="shared" si="36"/>
        <v>1</v>
      </c>
      <c r="T118" s="202" t="str">
        <f t="shared" si="37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8"/>
        <v>https://d0f6bd738d7f1b3e5a7ca70fe4ff75f0.us-east-1.aws.found.io/app/kibana#/discover/Steve-Slow-Train-Analysis-(2080s-and-2083s)?_g=(refreshInterval:(display:Off,pause:!f,section:0,value:0),time:(from:'2017-06-04T16:38:01-0600',mode:absolute,to:'2017-06-04T19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204" t="str">
        <f t="shared" si="39"/>
        <v>N</v>
      </c>
      <c r="X118" s="204">
        <f t="shared" si="54"/>
        <v>1</v>
      </c>
      <c r="Y118" s="204">
        <f t="shared" si="40"/>
        <v>23.299299999999999</v>
      </c>
      <c r="Z118" s="204">
        <f t="shared" si="41"/>
        <v>1.47E-2</v>
      </c>
      <c r="AA118" s="204">
        <f t="shared" si="42"/>
        <v>23.284599999999998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3"/>
        <v>0206-04</v>
      </c>
      <c r="AE118" s="80" t="str">
        <f t="shared" si="44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118" s="77" t="str">
        <f t="shared" si="45"/>
        <v>"C:\Program Files (x86)\AstroGrep\AstroGrep.exe" /e /r /s /spath="%USERPROFILE%\AppData\Local\Temp\OnboardLogs" /stypes="app*4003*20170605*" /stext=" 00:.+((SYSTEM_STATE.+slice.+state.+changed )|(ment ac)|(multiple cpu faults)|(system.+state.+changed )|(\[timeout)|(PRM\|1\|D)|(kpr)|(kdp)|(train st.+moving)|(\|lc)|(penalty))"</v>
      </c>
      <c r="AG118" s="1" t="str">
        <f t="shared" si="46"/>
        <v>EC</v>
      </c>
      <c r="AH118" s="81" t="str">
        <f t="shared" si="48"/>
        <v>"%USERPROFILE%\Documents\GitHub\eaglep3\Utilities\RefineRTDCRunTimes.py" --tripid 206-04 --locoid 4003 --swversion DE.1.0.9.0 --startMP 204:232993 --initTime 2017-06-04T17:38:01 --startdatetime 2017-06-04T17:42:24 --delay 1 --endMP 204:147 --enddatetime 2017-06-04T18:20:46 --enforcementcount 0 &gt;&gt;C:\Users\stu\Documents\GitHub\eaglep3-reporting\EC\2017-06-04-refined-times.txt</v>
      </c>
      <c r="AI118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{"issue":{"subject":"","project_id":79,"tracker_id":40,"status_id":1,"priority_id":2,"assigned_to_id":23,"start_date":"2017-06-04","description":"","custom_fields":[{"id":1,"name":"Subdivision","value":"EC"},{"id":4,"name":"Milepost","value":"0.0147"},{"id":17,"name":"Train ID","value":"206-04"},{"id":16,"name":"Locomotive ID","value":"4003"},{"id":130,"name":"Impact","value":""},{"id":150,"name":"Time of Event (Mountain Time)","value":"18:20:46"},{"id":151,"name":"Denver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0"/>
        <v>start /low /b %USERPROFILE%\Documents\GitHub\eaglep3\Utilities\DownloadLogsFromS3.py --loco 4003 --day 2017-06-04</v>
      </c>
      <c r="AN118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804</v>
      </c>
      <c r="B119" s="7">
        <v>4042</v>
      </c>
      <c r="C119" s="21" t="s">
        <v>204</v>
      </c>
      <c r="D119" s="21" t="s">
        <v>360</v>
      </c>
      <c r="E119" s="13">
        <v>42890.704027777778</v>
      </c>
      <c r="F119" s="13">
        <v>42890.708518518521</v>
      </c>
      <c r="G119" s="7">
        <v>1</v>
      </c>
      <c r="H119" s="21" t="s">
        <v>561</v>
      </c>
      <c r="I119" s="13">
        <v>42890.734039351853</v>
      </c>
      <c r="J119" s="7">
        <v>0</v>
      </c>
      <c r="K119" s="92" t="str">
        <f t="shared" si="34"/>
        <v>4041/4042</v>
      </c>
      <c r="L119" s="21" t="str">
        <f>VLOOKUP(A119,'Trips&amp;Operators'!$C$1:$G$99999,5,FALSE)</f>
        <v>BRUDER RICHARD</v>
      </c>
      <c r="M119" s="6">
        <f t="shared" si="35"/>
        <v>2.5520833332848269E-2</v>
      </c>
      <c r="N119" s="7">
        <f t="shared" si="53"/>
        <v>36.749999999301508</v>
      </c>
      <c r="O119" s="7"/>
      <c r="P119" s="7"/>
      <c r="Q119" s="22"/>
      <c r="R119" s="173"/>
      <c r="S119" s="176">
        <f t="shared" si="36"/>
        <v>1</v>
      </c>
      <c r="T119" s="202" t="str">
        <f t="shared" si="37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8"/>
        <v>https://d0f6bd738d7f1b3e5a7ca70fe4ff75f0.us-east-1.aws.found.io/app/kibana#/discover/Steve-Slow-Train-Analysis-(2080s-and-2083s)?_g=(refreshInterval:(display:Off,pause:!f,section:0,value:0),time:(from:'2017-06-04T15:53:48-0600',mode:absolute,to:'2017-06-04T18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204" t="str">
        <f t="shared" si="39"/>
        <v>N</v>
      </c>
      <c r="X119" s="204">
        <f t="shared" si="54"/>
        <v>1</v>
      </c>
      <c r="Y119" s="204">
        <f t="shared" si="40"/>
        <v>4.4699999999999997E-2</v>
      </c>
      <c r="Z119" s="204">
        <f t="shared" si="41"/>
        <v>23.329899999999999</v>
      </c>
      <c r="AA119" s="204">
        <f t="shared" si="42"/>
        <v>23.2852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3"/>
        <v>0207-04</v>
      </c>
      <c r="AE119" s="80" t="str">
        <f t="shared" si="44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119" s="77" t="str">
        <f t="shared" si="45"/>
        <v>"C:\Program Files (x86)\AstroGrep\AstroGrep.exe" /e /r /s /spath="%USERPROFILE%\AppData\Local\Temp\OnboardLogs" /stypes="app*4042*20170604*" /stext=" 23:.+((SYSTEM_STATE.+slice.+state.+changed )|(ment ac)|(multiple cpu faults)|(system.+state.+changed )|(\[timeout)|(PRM\|1\|D)|(kpr)|(kdp)|(train st.+moving)|(\|lc)|(penalty))"</v>
      </c>
      <c r="AG119" s="1" t="str">
        <f t="shared" si="46"/>
        <v>EC</v>
      </c>
      <c r="AH119" s="81" t="str">
        <f t="shared" si="48"/>
        <v>"%USERPROFILE%\Documents\GitHub\eaglep3\Utilities\RefineRTDCRunTimes.py" --tripid 207-04 --locoid 4042 --swversion DE.1.0.9.0 --startMP 204:447 --initTime 2017-06-04T16:53:48 --startdatetime 2017-06-04T17:00:16 --delay 1 --endMP 204:233299 --enddatetime 2017-06-04T17:37:01 --enforcementcount 0 &gt;&gt;C:\Users\stu\Documents\GitHub\eaglep3-reporting\EC\2017-06-04-refined-times.txt</v>
      </c>
      <c r="AI119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{"issue":{"subject":"","project_id":79,"tracker_id":40,"status_id":1,"priority_id":2,"assigned_to_id":23,"start_date":"2017-06-04","description":"","custom_fields":[{"id":1,"name":"Subdivision","value":"EC"},{"id":4,"name":"Milepost","value":"23.3299"},{"id":17,"name":"Train ID","value":"207-04"},{"id":16,"name":"Locomotive ID","value":"4042"},{"id":130,"name":"Impact","value":""},{"id":150,"name":"Time of Event (Mountain Time)","value":"17:37:01"},{"id":151,"name":"Denver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0"/>
        <v>start /low /b %USERPROFILE%\Documents\GitHub\eaglep3\Utilities\DownloadLogsFromS3.py --loco 4042 --day 2017-06-04</v>
      </c>
      <c r="AN119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675</v>
      </c>
      <c r="B120" s="7">
        <v>4041</v>
      </c>
      <c r="C120" s="21" t="s">
        <v>204</v>
      </c>
      <c r="D120" s="21" t="s">
        <v>476</v>
      </c>
      <c r="E120" s="13">
        <v>42890.742731481485</v>
      </c>
      <c r="F120" s="13">
        <v>42890.748101851852</v>
      </c>
      <c r="G120" s="7">
        <v>1</v>
      </c>
      <c r="H120" s="21" t="s">
        <v>472</v>
      </c>
      <c r="I120" s="13">
        <v>42890.775023148148</v>
      </c>
      <c r="J120" s="7">
        <v>0</v>
      </c>
      <c r="K120" s="92" t="str">
        <f t="shared" si="34"/>
        <v>4041/4042</v>
      </c>
      <c r="L120" s="21" t="str">
        <f>VLOOKUP(A120,'Trips&amp;Operators'!$C$1:$G$99999,5,FALSE)</f>
        <v>BRUDER RICHARD</v>
      </c>
      <c r="M120" s="6">
        <f t="shared" si="35"/>
        <v>2.6921296295768116E-2</v>
      </c>
      <c r="N120" s="7">
        <f t="shared" si="53"/>
        <v>38.766666665906087</v>
      </c>
      <c r="O120" s="7"/>
      <c r="P120" s="7"/>
      <c r="Q120" s="22"/>
      <c r="R120" s="173"/>
      <c r="S120" s="176">
        <f t="shared" si="36"/>
        <v>1</v>
      </c>
      <c r="T120" s="202" t="str">
        <f t="shared" si="37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8"/>
        <v>https://d0f6bd738d7f1b3e5a7ca70fe4ff75f0.us-east-1.aws.found.io/app/kibana#/discover/Steve-Slow-Train-Analysis-(2080s-and-2083s)?_g=(refreshInterval:(display:Off,pause:!f,section:0,value:0),time:(from:'2017-06-04T16:49:32-0600',mode:absolute,to:'2017-06-04T19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204" t="str">
        <f t="shared" si="39"/>
        <v>N</v>
      </c>
      <c r="X120" s="204">
        <f t="shared" si="54"/>
        <v>1</v>
      </c>
      <c r="Y120" s="204">
        <f t="shared" si="40"/>
        <v>23.297799999999999</v>
      </c>
      <c r="Z120" s="204">
        <f t="shared" si="41"/>
        <v>1.38E-2</v>
      </c>
      <c r="AA120" s="204">
        <f t="shared" si="42"/>
        <v>23.283999999999999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3"/>
        <v>0208-04</v>
      </c>
      <c r="AE120" s="80" t="str">
        <f t="shared" si="44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120" s="77" t="str">
        <f t="shared" si="45"/>
        <v>"C:\Program Files (x86)\AstroGrep\AstroGrep.exe" /e /r /s /spath="%USERPROFILE%\AppData\Local\Temp\OnboardLogs" /stypes="app*4041*20170605*" /stext=" 00:.+((SYSTEM_STATE.+slice.+state.+changed )|(ment ac)|(multiple cpu faults)|(system.+state.+changed )|(\[timeout)|(PRM\|1\|D)|(kpr)|(kdp)|(train st.+moving)|(\|lc)|(penalty))"</v>
      </c>
      <c r="AG120" s="1" t="str">
        <f t="shared" si="46"/>
        <v>EC</v>
      </c>
      <c r="AH120" s="81" t="str">
        <f t="shared" si="48"/>
        <v>"%USERPROFILE%\Documents\GitHub\eaglep3\Utilities\RefineRTDCRunTimes.py" --tripid 208-04 --locoid 4041 --swversion DE.1.0.9.0 --startMP 204:232978 --initTime 2017-06-04T17:49:32 --startdatetime 2017-06-04T17:57:16 --delay 1 --endMP 204:138 --enddatetime 2017-06-04T18:36:02 --enforcementcount 0 &gt;&gt;C:\Users\stu\Documents\GitHub\eaglep3-reporting\EC\2017-06-04-refined-times.txt</v>
      </c>
      <c r="AI120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{"issue":{"subject":"","project_id":79,"tracker_id":40,"status_id":1,"priority_id":2,"assigned_to_id":23,"start_date":"2017-06-04","description":"","custom_fields":[{"id":1,"name":"Subdivision","value":"EC"},{"id":4,"name":"Milepost","value":"0.0138"},{"id":17,"name":"Train ID","value":"208-04"},{"id":16,"name":"Locomotive ID","value":"4041"},{"id":130,"name":"Impact","value":""},{"id":150,"name":"Time of Event (Mountain Time)","value":"18:36:02"},{"id":151,"name":"Denver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0"/>
        <v>start /low /b %USERPROFILE%\Documents\GitHub\eaglep3\Utilities\DownloadLogsFromS3.py --loco 4041 --day 2017-06-04</v>
      </c>
      <c r="AN120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805</v>
      </c>
      <c r="B121" s="7">
        <v>4012</v>
      </c>
      <c r="C121" s="21" t="s">
        <v>204</v>
      </c>
      <c r="D121" s="21" t="s">
        <v>397</v>
      </c>
      <c r="E121" s="13">
        <v>42890.71434027778</v>
      </c>
      <c r="F121" s="13">
        <v>42890.719074074077</v>
      </c>
      <c r="G121" s="7">
        <v>2</v>
      </c>
      <c r="H121" s="21" t="s">
        <v>941</v>
      </c>
      <c r="I121" s="13">
        <v>42890.743831018517</v>
      </c>
      <c r="J121" s="7">
        <v>0</v>
      </c>
      <c r="K121" s="92" t="str">
        <f t="shared" si="34"/>
        <v>4011/4012</v>
      </c>
      <c r="L121" s="21" t="str">
        <f>VLOOKUP(A121,'Trips&amp;Operators'!$C$1:$G$99999,5,FALSE)</f>
        <v>STAMBAUGH JAMES</v>
      </c>
      <c r="M121" s="6">
        <f t="shared" si="35"/>
        <v>2.4756944440014195E-2</v>
      </c>
      <c r="N121" s="7">
        <f t="shared" si="53"/>
        <v>35.64999999362044</v>
      </c>
      <c r="O121" s="7"/>
      <c r="P121" s="7"/>
      <c r="Q121" s="22"/>
      <c r="R121" s="173"/>
      <c r="S121" s="176">
        <f t="shared" si="36"/>
        <v>1</v>
      </c>
      <c r="T121" s="202" t="str">
        <f t="shared" si="37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8"/>
        <v>https://d0f6bd738d7f1b3e5a7ca70fe4ff75f0.us-east-1.aws.found.io/app/kibana#/discover/Steve-Slow-Train-Analysis-(2080s-and-2083s)?_g=(refreshInterval:(display:Off,pause:!f,section:0,value:0),time:(from:'2017-06-04T16:08:39-0600',mode:absolute,to:'2017-06-04T18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204" t="str">
        <f t="shared" si="39"/>
        <v>N</v>
      </c>
      <c r="X121" s="204">
        <f t="shared" si="54"/>
        <v>1</v>
      </c>
      <c r="Y121" s="204">
        <f t="shared" si="40"/>
        <v>4.6199999999999998E-2</v>
      </c>
      <c r="Z121" s="204">
        <f t="shared" si="41"/>
        <v>23.342300000000002</v>
      </c>
      <c r="AA121" s="204">
        <f t="shared" si="42"/>
        <v>23.296100000000003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3"/>
        <v>0209-04</v>
      </c>
      <c r="AE121" s="80" t="str">
        <f t="shared" si="44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121" s="77" t="str">
        <f t="shared" si="45"/>
        <v>"C:\Program Files (x86)\AstroGrep\AstroGrep.exe" /e /r /s /spath="%USERPROFILE%\AppData\Local\Temp\OnboardLogs" /stypes="app*4012*20170604*" /stext=" 23:.+((SYSTEM_STATE.+slice.+state.+changed )|(ment ac)|(multiple cpu faults)|(system.+state.+changed )|(\[timeout)|(PRM\|1\|D)|(kpr)|(kdp)|(train st.+moving)|(\|lc)|(penalty))"</v>
      </c>
      <c r="AG121" s="1" t="str">
        <f t="shared" si="46"/>
        <v>EC</v>
      </c>
      <c r="AH121" s="81" t="str">
        <f t="shared" si="48"/>
        <v>"%USERPROFILE%\Documents\GitHub\eaglep3\Utilities\RefineRTDCRunTimes.py" --tripid 209-04 --locoid 4012 --swversion DE.1.0.9.0 --startMP 204:462 --initTime 2017-06-04T17:08:39 --startdatetime 2017-06-04T17:15:28 --delay 2 --endMP 204:233423 --enddatetime 2017-06-04T17:51:07 --enforcementcount 0 &gt;&gt;C:\Users\stu\Documents\GitHub\eaglep3-reporting\EC\2017-06-04-refined-times.txt</v>
      </c>
      <c r="AI12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{"issue":{"subject":"","project_id":79,"tracker_id":40,"status_id":1,"priority_id":2,"assigned_to_id":23,"start_date":"2017-06-04","description":"","custom_fields":[{"id":1,"name":"Subdivision","value":"EC"},{"id":4,"name":"Milepost","value":"23.3423"},{"id":17,"name":"Train ID","value":"209-04"},{"id":16,"name":"Locomotive ID","value":"4012"},{"id":130,"name":"Impact","value":""},{"id":150,"name":"Time of Event (Mountain Time)","value":"17:51:07"},{"id":151,"name":"Denver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0"/>
        <v>start /low /b %USERPROFILE%\Documents\GitHub\eaglep3\Utilities\DownloadLogsFromS3.py --loco 4012 --day 2017-06-04</v>
      </c>
      <c r="AN121" s="154" t="str">
        <f t="shared" si="51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811</v>
      </c>
      <c r="B122" s="7">
        <v>4011</v>
      </c>
      <c r="C122" s="21" t="s">
        <v>204</v>
      </c>
      <c r="D122" s="21" t="s">
        <v>942</v>
      </c>
      <c r="E122" s="13">
        <v>42890.748333333337</v>
      </c>
      <c r="F122" s="13">
        <v>42890.75854166667</v>
      </c>
      <c r="G122" s="7">
        <v>1</v>
      </c>
      <c r="H122" s="21" t="s">
        <v>472</v>
      </c>
      <c r="I122" s="13">
        <v>42890.78434027778</v>
      </c>
      <c r="J122" s="7">
        <v>0</v>
      </c>
      <c r="K122" s="92" t="str">
        <f t="shared" si="34"/>
        <v>4011/4012</v>
      </c>
      <c r="L122" s="21" t="str">
        <f>VLOOKUP(A122,'Trips&amp;Operators'!$C$1:$G$99999,5,FALSE)</f>
        <v>STAMBAUGH JAMES</v>
      </c>
      <c r="M122" s="6">
        <f t="shared" si="35"/>
        <v>2.5798611110076308E-2</v>
      </c>
      <c r="N122" s="7">
        <f t="shared" si="53"/>
        <v>37.149999998509884</v>
      </c>
      <c r="O122" s="7"/>
      <c r="P122" s="7"/>
      <c r="Q122" s="22"/>
      <c r="R122" s="173"/>
      <c r="S122" s="176">
        <f t="shared" si="36"/>
        <v>1</v>
      </c>
      <c r="T122" s="202" t="str">
        <f t="shared" si="37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8"/>
        <v>https://d0f6bd738d7f1b3e5a7ca70fe4ff75f0.us-east-1.aws.found.io/app/kibana#/discover/Steve-Slow-Train-Analysis-(2080s-and-2083s)?_g=(refreshInterval:(display:Off,pause:!f,section:0,value:0),time:(from:'2017-06-04T16:57:36-0600',mode:absolute,to:'2017-06-04T19:49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204" t="str">
        <f t="shared" si="39"/>
        <v>N</v>
      </c>
      <c r="X122" s="204">
        <f t="shared" si="54"/>
        <v>1</v>
      </c>
      <c r="Y122" s="204">
        <f t="shared" si="40"/>
        <v>23.313400000000001</v>
      </c>
      <c r="Z122" s="204">
        <f t="shared" si="41"/>
        <v>1.38E-2</v>
      </c>
      <c r="AA122" s="204">
        <f t="shared" si="42"/>
        <v>23.299600000000002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3"/>
        <v>0210-04</v>
      </c>
      <c r="AE122" s="80" t="str">
        <f t="shared" si="44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122" s="77" t="str">
        <f t="shared" si="45"/>
        <v>"C:\Program Files (x86)\AstroGrep\AstroGrep.exe" /e /r /s /spath="%USERPROFILE%\AppData\Local\Temp\OnboardLogs" /stypes="app*4011*20170605*" /stext=" 00:.+((SYSTEM_STATE.+slice.+state.+changed )|(ment ac)|(multiple cpu faults)|(system.+state.+changed )|(\[timeout)|(PRM\|1\|D)|(kpr)|(kdp)|(train st.+moving)|(\|lc)|(penalty))"</v>
      </c>
      <c r="AG122" s="1" t="str">
        <f t="shared" si="46"/>
        <v>EC</v>
      </c>
      <c r="AH122" s="81" t="str">
        <f t="shared" si="48"/>
        <v>"%USERPROFILE%\Documents\GitHub\eaglep3\Utilities\RefineRTDCRunTimes.py" --tripid 210-04 --locoid 4011 --swversion DE.1.0.9.0 --startMP 204:233134 --initTime 2017-06-04T17:57:36 --startdatetime 2017-06-04T18:12:18 --delay 1 --endMP 204:138 --enddatetime 2017-06-04T18:49:27 --enforcementcount 0 &gt;&gt;C:\Users\stu\Documents\GitHub\eaglep3-reporting\EC\2017-06-04-refined-times.txt</v>
      </c>
      <c r="AI12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{"issue":{"subject":"","project_id":79,"tracker_id":40,"status_id":1,"priority_id":2,"assigned_to_id":23,"start_date":"2017-06-04","description":"","custom_fields":[{"id":1,"name":"Subdivision","value":"EC"},{"id":4,"name":"Milepost","value":"0.0138"},{"id":17,"name":"Train ID","value":"210-04"},{"id":16,"name":"Locomotive ID","value":"4011"},{"id":130,"name":"Impact","value":""},{"id":150,"name":"Time of Event (Mountain Time)","value":"18:49:27"},{"id":151,"name":"Denver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0"/>
        <v>start /low /b %USERPROFILE%\Documents\GitHub\eaglep3\Utilities\DownloadLogsFromS3.py --loco 4011 --day 2017-06-04</v>
      </c>
      <c r="AN122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672</v>
      </c>
      <c r="B123" s="7">
        <v>4040</v>
      </c>
      <c r="C123" s="21" t="s">
        <v>204</v>
      </c>
      <c r="D123" s="21" t="s">
        <v>558</v>
      </c>
      <c r="E123" s="13">
        <v>42890.72446759259</v>
      </c>
      <c r="F123" s="13">
        <v>42890.72934027778</v>
      </c>
      <c r="G123" s="7">
        <v>1</v>
      </c>
      <c r="H123" s="21" t="s">
        <v>943</v>
      </c>
      <c r="I123" s="13">
        <v>42890.754976851851</v>
      </c>
      <c r="J123" s="7">
        <v>0</v>
      </c>
      <c r="K123" s="92" t="str">
        <f t="shared" si="34"/>
        <v>4039/4040</v>
      </c>
      <c r="L123" s="21" t="str">
        <f>VLOOKUP(A123,'Trips&amp;Operators'!$C$1:$G$99999,5,FALSE)</f>
        <v>DELGADO DIANAH</v>
      </c>
      <c r="M123" s="6">
        <f t="shared" si="35"/>
        <v>2.5636574071540963E-2</v>
      </c>
      <c r="N123" s="7">
        <f t="shared" si="53"/>
        <v>36.916666663018987</v>
      </c>
      <c r="O123" s="7"/>
      <c r="P123" s="7"/>
      <c r="Q123" s="22"/>
      <c r="R123" s="173"/>
      <c r="S123" s="176">
        <f t="shared" si="36"/>
        <v>1</v>
      </c>
      <c r="T123" s="202" t="str">
        <f t="shared" si="37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8"/>
        <v>https://d0f6bd738d7f1b3e5a7ca70fe4ff75f0.us-east-1.aws.found.io/app/kibana#/discover/Steve-Slow-Train-Analysis-(2080s-and-2083s)?_g=(refreshInterval:(display:Off,pause:!f,section:0,value:0),time:(from:'2017-06-04T16:23:14-0600',mode:absolute,to:'2017-06-04T19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204" t="str">
        <f t="shared" si="39"/>
        <v>N</v>
      </c>
      <c r="X123" s="204">
        <f t="shared" si="54"/>
        <v>1</v>
      </c>
      <c r="Y123" s="204">
        <f t="shared" si="40"/>
        <v>4.3099999999999999E-2</v>
      </c>
      <c r="Z123" s="204">
        <f t="shared" si="41"/>
        <v>23.3172</v>
      </c>
      <c r="AA123" s="204">
        <f t="shared" si="42"/>
        <v>23.274100000000001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3"/>
        <v>0211-04</v>
      </c>
      <c r="AE123" s="80" t="str">
        <f t="shared" si="44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123" s="77" t="str">
        <f t="shared" si="45"/>
        <v>"C:\Program Files (x86)\AstroGrep\AstroGrep.exe" /e /r /s /spath="%USERPROFILE%\AppData\Local\Temp\OnboardLogs" /stypes="app*4040*20170605*" /stext=" 00:.+((SYSTEM_STATE.+slice.+state.+changed )|(ment ac)|(multiple cpu faults)|(system.+state.+changed )|(\[timeout)|(PRM\|1\|D)|(kpr)|(kdp)|(train st.+moving)|(\|lc)|(penalty))"</v>
      </c>
      <c r="AG123" s="1" t="str">
        <f t="shared" si="46"/>
        <v>EC</v>
      </c>
      <c r="AH123" s="81" t="str">
        <f t="shared" si="48"/>
        <v>"%USERPROFILE%\Documents\GitHub\eaglep3\Utilities\RefineRTDCRunTimes.py" --tripid 211-04 --locoid 4040 --swversion DE.1.0.9.0 --startMP 204:431 --initTime 2017-06-04T17:23:14 --startdatetime 2017-06-04T17:30:15 --delay 1 --endMP 204:233172 --enddatetime 2017-06-04T18:07:10 --enforcementcount 0 &gt;&gt;C:\Users\stu\Documents\GitHub\eaglep3-reporting\EC\2017-06-04-refined-times.txt</v>
      </c>
      <c r="AI12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{"issue":{"subject":"","project_id":79,"tracker_id":40,"status_id":1,"priority_id":2,"assigned_to_id":23,"start_date":"2017-06-04","description":"","custom_fields":[{"id":1,"name":"Subdivision","value":"EC"},{"id":4,"name":"Milepost","value":"23.3172"},{"id":17,"name":"Train ID","value":"211-04"},{"id":16,"name":"Locomotive ID","value":"4040"},{"id":130,"name":"Impact","value":""},{"id":150,"name":"Time of Event (Mountain Time)","value":"18:07:10"},{"id":151,"name":"Denver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0"/>
        <v>start /low /b %USERPROFILE%\Documents\GitHub\eaglep3\Utilities\DownloadLogsFromS3.py --loco 4040 --day 2017-06-04</v>
      </c>
      <c r="AN123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812</v>
      </c>
      <c r="B124" s="7">
        <v>4039</v>
      </c>
      <c r="C124" s="21" t="s">
        <v>204</v>
      </c>
      <c r="D124" s="21" t="s">
        <v>944</v>
      </c>
      <c r="E124" s="13">
        <v>42890.759143518517</v>
      </c>
      <c r="F124" s="13">
        <v>42890.768900462965</v>
      </c>
      <c r="G124" s="7">
        <v>1</v>
      </c>
      <c r="H124" s="21" t="s">
        <v>364</v>
      </c>
      <c r="I124" s="13">
        <v>42890.794351851851</v>
      </c>
      <c r="J124" s="7">
        <v>0</v>
      </c>
      <c r="K124" s="92" t="str">
        <f t="shared" si="34"/>
        <v>4039/4040</v>
      </c>
      <c r="L124" s="21" t="str">
        <f>VLOOKUP(A124,'Trips&amp;Operators'!$C$1:$G$99999,5,FALSE)</f>
        <v>DELGADO DIANAH</v>
      </c>
      <c r="M124" s="6">
        <f t="shared" si="35"/>
        <v>2.545138888672227E-2</v>
      </c>
      <c r="N124" s="7">
        <f t="shared" si="53"/>
        <v>36.649999996880069</v>
      </c>
      <c r="O124" s="7"/>
      <c r="P124" s="7"/>
      <c r="Q124" s="22"/>
      <c r="R124" s="173"/>
      <c r="S124" s="176">
        <f t="shared" si="36"/>
        <v>1</v>
      </c>
      <c r="T124" s="202" t="str">
        <f t="shared" si="37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8"/>
        <v>https://d0f6bd738d7f1b3e5a7ca70fe4ff75f0.us-east-1.aws.found.io/app/kibana#/discover/Steve-Slow-Train-Analysis-(2080s-and-2083s)?_g=(refreshInterval:(display:Off,pause:!f,section:0,value:0),time:(from:'2017-06-04T17:13:10-0600',mode:absolute,to:'2017-06-04T20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204" t="str">
        <f t="shared" si="39"/>
        <v>N</v>
      </c>
      <c r="X124" s="204">
        <f t="shared" si="54"/>
        <v>1</v>
      </c>
      <c r="Y124" s="204">
        <f t="shared" si="40"/>
        <v>23.314399999999999</v>
      </c>
      <c r="Z124" s="204">
        <f t="shared" si="41"/>
        <v>1.47E-2</v>
      </c>
      <c r="AA124" s="204">
        <f t="shared" si="42"/>
        <v>23.299699999999998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3"/>
        <v>0212-04</v>
      </c>
      <c r="AE124" s="80" t="str">
        <f t="shared" si="44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124" s="77" t="str">
        <f t="shared" si="45"/>
        <v>"C:\Program Files (x86)\AstroGrep\AstroGrep.exe" /e /r /s /spath="%USERPROFILE%\AppData\Local\Temp\OnboardLogs" /stypes="app*4039*20170605*" /stext=" 01:.+((SYSTEM_STATE.+slice.+state.+changed )|(ment ac)|(multiple cpu faults)|(system.+state.+changed )|(\[timeout)|(PRM\|1\|D)|(kpr)|(kdp)|(train st.+moving)|(\|lc)|(penalty))"</v>
      </c>
      <c r="AG124" s="1" t="str">
        <f t="shared" si="46"/>
        <v>EC</v>
      </c>
      <c r="AH124" s="81" t="str">
        <f t="shared" si="48"/>
        <v>"%USERPROFILE%\Documents\GitHub\eaglep3\Utilities\RefineRTDCRunTimes.py" --tripid 212-04 --locoid 4039 --swversion DE.1.0.9.0 --startMP 204:233144 --initTime 2017-06-04T18:13:10 --startdatetime 2017-06-04T18:27:13 --delay 1 --endMP 204:147 --enddatetime 2017-06-04T19:03:52 --enforcementcount 0 &gt;&gt;C:\Users\stu\Documents\GitHub\eaglep3-reporting\EC\2017-06-04-refined-times.txt</v>
      </c>
      <c r="AI124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{"issue":{"subject":"","project_id":79,"tracker_id":40,"status_id":1,"priority_id":2,"assigned_to_id":23,"start_date":"2017-06-04","description":"","custom_fields":[{"id":1,"name":"Subdivision","value":"EC"},{"id":4,"name":"Milepost","value":"0.0147"},{"id":17,"name":"Train ID","value":"212-04"},{"id":16,"name":"Locomotive ID","value":"4039"},{"id":130,"name":"Impact","value":""},{"id":150,"name":"Time of Event (Mountain Time)","value":"19:03:52"},{"id":151,"name":"Denver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0"/>
        <v>start /low /b %USERPROFILE%\Documents\GitHub\eaglep3\Utilities\DownloadLogsFromS3.py --loco 4039 --day 2017-06-04</v>
      </c>
      <c r="AN124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809</v>
      </c>
      <c r="B125" s="7">
        <v>4060</v>
      </c>
      <c r="C125" s="21" t="s">
        <v>204</v>
      </c>
      <c r="D125" s="21" t="s">
        <v>358</v>
      </c>
      <c r="E125" s="13">
        <v>42890.736527777779</v>
      </c>
      <c r="F125" s="13">
        <v>42890.739803240744</v>
      </c>
      <c r="G125" s="7">
        <v>1</v>
      </c>
      <c r="H125" s="21" t="s">
        <v>509</v>
      </c>
      <c r="I125" s="13">
        <v>42890.764664351853</v>
      </c>
      <c r="J125" s="7">
        <v>0</v>
      </c>
      <c r="K125" s="92" t="str">
        <f t="shared" si="34"/>
        <v>4059/4060</v>
      </c>
      <c r="L125" s="21" t="str">
        <f>VLOOKUP(A125,'Trips&amp;Operators'!$C$1:$G$99999,5,FALSE)</f>
        <v>SMITH MICHAEL</v>
      </c>
      <c r="M125" s="6">
        <f t="shared" si="35"/>
        <v>2.4861111109203193E-2</v>
      </c>
      <c r="N125" s="7">
        <f t="shared" si="53"/>
        <v>35.799999997252598</v>
      </c>
      <c r="O125" s="7"/>
      <c r="P125" s="7"/>
      <c r="Q125" s="22"/>
      <c r="R125" s="173"/>
      <c r="S125" s="176">
        <f t="shared" si="36"/>
        <v>1</v>
      </c>
      <c r="T125" s="202" t="str">
        <f t="shared" si="37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8"/>
        <v>https://d0f6bd738d7f1b3e5a7ca70fe4ff75f0.us-east-1.aws.found.io/app/kibana#/discover/Steve-Slow-Train-Analysis-(2080s-and-2083s)?_g=(refreshInterval:(display:Off,pause:!f,section:0,value:0),time:(from:'2017-06-04T16:40:36-0600',mode:absolute,to:'2017-06-04T19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5" s="204" t="str">
        <f t="shared" si="39"/>
        <v>N</v>
      </c>
      <c r="X125" s="204">
        <f t="shared" si="54"/>
        <v>1</v>
      </c>
      <c r="Y125" s="204">
        <f t="shared" si="40"/>
        <v>4.6399999999999997E-2</v>
      </c>
      <c r="Z125" s="204">
        <f t="shared" si="41"/>
        <v>23.327000000000002</v>
      </c>
      <c r="AA125" s="204">
        <f t="shared" si="42"/>
        <v>23.280600000000003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3"/>
        <v>0213-04</v>
      </c>
      <c r="AE125" s="80" t="str">
        <f t="shared" si="44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125" s="77" t="str">
        <f t="shared" si="45"/>
        <v>"C:\Program Files (x86)\AstroGrep\AstroGrep.exe" /e /r /s /spath="%USERPROFILE%\AppData\Local\Temp\OnboardLogs" /stypes="app*4060*20170605*" /stext=" 00:.+((SYSTEM_STATE.+slice.+state.+changed )|(ment ac)|(multiple cpu faults)|(system.+state.+changed )|(\[timeout)|(PRM\|1\|D)|(kpr)|(kdp)|(train st.+moving)|(\|lc)|(penalty))"</v>
      </c>
      <c r="AG125" s="1" t="str">
        <f t="shared" si="46"/>
        <v>EC</v>
      </c>
      <c r="AH125" s="81" t="str">
        <f t="shared" si="48"/>
        <v>"%USERPROFILE%\Documents\GitHub\eaglep3\Utilities\RefineRTDCRunTimes.py" --tripid 213-04 --locoid 4060 --swversion DE.1.0.9.0 --startMP 204:464 --initTime 2017-06-04T17:40:36 --startdatetime 2017-06-04T17:45:19 --delay 1 --endMP 204:233270 --enddatetime 2017-06-04T18:21:07 --enforcementcount 0 &gt;&gt;C:\Users\stu\Documents\GitHub\eaglep3-reporting\EC\2017-06-04-refined-times.txt</v>
      </c>
      <c r="AI125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{"issue":{"subject":"","project_id":79,"tracker_id":40,"status_id":1,"priority_id":2,"assigned_to_id":23,"start_date":"2017-06-04","description":"","custom_fields":[{"id":1,"name":"Subdivision","value":"EC"},{"id":4,"name":"Milepost","value":"23.327"},{"id":17,"name":"Train ID","value":"213-04"},{"id":16,"name":"Locomotive ID","value":"4060"},{"id":130,"name":"Impact","value":""},{"id":150,"name":"Time of Event (Mountain Time)","value":"18:21:07"},{"id":151,"name":"Denver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0"/>
        <v>start /low /b %USERPROFILE%\Documents\GitHub\eaglep3\Utilities\DownloadLogsFromS3.py --loco 4060 --day 2017-06-04</v>
      </c>
      <c r="AN125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676</v>
      </c>
      <c r="B126" s="7">
        <v>4059</v>
      </c>
      <c r="C126" s="21" t="s">
        <v>204</v>
      </c>
      <c r="D126" s="21" t="s">
        <v>628</v>
      </c>
      <c r="E126" s="13">
        <v>42890.770567129628</v>
      </c>
      <c r="F126" s="13">
        <v>42890.779537037037</v>
      </c>
      <c r="G126" s="7">
        <v>1</v>
      </c>
      <c r="H126" s="21" t="s">
        <v>466</v>
      </c>
      <c r="I126" s="13">
        <v>42890.805972222224</v>
      </c>
      <c r="J126" s="7">
        <v>0</v>
      </c>
      <c r="K126" s="92" t="str">
        <f t="shared" si="34"/>
        <v>4059/4060</v>
      </c>
      <c r="L126" s="21" t="str">
        <f>VLOOKUP(A126,'Trips&amp;Operators'!$C$1:$G$99999,5,FALSE)</f>
        <v>SMITH MICHAEL</v>
      </c>
      <c r="M126" s="6">
        <f t="shared" si="35"/>
        <v>2.6435185187438037E-2</v>
      </c>
      <c r="N126" s="7">
        <f t="shared" si="53"/>
        <v>38.066666669910774</v>
      </c>
      <c r="O126" s="7"/>
      <c r="P126" s="7"/>
      <c r="Q126" s="22"/>
      <c r="R126" s="173"/>
      <c r="S126" s="176">
        <f t="shared" si="36"/>
        <v>1</v>
      </c>
      <c r="T126" s="202" t="str">
        <f t="shared" si="37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8"/>
        <v>https://d0f6bd738d7f1b3e5a7ca70fe4ff75f0.us-east-1.aws.found.io/app/kibana#/discover/Steve-Slow-Train-Analysis-(2080s-and-2083s)?_g=(refreshInterval:(display:Off,pause:!f,section:0,value:0),time:(from:'2017-06-04T17:29:37-0600',mode:absolute,to:'2017-06-04T20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6" s="204" t="str">
        <f t="shared" si="39"/>
        <v>N</v>
      </c>
      <c r="X126" s="204">
        <f t="shared" si="54"/>
        <v>1</v>
      </c>
      <c r="Y126" s="204">
        <f t="shared" si="40"/>
        <v>23.2972</v>
      </c>
      <c r="Z126" s="204">
        <f t="shared" si="41"/>
        <v>1.5599999999999999E-2</v>
      </c>
      <c r="AA126" s="204">
        <f t="shared" si="42"/>
        <v>23.281600000000001</v>
      </c>
      <c r="AB126" s="57" t="str">
        <f>VLOOKUP(A126,Enforcements!$C$7:$K$13,8,0)</f>
        <v>Bulletin (2)</v>
      </c>
      <c r="AC126" s="53" t="str">
        <f>VLOOKUP(A126,Enforcements!$C$7:$E$13,3,0)</f>
        <v>GRADE CROSSING</v>
      </c>
      <c r="AD126" s="54" t="str">
        <f t="shared" si="43"/>
        <v>0214-04</v>
      </c>
      <c r="AE126" s="80" t="str">
        <f t="shared" si="44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126" s="77" t="str">
        <f t="shared" si="45"/>
        <v>"C:\Program Files (x86)\AstroGrep\AstroGrep.exe" /e /r /s /spath="%USERPROFILE%\AppData\Local\Temp\OnboardLogs" /stypes="app*4059*20170605*" /stext=" 01:.+((SYSTEM_STATE.+slice.+state.+changed )|(ment ac)|(multiple cpu faults)|(system.+state.+changed )|(\[timeout)|(PRM\|1\|D)|(kpr)|(kdp)|(train st.+moving)|(\|lc)|(penalty))"</v>
      </c>
      <c r="AG126" s="1" t="str">
        <f t="shared" si="46"/>
        <v>EC</v>
      </c>
      <c r="AH126" s="81" t="str">
        <f t="shared" si="48"/>
        <v>"%USERPROFILE%\Documents\GitHub\eaglep3\Utilities\RefineRTDCRunTimes.py" --tripid 214-04 --locoid 4059 --swversion DE.1.0.9.0 --startMP 204:232972 --initTime 2017-06-04T18:29:37 --startdatetime 2017-06-04T18:42:32 --delay 1 --endMP 204:156 --enddatetime 2017-06-04T19:20:36 --enforcementcount 0 &gt;&gt;C:\Users\stu\Documents\GitHub\eaglep3-reporting\EC\2017-06-04-refined-times.txt</v>
      </c>
      <c r="AI126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{"issue":{"subject":"","project_id":79,"tracker_id":40,"status_id":1,"priority_id":2,"assigned_to_id":23,"start_date":"2017-06-04","description":"","custom_fields":[{"id":1,"name":"Subdivision","value":"EC"},{"id":4,"name":"Milepost","value":"0.0156"},{"id":17,"name":"Train ID","value":"214-04"},{"id":16,"name":"Locomotive ID","value":"4059"},{"id":130,"name":"Impact","value":""},{"id":150,"name":"Time of Event (Mountain Time)","value":"19:20:36"},{"id":151,"name":"Denver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0"/>
        <v>start /low /b %USERPROFILE%\Documents\GitHub\eaglep3\Utilities\DownloadLogsFromS3.py --loco 4059 --day 2017-06-04</v>
      </c>
      <c r="AN126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810</v>
      </c>
      <c r="B127" s="7">
        <v>4056</v>
      </c>
      <c r="C127" s="21" t="s">
        <v>204</v>
      </c>
      <c r="D127" s="21" t="s">
        <v>356</v>
      </c>
      <c r="E127" s="13">
        <v>42890.745509259257</v>
      </c>
      <c r="F127" s="13">
        <v>42890.750289351854</v>
      </c>
      <c r="G127" s="7">
        <v>1</v>
      </c>
      <c r="H127" s="21" t="s">
        <v>630</v>
      </c>
      <c r="I127" s="13">
        <v>42890.77542824074</v>
      </c>
      <c r="J127" s="7">
        <v>0</v>
      </c>
      <c r="K127" s="92" t="str">
        <f t="shared" si="34"/>
        <v>4055/4056</v>
      </c>
      <c r="L127" s="21" t="str">
        <f>VLOOKUP(A127,'Trips&amp;Operators'!$C$1:$G$99999,5,FALSE)</f>
        <v>MCREYNOLDS KYLE</v>
      </c>
      <c r="M127" s="6">
        <f t="shared" si="35"/>
        <v>2.5138888886431232E-2</v>
      </c>
      <c r="N127" s="7">
        <f t="shared" si="53"/>
        <v>36.199999996460974</v>
      </c>
      <c r="O127" s="7"/>
      <c r="P127" s="7"/>
      <c r="Q127" s="22"/>
      <c r="R127" s="173"/>
      <c r="S127" s="176">
        <f t="shared" si="36"/>
        <v>1</v>
      </c>
      <c r="T127" s="202" t="str">
        <f t="shared" si="37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8"/>
        <v>https://d0f6bd738d7f1b3e5a7ca70fe4ff75f0.us-east-1.aws.found.io/app/kibana#/discover/Steve-Slow-Train-Analysis-(2080s-and-2083s)?_g=(refreshInterval:(display:Off,pause:!f,section:0,value:0),time:(from:'2017-06-04T16:53:32-0600',mode:absolute,to:'2017-06-04T19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204" t="str">
        <f t="shared" si="39"/>
        <v>N</v>
      </c>
      <c r="X127" s="204">
        <f t="shared" si="54"/>
        <v>1</v>
      </c>
      <c r="Y127" s="204">
        <f t="shared" si="40"/>
        <v>4.5100000000000001E-2</v>
      </c>
      <c r="Z127" s="204">
        <f t="shared" si="41"/>
        <v>23.335899999999999</v>
      </c>
      <c r="AA127" s="204">
        <f t="shared" si="42"/>
        <v>23.290799999999997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3"/>
        <v>0215-04</v>
      </c>
      <c r="AE127" s="80" t="str">
        <f t="shared" si="44"/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AF127" s="77" t="str">
        <f t="shared" si="45"/>
        <v>"C:\Program Files (x86)\AstroGrep\AstroGrep.exe" /e /r /s /spath="%USERPROFILE%\AppData\Local\Temp\OnboardLogs" /stypes="app*4056*20170605*" /stext=" 00:.+((SYSTEM_STATE.+slice.+state.+changed )|(ment ac)|(multiple cpu faults)|(system.+state.+changed )|(\[timeout)|(PRM\|1\|D)|(kpr)|(kdp)|(train st.+moving)|(\|lc)|(penalty))"</v>
      </c>
      <c r="AG127" s="1" t="str">
        <f t="shared" si="46"/>
        <v>EC</v>
      </c>
      <c r="AH127" s="81" t="str">
        <f t="shared" si="48"/>
        <v>"%USERPROFILE%\Documents\GitHub\eaglep3\Utilities\RefineRTDCRunTimes.py" --tripid 215-04 --locoid 4056 --swversion DE.1.0.9.0 --startMP 204:451 --initTime 2017-06-04T17:53:32 --startdatetime 2017-06-04T18:00:25 --delay 1 --endMP 204:233359 --enddatetime 2017-06-04T18:36:37 --enforcementcount 0 &gt;&gt;C:\Users\stu\Documents\GitHub\eaglep3-reporting\EC\2017-06-04-refined-times.txt</v>
      </c>
      <c r="AI127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{"issue":{"subject":"","project_id":79,"tracker_id":40,"status_id":1,"priority_id":2,"assigned_to_id":23,"start_date":"2017-06-04","description":"","custom_fields":[{"id":1,"name":"Subdivision","value":"EC"},{"id":4,"name":"Milepost","value":"23.3359"},{"id":17,"name":"Train ID","value":"215-04"},{"id":16,"name":"Locomotive ID","value":"4056"},{"id":130,"name":"Impact","value":""},{"id":150,"name":"Time of Event (Mountain Time)","value":"18:36:37"},{"id":151,"name":"Denver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0"/>
        <v>start /low /b %USERPROFILE%\Documents\GitHub\eaglep3\Utilities\DownloadLogsFromS3.py --loco 4056 --day 2017-06-04</v>
      </c>
      <c r="AN127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816</v>
      </c>
      <c r="B128" s="7">
        <v>4055</v>
      </c>
      <c r="C128" s="21" t="s">
        <v>204</v>
      </c>
      <c r="D128" s="21" t="s">
        <v>864</v>
      </c>
      <c r="E128" s="13">
        <v>42890.781921296293</v>
      </c>
      <c r="F128" s="13">
        <v>42890.789780092593</v>
      </c>
      <c r="G128" s="7">
        <v>1</v>
      </c>
      <c r="H128" s="21" t="s">
        <v>433</v>
      </c>
      <c r="I128" s="13">
        <v>42890.815810185188</v>
      </c>
      <c r="J128" s="7">
        <v>0</v>
      </c>
      <c r="K128" s="92" t="str">
        <f t="shared" si="34"/>
        <v>4055/4056</v>
      </c>
      <c r="L128" s="21" t="str">
        <f>VLOOKUP(A128,'Trips&amp;Operators'!$C$1:$G$99999,5,FALSE)</f>
        <v>MCREYNOLDS KYLE</v>
      </c>
      <c r="M128" s="6">
        <f t="shared" si="35"/>
        <v>2.6030092594737653E-2</v>
      </c>
      <c r="N128" s="7">
        <f t="shared" si="53"/>
        <v>37.48333333642222</v>
      </c>
      <c r="O128" s="7"/>
      <c r="P128" s="7"/>
      <c r="Q128" s="22"/>
      <c r="R128" s="173"/>
      <c r="S128" s="176">
        <f t="shared" si="36"/>
        <v>1</v>
      </c>
      <c r="T128" s="202" t="str">
        <f t="shared" si="37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8"/>
        <v>https://d0f6bd738d7f1b3e5a7ca70fe4ff75f0.us-east-1.aws.found.io/app/kibana#/discover/Steve-Slow-Train-Analysis-(2080s-and-2083s)?_g=(refreshInterval:(display:Off,pause:!f,section:0,value:0),time:(from:'2017-06-04T17:45:58-0600',mode:absolute,to:'2017-06-04T20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204" t="str">
        <f t="shared" si="39"/>
        <v>N</v>
      </c>
      <c r="X128" s="204">
        <f t="shared" si="54"/>
        <v>1</v>
      </c>
      <c r="Y128" s="204">
        <f t="shared" si="40"/>
        <v>23.303599999999999</v>
      </c>
      <c r="Z128" s="204">
        <f t="shared" si="41"/>
        <v>1.61E-2</v>
      </c>
      <c r="AA128" s="204">
        <f t="shared" si="42"/>
        <v>23.287499999999998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3"/>
        <v>0216-04</v>
      </c>
      <c r="AE128" s="80" t="str">
        <f t="shared" si="44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128" s="77" t="str">
        <f t="shared" si="45"/>
        <v>"C:\Program Files (x86)\AstroGrep\AstroGrep.exe" /e /r /s /spath="%USERPROFILE%\AppData\Local\Temp\OnboardLogs" /stypes="app*4055*20170605*" /stext=" 01:.+((SYSTEM_STATE.+slice.+state.+changed )|(ment ac)|(multiple cpu faults)|(system.+state.+changed )|(\[timeout)|(PRM\|1\|D)|(kpr)|(kdp)|(train st.+moving)|(\|lc)|(penalty))"</v>
      </c>
      <c r="AG128" s="1" t="str">
        <f t="shared" si="46"/>
        <v>EC</v>
      </c>
      <c r="AH128" s="81" t="str">
        <f t="shared" si="48"/>
        <v>"%USERPROFILE%\Documents\GitHub\eaglep3\Utilities\RefineRTDCRunTimes.py" --tripid 216-04 --locoid 4055 --swversion DE.1.0.9.0 --startMP 204:233036 --initTime 2017-06-04T18:45:58 --startdatetime 2017-06-04T18:57:17 --delay 1 --endMP 204:161 --enddatetime 2017-06-04T19:34:46 --enforcementcount 0 &gt;&gt;C:\Users\stu\Documents\GitHub\eaglep3-reporting\EC\2017-06-04-refined-times.txt</v>
      </c>
      <c r="AI128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{"issue":{"subject":"","project_id":79,"tracker_id":40,"status_id":1,"priority_id":2,"assigned_to_id":23,"start_date":"2017-06-04","description":"","custom_fields":[{"id":1,"name":"Subdivision","value":"EC"},{"id":4,"name":"Milepost","value":"0.0161"},{"id":17,"name":"Train ID","value":"216-04"},{"id":16,"name":"Locomotive ID","value":"4055"},{"id":130,"name":"Impact","value":""},{"id":150,"name":"Time of Event (Mountain Time)","value":"19:34:46"},{"id":151,"name":"Denver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0"/>
        <v>start /low /b %USERPROFILE%\Documents\GitHub\eaglep3\Utilities\DownloadLogsFromS3.py --loco 4055 --day 2017-06-04</v>
      </c>
      <c r="AN128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673</v>
      </c>
      <c r="B129" s="7">
        <v>4026</v>
      </c>
      <c r="C129" s="21" t="s">
        <v>204</v>
      </c>
      <c r="D129" s="21" t="s">
        <v>360</v>
      </c>
      <c r="E129" s="13">
        <v>42890.757048611114</v>
      </c>
      <c r="F129" s="13">
        <v>42890.760567129626</v>
      </c>
      <c r="G129" s="7">
        <v>1</v>
      </c>
      <c r="H129" s="21" t="s">
        <v>930</v>
      </c>
      <c r="I129" s="13">
        <v>42890.785393518519</v>
      </c>
      <c r="J129" s="7">
        <v>0</v>
      </c>
      <c r="K129" s="92" t="str">
        <f t="shared" si="34"/>
        <v>4025/4026</v>
      </c>
      <c r="L129" s="21" t="str">
        <f>VLOOKUP(A129,'Trips&amp;Operators'!$C$1:$G$99999,5,FALSE)</f>
        <v>PERKINS DARREN</v>
      </c>
      <c r="M129" s="6">
        <f t="shared" si="35"/>
        <v>2.4826388893416151E-2</v>
      </c>
      <c r="N129" s="7">
        <f t="shared" si="53"/>
        <v>35.750000006519258</v>
      </c>
      <c r="O129" s="7"/>
      <c r="P129" s="7"/>
      <c r="Q129" s="22"/>
      <c r="R129" s="173"/>
      <c r="S129" s="176">
        <f t="shared" si="36"/>
        <v>1</v>
      </c>
      <c r="T129" s="202" t="str">
        <f t="shared" si="37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8"/>
        <v>https://d0f6bd738d7f1b3e5a7ca70fe4ff75f0.us-east-1.aws.found.io/app/kibana#/discover/Steve-Slow-Train-Analysis-(2080s-and-2083s)?_g=(refreshInterval:(display:Off,pause:!f,section:0,value:0),time:(from:'2017-06-04T17:10:09-0600',mode:absolute,to:'2017-06-04T19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04" t="str">
        <f t="shared" si="39"/>
        <v>N</v>
      </c>
      <c r="X129" s="204">
        <f t="shared" si="54"/>
        <v>1</v>
      </c>
      <c r="Y129" s="204">
        <f t="shared" si="40"/>
        <v>4.4699999999999997E-2</v>
      </c>
      <c r="Z129" s="204">
        <f t="shared" si="41"/>
        <v>23.334199999999999</v>
      </c>
      <c r="AA129" s="204">
        <f t="shared" si="42"/>
        <v>23.2895</v>
      </c>
      <c r="AB129" s="57" t="str">
        <f>VLOOKUP(A129,Enforcements!$C$7:$K$13,8,0)</f>
        <v>Bulletin (2)</v>
      </c>
      <c r="AC129" s="53" t="str">
        <f>VLOOKUP(A129,Enforcements!$C$7:$E$13,3,0)</f>
        <v>GRADE CROSSING</v>
      </c>
      <c r="AD129" s="54" t="str">
        <f t="shared" si="43"/>
        <v>0217-04</v>
      </c>
      <c r="AE129" s="80" t="str">
        <f t="shared" si="44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129" s="77" t="str">
        <f t="shared" si="45"/>
        <v>"C:\Program Files (x86)\AstroGrep\AstroGrep.exe" /e /r /s /spath="%USERPROFILE%\AppData\Local\Temp\OnboardLogs" /stypes="app*4026*20170605*" /stext=" 00:.+((SYSTEM_STATE.+slice.+state.+changed )|(ment ac)|(multiple cpu faults)|(system.+state.+changed )|(\[timeout)|(PRM\|1\|D)|(kpr)|(kdp)|(train st.+moving)|(\|lc)|(penalty))"</v>
      </c>
      <c r="AG129" s="1" t="str">
        <f t="shared" si="46"/>
        <v>EC</v>
      </c>
      <c r="AH129" s="81" t="str">
        <f t="shared" si="48"/>
        <v>"%USERPROFILE%\Documents\GitHub\eaglep3\Utilities\RefineRTDCRunTimes.py" --tripid 217-04 --locoid 4026 --swversion DE.1.0.9.0 --startMP 204:447 --initTime 2017-06-04T18:10:09 --startdatetime 2017-06-04T18:15:13 --delay 1 --endMP 204:233342 --enddatetime 2017-06-04T18:50:58 --enforcementcount 0 &gt;&gt;C:\Users\stu\Documents\GitHub\eaglep3-reporting\EC\2017-06-04-refined-times.txt</v>
      </c>
      <c r="AI129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{"issue":{"subject":"","project_id":79,"tracker_id":40,"status_id":1,"priority_id":2,"assigned_to_id":23,"start_date":"2017-06-04","description":"","custom_fields":[{"id":1,"name":"Subdivision","value":"EC"},{"id":4,"name":"Milepost","value":"23.3342"},{"id":17,"name":"Train ID","value":"217-04"},{"id":16,"name":"Locomotive ID","value":"4026"},{"id":130,"name":"Impact","value":""},{"id":150,"name":"Time of Event (Mountain Time)","value":"18:50:58"},{"id":151,"name":"Denver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0"/>
        <v>start /low /b %USERPROFILE%\Documents\GitHub\eaglep3\Utilities\DownloadLogsFromS3.py --loco 4026 --day 2017-06-04</v>
      </c>
      <c r="AN129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678</v>
      </c>
      <c r="B130" s="7">
        <v>4025</v>
      </c>
      <c r="C130" s="21" t="s">
        <v>204</v>
      </c>
      <c r="D130" s="21" t="s">
        <v>488</v>
      </c>
      <c r="E130" s="13">
        <v>42890.793692129628</v>
      </c>
      <c r="F130" s="13">
        <v>42890.800185185188</v>
      </c>
      <c r="G130" s="7">
        <v>1</v>
      </c>
      <c r="H130" s="21" t="s">
        <v>352</v>
      </c>
      <c r="I130" s="13">
        <v>42890.82644675926</v>
      </c>
      <c r="J130" s="7">
        <v>0</v>
      </c>
      <c r="K130" s="92" t="str">
        <f t="shared" si="34"/>
        <v>4025/4026</v>
      </c>
      <c r="L130" s="21" t="str">
        <f>VLOOKUP(A130,'Trips&amp;Operators'!$C$1:$G$99999,5,FALSE)</f>
        <v>PERKINS DARREN</v>
      </c>
      <c r="M130" s="6">
        <f t="shared" si="35"/>
        <v>2.626157407212304E-2</v>
      </c>
      <c r="N130" s="7">
        <f t="shared" si="53"/>
        <v>37.816666663857177</v>
      </c>
      <c r="O130" s="7"/>
      <c r="P130" s="7"/>
      <c r="Q130" s="22"/>
      <c r="R130" s="173"/>
      <c r="S130" s="176">
        <f t="shared" si="36"/>
        <v>1</v>
      </c>
      <c r="T130" s="202" t="str">
        <f t="shared" si="37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8"/>
        <v>https://d0f6bd738d7f1b3e5a7ca70fe4ff75f0.us-east-1.aws.found.io/app/kibana#/discover/Steve-Slow-Train-Analysis-(2080s-and-2083s)?_g=(refreshInterval:(display:Off,pause:!f,section:0,value:0),time:(from:'2017-06-04T18:02:55-0600',mode:absolute,to:'2017-06-04T20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04" t="str">
        <f t="shared" si="39"/>
        <v>N</v>
      </c>
      <c r="X130" s="204">
        <f t="shared" si="54"/>
        <v>1</v>
      </c>
      <c r="Y130" s="204">
        <f t="shared" si="40"/>
        <v>23.3002</v>
      </c>
      <c r="Z130" s="204">
        <f t="shared" si="41"/>
        <v>1.4999999999999999E-2</v>
      </c>
      <c r="AA130" s="204">
        <f t="shared" si="42"/>
        <v>23.2852</v>
      </c>
      <c r="AB130" s="57" t="str">
        <f>VLOOKUP(A130,Enforcements!$C$7:$K$13,8,0)</f>
        <v>Bulletin (2)</v>
      </c>
      <c r="AC130" s="53" t="str">
        <f>VLOOKUP(A130,Enforcements!$C$7:$E$13,3,0)</f>
        <v>GRADE CROSSING</v>
      </c>
      <c r="AD130" s="54" t="str">
        <f t="shared" si="43"/>
        <v>0218-04</v>
      </c>
      <c r="AE130" s="80" t="str">
        <f t="shared" si="44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130" s="77" t="str">
        <f t="shared" si="45"/>
        <v>"C:\Program Files (x86)\AstroGrep\AstroGrep.exe" /e /r /s /spath="%USERPROFILE%\AppData\Local\Temp\OnboardLogs" /stypes="app*4025*20170605*" /stext=" 01:.+((SYSTEM_STATE.+slice.+state.+changed )|(ment ac)|(multiple cpu faults)|(system.+state.+changed )|(\[timeout)|(PRM\|1\|D)|(kpr)|(kdp)|(train st.+moving)|(\|lc)|(penalty))"</v>
      </c>
      <c r="AG130" s="1" t="str">
        <f t="shared" si="46"/>
        <v>EC</v>
      </c>
      <c r="AH130" s="81" t="str">
        <f t="shared" si="48"/>
        <v>"%USERPROFILE%\Documents\GitHub\eaglep3\Utilities\RefineRTDCRunTimes.py" --tripid 218-04 --locoid 4025 --swversion DE.1.0.9.0 --startMP 204:233002 --initTime 2017-06-04T19:02:55 --startdatetime 2017-06-04T19:12:16 --delay 1 --endMP 204:150 --enddatetime 2017-06-04T19:50:05 --enforcementcount 0 &gt;&gt;C:\Users\stu\Documents\GitHub\eaglep3-reporting\EC\2017-06-04-refined-times.txt</v>
      </c>
      <c r="AI130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ID","value":"218-04"},{"id":16,"name":"Locomotive ID","value":"4025"},{"id":130,"name":"Impact","value":""},{"id":150,"name":"Time of Event (Mountain Time)","value":"19:50:05"},{"id":151,"name":"Denver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0"/>
        <v>start /low /b %USERPROFILE%\Documents\GitHub\eaglep3\Utilities\DownloadLogsFromS3.py --loco 4025 --day 2017-06-04</v>
      </c>
      <c r="AN130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813</v>
      </c>
      <c r="B131" s="7">
        <v>4004</v>
      </c>
      <c r="C131" s="21" t="s">
        <v>204</v>
      </c>
      <c r="D131" s="21" t="s">
        <v>360</v>
      </c>
      <c r="E131" s="13">
        <v>42890.766875000001</v>
      </c>
      <c r="F131" s="13">
        <v>42890.771018518521</v>
      </c>
      <c r="G131" s="7">
        <v>3</v>
      </c>
      <c r="H131" s="21" t="s">
        <v>625</v>
      </c>
      <c r="I131" s="13">
        <v>42890.796863425923</v>
      </c>
      <c r="J131" s="7">
        <v>0</v>
      </c>
      <c r="K131" s="92" t="str">
        <f t="shared" si="34"/>
        <v>4003/4004</v>
      </c>
      <c r="L131" s="21" t="str">
        <f>VLOOKUP(A131,'Trips&amp;Operators'!$C$1:$G$99999,5,FALSE)</f>
        <v>DUNCAN SHEILA</v>
      </c>
      <c r="M131" s="6">
        <f t="shared" si="35"/>
        <v>2.5844907402643003E-2</v>
      </c>
      <c r="N131" s="7">
        <f t="shared" si="53"/>
        <v>37.216666659805924</v>
      </c>
      <c r="O131" s="7"/>
      <c r="P131" s="7"/>
      <c r="Q131" s="22"/>
      <c r="R131" s="173"/>
      <c r="S131" s="176">
        <f t="shared" si="36"/>
        <v>1</v>
      </c>
      <c r="T131" s="202" t="str">
        <f t="shared" si="37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8"/>
        <v>https://d0f6bd738d7f1b3e5a7ca70fe4ff75f0.us-east-1.aws.found.io/app/kibana#/discover/Steve-Slow-Train-Analysis-(2080s-and-2083s)?_g=(refreshInterval:(display:Off,pause:!f,section:0,value:0),time:(from:'2017-06-04T17:24:18-0600',mode:absolute,to:'2017-06-04T20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204" t="str">
        <f t="shared" si="39"/>
        <v>N</v>
      </c>
      <c r="X131" s="204">
        <f t="shared" si="54"/>
        <v>1</v>
      </c>
      <c r="Y131" s="204">
        <f t="shared" si="40"/>
        <v>4.4699999999999997E-2</v>
      </c>
      <c r="Z131" s="204">
        <f t="shared" si="41"/>
        <v>23.337199999999999</v>
      </c>
      <c r="AA131" s="204">
        <f t="shared" si="42"/>
        <v>23.2925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3"/>
        <v>0219-04</v>
      </c>
      <c r="AE131" s="80" t="str">
        <f t="shared" si="44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131" s="77" t="str">
        <f t="shared" si="45"/>
        <v>"C:\Program Files (x86)\AstroGrep\AstroGrep.exe" /e /r /s /spath="%USERPROFILE%\AppData\Local\Temp\OnboardLogs" /stypes="app*4004*20170605*" /stext=" 01:.+((SYSTEM_STATE.+slice.+state.+changed )|(ment ac)|(multiple cpu faults)|(system.+state.+changed )|(\[timeout)|(PRM\|1\|D)|(kpr)|(kdp)|(train st.+moving)|(\|lc)|(penalty))"</v>
      </c>
      <c r="AG131" s="1" t="str">
        <f t="shared" si="46"/>
        <v>EC</v>
      </c>
      <c r="AH131" s="81" t="str">
        <f t="shared" si="48"/>
        <v>"%USERPROFILE%\Documents\GitHub\eaglep3\Utilities\RefineRTDCRunTimes.py" --tripid 219-04 --locoid 4004 --swversion DE.1.0.9.0 --startMP 204:447 --initTime 2017-06-04T18:24:18 --startdatetime 2017-06-04T18:30:16 --delay 3 --endMP 204:233372 --enddatetime 2017-06-04T19:07:29 --enforcementcount 0 &gt;&gt;C:\Users\stu\Documents\GitHub\eaglep3-reporting\EC\2017-06-04-refined-times.txt</v>
      </c>
      <c r="AI13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{"issue":{"subject":"","project_id":79,"tracker_id":40,"status_id":1,"priority_id":2,"assigned_to_id":23,"start_date":"2017-06-04","description":"","custom_fields":[{"id":1,"name":"Subdivision","value":"EC"},{"id":4,"name":"Milepost","value":"23.3372"},{"id":17,"name":"Train ID","value":"219-04"},{"id":16,"name":"Locomotive ID","value":"4004"},{"id":130,"name":"Impact","value":""},{"id":150,"name":"Time of Event (Mountain Time)","value":"19:07:29"},{"id":151,"name":"Denver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0"/>
        <v>start /low /b %USERPROFILE%\Documents\GitHub\eaglep3\Utilities\DownloadLogsFromS3.py --loco 4004 --day 2017-06-04</v>
      </c>
      <c r="AN131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818</v>
      </c>
      <c r="B132" s="7">
        <v>4003</v>
      </c>
      <c r="C132" s="21" t="s">
        <v>204</v>
      </c>
      <c r="D132" s="21" t="s">
        <v>929</v>
      </c>
      <c r="E132" s="13">
        <v>42890.79892361111</v>
      </c>
      <c r="F132" s="13">
        <v>42890.810590277775</v>
      </c>
      <c r="G132" s="7">
        <v>2</v>
      </c>
      <c r="H132" s="21" t="s">
        <v>353</v>
      </c>
      <c r="I132" s="13">
        <v>42890.838229166664</v>
      </c>
      <c r="J132" s="7">
        <v>0</v>
      </c>
      <c r="K132" s="92" t="str">
        <f t="shared" si="34"/>
        <v>4003/4004</v>
      </c>
      <c r="L132" s="21" t="str">
        <f>VLOOKUP(A132,'Trips&amp;Operators'!$C$1:$G$99999,5,FALSE)</f>
        <v>DUNCAN SHEILA</v>
      </c>
      <c r="M132" s="6">
        <f t="shared" si="35"/>
        <v>2.7638888888759539E-2</v>
      </c>
      <c r="N132" s="7">
        <f t="shared" si="53"/>
        <v>39.799999999813735</v>
      </c>
      <c r="O132" s="7"/>
      <c r="P132" s="7"/>
      <c r="Q132" s="22"/>
      <c r="R132" s="173"/>
      <c r="S132" s="176">
        <f t="shared" si="36"/>
        <v>1</v>
      </c>
      <c r="T132" s="202" t="str">
        <f t="shared" si="37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8"/>
        <v>https://d0f6bd738d7f1b3e5a7ca70fe4ff75f0.us-east-1.aws.found.io/app/kibana#/discover/Steve-Slow-Train-Analysis-(2080s-and-2083s)?_g=(refreshInterval:(display:Off,pause:!f,section:0,value:0),time:(from:'2017-06-04T18:10:27-0600',mode:absolute,to:'2017-06-04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204" t="str">
        <f t="shared" si="39"/>
        <v>N</v>
      </c>
      <c r="X132" s="204">
        <f t="shared" si="54"/>
        <v>1</v>
      </c>
      <c r="Y132" s="204">
        <f t="shared" si="40"/>
        <v>23.3049</v>
      </c>
      <c r="Z132" s="204">
        <f t="shared" si="41"/>
        <v>1.49E-2</v>
      </c>
      <c r="AA132" s="204">
        <f t="shared" si="42"/>
        <v>23.29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3"/>
        <v>0220-04</v>
      </c>
      <c r="AE132" s="80" t="str">
        <f t="shared" si="44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132" s="77" t="str">
        <f t="shared" si="45"/>
        <v>"C:\Program Files (x86)\AstroGrep\AstroGrep.exe" /e /r /s /spath="%USERPROFILE%\AppData\Local\Temp\OnboardLogs" /stypes="app*4003*20170605*" /stext=" 02:.+((SYSTEM_STATE.+slice.+state.+changed )|(ment ac)|(multiple cpu faults)|(system.+state.+changed )|(\[timeout)|(PRM\|1\|D)|(kpr)|(kdp)|(train st.+moving)|(\|lc)|(penalty))"</v>
      </c>
      <c r="AG132" s="1" t="str">
        <f t="shared" si="46"/>
        <v>EC</v>
      </c>
      <c r="AH132" s="81" t="str">
        <f t="shared" si="48"/>
        <v>"%USERPROFILE%\Documents\GitHub\eaglep3\Utilities\RefineRTDCRunTimes.py" --tripid 220-04 --locoid 4003 --swversion DE.1.0.9.0 --startMP 204:233049 --initTime 2017-06-04T19:10:27 --startdatetime 2017-06-04T19:27:15 --delay 2 --endMP 204:149 --enddatetime 2017-06-04T20:07:03 --enforcementcount 0 &gt;&gt;C:\Users\stu\Documents\GitHub\eaglep3-reporting\EC\2017-06-04-refined-times.txt</v>
      </c>
      <c r="AI13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{"issue":{"subject":"","project_id":79,"tracker_id":40,"status_id":1,"priority_id":2,"assigned_to_id":23,"start_date":"2017-06-04","description":"","custom_fields":[{"id":1,"name":"Subdivision","value":"EC"},{"id":4,"name":"Milepost","value":"0.0149"},{"id":17,"name":"Train ID","value":"220-04"},{"id":16,"name":"Locomotive ID","value":"4003"},{"id":130,"name":"Impact","value":""},{"id":150,"name":"Time of Event (Mountain Time)","value":"20:07:03"},{"id":151,"name":"Denver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0"/>
        <v>start /low /b %USERPROFILE%\Documents\GitHub\eaglep3\Utilities\DownloadLogsFromS3.py --loco 4003 --day 2017-06-04</v>
      </c>
      <c r="AN132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677</v>
      </c>
      <c r="B133" s="7">
        <v>4012</v>
      </c>
      <c r="C133" s="21" t="s">
        <v>204</v>
      </c>
      <c r="D133" s="21" t="s">
        <v>603</v>
      </c>
      <c r="E133" s="13">
        <v>42890.785532407404</v>
      </c>
      <c r="F133" s="13">
        <v>42890.79210648148</v>
      </c>
      <c r="G133" s="7">
        <v>1</v>
      </c>
      <c r="H133" s="21" t="s">
        <v>945</v>
      </c>
      <c r="I133" s="13">
        <v>42890.816967592589</v>
      </c>
      <c r="J133" s="7">
        <v>0</v>
      </c>
      <c r="K133" s="92" t="str">
        <f t="shared" si="34"/>
        <v>4011/4012</v>
      </c>
      <c r="L133" s="21" t="str">
        <f>VLOOKUP(A133,'Trips&amp;Operators'!$C$1:$G$99999,5,FALSE)</f>
        <v>STAMBAUGH JAMES</v>
      </c>
      <c r="M133" s="6">
        <f t="shared" si="35"/>
        <v>2.4861111109203193E-2</v>
      </c>
      <c r="N133" s="7">
        <f t="shared" si="53"/>
        <v>35.799999997252598</v>
      </c>
      <c r="O133" s="7"/>
      <c r="P133" s="7"/>
      <c r="Q133" s="22"/>
      <c r="R133" s="173"/>
      <c r="S133" s="176">
        <f t="shared" si="36"/>
        <v>1</v>
      </c>
      <c r="T133" s="202" t="str">
        <f t="shared" si="37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8"/>
        <v>https://d0f6bd738d7f1b3e5a7ca70fe4ff75f0.us-east-1.aws.found.io/app/kibana#/discover/Steve-Slow-Train-Analysis-(2080s-and-2083s)?_g=(refreshInterval:(display:Off,pause:!f,section:0,value:0),time:(from:'2017-06-04T17:51:10-0600',mode:absolute,to:'2017-06-04T20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204" t="str">
        <f t="shared" si="39"/>
        <v>N</v>
      </c>
      <c r="X133" s="204">
        <f t="shared" si="54"/>
        <v>1</v>
      </c>
      <c r="Y133" s="204">
        <f t="shared" si="40"/>
        <v>4.2599999999999999E-2</v>
      </c>
      <c r="Z133" s="204">
        <f t="shared" si="41"/>
        <v>23.3416</v>
      </c>
      <c r="AA133" s="204">
        <f t="shared" si="42"/>
        <v>23.298999999999999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3"/>
        <v>0221-04</v>
      </c>
      <c r="AE133" s="80" t="str">
        <f t="shared" si="44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133" s="77" t="str">
        <f t="shared" si="45"/>
        <v>"C:\Program Files (x86)\AstroGrep\AstroGrep.exe" /e /r /s /spath="%USERPROFILE%\AppData\Local\Temp\OnboardLogs" /stypes="app*4012*20170605*" /stext=" 01:.+((SYSTEM_STATE.+slice.+state.+changed )|(ment ac)|(multiple cpu faults)|(system.+state.+changed )|(\[timeout)|(PRM\|1\|D)|(kpr)|(kdp)|(train st.+moving)|(\|lc)|(penalty))"</v>
      </c>
      <c r="AG133" s="1" t="str">
        <f t="shared" si="46"/>
        <v>EC</v>
      </c>
      <c r="AH133" s="81" t="str">
        <f t="shared" si="48"/>
        <v>"%USERPROFILE%\Documents\GitHub\eaglep3\Utilities\RefineRTDCRunTimes.py" --tripid 221-04 --locoid 4012 --swversion DE.1.0.9.0 --startMP 204:426 --initTime 2017-06-04T18:51:10 --startdatetime 2017-06-04T19:00:38 --delay 1 --endMP 204:233416 --enddatetime 2017-06-04T19:36:26 --enforcementcount 0 &gt;&gt;C:\Users\stu\Documents\GitHub\eaglep3-reporting\EC\2017-06-04-refined-times.txt</v>
      </c>
      <c r="AI13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{"issue":{"subject":"","project_id":79,"tracker_id":40,"status_id":1,"priority_id":2,"assigned_to_id":23,"start_date":"2017-06-04","description":"","custom_fields":[{"id":1,"name":"Subdivision","value":"EC"},{"id":4,"name":"Milepost","value":"23.3416"},{"id":17,"name":"Train ID","value":"221-04"},{"id":16,"name":"Locomotive ID","value":"4012"},{"id":130,"name":"Impact","value":""},{"id":150,"name":"Time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0"/>
        <v>start /low /b %USERPROFILE%\Documents\GitHub\eaglep3\Utilities\DownloadLogsFromS3.py --loco 4012 --day 2017-06-04</v>
      </c>
      <c r="AN133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679</v>
      </c>
      <c r="B134" s="7">
        <v>4011</v>
      </c>
      <c r="C134" s="21" t="s">
        <v>204</v>
      </c>
      <c r="D134" s="21" t="s">
        <v>946</v>
      </c>
      <c r="E134" s="13">
        <v>42890.829027777778</v>
      </c>
      <c r="F134" s="13">
        <v>42890.831643518519</v>
      </c>
      <c r="G134" s="7">
        <v>1</v>
      </c>
      <c r="H134" s="21" t="s">
        <v>354</v>
      </c>
      <c r="I134" s="13">
        <v>42890.85765046296</v>
      </c>
      <c r="J134" s="7">
        <v>0</v>
      </c>
      <c r="K134" s="92" t="str">
        <f t="shared" si="34"/>
        <v>4011/4012</v>
      </c>
      <c r="L134" s="21" t="str">
        <f>VLOOKUP(A134,'Trips&amp;Operators'!$C$1:$G$99999,5,FALSE)</f>
        <v>STAMBAUGH JAMES</v>
      </c>
      <c r="M134" s="6">
        <f t="shared" si="35"/>
        <v>2.6006944441178348E-2</v>
      </c>
      <c r="N134" s="7">
        <f t="shared" si="53"/>
        <v>37.449999995296821</v>
      </c>
      <c r="O134" s="7"/>
      <c r="P134" s="7"/>
      <c r="Q134" s="22"/>
      <c r="R134" s="173"/>
      <c r="S134" s="176">
        <f t="shared" si="36"/>
        <v>1</v>
      </c>
      <c r="T134" s="202" t="str">
        <f t="shared" si="37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8"/>
        <v>https://d0f6bd738d7f1b3e5a7ca70fe4ff75f0.us-east-1.aws.found.io/app/kibana#/discover/Steve-Slow-Train-Analysis-(2080s-and-2083s)?_g=(refreshInterval:(display:Off,pause:!f,section:0,value:0),time:(from:'2017-06-04T18:53:48-0600',mode:absolute,to:'2017-06-04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204" t="str">
        <f t="shared" si="39"/>
        <v>N</v>
      </c>
      <c r="X134" s="204">
        <f t="shared" si="54"/>
        <v>1</v>
      </c>
      <c r="Y134" s="204">
        <f t="shared" si="40"/>
        <v>23.3111</v>
      </c>
      <c r="Z134" s="204">
        <f t="shared" si="41"/>
        <v>1.43E-2</v>
      </c>
      <c r="AA134" s="204">
        <f t="shared" si="42"/>
        <v>23.296800000000001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3"/>
        <v>0222-04</v>
      </c>
      <c r="AE134" s="80" t="str">
        <f t="shared" si="44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134" s="77" t="str">
        <f t="shared" si="45"/>
        <v>"C:\Program Files (x86)\AstroGrep\AstroGrep.exe" /e /r /s /spath="%USERPROFILE%\AppData\Local\Temp\OnboardLogs" /stypes="app*4011*20170605*" /stext=" 02:.+((SYSTEM_STATE.+slice.+state.+changed )|(ment ac)|(multiple cpu faults)|(system.+state.+changed )|(\[timeout)|(PRM\|1\|D)|(kpr)|(kdp)|(train st.+moving)|(\|lc)|(penalty))"</v>
      </c>
      <c r="AG134" s="1" t="str">
        <f t="shared" si="46"/>
        <v>EC</v>
      </c>
      <c r="AH134" s="81" t="str">
        <f t="shared" si="48"/>
        <v>"%USERPROFILE%\Documents\GitHub\eaglep3\Utilities\RefineRTDCRunTimes.py" --tripid 222-04 --locoid 4011 --swversion DE.1.0.9.0 --startMP 204:233111 --initTime 2017-06-04T19:53:48 --startdatetime 2017-06-04T19:57:34 --delay 1 --endMP 204:143 --enddatetime 2017-06-04T20:35:01 --enforcementcount 0 &gt;&gt;C:\Users\stu\Documents\GitHub\eaglep3-reporting\EC\2017-06-04-refined-times.txt</v>
      </c>
      <c r="AI134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{"issue":{"subject":"","project_id":79,"tracker_id":40,"status_id":1,"priority_id":2,"assigned_to_id":23,"start_date":"2017-06-04","description":"","custom_fields":[{"id":1,"name":"Subdivision","value":"EC"},{"id":4,"name":"Milepost","value":"0.0143"},{"id":17,"name":"Train ID","value":"222-04"},{"id":16,"name":"Locomotive ID","value":"4011"},{"id":130,"name":"Impact","value":""},{"id":150,"name":"Time of Event (Mountain Time)","value":"20:35:01"},{"id":151,"name":"Denver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0"/>
        <v>start /low /b %USERPROFILE%\Documents\GitHub\eaglep3\Utilities\DownloadLogsFromS3.py --loco 4011 --day 2017-06-04</v>
      </c>
      <c r="AN134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4060</v>
      </c>
      <c r="C135" s="21" t="s">
        <v>204</v>
      </c>
      <c r="D135" s="21" t="s">
        <v>627</v>
      </c>
      <c r="E135" s="13">
        <v>42890.808148148149</v>
      </c>
      <c r="F135" s="13">
        <v>42890.812789351854</v>
      </c>
      <c r="G135" s="7">
        <v>1</v>
      </c>
      <c r="H135" s="21" t="s">
        <v>947</v>
      </c>
      <c r="I135" s="13">
        <v>42890.837824074071</v>
      </c>
      <c r="J135" s="7">
        <v>0</v>
      </c>
      <c r="K135" s="92" t="str">
        <f t="shared" si="34"/>
        <v>4059/4060</v>
      </c>
      <c r="L135" s="21" t="str">
        <f>VLOOKUP(A135,'Trips&amp;Operators'!$C$1:$G$99999,5,FALSE)</f>
        <v>SMITH MICHAEL</v>
      </c>
      <c r="M135" s="6">
        <f t="shared" si="35"/>
        <v>2.5034722217242233E-2</v>
      </c>
      <c r="N135" s="7">
        <f t="shared" si="53"/>
        <v>36.049999992828816</v>
      </c>
      <c r="O135" s="7"/>
      <c r="P135" s="7"/>
      <c r="Q135" s="22"/>
      <c r="R135" s="173"/>
      <c r="S135" s="176">
        <f t="shared" si="36"/>
        <v>1</v>
      </c>
      <c r="T135" s="202" t="str">
        <f t="shared" si="37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8"/>
        <v>https://d0f6bd738d7f1b3e5a7ca70fe4ff75f0.us-east-1.aws.found.io/app/kibana#/discover/Steve-Slow-Train-Analysis-(2080s-and-2083s)?_g=(refreshInterval:(display:Off,pause:!f,section:0,value:0),time:(from:'2017-06-04T18:23:44-0600',mode:absolute,to:'2017-06-04T21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5" s="204" t="str">
        <f t="shared" si="39"/>
        <v>N</v>
      </c>
      <c r="X135" s="204">
        <f t="shared" si="54"/>
        <v>1</v>
      </c>
      <c r="Y135" s="204">
        <f t="shared" si="40"/>
        <v>4.82E-2</v>
      </c>
      <c r="Z135" s="204">
        <f t="shared" si="41"/>
        <v>23.345300000000002</v>
      </c>
      <c r="AA135" s="204">
        <f t="shared" si="42"/>
        <v>23.2971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3"/>
        <v>0223-04</v>
      </c>
      <c r="AE135" s="80" t="str">
        <f t="shared" si="44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135" s="77" t="str">
        <f t="shared" si="45"/>
        <v>"C:\Program Files (x86)\AstroGrep\AstroGrep.exe" /e /r /s /spath="%USERPROFILE%\AppData\Local\Temp\OnboardLogs" /stypes="app*4060*20170605*" /stext=" 02:.+((SYSTEM_STATE.+slice.+state.+changed )|(ment ac)|(multiple cpu faults)|(system.+state.+changed )|(\[timeout)|(PRM\|1\|D)|(kpr)|(kdp)|(train st.+moving)|(\|lc)|(penalty))"</v>
      </c>
      <c r="AG135" s="1" t="str">
        <f t="shared" si="46"/>
        <v>EC</v>
      </c>
      <c r="AH135" s="81" t="str">
        <f t="shared" si="48"/>
        <v>"%USERPROFILE%\Documents\GitHub\eaglep3\Utilities\RefineRTDCRunTimes.py" --tripid 223-04 --locoid 4060 --swversion DE.1.0.9.0 --startMP 204:482 --initTime 2017-06-04T19:23:44 --startdatetime 2017-06-04T19:30:25 --delay 1 --endMP 204:233453 --enddatetime 2017-06-04T20:06:28 --enforcementcount 0 &gt;&gt;C:\Users\stu\Documents\GitHub\eaglep3-reporting\EC\2017-06-04-refined-times.txt</v>
      </c>
      <c r="AI135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{"issue":{"subject":"","project_id":79,"tracker_id":40,"status_id":1,"priority_id":2,"assigned_to_id":23,"start_date":"2017-06-04","description":"","custom_fields":[{"id":1,"name":"Subdivision","value":"EC"},{"id":4,"name":"Milepost","value":"23.3453"},{"id":17,"name":"Train ID","value":"223-04"},{"id":16,"name":"Locomotive ID","value":"4060"},{"id":130,"name":"Impact","value":""},{"id":150,"name":"Time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0"/>
        <v>start /low /b %USERPROFILE%\Documents\GitHub\eaglep3\Utilities\DownloadLogsFromS3.py --loco 4060 --day 2017-06-04</v>
      </c>
      <c r="AN135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02:06:28"},{"id":29,"name":"Sharepoint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826</v>
      </c>
      <c r="B136" s="7">
        <v>4059</v>
      </c>
      <c r="C136" s="21" t="s">
        <v>204</v>
      </c>
      <c r="D136" s="21" t="s">
        <v>948</v>
      </c>
      <c r="E136" s="13">
        <v>42890.84578703704</v>
      </c>
      <c r="F136" s="13">
        <v>42890.85229166667</v>
      </c>
      <c r="G136" s="7">
        <v>1</v>
      </c>
      <c r="H136" s="21" t="s">
        <v>949</v>
      </c>
      <c r="I136" s="13">
        <v>42890.878391203703</v>
      </c>
      <c r="J136" s="7">
        <v>0</v>
      </c>
      <c r="K136" s="92" t="str">
        <f t="shared" si="34"/>
        <v>4059/4060</v>
      </c>
      <c r="L136" s="21" t="str">
        <f>VLOOKUP(A136,'Trips&amp;Operators'!$C$1:$G$99999,5,FALSE)</f>
        <v>SMITH MICHAEL</v>
      </c>
      <c r="M136" s="6">
        <f t="shared" si="35"/>
        <v>2.6099537033587694E-2</v>
      </c>
      <c r="N136" s="7">
        <f t="shared" si="53"/>
        <v>37.58333332836628</v>
      </c>
      <c r="O136" s="7"/>
      <c r="P136" s="7"/>
      <c r="Q136" s="22"/>
      <c r="R136" s="173"/>
      <c r="S136" s="176">
        <f t="shared" si="36"/>
        <v>1</v>
      </c>
      <c r="T136" s="202" t="str">
        <f t="shared" si="37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8"/>
        <v>https://d0f6bd738d7f1b3e5a7ca70fe4ff75f0.us-east-1.aws.found.io/app/kibana#/discover/Steve-Slow-Train-Analysis-(2080s-and-2083s)?_g=(refreshInterval:(display:Off,pause:!f,section:0,value:0),time:(from:'2017-06-04T19:17:56-0600',mode:absolute,to:'2017-06-04T22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6" s="204" t="str">
        <f t="shared" si="39"/>
        <v>N</v>
      </c>
      <c r="X136" s="204">
        <f t="shared" si="54"/>
        <v>1</v>
      </c>
      <c r="Y136" s="204">
        <f t="shared" si="40"/>
        <v>23.3108</v>
      </c>
      <c r="Z136" s="204">
        <f t="shared" si="41"/>
        <v>1.6899999999999998E-2</v>
      </c>
      <c r="AA136" s="204">
        <f t="shared" si="42"/>
        <v>23.293900000000001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3"/>
        <v>0224-04</v>
      </c>
      <c r="AE136" s="80" t="str">
        <f t="shared" si="44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136" s="77" t="str">
        <f t="shared" si="45"/>
        <v>"C:\Program Files (x86)\AstroGrep\AstroGrep.exe" /e /r /s /spath="%USERPROFILE%\AppData\Local\Temp\OnboardLogs" /stypes="app*4059*20170605*" /stext=" 03:.+((SYSTEM_STATE.+slice.+state.+changed )|(ment ac)|(multiple cpu faults)|(system.+state.+changed )|(\[timeout)|(PRM\|1\|D)|(kpr)|(kdp)|(train st.+moving)|(\|lc)|(penalty))"</v>
      </c>
      <c r="AG136" s="1" t="str">
        <f t="shared" si="46"/>
        <v>EC</v>
      </c>
      <c r="AH136" s="81" t="str">
        <f t="shared" si="48"/>
        <v>"%USERPROFILE%\Documents\GitHub\eaglep3\Utilities\RefineRTDCRunTimes.py" --tripid 224-04 --locoid 4059 --swversion DE.1.0.9.0 --startMP 204:233108 --initTime 2017-06-04T20:17:56 --startdatetime 2017-06-04T20:27:18 --delay 1 --endMP 204:169 --enddatetime 2017-06-04T21:04:53 --enforcementcount 0 &gt;&gt;C:\Users\stu\Documents\GitHub\eaglep3-reporting\EC\2017-06-04-refined-times.txt</v>
      </c>
      <c r="AI136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{"issue":{"subject":"","project_id":79,"tracker_id":40,"status_id":1,"priority_id":2,"assigned_to_id":23,"start_date":"2017-06-04","description":"","custom_fields":[{"id":1,"name":"Subdivision","value":"EC"},{"id":4,"name":"Milepost","value":"0.0169"},{"id":17,"name":"Train ID","value":"224-04"},{"id":16,"name":"Locomotive ID","value":"4059"},{"id":130,"name":"Impact","value":""},{"id":150,"name":"Time of Event (Mountain Time)","value":"21:04:53"},{"id":151,"name":"Denver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0"/>
        <v>start /low /b %USERPROFILE%\Documents\GitHub\eaglep3\Utilities\DownloadLogsFromS3.py --loco 4059 --day 2017-06-04</v>
      </c>
      <c r="AN136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823</v>
      </c>
      <c r="B137" s="7">
        <v>4026</v>
      </c>
      <c r="C137" s="21" t="s">
        <v>204</v>
      </c>
      <c r="D137" s="21" t="s">
        <v>560</v>
      </c>
      <c r="E137" s="13">
        <v>42890.828344907408</v>
      </c>
      <c r="F137" s="13">
        <v>42890.833506944444</v>
      </c>
      <c r="G137" s="7">
        <v>1</v>
      </c>
      <c r="H137" s="21" t="s">
        <v>615</v>
      </c>
      <c r="I137" s="13">
        <v>42890.858680555553</v>
      </c>
      <c r="J137" s="7">
        <v>0</v>
      </c>
      <c r="K137" s="92" t="str">
        <f t="shared" si="34"/>
        <v>4025/4026</v>
      </c>
      <c r="L137" s="21" t="str">
        <f>VLOOKUP(A137,'Trips&amp;Operators'!$C$1:$G$99999,5,FALSE)</f>
        <v>PERKINS DARREN</v>
      </c>
      <c r="M137" s="6">
        <f t="shared" si="35"/>
        <v>2.5173611109494232E-2</v>
      </c>
      <c r="N137" s="7">
        <f t="shared" si="53"/>
        <v>36.249999997671694</v>
      </c>
      <c r="O137" s="7"/>
      <c r="P137" s="7"/>
      <c r="Q137" s="22"/>
      <c r="R137" s="173"/>
      <c r="S137" s="176">
        <f t="shared" si="36"/>
        <v>1</v>
      </c>
      <c r="T137" s="202" t="str">
        <f t="shared" si="37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8"/>
        <v>https://d0f6bd738d7f1b3e5a7ca70fe4ff75f0.us-east-1.aws.found.io/app/kibana#/discover/Steve-Slow-Train-Analysis-(2080s-and-2083s)?_g=(refreshInterval:(display:Off,pause:!f,section:0,value:0),time:(from:'2017-06-04T18:52:49-0600',mode:absolute,to:'2017-06-04T21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04" t="str">
        <f t="shared" si="39"/>
        <v>N</v>
      </c>
      <c r="X137" s="204">
        <f t="shared" si="54"/>
        <v>1</v>
      </c>
      <c r="Y137" s="204">
        <f t="shared" si="40"/>
        <v>4.4400000000000002E-2</v>
      </c>
      <c r="Z137" s="204">
        <f t="shared" si="41"/>
        <v>23.331099999999999</v>
      </c>
      <c r="AA137" s="204">
        <f t="shared" si="42"/>
        <v>23.2867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3"/>
        <v>0225-04</v>
      </c>
      <c r="AE137" s="80" t="str">
        <f t="shared" si="44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137" s="77" t="str">
        <f t="shared" si="45"/>
        <v>"C:\Program Files (x86)\AstroGrep\AstroGrep.exe" /e /r /s /spath="%USERPROFILE%\AppData\Local\Temp\OnboardLogs" /stypes="app*4026*20170605*" /stext=" 02:.+((SYSTEM_STATE.+slice.+state.+changed )|(ment ac)|(multiple cpu faults)|(system.+state.+changed )|(\[timeout)|(PRM\|1\|D)|(kpr)|(kdp)|(train st.+moving)|(\|lc)|(penalty))"</v>
      </c>
      <c r="AG137" s="1" t="str">
        <f t="shared" si="46"/>
        <v>EC</v>
      </c>
      <c r="AH137" s="81" t="str">
        <f t="shared" si="48"/>
        <v>"%USERPROFILE%\Documents\GitHub\eaglep3\Utilities\RefineRTDCRunTimes.py" --tripid 225-04 --locoid 4026 --swversion DE.1.0.9.0 --startMP 204:444 --initTime 2017-06-04T19:52:49 --startdatetime 2017-06-04T20:00:15 --delay 1 --endMP 204:233311 --enddatetime 2017-06-04T20:36:30 --enforcementcount 0 &gt;&gt;C:\Users\stu\Documents\GitHub\eaglep3-reporting\EC\2017-06-04-refined-times.txt</v>
      </c>
      <c r="AI137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{"issue":{"subject":"","project_id":79,"tracker_id":40,"status_id":1,"priority_id":2,"assigned_to_id":23,"start_date":"2017-06-04","description":"","custom_fields":[{"id":1,"name":"Subdivision","value":"EC"},{"id":4,"name":"Milepost","value":"23.3311"},{"id":17,"name":"Train ID","value":"225-04"},{"id":16,"name":"Locomotive ID","value":"4026"},{"id":130,"name":"Impact","value":""},{"id":150,"name":"Time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0"/>
        <v>start /low /b %USERPROFILE%\Documents\GitHub\eaglep3\Utilities\DownloadLogsFromS3.py --loco 4026 --day 2017-06-04</v>
      </c>
      <c r="AN137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830</v>
      </c>
      <c r="B138" s="7">
        <v>4025</v>
      </c>
      <c r="C138" s="21" t="s">
        <v>204</v>
      </c>
      <c r="D138" s="21" t="s">
        <v>432</v>
      </c>
      <c r="E138" s="13">
        <v>42890.868159722224</v>
      </c>
      <c r="F138" s="13">
        <v>42890.873206018521</v>
      </c>
      <c r="G138" s="7">
        <v>1</v>
      </c>
      <c r="H138" s="21" t="s">
        <v>352</v>
      </c>
      <c r="I138" s="13">
        <v>42890.89916666667</v>
      </c>
      <c r="J138" s="7">
        <v>0</v>
      </c>
      <c r="K138" s="92" t="str">
        <f t="shared" si="34"/>
        <v>4025/4026</v>
      </c>
      <c r="L138" s="21" t="str">
        <f>VLOOKUP(A138,'Trips&amp;Operators'!$C$1:$G$99999,5,FALSE)</f>
        <v>PERKINS DARREN</v>
      </c>
      <c r="M138" s="6">
        <f t="shared" si="35"/>
        <v>2.5960648148611654E-2</v>
      </c>
      <c r="N138" s="7">
        <f t="shared" si="53"/>
        <v>37.383333334000781</v>
      </c>
      <c r="O138" s="7"/>
      <c r="P138" s="7"/>
      <c r="Q138" s="22"/>
      <c r="R138" s="173"/>
      <c r="S138" s="176">
        <f t="shared" si="36"/>
        <v>1</v>
      </c>
      <c r="T138" s="202" t="str">
        <f t="shared" si="37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8"/>
        <v>https://d0f6bd738d7f1b3e5a7ca70fe4ff75f0.us-east-1.aws.found.io/app/kibana#/discover/Steve-Slow-Train-Analysis-(2080s-and-2083s)?_g=(refreshInterval:(display:Off,pause:!f,section:0,value:0),time:(from:'2017-06-04T19:50:09-0600',mode:absolute,to:'2017-06-04T22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04" t="str">
        <f t="shared" si="39"/>
        <v>N</v>
      </c>
      <c r="X138" s="204">
        <f t="shared" si="54"/>
        <v>1</v>
      </c>
      <c r="Y138" s="204">
        <f t="shared" si="40"/>
        <v>23.299800000000001</v>
      </c>
      <c r="Z138" s="204">
        <f t="shared" si="41"/>
        <v>1.4999999999999999E-2</v>
      </c>
      <c r="AA138" s="204">
        <f t="shared" si="42"/>
        <v>23.284800000000001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3"/>
        <v>0226-04</v>
      </c>
      <c r="AE138" s="80" t="str">
        <f t="shared" si="44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138" s="77" t="str">
        <f t="shared" si="45"/>
        <v>"C:\Program Files (x86)\AstroGrep\AstroGrep.exe" /e /r /s /spath="%USERPROFILE%\AppData\Local\Temp\OnboardLogs" /stypes="app*4025*20170605*" /stext=" 03:.+((SYSTEM_STATE.+slice.+state.+changed )|(ment ac)|(multiple cpu faults)|(system.+state.+changed )|(\[timeout)|(PRM\|1\|D)|(kpr)|(kdp)|(train st.+moving)|(\|lc)|(penalty))"</v>
      </c>
      <c r="AG138" s="1" t="str">
        <f t="shared" si="46"/>
        <v>EC</v>
      </c>
      <c r="AH138" s="81" t="str">
        <f t="shared" si="48"/>
        <v>"%USERPROFILE%\Documents\GitHub\eaglep3\Utilities\RefineRTDCRunTimes.py" --tripid 226-04 --locoid 4025 --swversion DE.1.0.9.0 --startMP 204:232998 --initTime 2017-06-04T20:50:09 --startdatetime 2017-06-04T20:57:25 --delay 1 --endMP 204:150 --enddatetime 2017-06-04T21:34:48 --enforcementcount 0 &gt;&gt;C:\Users\stu\Documents\GitHub\eaglep3-reporting\EC\2017-06-04-refined-times.txt</v>
      </c>
      <c r="AI138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ID","value":"226-04"},{"id":16,"name":"Locomotive ID","value":"4025"},{"id":130,"name":"Impact","value":""},{"id":150,"name":"Time of Event (Mountain Time)","value":"21:34:48"},{"id":151,"name":"Denver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0"/>
        <v>start /low /b %USERPROFILE%\Documents\GitHub\eaglep3\Utilities\DownloadLogsFromS3.py --loco 4025 --day 2017-06-04</v>
      </c>
      <c r="AN138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824</v>
      </c>
      <c r="B139" s="7">
        <v>4004</v>
      </c>
      <c r="C139" s="21" t="s">
        <v>204</v>
      </c>
      <c r="D139" s="21" t="s">
        <v>477</v>
      </c>
      <c r="E139" s="13">
        <v>42890.842789351853</v>
      </c>
      <c r="F139" s="13">
        <v>42890.854467592595</v>
      </c>
      <c r="G139" s="7">
        <v>1</v>
      </c>
      <c r="H139" s="21" t="s">
        <v>505</v>
      </c>
      <c r="I139" s="13">
        <v>42890.879849537036</v>
      </c>
      <c r="J139" s="7">
        <v>0</v>
      </c>
      <c r="K139" s="92" t="str">
        <f t="shared" si="34"/>
        <v>4003/4004</v>
      </c>
      <c r="L139" s="21" t="str">
        <f>VLOOKUP(A139,'Trips&amp;Operators'!$C$1:$G$99999,5,FALSE)</f>
        <v>HAITHCOX MICHAEL</v>
      </c>
      <c r="M139" s="6">
        <f t="shared" si="35"/>
        <v>2.5381944440596271E-2</v>
      </c>
      <c r="N139" s="7">
        <f t="shared" si="53"/>
        <v>36.549999994458631</v>
      </c>
      <c r="O139" s="7"/>
      <c r="P139" s="7"/>
      <c r="Q139" s="22"/>
      <c r="R139" s="173"/>
      <c r="S139" s="176">
        <f t="shared" si="36"/>
        <v>1</v>
      </c>
      <c r="T139" s="202" t="str">
        <f t="shared" si="37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8"/>
        <v>https://d0f6bd738d7f1b3e5a7ca70fe4ff75f0.us-east-1.aws.found.io/app/kibana#/discover/Steve-Slow-Train-Analysis-(2080s-and-2083s)?_g=(refreshInterval:(display:Off,pause:!f,section:0,value:0),time:(from:'2017-06-04T19:13:37-0600',mode:absolute,to:'2017-06-04T22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204" t="str">
        <f t="shared" si="39"/>
        <v>N</v>
      </c>
      <c r="X139" s="204">
        <f t="shared" si="54"/>
        <v>1</v>
      </c>
      <c r="Y139" s="204">
        <f t="shared" si="40"/>
        <v>4.7500000000000001E-2</v>
      </c>
      <c r="Z139" s="204">
        <f t="shared" si="41"/>
        <v>23.331800000000001</v>
      </c>
      <c r="AA139" s="204">
        <f t="shared" si="42"/>
        <v>23.284300000000002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3"/>
        <v>0227-04</v>
      </c>
      <c r="AE139" s="80" t="str">
        <f t="shared" si="44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139" s="77" t="str">
        <f t="shared" si="45"/>
        <v>"C:\Program Files (x86)\AstroGrep\AstroGrep.exe" /e /r /s /spath="%USERPROFILE%\AppData\Local\Temp\OnboardLogs" /stypes="app*4004*20170605*" /stext=" 03:.+((SYSTEM_STATE.+slice.+state.+changed )|(ment ac)|(multiple cpu faults)|(system.+state.+changed )|(\[timeout)|(PRM\|1\|D)|(kpr)|(kdp)|(train st.+moving)|(\|lc)|(penalty))"</v>
      </c>
      <c r="AG139" s="1" t="str">
        <f t="shared" si="46"/>
        <v>EC</v>
      </c>
      <c r="AH139" s="81" t="str">
        <f t="shared" si="48"/>
        <v>"%USERPROFILE%\Documents\GitHub\eaglep3\Utilities\RefineRTDCRunTimes.py" --tripid 227-04 --locoid 4004 --swversion DE.1.0.9.0 --startMP 204:475 --initTime 2017-06-04T20:13:37 --startdatetime 2017-06-04T20:30:26 --delay 1 --endMP 204:233318 --enddatetime 2017-06-04T21:06:59 --enforcementcount 0 &gt;&gt;C:\Users\stu\Documents\GitHub\eaglep3-reporting\EC\2017-06-04-refined-times.txt</v>
      </c>
      <c r="AI139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{"issue":{"subject":"","project_id":79,"tracker_id":40,"status_id":1,"priority_id":2,"assigned_to_id":23,"start_date":"2017-06-04","description":"","custom_fields":[{"id":1,"name":"Subdivision","value":"EC"},{"id":4,"name":"Milepost","value":"23.3318"},{"id":17,"name":"Train ID","value":"227-04"},{"id":16,"name":"Locomotive ID","value":"4004"},{"id":130,"name":"Impact","value":""},{"id":150,"name":"Time of Event (Mountain Time)","value":"21:06:59"},{"id":151,"name":"Denver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0"/>
        <v>start /low /b %USERPROFILE%\Documents\GitHub\eaglep3\Utilities\DownloadLogsFromS3.py --loco 4004 --day 2017-06-04</v>
      </c>
      <c r="AN139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831</v>
      </c>
      <c r="B140" s="7">
        <v>4003</v>
      </c>
      <c r="C140" s="21" t="s">
        <v>204</v>
      </c>
      <c r="D140" s="21" t="s">
        <v>564</v>
      </c>
      <c r="E140" s="13">
        <v>42890.885659722226</v>
      </c>
      <c r="F140" s="13">
        <v>42890.893912037034</v>
      </c>
      <c r="G140" s="7">
        <v>1</v>
      </c>
      <c r="H140" s="21" t="s">
        <v>352</v>
      </c>
      <c r="I140" s="13">
        <v>42890.921805555554</v>
      </c>
      <c r="J140" s="7">
        <v>0</v>
      </c>
      <c r="K140" s="92" t="str">
        <f t="shared" si="34"/>
        <v>4003/4004</v>
      </c>
      <c r="L140" s="21" t="str">
        <f>VLOOKUP(A140,'Trips&amp;Operators'!$C$1:$G$99999,5,FALSE)</f>
        <v>HAITHCOX MICHAEL</v>
      </c>
      <c r="M140" s="6">
        <f t="shared" si="35"/>
        <v>2.789351851970423E-2</v>
      </c>
      <c r="N140" s="7">
        <f t="shared" si="53"/>
        <v>40.166666668374091</v>
      </c>
      <c r="O140" s="7"/>
      <c r="P140" s="7"/>
      <c r="Q140" s="22"/>
      <c r="R140" s="173"/>
      <c r="S140" s="176">
        <f t="shared" si="36"/>
        <v>1</v>
      </c>
      <c r="T140" s="202" t="str">
        <f t="shared" si="37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8"/>
        <v>https://d0f6bd738d7f1b3e5a7ca70fe4ff75f0.us-east-1.aws.found.io/app/kibana#/discover/Steve-Slow-Train-Analysis-(2080s-and-2083s)?_g=(refreshInterval:(display:Off,pause:!f,section:0,value:0),time:(from:'2017-06-04T20:15:21-0600',mode:absolute,to:'2017-06-04T23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204" t="str">
        <f t="shared" si="39"/>
        <v>N</v>
      </c>
      <c r="X140" s="204">
        <f t="shared" si="54"/>
        <v>1</v>
      </c>
      <c r="Y140" s="204">
        <f t="shared" si="40"/>
        <v>23.299600000000002</v>
      </c>
      <c r="Z140" s="204">
        <f t="shared" si="41"/>
        <v>1.4999999999999999E-2</v>
      </c>
      <c r="AA140" s="204">
        <f t="shared" si="42"/>
        <v>23.284600000000001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3"/>
        <v>0228-04</v>
      </c>
      <c r="AE140" s="80" t="str">
        <f t="shared" si="44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140" s="77" t="str">
        <f t="shared" si="45"/>
        <v>"C:\Program Files (x86)\AstroGrep\AstroGrep.exe" /e /r /s /spath="%USERPROFILE%\AppData\Local\Temp\OnboardLogs" /stypes="app*4003*20170605*" /stext=" 04:.+((SYSTEM_STATE.+slice.+state.+changed )|(ment ac)|(multiple cpu faults)|(system.+state.+changed )|(\[timeout)|(PRM\|1\|D)|(kpr)|(kdp)|(train st.+moving)|(\|lc)|(penalty))"</v>
      </c>
      <c r="AG140" s="1" t="str">
        <f t="shared" si="46"/>
        <v>EC</v>
      </c>
      <c r="AH140" s="81" t="str">
        <f t="shared" si="48"/>
        <v>"%USERPROFILE%\Documents\GitHub\eaglep3\Utilities\RefineRTDCRunTimes.py" --tripid 228-04 --locoid 4003 --swversion DE.1.0.9.0 --startMP 204:232996 --initTime 2017-06-04T21:15:21 --startdatetime 2017-06-04T21:27:14 --delay 1 --endMP 204:150 --enddatetime 2017-06-04T22:07:24 --enforcementcount 0 &gt;&gt;C:\Users\stu\Documents\GitHub\eaglep3-reporting\EC\2017-06-04-refined-times.txt</v>
      </c>
      <c r="AI140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{"issue":{"subject":"","project_id":79,"tracker_id":40,"status_id":1,"priority_id":2,"assigned_to_id":23,"start_date":"2017-06-04","description":"","custom_fields":[{"id":1,"name":"Subdivision","value":"EC"},{"id":4,"name":"Milepost","value":"0.015"},{"id":17,"name":"Train ID","value":"228-04"},{"id":16,"name":"Locomotive ID","value":"4003"},{"id":130,"name":"Impact","value":""},{"id":150,"name":"Time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50"/>
        <v>start /low /b %USERPROFILE%\Documents\GitHub\eaglep3\Utilities\DownloadLogsFromS3.py --loco 4003 --day 2017-06-04</v>
      </c>
      <c r="AN140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04:07:24"},{"id":29,"name":"Sharepoint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828</v>
      </c>
      <c r="B141" s="7">
        <v>4012</v>
      </c>
      <c r="C141" s="21" t="s">
        <v>204</v>
      </c>
      <c r="D141" s="21" t="s">
        <v>368</v>
      </c>
      <c r="E141" s="13">
        <v>42890.870289351849</v>
      </c>
      <c r="F141" s="13">
        <v>42890.875150462962</v>
      </c>
      <c r="G141" s="7">
        <v>2</v>
      </c>
      <c r="H141" s="21" t="s">
        <v>487</v>
      </c>
      <c r="I141" s="13">
        <v>42890.900081018517</v>
      </c>
      <c r="J141" s="7">
        <v>0</v>
      </c>
      <c r="K141" s="92" t="str">
        <f t="shared" ref="K141:K204" si="55">IF(ISEVEN(B141),(B141-1)&amp;"/"&amp;B141,B141&amp;"/"&amp;(B141+1))</f>
        <v>4011/4012</v>
      </c>
      <c r="L141" s="21" t="str">
        <f>VLOOKUP(A141,'Trips&amp;Operators'!$C$1:$G$99999,5,FALSE)</f>
        <v>STAMBAUGH JAMES</v>
      </c>
      <c r="M141" s="6">
        <f t="shared" ref="M141:M204" si="56">I141-F141</f>
        <v>2.4930555555329192E-2</v>
      </c>
      <c r="N141" s="7">
        <f t="shared" si="53"/>
        <v>35.899999999674037</v>
      </c>
      <c r="O141" s="7"/>
      <c r="P141" s="7"/>
      <c r="Q141" s="22"/>
      <c r="R141" s="173"/>
      <c r="S141" s="176">
        <f t="shared" ref="S141:S204" si="57">SUM(U141:U141)/IF(AG141="EC",12,1)</f>
        <v>1</v>
      </c>
      <c r="T141" s="202" t="str">
        <f t="shared" ref="T141:T204" si="58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-04T19:53:13-0600',mode:absolute,to:'2017-06-04T22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204" t="str">
        <f t="shared" ref="W141:W204" si="60">IF(AA141&lt;IF(AG141="EC",23,5.65),"Y","N")</f>
        <v>N</v>
      </c>
      <c r="X141" s="204">
        <f t="shared" si="54"/>
        <v>1</v>
      </c>
      <c r="Y141" s="204">
        <f t="shared" ref="Y141:Y204" si="61">RIGHT(D141,LEN(D141)-4)/10000</f>
        <v>4.5499999999999999E-2</v>
      </c>
      <c r="Z141" s="204">
        <f t="shared" ref="Z141:Z204" si="62">RIGHT(H141,LEN(H141)-4)/10000</f>
        <v>23.329499999999999</v>
      </c>
      <c r="AA141" s="204">
        <f t="shared" ref="AA141:AA204" si="63">ABS(Z141-Y141)</f>
        <v>23.283999999999999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4">IF(LEN(A141)=6,"0"&amp;A141,A141)</f>
        <v>0229-04</v>
      </c>
      <c r="AE141" s="80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141" s="77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/stypes="app*4012*20170605*"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7">IFERROR(IF(VALUE(LEFT(AD141,2))&lt;=2,"EC",IF(OR(VALUE(LEFT(AD141,2))=8,VALUE(LEFT(AD141,2))=18),"NW","Other")),"Other")</f>
        <v>EC</v>
      </c>
      <c r="AH141" s="81" t="str">
        <f t="shared" si="48"/>
        <v>"%USERPROFILE%\Documents\GitHub\eaglep3\Utilities\RefineRTDCRunTimes.py" --tripid 229-04 --locoid 4012 --swversion DE.1.0.9.0 --startMP 204:455 --initTime 2017-06-04T20:53:13 --startdatetime 2017-06-04T21:00:13 --delay 2 --endMP 204:233295 --enddatetime 2017-06-04T21:36:07 --enforcementcount 0 &gt;&gt;C:\Users\stu\Documents\GitHub\eaglep3-reporting\EC\2017-06-04-refined-times.txt</v>
      </c>
      <c r="AI141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{"issue":{"subject":"","project_id":79,"tracker_id":40,"status_id":1,"priority_id":2,"assigned_to_id":23,"start_date":"2017-06-04","description":"","custom_fields":[{"id":1,"name":"Subdivision","value":"EC"},{"id":4,"name":"Milepost","value":"23.3295"},{"id":17,"name":"Train ID","value":"229-04"},{"id":16,"name":"Locomotive ID","value":"4012"},{"id":130,"name":"Impact","value":""},{"id":150,"name":"Time of Event (Mountain Time)","value":"21:36:07"},{"id":151,"name":"Denver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0"/>
        <v>start /low /b %USERPROFILE%\Documents\GitHub\eaglep3\Utilities\DownloadLogsFromS3.py --loco 4012 --day 2017-06-04</v>
      </c>
      <c r="AN141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834</v>
      </c>
      <c r="B142" s="7">
        <v>4011</v>
      </c>
      <c r="C142" s="21" t="s">
        <v>204</v>
      </c>
      <c r="D142" s="21" t="s">
        <v>950</v>
      </c>
      <c r="E142" s="13">
        <v>42890.910231481481</v>
      </c>
      <c r="F142" s="13">
        <v>42890.914872685185</v>
      </c>
      <c r="G142" s="7">
        <v>1</v>
      </c>
      <c r="H142" s="21" t="s">
        <v>196</v>
      </c>
      <c r="I142" s="13">
        <v>42890.94195601852</v>
      </c>
      <c r="J142" s="7">
        <v>0</v>
      </c>
      <c r="K142" s="92" t="str">
        <f t="shared" si="55"/>
        <v>4011/4012</v>
      </c>
      <c r="L142" s="21" t="str">
        <f>VLOOKUP(A142,'Trips&amp;Operators'!$C$1:$G$99999,5,FALSE)</f>
        <v>BIRENBAUM THOMAS</v>
      </c>
      <c r="M142" s="6">
        <f t="shared" si="56"/>
        <v>2.7083333334303461E-2</v>
      </c>
      <c r="N142" s="7">
        <f t="shared" si="53"/>
        <v>39.000000001396984</v>
      </c>
      <c r="O142" s="7"/>
      <c r="P142" s="7"/>
      <c r="Q142" s="22"/>
      <c r="R142" s="173"/>
      <c r="S142" s="176">
        <f t="shared" si="57"/>
        <v>1</v>
      </c>
      <c r="T142" s="202" t="str">
        <f t="shared" si="58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9"/>
        <v>https://d0f6bd738d7f1b3e5a7ca70fe4ff75f0.us-east-1.aws.found.io/app/kibana#/discover/Steve-Slow-Train-Analysis-(2080s-and-2083s)?_g=(refreshInterval:(display:Off,pause:!f,section:0,value:0),time:(from:'2017-06-04T20:50:44-0600',mode:absolute,to:'2017-06-04T23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204" t="str">
        <f t="shared" si="60"/>
        <v>N</v>
      </c>
      <c r="X142" s="204">
        <f t="shared" si="54"/>
        <v>1</v>
      </c>
      <c r="Y142" s="204">
        <f t="shared" si="61"/>
        <v>23.296700000000001</v>
      </c>
      <c r="Z142" s="204">
        <f t="shared" si="62"/>
        <v>1.5800000000000002E-2</v>
      </c>
      <c r="AA142" s="204">
        <f t="shared" si="63"/>
        <v>23.280900000000003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4"/>
        <v>0230-04</v>
      </c>
      <c r="AE142" s="80" t="str">
        <f t="shared" si="65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142" s="77" t="str">
        <f t="shared" si="66"/>
        <v>"C:\Program Files (x86)\AstroGrep\AstroGrep.exe" /e /r /s /spath="%USERPROFILE%\AppData\Local\Temp\OnboardLogs" /stypes="app*4011*20170605*" /stext=" 04:.+((SYSTEM_STATE.+slice.+state.+changed )|(ment ac)|(multiple cpu faults)|(system.+state.+changed )|(\[timeout)|(PRM\|1\|D)|(kpr)|(kdp)|(train st.+moving)|(\|lc)|(penalty))"</v>
      </c>
      <c r="AG142" s="1" t="str">
        <f t="shared" si="67"/>
        <v>EC</v>
      </c>
      <c r="AH142" s="81" t="str">
        <f t="shared" si="48"/>
        <v>"%USERPROFILE%\Documents\GitHub\eaglep3\Utilities\RefineRTDCRunTimes.py" --tripid 230-04 --locoid 4011 --swversion DE.1.0.9.0 --startMP 204:232967 --initTime 2017-06-04T21:50:44 --startdatetime 2017-06-04T21:57:25 --delay 1 --endMP 204:158 --enddatetime 2017-06-04T22:36:25 --enforcementcount 0 &gt;&gt;C:\Users\stu\Documents\GitHub\eaglep3-reporting\EC\2017-06-04-refined-times.txt</v>
      </c>
      <c r="AI142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{"issue":{"subject":"","project_id":79,"tracker_id":40,"status_id":1,"priority_id":2,"assigned_to_id":23,"start_date":"2017-06-04","description":"","custom_fields":[{"id":1,"name":"Subdivision","value":"EC"},{"id":4,"name":"Milepost","value":"0.0158"},{"id":17,"name":"Train ID","value":"230-04"},{"id":16,"name":"Locomotive ID","value":"4011"},{"id":130,"name":"Impact","value":""},{"id":150,"name":"Time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0"/>
        <v>start /low /b %USERPROFILE%\Documents\GitHub\eaglep3\Utilities\DownloadLogsFromS3.py --loco 4011 --day 2017-06-04</v>
      </c>
      <c r="AN142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832</v>
      </c>
      <c r="B143" s="7">
        <v>4060</v>
      </c>
      <c r="C143" s="21" t="s">
        <v>204</v>
      </c>
      <c r="D143" s="21" t="s">
        <v>877</v>
      </c>
      <c r="E143" s="13">
        <v>42890.88722222222</v>
      </c>
      <c r="F143" s="13">
        <v>42890.896168981482</v>
      </c>
      <c r="G143" s="7">
        <v>1</v>
      </c>
      <c r="H143" s="21" t="s">
        <v>951</v>
      </c>
      <c r="I143" s="13">
        <v>42890.921284722222</v>
      </c>
      <c r="J143" s="7">
        <v>0</v>
      </c>
      <c r="K143" s="92" t="str">
        <f t="shared" si="55"/>
        <v>4059/4060</v>
      </c>
      <c r="L143" s="21" t="str">
        <f>VLOOKUP(A143,'Trips&amp;Operators'!$C$1:$G$99999,5,FALSE)</f>
        <v>SMITH MICHAEL</v>
      </c>
      <c r="M143" s="6">
        <f t="shared" si="56"/>
        <v>2.5115740740147885E-2</v>
      </c>
      <c r="N143" s="7">
        <f t="shared" si="53"/>
        <v>36.166666665812954</v>
      </c>
      <c r="O143" s="7"/>
      <c r="P143" s="7"/>
      <c r="Q143" s="22"/>
      <c r="R143" s="173"/>
      <c r="S143" s="176">
        <f t="shared" si="57"/>
        <v>1</v>
      </c>
      <c r="T143" s="202" t="str">
        <f t="shared" si="58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9"/>
        <v>https://d0f6bd738d7f1b3e5a7ca70fe4ff75f0.us-east-1.aws.found.io/app/kibana#/discover/Steve-Slow-Train-Analysis-(2080s-and-2083s)?_g=(refreshInterval:(display:Off,pause:!f,section:0,value:0),time:(from:'2017-06-04T20:17:36-0600',mode:absolute,to:'2017-06-04T23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3" s="204" t="str">
        <f t="shared" si="60"/>
        <v>N</v>
      </c>
      <c r="X143" s="204">
        <f t="shared" si="54"/>
        <v>1</v>
      </c>
      <c r="Y143" s="204">
        <f t="shared" si="61"/>
        <v>4.7699999999999999E-2</v>
      </c>
      <c r="Z143" s="204">
        <f t="shared" si="62"/>
        <v>23.339500000000001</v>
      </c>
      <c r="AA143" s="204">
        <f t="shared" si="63"/>
        <v>23.291800000000002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4"/>
        <v>0231-04</v>
      </c>
      <c r="AE143" s="80" t="str">
        <f t="shared" si="65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143" s="77" t="str">
        <f t="shared" si="66"/>
        <v>"C:\Program Files (x86)\AstroGrep\AstroGrep.exe" /e /r /s /spath="%USERPROFILE%\AppData\Local\Temp\OnboardLogs" /stypes="app*4060*20170605*" /stext=" 04:.+((SYSTEM_STATE.+slice.+state.+changed )|(ment ac)|(multiple cpu faults)|(system.+state.+changed )|(\[timeout)|(PRM\|1\|D)|(kpr)|(kdp)|(train st.+moving)|(\|lc)|(penalty))"</v>
      </c>
      <c r="AG143" s="1" t="str">
        <f t="shared" si="67"/>
        <v>EC</v>
      </c>
      <c r="AH143" s="81" t="str">
        <f t="shared" si="48"/>
        <v>"%USERPROFILE%\Documents\GitHub\eaglep3\Utilities\RefineRTDCRunTimes.py" --tripid 231-04 --locoid 4060 --swversion DE.1.0.9.0 --startMP 204:477 --initTime 2017-06-04T21:17:36 --startdatetime 2017-06-04T21:30:29 --delay 1 --endMP 204:233395 --enddatetime 2017-06-04T22:06:39 --enforcementcount 0 &gt;&gt;C:\Users\stu\Documents\GitHub\eaglep3-reporting\EC\2017-06-04-refined-times.txt</v>
      </c>
      <c r="AI143" s="99" t="str">
        <f t="shared" si="49"/>
        <v>echo {"issue":{"subject":"","project_id":79,"tracker_id":40,"status_id":1,"priority_id":2,"assigned_to_id":23,"start_date":"2017-06-04","description":"","custom_fields":[{"id":1,"name":"Subdivision","value":"EC"},{"id":4,"name":"Milepost","value":"23.3395"},{"id":17,"name":"Train ID","value":"231-04"},{"id":16,"name":"Locomotive ID","value":"4060"},{"id":130,"name":"Impact","value":""},{"id":150,"name":"Time of Event (Mountain Time)","value":"22:06:39"},{"id":151,"name":"Denver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0"/>
        <v>start /low /b %USERPROFILE%\Documents\GitHub\eaglep3\Utilities\DownloadLogsFromS3.py --loco 4060 --day 2017-06-04</v>
      </c>
      <c r="AN143" s="154" t="str">
        <f t="shared" si="51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835</v>
      </c>
      <c r="B144" s="7">
        <v>4059</v>
      </c>
      <c r="C144" s="21" t="s">
        <v>204</v>
      </c>
      <c r="D144" s="21" t="s">
        <v>952</v>
      </c>
      <c r="E144" s="13">
        <v>42890.926562499997</v>
      </c>
      <c r="F144" s="13">
        <v>42890.935694444444</v>
      </c>
      <c r="G144" s="7">
        <v>1</v>
      </c>
      <c r="H144" s="21" t="s">
        <v>363</v>
      </c>
      <c r="I144" s="13">
        <v>42890.962233796294</v>
      </c>
      <c r="J144" s="7">
        <v>0</v>
      </c>
      <c r="K144" s="92" t="str">
        <f t="shared" si="55"/>
        <v>4059/4060</v>
      </c>
      <c r="L144" s="21" t="str">
        <f>VLOOKUP(A144,'Trips&amp;Operators'!$C$1:$G$99999,5,FALSE)</f>
        <v>SMITH MICHAEL</v>
      </c>
      <c r="M144" s="6">
        <f t="shared" si="56"/>
        <v>2.6539351849351078E-2</v>
      </c>
      <c r="N144" s="7">
        <f t="shared" ref="N144:N155" si="68">24*60*SUM($M144:$M144)</f>
        <v>38.216666663065553</v>
      </c>
      <c r="O144" s="7"/>
      <c r="P144" s="7"/>
      <c r="Q144" s="22"/>
      <c r="R144" s="173"/>
      <c r="S144" s="176">
        <f t="shared" si="57"/>
        <v>1</v>
      </c>
      <c r="T144" s="202" t="str">
        <f t="shared" si="58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9"/>
        <v>https://d0f6bd738d7f1b3e5a7ca70fe4ff75f0.us-east-1.aws.found.io/app/kibana#/discover/Steve-Slow-Train-Analysis-(2080s-and-2083s)?_g=(refreshInterval:(display:Off,pause:!f,section:0,value:0),time:(from:'2017-06-04T21:14:15-0600',mode:absolute,to:'2017-06-05T00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4" s="204" t="str">
        <f t="shared" si="60"/>
        <v>N</v>
      </c>
      <c r="X144" s="204">
        <f t="shared" si="54"/>
        <v>1</v>
      </c>
      <c r="Y144" s="204">
        <f t="shared" si="61"/>
        <v>23.307200000000002</v>
      </c>
      <c r="Z144" s="204">
        <f t="shared" si="62"/>
        <v>1.41E-2</v>
      </c>
      <c r="AA144" s="204">
        <f t="shared" si="63"/>
        <v>23.293100000000003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4"/>
        <v>0232-04</v>
      </c>
      <c r="AE144" s="80" t="str">
        <f t="shared" si="65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144" s="77" t="str">
        <f t="shared" si="66"/>
        <v>"C:\Program Files (x86)\AstroGrep\AstroGrep.exe" /e /r /s /spath="%USERPROFILE%\AppData\Local\Temp\OnboardLogs" /stypes="app*4059*20170605*" /stext=" 05:.+((SYSTEM_STATE.+slice.+state.+changed )|(ment ac)|(multiple cpu faults)|(system.+state.+changed )|(\[timeout)|(PRM\|1\|D)|(kpr)|(kdp)|(train st.+moving)|(\|lc)|(penalty))"</v>
      </c>
      <c r="AG144" s="1" t="str">
        <f t="shared" si="67"/>
        <v>EC</v>
      </c>
      <c r="AH144" s="81" t="str">
        <f t="shared" ref="AH144:AH207" si="6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232-04 --locoid 4059 --swversion DE.1.0.9.0 --startMP 204:233072 --initTime 2017-06-04T22:14:15 --startdatetime 2017-06-04T22:27:24 --delay 1 --endMP 204:141 --enddatetime 2017-06-04T23:05:37 --enforcementcount 0 &gt;&gt;C:\Users\stu\Documents\GitHub\eaglep3-reporting\EC\2017-06-04-refined-times.txt</v>
      </c>
      <c r="AI144" s="99" t="str">
        <f t="shared" ref="AI144:AI207" si="7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{"issue":{"subject":"","project_id":79,"tracker_id":40,"status_id":1,"priority_id":2,"assigned_to_id":23,"start_date":"2017-06-04","description":"","custom_fields":[{"id":1,"name":"Subdivision","value":"EC"},{"id":4,"name":"Milepost","value":"0.0141"},{"id":17,"name":"Train ID","value":"232-04"},{"id":16,"name":"Locomotive ID","value":"4059"},{"id":130,"name":"Impact","value":""},{"id":150,"name":"Time of Event (Mountain Time)","value":"23:05:37"},{"id":151,"name":"Denver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ref="AM144:AM207" si="71">"start /low /b "&amp;dls3logs&amp;" --loco "&amp;B144&amp;" --day "&amp;TEXT(F144,"YYYY-MM-DD")</f>
        <v>start /low /b %USERPROFILE%\Documents\GitHub\eaglep3\Utilities\DownloadLogsFromS3.py --loco 4059 --day 2017-06-04</v>
      </c>
      <c r="AN144" s="154" t="str">
        <f t="shared" ref="AN144:AN207" si="7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833</v>
      </c>
      <c r="B145" s="7">
        <v>4026</v>
      </c>
      <c r="C145" s="21" t="s">
        <v>204</v>
      </c>
      <c r="D145" s="21" t="s">
        <v>349</v>
      </c>
      <c r="E145" s="13">
        <v>42890.907037037039</v>
      </c>
      <c r="F145" s="13">
        <v>42890.917071759257</v>
      </c>
      <c r="G145" s="7">
        <v>1</v>
      </c>
      <c r="H145" s="21" t="s">
        <v>605</v>
      </c>
      <c r="I145" s="13">
        <v>42890.941712962966</v>
      </c>
      <c r="J145" s="7">
        <v>0</v>
      </c>
      <c r="K145" s="92" t="str">
        <f t="shared" si="55"/>
        <v>4025/4026</v>
      </c>
      <c r="L145" s="21" t="str">
        <f>VLOOKUP(A145,'Trips&amp;Operators'!$C$1:$G$99999,5,FALSE)</f>
        <v>PERKINS DARREN</v>
      </c>
      <c r="M145" s="6">
        <f t="shared" si="56"/>
        <v>2.4641203708597459E-2</v>
      </c>
      <c r="N145" s="7">
        <f t="shared" si="68"/>
        <v>35.483333340380341</v>
      </c>
      <c r="O145" s="7"/>
      <c r="P145" s="7"/>
      <c r="Q145" s="22"/>
      <c r="R145" s="173"/>
      <c r="S145" s="176">
        <f t="shared" si="57"/>
        <v>1</v>
      </c>
      <c r="T145" s="202" t="str">
        <f t="shared" si="58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9"/>
        <v>https://d0f6bd738d7f1b3e5a7ca70fe4ff75f0.us-east-1.aws.found.io/app/kibana#/discover/Steve-Slow-Train-Analysis-(2080s-and-2083s)?_g=(refreshInterval:(display:Off,pause:!f,section:0,value:0),time:(from:'2017-06-04T20:46:08-0600',mode:absolute,to:'2017-06-04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04" t="str">
        <f t="shared" si="60"/>
        <v>N</v>
      </c>
      <c r="X145" s="204">
        <f t="shared" si="54"/>
        <v>1</v>
      </c>
      <c r="Y145" s="204">
        <f t="shared" si="61"/>
        <v>4.4600000000000001E-2</v>
      </c>
      <c r="Z145" s="204">
        <f t="shared" si="62"/>
        <v>23.3307</v>
      </c>
      <c r="AA145" s="204">
        <f t="shared" si="63"/>
        <v>23.286100000000001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4"/>
        <v>0233-04</v>
      </c>
      <c r="AE145" s="80" t="str">
        <f t="shared" si="65"/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145" s="77" t="str">
        <f t="shared" si="66"/>
        <v>"C:\Program Files (x86)\AstroGrep\AstroGrep.exe" /e /r /s /spath="%USERPROFILE%\AppData\Local\Temp\OnboardLogs" /stypes="app*4026*20170605*" /stext=" 04:.+((SYSTEM_STATE.+slice.+state.+changed )|(ment ac)|(multiple cpu faults)|(system.+state.+changed )|(\[timeout)|(PRM\|1\|D)|(kpr)|(kdp)|(train st.+moving)|(\|lc)|(penalty))"</v>
      </c>
      <c r="AG145" s="1" t="str">
        <f t="shared" si="67"/>
        <v>EC</v>
      </c>
      <c r="AH145" s="81" t="str">
        <f t="shared" si="69"/>
        <v>"%USERPROFILE%\Documents\GitHub\eaglep3\Utilities\RefineRTDCRunTimes.py" --tripid 233-04 --locoid 4026 --swversion DE.1.0.9.0 --startMP 204:446 --initTime 2017-06-04T21:46:08 --startdatetime 2017-06-04T22:00:35 --delay 1 --endMP 204:233307 --enddatetime 2017-06-04T22:36:04 --enforcementcount 0 &gt;&gt;C:\Users\stu\Documents\GitHub\eaglep3-reporting\EC\2017-06-04-refined-times.txt</v>
      </c>
      <c r="AI145" s="99" t="str">
        <f t="shared" si="70"/>
        <v>echo {"issue":{"subject":"","project_id":79,"tracker_id":40,"status_id":1,"priority_id":2,"assigned_to_id":23,"start_date":"2017-06-04","description":"","custom_fields":[{"id":1,"name":"Subdivision","value":"EC"},{"id":4,"name":"Milepost","value":"23.3307"},{"id":17,"name":"Train ID","value":"233-04"},{"id":16,"name":"Locomotive ID","value":"4026"},{"id":130,"name":"Impact","value":""},{"id":150,"name":"Time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1"/>
        <v>start /low /b %USERPROFILE%\Documents\GitHub\eaglep3\Utilities\DownloadLogsFromS3.py --loco 4026 --day 2017-06-04</v>
      </c>
      <c r="AN145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4025</v>
      </c>
      <c r="C146" s="21" t="s">
        <v>204</v>
      </c>
      <c r="D146" s="21" t="s">
        <v>507</v>
      </c>
      <c r="E146" s="13">
        <v>42890.946944444448</v>
      </c>
      <c r="F146" s="13">
        <v>42890.956608796296</v>
      </c>
      <c r="G146" s="7">
        <v>1</v>
      </c>
      <c r="H146" s="21" t="s">
        <v>363</v>
      </c>
      <c r="I146" s="13">
        <v>42890.984178240738</v>
      </c>
      <c r="J146" s="7">
        <v>0</v>
      </c>
      <c r="K146" s="92" t="str">
        <f t="shared" si="55"/>
        <v>4025/4026</v>
      </c>
      <c r="L146" s="21" t="str">
        <f>VLOOKUP(A146,'Trips&amp;Operators'!$C$1:$G$99999,5,FALSE)</f>
        <v>PERKINS DARREN</v>
      </c>
      <c r="M146" s="6">
        <f t="shared" si="56"/>
        <v>2.7569444442633539E-2</v>
      </c>
      <c r="N146" s="7">
        <f t="shared" si="68"/>
        <v>39.699999997392297</v>
      </c>
      <c r="O146" s="7"/>
      <c r="P146" s="7"/>
      <c r="Q146" s="22"/>
      <c r="R146" s="173"/>
      <c r="S146" s="176">
        <f t="shared" si="57"/>
        <v>1</v>
      </c>
      <c r="T146" s="202" t="str">
        <f t="shared" si="58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9"/>
        <v>https://d0f6bd738d7f1b3e5a7ca70fe4ff75f0.us-east-1.aws.found.io/app/kibana#/discover/Steve-Slow-Train-Analysis-(2080s-and-2083s)?_g=(refreshInterval:(display:Off,pause:!f,section:0,value:0),time:(from:'2017-06-04T21:43:36-0600',mode:absolute,to:'2017-06-05T00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04" t="str">
        <f t="shared" si="60"/>
        <v>N</v>
      </c>
      <c r="X146" s="204">
        <f t="shared" ref="X146:X153" si="73">VALUE(LEFT(AD146,4))-VALUE(LEFT(AD145,4))</f>
        <v>1</v>
      </c>
      <c r="Y146" s="204">
        <f t="shared" si="61"/>
        <v>23.2988</v>
      </c>
      <c r="Z146" s="204">
        <f t="shared" si="62"/>
        <v>1.41E-2</v>
      </c>
      <c r="AA146" s="204">
        <f t="shared" si="63"/>
        <v>23.284700000000001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4"/>
        <v>0234-04</v>
      </c>
      <c r="AE146" s="80" t="str">
        <f t="shared" si="65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146" s="77" t="str">
        <f t="shared" si="66"/>
        <v>"C:\Program Files (x86)\AstroGrep\AstroGrep.exe" /e /r /s /spath="%USERPROFILE%\AppData\Local\Temp\OnboardLogs" /stypes="app*4025*20170605*" /stext=" 05:.+((SYSTEM_STATE.+slice.+state.+changed )|(ment ac)|(multiple cpu faults)|(system.+state.+changed )|(\[timeout)|(PRM\|1\|D)|(kpr)|(kdp)|(train st.+moving)|(\|lc)|(penalty))"</v>
      </c>
      <c r="AG146" s="1" t="str">
        <f t="shared" si="67"/>
        <v>EC</v>
      </c>
      <c r="AH146" s="81" t="str">
        <f t="shared" si="69"/>
        <v>"%USERPROFILE%\Documents\GitHub\eaglep3\Utilities\RefineRTDCRunTimes.py" --tripid 234-04 --locoid 4025 --swversion DE.1.0.9.0 --startMP 204:232988 --initTime 2017-06-04T22:43:36 --startdatetime 2017-06-04T22:57:31 --delay 1 --endMP 204:141 --enddatetime 2017-06-04T23:37:13 --enforcementcount 0 &gt;&gt;C:\Users\stu\Documents\GitHub\eaglep3-reporting\EC\2017-06-04-refined-times.txt</v>
      </c>
      <c r="AI146" s="99" t="str">
        <f t="shared" si="70"/>
        <v>echo {"issue":{"subject":"","project_id":79,"tracker_id":40,"status_id":1,"priority_id":2,"assigned_to_id":23,"start_date":"2017-06-04","description":"","custom_fields":[{"id":1,"name":"Subdivision","value":"EC"},{"id":4,"name":"Milepost","value":"0.0141"},{"id":17,"name":"Train ID","value":"234-04"},{"id":16,"name":"Locomotive ID","value":"4025"},{"id":130,"name":"Impact","value":""},{"id":150,"name":"Time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1"/>
        <v>start /low /b %USERPROFILE%\Documents\GitHub\eaglep3\Utilities\DownloadLogsFromS3.py --loco 4025 --day 2017-06-04</v>
      </c>
      <c r="AN146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836</v>
      </c>
      <c r="B147" s="7">
        <v>4004</v>
      </c>
      <c r="C147" s="21" t="s">
        <v>204</v>
      </c>
      <c r="D147" s="21" t="s">
        <v>953</v>
      </c>
      <c r="E147" s="13">
        <v>42890.928124999999</v>
      </c>
      <c r="F147" s="13">
        <v>42890.937662037039</v>
      </c>
      <c r="G147" s="7">
        <v>1</v>
      </c>
      <c r="H147" s="21" t="s">
        <v>626</v>
      </c>
      <c r="I147" s="13">
        <v>42890.963287037041</v>
      </c>
      <c r="J147" s="7">
        <v>0</v>
      </c>
      <c r="K147" s="92" t="str">
        <f t="shared" si="55"/>
        <v>4003/4004</v>
      </c>
      <c r="L147" s="21" t="str">
        <f>VLOOKUP(A147,'Trips&amp;Operators'!$C$1:$G$99999,5,FALSE)</f>
        <v>HAITHCOX MICHAEL</v>
      </c>
      <c r="M147" s="6">
        <f t="shared" si="56"/>
        <v>2.5625000002037268E-2</v>
      </c>
      <c r="N147" s="7">
        <f t="shared" si="68"/>
        <v>36.900000002933666</v>
      </c>
      <c r="O147" s="7"/>
      <c r="P147" s="7"/>
      <c r="Q147" s="22"/>
      <c r="R147" s="173"/>
      <c r="S147" s="176">
        <f t="shared" si="57"/>
        <v>1</v>
      </c>
      <c r="T147" s="202" t="str">
        <f t="shared" si="58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9"/>
        <v>https://d0f6bd738d7f1b3e5a7ca70fe4ff75f0.us-east-1.aws.found.io/app/kibana#/discover/Steve-Slow-Train-Analysis-(2080s-and-2083s)?_g=(refreshInterval:(display:Off,pause:!f,section:0,value:0),time:(from:'2017-06-04T21:16:30-0600',mode:absolute,to:'2017-06-05T00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204" t="str">
        <f t="shared" si="60"/>
        <v>N</v>
      </c>
      <c r="X147" s="204">
        <f t="shared" si="73"/>
        <v>1</v>
      </c>
      <c r="Y147" s="204">
        <f t="shared" si="61"/>
        <v>4.2700000000000002E-2</v>
      </c>
      <c r="Z147" s="204">
        <f t="shared" si="62"/>
        <v>23.332899999999999</v>
      </c>
      <c r="AA147" s="204">
        <f t="shared" si="63"/>
        <v>23.290199999999999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4"/>
        <v>0235-04</v>
      </c>
      <c r="AE147" s="80" t="str">
        <f t="shared" si="65"/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AF147" s="77" t="str">
        <f t="shared" si="66"/>
        <v>"C:\Program Files (x86)\AstroGrep\AstroGrep.exe" /e /r /s /spath="%USERPROFILE%\AppData\Local\Temp\OnboardLogs" /stypes="app*4004*20170605*" /stext=" 05:.+((SYSTEM_STATE.+slice.+state.+changed )|(ment ac)|(multiple cpu faults)|(system.+state.+changed )|(\[timeout)|(PRM\|1\|D)|(kpr)|(kdp)|(train st.+moving)|(\|lc)|(penalty))"</v>
      </c>
      <c r="AG147" s="1" t="str">
        <f t="shared" si="67"/>
        <v>EC</v>
      </c>
      <c r="AH147" s="81" t="str">
        <f t="shared" si="69"/>
        <v>"%USERPROFILE%\Documents\GitHub\eaglep3\Utilities\RefineRTDCRunTimes.py" --tripid 235-04 --locoid 4004 --swversion DE.1.0.9.0 --startMP 204:427 --initTime 2017-06-04T22:16:30 --startdatetime 2017-06-04T22:30:14 --delay 1 --endMP 204:233329 --enddatetime 2017-06-04T23:07:08 --enforcementcount 0 &gt;&gt;C:\Users\stu\Documents\GitHub\eaglep3-reporting\EC\2017-06-04-refined-times.txt</v>
      </c>
      <c r="AI147" s="99" t="str">
        <f t="shared" si="70"/>
        <v>echo {"issue":{"subject":"","project_id":79,"tracker_id":40,"status_id":1,"priority_id":2,"assigned_to_id":23,"start_date":"2017-06-04","description":"","custom_fields":[{"id":1,"name":"Subdivision","value":"EC"},{"id":4,"name":"Milepost","value":"23.3329"},{"id":17,"name":"Train ID","value":"235-04"},{"id":16,"name":"Locomotive ID","value":"4004"},{"id":130,"name":"Impact","value":""},{"id":150,"name":"Time of Event (Mountain Time)","value":"23:07:08"},{"id":151,"name":"Denver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1"/>
        <v>start /low /b %USERPROFILE%\Documents\GitHub\eaglep3\Utilities\DownloadLogsFromS3.py --loco 4004 --day 2017-06-04</v>
      </c>
      <c r="AN147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05:07:08"},{"id":29,"name":"Sharepoint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839</v>
      </c>
      <c r="B148" s="7">
        <v>4003</v>
      </c>
      <c r="C148" s="21" t="s">
        <v>204</v>
      </c>
      <c r="D148" s="21" t="s">
        <v>876</v>
      </c>
      <c r="E148" s="13">
        <v>42890.967442129629</v>
      </c>
      <c r="F148" s="13">
        <v>42890.977268518516</v>
      </c>
      <c r="G148" s="7">
        <v>1</v>
      </c>
      <c r="H148" s="21" t="s">
        <v>195</v>
      </c>
      <c r="I148" s="13">
        <v>42891.004756944443</v>
      </c>
      <c r="J148" s="7">
        <v>0</v>
      </c>
      <c r="K148" s="92" t="str">
        <f t="shared" si="55"/>
        <v>4003/4004</v>
      </c>
      <c r="L148" s="21" t="str">
        <f>VLOOKUP(A148,'Trips&amp;Operators'!$C$1:$G$99999,5,FALSE)</f>
        <v>HAITHCOX MICHAEL</v>
      </c>
      <c r="M148" s="6">
        <f t="shared" si="56"/>
        <v>2.7488425927003846E-2</v>
      </c>
      <c r="N148" s="7">
        <f t="shared" si="68"/>
        <v>39.583333334885538</v>
      </c>
      <c r="O148" s="7"/>
      <c r="P148" s="7"/>
      <c r="Q148" s="22"/>
      <c r="R148" s="173"/>
      <c r="S148" s="176">
        <f t="shared" si="57"/>
        <v>1</v>
      </c>
      <c r="T148" s="202" t="str">
        <f t="shared" si="58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9"/>
        <v>https://d0f6bd738d7f1b3e5a7ca70fe4ff75f0.us-east-1.aws.found.io/app/kibana#/discover/Steve-Slow-Train-Analysis-(2080s-and-2083s)?_g=(refreshInterval:(display:Off,pause:!f,section:0,value:0),time:(from:'2017-06-04T22:13:07-0600',mode:absolute,to:'2017-06-05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204" t="str">
        <f t="shared" si="60"/>
        <v>N</v>
      </c>
      <c r="X148" s="204">
        <f t="shared" si="73"/>
        <v>1</v>
      </c>
      <c r="Y148" s="204">
        <f t="shared" si="61"/>
        <v>23.3017</v>
      </c>
      <c r="Z148" s="204">
        <f t="shared" si="62"/>
        <v>1.52E-2</v>
      </c>
      <c r="AA148" s="204">
        <f t="shared" si="63"/>
        <v>23.2865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4"/>
        <v>0236-04</v>
      </c>
      <c r="AE148" s="80" t="str">
        <f t="shared" si="65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148" s="77" t="str">
        <f t="shared" si="66"/>
        <v>"C:\Program Files (x86)\AstroGrep\AstroGrep.exe" /e /r /s /spath="%USERPROFILE%\AppData\Local\Temp\OnboardLogs" /stypes="app*4003*20170605*" /stext=" 06:.+((SYSTEM_STATE.+slice.+state.+changed )|(ment ac)|(multiple cpu faults)|(system.+state.+changed )|(\[timeout)|(PRM\|1\|D)|(kpr)|(kdp)|(train st.+moving)|(\|lc)|(penalty))"</v>
      </c>
      <c r="AG148" s="1" t="str">
        <f t="shared" si="67"/>
        <v>EC</v>
      </c>
      <c r="AH148" s="81" t="str">
        <f t="shared" si="69"/>
        <v>"%USERPROFILE%\Documents\GitHub\eaglep3\Utilities\RefineRTDCRunTimes.py" --tripid 236-04 --locoid 4003 --swversion DE.1.0.9.0 --startMP 204:233017 --initTime 2017-06-04T23:13:07 --startdatetime 2017-06-04T23:27:16 --delay 1 --endMP 204:152 --enddatetime 2017-06-05T00:06:51 --enforcementcount 0 &gt;&gt;C:\Users\stu\Documents\GitHub\eaglep3-reporting\EC\2017-06-04-refined-times.txt</v>
      </c>
      <c r="AI148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{"issue":{"subject":"","project_id":79,"tracker_id":40,"status_id":1,"priority_id":2,"assigned_to_id":23,"start_date":"2017-06-05","description":"","custom_fields":[{"id":1,"name":"Subdivision","value":"EC"},{"id":4,"name":"Milepost","value":"0.0152"},{"id":17,"name":"Train ID","value":"236-04"},{"id":16,"name":"Locomotive ID","value":"4003"},{"id":130,"name":"Impact","value":""},{"id":150,"name":"Time of Event (Mountain Time)","value":"00:06:51"},{"id":151,"name":"Denver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71"/>
        <v>start /low /b %USERPROFILE%\Documents\GitHub\eaglep3\Utilities\DownloadLogsFromS3.py --loco 4003 --day 2017-06-04</v>
      </c>
      <c r="AN148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06:06:51"},{"id":29,"name":"Sharepoint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683</v>
      </c>
      <c r="B149" s="7">
        <v>4012</v>
      </c>
      <c r="C149" s="21" t="s">
        <v>204</v>
      </c>
      <c r="D149" s="21" t="s">
        <v>358</v>
      </c>
      <c r="E149" s="13">
        <v>42890.942303240743</v>
      </c>
      <c r="F149" s="13">
        <v>42890.958703703705</v>
      </c>
      <c r="G149" s="7">
        <v>1</v>
      </c>
      <c r="H149" s="21" t="s">
        <v>954</v>
      </c>
      <c r="I149" s="13">
        <v>42890.982974537037</v>
      </c>
      <c r="J149" s="7">
        <v>0</v>
      </c>
      <c r="K149" s="92" t="str">
        <f t="shared" si="55"/>
        <v>4011/4012</v>
      </c>
      <c r="L149" s="21" t="str">
        <f>VLOOKUP(A149,'Trips&amp;Operators'!$C$1:$G$99999,5,FALSE)</f>
        <v>STAMBAUGH JAMES</v>
      </c>
      <c r="M149" s="6">
        <f t="shared" si="56"/>
        <v>2.4270833331684116E-2</v>
      </c>
      <c r="N149" s="7">
        <f t="shared" si="68"/>
        <v>34.949999997625127</v>
      </c>
      <c r="O149" s="7"/>
      <c r="P149" s="7"/>
      <c r="Q149" s="22"/>
      <c r="R149" s="173"/>
      <c r="S149" s="176">
        <f t="shared" si="57"/>
        <v>1</v>
      </c>
      <c r="T149" s="202" t="str">
        <f t="shared" si="58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9"/>
        <v>https://d0f6bd738d7f1b3e5a7ca70fe4ff75f0.us-east-1.aws.found.io/app/kibana#/discover/Steve-Slow-Train-Analysis-(2080s-and-2083s)?_g=(refreshInterval:(display:Off,pause:!f,section:0,value:0),time:(from:'2017-06-04T21:36:55-0600',mode:absolute,to:'2017-06-05T00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204" t="str">
        <f t="shared" si="60"/>
        <v>N</v>
      </c>
      <c r="X149" s="204">
        <f t="shared" si="73"/>
        <v>1</v>
      </c>
      <c r="Y149" s="204">
        <f t="shared" si="61"/>
        <v>4.6399999999999997E-2</v>
      </c>
      <c r="Z149" s="204">
        <f t="shared" si="62"/>
        <v>23.343900000000001</v>
      </c>
      <c r="AA149" s="204">
        <f t="shared" si="63"/>
        <v>23.297500000000003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4"/>
        <v>0237-04</v>
      </c>
      <c r="AE149" s="80" t="str">
        <f t="shared" si="65"/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AF149" s="77" t="str">
        <f t="shared" si="66"/>
        <v>"C:\Program Files (x86)\AstroGrep\AstroGrep.exe" /e /r /s /spath="%USERPROFILE%\AppData\Local\Temp\OnboardLogs" /stypes="app*4012*20170605*" /stext=" 05:.+((SYSTEM_STATE.+slice.+state.+changed )|(ment ac)|(multiple cpu faults)|(system.+state.+changed )|(\[timeout)|(PRM\|1\|D)|(kpr)|(kdp)|(train st.+moving)|(\|lc)|(penalty))"</v>
      </c>
      <c r="AG149" s="1" t="str">
        <f t="shared" si="67"/>
        <v>EC</v>
      </c>
      <c r="AH149" s="81" t="str">
        <f t="shared" si="69"/>
        <v>"%USERPROFILE%\Documents\GitHub\eaglep3\Utilities\RefineRTDCRunTimes.py" --tripid 237-04 --locoid 4012 --swversion DE.1.0.9.0 --startMP 204:464 --initTime 2017-06-04T22:36:55 --startdatetime 2017-06-04T23:00:32 --delay 1 --endMP 204:233439 --enddatetime 2017-06-04T23:35:29 --enforcementcount 0 &gt;&gt;C:\Users\stu\Documents\GitHub\eaglep3-reporting\EC\2017-06-04-refined-times.txt</v>
      </c>
      <c r="AI149" s="99" t="str">
        <f t="shared" si="70"/>
        <v>echo {"issue":{"subject":"","project_id":79,"tracker_id":40,"status_id":1,"priority_id":2,"assigned_to_id":23,"start_date":"2017-06-04","description":"","custom_fields":[{"id":1,"name":"Subdivision","value":"EC"},{"id":4,"name":"Milepost","value":"23.3439"},{"id":17,"name":"Train ID","value":"237-04"},{"id":16,"name":"Locomotive ID","value":"4012"},{"id":130,"name":"Impact","value":""},{"id":150,"name":"Time of Event (Mountain Time)","value":"23:35:29"},{"id":151,"name":"Denver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1"/>
        <v>start /low /b %USERPROFILE%\Documents\GitHub\eaglep3\Utilities\DownloadLogsFromS3.py --loco 4012 --day 2017-06-04</v>
      </c>
      <c r="AN149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05:35:29"},{"id":29,"name":"Sharepoint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684</v>
      </c>
      <c r="B150" s="7">
        <v>4011</v>
      </c>
      <c r="C150" s="21" t="s">
        <v>204</v>
      </c>
      <c r="D150" s="21" t="s">
        <v>955</v>
      </c>
      <c r="E150" s="13">
        <v>42890.992442129631</v>
      </c>
      <c r="F150" s="13">
        <v>42890.997499999998</v>
      </c>
      <c r="G150" s="7">
        <v>2</v>
      </c>
      <c r="H150" s="21" t="s">
        <v>956</v>
      </c>
      <c r="I150" s="13">
        <v>42891.025173611109</v>
      </c>
      <c r="J150" s="7">
        <v>0</v>
      </c>
      <c r="K150" s="92" t="str">
        <f t="shared" si="55"/>
        <v>4011/4012</v>
      </c>
      <c r="L150" s="21" t="str">
        <f>VLOOKUP(A150,'Trips&amp;Operators'!$C$1:$G$99999,5,FALSE)</f>
        <v>STAMBAUGH JAMES</v>
      </c>
      <c r="M150" s="6">
        <f t="shared" si="56"/>
        <v>2.7673611111822538E-2</v>
      </c>
      <c r="N150" s="7">
        <f t="shared" si="68"/>
        <v>39.850000001024455</v>
      </c>
      <c r="O150" s="7"/>
      <c r="P150" s="7"/>
      <c r="Q150" s="22"/>
      <c r="R150" s="173"/>
      <c r="S150" s="176">
        <f t="shared" si="57"/>
        <v>1</v>
      </c>
      <c r="T150" s="202" t="str">
        <f t="shared" si="58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9"/>
        <v>https://d0f6bd738d7f1b3e5a7ca70fe4ff75f0.us-east-1.aws.found.io/app/kibana#/discover/Steve-Slow-Train-Analysis-(2080s-and-2083s)?_g=(refreshInterval:(display:Off,pause:!f,section:0,value:0),time:(from:'2017-06-04T22:49:07-0600',mode:absolute,to:'2017-06-05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204" t="str">
        <f t="shared" si="60"/>
        <v>N</v>
      </c>
      <c r="X150" s="204">
        <f t="shared" si="73"/>
        <v>1</v>
      </c>
      <c r="Y150" s="204">
        <f t="shared" si="61"/>
        <v>23.3126</v>
      </c>
      <c r="Z150" s="204">
        <f t="shared" si="62"/>
        <v>1.18E-2</v>
      </c>
      <c r="AA150" s="204">
        <f t="shared" si="63"/>
        <v>23.300799999999999</v>
      </c>
      <c r="AB150" s="57" t="str">
        <f>VLOOKUP(A150,Enforcements!$C$7:$K$13,8,0)</f>
        <v>Bulletin (2)</v>
      </c>
      <c r="AC150" s="53" t="str">
        <f>VLOOKUP(A150,Enforcements!$C$7:$E$13,3,0)</f>
        <v>GRADE CROSSING</v>
      </c>
      <c r="AD150" s="54" t="str">
        <f t="shared" si="64"/>
        <v>0238-04</v>
      </c>
      <c r="AE150" s="80" t="str">
        <f t="shared" si="65"/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AF150" s="77" t="str">
        <f t="shared" si="66"/>
        <v>"C:\Program Files (x86)\AstroGrep\AstroGrep.exe" /e /r /s /spath="%USERPROFILE%\AppData\Local\Temp\OnboardLogs" /stypes="app*4011*20170605*" /stext=" 06:.+((SYSTEM_STATE.+slice.+state.+changed )|(ment ac)|(multiple cpu faults)|(system.+state.+changed )|(\[timeout)|(PRM\|1\|D)|(kpr)|(kdp)|(train st.+moving)|(\|lc)|(penalty))"</v>
      </c>
      <c r="AG150" s="1" t="str">
        <f t="shared" si="67"/>
        <v>EC</v>
      </c>
      <c r="AH150" s="81" t="str">
        <f t="shared" si="69"/>
        <v>"%USERPROFILE%\Documents\GitHub\eaglep3\Utilities\RefineRTDCRunTimes.py" --tripid 238-04 --locoid 4011 --swversion DE.1.0.9.0 --startMP 204:233126 --initTime 2017-06-04T23:49:07 --startdatetime 2017-06-04T23:56:24 --delay 2 --endMP 204:118 --enddatetime 2017-06-05T00:36:15 --enforcementcount 0 &gt;&gt;C:\Users\stu\Documents\GitHub\eaglep3-reporting\EC\2017-06-04-refined-times.txt</v>
      </c>
      <c r="AI150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{"issue":{"subject":"","project_id":79,"tracker_id":40,"status_id":1,"priority_id":2,"assigned_to_id":23,"start_date":"2017-06-05","description":"","custom_fields":[{"id":1,"name":"Subdivision","value":"EC"},{"id":4,"name":"Milepost","value":"0.0118"},{"id":17,"name":"Train ID","value":"238-04"},{"id":16,"name":"Locomotive ID","value":"4011"},{"id":130,"name":"Impact","value":""},{"id":150,"name":"Time of Event (Mountain Time)","value":"00:36:15"},{"id":151,"name":"Denver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1"/>
        <v>start /low /b %USERPROFILE%\Documents\GitHub\eaglep3\Utilities\DownloadLogsFromS3.py --loco 4011 --day 2017-06-04</v>
      </c>
      <c r="AN150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840</v>
      </c>
      <c r="B151" s="7">
        <v>4060</v>
      </c>
      <c r="C151" s="21" t="s">
        <v>204</v>
      </c>
      <c r="D151" s="21" t="s">
        <v>368</v>
      </c>
      <c r="E151" s="13">
        <v>42890.971608796295</v>
      </c>
      <c r="F151" s="13">
        <v>42890.979456018518</v>
      </c>
      <c r="G151" s="7">
        <v>1</v>
      </c>
      <c r="H151" s="21" t="s">
        <v>957</v>
      </c>
      <c r="I151" s="13">
        <v>42891.004467592589</v>
      </c>
      <c r="J151" s="7">
        <v>0</v>
      </c>
      <c r="K151" s="92" t="str">
        <f t="shared" si="55"/>
        <v>4059/4060</v>
      </c>
      <c r="L151" s="21" t="str">
        <f>VLOOKUP(A151,'Trips&amp;Operators'!$C$1:$G$99999,5,FALSE)</f>
        <v>SMITH MICHAEL</v>
      </c>
      <c r="M151" s="6">
        <f t="shared" si="56"/>
        <v>2.5011574070958886E-2</v>
      </c>
      <c r="N151" s="7">
        <f t="shared" si="68"/>
        <v>36.016666662180796</v>
      </c>
      <c r="O151" s="7"/>
      <c r="P151" s="7"/>
      <c r="Q151" s="22"/>
      <c r="R151" s="173"/>
      <c r="S151" s="176">
        <f t="shared" si="57"/>
        <v>1</v>
      </c>
      <c r="T151" s="202" t="str">
        <f t="shared" si="58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9"/>
        <v>https://d0f6bd738d7f1b3e5a7ca70fe4ff75f0.us-east-1.aws.found.io/app/kibana#/discover/Steve-Slow-Train-Analysis-(2080s-and-2083s)?_g=(refreshInterval:(display:Off,pause:!f,section:0,value:0),time:(from:'2017-06-04T22:19:07-0600',mode:absolute,to:'2017-06-05T01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1" s="204" t="str">
        <f t="shared" si="60"/>
        <v>N</v>
      </c>
      <c r="X151" s="204">
        <f t="shared" si="73"/>
        <v>1</v>
      </c>
      <c r="Y151" s="204">
        <f t="shared" si="61"/>
        <v>4.5499999999999999E-2</v>
      </c>
      <c r="Z151" s="204">
        <f t="shared" si="62"/>
        <v>23.338100000000001</v>
      </c>
      <c r="AA151" s="204">
        <f t="shared" si="63"/>
        <v>23.2926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4"/>
        <v>0239-04</v>
      </c>
      <c r="AE151" s="80" t="str">
        <f t="shared" si="65"/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AF151" s="77" t="str">
        <f t="shared" si="66"/>
        <v>"C:\Program Files (x86)\AstroGrep\AstroGrep.exe" /e /r /s /spath="%USERPROFILE%\AppData\Local\Temp\OnboardLogs" /stypes="app*4060*20170605*" /stext=" 06:.+((SYSTEM_STATE.+slice.+state.+changed )|(ment ac)|(multiple cpu faults)|(system.+state.+changed )|(\[timeout)|(PRM\|1\|D)|(kpr)|(kdp)|(train st.+moving)|(\|lc)|(penalty))"</v>
      </c>
      <c r="AG151" s="1" t="str">
        <f t="shared" si="67"/>
        <v>EC</v>
      </c>
      <c r="AH151" s="81" t="str">
        <f t="shared" si="69"/>
        <v>"%USERPROFILE%\Documents\GitHub\eaglep3\Utilities\RefineRTDCRunTimes.py" --tripid 239-04 --locoid 4060 --swversion DE.1.0.9.0 --startMP 204:455 --initTime 2017-06-04T23:19:07 --startdatetime 2017-06-04T23:30:25 --delay 1 --endMP 204:233381 --enddatetime 2017-06-05T00:06:26 --enforcementcount 0 &gt;&gt;C:\Users\stu\Documents\GitHub\eaglep3-reporting\EC\2017-06-04-refined-times.txt</v>
      </c>
      <c r="AI151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{"issue":{"subject":"","project_id":79,"tracker_id":40,"status_id":1,"priority_id":2,"assigned_to_id":23,"start_date":"2017-06-05","description":"","custom_fields":[{"id":1,"name":"Subdivision","value":"EC"},{"id":4,"name":"Milepost","value":"23.3381"},{"id":17,"name":"Train ID","value":"239-04"},{"id":16,"name":"Locomotive ID","value":"4060"},{"id":130,"name":"Impact","value":""},{"id":150,"name":"Time of Event (Mountain Time)","value":"00:06:26"},{"id":151,"name":"Denver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71"/>
        <v>start /low /b %USERPROFILE%\Documents\GitHub\eaglep3\Utilities\DownloadLogsFromS3.py --loco 4060 --day 2017-06-04</v>
      </c>
      <c r="AN151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06:06:26"},{"id":29,"name":"Sharepoint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842</v>
      </c>
      <c r="B152" s="7">
        <v>4059</v>
      </c>
      <c r="C152" s="21" t="s">
        <v>204</v>
      </c>
      <c r="D152" s="21" t="s">
        <v>940</v>
      </c>
      <c r="E152" s="13">
        <v>42891.01290509259</v>
      </c>
      <c r="F152" s="13">
        <v>42891.019074074073</v>
      </c>
      <c r="G152" s="7">
        <v>1</v>
      </c>
      <c r="H152" s="21" t="s">
        <v>466</v>
      </c>
      <c r="I152" s="13">
        <v>42891.045370370368</v>
      </c>
      <c r="J152" s="7">
        <v>0</v>
      </c>
      <c r="K152" s="92" t="str">
        <f t="shared" si="55"/>
        <v>4059/4060</v>
      </c>
      <c r="L152" s="21" t="str">
        <f>VLOOKUP(A152,'Trips&amp;Operators'!$C$1:$G$99999,5,FALSE)</f>
        <v>SMITH MICHAEL</v>
      </c>
      <c r="M152" s="6">
        <f t="shared" si="56"/>
        <v>2.6296296295186039E-2</v>
      </c>
      <c r="N152" s="7">
        <f t="shared" si="68"/>
        <v>37.866666665067896</v>
      </c>
      <c r="O152" s="7"/>
      <c r="P152" s="7"/>
      <c r="Q152" s="22"/>
      <c r="R152" s="173"/>
      <c r="S152" s="176">
        <f t="shared" si="57"/>
        <v>1</v>
      </c>
      <c r="T152" s="202" t="str">
        <f t="shared" si="58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9"/>
        <v>https://d0f6bd738d7f1b3e5a7ca70fe4ff75f0.us-east-1.aws.found.io/app/kibana#/discover/Steve-Slow-Train-Analysis-(2080s-and-2083s)?_g=(refreshInterval:(display:Off,pause:!f,section:0,value:0),time:(from:'2017-06-04T23:18:35-0600',mode:absolute,to:'2017-06-05T02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2" s="204" t="str">
        <f t="shared" si="60"/>
        <v>N</v>
      </c>
      <c r="X152" s="204">
        <f t="shared" si="73"/>
        <v>1</v>
      </c>
      <c r="Y152" s="204">
        <f t="shared" si="61"/>
        <v>23.305499999999999</v>
      </c>
      <c r="Z152" s="204">
        <f t="shared" si="62"/>
        <v>1.5599999999999999E-2</v>
      </c>
      <c r="AA152" s="204">
        <f t="shared" si="63"/>
        <v>23.289899999999999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4"/>
        <v>0240-04</v>
      </c>
      <c r="AE152" s="80" t="str">
        <f t="shared" si="65"/>
        <v>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 &amp; aws s3 cp s3://rtdc.mdm.uploadarchive.raw/RTDC4059/ "%USERPROFILE%\AppData\Local\Temp\OnboardLogs"\RTDC4059\2017-06-06 --exclude "*" --recursive --include "*20170606*" &amp; "%USERPROFILE%\Documents\GitHub\mrs-test-scripts\Headless Mode &amp; Sideloading\WalkAndUnGZ.bat" "%USERPROFILE%\AppData\Local\Temp\OnboardLogs"\RTDC4059\2017-06-06</v>
      </c>
      <c r="AF152" s="77" t="str">
        <f t="shared" si="66"/>
        <v>"C:\Program Files (x86)\AstroGrep\AstroGrep.exe" /e /r /s /spath="%USERPROFILE%\AppData\Local\Temp\OnboardLogs" /stypes="app*4059*20170605*" /stext=" 07:.+((SYSTEM_STATE.+slice.+state.+changed )|(ment ac)|(multiple cpu faults)|(system.+state.+changed )|(\[timeout)|(PRM\|1\|D)|(kpr)|(kdp)|(train st.+moving)|(\|lc)|(penalty))"</v>
      </c>
      <c r="AG152" s="1" t="str">
        <f t="shared" si="67"/>
        <v>EC</v>
      </c>
      <c r="AH152" s="81" t="str">
        <f t="shared" si="69"/>
        <v>"%USERPROFILE%\Documents\GitHub\eaglep3\Utilities\RefineRTDCRunTimes.py" --tripid 240-04 --locoid 4059 --swversion DE.1.0.9.0 --startMP 204:233055 --initTime 2017-06-05T00:18:35 --startdatetime 2017-06-05T00:27:28 --delay 1 --endMP 204:156 --enddatetime 2017-06-05T01:05:20 --enforcementcount 0 &gt;&gt;C:\Users\stu\Documents\GitHub\eaglep3-reporting\EC\2017-06-04-refined-times.txt</v>
      </c>
      <c r="AI152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{"issue":{"subject":"","project_id":79,"tracker_id":40,"status_id":1,"priority_id":2,"assigned_to_id":23,"start_date":"2017-06-05","description":"","custom_fields":[{"id":1,"name":"Subdivision","value":"EC"},{"id":4,"name":"Milepost","value":"0.0156"},{"id":17,"name":"Train ID","value":"240-04"},{"id":16,"name":"Locomotive ID","value":"4059"},{"id":130,"name":"Impact","value":""},{"id":150,"name":"Time of Event (Mountain Time)","value":"01:05:20"},{"id":151,"name":"Denver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1"/>
        <v>start /low /b %USERPROFILE%\Documents\GitHub\eaglep3\Utilities\DownloadLogsFromS3.py --loco 4059 --day 2017-06-05</v>
      </c>
      <c r="AN152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841</v>
      </c>
      <c r="B153" s="7">
        <v>4026</v>
      </c>
      <c r="C153" s="21" t="s">
        <v>204</v>
      </c>
      <c r="D153" s="21" t="s">
        <v>439</v>
      </c>
      <c r="E153" s="13">
        <v>42890.994513888887</v>
      </c>
      <c r="F153" s="13">
        <v>42891.000162037039</v>
      </c>
      <c r="G153" s="7">
        <v>1</v>
      </c>
      <c r="H153" s="21" t="s">
        <v>958</v>
      </c>
      <c r="I153" s="13">
        <v>42891.024247685185</v>
      </c>
      <c r="J153" s="7">
        <v>0</v>
      </c>
      <c r="K153" s="92" t="str">
        <f t="shared" si="55"/>
        <v>4025/4026</v>
      </c>
      <c r="L153" s="21" t="str">
        <f>VLOOKUP(A153,'Trips&amp;Operators'!$C$1:$G$99999,5,FALSE)</f>
        <v>BIRENBAUM THOMAS</v>
      </c>
      <c r="M153" s="6">
        <f t="shared" si="56"/>
        <v>2.4085648146865424E-2</v>
      </c>
      <c r="N153" s="7">
        <f t="shared" si="68"/>
        <v>34.68333333148621</v>
      </c>
      <c r="O153" s="7"/>
      <c r="P153" s="7"/>
      <c r="Q153" s="22"/>
      <c r="R153" s="173"/>
      <c r="S153" s="176">
        <f t="shared" si="57"/>
        <v>1</v>
      </c>
      <c r="T153" s="202" t="str">
        <f t="shared" si="58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9"/>
        <v>https://d0f6bd738d7f1b3e5a7ca70fe4ff75f0.us-east-1.aws.found.io/app/kibana#/discover/Steve-Slow-Train-Analysis-(2080s-and-2083s)?_g=(refreshInterval:(display:Off,pause:!f,section:0,value:0),time:(from:'2017-06-04T22:52:06-0600',mode:absolute,to:'2017-06-05T01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204" t="str">
        <f t="shared" si="60"/>
        <v>N</v>
      </c>
      <c r="X153" s="204">
        <f t="shared" si="73"/>
        <v>1</v>
      </c>
      <c r="Y153" s="204">
        <f t="shared" si="61"/>
        <v>4.4200000000000003E-2</v>
      </c>
      <c r="Z153" s="204">
        <f t="shared" si="62"/>
        <v>23.3291</v>
      </c>
      <c r="AA153" s="204">
        <f t="shared" si="63"/>
        <v>23.2849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4"/>
        <v>0241-04</v>
      </c>
      <c r="AE153" s="80" t="str">
        <f t="shared" si="65"/>
        <v>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 &amp; aws s3 cp s3://rtdc.mdm.uploadarchive.raw/RTDC4026/ "%USERPROFILE%\AppData\Local\Temp\OnboardLogs"\RTDC4026\2017-06-06 --exclude "*" --recursive --include "*20170606*" &amp; "%USERPROFILE%\Documents\GitHub\mrs-test-scripts\Headless Mode &amp; Sideloading\WalkAndUnGZ.bat" "%USERPROFILE%\AppData\Local\Temp\OnboardLogs"\RTDC4026\2017-06-06</v>
      </c>
      <c r="AF153" s="77" t="str">
        <f t="shared" si="66"/>
        <v>"C:\Program Files (x86)\AstroGrep\AstroGrep.exe" /e /r /s /spath="%USERPROFILE%\AppData\Local\Temp\OnboardLogs" /stypes="app*4026*20170605*" /stext=" 06:.+((SYSTEM_STATE.+slice.+state.+changed )|(ment ac)|(multiple cpu faults)|(system.+state.+changed )|(\[timeout)|(PRM\|1\|D)|(kpr)|(kdp)|(train st.+moving)|(\|lc)|(penalty))"</v>
      </c>
      <c r="AG153" s="1" t="str">
        <f t="shared" si="67"/>
        <v>EC</v>
      </c>
      <c r="AH153" s="81" t="str">
        <f t="shared" si="69"/>
        <v>"%USERPROFILE%\Documents\GitHub\eaglep3\Utilities\RefineRTDCRunTimes.py" --tripid 241-04 --locoid 4026 --swversion DE.1.0.9.0 --startMP 204:442 --initTime 2017-06-04T23:52:06 --startdatetime 2017-06-05T00:00:14 --delay 1 --endMP 204:233291 --enddatetime 2017-06-05T00:34:55 --enforcementcount 0 &gt;&gt;C:\Users\stu\Documents\GitHub\eaglep3-reporting\EC\2017-06-04-refined-times.txt</v>
      </c>
      <c r="AI153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{"issue":{"subject":"","project_id":79,"tracker_id":40,"status_id":1,"priority_id":2,"assigned_to_id":23,"start_date":"2017-06-05","description":"","custom_fields":[{"id":1,"name":"Subdivision","value":"EC"},{"id":4,"name":"Milepost","value":"23.3291"},{"id":17,"name":"Train ID","value":"241-04"},{"id":16,"name":"Locomotive ID","value":"4026"},{"id":130,"name":"Impact","value":""},{"id":150,"name":"Time of Event (Mountain Time)","value":"00:34:55"},{"id":151,"name":"Denver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71"/>
        <v>start /low /b %USERPROFILE%\Documents\GitHub\eaglep3\Utilities\DownloadLogsFromS3.py --loco 4026 --day 2017-06-05</v>
      </c>
      <c r="AN153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06:34:55"},{"id":29,"name":"Sharepoint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844</v>
      </c>
      <c r="B154" s="7">
        <v>4025</v>
      </c>
      <c r="C154" s="21" t="s">
        <v>204</v>
      </c>
      <c r="D154" s="21" t="s">
        <v>434</v>
      </c>
      <c r="E154" s="13">
        <v>42891.03533564815</v>
      </c>
      <c r="F154" s="13">
        <v>42891.039733796293</v>
      </c>
      <c r="G154" s="7">
        <v>1</v>
      </c>
      <c r="H154" s="21" t="s">
        <v>437</v>
      </c>
      <c r="I154" s="13">
        <v>42891.065972222219</v>
      </c>
      <c r="J154" s="7">
        <v>0</v>
      </c>
      <c r="K154" s="92" t="str">
        <f t="shared" si="55"/>
        <v>4025/4026</v>
      </c>
      <c r="L154" s="21" t="str">
        <f>VLOOKUP(A154,'Trips&amp;Operators'!$C$1:$G$99999,5,FALSE)</f>
        <v>BIRENBAUM THOMAS</v>
      </c>
      <c r="M154" s="6">
        <f t="shared" si="56"/>
        <v>2.6238425925839692E-2</v>
      </c>
      <c r="N154" s="7">
        <f t="shared" si="68"/>
        <v>37.783333333209157</v>
      </c>
      <c r="O154" s="7"/>
      <c r="P154" s="7"/>
      <c r="Q154" s="22"/>
      <c r="R154" s="173"/>
      <c r="S154" s="176">
        <f t="shared" si="57"/>
        <v>1</v>
      </c>
      <c r="T154" s="202" t="str">
        <f t="shared" si="58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9"/>
        <v>https://d0f6bd738d7f1b3e5a7ca70fe4ff75f0.us-east-1.aws.found.io/app/kibana#/discover/Steve-Slow-Train-Analysis-(2080s-and-2083s)?_g=(refreshInterval:(display:Off,pause:!f,section:0,value:0),time:(from:'2017-06-04T23:50:53-0600',mode:absolute,to:'2017-06-05T02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204" t="str">
        <f t="shared" si="60"/>
        <v>N</v>
      </c>
      <c r="X154" s="204">
        <f t="shared" ref="X154:X160" si="74">VALUE(LEFT(AD154,4))-VALUE(LEFT(AD153,4))</f>
        <v>1</v>
      </c>
      <c r="Y154" s="204">
        <f t="shared" si="61"/>
        <v>23.297699999999999</v>
      </c>
      <c r="Z154" s="204">
        <f t="shared" si="62"/>
        <v>1.4500000000000001E-2</v>
      </c>
      <c r="AA154" s="204">
        <f t="shared" si="63"/>
        <v>23.283199999999997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4"/>
        <v>0242-04</v>
      </c>
      <c r="AE154" s="80" t="str">
        <f t="shared" si="65"/>
        <v>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 &amp; aws s3 cp s3://rtdc.mdm.uploadarchive.raw/RTDC4025/ "%USERPROFILE%\AppData\Local\Temp\OnboardLogs"\RTDC4025\2017-06-06 --exclude "*" --recursive --include "*20170606*" &amp; "%USERPROFILE%\Documents\GitHub\mrs-test-scripts\Headless Mode &amp; Sideloading\WalkAndUnGZ.bat" "%USERPROFILE%\AppData\Local\Temp\OnboardLogs"\RTDC4025\2017-06-06</v>
      </c>
      <c r="AF154" s="77" t="str">
        <f t="shared" si="66"/>
        <v>"C:\Program Files (x86)\AstroGrep\AstroGrep.exe" /e /r /s /spath="%USERPROFILE%\AppData\Local\Temp\OnboardLogs" /stypes="app*4025*20170605*" /stext=" 07:.+((SYSTEM_STATE.+slice.+state.+changed )|(ment ac)|(multiple cpu faults)|(system.+state.+changed )|(\[timeout)|(PRM\|1\|D)|(kpr)|(kdp)|(train st.+moving)|(\|lc)|(penalty))"</v>
      </c>
      <c r="AG154" s="1" t="str">
        <f t="shared" si="67"/>
        <v>EC</v>
      </c>
      <c r="AH154" s="81" t="str">
        <f t="shared" si="69"/>
        <v>"%USERPROFILE%\Documents\GitHub\eaglep3\Utilities\RefineRTDCRunTimes.py" --tripid 242-04 --locoid 4025 --swversion DE.1.0.9.0 --startMP 204:232977 --initTime 2017-06-05T00:50:53 --startdatetime 2017-06-05T00:57:13 --delay 1 --endMP 204:145 --enddatetime 2017-06-05T01:35:00 --enforcementcount 0 &gt;&gt;C:\Users\stu\Documents\GitHub\eaglep3-reporting\EC\2017-06-04-refined-times.txt</v>
      </c>
      <c r="AI154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{"issue":{"subject":"","project_id":79,"tracker_id":40,"status_id":1,"priority_id":2,"assigned_to_id":23,"start_date":"2017-06-05","description":"","custom_fields":[{"id":1,"name":"Subdivision","value":"EC"},{"id":4,"name":"Milepost","value":"0.0145"},{"id":17,"name":"Train ID","value":"242-04"},{"id":16,"name":"Locomotive ID","value":"4025"},{"id":130,"name":"Impact","value":""},{"id":150,"name":"Time of Event (Mountain Time)","value":"01:35:00"},{"id":151,"name":"Denver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1"/>
        <v>start /low /b %USERPROFILE%\Documents\GitHub\eaglep3\Utilities\DownloadLogsFromS3.py --loco 4025 --day 2017-06-05</v>
      </c>
      <c r="AN154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07:35:00"},{"id":29,"name":"Sharepoint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685</v>
      </c>
      <c r="B155" s="7">
        <v>4004</v>
      </c>
      <c r="C155" s="21" t="s">
        <v>204</v>
      </c>
      <c r="D155" s="21" t="s">
        <v>358</v>
      </c>
      <c r="E155" s="13">
        <v>42891.015439814815</v>
      </c>
      <c r="F155" s="13">
        <v>42891.021215277775</v>
      </c>
      <c r="G155" s="7">
        <v>1</v>
      </c>
      <c r="H155" s="21" t="s">
        <v>881</v>
      </c>
      <c r="I155" s="13">
        <v>42891.048113425924</v>
      </c>
      <c r="J155" s="7">
        <v>0</v>
      </c>
      <c r="K155" s="92" t="str">
        <f t="shared" si="55"/>
        <v>4003/4004</v>
      </c>
      <c r="L155" s="21" t="str">
        <f>VLOOKUP(A155,'Trips&amp;Operators'!$C$1:$G$99999,5,FALSE)</f>
        <v>HAITHCOX MICHAEL</v>
      </c>
      <c r="M155" s="6">
        <f t="shared" si="56"/>
        <v>2.6898148149484769E-2</v>
      </c>
      <c r="N155" s="7">
        <f t="shared" si="68"/>
        <v>38.733333335258067</v>
      </c>
      <c r="O155" s="7"/>
      <c r="P155" s="7"/>
      <c r="Q155" s="22"/>
      <c r="R155" s="173"/>
      <c r="S155" s="176">
        <f t="shared" si="57"/>
        <v>1</v>
      </c>
      <c r="T155" s="202" t="str">
        <f t="shared" si="58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9"/>
        <v>https://d0f6bd738d7f1b3e5a7ca70fe4ff75f0.us-east-1.aws.found.io/app/kibana#/discover/Steve-Slow-Train-Analysis-(2080s-and-2083s)?_g=(refreshInterval:(display:Off,pause:!f,section:0,value:0),time:(from:'2017-06-04T23:22:14-0600',mode:absolute,to:'2017-06-05T02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204" t="str">
        <f t="shared" si="60"/>
        <v>N</v>
      </c>
      <c r="X155" s="204">
        <f t="shared" si="74"/>
        <v>1</v>
      </c>
      <c r="Y155" s="204">
        <f t="shared" si="61"/>
        <v>4.6399999999999997E-2</v>
      </c>
      <c r="Z155" s="204">
        <f t="shared" si="62"/>
        <v>23.334900000000001</v>
      </c>
      <c r="AA155" s="204">
        <f t="shared" si="63"/>
        <v>23.288500000000003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4"/>
        <v>0243-04</v>
      </c>
      <c r="AE155" s="80" t="str">
        <f t="shared" si="65"/>
        <v>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 &amp; 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</v>
      </c>
      <c r="AF155" s="77" t="str">
        <f t="shared" si="66"/>
        <v>"C:\Program Files (x86)\AstroGrep\AstroGrep.exe" /e /r /s /spath="%USERPROFILE%\AppData\Local\Temp\OnboardLogs" /stypes="app*4004*20170605*" /stext=" 07:.+((SYSTEM_STATE.+slice.+state.+changed )|(ment ac)|(multiple cpu faults)|(system.+state.+changed )|(\[timeout)|(PRM\|1\|D)|(kpr)|(kdp)|(train st.+moving)|(\|lc)|(penalty))"</v>
      </c>
      <c r="AG155" s="1" t="str">
        <f t="shared" si="67"/>
        <v>EC</v>
      </c>
      <c r="AH155" s="81" t="str">
        <f t="shared" si="69"/>
        <v>"%USERPROFILE%\Documents\GitHub\eaglep3\Utilities\RefineRTDCRunTimes.py" --tripid 243-04 --locoid 4004 --swversion DE.1.0.9.0 --startMP 204:464 --initTime 2017-06-05T00:22:14 --startdatetime 2017-06-05T00:30:33 --delay 1 --endMP 204:233349 --enddatetime 2017-06-05T01:09:17 --enforcementcount 0 &gt;&gt;C:\Users\stu\Documents\GitHub\eaglep3-reporting\EC\2017-06-04-refined-times.txt</v>
      </c>
      <c r="AI155" s="99" t="str">
        <f t="shared" si="70"/>
        <v>echo {"issue":{"subject":"","project_id":79,"tracker_id":40,"status_id":1,"priority_id":2,"assigned_to_id":23,"start_date":"2017-06-05","description":"","custom_fields":[{"id":1,"name":"Subdivision","value":"EC"},{"id":4,"name":"Milepost","value":"23.3349"},{"id":17,"name":"Train ID","value":"243-04"},{"id":16,"name":"Locomotive ID","value":"4004"},{"id":130,"name":"Impact","value":""},{"id":150,"name":"Time of Event (Mountain Time)","value":"01:09:17"},{"id":151,"name":"Denver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71"/>
        <v>start /low /b %USERPROFILE%\Documents\GitHub\eaglep3\Utilities\DownloadLogsFromS3.py --loco 4004 --day 2017-06-05</v>
      </c>
      <c r="AN155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07:09:17"},{"id":29,"name":"Sharepoint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846</v>
      </c>
      <c r="B156" s="7">
        <v>4003</v>
      </c>
      <c r="C156" s="21" t="s">
        <v>204</v>
      </c>
      <c r="D156" s="21" t="s">
        <v>358</v>
      </c>
      <c r="E156" s="13">
        <v>42891.015439814815</v>
      </c>
      <c r="F156" s="13">
        <v>42891.060624999998</v>
      </c>
      <c r="G156" s="7">
        <v>1</v>
      </c>
      <c r="H156" s="21" t="s">
        <v>881</v>
      </c>
      <c r="I156" s="13">
        <v>42891.069155092591</v>
      </c>
      <c r="J156" s="7">
        <v>0</v>
      </c>
      <c r="K156" s="92" t="str">
        <f t="shared" si="55"/>
        <v>4003/4004</v>
      </c>
      <c r="L156" s="21" t="str">
        <f>VLOOKUP(A156,'Trips&amp;Operators'!$C$1:$G$99999,5,FALSE)</f>
        <v>HAITHCOX MICHAEL</v>
      </c>
      <c r="M156" s="6">
        <f t="shared" si="56"/>
        <v>8.5300925929914229E-3</v>
      </c>
      <c r="N156" s="7"/>
      <c r="O156" s="7"/>
      <c r="P156" s="7">
        <f>24*60*SUM($M156:$M156)</f>
        <v>12.283333333907649</v>
      </c>
      <c r="Q156" s="22"/>
      <c r="R156" s="173" t="s">
        <v>1011</v>
      </c>
      <c r="S156" s="176">
        <f t="shared" si="57"/>
        <v>0</v>
      </c>
      <c r="T156" s="202" t="str">
        <f t="shared" si="58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03" t="str">
        <f t="shared" si="59"/>
        <v>https://d0f6bd738d7f1b3e5a7ca70fe4ff75f0.us-east-1.aws.found.io/app/kibana#/discover/Steve-Slow-Train-Analysis-(2080s-and-2083s)?_g=(refreshInterval:(display:Off,pause:!f,section:0,value:0),time:(from:'2017-06-04T23:22:14-0600',mode:absolute,to:'2017-06-05T02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204" t="str">
        <f t="shared" si="60"/>
        <v>Y</v>
      </c>
      <c r="X156" s="204">
        <f t="shared" si="74"/>
        <v>1</v>
      </c>
      <c r="Y156" s="204">
        <v>23.3</v>
      </c>
      <c r="Z156" s="204">
        <v>13.2</v>
      </c>
      <c r="AA156" s="204">
        <f t="shared" si="63"/>
        <v>10.100000000000001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4"/>
        <v>0244-04</v>
      </c>
      <c r="AE156" s="80" t="str">
        <f t="shared" si="65"/>
        <v>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 &amp; aws s3 cp s3://rtdc.mdm.uploadarchive.raw/RTDC4003/ "%USERPROFILE%\AppData\Local\Temp\OnboardLogs"\RTDC4003\2017-06-06 --exclude "*" --recursive --include "*20170606*" &amp; "%USERPROFILE%\Documents\GitHub\mrs-test-scripts\Headless Mode &amp; Sideloading\WalkAndUnGZ.bat" "%USERPROFILE%\AppData\Local\Temp\OnboardLogs"\RTDC4003\2017-06-06</v>
      </c>
      <c r="AF156" s="77" t="str">
        <f t="shared" si="66"/>
        <v>"C:\Program Files (x86)\AstroGrep\AstroGrep.exe" /e /r /s /spath="%USERPROFILE%\AppData\Local\Temp\OnboardLogs" /stypes="app*4003*20170605*" /stext=" 07:.+((SYSTEM_STATE.+slice.+state.+changed )|(ment ac)|(multiple cpu faults)|(system.+state.+changed )|(\[timeout)|(PRM\|1\|D)|(kpr)|(kdp)|(train st.+moving)|(\|lc)|(penalty))"</v>
      </c>
      <c r="AG156" s="1" t="str">
        <f t="shared" si="67"/>
        <v>EC</v>
      </c>
      <c r="AH156" s="81" t="str">
        <f t="shared" ref="AH156" si="7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244-04 --locoid 4003 --swversion DE.1.0.9.0 --startMP 204:464 --initTime 2017-06-05T00:22:14 --startdatetime 2017-06-05T01:27:18 --delay 1 --endMP 204:233349 --enddatetime 2017-06-05T01:39:35 --enforcementcount 0 &gt;&gt;C:\Users\stu\Documents\GitHub\eaglep3-reporting\EC\2017-06-04-refined-times.txt</v>
      </c>
      <c r="AI156" s="99" t="str">
        <f t="shared" ref="AI156" si="7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{"issue":{"subject":"Extended Wi-MAX data drop","project_id":79,"tracker_id":40,"status_id":1,"priority_id":2,"assigned_to_id":23,"start_date":"2017-06-05","description":"","custom_fields":[{"id":1,"name":"Subdivision","value":"EC"},{"id":4,"name":"Milepost","value":"13.2"},{"id":17,"name":"Train ID","value":"244-04"},{"id":16,"name":"Locomotive ID","value":"4003"},{"id":130,"name":"Impact","value":""},{"id":150,"name":"Time of Event (Mountain Time)","value":"01:39:35"},{"id":151,"name":"Denver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ref="AM156" si="77">"start /low /b "&amp;dls3logs&amp;" --loco "&amp;B156&amp;" --day "&amp;TEXT(F156,"YYYY-MM-DD")</f>
        <v>start /low /b %USERPROFILE%\Documents\GitHub\eaglep3\Utilities\DownloadLogsFromS3.py --loco 4003 --day 2017-06-05</v>
      </c>
      <c r="AN156" s="154" t="str">
        <f t="shared" ref="AN156" si="7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07:39:35"},{"id":29,"name":"Sharepoint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701</v>
      </c>
      <c r="B157" s="7">
        <v>4049</v>
      </c>
      <c r="C157" s="21" t="s">
        <v>204</v>
      </c>
      <c r="D157" s="21" t="s">
        <v>886</v>
      </c>
      <c r="E157" s="13">
        <v>42890.232129629629</v>
      </c>
      <c r="F157" s="13">
        <v>42890.234293981484</v>
      </c>
      <c r="G157" s="7">
        <v>1</v>
      </c>
      <c r="H157" s="21" t="s">
        <v>887</v>
      </c>
      <c r="I157" s="13">
        <v>42890.247303240743</v>
      </c>
      <c r="J157" s="7">
        <v>0</v>
      </c>
      <c r="K157" s="92" t="str">
        <f t="shared" si="55"/>
        <v>4049/4050</v>
      </c>
      <c r="L157" s="21" t="str">
        <f>VLOOKUP(A157,'Trips&amp;Operators'!$C$1:$G$99999,5,FALSE)</f>
        <v>DAVIDSON DAVID</v>
      </c>
      <c r="M157" s="6">
        <f t="shared" si="56"/>
        <v>1.3009259258979E-2</v>
      </c>
      <c r="N157" s="7">
        <f t="shared" ref="N157:N188" si="79">24*60*SUM($M157:$M157)</f>
        <v>18.73333333292976</v>
      </c>
      <c r="O157" s="7"/>
      <c r="P157" s="7"/>
      <c r="Q157" s="22"/>
      <c r="R157" s="173"/>
      <c r="S157" s="176">
        <f t="shared" si="57"/>
        <v>1</v>
      </c>
      <c r="T157" s="202" t="str">
        <f t="shared" si="58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03" t="str">
        <f t="shared" si="59"/>
        <v>https://d0f6bd738d7f1b3e5a7ca70fe4ff75f0.us-east-1.aws.found.io/app/kibana#/discover/Steve-Slow-Train-Analysis-(2080s-and-2083s)?_g=(refreshInterval:(display:Off,pause:!f,section:0,value:0),time:(from:'2017-06-04T04:34:16-0600',mode:absolute,to:'2017-06-04T06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 t="shared" si="60"/>
        <v>N</v>
      </c>
      <c r="X157" s="204">
        <f t="shared" si="74"/>
        <v>1556</v>
      </c>
      <c r="Y157" s="204">
        <f t="shared" si="61"/>
        <v>5.8635999999999999</v>
      </c>
      <c r="Z157" s="204">
        <f t="shared" si="62"/>
        <v>6.9800000000000001E-2</v>
      </c>
      <c r="AA157" s="204">
        <f t="shared" si="63"/>
        <v>5.7938000000000001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4"/>
        <v>1800-04</v>
      </c>
      <c r="AE157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57" s="77" t="str">
        <f t="shared" si="66"/>
        <v>"C:\Program Files (x86)\AstroGrep\AstroGrep.exe" /e /r /s /spath="%USERPROFILE%\AppData\Local\Temp\OnboardLogs" /stypes="app*4049*20170604*" /stext=" 11:.+((SYSTEM_STATE.+slice.+state.+changed )|(ment ac)|(multiple cpu faults)|(system.+state.+changed )|(\[timeout)|(PRM\|1\|D)|(kpr)|(kdp)|(train st.+moving)|(\|lc)|(penalty))"</v>
      </c>
      <c r="AG157" s="1" t="str">
        <f t="shared" si="67"/>
        <v>NW</v>
      </c>
      <c r="AH157" s="81" t="str">
        <f t="shared" si="69"/>
        <v>"%USERPROFILE%\Documents\GitHub\eaglep3\Utilities\RefineRTDCRunTimes.py" --tripid 1800-04 --locoid 4049 --swversion DE.1.0.9.0 --startMP 300:58636 --initTime 2017-06-04T05:34:16 --startdatetime 2017-06-04T05:37:23 --delay 1 --endMP 204:698 --enddatetime 2017-06-04T05:56:07 --enforcementcount 0 &gt;&gt;C:\Users\stu\Documents\GitHub\eaglep3-reporting\EC\2017-06-04-refined-times.txt</v>
      </c>
      <c r="AI157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{"issue":{"subject":"","project_id":79,"tracker_id":40,"status_id":1,"priority_id":2,"assigned_to_id":23,"start_date":"2017-06-04","description":"","custom_fields":[{"id":1,"name":"Subdivision","value":"NW"},{"id":4,"name":"Milepost","value":"0.0698"},{"id":17,"name":"Train ID","value":"1800-04"},{"id":16,"name":"Locomotive ID","value":"4049"},{"id":130,"name":"Impact","value":""},{"id":150,"name":"Time of Event (Mountain Time)","value":"05:56:07"},{"id":151,"name":"Denver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71"/>
        <v>start /low /b %USERPROFILE%\Documents\GitHub\eaglep3\Utilities\DownloadLogsFromS3.py --loco 4049 --day 2017-06-04</v>
      </c>
      <c r="AN157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707</v>
      </c>
      <c r="B158" s="7">
        <v>4050</v>
      </c>
      <c r="C158" s="21" t="s">
        <v>204</v>
      </c>
      <c r="D158" s="21" t="s">
        <v>888</v>
      </c>
      <c r="E158" s="13">
        <v>42890.249930555554</v>
      </c>
      <c r="F158" s="13">
        <v>42890.264791666668</v>
      </c>
      <c r="G158" s="7">
        <v>1</v>
      </c>
      <c r="H158" s="21" t="s">
        <v>513</v>
      </c>
      <c r="I158" s="13">
        <v>42890.274363425924</v>
      </c>
      <c r="J158" s="7">
        <v>0</v>
      </c>
      <c r="K158" s="92" t="str">
        <f t="shared" si="55"/>
        <v>4049/4050</v>
      </c>
      <c r="L158" s="21" t="str">
        <f>VLOOKUP(A158,'Trips&amp;Operators'!$C$1:$G$99999,5,FALSE)</f>
        <v>DAVIDSON DAVID</v>
      </c>
      <c r="M158" s="6">
        <f t="shared" si="56"/>
        <v>9.5717592557775788E-3</v>
      </c>
      <c r="N158" s="7">
        <f t="shared" si="79"/>
        <v>13.783333328319713</v>
      </c>
      <c r="O158" s="7"/>
      <c r="P158" s="7"/>
      <c r="Q158" s="22"/>
      <c r="R158" s="173"/>
      <c r="S158" s="176">
        <f t="shared" si="57"/>
        <v>1</v>
      </c>
      <c r="T158" s="202" t="str">
        <f t="shared" si="58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03" t="str">
        <f t="shared" si="59"/>
        <v>https://d0f6bd738d7f1b3e5a7ca70fe4ff75f0.us-east-1.aws.found.io/app/kibana#/discover/Steve-Slow-Train-Analysis-(2080s-and-2083s)?_g=(refreshInterval:(display:Off,pause:!f,section:0,value:0),time:(from:'2017-06-04T04:59:54-0600',mode:absolute,to:'2017-06-04T07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8" s="204" t="str">
        <f t="shared" si="60"/>
        <v>N</v>
      </c>
      <c r="X158" s="204">
        <f t="shared" si="74"/>
        <v>1</v>
      </c>
      <c r="Y158" s="204">
        <f t="shared" si="61"/>
        <v>9.6500000000000002E-2</v>
      </c>
      <c r="Z158" s="204">
        <f t="shared" si="62"/>
        <v>5.8956</v>
      </c>
      <c r="AA158" s="204">
        <f t="shared" si="63"/>
        <v>5.7991000000000001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4"/>
        <v>1801-04</v>
      </c>
      <c r="AE158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58" s="77" t="str">
        <f t="shared" si="66"/>
        <v>"C:\Program Files (x86)\AstroGrep\AstroGrep.exe" /e /r /s /spath="%USERPROFILE%\AppData\Local\Temp\OnboardLogs" /stypes="app*4050*20170604*" /stext=" 12:.+((SYSTEM_STATE.+slice.+state.+changed )|(ment ac)|(multiple cpu faults)|(system.+state.+changed )|(\[timeout)|(PRM\|1\|D)|(kpr)|(kdp)|(train st.+moving)|(\|lc)|(penalty))"</v>
      </c>
      <c r="AG158" s="1" t="str">
        <f t="shared" si="67"/>
        <v>NW</v>
      </c>
      <c r="AH158" s="81" t="str">
        <f t="shared" si="69"/>
        <v>"%USERPROFILE%\Documents\GitHub\eaglep3\Utilities\RefineRTDCRunTimes.py" --tripid 1801-04 --locoid 4050 --swversion DE.1.0.9.0 --startMP 204:965 --initTime 2017-06-04T05:59:54 --startdatetime 2017-06-04T06:21:18 --delay 1 --endMP 300:58956 --enddatetime 2017-06-04T06:35:05 --enforcementcount 0 &gt;&gt;C:\Users\stu\Documents\GitHub\eaglep3-reporting\EC\2017-06-04-refined-times.txt</v>
      </c>
      <c r="AI158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{"issue":{"subject":"","project_id":79,"tracker_id":40,"status_id":1,"priority_id":2,"assigned_to_id":23,"start_date":"2017-06-04","description":"","custom_fields":[{"id":1,"name":"Subdivision","value":"NW"},{"id":4,"name":"Milepost","value":"5.8956"},{"id":17,"name":"Train ID","value":"1801-04"},{"id":16,"name":"Locomotive ID","value":"4050"},{"id":130,"name":"Impact","value":""},{"id":150,"name":"Time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71"/>
        <v>start /low /b %USERPROFILE%\Documents\GitHub\eaglep3\Utilities\DownloadLogsFromS3.py --loco 4050 --day 2017-06-04</v>
      </c>
      <c r="AN158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651</v>
      </c>
      <c r="B159" s="7">
        <v>4049</v>
      </c>
      <c r="C159" s="21" t="s">
        <v>204</v>
      </c>
      <c r="D159" s="21" t="s">
        <v>889</v>
      </c>
      <c r="E159" s="13">
        <v>42890.275370370371</v>
      </c>
      <c r="F159" s="13">
        <v>42890.276921296296</v>
      </c>
      <c r="G159" s="7">
        <v>1</v>
      </c>
      <c r="H159" s="21" t="s">
        <v>890</v>
      </c>
      <c r="I159" s="13">
        <v>42890.288865740738</v>
      </c>
      <c r="J159" s="7">
        <v>0</v>
      </c>
      <c r="K159" s="92" t="str">
        <f t="shared" si="55"/>
        <v>4049/4050</v>
      </c>
      <c r="L159" s="21" t="str">
        <f>VLOOKUP(A159,'Trips&amp;Operators'!$C$1:$G$99999,5,FALSE)</f>
        <v>DAVIDSON DAVID</v>
      </c>
      <c r="M159" s="6">
        <f t="shared" si="56"/>
        <v>1.1944444442633539E-2</v>
      </c>
      <c r="N159" s="7">
        <f t="shared" si="79"/>
        <v>17.199999997392297</v>
      </c>
      <c r="O159" s="7"/>
      <c r="P159" s="7"/>
      <c r="Q159" s="22"/>
      <c r="R159" s="173"/>
      <c r="S159" s="176">
        <f t="shared" si="57"/>
        <v>1</v>
      </c>
      <c r="T159" s="202" t="str">
        <f t="shared" si="58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59"/>
        <v>https://d0f6bd738d7f1b3e5a7ca70fe4ff75f0.us-east-1.aws.found.io/app/kibana#/discover/Steve-Slow-Train-Analysis-(2080s-and-2083s)?_g=(refreshInterval:(display:Off,pause:!f,section:0,value:0),time:(from:'2017-06-04T05:36:32-0600',mode:absolute,to:'2017-06-04T07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04" t="str">
        <f t="shared" si="60"/>
        <v>N</v>
      </c>
      <c r="X159" s="204">
        <f t="shared" si="74"/>
        <v>1</v>
      </c>
      <c r="Y159" s="204">
        <f t="shared" si="61"/>
        <v>5.8643000000000001</v>
      </c>
      <c r="Z159" s="204">
        <f t="shared" si="62"/>
        <v>7.0599999999999996E-2</v>
      </c>
      <c r="AA159" s="204">
        <f t="shared" si="63"/>
        <v>5.7937000000000003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4"/>
        <v>1802-04</v>
      </c>
      <c r="AE159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59" s="77" t="str">
        <f t="shared" si="66"/>
        <v>"C:\Program Files (x86)\AstroGrep\AstroGrep.exe" /e /r /s /spath="%USERPROFILE%\AppData\Local\Temp\OnboardLogs" /stypes="app*4049*20170604*" /stext=" 12:.+((SYSTEM_STATE.+slice.+state.+changed )|(ment ac)|(multiple cpu faults)|(system.+state.+changed )|(\[timeout)|(PRM\|1\|D)|(kpr)|(kdp)|(train st.+moving)|(\|lc)|(penalty))"</v>
      </c>
      <c r="AG159" s="1" t="str">
        <f t="shared" si="67"/>
        <v>NW</v>
      </c>
      <c r="AH159" s="81" t="str">
        <f t="shared" si="69"/>
        <v>"%USERPROFILE%\Documents\GitHub\eaglep3\Utilities\RefineRTDCRunTimes.py" --tripid 1802-04 --locoid 4049 --swversion DE.1.0.9.0 --startMP 300:58643 --initTime 2017-06-04T06:36:32 --startdatetime 2017-06-04T06:38:46 --delay 1 --endMP 204:706 --enddatetime 2017-06-04T06:55:58 --enforcementcount 0 &gt;&gt;C:\Users\stu\Documents\GitHub\eaglep3-reporting\EC\2017-06-04-refined-times.txt</v>
      </c>
      <c r="AI159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{"issue":{"subject":"","project_id":79,"tracker_id":40,"status_id":1,"priority_id":2,"assigned_to_id":23,"start_date":"2017-06-04","description":"","custom_fields":[{"id":1,"name":"Subdivision","value":"NW"},{"id":4,"name":"Milepost","value":"0.0706"},{"id":17,"name":"Train ID","value":"1802-04"},{"id":16,"name":"Locomotive ID","value":"4049"},{"id":130,"name":"Impact","value":""},{"id":150,"name":"Time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71"/>
        <v>start /low /b %USERPROFILE%\Documents\GitHub\eaglep3\Utilities\DownloadLogsFromS3.py --loco 4049 --day 2017-06-04</v>
      </c>
      <c r="AN159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717</v>
      </c>
      <c r="B160" s="7">
        <v>4050</v>
      </c>
      <c r="C160" s="21" t="s">
        <v>204</v>
      </c>
      <c r="D160" s="21" t="s">
        <v>891</v>
      </c>
      <c r="E160" s="13">
        <v>42890.292581018519</v>
      </c>
      <c r="F160" s="13">
        <v>42890.306458333333</v>
      </c>
      <c r="G160" s="7">
        <v>1</v>
      </c>
      <c r="H160" s="21" t="s">
        <v>892</v>
      </c>
      <c r="I160" s="13">
        <v>42890.316296296296</v>
      </c>
      <c r="J160" s="7">
        <v>0</v>
      </c>
      <c r="K160" s="92" t="str">
        <f t="shared" si="55"/>
        <v>4049/4050</v>
      </c>
      <c r="L160" s="21" t="str">
        <f>VLOOKUP(A160,'Trips&amp;Operators'!$C$1:$G$99999,5,FALSE)</f>
        <v>DAVIDSON DAVID</v>
      </c>
      <c r="M160" s="6">
        <f t="shared" si="56"/>
        <v>9.8379629635019228E-3</v>
      </c>
      <c r="N160" s="7">
        <f t="shared" si="79"/>
        <v>14.166666667442769</v>
      </c>
      <c r="O160" s="7"/>
      <c r="P160" s="7"/>
      <c r="Q160" s="22"/>
      <c r="R160" s="173"/>
      <c r="S160" s="176">
        <f t="shared" si="57"/>
        <v>1</v>
      </c>
      <c r="T160" s="202" t="str">
        <f t="shared" si="58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9"/>
        <v>https://d0f6bd738d7f1b3e5a7ca70fe4ff75f0.us-east-1.aws.found.io/app/kibana#/discover/Steve-Slow-Train-Analysis-(2080s-and-2083s)?_g=(refreshInterval:(display:Off,pause:!f,section:0,value:0),time:(from:'2017-06-04T06:01:19-0600',mode:absolute,to:'2017-06-04T08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0" s="204" t="str">
        <f t="shared" si="60"/>
        <v>N</v>
      </c>
      <c r="X160" s="204">
        <f t="shared" si="74"/>
        <v>1</v>
      </c>
      <c r="Y160" s="204">
        <f t="shared" si="61"/>
        <v>9.9500000000000005E-2</v>
      </c>
      <c r="Z160" s="204">
        <f t="shared" si="62"/>
        <v>5.8954000000000004</v>
      </c>
      <c r="AA160" s="204">
        <f t="shared" si="63"/>
        <v>5.7959000000000005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4"/>
        <v>1803-04</v>
      </c>
      <c r="AE160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60" s="77" t="str">
        <f t="shared" si="66"/>
        <v>"C:\Program Files (x86)\AstroGrep\AstroGrep.exe" /e /r /s /spath="%USERPROFILE%\AppData\Local\Temp\OnboardLogs" /stypes="app*4050*20170604*" /stext=" 13:.+((SYSTEM_STATE.+slice.+state.+changed )|(ment ac)|(multiple cpu faults)|(system.+state.+changed )|(\[timeout)|(PRM\|1\|D)|(kpr)|(kdp)|(train st.+moving)|(\|lc)|(penalty))"</v>
      </c>
      <c r="AG160" s="1" t="str">
        <f t="shared" si="67"/>
        <v>NW</v>
      </c>
      <c r="AH160" s="81" t="str">
        <f t="shared" si="69"/>
        <v>"%USERPROFILE%\Documents\GitHub\eaglep3\Utilities\RefineRTDCRunTimes.py" --tripid 1803-04 --locoid 4050 --swversion DE.1.0.9.0 --startMP 204:995 --initTime 2017-06-04T07:01:19 --startdatetime 2017-06-04T07:21:18 --delay 1 --endMP 300:58954 --enddatetime 2017-06-04T07:35:28 --enforcementcount 0 &gt;&gt;C:\Users\stu\Documents\GitHub\eaglep3-reporting\EC\2017-06-04-refined-times.txt</v>
      </c>
      <c r="AI160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{"issue":{"subject":"","project_id":79,"tracker_id":40,"status_id":1,"priority_id":2,"assigned_to_id":23,"start_date":"2017-06-04","description":"","custom_fields":[{"id":1,"name":"Subdivision","value":"NW"},{"id":4,"name":"Milepost","value":"5.8954"},{"id":17,"name":"Train ID","value":"1803-04"},{"id":16,"name":"Locomotive ID","value":"4050"},{"id":130,"name":"Impact","value":""},{"id":150,"name":"Time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1"/>
        <v>start /low /b %USERPROFILE%\Documents\GitHub\eaglep3\Utilities\DownloadLogsFromS3.py --loco 4050 --day 2017-06-04</v>
      </c>
      <c r="AN160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720</v>
      </c>
      <c r="B161" s="7">
        <v>4049</v>
      </c>
      <c r="C161" s="21" t="s">
        <v>204</v>
      </c>
      <c r="D161" s="21" t="s">
        <v>893</v>
      </c>
      <c r="E161" s="13">
        <v>42890.317372685182</v>
      </c>
      <c r="F161" s="13">
        <v>42890.318738425929</v>
      </c>
      <c r="G161" s="7">
        <v>1</v>
      </c>
      <c r="H161" s="21" t="s">
        <v>894</v>
      </c>
      <c r="I161" s="13">
        <v>42890.33053240741</v>
      </c>
      <c r="J161" s="7">
        <v>0</v>
      </c>
      <c r="K161" s="92" t="str">
        <f t="shared" si="55"/>
        <v>4049/4050</v>
      </c>
      <c r="L161" s="21" t="str">
        <f>VLOOKUP(A161,'Trips&amp;Operators'!$C$1:$G$99999,5,FALSE)</f>
        <v>DAVIDSON DAVID</v>
      </c>
      <c r="M161" s="6">
        <f t="shared" si="56"/>
        <v>1.1793981480877846E-2</v>
      </c>
      <c r="N161" s="7">
        <f t="shared" si="79"/>
        <v>16.983333332464099</v>
      </c>
      <c r="O161" s="7"/>
      <c r="P161" s="7"/>
      <c r="Q161" s="22"/>
      <c r="R161" s="173"/>
      <c r="S161" s="176">
        <f t="shared" si="57"/>
        <v>1</v>
      </c>
      <c r="T161" s="202" t="str">
        <f t="shared" si="58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9"/>
        <v>https://d0f6bd738d7f1b3e5a7ca70fe4ff75f0.us-east-1.aws.found.io/app/kibana#/discover/Steve-Slow-Train-Analysis-(2080s-and-2083s)?_g=(refreshInterval:(display:Off,pause:!f,section:0,value:0),time:(from:'2017-06-04T06:37:01-0600',mode:absolute,to:'2017-06-04T08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204" t="str">
        <f t="shared" si="60"/>
        <v>N</v>
      </c>
      <c r="X161" s="204">
        <f t="shared" ref="X161:X192" si="80">VALUE(LEFT(AD161,4))-VALUE(LEFT(AD160,4))</f>
        <v>1</v>
      </c>
      <c r="Y161" s="204">
        <f t="shared" si="61"/>
        <v>5.8642000000000003</v>
      </c>
      <c r="Z161" s="204">
        <f t="shared" si="62"/>
        <v>7.0300000000000001E-2</v>
      </c>
      <c r="AA161" s="204">
        <f t="shared" si="63"/>
        <v>5.7939000000000007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4"/>
        <v>1804-04</v>
      </c>
      <c r="AE161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61" s="77" t="str">
        <f t="shared" si="66"/>
        <v>"C:\Program Files (x86)\AstroGrep\AstroGrep.exe" /e /r /s /spath="%USERPROFILE%\AppData\Local\Temp\OnboardLogs" /stypes="app*4049*20170604*" /stext=" 13:.+((SYSTEM_STATE.+slice.+state.+changed )|(ment ac)|(multiple cpu faults)|(system.+state.+changed )|(\[timeout)|(PRM\|1\|D)|(kpr)|(kdp)|(train st.+moving)|(\|lc)|(penalty))"</v>
      </c>
      <c r="AG161" s="1" t="str">
        <f t="shared" si="67"/>
        <v>NW</v>
      </c>
      <c r="AH161" s="81" t="str">
        <f t="shared" si="69"/>
        <v>"%USERPROFILE%\Documents\GitHub\eaglep3\Utilities\RefineRTDCRunTimes.py" --tripid 1804-04 --locoid 4049 --swversion DE.1.0.9.0 --startMP 300:58642 --initTime 2017-06-04T07:37:01 --startdatetime 2017-06-04T07:38:59 --delay 1 --endMP 204:703 --enddatetime 2017-06-04T07:55:58 --enforcementcount 0 &gt;&gt;C:\Users\stu\Documents\GitHub\eaglep3-reporting\EC\2017-06-04-refined-times.txt</v>
      </c>
      <c r="AI161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{"issue":{"subject":"","project_id":79,"tracker_id":40,"status_id":1,"priority_id":2,"assigned_to_id":23,"start_date":"2017-06-04","description":"","custom_fields":[{"id":1,"name":"Subdivision","value":"NW"},{"id":4,"name":"Milepost","value":"0.0703"},{"id":17,"name":"Train ID","value":"1804-04"},{"id":16,"name":"Locomotive ID","value":"4049"},{"id":130,"name":"Impact","value":""},{"id":150,"name":"Time of Event (Mountain Time)","value":"07:55:58"},{"id":151,"name":"Denver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71"/>
        <v>start /low /b %USERPROFILE%\Documents\GitHub\eaglep3\Utilities\DownloadLogsFromS3.py --loco 4049 --day 2017-06-04</v>
      </c>
      <c r="AN161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724</v>
      </c>
      <c r="B162" s="7">
        <v>4050</v>
      </c>
      <c r="C162" s="21" t="s">
        <v>204</v>
      </c>
      <c r="D162" s="21" t="s">
        <v>895</v>
      </c>
      <c r="E162" s="13">
        <v>42890.332048611112</v>
      </c>
      <c r="F162" s="13">
        <v>42890.34814814815</v>
      </c>
      <c r="G162" s="7">
        <v>1</v>
      </c>
      <c r="H162" s="21" t="s">
        <v>567</v>
      </c>
      <c r="I162" s="13">
        <v>42890.358738425923</v>
      </c>
      <c r="J162" s="7">
        <v>0</v>
      </c>
      <c r="K162" s="92" t="str">
        <f t="shared" si="55"/>
        <v>4049/4050</v>
      </c>
      <c r="L162" s="21" t="str">
        <f>VLOOKUP(A162,'Trips&amp;Operators'!$C$1:$G$99999,5,FALSE)</f>
        <v>DAVIDSON DAVID</v>
      </c>
      <c r="M162" s="6">
        <f t="shared" si="56"/>
        <v>1.0590277772280388E-2</v>
      </c>
      <c r="N162" s="7">
        <f t="shared" si="79"/>
        <v>15.249999992083758</v>
      </c>
      <c r="O162" s="7"/>
      <c r="P162" s="7"/>
      <c r="Q162" s="22"/>
      <c r="R162" s="173"/>
      <c r="S162" s="176">
        <f t="shared" si="57"/>
        <v>1</v>
      </c>
      <c r="T162" s="202" t="str">
        <f t="shared" si="58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9"/>
        <v>https://d0f6bd738d7f1b3e5a7ca70fe4ff75f0.us-east-1.aws.found.io/app/kibana#/discover/Steve-Slow-Train-Analysis-(2080s-and-2083s)?_g=(refreshInterval:(display:Off,pause:!f,section:0,value:0),time:(from:'2017-06-04T06:58:09-0600',mode:absolute,to:'2017-06-04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2" s="204" t="str">
        <f t="shared" si="60"/>
        <v>N</v>
      </c>
      <c r="X162" s="204">
        <f t="shared" si="80"/>
        <v>1</v>
      </c>
      <c r="Y162" s="204">
        <f t="shared" si="61"/>
        <v>9.8799999999999999E-2</v>
      </c>
      <c r="Z162" s="204">
        <f t="shared" si="62"/>
        <v>5.8958000000000004</v>
      </c>
      <c r="AA162" s="204">
        <f t="shared" si="63"/>
        <v>5.7970000000000006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4"/>
        <v>1805-04</v>
      </c>
      <c r="AE162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62" s="77" t="str">
        <f t="shared" si="66"/>
        <v>"C:\Program Files (x86)\AstroGrep\AstroGrep.exe" /e /r /s /spath="%USERPROFILE%\AppData\Local\Temp\OnboardLogs" /stypes="app*4050*20170604*" /stext=" 14:.+((SYSTEM_STATE.+slice.+state.+changed )|(ment ac)|(multiple cpu faults)|(system.+state.+changed )|(\[timeout)|(PRM\|1\|D)|(kpr)|(kdp)|(train st.+moving)|(\|lc)|(penalty))"</v>
      </c>
      <c r="AG162" s="1" t="str">
        <f t="shared" si="67"/>
        <v>NW</v>
      </c>
      <c r="AH162" s="81" t="str">
        <f t="shared" si="69"/>
        <v>"%USERPROFILE%\Documents\GitHub\eaglep3\Utilities\RefineRTDCRunTimes.py" --tripid 1805-04 --locoid 4050 --swversion DE.1.0.9.0 --startMP 204:988 --initTime 2017-06-04T07:58:09 --startdatetime 2017-06-04T08:21:20 --delay 1 --endMP 300:58958 --enddatetime 2017-06-04T08:36:35 --enforcementcount 0 &gt;&gt;C:\Users\stu\Documents\GitHub\eaglep3-reporting\EC\2017-06-04-refined-times.txt</v>
      </c>
      <c r="AI162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{"issue":{"subject":"","project_id":79,"tracker_id":40,"status_id":1,"priority_id":2,"assigned_to_id":23,"start_date":"2017-06-04","description":"","custom_fields":[{"id":1,"name":"Subdivision","value":"NW"},{"id":4,"name":"Milepost","value":"5.8958"},{"id":17,"name":"Train ID","value":"1805-04"},{"id":16,"name":"Locomotive ID","value":"4050"},{"id":130,"name":"Impact","value":""},{"id":150,"name":"Time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71"/>
        <v>start /low /b %USERPROFILE%\Documents\GitHub\eaglep3\Utilities\DownloadLogsFromS3.py --loco 4050 --day 2017-06-04</v>
      </c>
      <c r="AN162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730</v>
      </c>
      <c r="B163" s="7">
        <v>4049</v>
      </c>
      <c r="C163" s="21" t="s">
        <v>204</v>
      </c>
      <c r="D163" s="21" t="s">
        <v>896</v>
      </c>
      <c r="E163" s="13">
        <v>42890.359652777777</v>
      </c>
      <c r="F163" s="13">
        <v>42890.360960648148</v>
      </c>
      <c r="G163" s="7">
        <v>1</v>
      </c>
      <c r="H163" s="21" t="s">
        <v>897</v>
      </c>
      <c r="I163" s="13">
        <v>42890.372083333335</v>
      </c>
      <c r="J163" s="7">
        <v>0</v>
      </c>
      <c r="K163" s="92" t="str">
        <f t="shared" si="55"/>
        <v>4049/4050</v>
      </c>
      <c r="L163" s="21" t="str">
        <f>VLOOKUP(A163,'Trips&amp;Operators'!$C$1:$G$99999,5,FALSE)</f>
        <v>DAVIDSON DAVID</v>
      </c>
      <c r="M163" s="6">
        <f t="shared" si="56"/>
        <v>1.1122685187729076E-2</v>
      </c>
      <c r="N163" s="7">
        <f t="shared" si="79"/>
        <v>16.016666670329869</v>
      </c>
      <c r="O163" s="7"/>
      <c r="P163" s="7"/>
      <c r="Q163" s="22"/>
      <c r="R163" s="173"/>
      <c r="S163" s="176">
        <f t="shared" si="57"/>
        <v>1</v>
      </c>
      <c r="T163" s="202" t="str">
        <f t="shared" si="58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9"/>
        <v>https://d0f6bd738d7f1b3e5a7ca70fe4ff75f0.us-east-1.aws.found.io/app/kibana#/discover/Steve-Slow-Train-Analysis-(2080s-and-2083s)?_g=(refreshInterval:(display:Off,pause:!f,section:0,value:0),time:(from:'2017-06-04T07:37:54-0600',mode:absolute,to:'2017-06-04T09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204" t="str">
        <f t="shared" si="60"/>
        <v>N</v>
      </c>
      <c r="X163" s="204">
        <f t="shared" si="80"/>
        <v>1</v>
      </c>
      <c r="Y163" s="204">
        <f t="shared" si="61"/>
        <v>5.8638000000000003</v>
      </c>
      <c r="Z163" s="204">
        <f t="shared" si="62"/>
        <v>6.8900000000000003E-2</v>
      </c>
      <c r="AA163" s="204">
        <f t="shared" si="63"/>
        <v>5.7949000000000002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4"/>
        <v>1806-04</v>
      </c>
      <c r="AE163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63" s="77" t="str">
        <f t="shared" si="66"/>
        <v>"C:\Program Files (x86)\AstroGrep\AstroGrep.exe" /e /r /s /spath="%USERPROFILE%\AppData\Local\Temp\OnboardLogs" /stypes="app*4049*20170604*" /stext=" 14:.+((SYSTEM_STATE.+slice.+state.+changed )|(ment ac)|(multiple cpu faults)|(system.+state.+changed )|(\[timeout)|(PRM\|1\|D)|(kpr)|(kdp)|(train st.+moving)|(\|lc)|(penalty))"</v>
      </c>
      <c r="AG163" s="1" t="str">
        <f t="shared" si="67"/>
        <v>NW</v>
      </c>
      <c r="AH163" s="81" t="str">
        <f t="shared" si="69"/>
        <v>"%USERPROFILE%\Documents\GitHub\eaglep3\Utilities\RefineRTDCRunTimes.py" --tripid 1806-04 --locoid 4049 --swversion DE.1.0.9.0 --startMP 300:58638 --initTime 2017-06-04T08:37:54 --startdatetime 2017-06-04T08:39:47 --delay 1 --endMP 204:689 --enddatetime 2017-06-04T08:55:48 --enforcementcount 0 &gt;&gt;C:\Users\stu\Documents\GitHub\eaglep3-reporting\EC\2017-06-04-refined-times.txt</v>
      </c>
      <c r="AI163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{"issue":{"subject":"","project_id":79,"tracker_id":40,"status_id":1,"priority_id":2,"assigned_to_id":23,"start_date":"2017-06-04","description":"","custom_fields":[{"id":1,"name":"Subdivision","value":"NW"},{"id":4,"name":"Milepost","value":"0.0689"},{"id":17,"name":"Train ID","value":"1806-04"},{"id":16,"name":"Locomotive ID","value":"4049"},{"id":130,"name":"Impact","value":""},{"id":150,"name":"Time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1"/>
        <v>start /low /b %USERPROFILE%\Documents\GitHub\eaglep3\Utilities\DownloadLogsFromS3.py --loco 4049 --day 2017-06-04</v>
      </c>
      <c r="AN163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14:55:48"},{"id":29,"name":"Sharepoint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735</v>
      </c>
      <c r="B164" s="7">
        <v>4050</v>
      </c>
      <c r="C164" s="21" t="s">
        <v>204</v>
      </c>
      <c r="D164" s="21" t="s">
        <v>489</v>
      </c>
      <c r="E164" s="13">
        <v>42890.374513888892</v>
      </c>
      <c r="F164" s="13">
        <v>42890.389837962961</v>
      </c>
      <c r="G164" s="7">
        <v>1</v>
      </c>
      <c r="H164" s="21" t="s">
        <v>898</v>
      </c>
      <c r="I164" s="13">
        <v>42890.400138888886</v>
      </c>
      <c r="J164" s="7">
        <v>0</v>
      </c>
      <c r="K164" s="92" t="str">
        <f t="shared" si="55"/>
        <v>4049/4050</v>
      </c>
      <c r="L164" s="21" t="str">
        <f>VLOOKUP(A164,'Trips&amp;Operators'!$C$1:$G$99999,5,FALSE)</f>
        <v>DAVIDSON DAVID</v>
      </c>
      <c r="M164" s="6">
        <f t="shared" si="56"/>
        <v>1.0300925925548654E-2</v>
      </c>
      <c r="N164" s="7">
        <f t="shared" si="79"/>
        <v>14.833333332790062</v>
      </c>
      <c r="O164" s="7"/>
      <c r="P164" s="7"/>
      <c r="Q164" s="22"/>
      <c r="R164" s="173"/>
      <c r="S164" s="176">
        <f t="shared" si="57"/>
        <v>1</v>
      </c>
      <c r="T164" s="202" t="str">
        <f t="shared" si="58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9"/>
        <v>https://d0f6bd738d7f1b3e5a7ca70fe4ff75f0.us-east-1.aws.found.io/app/kibana#/discover/Steve-Slow-Train-Analysis-(2080s-and-2083s)?_g=(refreshInterval:(display:Off,pause:!f,section:0,value:0),time:(from:'2017-06-04T07:59:18-0600',mode:absolute,to:'2017-06-04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4" s="204" t="str">
        <f t="shared" si="60"/>
        <v>N</v>
      </c>
      <c r="X164" s="204">
        <f t="shared" si="80"/>
        <v>1</v>
      </c>
      <c r="Y164" s="204">
        <f t="shared" si="61"/>
        <v>9.7799999999999998E-2</v>
      </c>
      <c r="Z164" s="204">
        <f t="shared" si="62"/>
        <v>5.8968999999999996</v>
      </c>
      <c r="AA164" s="204">
        <f t="shared" si="63"/>
        <v>5.7990999999999993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4"/>
        <v>1807-04</v>
      </c>
      <c r="AE164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64" s="77" t="str">
        <f t="shared" si="66"/>
        <v>"C:\Program Files (x86)\AstroGrep\AstroGrep.exe" /e /r /s /spath="%USERPROFILE%\AppData\Local\Temp\OnboardLogs" /stypes="app*4050*20170604*" /stext=" 15:.+((SYSTEM_STATE.+slice.+state.+changed )|(ment ac)|(multiple cpu faults)|(system.+state.+changed )|(\[timeout)|(PRM\|1\|D)|(kpr)|(kdp)|(train st.+moving)|(\|lc)|(penalty))"</v>
      </c>
      <c r="AG164" s="1" t="str">
        <f t="shared" si="67"/>
        <v>NW</v>
      </c>
      <c r="AH164" s="81" t="str">
        <f t="shared" si="69"/>
        <v>"%USERPROFILE%\Documents\GitHub\eaglep3\Utilities\RefineRTDCRunTimes.py" --tripid 1807-04 --locoid 4050 --swversion DE.1.0.9.0 --startMP 204:978 --initTime 2017-06-04T08:59:18 --startdatetime 2017-06-04T09:21:22 --delay 1 --endMP 300:58969 --enddatetime 2017-06-04T09:36:12 --enforcementcount 0 &gt;&gt;C:\Users\stu\Documents\GitHub\eaglep3-reporting\EC\2017-06-04-refined-times.txt</v>
      </c>
      <c r="AI164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{"issue":{"subject":"","project_id":79,"tracker_id":40,"status_id":1,"priority_id":2,"assigned_to_id":23,"start_date":"2017-06-04","description":"","custom_fields":[{"id":1,"name":"Subdivision","value":"NW"},{"id":4,"name":"Milepost","value":"5.8969"},{"id":17,"name":"Train ID","value":"1807-04"},{"id":16,"name":"Locomotive ID","value":"4050"},{"id":130,"name":"Impact","value":""},{"id":150,"name":"Time of Event (Mountain Time)","value":"09:36:12"},{"id":151,"name":"Denver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71"/>
        <v>start /low /b %USERPROFILE%\Documents\GitHub\eaglep3\Utilities\DownloadLogsFromS3.py --loco 4050 --day 2017-06-04</v>
      </c>
      <c r="AN164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740</v>
      </c>
      <c r="B165" s="7">
        <v>4049</v>
      </c>
      <c r="C165" s="21" t="s">
        <v>204</v>
      </c>
      <c r="D165" s="21" t="s">
        <v>899</v>
      </c>
      <c r="E165" s="13">
        <v>42890.400972222225</v>
      </c>
      <c r="F165" s="13">
        <v>42890.402511574073</v>
      </c>
      <c r="G165" s="7">
        <v>1</v>
      </c>
      <c r="H165" s="21" t="s">
        <v>900</v>
      </c>
      <c r="I165" s="13">
        <v>42890.414027777777</v>
      </c>
      <c r="J165" s="7">
        <v>0</v>
      </c>
      <c r="K165" s="92" t="str">
        <f t="shared" si="55"/>
        <v>4049/4050</v>
      </c>
      <c r="L165" s="21" t="str">
        <f>VLOOKUP(A165,'Trips&amp;Operators'!$C$1:$G$99999,5,FALSE)</f>
        <v>DAVIDSON DAVID</v>
      </c>
      <c r="M165" s="6">
        <f t="shared" si="56"/>
        <v>1.1516203703649808E-2</v>
      </c>
      <c r="N165" s="7">
        <f t="shared" si="79"/>
        <v>16.583333333255723</v>
      </c>
      <c r="O165" s="7"/>
      <c r="P165" s="7"/>
      <c r="Q165" s="22"/>
      <c r="R165" s="173"/>
      <c r="S165" s="176">
        <f t="shared" si="57"/>
        <v>1</v>
      </c>
      <c r="T165" s="202" t="str">
        <f t="shared" si="58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9"/>
        <v>https://d0f6bd738d7f1b3e5a7ca70fe4ff75f0.us-east-1.aws.found.io/app/kibana#/discover/Steve-Slow-Train-Analysis-(2080s-and-2083s)?_g=(refreshInterval:(display:Off,pause:!f,section:0,value:0),time:(from:'2017-06-04T08:37:24-0600',mode:absolute,to:'2017-06-04T10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5" s="204" t="str">
        <f t="shared" si="60"/>
        <v>N</v>
      </c>
      <c r="X165" s="204">
        <f t="shared" si="80"/>
        <v>1</v>
      </c>
      <c r="Y165" s="204">
        <f t="shared" si="61"/>
        <v>5.8648999999999996</v>
      </c>
      <c r="Z165" s="204">
        <f t="shared" si="62"/>
        <v>6.9099999999999995E-2</v>
      </c>
      <c r="AA165" s="204">
        <f t="shared" si="63"/>
        <v>5.7957999999999998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4"/>
        <v>1808-04</v>
      </c>
      <c r="AE165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65" s="77" t="str">
        <f t="shared" si="66"/>
        <v>"C:\Program Files (x86)\AstroGrep\AstroGrep.exe" /e /r /s /spath="%USERPROFILE%\AppData\Local\Temp\OnboardLogs" /stypes="app*4049*20170604*" /stext=" 15:.+((SYSTEM_STATE.+slice.+state.+changed )|(ment ac)|(multiple cpu faults)|(system.+state.+changed )|(\[timeout)|(PRM\|1\|D)|(kpr)|(kdp)|(train st.+moving)|(\|lc)|(penalty))"</v>
      </c>
      <c r="AG165" s="1" t="str">
        <f t="shared" si="67"/>
        <v>NW</v>
      </c>
      <c r="AH165" s="81" t="str">
        <f t="shared" si="69"/>
        <v>"%USERPROFILE%\Documents\GitHub\eaglep3\Utilities\RefineRTDCRunTimes.py" --tripid 1808-04 --locoid 4049 --swversion DE.1.0.9.0 --startMP 300:58649 --initTime 2017-06-04T09:37:24 --startdatetime 2017-06-04T09:39:37 --delay 1 --endMP 204:691 --enddatetime 2017-06-04T09:56:12 --enforcementcount 0 &gt;&gt;C:\Users\stu\Documents\GitHub\eaglep3-reporting\EC\2017-06-04-refined-times.txt</v>
      </c>
      <c r="AI165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{"issue":{"subject":"","project_id":79,"tracker_id":40,"status_id":1,"priority_id":2,"assigned_to_id":23,"start_date":"2017-06-04","description":"","custom_fields":[{"id":1,"name":"Subdivision","value":"NW"},{"id":4,"name":"Milepost","value":"0.0691"},{"id":17,"name":"Train ID","value":"1808-04"},{"id":16,"name":"Locomotive ID","value":"4049"},{"id":130,"name":"Impact","value":""},{"id":150,"name":"Time of Event (Mountain Time)","value":"09:56:12"},{"id":151,"name":"Denver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1"/>
        <v>start /low /b %USERPROFILE%\Documents\GitHub\eaglep3\Utilities\DownloadLogsFromS3.py --loco 4049 --day 2017-06-04</v>
      </c>
      <c r="AN165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15:56:12"},{"id":29,"name":"Sharepoint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743</v>
      </c>
      <c r="B166" s="7">
        <v>4050</v>
      </c>
      <c r="C166" s="21" t="s">
        <v>204</v>
      </c>
      <c r="D166" s="21" t="s">
        <v>901</v>
      </c>
      <c r="E166" s="13">
        <v>42890.41611111111</v>
      </c>
      <c r="F166" s="13">
        <v>42890.431469907409</v>
      </c>
      <c r="G166" s="7">
        <v>1</v>
      </c>
      <c r="H166" s="21" t="s">
        <v>513</v>
      </c>
      <c r="I166" s="13">
        <v>42890.441412037035</v>
      </c>
      <c r="J166" s="7">
        <v>0</v>
      </c>
      <c r="K166" s="92" t="str">
        <f t="shared" si="55"/>
        <v>4049/4050</v>
      </c>
      <c r="L166" s="21" t="str">
        <f>VLOOKUP(A166,'Trips&amp;Operators'!$C$1:$G$99999,5,FALSE)</f>
        <v>DAVIDSON DAVID</v>
      </c>
      <c r="M166" s="6">
        <f t="shared" si="56"/>
        <v>9.9421296254149638E-3</v>
      </c>
      <c r="N166" s="7">
        <f t="shared" si="79"/>
        <v>14.316666660597548</v>
      </c>
      <c r="O166" s="7"/>
      <c r="P166" s="7"/>
      <c r="Q166" s="22"/>
      <c r="R166" s="173"/>
      <c r="S166" s="176">
        <f t="shared" si="57"/>
        <v>1</v>
      </c>
      <c r="T166" s="202" t="str">
        <f t="shared" si="58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9"/>
        <v>https://d0f6bd738d7f1b3e5a7ca70fe4ff75f0.us-east-1.aws.found.io/app/kibana#/discover/Steve-Slow-Train-Analysis-(2080s-and-2083s)?_g=(refreshInterval:(display:Off,pause:!f,section:0,value:0),time:(from:'2017-06-04T08:59:12-0600',mode:absolute,to:'2017-06-04T11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6" s="204" t="str">
        <f t="shared" si="60"/>
        <v>N</v>
      </c>
      <c r="X166" s="204">
        <f t="shared" si="80"/>
        <v>1</v>
      </c>
      <c r="Y166" s="204">
        <f t="shared" si="61"/>
        <v>9.9299999999999999E-2</v>
      </c>
      <c r="Z166" s="204">
        <f t="shared" si="62"/>
        <v>5.8956</v>
      </c>
      <c r="AA166" s="204">
        <f t="shared" si="63"/>
        <v>5.7962999999999996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4"/>
        <v>1809-04</v>
      </c>
      <c r="AE166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66" s="77" t="str">
        <f t="shared" si="66"/>
        <v>"C:\Program Files (x86)\AstroGrep\AstroGrep.exe" /e /r /s /spath="%USERPROFILE%\AppData\Local\Temp\OnboardLogs" /stypes="app*4050*20170604*" /stext=" 16:.+((SYSTEM_STATE.+slice.+state.+changed )|(ment ac)|(multiple cpu faults)|(system.+state.+changed )|(\[timeout)|(PRM\|1\|D)|(kpr)|(kdp)|(train st.+moving)|(\|lc)|(penalty))"</v>
      </c>
      <c r="AG166" s="1" t="str">
        <f t="shared" si="67"/>
        <v>NW</v>
      </c>
      <c r="AH166" s="81" t="str">
        <f t="shared" si="69"/>
        <v>"%USERPROFILE%\Documents\GitHub\eaglep3\Utilities\RefineRTDCRunTimes.py" --tripid 1809-04 --locoid 4050 --swversion DE.1.0.9.0 --startMP 204:993 --initTime 2017-06-04T09:59:12 --startdatetime 2017-06-04T10:21:19 --delay 1 --endMP 300:58956 --enddatetime 2017-06-04T10:35:38 --enforcementcount 0 &gt;&gt;C:\Users\stu\Documents\GitHub\eaglep3-reporting\EC\2017-06-04-refined-times.txt</v>
      </c>
      <c r="AI166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{"issue":{"subject":"","project_id":79,"tracker_id":40,"status_id":1,"priority_id":2,"assigned_to_id":23,"start_date":"2017-06-04","description":"","custom_fields":[{"id":1,"name":"Subdivision","value":"NW"},{"id":4,"name":"Milepost","value":"5.8956"},{"id":17,"name":"Train ID","value":"1809-04"},{"id":16,"name":"Locomotive ID","value":"4050"},{"id":130,"name":"Impact","value":""},{"id":150,"name":"Time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71"/>
        <v>start /low /b %USERPROFILE%\Documents\GitHub\eaglep3\Utilities\DownloadLogsFromS3.py --loco 4050 --day 2017-06-04</v>
      </c>
      <c r="AN166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750</v>
      </c>
      <c r="B167" s="7">
        <v>4049</v>
      </c>
      <c r="C167" s="21" t="s">
        <v>204</v>
      </c>
      <c r="D167" s="21" t="s">
        <v>902</v>
      </c>
      <c r="E167" s="13">
        <v>42890.442361111112</v>
      </c>
      <c r="F167" s="13">
        <v>42890.443692129629</v>
      </c>
      <c r="G167" s="7">
        <v>1</v>
      </c>
      <c r="H167" s="21" t="s">
        <v>619</v>
      </c>
      <c r="I167" s="13">
        <v>42890.45548611111</v>
      </c>
      <c r="J167" s="7">
        <v>0</v>
      </c>
      <c r="K167" s="92" t="str">
        <f t="shared" si="55"/>
        <v>4049/4050</v>
      </c>
      <c r="L167" s="21" t="str">
        <f>VLOOKUP(A167,'Trips&amp;Operators'!$C$1:$G$99999,5,FALSE)</f>
        <v>DAVIDSON DAVID</v>
      </c>
      <c r="M167" s="6">
        <f t="shared" si="56"/>
        <v>1.1793981480877846E-2</v>
      </c>
      <c r="N167" s="7">
        <f t="shared" si="79"/>
        <v>16.983333332464099</v>
      </c>
      <c r="O167" s="7"/>
      <c r="P167" s="7"/>
      <c r="Q167" s="22"/>
      <c r="R167" s="173"/>
      <c r="S167" s="176">
        <f t="shared" si="57"/>
        <v>1</v>
      </c>
      <c r="T167" s="202" t="str">
        <f t="shared" si="58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9"/>
        <v>https://d0f6bd738d7f1b3e5a7ca70fe4ff75f0.us-east-1.aws.found.io/app/kibana#/discover/Steve-Slow-Train-Analysis-(2080s-and-2083s)?_g=(refreshInterval:(display:Off,pause:!f,section:0,value:0),time:(from:'2017-06-04T09:37:00-0600',mode:absolute,to:'2017-06-04T11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7" s="204" t="str">
        <f t="shared" si="60"/>
        <v>N</v>
      </c>
      <c r="X167" s="204">
        <f t="shared" si="80"/>
        <v>1</v>
      </c>
      <c r="Y167" s="204">
        <f t="shared" si="61"/>
        <v>5.8632</v>
      </c>
      <c r="Z167" s="204">
        <f t="shared" si="62"/>
        <v>7.0499999999999993E-2</v>
      </c>
      <c r="AA167" s="204">
        <f t="shared" si="63"/>
        <v>5.7927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4"/>
        <v>1810-04</v>
      </c>
      <c r="AE167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67" s="77" t="str">
        <f t="shared" si="66"/>
        <v>"C:\Program Files (x86)\AstroGrep\AstroGrep.exe" /e /r /s /spath="%USERPROFILE%\AppData\Local\Temp\OnboardLogs" /stypes="app*4049*20170604*" /stext=" 16:.+((SYSTEM_STATE.+slice.+state.+changed )|(ment ac)|(multiple cpu faults)|(system.+state.+changed )|(\[timeout)|(PRM\|1\|D)|(kpr)|(kdp)|(train st.+moving)|(\|lc)|(penalty))"</v>
      </c>
      <c r="AG167" s="1" t="str">
        <f t="shared" si="67"/>
        <v>NW</v>
      </c>
      <c r="AH167" s="81" t="str">
        <f t="shared" si="69"/>
        <v>"%USERPROFILE%\Documents\GitHub\eaglep3\Utilities\RefineRTDCRunTimes.py" --tripid 1810-04 --locoid 4049 --swversion DE.1.0.9.0 --startMP 300:58632 --initTime 2017-06-04T10:37:00 --startdatetime 2017-06-04T10:38:55 --delay 1 --endMP 204:705 --enddatetime 2017-06-04T10:55:54 --enforcementcount 0 &gt;&gt;C:\Users\stu\Documents\GitHub\eaglep3-reporting\EC\2017-06-04-refined-times.txt</v>
      </c>
      <c r="AI167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{"issue":{"subject":"","project_id":79,"tracker_id":40,"status_id":1,"priority_id":2,"assigned_to_id":23,"start_date":"2017-06-04","description":"","custom_fields":[{"id":1,"name":"Subdivision","value":"NW"},{"id":4,"name":"Milepost","value":"0.0705"},{"id":17,"name":"Train ID","value":"1810-04"},{"id":16,"name":"Locomotive ID","value":"4049"},{"id":130,"name":"Impact","value":""},{"id":150,"name":"Time of Event (Mountain Time)","value":"10:55:54"},{"id":151,"name":"Denver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71"/>
        <v>start /low /b %USERPROFILE%\Documents\GitHub\eaglep3\Utilities\DownloadLogsFromS3.py --loco 4049 --day 2017-06-04</v>
      </c>
      <c r="AN167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754</v>
      </c>
      <c r="B168" s="7">
        <v>4050</v>
      </c>
      <c r="C168" s="21" t="s">
        <v>204</v>
      </c>
      <c r="D168" s="21" t="s">
        <v>489</v>
      </c>
      <c r="E168" s="13">
        <v>42890.457615740743</v>
      </c>
      <c r="F168" s="13">
        <v>42890.47314814815</v>
      </c>
      <c r="G168" s="7">
        <v>1</v>
      </c>
      <c r="H168" s="21" t="s">
        <v>513</v>
      </c>
      <c r="I168" s="13">
        <v>42890.483148148145</v>
      </c>
      <c r="J168" s="7">
        <v>0</v>
      </c>
      <c r="K168" s="92" t="str">
        <f t="shared" si="55"/>
        <v>4049/4050</v>
      </c>
      <c r="L168" s="21" t="str">
        <f>VLOOKUP(A168,'Trips&amp;Operators'!$C$1:$G$99999,5,FALSE)</f>
        <v>DAVIDSON DAVID</v>
      </c>
      <c r="M168" s="6">
        <f t="shared" si="56"/>
        <v>9.9999999947613105E-3</v>
      </c>
      <c r="N168" s="7">
        <f t="shared" si="79"/>
        <v>14.399999992456287</v>
      </c>
      <c r="O168" s="7"/>
      <c r="P168" s="7"/>
      <c r="Q168" s="22"/>
      <c r="R168" s="173"/>
      <c r="S168" s="176">
        <f t="shared" si="57"/>
        <v>1</v>
      </c>
      <c r="T168" s="202" t="str">
        <f t="shared" si="58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9"/>
        <v>https://d0f6bd738d7f1b3e5a7ca70fe4ff75f0.us-east-1.aws.found.io/app/kibana#/discover/Steve-Slow-Train-Analysis-(2080s-and-2083s)?_g=(refreshInterval:(display:Off,pause:!f,section:0,value:0),time:(from:'2017-06-04T09:58:58-0600',mode:absolute,to:'2017-06-04T12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8" s="204" t="str">
        <f t="shared" si="60"/>
        <v>N</v>
      </c>
      <c r="X168" s="204">
        <f t="shared" si="80"/>
        <v>1</v>
      </c>
      <c r="Y168" s="204">
        <f t="shared" si="61"/>
        <v>9.7799999999999998E-2</v>
      </c>
      <c r="Z168" s="204">
        <f t="shared" si="62"/>
        <v>5.8956</v>
      </c>
      <c r="AA168" s="204">
        <f t="shared" si="63"/>
        <v>5.7977999999999996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4"/>
        <v>1811-04</v>
      </c>
      <c r="AE168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68" s="77" t="str">
        <f t="shared" si="66"/>
        <v>"C:\Program Files (x86)\AstroGrep\AstroGrep.exe" /e /r /s /spath="%USERPROFILE%\AppData\Local\Temp\OnboardLogs" /stypes="app*4050*20170604*" /stext=" 17:.+((SYSTEM_STATE.+slice.+state.+changed )|(ment ac)|(multiple cpu faults)|(system.+state.+changed )|(\[timeout)|(PRM\|1\|D)|(kpr)|(kdp)|(train st.+moving)|(\|lc)|(penalty))"</v>
      </c>
      <c r="AG168" s="1" t="str">
        <f t="shared" si="67"/>
        <v>NW</v>
      </c>
      <c r="AH168" s="81" t="str">
        <f t="shared" si="69"/>
        <v>"%USERPROFILE%\Documents\GitHub\eaglep3\Utilities\RefineRTDCRunTimes.py" --tripid 1811-04 --locoid 4050 --swversion DE.1.0.9.0 --startMP 204:978 --initTime 2017-06-04T10:58:58 --startdatetime 2017-06-04T11:21:20 --delay 1 --endMP 300:58956 --enddatetime 2017-06-04T11:35:44 --enforcementcount 0 &gt;&gt;C:\Users\stu\Documents\GitHub\eaglep3-reporting\EC\2017-06-04-refined-times.txt</v>
      </c>
      <c r="AI168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{"issue":{"subject":"","project_id":79,"tracker_id":40,"status_id":1,"priority_id":2,"assigned_to_id":23,"start_date":"2017-06-04","description":"","custom_fields":[{"id":1,"name":"Subdivision","value":"NW"},{"id":4,"name":"Milepost","value":"5.8956"},{"id":17,"name":"Train ID","value":"1811-04"},{"id":16,"name":"Locomotive ID","value":"4050"},{"id":130,"name":"Impact","value":""},{"id":150,"name":"Time of Event (Mountain Time)","value":"11:35:44"},{"id":151,"name":"Denver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1"/>
        <v>start /low /b %USERPROFILE%\Documents\GitHub\eaglep3\Utilities\DownloadLogsFromS3.py --loco 4050 --day 2017-06-04</v>
      </c>
      <c r="AN168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759</v>
      </c>
      <c r="B169" s="7">
        <v>4049</v>
      </c>
      <c r="C169" s="21" t="s">
        <v>204</v>
      </c>
      <c r="D169" s="21" t="s">
        <v>903</v>
      </c>
      <c r="E169" s="13">
        <v>42890.484074074076</v>
      </c>
      <c r="F169" s="13">
        <v>42890.485520833332</v>
      </c>
      <c r="G169" s="7">
        <v>1</v>
      </c>
      <c r="H169" s="21" t="s">
        <v>619</v>
      </c>
      <c r="I169" s="13">
        <v>42890.497534722221</v>
      </c>
      <c r="J169" s="7">
        <v>0</v>
      </c>
      <c r="K169" s="92" t="str">
        <f t="shared" si="55"/>
        <v>4049/4050</v>
      </c>
      <c r="L169" s="21" t="str">
        <f>VLOOKUP(A169,'Trips&amp;Operators'!$C$1:$G$99999,5,FALSE)</f>
        <v>DAVIDSON DAVID</v>
      </c>
      <c r="M169" s="6">
        <f t="shared" si="56"/>
        <v>1.2013888888759539E-2</v>
      </c>
      <c r="N169" s="7">
        <f t="shared" si="79"/>
        <v>17.299999999813735</v>
      </c>
      <c r="O169" s="7"/>
      <c r="P169" s="7"/>
      <c r="Q169" s="22"/>
      <c r="R169" s="173"/>
      <c r="S169" s="176">
        <f t="shared" si="57"/>
        <v>1</v>
      </c>
      <c r="T169" s="202" t="str">
        <f t="shared" si="58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9"/>
        <v>https://d0f6bd738d7f1b3e5a7ca70fe4ff75f0.us-east-1.aws.found.io/app/kibana#/discover/Steve-Slow-Train-Analysis-(2080s-and-2083s)?_g=(refreshInterval:(display:Off,pause:!f,section:0,value:0),time:(from:'2017-06-04T10:37:04-0600',mode:absolute,to:'2017-06-04T12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9" s="204" t="str">
        <f t="shared" si="60"/>
        <v>N</v>
      </c>
      <c r="X169" s="204">
        <f t="shared" si="80"/>
        <v>1</v>
      </c>
      <c r="Y169" s="204">
        <f t="shared" si="61"/>
        <v>5.8647</v>
      </c>
      <c r="Z169" s="204">
        <f t="shared" si="62"/>
        <v>7.0499999999999993E-2</v>
      </c>
      <c r="AA169" s="204">
        <f t="shared" si="63"/>
        <v>5.7942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4"/>
        <v>1812-04</v>
      </c>
      <c r="AE169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69" s="77" t="str">
        <f t="shared" si="66"/>
        <v>"C:\Program Files (x86)\AstroGrep\AstroGrep.exe" /e /r /s /spath="%USERPROFILE%\AppData\Local\Temp\OnboardLogs" /stypes="app*4049*20170604*" /stext=" 17:.+((SYSTEM_STATE.+slice.+state.+changed )|(ment ac)|(multiple cpu faults)|(system.+state.+changed )|(\[timeout)|(PRM\|1\|D)|(kpr)|(kdp)|(train st.+moving)|(\|lc)|(penalty))"</v>
      </c>
      <c r="AG169" s="1" t="str">
        <f t="shared" si="67"/>
        <v>NW</v>
      </c>
      <c r="AH169" s="81" t="str">
        <f t="shared" si="69"/>
        <v>"%USERPROFILE%\Documents\GitHub\eaglep3\Utilities\RefineRTDCRunTimes.py" --tripid 1812-04 --locoid 4049 --swversion DE.1.0.9.0 --startMP 300:58647 --initTime 2017-06-04T11:37:04 --startdatetime 2017-06-04T11:39:09 --delay 1 --endMP 204:705 --enddatetime 2017-06-04T11:56:27 --enforcementcount 0 &gt;&gt;C:\Users\stu\Documents\GitHub\eaglep3-reporting\EC\2017-06-04-refined-times.txt</v>
      </c>
      <c r="AI169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{"issue":{"subject":"","project_id":79,"tracker_id":40,"status_id":1,"priority_id":2,"assigned_to_id":23,"start_date":"2017-06-04","description":"","custom_fields":[{"id":1,"name":"Subdivision","value":"NW"},{"id":4,"name":"Milepost","value":"0.0705"},{"id":17,"name":"Train ID","value":"1812-04"},{"id":16,"name":"Locomotive ID","value":"4049"},{"id":130,"name":"Impact","value":""},{"id":150,"name":"Time of Event (Mountain Time)","value":"11:56:27"},{"id":151,"name":"Denver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71"/>
        <v>start /low /b %USERPROFILE%\Documents\GitHub\eaglep3\Utilities\DownloadLogsFromS3.py --loco 4049 --day 2017-06-04</v>
      </c>
      <c r="AN169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17:56:27"},{"id":29,"name":"Sharepoint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763</v>
      </c>
      <c r="B170" s="7">
        <v>4050</v>
      </c>
      <c r="C170" s="21" t="s">
        <v>204</v>
      </c>
      <c r="D170" s="21" t="s">
        <v>623</v>
      </c>
      <c r="E170" s="13">
        <v>42890.499826388892</v>
      </c>
      <c r="F170" s="13">
        <v>42890.514814814815</v>
      </c>
      <c r="G170" s="7">
        <v>1</v>
      </c>
      <c r="H170" s="21" t="s">
        <v>617</v>
      </c>
      <c r="I170" s="13">
        <v>42890.525057870371</v>
      </c>
      <c r="J170" s="7">
        <v>0</v>
      </c>
      <c r="K170" s="92" t="str">
        <f t="shared" si="55"/>
        <v>4049/4050</v>
      </c>
      <c r="L170" s="21" t="str">
        <f>VLOOKUP(A170,'Trips&amp;Operators'!$C$1:$G$99999,5,FALSE)</f>
        <v>DAVIDSON DAVID</v>
      </c>
      <c r="M170" s="6">
        <f t="shared" si="56"/>
        <v>1.0243055556202307E-2</v>
      </c>
      <c r="N170" s="7">
        <f t="shared" si="79"/>
        <v>14.750000000931323</v>
      </c>
      <c r="O170" s="7"/>
      <c r="P170" s="7"/>
      <c r="Q170" s="22"/>
      <c r="R170" s="173"/>
      <c r="S170" s="176">
        <f t="shared" si="57"/>
        <v>1</v>
      </c>
      <c r="T170" s="202" t="str">
        <f t="shared" si="58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9"/>
        <v>https://d0f6bd738d7f1b3e5a7ca70fe4ff75f0.us-east-1.aws.found.io/app/kibana#/discover/Steve-Slow-Train-Analysis-(2080s-and-2083s)?_g=(refreshInterval:(display:Off,pause:!f,section:0,value:0),time:(from:'2017-06-04T10:59:45-0600',mode:absolute,to:'2017-06-04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0" s="204" t="str">
        <f t="shared" si="60"/>
        <v>N</v>
      </c>
      <c r="X170" s="204">
        <f t="shared" si="80"/>
        <v>1</v>
      </c>
      <c r="Y170" s="204">
        <f t="shared" si="61"/>
        <v>9.8100000000000007E-2</v>
      </c>
      <c r="Z170" s="204">
        <f t="shared" si="62"/>
        <v>5.8949999999999996</v>
      </c>
      <c r="AA170" s="204">
        <f t="shared" si="63"/>
        <v>5.7968999999999999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4"/>
        <v>1813-04</v>
      </c>
      <c r="AE170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70" s="77" t="str">
        <f t="shared" si="66"/>
        <v>"C:\Program Files (x86)\AstroGrep\AstroGrep.exe" /e /r /s /spath="%USERPROFILE%\AppData\Local\Temp\OnboardLogs" /stypes="app*4050*20170604*" /stext=" 18:.+((SYSTEM_STATE.+slice.+state.+changed )|(ment ac)|(multiple cpu faults)|(system.+state.+changed )|(\[timeout)|(PRM\|1\|D)|(kpr)|(kdp)|(train st.+moving)|(\|lc)|(penalty))"</v>
      </c>
      <c r="AG170" s="1" t="str">
        <f t="shared" si="67"/>
        <v>NW</v>
      </c>
      <c r="AH170" s="81" t="str">
        <f t="shared" si="69"/>
        <v>"%USERPROFILE%\Documents\GitHub\eaglep3\Utilities\RefineRTDCRunTimes.py" --tripid 1813-04 --locoid 4050 --swversion DE.1.0.9.0 --startMP 204:981 --initTime 2017-06-04T11:59:45 --startdatetime 2017-06-04T12:21:20 --delay 1 --endMP 300:58950 --enddatetime 2017-06-04T12:36:05 --enforcementcount 0 &gt;&gt;C:\Users\stu\Documents\GitHub\eaglep3-reporting\EC\2017-06-04-refined-times.txt</v>
      </c>
      <c r="AI170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{"issue":{"subject":"","project_id":79,"tracker_id":40,"status_id":1,"priority_id":2,"assigned_to_id":23,"start_date":"2017-06-04","description":"","custom_fields":[{"id":1,"name":"Subdivision","value":"NW"},{"id":4,"name":"Milepost","value":"5.895"},{"id":17,"name":"Train ID","value":"1813-04"},{"id":16,"name":"Locomotive ID","value":"4050"},{"id":130,"name":"Impact","value":""},{"id":150,"name":"Time of Event (Mountain Time)","value":"12:36:05"},{"id":151,"name":"Denver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71"/>
        <v>start /low /b %USERPROFILE%\Documents\GitHub\eaglep3\Utilities\DownloadLogsFromS3.py --loco 4050 --day 2017-06-04</v>
      </c>
      <c r="AN170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769</v>
      </c>
      <c r="B171" s="7">
        <v>4049</v>
      </c>
      <c r="C171" s="21" t="s">
        <v>204</v>
      </c>
      <c r="D171" s="21" t="s">
        <v>896</v>
      </c>
      <c r="E171" s="13">
        <v>42890.525925925926</v>
      </c>
      <c r="F171" s="13">
        <v>42890.527453703704</v>
      </c>
      <c r="G171" s="7">
        <v>1</v>
      </c>
      <c r="H171" s="21" t="s">
        <v>904</v>
      </c>
      <c r="I171" s="13">
        <v>42890.538541666669</v>
      </c>
      <c r="J171" s="7">
        <v>0</v>
      </c>
      <c r="K171" s="92" t="str">
        <f t="shared" si="55"/>
        <v>4049/4050</v>
      </c>
      <c r="L171" s="21" t="str">
        <f>VLOOKUP(A171,'Trips&amp;Operators'!$C$1:$G$99999,5,FALSE)</f>
        <v>DAVIDSON DAVID</v>
      </c>
      <c r="M171" s="6">
        <f t="shared" si="56"/>
        <v>1.1087962964666076E-2</v>
      </c>
      <c r="N171" s="7">
        <f t="shared" si="79"/>
        <v>15.966666669119149</v>
      </c>
      <c r="O171" s="7"/>
      <c r="P171" s="7"/>
      <c r="Q171" s="22"/>
      <c r="R171" s="173"/>
      <c r="S171" s="176">
        <f t="shared" si="57"/>
        <v>1</v>
      </c>
      <c r="T171" s="202" t="str">
        <f t="shared" si="58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9"/>
        <v>https://d0f6bd738d7f1b3e5a7ca70fe4ff75f0.us-east-1.aws.found.io/app/kibana#/discover/Steve-Slow-Train-Analysis-(2080s-and-2083s)?_g=(refreshInterval:(display:Off,pause:!f,section:0,value:0),time:(from:'2017-06-04T11:37:20-0600',mode:absolute,to:'2017-06-04T13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1" s="204" t="str">
        <f t="shared" si="60"/>
        <v>N</v>
      </c>
      <c r="X171" s="204">
        <f t="shared" si="80"/>
        <v>1</v>
      </c>
      <c r="Y171" s="204">
        <f t="shared" si="61"/>
        <v>5.8638000000000003</v>
      </c>
      <c r="Z171" s="204">
        <f t="shared" si="62"/>
        <v>6.8199999999999997E-2</v>
      </c>
      <c r="AA171" s="204">
        <f t="shared" si="63"/>
        <v>5.7956000000000003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4"/>
        <v>1814-04</v>
      </c>
      <c r="AE171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71" s="77" t="str">
        <f t="shared" si="66"/>
        <v>"C:\Program Files (x86)\AstroGrep\AstroGrep.exe" /e /r /s /spath="%USERPROFILE%\AppData\Local\Temp\OnboardLogs" /stypes="app*4049*20170604*" /stext=" 18:.+((SYSTEM_STATE.+slice.+state.+changed )|(ment ac)|(multiple cpu faults)|(system.+state.+changed )|(\[timeout)|(PRM\|1\|D)|(kpr)|(kdp)|(train st.+moving)|(\|lc)|(penalty))"</v>
      </c>
      <c r="AG171" s="1" t="str">
        <f t="shared" si="67"/>
        <v>NW</v>
      </c>
      <c r="AH171" s="81" t="str">
        <f t="shared" si="69"/>
        <v>"%USERPROFILE%\Documents\GitHub\eaglep3\Utilities\RefineRTDCRunTimes.py" --tripid 1814-04 --locoid 4049 --swversion DE.1.0.9.0 --startMP 300:58638 --initTime 2017-06-04T12:37:20 --startdatetime 2017-06-04T12:39:32 --delay 1 --endMP 204:682 --enddatetime 2017-06-04T12:55:30 --enforcementcount 0 &gt;&gt;C:\Users\stu\Documents\GitHub\eaglep3-reporting\EC\2017-06-04-refined-times.txt</v>
      </c>
      <c r="AI171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{"issue":{"subject":"","project_id":79,"tracker_id":40,"status_id":1,"priority_id":2,"assigned_to_id":23,"start_date":"2017-06-04","description":"","custom_fields":[{"id":1,"name":"Subdivision","value":"NW"},{"id":4,"name":"Milepost","value":"0.0682"},{"id":17,"name":"Train ID","value":"1814-04"},{"id":16,"name":"Locomotive ID","value":"4049"},{"id":130,"name":"Impact","value":""},{"id":150,"name":"Time of Event (Mountain Time)","value":"12:55:30"},{"id":151,"name":"Denver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71"/>
        <v>start /low /b %USERPROFILE%\Documents\GitHub\eaglep3\Utilities\DownloadLogsFromS3.py --loco 4049 --day 2017-06-04</v>
      </c>
      <c r="AN171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771</v>
      </c>
      <c r="B172" s="7">
        <v>4050</v>
      </c>
      <c r="C172" s="21" t="s">
        <v>204</v>
      </c>
      <c r="D172" s="21" t="s">
        <v>620</v>
      </c>
      <c r="E172" s="13">
        <v>42890.540810185186</v>
      </c>
      <c r="F172" s="13">
        <v>42890.556458333333</v>
      </c>
      <c r="G172" s="7">
        <v>1</v>
      </c>
      <c r="H172" s="21" t="s">
        <v>617</v>
      </c>
      <c r="I172" s="13">
        <v>42890.566481481481</v>
      </c>
      <c r="J172" s="7">
        <v>0</v>
      </c>
      <c r="K172" s="92" t="str">
        <f t="shared" si="55"/>
        <v>4049/4050</v>
      </c>
      <c r="L172" s="21" t="str">
        <f>VLOOKUP(A172,'Trips&amp;Operators'!$C$1:$G$99999,5,FALSE)</f>
        <v>DAVIDSON DAVID</v>
      </c>
      <c r="M172" s="6">
        <f t="shared" si="56"/>
        <v>1.0023148148320615E-2</v>
      </c>
      <c r="N172" s="7">
        <f t="shared" si="79"/>
        <v>14.433333333581686</v>
      </c>
      <c r="O172" s="7"/>
      <c r="P172" s="7"/>
      <c r="Q172" s="22"/>
      <c r="R172" s="173"/>
      <c r="S172" s="176">
        <f t="shared" si="57"/>
        <v>1</v>
      </c>
      <c r="T172" s="202" t="str">
        <f t="shared" si="58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9"/>
        <v>https://d0f6bd738d7f1b3e5a7ca70fe4ff75f0.us-east-1.aws.found.io/app/kibana#/discover/Steve-Slow-Train-Analysis-(2080s-and-2083s)?_g=(refreshInterval:(display:Off,pause:!f,section:0,value:0),time:(from:'2017-06-04T11:58:46-0600',mode:absolute,to:'2017-06-04T14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2" s="204" t="str">
        <f t="shared" si="60"/>
        <v>N</v>
      </c>
      <c r="X172" s="204">
        <f t="shared" si="80"/>
        <v>1</v>
      </c>
      <c r="Y172" s="204">
        <f t="shared" si="61"/>
        <v>9.7900000000000001E-2</v>
      </c>
      <c r="Z172" s="204">
        <f t="shared" si="62"/>
        <v>5.8949999999999996</v>
      </c>
      <c r="AA172" s="204">
        <f t="shared" si="63"/>
        <v>5.7970999999999995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4"/>
        <v>1815-04</v>
      </c>
      <c r="AE172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72" s="77" t="str">
        <f t="shared" si="66"/>
        <v>"C:\Program Files (x86)\AstroGrep\AstroGrep.exe" /e /r /s /spath="%USERPROFILE%\AppData\Local\Temp\OnboardLogs" /stypes="app*4050*20170604*" /stext=" 19:.+((SYSTEM_STATE.+slice.+state.+changed )|(ment ac)|(multiple cpu faults)|(system.+state.+changed )|(\[timeout)|(PRM\|1\|D)|(kpr)|(kdp)|(train st.+moving)|(\|lc)|(penalty))"</v>
      </c>
      <c r="AG172" s="1" t="str">
        <f t="shared" si="67"/>
        <v>NW</v>
      </c>
      <c r="AH172" s="81" t="str">
        <f t="shared" si="69"/>
        <v>"%USERPROFILE%\Documents\GitHub\eaglep3\Utilities\RefineRTDCRunTimes.py" --tripid 1815-04 --locoid 4050 --swversion DE.1.0.9.0 --startMP 204:979 --initTime 2017-06-04T12:58:46 --startdatetime 2017-06-04T13:21:18 --delay 1 --endMP 300:58950 --enddatetime 2017-06-04T13:35:44 --enforcementcount 0 &gt;&gt;C:\Users\stu\Documents\GitHub\eaglep3-reporting\EC\2017-06-04-refined-times.txt</v>
      </c>
      <c r="AI172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{"issue":{"subject":"","project_id":79,"tracker_id":40,"status_id":1,"priority_id":2,"assigned_to_id":23,"start_date":"2017-06-04","description":"","custom_fields":[{"id":1,"name":"Subdivision","value":"NW"},{"id":4,"name":"Milepost","value":"5.895"},{"id":17,"name":"Train ID","value":"1815-04"},{"id":16,"name":"Locomotive ID","value":"4050"},{"id":130,"name":"Impact","value":""},{"id":150,"name":"Time of Event (Mountain Time)","value":"13:35:44"},{"id":151,"name":"Denver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71"/>
        <v>start /low /b %USERPROFILE%\Documents\GitHub\eaglep3\Utilities\DownloadLogsFromS3.py --loco 4050 --day 2017-06-04</v>
      </c>
      <c r="AN172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775</v>
      </c>
      <c r="B173" s="7">
        <v>4049</v>
      </c>
      <c r="C173" s="21" t="s">
        <v>204</v>
      </c>
      <c r="D173" s="21" t="s">
        <v>896</v>
      </c>
      <c r="E173" s="13">
        <v>42890.567372685182</v>
      </c>
      <c r="F173" s="13">
        <v>42890.568657407406</v>
      </c>
      <c r="G173" s="7">
        <v>1</v>
      </c>
      <c r="H173" s="21" t="s">
        <v>566</v>
      </c>
      <c r="I173" s="13">
        <v>42890.580243055556</v>
      </c>
      <c r="J173" s="7">
        <v>0</v>
      </c>
      <c r="K173" s="92" t="str">
        <f t="shared" si="55"/>
        <v>4049/4050</v>
      </c>
      <c r="L173" s="21" t="str">
        <f>VLOOKUP(A173,'Trips&amp;Operators'!$C$1:$G$99999,5,FALSE)</f>
        <v>DAVIDSON DAVID</v>
      </c>
      <c r="M173" s="6">
        <f t="shared" si="56"/>
        <v>1.1585648149775807E-2</v>
      </c>
      <c r="N173" s="7">
        <f t="shared" si="79"/>
        <v>16.683333335677162</v>
      </c>
      <c r="O173" s="7"/>
      <c r="P173" s="7"/>
      <c r="Q173" s="22"/>
      <c r="R173" s="173"/>
      <c r="S173" s="176">
        <f t="shared" si="57"/>
        <v>1</v>
      </c>
      <c r="T173" s="202" t="str">
        <f t="shared" si="58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9"/>
        <v>https://d0f6bd738d7f1b3e5a7ca70fe4ff75f0.us-east-1.aws.found.io/app/kibana#/discover/Steve-Slow-Train-Analysis-(2080s-and-2083s)?_g=(refreshInterval:(display:Off,pause:!f,section:0,value:0),time:(from:'2017-06-04T12:37:01-0600',mode:absolute,to:'2017-06-04T14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3" s="204" t="str">
        <f t="shared" si="60"/>
        <v>N</v>
      </c>
      <c r="X173" s="204">
        <f t="shared" si="80"/>
        <v>1</v>
      </c>
      <c r="Y173" s="204">
        <f t="shared" si="61"/>
        <v>5.8638000000000003</v>
      </c>
      <c r="Z173" s="204">
        <f t="shared" si="62"/>
        <v>6.8500000000000005E-2</v>
      </c>
      <c r="AA173" s="204">
        <f t="shared" si="63"/>
        <v>5.7953000000000001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4"/>
        <v>1816-04</v>
      </c>
      <c r="AE173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73" s="77" t="str">
        <f t="shared" si="66"/>
        <v>"C:\Program Files (x86)\AstroGrep\AstroGrep.exe" /e /r /s /spath="%USERPROFILE%\AppData\Local\Temp\OnboardLogs" /stypes="app*4049*20170604*" /stext=" 19:.+((SYSTEM_STATE.+slice.+state.+changed )|(ment ac)|(multiple cpu faults)|(system.+state.+changed )|(\[timeout)|(PRM\|1\|D)|(kpr)|(kdp)|(train st.+moving)|(\|lc)|(penalty))"</v>
      </c>
      <c r="AG173" s="1" t="str">
        <f t="shared" si="67"/>
        <v>NW</v>
      </c>
      <c r="AH173" s="81" t="str">
        <f t="shared" si="69"/>
        <v>"%USERPROFILE%\Documents\GitHub\eaglep3\Utilities\RefineRTDCRunTimes.py" --tripid 1816-04 --locoid 4049 --swversion DE.1.0.9.0 --startMP 300:58638 --initTime 2017-06-04T13:37:01 --startdatetime 2017-06-04T13:38:52 --delay 1 --endMP 204:685 --enddatetime 2017-06-04T13:55:33 --enforcementcount 0 &gt;&gt;C:\Users\stu\Documents\GitHub\eaglep3-reporting\EC\2017-06-04-refined-times.txt</v>
      </c>
      <c r="AI173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{"issue":{"subject":"","project_id":79,"tracker_id":40,"status_id":1,"priority_id":2,"assigned_to_id":23,"start_date":"2017-06-04","description":"","custom_fields":[{"id":1,"name":"Subdivision","value":"NW"},{"id":4,"name":"Milepost","value":"0.0685"},{"id":17,"name":"Train ID","value":"1816-04"},{"id":16,"name":"Locomotive ID","value":"4049"},{"id":130,"name":"Impact","value":""},{"id":150,"name":"Time of Event (Mountain Time)","value":"13:55:33"},{"id":151,"name":"Denver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71"/>
        <v>start /low /b %USERPROFILE%\Documents\GitHub\eaglep3\Utilities\DownloadLogsFromS3.py --loco 4049 --day 2017-06-04</v>
      </c>
      <c r="AN173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19:55:33"},{"id":29,"name":"Sharepoint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662</v>
      </c>
      <c r="B174" s="7">
        <v>4050</v>
      </c>
      <c r="C174" s="21" t="s">
        <v>204</v>
      </c>
      <c r="D174" s="21" t="s">
        <v>905</v>
      </c>
      <c r="E174" s="13">
        <v>42890.585162037038</v>
      </c>
      <c r="F174" s="13">
        <v>42890.598171296297</v>
      </c>
      <c r="G174" s="7">
        <v>1</v>
      </c>
      <c r="H174" s="21" t="s">
        <v>906</v>
      </c>
      <c r="I174" s="13">
        <v>42890.608865740738</v>
      </c>
      <c r="J174" s="7">
        <v>0</v>
      </c>
      <c r="K174" s="92" t="str">
        <f t="shared" si="55"/>
        <v>4049/4050</v>
      </c>
      <c r="L174" s="21" t="str">
        <f>VLOOKUP(A174,'Trips&amp;Operators'!$C$1:$G$99999,5,FALSE)</f>
        <v>HOLCOMB KAMDEN</v>
      </c>
      <c r="M174" s="6">
        <f t="shared" si="56"/>
        <v>1.0694444441469386E-2</v>
      </c>
      <c r="N174" s="7">
        <f t="shared" si="79"/>
        <v>15.399999995715916</v>
      </c>
      <c r="O174" s="7"/>
      <c r="P174" s="7"/>
      <c r="Q174" s="22"/>
      <c r="R174" s="173"/>
      <c r="S174" s="176">
        <f t="shared" si="57"/>
        <v>1</v>
      </c>
      <c r="T174" s="202" t="str">
        <f t="shared" si="58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9"/>
        <v>https://d0f6bd738d7f1b3e5a7ca70fe4ff75f0.us-east-1.aws.found.io/app/kibana#/discover/Steve-Slow-Train-Analysis-(2080s-and-2083s)?_g=(refreshInterval:(display:Off,pause:!f,section:0,value:0),time:(from:'2017-06-04T13:02:38-0600',mode:absolute,to:'2017-06-04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4" s="204" t="str">
        <f t="shared" si="60"/>
        <v>N</v>
      </c>
      <c r="X174" s="204">
        <f t="shared" si="80"/>
        <v>1</v>
      </c>
      <c r="Y174" s="204">
        <f t="shared" si="61"/>
        <v>9.7600000000000006E-2</v>
      </c>
      <c r="Z174" s="204">
        <f t="shared" si="62"/>
        <v>5.8979999999999997</v>
      </c>
      <c r="AA174" s="204">
        <f t="shared" si="63"/>
        <v>5.8003999999999998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4"/>
        <v>1817-04</v>
      </c>
      <c r="AE174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74" s="77" t="str">
        <f t="shared" si="66"/>
        <v>"C:\Program Files (x86)\AstroGrep\AstroGrep.exe" /e /r /s /spath="%USERPROFILE%\AppData\Local\Temp\OnboardLogs" /stypes="app*4050*20170604*" /stext=" 20:.+((SYSTEM_STATE.+slice.+state.+changed )|(ment ac)|(multiple cpu faults)|(system.+state.+changed )|(\[timeout)|(PRM\|1\|D)|(kpr)|(kdp)|(train st.+moving)|(\|lc)|(penalty))"</v>
      </c>
      <c r="AG174" s="1" t="str">
        <f t="shared" si="67"/>
        <v>NW</v>
      </c>
      <c r="AH174" s="81" t="str">
        <f t="shared" si="69"/>
        <v>"%USERPROFILE%\Documents\GitHub\eaglep3\Utilities\RefineRTDCRunTimes.py" --tripid 1817-04 --locoid 4050 --swversion DE.1.0.9.0 --startMP 204:976 --initTime 2017-06-04T14:02:38 --startdatetime 2017-06-04T14:21:22 --delay 1 --endMP 300:58980 --enddatetime 2017-06-04T14:36:46 --enforcementcount 0 &gt;&gt;C:\Users\stu\Documents\GitHub\eaglep3-reporting\EC\2017-06-04-refined-times.txt</v>
      </c>
      <c r="AI174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{"issue":{"subject":"","project_id":79,"tracker_id":40,"status_id":1,"priority_id":2,"assigned_to_id":23,"start_date":"2017-06-04","description":"","custom_fields":[{"id":1,"name":"Subdivision","value":"NW"},{"id":4,"name":"Milepost","value":"5.898"},{"id":17,"name":"Train ID","value":"1817-04"},{"id":16,"name":"Locomotive ID","value":"4050"},{"id":130,"name":"Impact","value":""},{"id":150,"name":"Time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1"/>
        <v>start /low /b %USERPROFILE%\Documents\GitHub\eaglep3\Utilities\DownloadLogsFromS3.py --loco 4050 --day 2017-06-04</v>
      </c>
      <c r="AN174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785</v>
      </c>
      <c r="B175" s="7">
        <v>4049</v>
      </c>
      <c r="C175" s="21" t="s">
        <v>204</v>
      </c>
      <c r="D175" s="21" t="s">
        <v>622</v>
      </c>
      <c r="E175" s="13">
        <v>42890.609826388885</v>
      </c>
      <c r="F175" s="13">
        <v>42890.611122685186</v>
      </c>
      <c r="G175" s="7">
        <v>1</v>
      </c>
      <c r="H175" s="21" t="s">
        <v>907</v>
      </c>
      <c r="I175" s="13">
        <v>42890.622048611112</v>
      </c>
      <c r="J175" s="7">
        <v>0</v>
      </c>
      <c r="K175" s="92" t="str">
        <f t="shared" si="55"/>
        <v>4049/4050</v>
      </c>
      <c r="L175" s="21" t="str">
        <f>VLOOKUP(A175,'Trips&amp;Operators'!$C$1:$G$99999,5,FALSE)</f>
        <v>HOLCOMB KAMDEN</v>
      </c>
      <c r="M175" s="6">
        <f t="shared" si="56"/>
        <v>1.0925925926130731E-2</v>
      </c>
      <c r="N175" s="7">
        <f t="shared" si="79"/>
        <v>15.733333333628252</v>
      </c>
      <c r="O175" s="7"/>
      <c r="P175" s="7"/>
      <c r="Q175" s="22"/>
      <c r="R175" s="173"/>
      <c r="S175" s="176">
        <f t="shared" si="57"/>
        <v>1</v>
      </c>
      <c r="T175" s="202" t="str">
        <f t="shared" si="58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9"/>
        <v>https://d0f6bd738d7f1b3e5a7ca70fe4ff75f0.us-east-1.aws.found.io/app/kibana#/discover/Steve-Slow-Train-Analysis-(2080s-and-2083s)?_g=(refreshInterval:(display:Off,pause:!f,section:0,value:0),time:(from:'2017-06-04T13:38:09-0600',mode:absolute,to:'2017-06-04T15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5" s="204" t="str">
        <f t="shared" si="60"/>
        <v>N</v>
      </c>
      <c r="X175" s="204">
        <f t="shared" si="80"/>
        <v>1</v>
      </c>
      <c r="Y175" s="204">
        <f t="shared" si="61"/>
        <v>5.867</v>
      </c>
      <c r="Z175" s="204">
        <f t="shared" si="62"/>
        <v>6.7500000000000004E-2</v>
      </c>
      <c r="AA175" s="204">
        <f t="shared" si="63"/>
        <v>5.7995000000000001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4"/>
        <v>1818-04</v>
      </c>
      <c r="AE175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75" s="77" t="str">
        <f t="shared" si="66"/>
        <v>"C:\Program Files (x86)\AstroGrep\AstroGrep.exe" /e /r /s /spath="%USERPROFILE%\AppData\Local\Temp\OnboardLogs" /stypes="app*4049*20170604*" /stext=" 20:.+((SYSTEM_STATE.+slice.+state.+changed )|(ment ac)|(multiple cpu faults)|(system.+state.+changed )|(\[timeout)|(PRM\|1\|D)|(kpr)|(kdp)|(train st.+moving)|(\|lc)|(penalty))"</v>
      </c>
      <c r="AG175" s="1" t="str">
        <f t="shared" si="67"/>
        <v>NW</v>
      </c>
      <c r="AH175" s="81" t="str">
        <f t="shared" si="69"/>
        <v>"%USERPROFILE%\Documents\GitHub\eaglep3\Utilities\RefineRTDCRunTimes.py" --tripid 1818-04 --locoid 4049 --swversion DE.1.0.9.0 --startMP 300:58670 --initTime 2017-06-04T14:38:09 --startdatetime 2017-06-04T14:40:01 --delay 1 --endMP 204:675 --enddatetime 2017-06-04T14:55:45 --enforcementcount 0 &gt;&gt;C:\Users\stu\Documents\GitHub\eaglep3-reporting\EC\2017-06-04-refined-times.txt</v>
      </c>
      <c r="AI175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{"issue":{"subject":"","project_id":79,"tracker_id":40,"status_id":1,"priority_id":2,"assigned_to_id":23,"start_date":"2017-06-04","description":"","custom_fields":[{"id":1,"name":"Subdivision","value":"NW"},{"id":4,"name":"Milepost","value":"0.0675"},{"id":17,"name":"Train ID","value":"1818-04"},{"id":16,"name":"Locomotive ID","value":"4049"},{"id":130,"name":"Impact","value":""},{"id":150,"name":"Time of Event (Mountain Time)","value":"14:55:45"},{"id":151,"name":"Denver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1"/>
        <v>start /low /b %USERPROFILE%\Documents\GitHub\eaglep3\Utilities\DownloadLogsFromS3.py --loco 4049 --day 2017-06-04</v>
      </c>
      <c r="AN175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790</v>
      </c>
      <c r="B176" s="7">
        <v>4050</v>
      </c>
      <c r="C176" s="21" t="s">
        <v>204</v>
      </c>
      <c r="D176" s="21" t="s">
        <v>908</v>
      </c>
      <c r="E176" s="13">
        <v>42890.638460648152</v>
      </c>
      <c r="F176" s="13">
        <v>42890.639918981484</v>
      </c>
      <c r="G176" s="7">
        <v>1</v>
      </c>
      <c r="H176" s="21" t="s">
        <v>909</v>
      </c>
      <c r="I176" s="13">
        <v>42890.649687500001</v>
      </c>
      <c r="J176" s="7">
        <v>0</v>
      </c>
      <c r="K176" s="92" t="str">
        <f t="shared" si="55"/>
        <v>4049/4050</v>
      </c>
      <c r="L176" s="21" t="str">
        <f>VLOOKUP(A176,'Trips&amp;Operators'!$C$1:$G$99999,5,FALSE)</f>
        <v>HOLCOMB KAMDEN</v>
      </c>
      <c r="M176" s="6">
        <f t="shared" si="56"/>
        <v>9.7685185173759237E-3</v>
      </c>
      <c r="N176" s="7">
        <f t="shared" si="79"/>
        <v>14.06666666502133</v>
      </c>
      <c r="O176" s="7"/>
      <c r="P176" s="7"/>
      <c r="Q176" s="22"/>
      <c r="R176" s="173"/>
      <c r="S176" s="176">
        <f t="shared" si="57"/>
        <v>1</v>
      </c>
      <c r="T176" s="202" t="str">
        <f t="shared" si="58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9"/>
        <v>https://d0f6bd738d7f1b3e5a7ca70fe4ff75f0.us-east-1.aws.found.io/app/kibana#/discover/Steve-Slow-Train-Analysis-(2080s-and-2083s)?_g=(refreshInterval:(display:Off,pause:!f,section:0,value:0),time:(from:'2017-06-04T14:19:23-0600',mode:absolute,to:'2017-06-04T16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6" s="204" t="str">
        <f t="shared" si="60"/>
        <v>N</v>
      </c>
      <c r="X176" s="204">
        <f t="shared" si="80"/>
        <v>1</v>
      </c>
      <c r="Y176" s="204">
        <f t="shared" si="61"/>
        <v>9.5000000000000001E-2</v>
      </c>
      <c r="Z176" s="204">
        <f t="shared" si="62"/>
        <v>5.8993000000000002</v>
      </c>
      <c r="AA176" s="204">
        <f t="shared" si="63"/>
        <v>5.8043000000000005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4"/>
        <v>1819-04</v>
      </c>
      <c r="AE176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76" s="77" t="str">
        <f t="shared" si="66"/>
        <v>"C:\Program Files (x86)\AstroGrep\AstroGrep.exe" /e /r /s /spath="%USERPROFILE%\AppData\Local\Temp\OnboardLogs" /stypes="app*4050*20170604*" /stext=" 21:.+((SYSTEM_STATE.+slice.+state.+changed )|(ment ac)|(multiple cpu faults)|(system.+state.+changed )|(\[timeout)|(PRM\|1\|D)|(kpr)|(kdp)|(train st.+moving)|(\|lc)|(penalty))"</v>
      </c>
      <c r="AG176" s="1" t="str">
        <f t="shared" si="67"/>
        <v>NW</v>
      </c>
      <c r="AH176" s="81" t="str">
        <f t="shared" si="69"/>
        <v>"%USERPROFILE%\Documents\GitHub\eaglep3\Utilities\RefineRTDCRunTimes.py" --tripid 1819-04 --locoid 4050 --swversion DE.1.0.9.0 --startMP 204:950 --initTime 2017-06-04T15:19:23 --startdatetime 2017-06-04T15:21:29 --delay 1 --endMP 300:58993 --enddatetime 2017-06-04T15:35:33 --enforcementcount 0 &gt;&gt;C:\Users\stu\Documents\GitHub\eaglep3-reporting\EC\2017-06-04-refined-times.txt</v>
      </c>
      <c r="AI176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{"issue":{"subject":"","project_id":79,"tracker_id":40,"status_id":1,"priority_id":2,"assigned_to_id":23,"start_date":"2017-06-04","description":"","custom_fields":[{"id":1,"name":"Subdivision","value":"NW"},{"id":4,"name":"Milepost","value":"5.8993"},{"id":17,"name":"Train ID","value":"1819-04"},{"id":16,"name":"Locomotive ID","value":"4050"},{"id":130,"name":"Impact","value":""},{"id":150,"name":"Time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71"/>
        <v>start /low /b %USERPROFILE%\Documents\GitHub\eaglep3\Utilities\DownloadLogsFromS3.py --loco 4050 --day 2017-06-04</v>
      </c>
      <c r="AN176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664</v>
      </c>
      <c r="B177" s="7">
        <v>4049</v>
      </c>
      <c r="C177" s="21" t="s">
        <v>204</v>
      </c>
      <c r="D177" s="21" t="s">
        <v>910</v>
      </c>
      <c r="E177" s="13">
        <v>42890.650451388887</v>
      </c>
      <c r="F177" s="13">
        <v>42890.651747685188</v>
      </c>
      <c r="G177" s="7">
        <v>1</v>
      </c>
      <c r="H177" s="21" t="s">
        <v>911</v>
      </c>
      <c r="I177" s="13">
        <v>42890.663495370369</v>
      </c>
      <c r="J177" s="7">
        <v>0</v>
      </c>
      <c r="K177" s="92" t="str">
        <f t="shared" si="55"/>
        <v>4049/4050</v>
      </c>
      <c r="L177" s="21" t="str">
        <f>VLOOKUP(A177,'Trips&amp;Operators'!$C$1:$G$99999,5,FALSE)</f>
        <v>HOLCOMB KAMDEN</v>
      </c>
      <c r="M177" s="6">
        <f t="shared" si="56"/>
        <v>1.1747685181035195E-2</v>
      </c>
      <c r="N177" s="7">
        <f t="shared" si="79"/>
        <v>16.91666666069068</v>
      </c>
      <c r="O177" s="7"/>
      <c r="P177" s="7"/>
      <c r="Q177" s="22"/>
      <c r="R177" s="173"/>
      <c r="S177" s="176">
        <f t="shared" si="57"/>
        <v>1</v>
      </c>
      <c r="T177" s="202" t="str">
        <f t="shared" si="58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9"/>
        <v>https://d0f6bd738d7f1b3e5a7ca70fe4ff75f0.us-east-1.aws.found.io/app/kibana#/discover/Steve-Slow-Train-Analysis-(2080s-and-2083s)?_g=(refreshInterval:(display:Off,pause:!f,section:0,value:0),time:(from:'2017-06-04T14:36:39-0600',mode:absolute,to:'2017-06-04T16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7" s="204" t="str">
        <f t="shared" si="60"/>
        <v>N</v>
      </c>
      <c r="X177" s="204">
        <f t="shared" si="80"/>
        <v>1</v>
      </c>
      <c r="Y177" s="204">
        <f t="shared" si="61"/>
        <v>5.8674999999999997</v>
      </c>
      <c r="Z177" s="204">
        <f t="shared" si="62"/>
        <v>7.4099999999999999E-2</v>
      </c>
      <c r="AA177" s="204">
        <f t="shared" si="63"/>
        <v>5.7934000000000001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4"/>
        <v>1820-04</v>
      </c>
      <c r="AE177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77" s="77" t="str">
        <f t="shared" si="66"/>
        <v>"C:\Program Files (x86)\AstroGrep\AstroGrep.exe" /e /r /s /spath="%USERPROFILE%\AppData\Local\Temp\OnboardLogs" /stypes="app*4049*20170604*" /stext=" 21:.+((SYSTEM_STATE.+slice.+state.+changed )|(ment ac)|(multiple cpu faults)|(system.+state.+changed )|(\[timeout)|(PRM\|1\|D)|(kpr)|(kdp)|(train st.+moving)|(\|lc)|(penalty))"</v>
      </c>
      <c r="AG177" s="1" t="str">
        <f t="shared" si="67"/>
        <v>NW</v>
      </c>
      <c r="AH177" s="81" t="str">
        <f t="shared" si="69"/>
        <v>"%USERPROFILE%\Documents\GitHub\eaglep3\Utilities\RefineRTDCRunTimes.py" --tripid 1820-04 --locoid 4049 --swversion DE.1.0.9.0 --startMP 300:58675 --initTime 2017-06-04T15:36:39 --startdatetime 2017-06-04T15:38:31 --delay 1 --endMP 204:741 --enddatetime 2017-06-04T15:55:26 --enforcementcount 0 &gt;&gt;C:\Users\stu\Documents\GitHub\eaglep3-reporting\EC\2017-06-04-refined-times.txt</v>
      </c>
      <c r="AI177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{"issue":{"subject":"","project_id":79,"tracker_id":40,"status_id":1,"priority_id":2,"assigned_to_id":23,"start_date":"2017-06-04","description":"","custom_fields":[{"id":1,"name":"Subdivision","value":"NW"},{"id":4,"name":"Milepost","value":"0.0741"},{"id":17,"name":"Train ID","value":"1820-04"},{"id":16,"name":"Locomotive ID","value":"4049"},{"id":130,"name":"Impact","value":""},{"id":150,"name":"Time of Event (Mountain Time)","value":"15:55:26"},{"id":151,"name":"Denver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1"/>
        <v>start /low /b %USERPROFILE%\Documents\GitHub\eaglep3\Utilities\DownloadLogsFromS3.py --loco 4049 --day 2017-06-04</v>
      </c>
      <c r="AN177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799</v>
      </c>
      <c r="B178" s="7">
        <v>4050</v>
      </c>
      <c r="C178" s="21" t="s">
        <v>204</v>
      </c>
      <c r="D178" s="21" t="s">
        <v>912</v>
      </c>
      <c r="E178" s="13">
        <v>42890.680405092593</v>
      </c>
      <c r="F178" s="13">
        <v>42890.681944444441</v>
      </c>
      <c r="G178" s="7">
        <v>1</v>
      </c>
      <c r="H178" s="21" t="s">
        <v>913</v>
      </c>
      <c r="I178" s="13">
        <v>42890.691747685189</v>
      </c>
      <c r="J178" s="7">
        <v>0</v>
      </c>
      <c r="K178" s="92" t="str">
        <f t="shared" si="55"/>
        <v>4049/4050</v>
      </c>
      <c r="L178" s="21" t="str">
        <f>VLOOKUP(A178,'Trips&amp;Operators'!$C$1:$G$99999,5,FALSE)</f>
        <v>HOLCOMB KAMDEN</v>
      </c>
      <c r="M178" s="6">
        <f t="shared" si="56"/>
        <v>9.8032407477148809E-3</v>
      </c>
      <c r="N178" s="7">
        <f t="shared" si="79"/>
        <v>14.116666676709428</v>
      </c>
      <c r="O178" s="7"/>
      <c r="P178" s="7"/>
      <c r="Q178" s="22"/>
      <c r="R178" s="173"/>
      <c r="S178" s="176">
        <f t="shared" si="57"/>
        <v>1</v>
      </c>
      <c r="T178" s="202" t="str">
        <f t="shared" si="58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9"/>
        <v>https://d0f6bd738d7f1b3e5a7ca70fe4ff75f0.us-east-1.aws.found.io/app/kibana#/discover/Steve-Slow-Train-Analysis-(2080s-and-2083s)?_g=(refreshInterval:(display:Off,pause:!f,section:0,value:0),time:(from:'2017-06-04T15:19:47-0600',mode:absolute,to:'2017-06-04T17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8" s="204" t="str">
        <f t="shared" si="60"/>
        <v>N</v>
      </c>
      <c r="X178" s="204">
        <f t="shared" si="80"/>
        <v>1</v>
      </c>
      <c r="Y178" s="204">
        <f t="shared" si="61"/>
        <v>0.1021</v>
      </c>
      <c r="Z178" s="204">
        <f t="shared" si="62"/>
        <v>5.8983999999999996</v>
      </c>
      <c r="AA178" s="204">
        <f t="shared" si="63"/>
        <v>5.7962999999999996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4"/>
        <v>1821-04</v>
      </c>
      <c r="AE178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78" s="77" t="str">
        <f t="shared" si="66"/>
        <v>"C:\Program Files (x86)\AstroGrep\AstroGrep.exe" /e /r /s /spath="%USERPROFILE%\AppData\Local\Temp\OnboardLogs" /stypes="app*4050*20170604*" /stext=" 22:.+((SYSTEM_STATE.+slice.+state.+changed )|(ment ac)|(multiple cpu faults)|(system.+state.+changed )|(\[timeout)|(PRM\|1\|D)|(kpr)|(kdp)|(train st.+moving)|(\|lc)|(penalty))"</v>
      </c>
      <c r="AG178" s="1" t="str">
        <f t="shared" si="67"/>
        <v>NW</v>
      </c>
      <c r="AH178" s="81" t="str">
        <f t="shared" si="69"/>
        <v>"%USERPROFILE%\Documents\GitHub\eaglep3\Utilities\RefineRTDCRunTimes.py" --tripid 1821-04 --locoid 4050 --swversion DE.1.0.9.0 --startMP 204:1021 --initTime 2017-06-04T16:19:47 --startdatetime 2017-06-04T16:22:00 --delay 1 --endMP 300:58984 --enddatetime 2017-06-04T16:36:07 --enforcementcount 0 &gt;&gt;C:\Users\stu\Documents\GitHub\eaglep3-reporting\EC\2017-06-04-refined-times.txt</v>
      </c>
      <c r="AI178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{"issue":{"subject":"","project_id":79,"tracker_id":40,"status_id":1,"priority_id":2,"assigned_to_id":23,"start_date":"2017-06-04","description":"","custom_fields":[{"id":1,"name":"Subdivision","value":"NW"},{"id":4,"name":"Milepost","value":"5.8984"},{"id":17,"name":"Train ID","value":"1821-04"},{"id":16,"name":"Locomotive ID","value":"4050"},{"id":130,"name":"Impact","value":""},{"id":150,"name":"Time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71"/>
        <v>start /low /b %USERPROFILE%\Documents\GitHub\eaglep3\Utilities\DownloadLogsFromS3.py --loco 4050 --day 2017-06-04</v>
      </c>
      <c r="AN178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667</v>
      </c>
      <c r="B179" s="7">
        <v>4049</v>
      </c>
      <c r="C179" s="21" t="s">
        <v>204</v>
      </c>
      <c r="D179" s="21" t="s">
        <v>565</v>
      </c>
      <c r="E179" s="13">
        <v>42890.692685185182</v>
      </c>
      <c r="F179" s="13">
        <v>42890.694131944445</v>
      </c>
      <c r="G179" s="7">
        <v>1</v>
      </c>
      <c r="H179" s="21" t="s">
        <v>914</v>
      </c>
      <c r="I179" s="13">
        <v>42890.704826388886</v>
      </c>
      <c r="J179" s="7">
        <v>0</v>
      </c>
      <c r="K179" s="92" t="str">
        <f t="shared" si="55"/>
        <v>4049/4050</v>
      </c>
      <c r="L179" s="21" t="str">
        <f>VLOOKUP(A179,'Trips&amp;Operators'!$C$1:$G$99999,5,FALSE)</f>
        <v>HOLCOMB KAMDEN</v>
      </c>
      <c r="M179" s="6">
        <f t="shared" si="56"/>
        <v>1.0694444441469386E-2</v>
      </c>
      <c r="N179" s="7">
        <f t="shared" si="79"/>
        <v>15.399999995715916</v>
      </c>
      <c r="O179" s="7"/>
      <c r="P179" s="7"/>
      <c r="Q179" s="22"/>
      <c r="R179" s="173"/>
      <c r="S179" s="176">
        <f t="shared" si="57"/>
        <v>1</v>
      </c>
      <c r="T179" s="202" t="str">
        <f t="shared" si="58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9"/>
        <v>https://d0f6bd738d7f1b3e5a7ca70fe4ff75f0.us-east-1.aws.found.io/app/kibana#/discover/Steve-Slow-Train-Analysis-(2080s-and-2083s)?_g=(refreshInterval:(display:Off,pause:!f,section:0,value:0),time:(from:'2017-06-04T15:37:28-0600',mode:absolute,to:'2017-06-04T17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9" s="204" t="str">
        <f t="shared" si="60"/>
        <v>N</v>
      </c>
      <c r="X179" s="204">
        <f t="shared" si="80"/>
        <v>1</v>
      </c>
      <c r="Y179" s="204">
        <f t="shared" si="61"/>
        <v>5.8672000000000004</v>
      </c>
      <c r="Z179" s="204">
        <f t="shared" si="62"/>
        <v>7.4300000000000005E-2</v>
      </c>
      <c r="AA179" s="204">
        <f t="shared" si="63"/>
        <v>5.7929000000000004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4"/>
        <v>1822-04</v>
      </c>
      <c r="AE179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79" s="77" t="str">
        <f t="shared" si="66"/>
        <v>"C:\Program Files (x86)\AstroGrep\AstroGrep.exe" /e /r /s /spath="%USERPROFILE%\AppData\Local\Temp\OnboardLogs" /stypes="app*4049*20170604*" /stext=" 22:.+((SYSTEM_STATE.+slice.+state.+changed )|(ment ac)|(multiple cpu faults)|(system.+state.+changed )|(\[timeout)|(PRM\|1\|D)|(kpr)|(kdp)|(train st.+moving)|(\|lc)|(penalty))"</v>
      </c>
      <c r="AG179" s="1" t="str">
        <f t="shared" si="67"/>
        <v>NW</v>
      </c>
      <c r="AH179" s="81" t="str">
        <f t="shared" si="69"/>
        <v>"%USERPROFILE%\Documents\GitHub\eaglep3\Utilities\RefineRTDCRunTimes.py" --tripid 1822-04 --locoid 4049 --swversion DE.1.0.9.0 --startMP 300:58672 --initTime 2017-06-04T16:37:28 --startdatetime 2017-06-04T16:39:33 --delay 1 --endMP 204:743 --enddatetime 2017-06-04T16:54:57 --enforcementcount 0 &gt;&gt;C:\Users\stu\Documents\GitHub\eaglep3-reporting\EC\2017-06-04-refined-times.txt</v>
      </c>
      <c r="AI179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{"issue":{"subject":"","project_id":79,"tracker_id":40,"status_id":1,"priority_id":2,"assigned_to_id":23,"start_date":"2017-06-04","description":"","custom_fields":[{"id":1,"name":"Subdivision","value":"NW"},{"id":4,"name":"Milepost","value":"0.0743"},{"id":17,"name":"Train ID","value":"1822-04"},{"id":16,"name":"Locomotive ID","value":"4049"},{"id":130,"name":"Impact","value":""},{"id":150,"name":"Time of Event (Mountain Time)","value":"16:54:57"},{"id":151,"name":"Denver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71"/>
        <v>start /low /b %USERPROFILE%\Documents\GitHub\eaglep3\Utilities\DownloadLogsFromS3.py --loco 4049 --day 2017-06-04</v>
      </c>
      <c r="AN179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669</v>
      </c>
      <c r="B180" s="7">
        <v>4050</v>
      </c>
      <c r="C180" s="21" t="s">
        <v>204</v>
      </c>
      <c r="D180" s="21" t="s">
        <v>915</v>
      </c>
      <c r="E180" s="13">
        <v>42890.722384259258</v>
      </c>
      <c r="F180" s="13">
        <v>42890.723530092589</v>
      </c>
      <c r="G180" s="7">
        <v>1</v>
      </c>
      <c r="H180" s="21" t="s">
        <v>916</v>
      </c>
      <c r="I180" s="13">
        <v>42890.734016203707</v>
      </c>
      <c r="J180" s="7">
        <v>0</v>
      </c>
      <c r="K180" s="92" t="str">
        <f t="shared" si="55"/>
        <v>4049/4050</v>
      </c>
      <c r="L180" s="21" t="str">
        <f>VLOOKUP(A180,'Trips&amp;Operators'!$C$1:$G$99999,5,FALSE)</f>
        <v>HOLCOMB KAMDEN</v>
      </c>
      <c r="M180" s="6">
        <f t="shared" si="56"/>
        <v>1.0486111117643304E-2</v>
      </c>
      <c r="N180" s="7">
        <f t="shared" si="79"/>
        <v>15.100000009406358</v>
      </c>
      <c r="O180" s="7"/>
      <c r="P180" s="7"/>
      <c r="Q180" s="22"/>
      <c r="R180" s="173"/>
      <c r="S180" s="176">
        <f t="shared" si="57"/>
        <v>1</v>
      </c>
      <c r="T180" s="202" t="str">
        <f t="shared" si="58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9"/>
        <v>https://d0f6bd738d7f1b3e5a7ca70fe4ff75f0.us-east-1.aws.found.io/app/kibana#/discover/Steve-Slow-Train-Analysis-(2080s-and-2083s)?_g=(refreshInterval:(display:Off,pause:!f,section:0,value:0),time:(from:'2017-06-04T16:20:14-0600',mode:absolute,to:'2017-06-04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0" s="204" t="str">
        <f t="shared" si="60"/>
        <v>N</v>
      </c>
      <c r="X180" s="204">
        <f t="shared" si="80"/>
        <v>1</v>
      </c>
      <c r="Y180" s="204">
        <f t="shared" si="61"/>
        <v>0.10390000000000001</v>
      </c>
      <c r="Z180" s="204">
        <f t="shared" si="62"/>
        <v>5.8982000000000001</v>
      </c>
      <c r="AA180" s="204">
        <f t="shared" si="63"/>
        <v>5.7942999999999998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4"/>
        <v>1823-04</v>
      </c>
      <c r="AE180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80" s="77" t="str">
        <f t="shared" si="66"/>
        <v>"C:\Program Files (x86)\AstroGrep\AstroGrep.exe" /e /r /s /spath="%USERPROFILE%\AppData\Local\Temp\OnboardLogs" /stypes="app*4050*20170604*" /stext=" 23:.+((SYSTEM_STATE.+slice.+state.+changed )|(ment ac)|(multiple cpu faults)|(system.+state.+changed )|(\[timeout)|(PRM\|1\|D)|(kpr)|(kdp)|(train st.+moving)|(\|lc)|(penalty))"</v>
      </c>
      <c r="AG180" s="1" t="str">
        <f t="shared" si="67"/>
        <v>NW</v>
      </c>
      <c r="AH180" s="81" t="str">
        <f t="shared" si="69"/>
        <v>"%USERPROFILE%\Documents\GitHub\eaglep3\Utilities\RefineRTDCRunTimes.py" --tripid 1823-04 --locoid 4050 --swversion DE.1.0.9.0 --startMP 204:1039 --initTime 2017-06-04T17:20:14 --startdatetime 2017-06-04T17:21:53 --delay 1 --endMP 300:58982 --enddatetime 2017-06-04T17:36:59 --enforcementcount 0 &gt;&gt;C:\Users\stu\Documents\GitHub\eaglep3-reporting\EC\2017-06-04-refined-times.txt</v>
      </c>
      <c r="AI180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{"issue":{"subject":"","project_id":79,"tracker_id":40,"status_id":1,"priority_id":2,"assigned_to_id":23,"start_date":"2017-06-04","description":"","custom_fields":[{"id":1,"name":"Subdivision","value":"NW"},{"id":4,"name":"Milepost","value":"5.8982"},{"id":17,"name":"Train ID","value":"1823-04"},{"id":16,"name":"Locomotive ID","value":"4050"},{"id":130,"name":"Impact","value":""},{"id":150,"name":"Time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1"/>
        <v>start /low /b %USERPROFILE%\Documents\GitHub\eaglep3\Utilities\DownloadLogsFromS3.py --loco 4050 --day 2017-06-04</v>
      </c>
      <c r="AN180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670</v>
      </c>
      <c r="B181" s="7">
        <v>4049</v>
      </c>
      <c r="C181" s="21" t="s">
        <v>204</v>
      </c>
      <c r="D181" s="21" t="s">
        <v>917</v>
      </c>
      <c r="E181" s="13">
        <v>42890.73505787037</v>
      </c>
      <c r="F181" s="13">
        <v>42890.736203703702</v>
      </c>
      <c r="G181" s="7">
        <v>1</v>
      </c>
      <c r="H181" s="21" t="s">
        <v>918</v>
      </c>
      <c r="I181" s="13">
        <v>42890.747164351851</v>
      </c>
      <c r="J181" s="7">
        <v>0</v>
      </c>
      <c r="K181" s="92" t="str">
        <f t="shared" si="55"/>
        <v>4049/4050</v>
      </c>
      <c r="L181" s="21" t="str">
        <f>VLOOKUP(A181,'Trips&amp;Operators'!$C$1:$G$99999,5,FALSE)</f>
        <v>HOLCOMB KAMDEN</v>
      </c>
      <c r="M181" s="6">
        <f t="shared" si="56"/>
        <v>1.096064814919373E-2</v>
      </c>
      <c r="N181" s="7">
        <f t="shared" si="79"/>
        <v>15.783333334838971</v>
      </c>
      <c r="O181" s="7"/>
      <c r="P181" s="7"/>
      <c r="Q181" s="22"/>
      <c r="R181" s="173"/>
      <c r="S181" s="176">
        <f t="shared" si="57"/>
        <v>1</v>
      </c>
      <c r="T181" s="202" t="str">
        <f t="shared" si="58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9"/>
        <v>https://d0f6bd738d7f1b3e5a7ca70fe4ff75f0.us-east-1.aws.found.io/app/kibana#/discover/Steve-Slow-Train-Analysis-(2080s-and-2083s)?_g=(refreshInterval:(display:Off,pause:!f,section:0,value:0),time:(from:'2017-06-04T16:38:29-0600',mode:absolute,to:'2017-06-04T18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1" s="204" t="str">
        <f t="shared" si="60"/>
        <v>N</v>
      </c>
      <c r="X181" s="204">
        <f t="shared" si="80"/>
        <v>1</v>
      </c>
      <c r="Y181" s="204">
        <f t="shared" si="61"/>
        <v>5.8663999999999996</v>
      </c>
      <c r="Z181" s="204">
        <f t="shared" si="62"/>
        <v>7.3300000000000004E-2</v>
      </c>
      <c r="AA181" s="204">
        <f t="shared" si="63"/>
        <v>5.7930999999999999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4"/>
        <v>1824-04</v>
      </c>
      <c r="AE181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81" s="77" t="str">
        <f t="shared" si="66"/>
        <v>"C:\Program Files (x86)\AstroGrep\AstroGrep.exe" /e /r /s /spath="%USERPROFILE%\AppData\Local\Temp\OnboardLogs" /stypes="app*4049*20170604*" /stext=" 23:.+((SYSTEM_STATE.+slice.+state.+changed )|(ment ac)|(multiple cpu faults)|(system.+state.+changed )|(\[timeout)|(PRM\|1\|D)|(kpr)|(kdp)|(train st.+moving)|(\|lc)|(penalty))"</v>
      </c>
      <c r="AG181" s="1" t="str">
        <f t="shared" si="67"/>
        <v>NW</v>
      </c>
      <c r="AH181" s="81" t="str">
        <f t="shared" si="69"/>
        <v>"%USERPROFILE%\Documents\GitHub\eaglep3\Utilities\RefineRTDCRunTimes.py" --tripid 1824-04 --locoid 4049 --swversion DE.1.0.9.0 --startMP 300:58664 --initTime 2017-06-04T17:38:29 --startdatetime 2017-06-04T17:40:08 --delay 1 --endMP 204:733 --enddatetime 2017-06-04T17:55:55 --enforcementcount 0 &gt;&gt;C:\Users\stu\Documents\GitHub\eaglep3-reporting\EC\2017-06-04-refined-times.txt</v>
      </c>
      <c r="AI181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{"issue":{"subject":"","project_id":79,"tracker_id":40,"status_id":1,"priority_id":2,"assigned_to_id":23,"start_date":"2017-06-04","description":"","custom_fields":[{"id":1,"name":"Subdivision","value":"NW"},{"id":4,"name":"Milepost","value":"0.0733"},{"id":17,"name":"Train ID","value":"1824-04"},{"id":16,"name":"Locomotive ID","value":"4049"},{"id":130,"name":"Impact","value":""},{"id":150,"name":"Time of Event (Mountain Time)","value":"17:55:55"},{"id":151,"name":"Denver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1"/>
        <v>start /low /b %USERPROFILE%\Documents\GitHub\eaglep3\Utilities\DownloadLogsFromS3.py --loco 4049 --day 2017-06-04</v>
      </c>
      <c r="AN181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674</v>
      </c>
      <c r="B182" s="7">
        <v>4050</v>
      </c>
      <c r="C182" s="21" t="s">
        <v>204</v>
      </c>
      <c r="D182" s="21" t="s">
        <v>919</v>
      </c>
      <c r="E182" s="13">
        <v>42890.762928240743</v>
      </c>
      <c r="F182" s="13">
        <v>42890.764837962961</v>
      </c>
      <c r="G182" s="7">
        <v>1</v>
      </c>
      <c r="H182" s="21" t="s">
        <v>906</v>
      </c>
      <c r="I182" s="13">
        <v>42890.774131944447</v>
      </c>
      <c r="J182" s="7">
        <v>0</v>
      </c>
      <c r="K182" s="92" t="str">
        <f t="shared" si="55"/>
        <v>4049/4050</v>
      </c>
      <c r="L182" s="21" t="str">
        <f>VLOOKUP(A182,'Trips&amp;Operators'!$C$1:$G$99999,5,FALSE)</f>
        <v>HOLCOMB KAMDEN</v>
      </c>
      <c r="M182" s="6">
        <f t="shared" si="56"/>
        <v>9.2939814858254977E-3</v>
      </c>
      <c r="N182" s="7">
        <f t="shared" si="79"/>
        <v>13.383333339588717</v>
      </c>
      <c r="O182" s="7"/>
      <c r="P182" s="7"/>
      <c r="Q182" s="22"/>
      <c r="R182" s="173"/>
      <c r="S182" s="176">
        <f t="shared" si="57"/>
        <v>1</v>
      </c>
      <c r="T182" s="202" t="str">
        <f t="shared" si="58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9"/>
        <v>https://d0f6bd738d7f1b3e5a7ca70fe4ff75f0.us-east-1.aws.found.io/app/kibana#/discover/Steve-Slow-Train-Analysis-(2080s-and-2083s)?_g=(refreshInterval:(display:Off,pause:!f,section:0,value:0),time:(from:'2017-06-04T17:18:37-0600',mode:absolute,to:'2017-06-04T19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2" s="204" t="str">
        <f t="shared" si="60"/>
        <v>N</v>
      </c>
      <c r="X182" s="204">
        <f t="shared" si="80"/>
        <v>1</v>
      </c>
      <c r="Y182" s="204">
        <f t="shared" si="61"/>
        <v>0.1014</v>
      </c>
      <c r="Z182" s="204">
        <f t="shared" si="62"/>
        <v>5.8979999999999997</v>
      </c>
      <c r="AA182" s="204">
        <f t="shared" si="63"/>
        <v>5.7965999999999998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4"/>
        <v>1825-04</v>
      </c>
      <c r="AE182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82" s="77" t="str">
        <f t="shared" si="66"/>
        <v>"C:\Program Files (x86)\AstroGrep\AstroGrep.exe" /e /r /s /spath="%USERPROFILE%\AppData\Local\Temp\OnboardLogs" /stypes="app*4050*20170605*" /stext=" 00:.+((SYSTEM_STATE.+slice.+state.+changed )|(ment ac)|(multiple cpu faults)|(system.+state.+changed )|(\[timeout)|(PRM\|1\|D)|(kpr)|(kdp)|(train st.+moving)|(\|lc)|(penalty))"</v>
      </c>
      <c r="AG182" s="1" t="str">
        <f t="shared" si="67"/>
        <v>NW</v>
      </c>
      <c r="AH182" s="81" t="str">
        <f t="shared" si="69"/>
        <v>"%USERPROFILE%\Documents\GitHub\eaglep3\Utilities\RefineRTDCRunTimes.py" --tripid 1825-04 --locoid 4050 --swversion DE.1.0.9.0 --startMP 204:1014 --initTime 2017-06-04T18:18:37 --startdatetime 2017-06-04T18:21:22 --delay 1 --endMP 300:58980 --enddatetime 2017-06-04T18:34:45 --enforcementcount 0 &gt;&gt;C:\Users\stu\Documents\GitHub\eaglep3-reporting\EC\2017-06-04-refined-times.txt</v>
      </c>
      <c r="AI182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{"issue":{"subject":"","project_id":79,"tracker_id":40,"status_id":1,"priority_id":2,"assigned_to_id":23,"start_date":"2017-06-04","description":"","custom_fields":[{"id":1,"name":"Subdivision","value":"NW"},{"id":4,"name":"Milepost","value":"5.898"},{"id":17,"name":"Train ID","value":"1825-04"},{"id":16,"name":"Locomotive ID","value":"4050"},{"id":130,"name":"Impact","value":""},{"id":150,"name":"Time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1"/>
        <v>start /low /b %USERPROFILE%\Documents\GitHub\eaglep3\Utilities\DownloadLogsFromS3.py --loco 4050 --day 2017-06-04</v>
      </c>
      <c r="AN182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814</v>
      </c>
      <c r="B183" s="7">
        <v>4049</v>
      </c>
      <c r="C183" s="21" t="s">
        <v>204</v>
      </c>
      <c r="D183" s="21" t="s">
        <v>920</v>
      </c>
      <c r="E183" s="13">
        <v>42890.775682870371</v>
      </c>
      <c r="F183" s="13">
        <v>42890.777118055557</v>
      </c>
      <c r="G183" s="7">
        <v>1</v>
      </c>
      <c r="H183" s="21" t="s">
        <v>618</v>
      </c>
      <c r="I183" s="13">
        <v>42890.790081018517</v>
      </c>
      <c r="J183" s="7">
        <v>0</v>
      </c>
      <c r="K183" s="92" t="str">
        <f t="shared" si="55"/>
        <v>4049/4050</v>
      </c>
      <c r="L183" s="21" t="str">
        <f>VLOOKUP(A183,'Trips&amp;Operators'!$C$1:$G$99999,5,FALSE)</f>
        <v>HOLCOMB KAMDEN</v>
      </c>
      <c r="M183" s="6">
        <f t="shared" si="56"/>
        <v>1.2962962959136348E-2</v>
      </c>
      <c r="N183" s="7">
        <f t="shared" si="79"/>
        <v>18.666666661156341</v>
      </c>
      <c r="O183" s="7"/>
      <c r="P183" s="7"/>
      <c r="Q183" s="22"/>
      <c r="R183" s="173"/>
      <c r="S183" s="176">
        <f t="shared" si="57"/>
        <v>1</v>
      </c>
      <c r="T183" s="202" t="str">
        <f t="shared" si="58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9"/>
        <v>https://d0f6bd738d7f1b3e5a7ca70fe4ff75f0.us-east-1.aws.found.io/app/kibana#/discover/Steve-Slow-Train-Analysis-(2080s-and-2083s)?_g=(refreshInterval:(display:Off,pause:!f,section:0,value:0),time:(from:'2017-06-04T17:36:59-0600',mode:absolute,to:'2017-06-04T19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3" s="204" t="str">
        <f t="shared" si="60"/>
        <v>N</v>
      </c>
      <c r="X183" s="204">
        <f t="shared" si="80"/>
        <v>1</v>
      </c>
      <c r="Y183" s="204">
        <f t="shared" si="61"/>
        <v>5.8667999999999996</v>
      </c>
      <c r="Z183" s="204">
        <f t="shared" si="62"/>
        <v>7.5200000000000003E-2</v>
      </c>
      <c r="AA183" s="204">
        <f t="shared" si="63"/>
        <v>5.7915999999999999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4"/>
        <v>1826-04</v>
      </c>
      <c r="AE183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83" s="77" t="str">
        <f t="shared" si="66"/>
        <v>"C:\Program Files (x86)\AstroGrep\AstroGrep.exe" /e /r /s /spath="%USERPROFILE%\AppData\Local\Temp\OnboardLogs" /stypes="app*4049*20170605*" /stext=" 00:.+((SYSTEM_STATE.+slice.+state.+changed )|(ment ac)|(multiple cpu faults)|(system.+state.+changed )|(\[timeout)|(PRM\|1\|D)|(kpr)|(kdp)|(train st.+moving)|(\|lc)|(penalty))"</v>
      </c>
      <c r="AG183" s="1" t="str">
        <f t="shared" si="67"/>
        <v>NW</v>
      </c>
      <c r="AH183" s="81" t="str">
        <f t="shared" si="69"/>
        <v>"%USERPROFILE%\Documents\GitHub\eaglep3\Utilities\RefineRTDCRunTimes.py" --tripid 1826-04 --locoid 4049 --swversion DE.1.0.9.0 --startMP 300:58668 --initTime 2017-06-04T18:36:59 --startdatetime 2017-06-04T18:39:03 --delay 1 --endMP 204:752 --enddatetime 2017-06-04T18:57:43 --enforcementcount 0 &gt;&gt;C:\Users\stu\Documents\GitHub\eaglep3-reporting\EC\2017-06-04-refined-times.txt</v>
      </c>
      <c r="AI183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{"issue":{"subject":"","project_id":79,"tracker_id":40,"status_id":1,"priority_id":2,"assigned_to_id":23,"start_date":"2017-06-04","description":"","custom_fields":[{"id":1,"name":"Subdivision","value":"NW"},{"id":4,"name":"Milepost","value":"0.0752"},{"id":17,"name":"Train ID","value":"1826-04"},{"id":16,"name":"Locomotive ID","value":"4049"},{"id":130,"name":"Impact","value":""},{"id":150,"name":"Time of Event (Mountain Time)","value":"18:57:43"},{"id":151,"name":"Denver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1"/>
        <v>start /low /b %USERPROFILE%\Documents\GitHub\eaglep3\Utilities\DownloadLogsFromS3.py --loco 4049 --day 2017-06-04</v>
      </c>
      <c r="AN183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819</v>
      </c>
      <c r="B184" s="7">
        <v>4050</v>
      </c>
      <c r="C184" s="21" t="s">
        <v>204</v>
      </c>
      <c r="D184" s="21" t="s">
        <v>921</v>
      </c>
      <c r="E184" s="13">
        <v>42890.802928240744</v>
      </c>
      <c r="F184" s="13">
        <v>42890.806504629632</v>
      </c>
      <c r="G184" s="7">
        <v>1</v>
      </c>
      <c r="H184" s="21" t="s">
        <v>922</v>
      </c>
      <c r="I184" s="13">
        <v>42890.816724537035</v>
      </c>
      <c r="J184" s="7">
        <v>0</v>
      </c>
      <c r="K184" s="92" t="str">
        <f t="shared" si="55"/>
        <v>4049/4050</v>
      </c>
      <c r="L184" s="21" t="str">
        <f>VLOOKUP(A184,'Trips&amp;Operators'!$C$1:$G$99999,5,FALSE)</f>
        <v>HOLCOMB KAMDEN</v>
      </c>
      <c r="M184" s="6">
        <f t="shared" si="56"/>
        <v>1.0219907402643003E-2</v>
      </c>
      <c r="N184" s="7">
        <f t="shared" si="79"/>
        <v>14.716666659805924</v>
      </c>
      <c r="O184" s="7"/>
      <c r="P184" s="7"/>
      <c r="Q184" s="22"/>
      <c r="R184" s="173"/>
      <c r="S184" s="176">
        <f t="shared" si="57"/>
        <v>1</v>
      </c>
      <c r="T184" s="202" t="str">
        <f t="shared" si="58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9"/>
        <v>https://d0f6bd738d7f1b3e5a7ca70fe4ff75f0.us-east-1.aws.found.io/app/kibana#/discover/Steve-Slow-Train-Analysis-(2080s-and-2083s)?_g=(refreshInterval:(display:Off,pause:!f,section:0,value:0),time:(from:'2017-06-04T18:16:13-0600',mode:absolute,to:'2017-06-04T20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4" s="204" t="str">
        <f t="shared" si="60"/>
        <v>N</v>
      </c>
      <c r="X184" s="204">
        <f t="shared" si="80"/>
        <v>1</v>
      </c>
      <c r="Y184" s="204">
        <f t="shared" si="61"/>
        <v>0.1037</v>
      </c>
      <c r="Z184" s="204">
        <f t="shared" si="62"/>
        <v>5.8973000000000004</v>
      </c>
      <c r="AA184" s="204">
        <f t="shared" si="63"/>
        <v>5.7936000000000005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4"/>
        <v>1827-04</v>
      </c>
      <c r="AE184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84" s="77" t="str">
        <f t="shared" si="66"/>
        <v>"C:\Program Files (x86)\AstroGrep\AstroGrep.exe" /e /r /s /spath="%USERPROFILE%\AppData\Local\Temp\OnboardLogs" /stypes="app*4050*20170605*" /stext=" 01:.+((SYSTEM_STATE.+slice.+state.+changed )|(ment ac)|(multiple cpu faults)|(system.+state.+changed )|(\[timeout)|(PRM\|1\|D)|(kpr)|(kdp)|(train st.+moving)|(\|lc)|(penalty))"</v>
      </c>
      <c r="AG184" s="1" t="str">
        <f t="shared" si="67"/>
        <v>NW</v>
      </c>
      <c r="AH184" s="81" t="str">
        <f t="shared" si="69"/>
        <v>"%USERPROFILE%\Documents\GitHub\eaglep3\Utilities\RefineRTDCRunTimes.py" --tripid 1827-04 --locoid 4050 --swversion DE.1.0.9.0 --startMP 204:1037 --initTime 2017-06-04T19:16:13 --startdatetime 2017-06-04T19:21:22 --delay 1 --endMP 300:58973 --enddatetime 2017-06-04T19:36:05 --enforcementcount 0 &gt;&gt;C:\Users\stu\Documents\GitHub\eaglep3-reporting\EC\2017-06-04-refined-times.txt</v>
      </c>
      <c r="AI184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{"issue":{"subject":"","project_id":79,"tracker_id":40,"status_id":1,"priority_id":2,"assigned_to_id":23,"start_date":"2017-06-04","description":"","custom_fields":[{"id":1,"name":"Subdivision","value":"NW"},{"id":4,"name":"Milepost","value":"5.8973"},{"id":17,"name":"Train ID","value":"1827-04"},{"id":16,"name":"Locomotive ID","value":"4050"},{"id":130,"name":"Impact","value":""},{"id":150,"name":"Time of Event (Mountain Time)","value":"19:36:05"},{"id":151,"name":"Denver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1"/>
        <v>start /low /b %USERPROFILE%\Documents\GitHub\eaglep3\Utilities\DownloadLogsFromS3.py --loco 4050 --day 2017-06-04</v>
      </c>
      <c r="AN184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821</v>
      </c>
      <c r="B185" s="7">
        <v>4049</v>
      </c>
      <c r="C185" s="21" t="s">
        <v>204</v>
      </c>
      <c r="D185" s="21" t="s">
        <v>621</v>
      </c>
      <c r="E185" s="13">
        <v>42890.817511574074</v>
      </c>
      <c r="F185" s="13">
        <v>42890.818912037037</v>
      </c>
      <c r="G185" s="7">
        <v>1</v>
      </c>
      <c r="H185" s="21" t="s">
        <v>923</v>
      </c>
      <c r="I185" s="13">
        <v>42890.832106481481</v>
      </c>
      <c r="J185" s="7">
        <v>0</v>
      </c>
      <c r="K185" s="92" t="str">
        <f t="shared" si="55"/>
        <v>4049/4050</v>
      </c>
      <c r="L185" s="21" t="str">
        <f>VLOOKUP(A185,'Trips&amp;Operators'!$C$1:$G$99999,5,FALSE)</f>
        <v>HOLCOMB KAMDEN</v>
      </c>
      <c r="M185" s="6">
        <f t="shared" si="56"/>
        <v>1.3194444443797693E-2</v>
      </c>
      <c r="N185" s="7">
        <f t="shared" si="79"/>
        <v>18.999999999068677</v>
      </c>
      <c r="O185" s="7"/>
      <c r="P185" s="7"/>
      <c r="Q185" s="22"/>
      <c r="R185" s="173"/>
      <c r="S185" s="176">
        <f t="shared" si="57"/>
        <v>1</v>
      </c>
      <c r="T185" s="202" t="str">
        <f t="shared" si="58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9"/>
        <v>https://d0f6bd738d7f1b3e5a7ca70fe4ff75f0.us-east-1.aws.found.io/app/kibana#/discover/Steve-Slow-Train-Analysis-(2080s-and-2083s)?_g=(refreshInterval:(display:Off,pause:!f,section:0,value:0),time:(from:'2017-06-04T18:37:13-0600',mode:absolute,to:'2017-06-04T20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5" s="204" t="str">
        <f t="shared" si="60"/>
        <v>N</v>
      </c>
      <c r="X185" s="204">
        <f t="shared" si="80"/>
        <v>1</v>
      </c>
      <c r="Y185" s="204">
        <f t="shared" si="61"/>
        <v>5.8655999999999997</v>
      </c>
      <c r="Z185" s="204">
        <f t="shared" si="62"/>
        <v>7.1900000000000006E-2</v>
      </c>
      <c r="AA185" s="204">
        <f t="shared" si="63"/>
        <v>5.7936999999999994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4"/>
        <v>1828-04</v>
      </c>
      <c r="AE185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85" s="77" t="str">
        <f t="shared" si="66"/>
        <v>"C:\Program Files (x86)\AstroGrep\AstroGrep.exe" /e /r /s /spath="%USERPROFILE%\AppData\Local\Temp\OnboardLogs" /stypes="app*4049*20170605*" /stext=" 01:.+((SYSTEM_STATE.+slice.+state.+changed )|(ment ac)|(multiple cpu faults)|(system.+state.+changed )|(\[timeout)|(PRM\|1\|D)|(kpr)|(kdp)|(train st.+moving)|(\|lc)|(penalty))"</v>
      </c>
      <c r="AG185" s="1" t="str">
        <f t="shared" si="67"/>
        <v>NW</v>
      </c>
      <c r="AH185" s="81" t="str">
        <f t="shared" si="69"/>
        <v>"%USERPROFILE%\Documents\GitHub\eaglep3\Utilities\RefineRTDCRunTimes.py" --tripid 1828-04 --locoid 4049 --swversion DE.1.0.9.0 --startMP 300:58656 --initTime 2017-06-04T19:37:13 --startdatetime 2017-06-04T19:39:14 --delay 1 --endMP 204:719 --enddatetime 2017-06-04T19:58:14 --enforcementcount 0 &gt;&gt;C:\Users\stu\Documents\GitHub\eaglep3-reporting\EC\2017-06-04-refined-times.txt</v>
      </c>
      <c r="AI185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{"issue":{"subject":"","project_id":79,"tracker_id":40,"status_id":1,"priority_id":2,"assigned_to_id":23,"start_date":"2017-06-04","description":"","custom_fields":[{"id":1,"name":"Subdivision","value":"NW"},{"id":4,"name":"Milepost","value":"0.0719"},{"id":17,"name":"Train ID","value":"1828-04"},{"id":16,"name":"Locomotive ID","value":"4049"},{"id":130,"name":"Impact","value":""},{"id":150,"name":"Time of Event (Mountain Time)","value":"19:58:14"},{"id":151,"name":"Denver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71"/>
        <v>start /low /b %USERPROFILE%\Documents\GitHub\eaglep3\Utilities\DownloadLogsFromS3.py --loco 4049 --day 2017-06-04</v>
      </c>
      <c r="AN185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827</v>
      </c>
      <c r="B186" s="7">
        <v>4050</v>
      </c>
      <c r="C186" s="21" t="s">
        <v>204</v>
      </c>
      <c r="D186" s="21" t="s">
        <v>616</v>
      </c>
      <c r="E186" s="13">
        <v>42890.847349537034</v>
      </c>
      <c r="F186" s="13">
        <v>42890.848761574074</v>
      </c>
      <c r="G186" s="7">
        <v>1</v>
      </c>
      <c r="H186" s="21" t="s">
        <v>906</v>
      </c>
      <c r="I186" s="13">
        <v>42890.858865740738</v>
      </c>
      <c r="J186" s="7">
        <v>0</v>
      </c>
      <c r="K186" s="92" t="str">
        <f t="shared" si="55"/>
        <v>4049/4050</v>
      </c>
      <c r="L186" s="21" t="str">
        <f>VLOOKUP(A186,'Trips&amp;Operators'!$C$1:$G$99999,5,FALSE)</f>
        <v>HOLCOMB KAMDEN</v>
      </c>
      <c r="M186" s="6">
        <f t="shared" si="56"/>
        <v>1.0104166663950309E-2</v>
      </c>
      <c r="N186" s="7">
        <f t="shared" si="79"/>
        <v>14.549999996088445</v>
      </c>
      <c r="O186" s="7"/>
      <c r="P186" s="7"/>
      <c r="Q186" s="22"/>
      <c r="R186" s="173"/>
      <c r="S186" s="176">
        <f t="shared" si="57"/>
        <v>1</v>
      </c>
      <c r="T186" s="202" t="str">
        <f t="shared" si="58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9"/>
        <v>https://d0f6bd738d7f1b3e5a7ca70fe4ff75f0.us-east-1.aws.found.io/app/kibana#/discover/Steve-Slow-Train-Analysis-(2080s-and-2083s)?_g=(refreshInterval:(display:Off,pause:!f,section:0,value:0),time:(from:'2017-06-04T19:20:11-0600',mode:absolute,to:'2017-06-04T21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6" s="204" t="str">
        <f t="shared" si="60"/>
        <v>N</v>
      </c>
      <c r="X186" s="204">
        <f t="shared" si="80"/>
        <v>1</v>
      </c>
      <c r="Y186" s="204">
        <f t="shared" si="61"/>
        <v>0.1009</v>
      </c>
      <c r="Z186" s="204">
        <f t="shared" si="62"/>
        <v>5.8979999999999997</v>
      </c>
      <c r="AA186" s="204">
        <f t="shared" si="63"/>
        <v>5.7970999999999995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4"/>
        <v>1829-04</v>
      </c>
      <c r="AE186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86" s="77" t="str">
        <f t="shared" si="66"/>
        <v>"C:\Program Files (x86)\AstroGrep\AstroGrep.exe" /e /r /s /spath="%USERPROFILE%\AppData\Local\Temp\OnboardLogs" /stypes="app*4050*20170605*" /stext=" 02:.+((SYSTEM_STATE.+slice.+state.+changed )|(ment ac)|(multiple cpu faults)|(system.+state.+changed )|(\[timeout)|(PRM\|1\|D)|(kpr)|(kdp)|(train st.+moving)|(\|lc)|(penalty))"</v>
      </c>
      <c r="AG186" s="1" t="str">
        <f t="shared" si="67"/>
        <v>NW</v>
      </c>
      <c r="AH186" s="81" t="str">
        <f t="shared" si="69"/>
        <v>"%USERPROFILE%\Documents\GitHub\eaglep3\Utilities\RefineRTDCRunTimes.py" --tripid 1829-04 --locoid 4050 --swversion DE.1.0.9.0 --startMP 204:1009 --initTime 2017-06-04T20:20:11 --startdatetime 2017-06-04T20:22:13 --delay 1 --endMP 300:58980 --enddatetime 2017-06-04T20:36:46 --enforcementcount 0 &gt;&gt;C:\Users\stu\Documents\GitHub\eaglep3-reporting\EC\2017-06-04-refined-times.txt</v>
      </c>
      <c r="AI186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{"issue":{"subject":"","project_id":79,"tracker_id":40,"status_id":1,"priority_id":2,"assigned_to_id":23,"start_date":"2017-06-04","description":"","custom_fields":[{"id":1,"name":"Subdivision","value":"NW"},{"id":4,"name":"Milepost","value":"5.898"},{"id":17,"name":"Train ID","value":"1829-04"},{"id":16,"name":"Locomotive ID","value":"4050"},{"id":130,"name":"Impact","value":""},{"id":150,"name":"Time of Event (Mountain Time)","value":"20:36:46"},{"id":151,"name":"Denver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71"/>
        <v>start /low /b %USERPROFILE%\Documents\GitHub\eaglep3\Utilities\DownloadLogsFromS3.py --loco 4050 --day 2017-06-04</v>
      </c>
      <c r="AN186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829</v>
      </c>
      <c r="B187" s="7">
        <v>4049</v>
      </c>
      <c r="C187" s="21" t="s">
        <v>204</v>
      </c>
      <c r="D187" s="21" t="s">
        <v>924</v>
      </c>
      <c r="E187" s="13">
        <v>42890.864479166667</v>
      </c>
      <c r="F187" s="13">
        <v>42890.866574074076</v>
      </c>
      <c r="G187" s="7">
        <v>2</v>
      </c>
      <c r="H187" s="21" t="s">
        <v>624</v>
      </c>
      <c r="I187" s="13">
        <v>42890.875613425924</v>
      </c>
      <c r="J187" s="7">
        <v>0</v>
      </c>
      <c r="K187" s="92" t="str">
        <f t="shared" si="55"/>
        <v>4049/4050</v>
      </c>
      <c r="L187" s="21" t="str">
        <f>VLOOKUP(A187,'Trips&amp;Operators'!$C$1:$G$99999,5,FALSE)</f>
        <v>HOLCOMB KAMDEN</v>
      </c>
      <c r="M187" s="6">
        <f t="shared" si="56"/>
        <v>9.0393518476048484E-3</v>
      </c>
      <c r="N187" s="7">
        <f t="shared" si="79"/>
        <v>13.016666660550982</v>
      </c>
      <c r="O187" s="7"/>
      <c r="P187" s="7"/>
      <c r="Q187" s="22"/>
      <c r="R187" s="173" t="s">
        <v>1016</v>
      </c>
      <c r="S187" s="176">
        <f t="shared" si="57"/>
        <v>1</v>
      </c>
      <c r="T187" s="202" t="str">
        <f t="shared" si="58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9"/>
        <v>https://d0f6bd738d7f1b3e5a7ca70fe4ff75f0.us-east-1.aws.found.io/app/kibana#/discover/Steve-Slow-Train-Analysis-(2080s-and-2083s)?_g=(refreshInterval:(display:Off,pause:!f,section:0,value:0),time:(from:'2017-06-04T19:44:51-0600',mode:absolute,to:'2017-06-04T22:00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7" s="204" t="str">
        <f t="shared" si="60"/>
        <v>N</v>
      </c>
      <c r="X187" s="204">
        <f t="shared" si="80"/>
        <v>1</v>
      </c>
      <c r="Y187" s="204">
        <f t="shared" si="61"/>
        <v>5.8658000000000001</v>
      </c>
      <c r="Z187" s="204">
        <f t="shared" si="62"/>
        <v>7.1199999999999999E-2</v>
      </c>
      <c r="AA187" s="204">
        <f t="shared" si="63"/>
        <v>5.7946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4"/>
        <v>1830-04</v>
      </c>
      <c r="AE187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87" s="77" t="str">
        <f t="shared" si="66"/>
        <v>"C:\Program Files (x86)\AstroGrep\AstroGrep.exe" /e /r /s /spath="%USERPROFILE%\AppData\Local\Temp\OnboardLogs" /stypes="app*4049*20170605*" /stext=" 03:.+((SYSTEM_STATE.+slice.+state.+changed )|(ment ac)|(multiple cpu faults)|(system.+state.+changed )|(\[timeout)|(PRM\|1\|D)|(kpr)|(kdp)|(train st.+moving)|(\|lc)|(penalty))"</v>
      </c>
      <c r="AG187" s="1" t="str">
        <f t="shared" si="67"/>
        <v>NW</v>
      </c>
      <c r="AH187" s="81" t="str">
        <f t="shared" si="69"/>
        <v>"%USERPROFILE%\Documents\GitHub\eaglep3\Utilities\RefineRTDCRunTimes.py" --tripid 1830-04 --locoid 4049 --swversion DE.1.0.9.0 --startMP 300:58658 --initTime 2017-06-04T20:44:51 --startdatetime 2017-06-04T20:47:52 --delay 2 --endMP 204:712 --enddatetime 2017-06-04T21:00:53 --enforcementcount 0 &gt;&gt;C:\Users\stu\Documents\GitHub\eaglep3-reporting\EC\2017-06-04-refined-times.txt</v>
      </c>
      <c r="AI187" s="99" t="str">
        <f t="shared" si="70"/>
        <v>echo {"issue":{"subject":"Banner without braking against SPEED RESTRICTION target","project_id":79,"tracker_id":40,"status_id":1,"priority_id":2,"assigned_to_id":23,"start_date":"2017-06-04","description":"","custom_fields":[{"id":1,"name":"Subdivision","value":"NW"},{"id":4,"name":"Milepost","value":"0.0712"},{"id":17,"name":"Train ID","value":"1830-04"},{"id":16,"name":"Locomotive ID","value":"4049"},{"id":130,"name":"Impact","value":""},{"id":150,"name":"Time of Event (Mountain Time)","value":"21:00:53"},{"id":151,"name":"Denver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71"/>
        <v>start /low /b %USERPROFILE%\Documents\GitHub\eaglep3\Utilities\DownloadLogsFromS3.py --loco 4049 --day 2017-06-04</v>
      </c>
      <c r="AN187" s="154" t="str">
        <f t="shared" si="72"/>
        <v>echo {"issue":{"subject":"Banner without braking against SPEED RESTRICTION target","project_id":30,"tracker_id":4,"status_id":1,"priority_id":1,"assigned_to_id":10,"start_date":"2017-06-05","description":"","custom_fields":[{"id":30,"name":"Category","value":"Issue"},{"id":3,"name":"Functional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03:00:53"},{"id":29,"name":"Sharepoint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680</v>
      </c>
      <c r="B188" s="7">
        <v>4050</v>
      </c>
      <c r="C188" s="21" t="s">
        <v>204</v>
      </c>
      <c r="D188" s="21" t="s">
        <v>925</v>
      </c>
      <c r="E188" s="13">
        <v>42890.877511574072</v>
      </c>
      <c r="F188" s="13">
        <v>42890.889930555553</v>
      </c>
      <c r="G188" s="7">
        <v>1</v>
      </c>
      <c r="H188" s="21" t="s">
        <v>926</v>
      </c>
      <c r="I188" s="13">
        <v>42890.899953703702</v>
      </c>
      <c r="J188" s="7">
        <v>0</v>
      </c>
      <c r="K188" s="92" t="str">
        <f t="shared" si="55"/>
        <v>4049/4050</v>
      </c>
      <c r="L188" s="21" t="str">
        <f>VLOOKUP(A188,'Trips&amp;Operators'!$C$1:$G$99999,5,FALSE)</f>
        <v>HOLCOMB KAMDEN</v>
      </c>
      <c r="M188" s="6">
        <f t="shared" si="56"/>
        <v>1.0023148148320615E-2</v>
      </c>
      <c r="N188" s="7">
        <f t="shared" si="79"/>
        <v>14.433333333581686</v>
      </c>
      <c r="O188" s="7"/>
      <c r="P188" s="7"/>
      <c r="Q188" s="22"/>
      <c r="R188" s="173"/>
      <c r="S188" s="176">
        <f t="shared" si="57"/>
        <v>1</v>
      </c>
      <c r="T188" s="202" t="str">
        <f t="shared" si="58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9"/>
        <v>https://d0f6bd738d7f1b3e5a7ca70fe4ff75f0.us-east-1.aws.found.io/app/kibana#/discover/Steve-Slow-Train-Analysis-(2080s-and-2083s)?_g=(refreshInterval:(display:Off,pause:!f,section:0,value:0),time:(from:'2017-06-04T20:03:37-0600',mode:absolute,to:'2017-06-04T22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8" s="204" t="str">
        <f t="shared" si="60"/>
        <v>N</v>
      </c>
      <c r="X188" s="204">
        <f t="shared" si="80"/>
        <v>1</v>
      </c>
      <c r="Y188" s="204">
        <f t="shared" si="61"/>
        <v>0.10059999999999999</v>
      </c>
      <c r="Z188" s="204">
        <f t="shared" si="62"/>
        <v>5.8975</v>
      </c>
      <c r="AA188" s="204">
        <f t="shared" si="63"/>
        <v>5.7968999999999999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4"/>
        <v>1831-04</v>
      </c>
      <c r="AE188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88" s="77" t="str">
        <f t="shared" si="66"/>
        <v>"C:\Program Files (x86)\AstroGrep\AstroGrep.exe" /e /r /s /spath="%USERPROFILE%\AppData\Local\Temp\OnboardLogs" /stypes="app*4050*20170605*" /stext=" 03:.+((SYSTEM_STATE.+slice.+state.+changed )|(ment ac)|(multiple cpu faults)|(system.+state.+changed )|(\[timeout)|(PRM\|1\|D)|(kpr)|(kdp)|(train st.+moving)|(\|lc)|(penalty))"</v>
      </c>
      <c r="AG188" s="1" t="str">
        <f t="shared" si="67"/>
        <v>NW</v>
      </c>
      <c r="AH188" s="81" t="str">
        <f t="shared" si="69"/>
        <v>"%USERPROFILE%\Documents\GitHub\eaglep3\Utilities\RefineRTDCRunTimes.py" --tripid 1831-04 --locoid 4050 --swversion DE.1.0.9.0 --startMP 204:1006 --initTime 2017-06-04T21:03:37 --startdatetime 2017-06-04T21:21:30 --delay 1 --endMP 300:58975 --enddatetime 2017-06-04T21:35:56 --enforcementcount 0 &gt;&gt;C:\Users\stu\Documents\GitHub\eaglep3-reporting\EC\2017-06-04-refined-times.txt</v>
      </c>
      <c r="AI188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{"issue":{"subject":"","project_id":79,"tracker_id":40,"status_id":1,"priority_id":2,"assigned_to_id":23,"start_date":"2017-06-04","description":"","custom_fields":[{"id":1,"name":"Subdivision","value":"NW"},{"id":4,"name":"Milepost","value":"5.8975"},{"id":17,"name":"Train ID","value":"1831-04"},{"id":16,"name":"Locomotive ID","value":"4050"},{"id":130,"name":"Impact","value":""},{"id":150,"name":"Time of Event (Mountain Time)","value":"21:35:56"},{"id":151,"name":"Denver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1"/>
        <v>start /low /b %USERPROFILE%\Documents\GitHub\eaglep3\Utilities\DownloadLogsFromS3.py --loco 4050 --day 2017-06-04</v>
      </c>
      <c r="AN188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681</v>
      </c>
      <c r="B189" s="7">
        <v>4049</v>
      </c>
      <c r="C189" s="21" t="s">
        <v>204</v>
      </c>
      <c r="D189" s="21" t="s">
        <v>917</v>
      </c>
      <c r="E189" s="13">
        <v>42890.90084490741</v>
      </c>
      <c r="F189" s="13">
        <v>42890.902002314811</v>
      </c>
      <c r="G189" s="7">
        <v>0</v>
      </c>
      <c r="H189" s="21" t="s">
        <v>923</v>
      </c>
      <c r="I189" s="13">
        <v>42890.913078703707</v>
      </c>
      <c r="J189" s="7">
        <v>0</v>
      </c>
      <c r="K189" s="92" t="str">
        <f t="shared" si="55"/>
        <v>4049/4050</v>
      </c>
      <c r="L189" s="21" t="str">
        <f>VLOOKUP(A189,'Trips&amp;Operators'!$C$1:$G$99999,5,FALSE)</f>
        <v>HOLCOMB KAMDEN</v>
      </c>
      <c r="M189" s="6">
        <f t="shared" si="56"/>
        <v>1.1076388895162381E-2</v>
      </c>
      <c r="N189" s="7">
        <f t="shared" ref="N189:N214" si="81">24*60*SUM($M189:$M189)</f>
        <v>15.950000009033829</v>
      </c>
      <c r="O189" s="7"/>
      <c r="P189" s="7"/>
      <c r="Q189" s="22"/>
      <c r="R189" s="173"/>
      <c r="S189" s="176">
        <f t="shared" si="57"/>
        <v>1</v>
      </c>
      <c r="T189" s="202" t="str">
        <f t="shared" si="58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9"/>
        <v>https://d0f6bd738d7f1b3e5a7ca70fe4ff75f0.us-east-1.aws.found.io/app/kibana#/discover/Steve-Slow-Train-Analysis-(2080s-and-2083s)?_g=(refreshInterval:(display:Off,pause:!f,section:0,value:0),time:(from:'2017-06-04T20:37:13-0600',mode:absolute,to:'2017-06-04T22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204" t="str">
        <f t="shared" si="60"/>
        <v>N</v>
      </c>
      <c r="X189" s="204">
        <f t="shared" si="80"/>
        <v>1</v>
      </c>
      <c r="Y189" s="204">
        <f t="shared" si="61"/>
        <v>5.8663999999999996</v>
      </c>
      <c r="Z189" s="204">
        <f t="shared" si="62"/>
        <v>7.1900000000000006E-2</v>
      </c>
      <c r="AA189" s="204">
        <f t="shared" si="63"/>
        <v>5.7944999999999993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4"/>
        <v>1832-04</v>
      </c>
      <c r="AE189" s="80" t="str">
        <f t="shared" si="65"/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AF189" s="77" t="str">
        <f t="shared" si="66"/>
        <v>"C:\Program Files (x86)\AstroGrep\AstroGrep.exe" /e /r /s /spath="%USERPROFILE%\AppData\Local\Temp\OnboardLogs" /stypes="app*4049*20170605*" /stext=" 03:.+((SYSTEM_STATE.+slice.+state.+changed )|(ment ac)|(multiple cpu faults)|(system.+state.+changed )|(\[timeout)|(PRM\|1\|D)|(kpr)|(kdp)|(train st.+moving)|(\|lc)|(penalty))"</v>
      </c>
      <c r="AG189" s="1" t="str">
        <f t="shared" si="67"/>
        <v>NW</v>
      </c>
      <c r="AH189" s="81" t="str">
        <f t="shared" si="69"/>
        <v>"%USERPROFILE%\Documents\GitHub\eaglep3\Utilities\RefineRTDCRunTimes.py" --tripid 1832-04 --locoid 4049 --swversion DE.1.0.9.0 --startMP 300:58664 --initTime 2017-06-04T21:37:13 --startdatetime 2017-06-04T21:38:53 --delay 0 --endMP 204:719 --enddatetime 2017-06-04T21:54:50 --enforcementcount 0 &gt;&gt;C:\Users\stu\Documents\GitHub\eaglep3-reporting\EC\2017-06-04-refined-times.txt</v>
      </c>
      <c r="AI189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{"issue":{"subject":"","project_id":79,"tracker_id":40,"status_id":1,"priority_id":2,"assigned_to_id":23,"start_date":"2017-06-04","description":"","custom_fields":[{"id":1,"name":"Subdivision","value":"NW"},{"id":4,"name":"Milepost","value":"0.0719"},{"id":17,"name":"Train ID","value":"1832-04"},{"id":16,"name":"Locomotive ID","value":"4049"},{"id":130,"name":"Impact","value":""},{"id":150,"name":"Time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1"/>
        <v>start /low /b %USERPROFILE%\Documents\GitHub\eaglep3\Utilities\DownloadLogsFromS3.py --loco 4049 --day 2017-06-04</v>
      </c>
      <c r="AN189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03:54:50"},{"id":29,"name":"Sharepoint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682</v>
      </c>
      <c r="B190" s="7">
        <v>4050</v>
      </c>
      <c r="C190" s="21" t="s">
        <v>204</v>
      </c>
      <c r="D190" s="21" t="s">
        <v>568</v>
      </c>
      <c r="E190" s="13">
        <v>42890.929189814815</v>
      </c>
      <c r="F190" s="13">
        <v>42890.931585648148</v>
      </c>
      <c r="G190" s="7">
        <v>1</v>
      </c>
      <c r="H190" s="21" t="s">
        <v>927</v>
      </c>
      <c r="I190" s="13">
        <v>42890.937962962962</v>
      </c>
      <c r="J190" s="7">
        <v>0</v>
      </c>
      <c r="K190" s="92" t="str">
        <f t="shared" si="55"/>
        <v>4049/4050</v>
      </c>
      <c r="L190" s="21" t="str">
        <f>VLOOKUP(A190,'Trips&amp;Operators'!$C$1:$G$99999,5,FALSE)</f>
        <v>HOLCOMB KAMDEN</v>
      </c>
      <c r="M190" s="6">
        <f t="shared" si="56"/>
        <v>6.3773148140171543E-3</v>
      </c>
      <c r="N190" s="7">
        <f t="shared" si="81"/>
        <v>9.1833333321847022</v>
      </c>
      <c r="O190" s="7"/>
      <c r="P190" s="7"/>
      <c r="Q190" s="22"/>
      <c r="R190" s="173"/>
      <c r="S190" s="176">
        <f t="shared" si="57"/>
        <v>1</v>
      </c>
      <c r="T190" s="202" t="str">
        <f t="shared" si="58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9"/>
        <v>https://d0f6bd738d7f1b3e5a7ca70fe4ff75f0.us-east-1.aws.found.io/app/kibana#/discover/Steve-Slow-Train-Analysis-(2080s-and-2083s)?_g=(refreshInterval:(display:Off,pause:!f,section:0,value:0),time:(from:'2017-06-04T21:18:02-0600',mode:absolute,to:'2017-06-04T23:30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0" s="204" t="str">
        <f t="shared" si="60"/>
        <v>Y</v>
      </c>
      <c r="X190" s="204">
        <f t="shared" si="80"/>
        <v>1</v>
      </c>
      <c r="Y190" s="204">
        <f t="shared" si="61"/>
        <v>0.1011</v>
      </c>
      <c r="Z190" s="204">
        <f t="shared" si="62"/>
        <v>3.3048999999999999</v>
      </c>
      <c r="AA190" s="204">
        <f t="shared" si="63"/>
        <v>3.2037999999999998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4"/>
        <v>1833-04</v>
      </c>
      <c r="AE190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190" s="77" t="str">
        <f t="shared" si="66"/>
        <v>"C:\Program Files (x86)\AstroGrep\AstroGrep.exe" /e /r /s /spath="%USERPROFILE%\AppData\Local\Temp\OnboardLogs" /stypes="app*4050*20170605*" /stext=" 04:.+((SYSTEM_STATE.+slice.+state.+changed )|(ment ac)|(multiple cpu faults)|(system.+state.+changed )|(\[timeout)|(PRM\|1\|D)|(kpr)|(kdp)|(train st.+moving)|(\|lc)|(penalty))"</v>
      </c>
      <c r="AG190" s="1" t="str">
        <f t="shared" si="67"/>
        <v>NW</v>
      </c>
      <c r="AH190" s="81" t="str">
        <f t="shared" si="69"/>
        <v>"%USERPROFILE%\Documents\GitHub\eaglep3\Utilities\RefineRTDCRunTimes.py" --tripid 1833-04 --locoid 4050 --swversion DE.1.0.9.0 --startMP 204:1011 --initTime 2017-06-04T22:18:02 --startdatetime 2017-06-04T22:21:29 --delay 1 --endMP 300:33049 --enddatetime 2017-06-04T22:30:40 --enforcementcount 0 &gt;&gt;C:\Users\stu\Documents\GitHub\eaglep3-reporting\EC\2017-06-04-refined-times.txt</v>
      </c>
      <c r="AI190" s="99" t="str">
        <f t="shared" si="70"/>
        <v>echo {"issue":{"subject":"","project_id":79,"tracker_id":40,"status_id":1,"priority_id":2,"assigned_to_id":23,"start_date":"2017-06-04","description":"","custom_fields":[{"id":1,"name":"Subdivision","value":"NW"},{"id":4,"name":"Milepost","value":"3.3049"},{"id":17,"name":"Train ID","value":"1833-04"},{"id":16,"name":"Locomotive ID","value":"4050"},{"id":130,"name":"Impact","value":""},{"id":150,"name":"Time of Event (Mountain Time)","value":"22:30:40"},{"id":151,"name":"Denver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1"/>
        <v>start /low /b %USERPROFILE%\Documents\GitHub\eaglep3\Utilities\DownloadLogsFromS3.py --loco 4050 --day 2017-06-04</v>
      </c>
      <c r="AN190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04:30:40"},{"id":29,"name":"Sharepoint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598</v>
      </c>
      <c r="B191" s="7">
        <v>4001</v>
      </c>
      <c r="C191" s="21" t="s">
        <v>204</v>
      </c>
      <c r="D191" s="21" t="s">
        <v>638</v>
      </c>
      <c r="E191" s="13">
        <v>42890.112361111111</v>
      </c>
      <c r="F191" s="13">
        <v>42890.117118055554</v>
      </c>
      <c r="G191" s="7">
        <v>6</v>
      </c>
      <c r="H191" s="21" t="s">
        <v>639</v>
      </c>
      <c r="I191" s="13">
        <v>42890.118020833332</v>
      </c>
      <c r="J191" s="7">
        <v>0</v>
      </c>
      <c r="K191" s="92" t="str">
        <f t="shared" si="55"/>
        <v>4001/4002</v>
      </c>
      <c r="L191" s="21" t="str">
        <f>VLOOKUP(A191,'Trips&amp;Operators'!$C$1:$G$99999,5,FALSE)</f>
        <v>MAELZER KURT</v>
      </c>
      <c r="M191" s="6">
        <f t="shared" si="56"/>
        <v>9.0277777781011537E-4</v>
      </c>
      <c r="N191" s="7">
        <f t="shared" si="81"/>
        <v>1.3000000000465661</v>
      </c>
      <c r="O191" s="7"/>
      <c r="P191" s="7"/>
      <c r="Q191" s="22"/>
      <c r="R191" s="173"/>
      <c r="S191" s="176">
        <f t="shared" si="57"/>
        <v>0</v>
      </c>
      <c r="T191" s="202" t="str">
        <f t="shared" si="58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203" t="str">
        <f t="shared" si="59"/>
        <v>https://d0f6bd738d7f1b3e5a7ca70fe4ff75f0.us-east-1.aws.found.io/app/kibana#/discover/Steve-Slow-Train-Analysis-(2080s-and-2083s)?_g=(refreshInterval:(display:Off,pause:!f,section:0,value:0),time:(from:'2017-06-04T01:41:48-0600',mode:absolute,to:'2017-06-04T03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204" t="str">
        <f t="shared" si="60"/>
        <v>Y</v>
      </c>
      <c r="X191" s="204">
        <f t="shared" si="80"/>
        <v>-1533</v>
      </c>
      <c r="Y191" s="204">
        <f t="shared" si="61"/>
        <v>2.1884000000000001</v>
      </c>
      <c r="Z191" s="204">
        <f t="shared" si="62"/>
        <v>2</v>
      </c>
      <c r="AA191" s="204">
        <f t="shared" si="63"/>
        <v>0.18840000000000012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4"/>
        <v>0300-04</v>
      </c>
      <c r="AE191" s="80" t="str">
        <f t="shared" si="65"/>
        <v>aws s3 cp s3://rtdc.mdm.uploadarchive.raw/RTDC4001/ "%USERPROFILE%\AppData\Local\Temp\OnboardLogs"\RTDC4001\2017-06-04 --exclude "*" --recursive --include "*20170604*" &amp; "%USERPROFILE%\Documents\GitHub\mrs-test-scripts\Headless Mode &amp; Sideloading\WalkAndUnGZ.bat" "%USERPROFILE%\AppData\Local\Temp\OnboardLogs"\RTDC4001\2017-06-04 &amp; aws s3 cp s3://rtdc.mdm.uploadarchive.raw/RTDC4001/ "%USERPROFILE%\AppData\Local\Temp\OnboardLogs"\RTDC4001\2017-06-05 --exclude "*" --recursive --include "*20170605*" &amp; "%USERPROFILE%\Documents\GitHub\mrs-test-scripts\Headless Mode &amp; Sideloading\WalkAndUnGZ.bat" "%USERPROFILE%\AppData\Local\Temp\OnboardLogs"\RTDC4001\2017-06-05</v>
      </c>
      <c r="AF191" s="77" t="str">
        <f t="shared" si="66"/>
        <v>"C:\Program Files (x86)\AstroGrep\AstroGrep.exe" /e /r /s /spath="%USERPROFILE%\AppData\Local\Temp\OnboardLogs" /stypes="app*4001*20170604*" /stext=" 08:.+((SYSTEM_STATE.+slice.+state.+changed )|(ment ac)|(multiple cpu faults)|(system.+state.+changed )|(\[timeout)|(PRM\|1\|D)|(kpr)|(kdp)|(train st.+moving)|(\|lc)|(penalty))"</v>
      </c>
      <c r="AG191" s="1" t="str">
        <f t="shared" si="67"/>
        <v>Other</v>
      </c>
      <c r="AH191" s="81" t="str">
        <f t="shared" si="69"/>
        <v>"%USERPROFILE%\Documents\GitHub\eaglep3\Utilities\RefineRTDCRunTimes.py" --tripid 300-04 --locoid 4001 --swversion DE.1.0.9.0 --startMP 300:21884 --initTime 2017-06-04T02:41:48 --startdatetime 2017-06-04T02:48:39 --delay 6 --endMP 300:20000 --enddatetime 2017-06-04T02:49:57 --enforcementcount 0 &gt;&gt;C:\Users\stu\Documents\GitHub\eaglep3-reporting\EC\2017-06-04-refined-times.txt</v>
      </c>
      <c r="AI191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{"issue":{"subject":"","project_id":79,"tracker_id":40,"status_id":1,"priority_id":2,"assigned_to_id":23,"start_date":"2017-06-04","description":"","custom_fields":[{"id":1,"name":"Subdivision","value":"Other"},{"id":4,"name":"Milepost","value":"2"},{"id":17,"name":"Train ID","value":"300-04"},{"id":16,"name":"Locomotive ID","value":"4001"},{"id":130,"name":"Impact","value":""},{"id":150,"name":"Time of Event (Mountain Time)","value":"02:49:57"},{"id":151,"name":"Denver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1"/>
        <v>start /low /b %USERPROFILE%\Documents\GitHub\eaglep3\Utilities\DownloadLogsFromS3.py --loco 4001 --day 2017-06-04</v>
      </c>
      <c r="AN191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815</v>
      </c>
      <c r="B192" s="7">
        <v>4042</v>
      </c>
      <c r="C192" s="21" t="s">
        <v>204</v>
      </c>
      <c r="D192" s="21" t="s">
        <v>959</v>
      </c>
      <c r="E192" s="13">
        <v>42890.776979166665</v>
      </c>
      <c r="F192" s="13">
        <v>42890.779050925928</v>
      </c>
      <c r="G192" s="7">
        <v>1</v>
      </c>
      <c r="H192" s="21" t="s">
        <v>960</v>
      </c>
      <c r="I192" s="13">
        <v>42890.785868055558</v>
      </c>
      <c r="J192" s="7">
        <v>0</v>
      </c>
      <c r="K192" s="92" t="str">
        <f t="shared" si="55"/>
        <v>4041/4042</v>
      </c>
      <c r="L192" s="21" t="str">
        <f>VLOOKUP(A192,'Trips&amp;Operators'!$C$1:$G$99999,5,FALSE)</f>
        <v>BRUDER RICHARD</v>
      </c>
      <c r="M192" s="6">
        <f t="shared" si="56"/>
        <v>6.8171296297805384E-3</v>
      </c>
      <c r="N192" s="7">
        <f t="shared" si="81"/>
        <v>9.8166666668839753</v>
      </c>
      <c r="O192" s="7"/>
      <c r="P192" s="7"/>
      <c r="Q192" s="22"/>
      <c r="R192" s="173"/>
      <c r="S192" s="176">
        <f t="shared" si="57"/>
        <v>1</v>
      </c>
      <c r="T192" s="202" t="str">
        <f t="shared" si="58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9"/>
        <v>https://d0f6bd738d7f1b3e5a7ca70fe4ff75f0.us-east-1.aws.found.io/app/kibana#/discover/Steve-Slow-Train-Analysis-(2080s-and-2083s)?_g=(refreshInterval:(display:Off,pause:!f,section:0,value:0),time:(from:'2017-06-04T17:38:51-0600',mode:absolute,to:'2017-06-04T19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204" t="str">
        <f t="shared" si="60"/>
        <v>Y</v>
      </c>
      <c r="X192" s="204">
        <f t="shared" si="80"/>
        <v>1</v>
      </c>
      <c r="Y192" s="204">
        <f t="shared" si="61"/>
        <v>4.3900000000000002E-2</v>
      </c>
      <c r="Z192" s="204">
        <f t="shared" si="62"/>
        <v>2.3296999999999999</v>
      </c>
      <c r="AA192" s="204">
        <f t="shared" si="63"/>
        <v>2.2858000000000001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4"/>
        <v>0301-04</v>
      </c>
      <c r="AE192" s="80" t="str">
        <f t="shared" si="65"/>
        <v>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 &amp; aws s3 cp s3://rtdc.mdm.uploadarchive.raw/RTDC4042/ "%USERPROFILE%\AppData\Local\Temp\OnboardLogs"\RTDC4042\2017-06-05 --exclude "*" --recursive --include "*20170605*" &amp; "%USERPROFILE%\Documents\GitHub\mrs-test-scripts\Headless Mode &amp; Sideloading\WalkAndUnGZ.bat" "%USERPROFILE%\AppData\Local\Temp\OnboardLogs"\RTDC4042\2017-06-05</v>
      </c>
      <c r="AF192" s="77" t="str">
        <f t="shared" si="66"/>
        <v>"C:\Program Files (x86)\AstroGrep\AstroGrep.exe" /e /r /s /spath="%USERPROFILE%\AppData\Local\Temp\OnboardLogs" /stypes="app*4042*20170605*" /stext=" 00:.+((SYSTEM_STATE.+slice.+state.+changed )|(ment ac)|(multiple cpu faults)|(system.+state.+changed )|(\[timeout)|(PRM\|1\|D)|(kpr)|(kdp)|(train st.+moving)|(\|lc)|(penalty))"</v>
      </c>
      <c r="AG192" s="1" t="str">
        <f t="shared" si="67"/>
        <v>Other</v>
      </c>
      <c r="AH192" s="81" t="str">
        <f t="shared" si="69"/>
        <v>"%USERPROFILE%\Documents\GitHub\eaglep3\Utilities\RefineRTDCRunTimes.py" --tripid 301-04 --locoid 4042 --swversion DE.1.0.9.0 --startMP 204:439 --initTime 2017-06-04T18:38:51 --startdatetime 2017-06-04T18:41:50 --delay 1 --endMP 300:23297 --enddatetime 2017-06-04T18:51:39 --enforcementcount 0 &gt;&gt;C:\Users\stu\Documents\GitHub\eaglep3-reporting\EC\2017-06-04-refined-times.txt</v>
      </c>
      <c r="AI192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{"issue":{"subject":"","project_id":79,"tracker_id":40,"status_id":1,"priority_id":2,"assigned_to_id":23,"start_date":"2017-06-04","description":"","custom_fields":[{"id":1,"name":"Subdivision","value":"Other"},{"id":4,"name":"Milepost","value":"2.3297"},{"id":17,"name":"Train ID","value":"301-04"},{"id":16,"name":"Locomotive ID","value":"4042"},{"id":130,"name":"Impact","value":""},{"id":150,"name":"Time of Event (Mountain Time)","value":"18:51:39"},{"id":151,"name":"Denver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1"/>
        <v>start /low /b %USERPROFILE%\Documents\GitHub\eaglep3\Utilities\DownloadLogsFromS3.py --loco 4042 --day 2017-06-04</v>
      </c>
      <c r="AN192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647</v>
      </c>
      <c r="B193" s="7">
        <v>4059</v>
      </c>
      <c r="C193" s="21" t="s">
        <v>204</v>
      </c>
      <c r="D193" s="21" t="s">
        <v>961</v>
      </c>
      <c r="E193" s="13">
        <v>42890.137118055558</v>
      </c>
      <c r="F193" s="13">
        <v>42890.142453703702</v>
      </c>
      <c r="G193" s="7">
        <v>7</v>
      </c>
      <c r="H193" s="21" t="s">
        <v>962</v>
      </c>
      <c r="I193" s="13">
        <v>42890.145787037036</v>
      </c>
      <c r="J193" s="7">
        <v>0</v>
      </c>
      <c r="K193" s="92" t="str">
        <f t="shared" si="55"/>
        <v>4059/4060</v>
      </c>
      <c r="L193" s="21" t="str">
        <f>VLOOKUP(A193,'Trips&amp;Operators'!$C$1:$G$99999,5,FALSE)</f>
        <v>WILLIAMS DONTE</v>
      </c>
      <c r="M193" s="6">
        <f t="shared" si="56"/>
        <v>3.3333333340124227E-3</v>
      </c>
      <c r="N193" s="7">
        <f t="shared" si="81"/>
        <v>4.8000000009778887</v>
      </c>
      <c r="O193" s="7"/>
      <c r="P193" s="7"/>
      <c r="Q193" s="22"/>
      <c r="R193" s="173"/>
      <c r="S193" s="176">
        <f t="shared" si="57"/>
        <v>0</v>
      </c>
      <c r="T193" s="202" t="str">
        <f t="shared" si="58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203" t="str">
        <f t="shared" si="59"/>
        <v>https://d0f6bd738d7f1b3e5a7ca70fe4ff75f0.us-east-1.aws.found.io/app/kibana#/discover/Steve-Slow-Train-Analysis-(2080s-and-2083s)?_g=(refreshInterval:(display:Off,pause:!f,section:0,value:0),time:(from:'2017-06-04T02:17:27-0600',mode:absolute,to:'2017-06-04T04:29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3" s="204" t="str">
        <f t="shared" si="60"/>
        <v>Y</v>
      </c>
      <c r="X193" s="204">
        <f t="shared" ref="X193:X214" si="82">VALUE(LEFT(AD193,4))-VALUE(LEFT(AD192,4))</f>
        <v>1</v>
      </c>
      <c r="Y193" s="204">
        <f t="shared" si="61"/>
        <v>2.2355</v>
      </c>
      <c r="Z193" s="204">
        <f t="shared" si="62"/>
        <v>1.7388999999999999</v>
      </c>
      <c r="AA193" s="204">
        <f t="shared" si="63"/>
        <v>0.49660000000000015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4"/>
        <v>0302-04</v>
      </c>
      <c r="AE193" s="80" t="str">
        <f t="shared" si="65"/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AF193" s="77" t="str">
        <f t="shared" si="66"/>
        <v>"C:\Program Files (x86)\AstroGrep\AstroGrep.exe" /e /r /s /spath="%USERPROFILE%\AppData\Local\Temp\OnboardLogs" /stypes="app*4059*20170604*" /stext=" 09:.+((SYSTEM_STATE.+slice.+state.+changed )|(ment ac)|(multiple cpu faults)|(system.+state.+changed )|(\[timeout)|(PRM\|1\|D)|(kpr)|(kdp)|(train st.+moving)|(\|lc)|(penalty))"</v>
      </c>
      <c r="AG193" s="1" t="str">
        <f t="shared" si="67"/>
        <v>Other</v>
      </c>
      <c r="AH193" s="81" t="str">
        <f t="shared" si="69"/>
        <v>"%USERPROFILE%\Documents\GitHub\eaglep3\Utilities\RefineRTDCRunTimes.py" --tripid 302-04 --locoid 4059 --swversion DE.1.0.9.0 --startMP 300:22355 --initTime 2017-06-04T03:17:27 --startdatetime 2017-06-04T03:25:08 --delay 7 --endMP 300:17389 --enddatetime 2017-06-04T03:29:56 --enforcementcount 0 &gt;&gt;C:\Users\stu\Documents\GitHub\eaglep3-reporting\EC\2017-06-04-refined-times.txt</v>
      </c>
      <c r="AI193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{"issue":{"subject":"","project_id":79,"tracker_id":40,"status_id":1,"priority_id":2,"assigned_to_id":23,"start_date":"2017-06-04","description":"","custom_fields":[{"id":1,"name":"Subdivision","value":"Other"},{"id":4,"name":"Milepost","value":"1.7389"},{"id":17,"name":"Train ID","value":"302-04"},{"id":16,"name":"Locomotive ID","value":"4059"},{"id":130,"name":"Impact","value":""},{"id":150,"name":"Time of Event (Mountain Time)","value":"03:29:56"},{"id":151,"name":"Denver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1"/>
        <v>start /low /b %USERPROFILE%\Documents\GitHub\eaglep3\Utilities\DownloadLogsFromS3.py --loco 4059 --day 2017-06-04</v>
      </c>
      <c r="AN193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09:29:56"},{"id":29,"name":"Sharepoint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817</v>
      </c>
      <c r="B194" s="7">
        <v>4040</v>
      </c>
      <c r="C194" s="21" t="s">
        <v>204</v>
      </c>
      <c r="D194" s="21" t="s">
        <v>345</v>
      </c>
      <c r="E194" s="13">
        <v>42890.796620370369</v>
      </c>
      <c r="F194" s="13">
        <v>42890.79859953704</v>
      </c>
      <c r="G194" s="7">
        <v>1</v>
      </c>
      <c r="H194" s="21" t="s">
        <v>963</v>
      </c>
      <c r="I194" s="13">
        <v>42890.806273148148</v>
      </c>
      <c r="J194" s="7">
        <v>0</v>
      </c>
      <c r="K194" s="92" t="str">
        <f t="shared" si="55"/>
        <v>4039/4040</v>
      </c>
      <c r="L194" s="21" t="str">
        <f>VLOOKUP(A194,'Trips&amp;Operators'!$C$1:$G$99999,5,FALSE)</f>
        <v>DELGADO DIANAH</v>
      </c>
      <c r="M194" s="6">
        <f t="shared" si="56"/>
        <v>7.6736111077480018E-3</v>
      </c>
      <c r="N194" s="7">
        <f t="shared" si="81"/>
        <v>11.049999995157123</v>
      </c>
      <c r="O194" s="7"/>
      <c r="P194" s="7"/>
      <c r="Q194" s="22"/>
      <c r="R194" s="173"/>
      <c r="S194" s="176">
        <f t="shared" si="57"/>
        <v>1</v>
      </c>
      <c r="T194" s="202" t="str">
        <f t="shared" si="58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9"/>
        <v>https://d0f6bd738d7f1b3e5a7ca70fe4ff75f0.us-east-1.aws.found.io/app/kibana#/discover/Steve-Slow-Train-Analysis-(2080s-and-2083s)?_g=(refreshInterval:(display:Off,pause:!f,section:0,value:0),time:(from:'2017-06-04T18:07:08-0600',mode:absolute,to:'2017-06-04T20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204" t="str">
        <f t="shared" si="60"/>
        <v>Y</v>
      </c>
      <c r="X194" s="204">
        <f t="shared" si="82"/>
        <v>1</v>
      </c>
      <c r="Y194" s="204">
        <f t="shared" si="61"/>
        <v>4.4900000000000002E-2</v>
      </c>
      <c r="Z194" s="204">
        <f t="shared" si="62"/>
        <v>2.3315999999999999</v>
      </c>
      <c r="AA194" s="204">
        <f t="shared" si="63"/>
        <v>2.2866999999999997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4"/>
        <v>0303-04</v>
      </c>
      <c r="AE194" s="80" t="str">
        <f t="shared" si="65"/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AF194" s="77" t="str">
        <f t="shared" si="66"/>
        <v>"C:\Program Files (x86)\AstroGrep\AstroGrep.exe" /e /r /s /spath="%USERPROFILE%\AppData\Local\Temp\OnboardLogs" /stypes="app*4040*20170605*" /stext=" 01:.+((SYSTEM_STATE.+slice.+state.+changed )|(ment ac)|(multiple cpu faults)|(system.+state.+changed )|(\[timeout)|(PRM\|1\|D)|(kpr)|(kdp)|(train st.+moving)|(\|lc)|(penalty))"</v>
      </c>
      <c r="AG194" s="1" t="str">
        <f t="shared" si="67"/>
        <v>Other</v>
      </c>
      <c r="AH194" s="81" t="str">
        <f t="shared" si="69"/>
        <v>"%USERPROFILE%\Documents\GitHub\eaglep3\Utilities\RefineRTDCRunTimes.py" --tripid 303-04 --locoid 4040 --swversion DE.1.0.9.0 --startMP 204:449 --initTime 2017-06-04T19:07:08 --startdatetime 2017-06-04T19:09:59 --delay 1 --endMP 300:23316 --enddatetime 2017-06-04T19:21:02 --enforcementcount 0 &gt;&gt;C:\Users\stu\Documents\GitHub\eaglep3-reporting\EC\2017-06-04-refined-times.txt</v>
      </c>
      <c r="AI194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{"issue":{"subject":"","project_id":79,"tracker_id":40,"status_id":1,"priority_id":2,"assigned_to_id":23,"start_date":"2017-06-04","description":"","custom_fields":[{"id":1,"name":"Subdivision","value":"Other"},{"id":4,"name":"Milepost","value":"2.3316"},{"id":17,"name":"Train ID","value":"303-04"},{"id":16,"name":"Locomotive ID","value":"4040"},{"id":130,"name":"Impact","value":""},{"id":150,"name":"Time of Event (Mountain Time)","value":"19:21:02"},{"id":151,"name":"Denver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1"/>
        <v>start /low /b %USERPROFILE%\Documents\GitHub\eaglep3\Utilities\DownloadLogsFromS3.py --loco 4040 --day 2017-06-04</v>
      </c>
      <c r="AN194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690</v>
      </c>
      <c r="B195" s="7">
        <v>4003</v>
      </c>
      <c r="C195" s="21" t="s">
        <v>204</v>
      </c>
      <c r="D195" s="21" t="s">
        <v>964</v>
      </c>
      <c r="E195" s="13">
        <v>42890.170844907407</v>
      </c>
      <c r="F195" s="13">
        <v>42890.17559027778</v>
      </c>
      <c r="G195" s="7">
        <v>6</v>
      </c>
      <c r="H195" s="21" t="s">
        <v>350</v>
      </c>
      <c r="I195" s="13">
        <v>42890.181226851855</v>
      </c>
      <c r="J195" s="7">
        <v>0</v>
      </c>
      <c r="K195" s="92" t="str">
        <f t="shared" si="55"/>
        <v>4003/4004</v>
      </c>
      <c r="L195" s="21" t="str">
        <f>VLOOKUP(A195,'Trips&amp;Operators'!$C$1:$G$99999,5,FALSE)</f>
        <v>LALONDE GREGORY</v>
      </c>
      <c r="M195" s="6">
        <f t="shared" si="56"/>
        <v>5.6365740747423843E-3</v>
      </c>
      <c r="N195" s="7">
        <f t="shared" si="81"/>
        <v>8.1166666676290333</v>
      </c>
      <c r="O195" s="7"/>
      <c r="P195" s="7"/>
      <c r="Q195" s="22"/>
      <c r="R195" s="173"/>
      <c r="S195" s="176">
        <f t="shared" si="57"/>
        <v>1</v>
      </c>
      <c r="T195" s="202" t="str">
        <f t="shared" si="58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9"/>
        <v>https://d0f6bd738d7f1b3e5a7ca70fe4ff75f0.us-east-1.aws.found.io/app/kibana#/discover/Steve-Slow-Train-Analysis-(2080s-and-2083s)?_g=(refreshInterval:(display:Off,pause:!f,section:0,value:0),time:(from:'2017-06-04T03:06:01-0600',mode:absolute,to:'2017-06-04T05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204" t="str">
        <f t="shared" si="60"/>
        <v>Y</v>
      </c>
      <c r="X195" s="204">
        <f t="shared" si="82"/>
        <v>3</v>
      </c>
      <c r="Y195" s="204">
        <f t="shared" si="61"/>
        <v>2.3368000000000002</v>
      </c>
      <c r="Z195" s="204">
        <f t="shared" si="62"/>
        <v>1.6E-2</v>
      </c>
      <c r="AA195" s="204">
        <f t="shared" si="63"/>
        <v>2.3208000000000002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4"/>
        <v>0306-04</v>
      </c>
      <c r="AE195" s="80" t="str">
        <f t="shared" si="65"/>
        <v>aws s3 cp s3://rtdc.mdm.uploadarchive.raw/RTDC4003/ "%USERPROFILE%\AppData\Local\Temp\OnboardLogs"\RTDC4003\2017-06-04 --exclude "*" --recursive --include "*20170604*" &amp; "%USERPROFILE%\Documents\GitHub\mrs-test-scripts\Headless Mode &amp; Sideloading\WalkAndUnGZ.bat" "%USERPROFILE%\AppData\Local\Temp\OnboardLogs"\RTDC4003\2017-06-04 &amp; aws s3 cp s3://rtdc.mdm.uploadarchive.raw/RTDC4003/ "%USERPROFILE%\AppData\Local\Temp\OnboardLogs"\RTDC4003\2017-06-05 --exclude "*" --recursive --include "*20170605*" &amp; "%USERPROFILE%\Documents\GitHub\mrs-test-scripts\Headless Mode &amp; Sideloading\WalkAndUnGZ.bat" "%USERPROFILE%\AppData\Local\Temp\OnboardLogs"\RTDC4003\2017-06-05</v>
      </c>
      <c r="AF195" s="77" t="str">
        <f t="shared" si="66"/>
        <v>"C:\Program Files (x86)\AstroGrep\AstroGrep.exe" /e /r /s /spath="%USERPROFILE%\AppData\Local\Temp\OnboardLogs" /stypes="app*4003*20170604*" /stext=" 10:.+((SYSTEM_STATE.+slice.+state.+changed )|(ment ac)|(multiple cpu faults)|(system.+state.+changed )|(\[timeout)|(PRM\|1\|D)|(kpr)|(kdp)|(train st.+moving)|(\|lc)|(penalty))"</v>
      </c>
      <c r="AG195" s="1" t="str">
        <f t="shared" si="67"/>
        <v>Other</v>
      </c>
      <c r="AH195" s="81" t="str">
        <f t="shared" si="69"/>
        <v>"%USERPROFILE%\Documents\GitHub\eaglep3\Utilities\RefineRTDCRunTimes.py" --tripid 306-04 --locoid 4003 --swversion DE.1.0.9.0 --startMP 300:23368 --initTime 2017-06-04T04:06:01 --startdatetime 2017-06-04T04:12:51 --delay 6 --endMP 204:160 --enddatetime 2017-06-04T04:20:58 --enforcementcount 0 &gt;&gt;C:\Users\stu\Documents\GitHub\eaglep3-reporting\EC\2017-06-04-refined-times.txt</v>
      </c>
      <c r="AI195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{"issue":{"subject":"","project_id":79,"tracker_id":40,"status_id":1,"priority_id":2,"assigned_to_id":23,"start_date":"2017-06-04","description":"","custom_fields":[{"id":1,"name":"Subdivision","value":"Other"},{"id":4,"name":"Milepost","value":"0.016"},{"id":17,"name":"Train ID","value":"306-04"},{"id":16,"name":"Locomotive ID","value":"4003"},{"id":130,"name":"Impact","value":""},{"id":150,"name":"Time of Event (Mountain Time)","value":"04:20:58"},{"id":151,"name":"Denver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1"/>
        <v>start /low /b %USERPROFILE%\Documents\GitHub\eaglep3\Utilities\DownloadLogsFromS3.py --loco 4003 --day 2017-06-04</v>
      </c>
      <c r="AN195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10:20:58"},{"id":29,"name":"Sharepoint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843</v>
      </c>
      <c r="B196" s="7">
        <v>4012</v>
      </c>
      <c r="C196" s="21" t="s">
        <v>204</v>
      </c>
      <c r="D196" s="21" t="s">
        <v>859</v>
      </c>
      <c r="E196" s="13">
        <v>42891.029409722221</v>
      </c>
      <c r="F196" s="13">
        <v>42891.030462962961</v>
      </c>
      <c r="G196" s="7">
        <v>0</v>
      </c>
      <c r="H196" s="21" t="s">
        <v>963</v>
      </c>
      <c r="I196" s="13">
        <v>42891.036689814813</v>
      </c>
      <c r="J196" s="7">
        <v>0</v>
      </c>
      <c r="K196" s="92" t="str">
        <f t="shared" si="55"/>
        <v>4011/4012</v>
      </c>
      <c r="L196" s="21" t="str">
        <f>VLOOKUP(A196,'Trips&amp;Operators'!$C$1:$G$99999,5,FALSE)</f>
        <v>STAMBAUGH JAMES</v>
      </c>
      <c r="M196" s="6">
        <f t="shared" si="56"/>
        <v>6.2268518522614613E-3</v>
      </c>
      <c r="N196" s="7">
        <f t="shared" si="81"/>
        <v>8.9666666672565043</v>
      </c>
      <c r="O196" s="7"/>
      <c r="P196" s="7"/>
      <c r="Q196" s="22"/>
      <c r="R196" s="173"/>
      <c r="S196" s="176">
        <f t="shared" si="57"/>
        <v>1</v>
      </c>
      <c r="T196" s="202" t="str">
        <f t="shared" si="58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9"/>
        <v>https://d0f6bd738d7f1b3e5a7ca70fe4ff75f0.us-east-1.aws.found.io/app/kibana#/discover/Steve-Slow-Train-Analysis-(2080s-and-2083s)?_g=(refreshInterval:(display:Off,pause:!f,section:0,value:0),time:(from:'2017-06-04T23:42:21-0600',mode:absolute,to:'2017-06-05T01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204" t="str">
        <f t="shared" si="60"/>
        <v>Y</v>
      </c>
      <c r="X196" s="204">
        <f t="shared" si="82"/>
        <v>1</v>
      </c>
      <c r="Y196" s="204">
        <f t="shared" si="61"/>
        <v>4.3999999999999997E-2</v>
      </c>
      <c r="Z196" s="204">
        <f t="shared" si="62"/>
        <v>2.3315999999999999</v>
      </c>
      <c r="AA196" s="204">
        <f t="shared" si="63"/>
        <v>2.2875999999999999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4"/>
        <v>0307-04</v>
      </c>
      <c r="AE196" s="80" t="str">
        <f t="shared" si="65"/>
        <v>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 &amp; aws s3 cp s3://rtdc.mdm.uploadarchive.raw/RTDC4012/ "%USERPROFILE%\AppData\Local\Temp\OnboardLogs"\RTDC4012\2017-06-06 --exclude "*" --recursive --include "*20170606*" &amp; "%USERPROFILE%\Documents\GitHub\mrs-test-scripts\Headless Mode &amp; Sideloading\WalkAndUnGZ.bat" "%USERPROFILE%\AppData\Local\Temp\OnboardLogs"\RTDC4012\2017-06-06</v>
      </c>
      <c r="AF196" s="77" t="str">
        <f t="shared" si="66"/>
        <v>"C:\Program Files (x86)\AstroGrep\AstroGrep.exe" /e /r /s /spath="%USERPROFILE%\AppData\Local\Temp\OnboardLogs" /stypes="app*4012*20170605*" /stext=" 06:.+((SYSTEM_STATE.+slice.+state.+changed )|(ment ac)|(multiple cpu faults)|(system.+state.+changed )|(\[timeout)|(PRM\|1\|D)|(kpr)|(kdp)|(train st.+moving)|(\|lc)|(penalty))"</v>
      </c>
      <c r="AG196" s="1" t="str">
        <f t="shared" si="67"/>
        <v>Other</v>
      </c>
      <c r="AH196" s="81" t="str">
        <f t="shared" si="69"/>
        <v>"%USERPROFILE%\Documents\GitHub\eaglep3\Utilities\RefineRTDCRunTimes.py" --tripid 307-04 --locoid 4012 --swversion DE.1.0.9.0 --startMP 204:440 --initTime 2017-06-05T00:42:21 --startdatetime 2017-06-05T00:43:52 --delay 0 --endMP 300:23316 --enddatetime 2017-06-05T00:52:50 --enforcementcount 0 &gt;&gt;C:\Users\stu\Documents\GitHub\eaglep3-reporting\EC\2017-06-04-refined-times.txt</v>
      </c>
      <c r="AI196" s="99" t="str">
        <f t="shared" si="70"/>
        <v>echo {"issue":{"subject":"","project_id":79,"tracker_id":40,"status_id":1,"priority_id":2,"assigned_to_id":23,"start_date":"2017-06-05","description":"","custom_fields":[{"id":1,"name":"Subdivision","value":"Other"},{"id":4,"name":"Milepost","value":"2.3316"},{"id":17,"name":"Train ID","value":"307-04"},{"id":16,"name":"Locomotive ID","value":"4012"},{"id":130,"name":"Impact","value":""},{"id":150,"name":"Time of Event (Mountain Time)","value":"00:52:50"},{"id":151,"name":"Denver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71"/>
        <v>start /low /b %USERPROFILE%\Documents\GitHub\eaglep3\Utilities\DownloadLogsFromS3.py --loco 4012 --day 2017-06-05</v>
      </c>
      <c r="AN196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06:52:50"},{"id":29,"name":"Sharepoint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691</v>
      </c>
      <c r="B197" s="7">
        <v>4041</v>
      </c>
      <c r="C197" s="21" t="s">
        <v>204</v>
      </c>
      <c r="D197" s="21" t="s">
        <v>965</v>
      </c>
      <c r="E197" s="13">
        <v>42890.17701388889</v>
      </c>
      <c r="F197" s="13">
        <v>42890.180451388886</v>
      </c>
      <c r="G197" s="7">
        <v>4</v>
      </c>
      <c r="H197" s="21" t="s">
        <v>401</v>
      </c>
      <c r="I197" s="13">
        <v>42890.19059027778</v>
      </c>
      <c r="J197" s="7">
        <v>0</v>
      </c>
      <c r="K197" s="92" t="str">
        <f t="shared" si="55"/>
        <v>4041/4042</v>
      </c>
      <c r="L197" s="21" t="str">
        <f>VLOOKUP(A197,'Trips&amp;Operators'!$C$1:$G$99999,5,FALSE)</f>
        <v>GEBRETEKLE DAGNEW</v>
      </c>
      <c r="M197" s="6">
        <f t="shared" si="56"/>
        <v>1.0138888894289266E-2</v>
      </c>
      <c r="N197" s="7">
        <f t="shared" si="81"/>
        <v>14.600000007776543</v>
      </c>
      <c r="O197" s="7"/>
      <c r="P197" s="7"/>
      <c r="Q197" s="22"/>
      <c r="R197" s="173"/>
      <c r="S197" s="176">
        <f t="shared" si="57"/>
        <v>1</v>
      </c>
      <c r="T197" s="202" t="str">
        <f t="shared" si="58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9"/>
        <v>https://d0f6bd738d7f1b3e5a7ca70fe4ff75f0.us-east-1.aws.found.io/app/kibana#/discover/Steve-Slow-Train-Analysis-(2080s-and-2083s)?_g=(refreshInterval:(display:Off,pause:!f,section:0,value:0),time:(from:'2017-06-04T03:14:54-0600',mode:absolute,to:'2017-06-04T05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204" t="str">
        <f t="shared" si="60"/>
        <v>Y</v>
      </c>
      <c r="X197" s="204">
        <f t="shared" si="82"/>
        <v>1</v>
      </c>
      <c r="Y197" s="204">
        <f t="shared" si="61"/>
        <v>2.3650000000000002</v>
      </c>
      <c r="Z197" s="204">
        <f t="shared" si="62"/>
        <v>1.54E-2</v>
      </c>
      <c r="AA197" s="204">
        <f t="shared" si="63"/>
        <v>2.3496000000000001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4"/>
        <v>0308-04</v>
      </c>
      <c r="AE197" s="80" t="str">
        <f t="shared" si="65"/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AF197" s="77" t="str">
        <f t="shared" si="66"/>
        <v>"C:\Program Files (x86)\AstroGrep\AstroGrep.exe" /e /r /s /spath="%USERPROFILE%\AppData\Local\Temp\OnboardLogs" /stypes="app*4041*20170604*" /stext=" 10:.+((SYSTEM_STATE.+slice.+state.+changed )|(ment ac)|(multiple cpu faults)|(system.+state.+changed )|(\[timeout)|(PRM\|1\|D)|(kpr)|(kdp)|(train st.+moving)|(\|lc)|(penalty))"</v>
      </c>
      <c r="AG197" s="1" t="str">
        <f t="shared" si="67"/>
        <v>Other</v>
      </c>
      <c r="AH197" s="81" t="str">
        <f t="shared" si="69"/>
        <v>"%USERPROFILE%\Documents\GitHub\eaglep3\Utilities\RefineRTDCRunTimes.py" --tripid 308-04 --locoid 4041 --swversion DE.1.0.9.0 --startMP 300:23650 --initTime 2017-06-04T04:14:54 --startdatetime 2017-06-04T04:19:51 --delay 4 --endMP 204:154 --enddatetime 2017-06-04T04:34:27 --enforcementcount 0 &gt;&gt;C:\Users\stu\Documents\GitHub\eaglep3-reporting\EC\2017-06-04-refined-times.txt</v>
      </c>
      <c r="AI197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{"issue":{"subject":"","project_id":79,"tracker_id":40,"status_id":1,"priority_id":2,"assigned_to_id":23,"start_date":"2017-06-04","description":"","custom_fields":[{"id":1,"name":"Subdivision","value":"Other"},{"id":4,"name":"Milepost","value":"0.0154"},{"id":17,"name":"Train ID","value":"308-04"},{"id":16,"name":"Locomotive ID","value":"4041"},{"id":130,"name":"Impact","value":""},{"id":150,"name":"Time of Event (Mountain Time)","value":"04:34:27"},{"id":151,"name":"Denver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1"/>
        <v>start /low /b %USERPROFILE%\Documents\GitHub\eaglep3\Utilities\DownloadLogsFromS3.py --loco 4041 --day 2017-06-04</v>
      </c>
      <c r="AN197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845</v>
      </c>
      <c r="B198" s="7">
        <v>4060</v>
      </c>
      <c r="C198" s="21" t="s">
        <v>204</v>
      </c>
      <c r="D198" s="21" t="s">
        <v>397</v>
      </c>
      <c r="E198" s="13">
        <v>42891.048900462964</v>
      </c>
      <c r="F198" s="13">
        <v>42891.050439814811</v>
      </c>
      <c r="G198" s="7">
        <v>1</v>
      </c>
      <c r="H198" s="21" t="s">
        <v>640</v>
      </c>
      <c r="I198" s="13">
        <v>42891.059861111113</v>
      </c>
      <c r="J198" s="7">
        <v>0</v>
      </c>
      <c r="K198" s="92" t="str">
        <f t="shared" si="55"/>
        <v>4059/4060</v>
      </c>
      <c r="L198" s="21" t="str">
        <f>VLOOKUP(A198,'Trips&amp;Operators'!$C$1:$G$99999,5,FALSE)</f>
        <v>SMITH MICHAEL</v>
      </c>
      <c r="M198" s="6">
        <f t="shared" si="56"/>
        <v>9.4212963012978435E-3</v>
      </c>
      <c r="N198" s="7">
        <f t="shared" si="81"/>
        <v>13.566666673868895</v>
      </c>
      <c r="O198" s="7"/>
      <c r="P198" s="7"/>
      <c r="Q198" s="22"/>
      <c r="R198" s="173"/>
      <c r="S198" s="176">
        <f t="shared" si="57"/>
        <v>1</v>
      </c>
      <c r="T198" s="202" t="str">
        <f t="shared" si="58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9"/>
        <v>https://d0f6bd738d7f1b3e5a7ca70fe4ff75f0.us-east-1.aws.found.io/app/kibana#/discover/Steve-Slow-Train-Analysis-(2080s-and-2083s)?_g=(refreshInterval:(display:Off,pause:!f,section:0,value:0),time:(from:'2017-06-05T00:10:25-0600',mode:absolute,to:'2017-06-05T02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204" t="str">
        <f t="shared" si="60"/>
        <v>Y</v>
      </c>
      <c r="X198" s="204">
        <f t="shared" si="82"/>
        <v>1</v>
      </c>
      <c r="Y198" s="204">
        <f t="shared" si="61"/>
        <v>4.6199999999999998E-2</v>
      </c>
      <c r="Z198" s="204">
        <f t="shared" si="62"/>
        <v>2.3308</v>
      </c>
      <c r="AA198" s="204">
        <f t="shared" si="63"/>
        <v>2.2846000000000002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4"/>
        <v>0309-04</v>
      </c>
      <c r="AE198" s="80" t="str">
        <f t="shared" si="65"/>
        <v>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 &amp; aws s3 cp s3://rtdc.mdm.uploadarchive.raw/RTDC4060/ "%USERPROFILE%\AppData\Local\Temp\OnboardLogs"\RTDC4060\2017-06-06 --exclude "*" --recursive --include "*20170606*" &amp; "%USERPROFILE%\Documents\GitHub\mrs-test-scripts\Headless Mode &amp; Sideloading\WalkAndUnGZ.bat" "%USERPROFILE%\AppData\Local\Temp\OnboardLogs"\RTDC4060\2017-06-06</v>
      </c>
      <c r="AF198" s="77" t="str">
        <f t="shared" si="66"/>
        <v>"C:\Program Files (x86)\AstroGrep\AstroGrep.exe" /e /r /s /spath="%USERPROFILE%\AppData\Local\Temp\OnboardLogs" /stypes="app*4060*20170605*" /stext=" 07:.+((SYSTEM_STATE.+slice.+state.+changed )|(ment ac)|(multiple cpu faults)|(system.+state.+changed )|(\[timeout)|(PRM\|1\|D)|(kpr)|(kdp)|(train st.+moving)|(\|lc)|(penalty))"</v>
      </c>
      <c r="AG198" s="1" t="str">
        <f t="shared" si="67"/>
        <v>Other</v>
      </c>
      <c r="AH198" s="81" t="str">
        <f t="shared" si="69"/>
        <v>"%USERPROFILE%\Documents\GitHub\eaglep3\Utilities\RefineRTDCRunTimes.py" --tripid 309-04 --locoid 4060 --swversion DE.1.0.9.0 --startMP 204:462 --initTime 2017-06-05T01:10:25 --startdatetime 2017-06-05T01:12:38 --delay 1 --endMP 300:23308 --enddatetime 2017-06-05T01:26:12 --enforcementcount 0 &gt;&gt;C:\Users\stu\Documents\GitHub\eaglep3-reporting\EC\2017-06-04-refined-times.txt</v>
      </c>
      <c r="AI198" s="99" t="str">
        <f t="shared" si="70"/>
        <v>echo {"issue":{"subject":"","project_id":79,"tracker_id":40,"status_id":1,"priority_id":2,"assigned_to_id":23,"start_date":"2017-06-05","description":"","custom_fields":[{"id":1,"name":"Subdivision","value":"Other"},{"id":4,"name":"Milepost","value":"2.3308"},{"id":17,"name":"Train ID","value":"309-04"},{"id":16,"name":"Locomotive ID","value":"4060"},{"id":130,"name":"Impact","value":""},{"id":150,"name":"Time of Event (Mountain Time)","value":"01:26:12"},{"id":151,"name":"Denver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1"/>
        <v>start /low /b %USERPROFILE%\Documents\GitHub\eaglep3\Utilities\DownloadLogsFromS3.py --loco 4060 --day 2017-06-05</v>
      </c>
      <c r="AN198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07:26:12"},{"id":29,"name":"Sharepoint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695</v>
      </c>
      <c r="B199" s="7">
        <v>4039</v>
      </c>
      <c r="C199" s="21" t="s">
        <v>204</v>
      </c>
      <c r="D199" s="21" t="s">
        <v>966</v>
      </c>
      <c r="E199" s="13">
        <v>42890.196377314816</v>
      </c>
      <c r="F199" s="13">
        <v>42890.200127314813</v>
      </c>
      <c r="G199" s="7">
        <v>5</v>
      </c>
      <c r="H199" s="21" t="s">
        <v>967</v>
      </c>
      <c r="I199" s="13">
        <v>42890.20239583333</v>
      </c>
      <c r="J199" s="7">
        <v>0</v>
      </c>
      <c r="K199" s="92" t="str">
        <f t="shared" si="55"/>
        <v>4039/4040</v>
      </c>
      <c r="L199" s="21" t="str">
        <f>VLOOKUP(A199,'Trips&amp;Operators'!$C$1:$G$99999,5,FALSE)</f>
        <v>GUZMAN DANNY</v>
      </c>
      <c r="M199" s="6">
        <f t="shared" si="56"/>
        <v>2.268518517666962E-3</v>
      </c>
      <c r="N199" s="7">
        <f t="shared" si="81"/>
        <v>3.2666666654404253</v>
      </c>
      <c r="O199" s="7"/>
      <c r="P199" s="7"/>
      <c r="Q199" s="22"/>
      <c r="R199" s="173"/>
      <c r="S199" s="176">
        <f t="shared" si="57"/>
        <v>0</v>
      </c>
      <c r="T199" s="202" t="str">
        <f t="shared" si="58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203" t="str">
        <f t="shared" si="59"/>
        <v>https://d0f6bd738d7f1b3e5a7ca70fe4ff75f0.us-east-1.aws.found.io/app/kibana#/discover/Steve-Slow-Train-Analysis-(2080s-and-2083s)?_g=(refreshInterval:(display:Off,pause:!f,section:0,value:0),time:(from:'2017-06-04T03:42:47-0600',mode:absolute,to:'2017-06-04T05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204" t="str">
        <f t="shared" si="60"/>
        <v>Y</v>
      </c>
      <c r="X199" s="204">
        <f t="shared" si="82"/>
        <v>1</v>
      </c>
      <c r="Y199" s="204">
        <f t="shared" si="61"/>
        <v>2.4028999999999998</v>
      </c>
      <c r="Z199" s="204">
        <f t="shared" si="62"/>
        <v>1.9194</v>
      </c>
      <c r="AA199" s="204">
        <f t="shared" si="63"/>
        <v>0.48349999999999982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4"/>
        <v>0310-04</v>
      </c>
      <c r="AE199" s="80" t="str">
        <f t="shared" si="65"/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AF199" s="77" t="str">
        <f t="shared" si="66"/>
        <v>"C:\Program Files (x86)\AstroGrep\AstroGrep.exe" /e /r /s /spath="%USERPROFILE%\AppData\Local\Temp\OnboardLogs" /stypes="app*4039*20170604*" /stext=" 10:.+((SYSTEM_STATE.+slice.+state.+changed )|(ment ac)|(multiple cpu faults)|(system.+state.+changed )|(\[timeout)|(PRM\|1\|D)|(kpr)|(kdp)|(train st.+moving)|(\|lc)|(penalty))"</v>
      </c>
      <c r="AG199" s="1" t="str">
        <f t="shared" si="67"/>
        <v>Other</v>
      </c>
      <c r="AH199" s="81" t="str">
        <f t="shared" si="69"/>
        <v>"%USERPROFILE%\Documents\GitHub\eaglep3\Utilities\RefineRTDCRunTimes.py" --tripid 310-04 --locoid 4039 --swversion DE.1.0.9.0 --startMP 300:24029 --initTime 2017-06-04T04:42:47 --startdatetime 2017-06-04T04:48:11 --delay 5 --endMP 300:19194 --enddatetime 2017-06-04T04:51:27 --enforcementcount 0 &gt;&gt;C:\Users\stu\Documents\GitHub\eaglep3-reporting\EC\2017-06-04-refined-times.txt</v>
      </c>
      <c r="AI199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{"issue":{"subject":"","project_id":79,"tracker_id":40,"status_id":1,"priority_id":2,"assigned_to_id":23,"start_date":"2017-06-04","description":"","custom_fields":[{"id":1,"name":"Subdivision","value":"Other"},{"id":4,"name":"Milepost","value":"1.9194"},{"id":17,"name":"Train ID","value":"310-04"},{"id":16,"name":"Locomotive ID","value":"4039"},{"id":130,"name":"Impact","value":""},{"id":150,"name":"Time of Event (Mountain Time)","value":"04:51:27"},{"id":151,"name":"Denver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1"/>
        <v>start /low /b %USERPROFILE%\Documents\GitHub\eaglep3\Utilities\DownloadLogsFromS3.py --loco 4039 --day 2017-06-04</v>
      </c>
      <c r="AN199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596</v>
      </c>
      <c r="B200" s="7">
        <v>4014</v>
      </c>
      <c r="C200" s="21" t="s">
        <v>204</v>
      </c>
      <c r="D200" s="21" t="s">
        <v>355</v>
      </c>
      <c r="E200" s="13">
        <v>42890.08934027778</v>
      </c>
      <c r="F200" s="13">
        <v>42890.090428240743</v>
      </c>
      <c r="G200" s="7">
        <v>1</v>
      </c>
      <c r="H200" s="21" t="s">
        <v>641</v>
      </c>
      <c r="I200" s="13">
        <v>42890.096122685187</v>
      </c>
      <c r="J200" s="7">
        <v>0</v>
      </c>
      <c r="K200" s="92" t="str">
        <f t="shared" si="55"/>
        <v>4013/4014</v>
      </c>
      <c r="L200" s="21" t="str">
        <f>VLOOKUP(A200,'Trips&amp;Operators'!$C$1:$G$99999,5,FALSE)</f>
        <v>FORTUNATO FRANK</v>
      </c>
      <c r="M200" s="6">
        <f t="shared" si="56"/>
        <v>5.694444444088731E-3</v>
      </c>
      <c r="N200" s="7">
        <f t="shared" si="81"/>
        <v>8.1999999994877726</v>
      </c>
      <c r="O200" s="7"/>
      <c r="P200" s="7"/>
      <c r="Q200" s="22"/>
      <c r="R200" s="173"/>
      <c r="S200" s="176">
        <f t="shared" si="57"/>
        <v>1</v>
      </c>
      <c r="T200" s="202" t="str">
        <f t="shared" si="58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9"/>
        <v>https://d0f6bd738d7f1b3e5a7ca70fe4ff75f0.us-east-1.aws.found.io/app/kibana#/discover/Steve-Slow-Train-Analysis-(2080s-and-2083s)?_g=(refreshInterval:(display:Off,pause:!f,section:0,value:0),time:(from:'2017-06-04T01:08:39-0600',mode:absolute,to:'2017-06-04T03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204" t="str">
        <f t="shared" si="60"/>
        <v>Y</v>
      </c>
      <c r="X200" s="204">
        <f t="shared" si="82"/>
        <v>1</v>
      </c>
      <c r="Y200" s="204">
        <f t="shared" si="61"/>
        <v>4.6600000000000003E-2</v>
      </c>
      <c r="Z200" s="204">
        <f t="shared" si="62"/>
        <v>1.3415999999999999</v>
      </c>
      <c r="AA200" s="204">
        <f t="shared" si="63"/>
        <v>1.2949999999999999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4"/>
        <v>0311-03</v>
      </c>
      <c r="AE200" s="80" t="str">
        <f t="shared" si="65"/>
        <v>aws s3 cp s3://rtdc.mdm.uploadarchive.raw/RTDC4014/ "%USERPROFILE%\AppData\Local\Temp\OnboardLogs"\RTDC4014\2017-06-04 --exclude "*" --recursive --include "*20170604*" &amp; "%USERPROFILE%\Documents\GitHub\mrs-test-scripts\Headless Mode &amp; Sideloading\WalkAndUnGZ.bat" "%USERPROFILE%\AppData\Local\Temp\OnboardLogs"\RTDC4014\2017-06-04 &amp; aws s3 cp s3://rtdc.mdm.uploadarchive.raw/RTDC4014/ "%USERPROFILE%\AppData\Local\Temp\OnboardLogs"\RTDC4014\2017-06-05 --exclude "*" --recursive --include "*20170605*" &amp; "%USERPROFILE%\Documents\GitHub\mrs-test-scripts\Headless Mode &amp; Sideloading\WalkAndUnGZ.bat" "%USERPROFILE%\AppData\Local\Temp\OnboardLogs"\RTDC4014\2017-06-05</v>
      </c>
      <c r="AF200" s="77" t="str">
        <f t="shared" si="66"/>
        <v>"C:\Program Files (x86)\AstroGrep\AstroGrep.exe" /e /r /s /spath="%USERPROFILE%\AppData\Local\Temp\OnboardLogs" /stypes="app*4014*20170604*" /stext=" 08:.+((SYSTEM_STATE.+slice.+state.+changed )|(ment ac)|(multiple cpu faults)|(system.+state.+changed )|(\[timeout)|(PRM\|1\|D)|(kpr)|(kdp)|(train st.+moving)|(\|lc)|(penalty))"</v>
      </c>
      <c r="AG200" s="1" t="str">
        <f t="shared" si="67"/>
        <v>Other</v>
      </c>
      <c r="AH200" s="81" t="str">
        <f t="shared" si="69"/>
        <v>"%USERPROFILE%\Documents\GitHub\eaglep3\Utilities\RefineRTDCRunTimes.py" --tripid 311-03 --locoid 4014 --swversion DE.1.0.9.0 --startMP 204:466 --initTime 2017-06-04T02:08:39 --startdatetime 2017-06-04T02:10:13 --delay 1 --endMP 300:13416 --enddatetime 2017-06-04T02:18:25 --enforcementcount 0 &gt;&gt;C:\Users\stu\Documents\GitHub\eaglep3-reporting\EC\2017-06-04-refined-times.txt</v>
      </c>
      <c r="AI200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{"issue":{"subject":"","project_id":79,"tracker_id":40,"status_id":1,"priority_id":2,"assigned_to_id":23,"start_date":"2017-06-04","description":"","custom_fields":[{"id":1,"name":"Subdivision","value":"Other"},{"id":4,"name":"Milepost","value":"1.3416"},{"id":17,"name":"Train ID","value":"311-03"},{"id":16,"name":"Locomotive ID","value":"4014"},{"id":130,"name":"Impact","value":""},{"id":150,"name":"Time of Event (Mountain Time)","value":"02:18:25"},{"id":151,"name":"Denver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1"/>
        <v>start /low /b %USERPROFILE%\Documents\GitHub\eaglep3\Utilities\DownloadLogsFromS3.py --loco 4014 --day 2017-06-04</v>
      </c>
      <c r="AN200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650</v>
      </c>
      <c r="B201" s="7">
        <v>4055</v>
      </c>
      <c r="C201" s="21" t="s">
        <v>204</v>
      </c>
      <c r="D201" s="21" t="s">
        <v>968</v>
      </c>
      <c r="E201" s="13">
        <v>42890.230011574073</v>
      </c>
      <c r="F201" s="13">
        <v>42890.232094907406</v>
      </c>
      <c r="G201" s="7">
        <v>2</v>
      </c>
      <c r="H201" s="21" t="s">
        <v>969</v>
      </c>
      <c r="I201" s="13">
        <v>42890.238229166665</v>
      </c>
      <c r="J201" s="7">
        <v>0</v>
      </c>
      <c r="K201" s="92" t="str">
        <f t="shared" si="55"/>
        <v>4055/4056</v>
      </c>
      <c r="L201" s="21" t="str">
        <f>VLOOKUP(A201,'Trips&amp;Operators'!$C$1:$G$99999,5,FALSE)</f>
        <v>MACDONALD THOMAS</v>
      </c>
      <c r="M201" s="6">
        <f t="shared" si="56"/>
        <v>6.1342592598521151E-3</v>
      </c>
      <c r="N201" s="7">
        <f t="shared" si="81"/>
        <v>8.8333333341870457</v>
      </c>
      <c r="O201" s="7"/>
      <c r="P201" s="7"/>
      <c r="Q201" s="22"/>
      <c r="R201" s="173"/>
      <c r="S201" s="176">
        <f t="shared" si="57"/>
        <v>1</v>
      </c>
      <c r="T201" s="202" t="str">
        <f t="shared" si="58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9"/>
        <v>https://d0f6bd738d7f1b3e5a7ca70fe4ff75f0.us-east-1.aws.found.io/app/kibana#/discover/Steve-Slow-Train-Analysis-(2080s-and-2083s)?_g=(refreshInterval:(display:Off,pause:!f,section:0,value:0),time:(from:'2017-06-04T04:31:13-0600',mode:absolute,to:'2017-06-04T06:43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204" t="str">
        <f t="shared" si="60"/>
        <v>Y</v>
      </c>
      <c r="X201" s="204">
        <f t="shared" si="82"/>
        <v>1</v>
      </c>
      <c r="Y201" s="204">
        <f t="shared" si="61"/>
        <v>2.3473999999999999</v>
      </c>
      <c r="Z201" s="204">
        <f t="shared" si="62"/>
        <v>1.72E-2</v>
      </c>
      <c r="AA201" s="204">
        <f t="shared" si="63"/>
        <v>2.3302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4"/>
        <v>0312-04</v>
      </c>
      <c r="AE201" s="80" t="str">
        <f t="shared" si="65"/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AF201" s="77" t="str">
        <f t="shared" si="66"/>
        <v>"C:\Program Files (x86)\AstroGrep\AstroGrep.exe" /e /r /s /spath="%USERPROFILE%\AppData\Local\Temp\OnboardLogs" /stypes="app*4055*20170604*" /stext=" 11:.+((SYSTEM_STATE.+slice.+state.+changed )|(ment ac)|(multiple cpu faults)|(system.+state.+changed )|(\[timeout)|(PRM\|1\|D)|(kpr)|(kdp)|(train st.+moving)|(\|lc)|(penalty))"</v>
      </c>
      <c r="AG201" s="1" t="str">
        <f t="shared" si="67"/>
        <v>Other</v>
      </c>
      <c r="AH201" s="81" t="str">
        <f t="shared" si="69"/>
        <v>"%USERPROFILE%\Documents\GitHub\eaglep3\Utilities\RefineRTDCRunTimes.py" --tripid 312-04 --locoid 4055 --swversion DE.1.0.9.0 --startMP 300:23474 --initTime 2017-06-04T05:31:13 --startdatetime 2017-06-04T05:34:13 --delay 2 --endMP 204:172 --enddatetime 2017-06-04T05:43:03 --enforcementcount 0 &gt;&gt;C:\Users\stu\Documents\GitHub\eaglep3-reporting\EC\2017-06-04-refined-times.txt</v>
      </c>
      <c r="AI201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{"issue":{"subject":"","project_id":79,"tracker_id":40,"status_id":1,"priority_id":2,"assigned_to_id":23,"start_date":"2017-06-04","description":"","custom_fields":[{"id":1,"name":"Subdivision","value":"Other"},{"id":4,"name":"Milepost","value":"0.0172"},{"id":17,"name":"Train ID","value":"312-04"},{"id":16,"name":"Locomotive ID","value":"4055"},{"id":130,"name":"Impact","value":""},{"id":150,"name":"Time of Event (Mountain Time)","value":"05:43:03"},{"id":151,"name":"Denver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1"/>
        <v>start /low /b %USERPROFILE%\Documents\GitHub\eaglep3\Utilities\DownloadLogsFromS3.py --loco 4055 --day 2017-06-04</v>
      </c>
      <c r="AN201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597</v>
      </c>
      <c r="B202" s="7">
        <v>4008</v>
      </c>
      <c r="C202" s="21" t="s">
        <v>204</v>
      </c>
      <c r="D202" s="21" t="s">
        <v>556</v>
      </c>
      <c r="E202" s="13">
        <v>42890.110509259262</v>
      </c>
      <c r="F202" s="13">
        <v>42890.111689814818</v>
      </c>
      <c r="G202" s="7">
        <v>1</v>
      </c>
      <c r="H202" s="21" t="s">
        <v>642</v>
      </c>
      <c r="I202" s="13">
        <v>42890.113020833334</v>
      </c>
      <c r="J202" s="7">
        <v>0</v>
      </c>
      <c r="K202" s="92" t="str">
        <f t="shared" si="55"/>
        <v>4007/4008</v>
      </c>
      <c r="L202" s="21" t="str">
        <f>VLOOKUP(A202,'Trips&amp;Operators'!$C$1:$G$99999,5,FALSE)</f>
        <v>SULLIVAN BRANDON</v>
      </c>
      <c r="M202" s="6">
        <f t="shared" si="56"/>
        <v>1.3310185167938471E-3</v>
      </c>
      <c r="N202" s="7">
        <f t="shared" si="81"/>
        <v>1.9166666641831398</v>
      </c>
      <c r="O202" s="7"/>
      <c r="P202" s="7"/>
      <c r="Q202" s="22"/>
      <c r="R202" s="173"/>
      <c r="S202" s="176">
        <f t="shared" si="57"/>
        <v>0</v>
      </c>
      <c r="T202" s="202" t="str">
        <f t="shared" si="58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03" t="str">
        <f t="shared" si="59"/>
        <v>https://d0f6bd738d7f1b3e5a7ca70fe4ff75f0.us-east-1.aws.found.io/app/kibana#/discover/Steve-Slow-Train-Analysis-(2080s-and-2083s)?_g=(refreshInterval:(display:Off,pause:!f,section:0,value:0),time:(from:'2017-06-04T01:39:08-0600',mode:absolute,to:'2017-06-04T03:42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204" t="str">
        <f t="shared" si="60"/>
        <v>Y</v>
      </c>
      <c r="X202" s="204">
        <f t="shared" si="82"/>
        <v>1</v>
      </c>
      <c r="Y202" s="204">
        <f t="shared" si="61"/>
        <v>4.8000000000000001E-2</v>
      </c>
      <c r="Z202" s="204">
        <f t="shared" si="62"/>
        <v>0.2419</v>
      </c>
      <c r="AA202" s="204">
        <f t="shared" si="63"/>
        <v>0.19390000000000002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4"/>
        <v>0313-03</v>
      </c>
      <c r="AE202" s="80" t="str">
        <f t="shared" si="65"/>
        <v>aws s3 cp s3://rtdc.mdm.uploadarchive.raw/RTDC4008/ "%USERPROFILE%\AppData\Local\Temp\OnboardLogs"\RTDC4008\2017-06-04 --exclude "*" --recursive --include "*20170604*" &amp; "%USERPROFILE%\Documents\GitHub\mrs-test-scripts\Headless Mode &amp; Sideloading\WalkAndUnGZ.bat" "%USERPROFILE%\AppData\Local\Temp\OnboardLogs"\RTDC4008\2017-06-04 &amp; aws s3 cp s3://rtdc.mdm.uploadarchive.raw/RTDC4008/ "%USERPROFILE%\AppData\Local\Temp\OnboardLogs"\RTDC4008\2017-06-05 --exclude "*" --recursive --include "*20170605*" &amp; "%USERPROFILE%\Documents\GitHub\mrs-test-scripts\Headless Mode &amp; Sideloading\WalkAndUnGZ.bat" "%USERPROFILE%\AppData\Local\Temp\OnboardLogs"\RTDC4008\2017-06-05</v>
      </c>
      <c r="AF202" s="77" t="str">
        <f t="shared" si="66"/>
        <v>"C:\Program Files (x86)\AstroGrep\AstroGrep.exe" /e /r /s /spath="%USERPROFILE%\AppData\Local\Temp\OnboardLogs" /stypes="app*4008*20170604*" /stext=" 08:.+((SYSTEM_STATE.+slice.+state.+changed )|(ment ac)|(multiple cpu faults)|(system.+state.+changed )|(\[timeout)|(PRM\|1\|D)|(kpr)|(kdp)|(train st.+moving)|(\|lc)|(penalty))"</v>
      </c>
      <c r="AG202" s="1" t="str">
        <f t="shared" si="67"/>
        <v>Other</v>
      </c>
      <c r="AH202" s="81" t="str">
        <f t="shared" si="69"/>
        <v>"%USERPROFILE%\Documents\GitHub\eaglep3\Utilities\RefineRTDCRunTimes.py" --tripid 313-03 --locoid 4008 --swversion DE.1.0.9.0 --startMP 204:480 --initTime 2017-06-04T02:39:08 --startdatetime 2017-06-04T02:40:50 --delay 1 --endMP 204:2419 --enddatetime 2017-06-04T02:42:45 --enforcementcount 0 &gt;&gt;C:\Users\stu\Documents\GitHub\eaglep3-reporting\EC\2017-06-04-refined-times.txt</v>
      </c>
      <c r="AI202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{"issue":{"subject":"","project_id":79,"tracker_id":40,"status_id":1,"priority_id":2,"assigned_to_id":23,"start_date":"2017-06-04","description":"","custom_fields":[{"id":1,"name":"Subdivision","value":"Other"},{"id":4,"name":"Milepost","value":"0.2419"},{"id":17,"name":"Train ID","value":"313-03"},{"id":16,"name":"Locomotive ID","value":"4008"},{"id":130,"name":"Impact","value":""},{"id":150,"name":"Time of Event (Mountain Time)","value":"02:42:45"},{"id":151,"name":"Denver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1"/>
        <v>start /low /b %USERPROFILE%\Documents\GitHub\eaglep3\Utilities\DownloadLogsFromS3.py --loco 4008 --day 2017-06-04</v>
      </c>
      <c r="AN202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08:42:45"},{"id":29,"name":"Sharepoint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699</v>
      </c>
      <c r="B203" s="7">
        <v>4050</v>
      </c>
      <c r="C203" s="21" t="s">
        <v>204</v>
      </c>
      <c r="D203" s="21" t="s">
        <v>932</v>
      </c>
      <c r="E203" s="13">
        <v>42890.220023148147</v>
      </c>
      <c r="F203" s="13">
        <v>42890.225231481483</v>
      </c>
      <c r="G203" s="7">
        <v>7</v>
      </c>
      <c r="H203" s="21" t="s">
        <v>567</v>
      </c>
      <c r="I203" s="13">
        <v>42890.231168981481</v>
      </c>
      <c r="J203" s="7">
        <v>0</v>
      </c>
      <c r="K203" s="92" t="str">
        <f t="shared" si="55"/>
        <v>4049/4050</v>
      </c>
      <c r="L203" s="21" t="str">
        <f>VLOOKUP(A203,'Trips&amp;Operators'!$C$1:$G$99999,5,FALSE)</f>
        <v>DAVIDSON DAVID</v>
      </c>
      <c r="M203" s="6">
        <f t="shared" si="56"/>
        <v>5.9374999982537702E-3</v>
      </c>
      <c r="N203" s="7">
        <f t="shared" si="81"/>
        <v>8.549999997485429</v>
      </c>
      <c r="O203" s="7"/>
      <c r="P203" s="7"/>
      <c r="Q203" s="22"/>
      <c r="R203" s="173"/>
      <c r="S203" s="176">
        <f t="shared" si="57"/>
        <v>0</v>
      </c>
      <c r="T203" s="202" t="str">
        <f t="shared" si="58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03" t="str">
        <f t="shared" si="59"/>
        <v>https://d0f6bd738d7f1b3e5a7ca70fe4ff75f0.us-east-1.aws.found.io/app/kibana#/discover/Steve-Slow-Train-Analysis-(2080s-and-2083s)?_g=(refreshInterval:(display:Off,pause:!f,section:0,value:0),time:(from:'2017-06-04T04:16:50-0600',mode:absolute,to:'2017-06-04T06:32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204" t="str">
        <f t="shared" si="60"/>
        <v>Y</v>
      </c>
      <c r="X203" s="204">
        <f t="shared" si="82"/>
        <v>1588</v>
      </c>
      <c r="Y203" s="204">
        <f t="shared" si="61"/>
        <v>2.968</v>
      </c>
      <c r="Z203" s="204">
        <f t="shared" si="62"/>
        <v>5.8958000000000004</v>
      </c>
      <c r="AA203" s="204">
        <f t="shared" si="63"/>
        <v>2.9278000000000004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4"/>
        <v>1901-04</v>
      </c>
      <c r="AE203" s="80" t="str">
        <f t="shared" si="65"/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AF203" s="77" t="str">
        <f t="shared" si="66"/>
        <v>"C:\Program Files (x86)\AstroGrep\AstroGrep.exe" /e /r /s /spath="%USERPROFILE%\AppData\Local\Temp\OnboardLogs" /stypes="app*4050*20170604*" /stext=" 11:.+((SYSTEM_STATE.+slice.+state.+changed )|(ment ac)|(multiple cpu faults)|(system.+state.+changed )|(\[timeout)|(PRM\|1\|D)|(kpr)|(kdp)|(train st.+moving)|(\|lc)|(penalty))"</v>
      </c>
      <c r="AG203" s="1" t="str">
        <f t="shared" si="67"/>
        <v>Other</v>
      </c>
      <c r="AH203" s="81" t="str">
        <f t="shared" si="69"/>
        <v>"%USERPROFILE%\Documents\GitHub\eaglep3\Utilities\RefineRTDCRunTimes.py" --tripid 1901-04 --locoid 4050 --swversion DE.1.0.9.0 --startMP 300:29680 --initTime 2017-06-04T05:16:50 --startdatetime 2017-06-04T05:24:20 --delay 7 --endMP 300:58958 --enddatetime 2017-06-04T05:32:53 --enforcementcount 0 &gt;&gt;C:\Users\stu\Documents\GitHub\eaglep3-reporting\EC\2017-06-04-refined-times.txt</v>
      </c>
      <c r="AI203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{"issue":{"subject":"","project_id":79,"tracker_id":40,"status_id":1,"priority_id":2,"assigned_to_id":23,"start_date":"2017-06-04","description":"","custom_fields":[{"id":1,"name":"Subdivision","value":"Other"},{"id":4,"name":"Milepost","value":"5.8958"},{"id":17,"name":"Train ID","value":"1901-04"},{"id":16,"name":"Locomotive ID","value":"4050"},{"id":130,"name":"Impact","value":""},{"id":150,"name":"Time of Event (Mountain Time)","value":"05:32:53"},{"id":151,"name":"Denver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71"/>
        <v>start /low /b %USERPROFILE%\Documents\GitHub\eaglep3\Utilities\DownloadLogsFromS3.py --loco 4050 --day 2017-06-04</v>
      </c>
      <c r="AN203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11:32:53"},{"id":29,"name":"Sharepoint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768</v>
      </c>
      <c r="B204" s="7">
        <v>4025</v>
      </c>
      <c r="C204" s="21" t="s">
        <v>204</v>
      </c>
      <c r="D204" s="21" t="s">
        <v>970</v>
      </c>
      <c r="E204" s="13">
        <v>42890.528645833336</v>
      </c>
      <c r="F204" s="13">
        <v>42890.530046296299</v>
      </c>
      <c r="G204" s="7">
        <v>1</v>
      </c>
      <c r="H204" s="21" t="s">
        <v>196</v>
      </c>
      <c r="I204" s="13">
        <v>42890.531076388892</v>
      </c>
      <c r="J204" s="7">
        <v>0</v>
      </c>
      <c r="K204" s="92" t="str">
        <f t="shared" si="55"/>
        <v>4025/4026</v>
      </c>
      <c r="L204" s="21" t="str">
        <f>VLOOKUP(A204,'Trips&amp;Operators'!$C$1:$G$99999,5,FALSE)</f>
        <v>ROMERO CHAD</v>
      </c>
      <c r="M204" s="6">
        <f t="shared" si="56"/>
        <v>1.0300925932824612E-3</v>
      </c>
      <c r="N204" s="7">
        <f t="shared" si="81"/>
        <v>1.4833333343267441</v>
      </c>
      <c r="O204" s="7"/>
      <c r="P204" s="7"/>
      <c r="Q204" s="22"/>
      <c r="R204" s="173"/>
      <c r="S204" s="176">
        <f t="shared" si="57"/>
        <v>0</v>
      </c>
      <c r="T204" s="202" t="e">
        <f t="shared" si="58"/>
        <v>#VALUE!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03" t="str">
        <f t="shared" si="59"/>
        <v>https://d0f6bd738d7f1b3e5a7ca70fe4ff75f0.us-east-1.aws.found.io/app/kibana#/discover/Steve-Slow-Train-Analysis-(2080s-and-2083s)?_g=(refreshInterval:(display:Off,pause:!f,section:0,value:0),time:(from:'2017-06-04T11:41:15-0600',mode:absolute,to:'2017-06-04T13:44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4" s="204" t="str">
        <f t="shared" si="60"/>
        <v>Y</v>
      </c>
      <c r="X204" s="204" t="e">
        <f t="shared" si="82"/>
        <v>#VALUE!</v>
      </c>
      <c r="Y204" s="204">
        <f t="shared" si="61"/>
        <v>0.308</v>
      </c>
      <c r="Z204" s="204">
        <f t="shared" si="62"/>
        <v>1.5800000000000002E-2</v>
      </c>
      <c r="AA204" s="204">
        <f t="shared" si="63"/>
        <v>0.29220000000000002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4"/>
        <v>50-04</v>
      </c>
      <c r="AE204" s="80" t="str">
        <f t="shared" si="65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204" s="77" t="str">
        <f t="shared" si="66"/>
        <v>"C:\Program Files (x86)\AstroGrep\AstroGrep.exe" /e /r /s /spath="%USERPROFILE%\AppData\Local\Temp\OnboardLogs" /stypes="app*4025*20170604*" /stext=" 18:.+((SYSTEM_STATE.+slice.+state.+changed )|(ment ac)|(multiple cpu faults)|(system.+state.+changed )|(\[timeout)|(PRM\|1\|D)|(kpr)|(kdp)|(train st.+moving)|(\|lc)|(penalty))"</v>
      </c>
      <c r="AG204" s="1" t="str">
        <f t="shared" si="67"/>
        <v>Other</v>
      </c>
      <c r="AH204" s="81" t="str">
        <f t="shared" si="69"/>
        <v>"%USERPROFILE%\Documents\GitHub\eaglep3\Utilities\RefineRTDCRunTimes.py" --tripid 50-04 --locoid 4025 --swversion DE.1.0.9.0 --startMP 204:3080 --initTime 2017-06-04T12:41:15 --startdatetime 2017-06-04T12:43:16 --delay 1 --endMP 204:158 --enddatetime 2017-06-04T12:44:45 --enforcementcount 0 &gt;&gt;C:\Users\stu\Documents\GitHub\eaglep3-reporting\EC\2017-06-04-refined-times.txt</v>
      </c>
      <c r="AI204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{"issue":{"subject":"","project_id":79,"tracker_id":40,"status_id":1,"priority_id":2,"assigned_to_id":23,"start_date":"2017-06-04","description":"","custom_fields":[{"id":1,"name":"Subdivision","value":"Other"},{"id":4,"name":"Milepost","value":"0.0158"},{"id":17,"name":"Train ID","value":"50-04"},{"id":16,"name":"Locomotive ID","value":"4025"},{"id":130,"name":"Impact","value":""},{"id":150,"name":"Time of Event (Mountain Time)","value":"12:44:45"},{"id":151,"name":"Denver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1"/>
        <v>start /low /b %USERPROFILE%\Documents\GitHub\eaglep3\Utilities\DownloadLogsFromS3.py --loco 4025 --day 2017-06-04</v>
      </c>
      <c r="AN204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18:44:45"},{"id":29,"name":"Sharepoint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768</v>
      </c>
      <c r="B205" s="7">
        <v>4026</v>
      </c>
      <c r="C205" s="21" t="s">
        <v>204</v>
      </c>
      <c r="D205" s="21" t="s">
        <v>971</v>
      </c>
      <c r="E205" s="13">
        <v>42890.525046296294</v>
      </c>
      <c r="F205" s="13">
        <v>42890.530046296299</v>
      </c>
      <c r="G205" s="7">
        <v>2</v>
      </c>
      <c r="H205" s="21" t="s">
        <v>972</v>
      </c>
      <c r="I205" s="13">
        <v>42890.531076388892</v>
      </c>
      <c r="J205" s="7">
        <v>0</v>
      </c>
      <c r="K205" s="92" t="str">
        <f t="shared" ref="K205:K214" si="83">IF(ISEVEN(B205),(B205-1)&amp;"/"&amp;B205,B205&amp;"/"&amp;(B205+1))</f>
        <v>4025/4026</v>
      </c>
      <c r="L205" s="21" t="str">
        <f>VLOOKUP(A205,'Trips&amp;Operators'!$C$1:$G$99999,5,FALSE)</f>
        <v>ROMERO CHAD</v>
      </c>
      <c r="M205" s="6">
        <f t="shared" ref="M205:M214" si="84">I205-F205</f>
        <v>1.0300925932824612E-3</v>
      </c>
      <c r="N205" s="7">
        <f t="shared" si="81"/>
        <v>1.4833333343267441</v>
      </c>
      <c r="O205" s="7"/>
      <c r="P205" s="7"/>
      <c r="Q205" s="22"/>
      <c r="R205" s="173"/>
      <c r="S205" s="176">
        <f t="shared" ref="S205:S214" si="85">SUM(U205:U205)/IF(AG205="EC",12,1)</f>
        <v>0</v>
      </c>
      <c r="T205" s="202" t="e">
        <f t="shared" ref="T205:T214" si="86">IF(ISEVEN(LEFT(AD205,4)),"Southbound","NorthBound")</f>
        <v>#VALUE!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03" t="str">
        <f t="shared" ref="V205:V214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-04T11:36:04-0600',mode:absolute,to:'2017-06-04T13:44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204" t="str">
        <f t="shared" ref="W205:W214" si="88">IF(AA205&lt;IF(AG205="EC",23,5.65),"Y","N")</f>
        <v>Y</v>
      </c>
      <c r="X205" s="204" t="e">
        <f t="shared" si="82"/>
        <v>#VALUE!</v>
      </c>
      <c r="Y205" s="204">
        <f t="shared" ref="Y205:Y214" si="89">RIGHT(D205,LEN(D205)-4)/10000</f>
        <v>0.14810000000000001</v>
      </c>
      <c r="Z205" s="204">
        <f t="shared" ref="Z205:Z214" si="90">RIGHT(H205,LEN(H205)-4)/10000</f>
        <v>0.33979999999999999</v>
      </c>
      <c r="AA205" s="204">
        <f t="shared" ref="AA205:AA268" si="91">ABS(Z205-Y205)</f>
        <v>0.19169999999999998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14" si="92">IF(LEN(A205)=6,"0"&amp;A205,A205)</f>
        <v>50-04</v>
      </c>
      <c r="AE205" s="80" t="str">
        <f t="shared" ref="AE205:AE214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AF205" s="77" t="str">
        <f t="shared" ref="AF205:AF214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/stypes="app*4026*20170604*" /stext=" 18:.+((SYSTEM_STATE.+slice.+state.+changed )|(ment ac)|(multiple cpu faults)|(system.+state.+changed )|(\[timeout)|(PRM\|1\|D)|(kpr)|(kdp)|(train st.+moving)|(\|lc)|(penalty))"</v>
      </c>
      <c r="AG205" s="1" t="str">
        <f t="shared" ref="AG205:AG214" si="95">IFERROR(IF(VALUE(LEFT(AD205,2))&lt;=2,"EC",IF(OR(VALUE(LEFT(AD205,2))=8,VALUE(LEFT(AD205,2))=18),"NW","Other")),"Other")</f>
        <v>Other</v>
      </c>
      <c r="AH205" s="81" t="str">
        <f t="shared" si="69"/>
        <v>"%USERPROFILE%\Documents\GitHub\eaglep3\Utilities\RefineRTDCRunTimes.py" --tripid 50-04 --locoid 4026 --swversion DE.1.0.9.0 --startMP 204:1481 --initTime 2017-06-04T12:36:04 --startdatetime 2017-06-04T12:43:16 --delay 2 --endMP 204:3398 --enddatetime 2017-06-04T12:44:45 --enforcementcount 0 &gt;&gt;C:\Users\stu\Documents\GitHub\eaglep3-reporting\EC\2017-06-04-refined-times.txt</v>
      </c>
      <c r="AI205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{"issue":{"subject":"","project_id":79,"tracker_id":40,"status_id":1,"priority_id":2,"assigned_to_id":23,"start_date":"2017-06-04","description":"","custom_fields":[{"id":1,"name":"Subdivision","value":"Other"},{"id":4,"name":"Milepost","value":"0.3398"},{"id":17,"name":"Train ID","value":"50-04"},{"id":16,"name":"Locomotive ID","value":"4026"},{"id":130,"name":"Impact","value":""},{"id":150,"name":"Time of Event (Mountain Time)","value":"12:44:45"},{"id":151,"name":"Denver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71"/>
        <v>start /low /b %USERPROFILE%\Documents\GitHub\eaglep3\Utilities\DownloadLogsFromS3.py --loco 4026 --day 2017-06-04</v>
      </c>
      <c r="AN205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18:44:45"},{"id":29,"name":"Sharepoint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665</v>
      </c>
      <c r="B206" s="7">
        <v>4009</v>
      </c>
      <c r="C206" s="21" t="s">
        <v>204</v>
      </c>
      <c r="D206" s="21" t="s">
        <v>973</v>
      </c>
      <c r="E206" s="13">
        <v>42890.67224537037</v>
      </c>
      <c r="F206" s="13">
        <v>42890.676261574074</v>
      </c>
      <c r="G206" s="7">
        <v>5</v>
      </c>
      <c r="H206" s="21" t="s">
        <v>974</v>
      </c>
      <c r="I206" s="13">
        <v>42890.681666666664</v>
      </c>
      <c r="J206" s="7">
        <v>0</v>
      </c>
      <c r="K206" s="92" t="str">
        <f t="shared" si="83"/>
        <v>4009/4010</v>
      </c>
      <c r="L206" s="21" t="str">
        <f>VLOOKUP(A206,'Trips&amp;Operators'!$C$1:$G$99999,5,FALSE)</f>
        <v>BADERTSCHER DIANE</v>
      </c>
      <c r="M206" s="6">
        <f t="shared" si="84"/>
        <v>5.4050925900810398E-3</v>
      </c>
      <c r="N206" s="7">
        <f t="shared" si="81"/>
        <v>7.7833333297166973</v>
      </c>
      <c r="O206" s="7"/>
      <c r="P206" s="7"/>
      <c r="Q206" s="22"/>
      <c r="R206" s="173"/>
      <c r="S206" s="176">
        <f t="shared" si="85"/>
        <v>0</v>
      </c>
      <c r="T206" s="202" t="e">
        <f t="shared" si="86"/>
        <v>#VALUE!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03" t="str">
        <f t="shared" si="87"/>
        <v>https://d0f6bd738d7f1b3e5a7ca70fe4ff75f0.us-east-1.aws.found.io/app/kibana#/discover/Steve-Slow-Train-Analysis-(2080s-and-2083s)?_g=(refreshInterval:(display:Off,pause:!f,section:0,value:0),time:(from:'2017-06-04T15:08:02-0600',mode:absolute,to:'2017-06-04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6" s="204" t="str">
        <f t="shared" si="88"/>
        <v>Y</v>
      </c>
      <c r="X206" s="204" t="e">
        <f t="shared" si="82"/>
        <v>#VALUE!</v>
      </c>
      <c r="Y206" s="204">
        <f t="shared" si="89"/>
        <v>2.3027000000000002</v>
      </c>
      <c r="Z206" s="204">
        <f t="shared" si="90"/>
        <v>8.8700000000000001E-2</v>
      </c>
      <c r="AA206" s="204">
        <f t="shared" si="91"/>
        <v>2.2140000000000004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2"/>
        <v>51-04</v>
      </c>
      <c r="AE206" s="80" t="str">
        <f t="shared" si="93"/>
        <v>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 &amp; 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</v>
      </c>
      <c r="AF206" s="77" t="str">
        <f t="shared" si="94"/>
        <v>"C:\Program Files (x86)\AstroGrep\AstroGrep.exe" /e /r /s /spath="%USERPROFILE%\AppData\Local\Temp\OnboardLogs" /stypes="app*4009*20170604*" /stext=" 22:.+((SYSTEM_STATE.+slice.+state.+changed )|(ment ac)|(multiple cpu faults)|(system.+state.+changed )|(\[timeout)|(PRM\|1\|D)|(kpr)|(kdp)|(train st.+moving)|(\|lc)|(penalty))"</v>
      </c>
      <c r="AG206" s="1" t="str">
        <f t="shared" si="95"/>
        <v>Other</v>
      </c>
      <c r="AH206" s="81" t="str">
        <f t="shared" si="69"/>
        <v>"%USERPROFILE%\Documents\GitHub\eaglep3\Utilities\RefineRTDCRunTimes.py" --tripid 51-04 --locoid 4009 --swversion DE.1.0.9.0 --startMP 300:23027 --initTime 2017-06-04T16:08:02 --startdatetime 2017-06-04T16:13:49 --delay 5 --endMP 204:887 --enddatetime 2017-06-04T16:21:36 --enforcementcount 0 &gt;&gt;C:\Users\stu\Documents\GitHub\eaglep3-reporting\EC\2017-06-04-refined-times.txt</v>
      </c>
      <c r="AI206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{"issue":{"subject":"","project_id":79,"tracker_id":40,"status_id":1,"priority_id":2,"assigned_to_id":23,"start_date":"2017-06-04","description":"","custom_fields":[{"id":1,"name":"Subdivision","value":"Other"},{"id":4,"name":"Milepost","value":"0.0887"},{"id":17,"name":"Train ID","value":"51-04"},{"id":16,"name":"Locomotive ID","value":"4009"},{"id":130,"name":"Impact","value":""},{"id":150,"name":"Time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1"/>
        <v>start /low /b %USERPROFILE%\Documents\GitHub\eaglep3\Utilities\DownloadLogsFromS3.py --loco 4009 --day 2017-06-04</v>
      </c>
      <c r="AN206" s="154" t="str">
        <f t="shared" si="72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665</v>
      </c>
      <c r="B207" s="7">
        <v>4009</v>
      </c>
      <c r="C207" s="21" t="s">
        <v>204</v>
      </c>
      <c r="D207" s="21" t="s">
        <v>975</v>
      </c>
      <c r="E207" s="13">
        <v>42890.765162037038</v>
      </c>
      <c r="F207" s="13">
        <v>42890.767094907409</v>
      </c>
      <c r="G207" s="7">
        <v>1</v>
      </c>
      <c r="H207" s="21" t="s">
        <v>976</v>
      </c>
      <c r="I207" s="13">
        <v>42890.769178240742</v>
      </c>
      <c r="J207" s="7">
        <v>0</v>
      </c>
      <c r="K207" s="92" t="str">
        <f t="shared" si="83"/>
        <v>4009/4010</v>
      </c>
      <c r="L207" s="21" t="str">
        <f>VLOOKUP(A207,'Trips&amp;Operators'!$C$1:$G$99999,5,FALSE)</f>
        <v>BADERTSCHER DIANE</v>
      </c>
      <c r="M207" s="6">
        <f t="shared" si="84"/>
        <v>2.0833333328482695E-3</v>
      </c>
      <c r="N207" s="7">
        <f t="shared" si="81"/>
        <v>2.9999999993015081</v>
      </c>
      <c r="O207" s="7"/>
      <c r="P207" s="7"/>
      <c r="Q207" s="22"/>
      <c r="R207" s="173"/>
      <c r="S207" s="176">
        <f t="shared" si="85"/>
        <v>0</v>
      </c>
      <c r="T207" s="202" t="e">
        <f t="shared" si="86"/>
        <v>#VALUE!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03" t="str">
        <f t="shared" si="87"/>
        <v>https://d0f6bd738d7f1b3e5a7ca70fe4ff75f0.us-east-1.aws.found.io/app/kibana#/discover/Steve-Slow-Train-Analysis-(2080s-and-2083s)?_g=(refreshInterval:(display:Off,pause:!f,section:0,value:0),time:(from:'2017-06-04T17:21:50-0600',mode:absolute,to:'2017-06-04T19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204" t="str">
        <f t="shared" si="88"/>
        <v>Y</v>
      </c>
      <c r="X207" s="204" t="e">
        <f t="shared" si="82"/>
        <v>#VALUE!</v>
      </c>
      <c r="Y207" s="204">
        <f t="shared" si="89"/>
        <v>0.53190000000000004</v>
      </c>
      <c r="Z207" s="204">
        <f t="shared" si="90"/>
        <v>9.11E-2</v>
      </c>
      <c r="AA207" s="204">
        <f t="shared" si="91"/>
        <v>0.44080000000000003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2"/>
        <v>51-04</v>
      </c>
      <c r="AE207" s="80" t="str">
        <f t="shared" si="93"/>
        <v>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 &amp; 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</v>
      </c>
      <c r="AF207" s="77" t="str">
        <f t="shared" si="94"/>
        <v>"C:\Program Files (x86)\AstroGrep\AstroGrep.exe" /e /r /s /spath="%USERPROFILE%\AppData\Local\Temp\OnboardLogs" /stypes="app*4009*20170605*" /stext=" 00:.+((SYSTEM_STATE.+slice.+state.+changed )|(ment ac)|(multiple cpu faults)|(system.+state.+changed )|(\[timeout)|(PRM\|1\|D)|(kpr)|(kdp)|(train st.+moving)|(\|lc)|(penalty))"</v>
      </c>
      <c r="AG207" s="1" t="str">
        <f t="shared" si="95"/>
        <v>Other</v>
      </c>
      <c r="AH207" s="81" t="str">
        <f t="shared" si="69"/>
        <v>"%USERPROFILE%\Documents\GitHub\eaglep3\Utilities\RefineRTDCRunTimes.py" --tripid 51-04 --locoid 4009 --swversion DE.1.0.9.0 --startMP 300:5319 --initTime 2017-06-04T18:21:50 --startdatetime 2017-06-04T18:24:37 --delay 1 --endMP 204:911 --enddatetime 2017-06-04T18:27:37 --enforcementcount 0 &gt;&gt;C:\Users\stu\Documents\GitHub\eaglep3-reporting\EC\2017-06-04-refined-times.txt</v>
      </c>
      <c r="AI207" s="99" t="str">
        <f t="shared" si="70"/>
        <v>echo {"issue":{"subject":"","project_id":79,"tracker_id":40,"status_id":1,"priority_id":2,"assigned_to_id":23,"start_date":"2017-06-04","description":"","custom_fields":[{"id":1,"name":"Subdivision","value":"Other"},{"id":4,"name":"Milepost","value":"0.0911"},{"id":17,"name":"Train ID","value":"51-04"},{"id":16,"name":"Locomotive ID","value":"4009"},{"id":130,"name":"Impact","value":""},{"id":150,"name":"Time of Event (Mountain Time)","value":"18:27:37"},{"id":151,"name":"Denver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1"/>
        <v>start /low /b %USERPROFILE%\Documents\GitHub\eaglep3\Utilities\DownloadLogsFromS3.py --loco 4009 --day 2017-06-04</v>
      </c>
      <c r="AN207" s="154" t="str">
        <f t="shared" si="72"/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665</v>
      </c>
      <c r="B208" s="7">
        <v>4010</v>
      </c>
      <c r="C208" s="21" t="s">
        <v>204</v>
      </c>
      <c r="D208" s="21" t="s">
        <v>977</v>
      </c>
      <c r="E208" s="13">
        <v>42890.759664351855</v>
      </c>
      <c r="F208" s="13">
        <v>42890.767094907409</v>
      </c>
      <c r="G208" s="7">
        <v>1</v>
      </c>
      <c r="H208" s="21" t="s">
        <v>978</v>
      </c>
      <c r="I208" s="13">
        <v>42890.769178240742</v>
      </c>
      <c r="J208" s="7">
        <v>0</v>
      </c>
      <c r="K208" s="92" t="str">
        <f t="shared" si="83"/>
        <v>4009/4010</v>
      </c>
      <c r="L208" s="21" t="str">
        <f>VLOOKUP(A208,'Trips&amp;Operators'!$C$1:$G$99999,5,FALSE)</f>
        <v>BADERTSCHER DIANE</v>
      </c>
      <c r="M208" s="6">
        <f t="shared" si="84"/>
        <v>2.0833333328482695E-3</v>
      </c>
      <c r="N208" s="7">
        <f t="shared" si="81"/>
        <v>2.9999999993015081</v>
      </c>
      <c r="O208" s="7"/>
      <c r="P208" s="7"/>
      <c r="Q208" s="22"/>
      <c r="R208" s="173"/>
      <c r="S208" s="176">
        <f t="shared" si="85"/>
        <v>0</v>
      </c>
      <c r="T208" s="202" t="e">
        <f t="shared" si="86"/>
        <v>#VALUE!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03" t="str">
        <f t="shared" si="87"/>
        <v>https://d0f6bd738d7f1b3e5a7ca70fe4ff75f0.us-east-1.aws.found.io/app/kibana#/discover/Steve-Slow-Train-Analysis-(2080s-and-2083s)?_g=(refreshInterval:(display:Off,pause:!f,section:0,value:0),time:(from:'2017-06-04T17:13:55-0600',mode:absolute,to:'2017-06-04T19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8" s="204" t="str">
        <f t="shared" si="88"/>
        <v>Y</v>
      </c>
      <c r="X208" s="204" t="e">
        <f t="shared" si="82"/>
        <v>#VALUE!</v>
      </c>
      <c r="Y208" s="204">
        <f t="shared" si="89"/>
        <v>0.1192</v>
      </c>
      <c r="Z208" s="204">
        <f t="shared" si="90"/>
        <v>0.55520000000000003</v>
      </c>
      <c r="AA208" s="204">
        <f t="shared" si="91"/>
        <v>0.43600000000000005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2"/>
        <v>51-04</v>
      </c>
      <c r="AE208" s="80" t="str">
        <f t="shared" si="93"/>
        <v>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 &amp; 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</v>
      </c>
      <c r="AF208" s="77" t="str">
        <f t="shared" si="94"/>
        <v>"C:\Program Files (x86)\AstroGrep\AstroGrep.exe" /e /r /s /spath="%USERPROFILE%\AppData\Local\Temp\OnboardLogs" /stypes="app*4010*20170605*" /stext=" 00:.+((SYSTEM_STATE.+slice.+state.+changed )|(ment ac)|(multiple cpu faults)|(system.+state.+changed )|(\[timeout)|(PRM\|1\|D)|(kpr)|(kdp)|(train st.+moving)|(\|lc)|(penalty))"</v>
      </c>
      <c r="AG208" s="1" t="str">
        <f t="shared" si="95"/>
        <v>Other</v>
      </c>
      <c r="AH208" s="81" t="str">
        <f t="shared" ref="AH208:AH214" si="9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51-04 --locoid 4010 --swversion DE.1.0.9.0 --startMP 204:1192 --initTime 2017-06-04T18:13:55 --startdatetime 2017-06-04T18:24:37 --delay 1 --endMP 300:5552 --enddatetime 2017-06-04T18:27:37 --enforcementcount 0 &gt;&gt;C:\Users\stu\Documents\GitHub\eaglep3-reporting\EC\2017-06-04-refined-times.txt</v>
      </c>
      <c r="AI208" s="99" t="str">
        <f t="shared" ref="AI208:AI214" si="9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{"issue":{"subject":"","project_id":79,"tracker_id":40,"status_id":1,"priority_id":2,"assigned_to_id":23,"start_date":"2017-06-04","description":"","custom_fields":[{"id":1,"name":"Subdivision","value":"Other"},{"id":4,"name":"Milepost","value":"0.5552"},{"id":17,"name":"Train ID","value":"51-04"},{"id":16,"name":"Locomotive ID","value":"4010"},{"id":130,"name":"Impact","value":""},{"id":150,"name":"Time of Event (Mountain Time)","value":"18:27:37"},{"id":151,"name":"Denver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ref="AM208:AM214" si="98">"start /low /b "&amp;dls3logs&amp;" --loco "&amp;B208&amp;" --day "&amp;TEXT(F208,"YYYY-MM-DD")</f>
        <v>start /low /b %USERPROFILE%\Documents\GitHub\eaglep3\Utilities\DownloadLogsFromS3.py --loco 4010 --day 2017-06-04</v>
      </c>
      <c r="AN208" s="154" t="str">
        <f t="shared" ref="AN208:AN214" si="99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UTC","value":"2017-06-05 00:27:37"},{"id":29,"name":"Sharepoint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746</v>
      </c>
      <c r="B209" s="7">
        <v>4010</v>
      </c>
      <c r="C209" s="21" t="s">
        <v>204</v>
      </c>
      <c r="D209" s="21" t="s">
        <v>979</v>
      </c>
      <c r="E209" s="13">
        <v>42890.430127314816</v>
      </c>
      <c r="F209" s="13">
        <v>42890.431562500002</v>
      </c>
      <c r="G209" s="7">
        <v>1</v>
      </c>
      <c r="H209" s="21" t="s">
        <v>980</v>
      </c>
      <c r="I209" s="13">
        <v>42890.434074074074</v>
      </c>
      <c r="J209" s="7">
        <v>0</v>
      </c>
      <c r="K209" s="92" t="str">
        <f t="shared" si="83"/>
        <v>4009/4010</v>
      </c>
      <c r="L209" s="21" t="str">
        <f>VLOOKUP(A209,'Trips&amp;Operators'!$C$1:$G$99999,5,FALSE)</f>
        <v>ROBINSON KADDIBA</v>
      </c>
      <c r="M209" s="6">
        <f t="shared" si="84"/>
        <v>2.5115740718320012E-3</v>
      </c>
      <c r="N209" s="7">
        <f t="shared" si="81"/>
        <v>3.6166666634380817</v>
      </c>
      <c r="O209" s="7"/>
      <c r="P209" s="7"/>
      <c r="Q209" s="22"/>
      <c r="R209" s="173"/>
      <c r="S209" s="176">
        <f t="shared" si="85"/>
        <v>0</v>
      </c>
      <c r="T209" s="202" t="e">
        <f t="shared" si="86"/>
        <v>#VALUE!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03" t="str">
        <f t="shared" si="87"/>
        <v>https://d0f6bd738d7f1b3e5a7ca70fe4ff75f0.us-east-1.aws.found.io/app/kibana#/discover/Steve-Slow-Train-Analysis-(2080s-and-2083s)?_g=(refreshInterval:(display:Off,pause:!f,section:0,value:0),time:(from:'2017-06-04T09:19:23-0600',mode:absolute,to:'2017-06-04T11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9" s="204" t="str">
        <f t="shared" si="88"/>
        <v>Y</v>
      </c>
      <c r="X209" s="204" t="e">
        <f t="shared" si="82"/>
        <v>#VALUE!</v>
      </c>
      <c r="Y209" s="204">
        <f t="shared" si="89"/>
        <v>2.2147000000000001</v>
      </c>
      <c r="Z209" s="204">
        <f t="shared" si="90"/>
        <v>2.5442</v>
      </c>
      <c r="AA209" s="204">
        <f t="shared" si="91"/>
        <v>0.3294999999999999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2"/>
        <v>54-04</v>
      </c>
      <c r="AE209" s="80" t="str">
        <f t="shared" si="93"/>
        <v>aws s3 cp s3://rtdc.mdm.uploadarchive.raw/RTDC4010/ "%USERPROFILE%\AppData\Local\Temp\OnboardLogs"\RTDC4010\2017-06-04 --exclude "*" --recursive --include "*20170604*" &amp; "%USERPROFILE%\Documents\GitHub\mrs-test-scripts\Headless Mode &amp; Sideloading\WalkAndUnGZ.bat" "%USERPROFILE%\AppData\Local\Temp\OnboardLogs"\RTDC4010\2017-06-04 &amp; aws s3 cp s3://rtdc.mdm.uploadarchive.raw/RTDC4010/ "%USERPROFILE%\AppData\Local\Temp\OnboardLogs"\RTDC4010\2017-06-05 --exclude "*" --recursive --include "*20170605*" &amp; "%USERPROFILE%\Documents\GitHub\mrs-test-scripts\Headless Mode &amp; Sideloading\WalkAndUnGZ.bat" "%USERPROFILE%\AppData\Local\Temp\OnboardLogs"\RTDC4010\2017-06-05</v>
      </c>
      <c r="AF209" s="77" t="str">
        <f t="shared" si="94"/>
        <v>"C:\Program Files (x86)\AstroGrep\AstroGrep.exe" /e /r /s /spath="%USERPROFILE%\AppData\Local\Temp\OnboardLogs" /stypes="app*4010*20170604*" /stext=" 16:.+((SYSTEM_STATE.+slice.+state.+changed )|(ment ac)|(multiple cpu faults)|(system.+state.+changed )|(\[timeout)|(PRM\|1\|D)|(kpr)|(kdp)|(train st.+moving)|(\|lc)|(penalty))"</v>
      </c>
      <c r="AG209" s="1" t="str">
        <f t="shared" si="95"/>
        <v>Other</v>
      </c>
      <c r="AH209" s="81" t="str">
        <f t="shared" si="96"/>
        <v>"%USERPROFILE%\Documents\GitHub\eaglep3\Utilities\RefineRTDCRunTimes.py" --tripid 54-04 --locoid 4010 --swversion DE.1.0.9.0 --startMP 300:22147 --initTime 2017-06-04T10:19:23 --startdatetime 2017-06-04T10:21:27 --delay 1 --endMP 300:25442 --enddatetime 2017-06-04T10:25:04 --enforcementcount 0 &gt;&gt;C:\Users\stu\Documents\GitHub\eaglep3-reporting\EC\2017-06-04-refined-times.txt</v>
      </c>
      <c r="AI209" s="99" t="str">
        <f t="shared" si="97"/>
        <v>echo {"issue":{"subject":"","project_id":79,"tracker_id":40,"status_id":1,"priority_id":2,"assigned_to_id":23,"start_date":"2017-06-04","description":"","custom_fields":[{"id":1,"name":"Subdivision","value":"Other"},{"id":4,"name":"Milepost","value":"2.5442"},{"id":17,"name":"Train ID","value":"54-04"},{"id":16,"name":"Locomotive ID","value":"4010"},{"id":130,"name":"Impact","value":""},{"id":150,"name":"Time of Event (Mountain Time)","value":"10:25:04"},{"id":151,"name":"Denver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8"/>
        <v>start /low /b %USERPROFILE%\Documents\GitHub\eaglep3\Utilities\DownloadLogsFromS3.py --loco 4010 --day 2017-06-04</v>
      </c>
      <c r="AN209" s="154" t="str">
        <f t="shared" si="99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16:25:04"},{"id":29,"name":"Sharepoint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703</v>
      </c>
      <c r="B210" s="7">
        <v>4025</v>
      </c>
      <c r="C210" s="21" t="s">
        <v>204</v>
      </c>
      <c r="D210" s="21" t="s">
        <v>981</v>
      </c>
      <c r="E210" s="13">
        <v>42890.259050925924</v>
      </c>
      <c r="F210" s="13">
        <v>42890.262650462966</v>
      </c>
      <c r="G210" s="7">
        <v>5</v>
      </c>
      <c r="H210" s="21" t="s">
        <v>982</v>
      </c>
      <c r="I210" s="13">
        <v>42890.26834490741</v>
      </c>
      <c r="J210" s="7">
        <v>0</v>
      </c>
      <c r="K210" s="92" t="str">
        <f t="shared" si="83"/>
        <v>4025/4026</v>
      </c>
      <c r="L210" s="21" t="str">
        <f>VLOOKUP(A210,'Trips&amp;Operators'!$C$1:$G$99999,5,FALSE)</f>
        <v>DE LA ROSA ALEX</v>
      </c>
      <c r="M210" s="6">
        <f t="shared" si="84"/>
        <v>5.694444444088731E-3</v>
      </c>
      <c r="N210" s="7">
        <f t="shared" si="81"/>
        <v>8.1999999994877726</v>
      </c>
      <c r="O210" s="7"/>
      <c r="P210" s="7"/>
      <c r="Q210" s="22"/>
      <c r="R210" s="173"/>
      <c r="S210" s="176">
        <f t="shared" si="85"/>
        <v>0</v>
      </c>
      <c r="T210" s="202" t="e">
        <f t="shared" si="86"/>
        <v>#VALUE!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03" t="str">
        <f t="shared" si="87"/>
        <v>https://d0f6bd738d7f1b3e5a7ca70fe4ff75f0.us-east-1.aws.found.io/app/kibana#/discover/Steve-Slow-Train-Analysis-(2080s-and-2083s)?_g=(refreshInterval:(display:Off,pause:!f,section:0,value:0),time:(from:'2017-06-04T05:13:02-0600',mode:absolute,to:'2017-06-04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204" t="str">
        <f t="shared" si="88"/>
        <v>Y</v>
      </c>
      <c r="X210" s="204" t="e">
        <f t="shared" si="82"/>
        <v>#VALUE!</v>
      </c>
      <c r="Y210" s="204">
        <f t="shared" si="89"/>
        <v>2.2197</v>
      </c>
      <c r="Z210" s="204">
        <f t="shared" si="90"/>
        <v>0.1171</v>
      </c>
      <c r="AA210" s="204">
        <f t="shared" si="91"/>
        <v>2.1025999999999998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2"/>
        <v>56-04</v>
      </c>
      <c r="AE210" s="80" t="str">
        <f t="shared" si="93"/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AF210" s="77" t="str">
        <f t="shared" si="94"/>
        <v>"C:\Program Files (x86)\AstroGrep\AstroGrep.exe" /e /r /s /spath="%USERPROFILE%\AppData\Local\Temp\OnboardLogs" /stypes="app*4025*20170604*" /stext=" 12:.+((SYSTEM_STATE.+slice.+state.+changed )|(ment ac)|(multiple cpu faults)|(system.+state.+changed )|(\[timeout)|(PRM\|1\|D)|(kpr)|(kdp)|(train st.+moving)|(\|lc)|(penalty))"</v>
      </c>
      <c r="AG210" s="1" t="str">
        <f t="shared" si="95"/>
        <v>Other</v>
      </c>
      <c r="AH210" s="81" t="str">
        <f t="shared" si="96"/>
        <v>"%USERPROFILE%\Documents\GitHub\eaglep3\Utilities\RefineRTDCRunTimes.py" --tripid 56-04 --locoid 4025 --swversion DE.1.0.9.0 --startMP 300:22197 --initTime 2017-06-04T06:13:02 --startdatetime 2017-06-04T06:18:13 --delay 5 --endMP 204:1171 --enddatetime 2017-06-04T06:26:25 --enforcementcount 0 &gt;&gt;C:\Users\stu\Documents\GitHub\eaglep3-reporting\EC\2017-06-04-refined-times.txt</v>
      </c>
      <c r="AI210" s="99" t="str">
        <f t="shared" si="97"/>
        <v>echo {"issue":{"subject":"","project_id":79,"tracker_id":40,"status_id":1,"priority_id":2,"assigned_to_id":23,"start_date":"2017-06-04","description":"","custom_fields":[{"id":1,"name":"Subdivision","value":"Other"},{"id":4,"name":"Milepost","value":"0.1171"},{"id":17,"name":"Train ID","value":"56-04"},{"id":16,"name":"Locomotive ID","value":"4025"},{"id":130,"name":"Impact","value":""},{"id":150,"name":"Time of Event (Mountain Time)","value":"06:26:25"},{"id":151,"name":"Denver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8"/>
        <v>start /low /b %USERPROFILE%\Documents\GitHub\eaglep3\Utilities\DownloadLogsFromS3.py --loco 4025 --day 2017-06-04</v>
      </c>
      <c r="AN210" s="154" t="str">
        <f t="shared" si="99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703</v>
      </c>
      <c r="B211" s="7">
        <v>4043</v>
      </c>
      <c r="C211" s="21" t="s">
        <v>204</v>
      </c>
      <c r="D211" s="21" t="s">
        <v>983</v>
      </c>
      <c r="E211" s="13">
        <v>42890.241898148146</v>
      </c>
      <c r="F211" s="13">
        <v>42890.262650462966</v>
      </c>
      <c r="G211" s="7">
        <v>3</v>
      </c>
      <c r="H211" s="21" t="s">
        <v>984</v>
      </c>
      <c r="I211" s="13">
        <v>42890.26834490741</v>
      </c>
      <c r="J211" s="7">
        <v>0</v>
      </c>
      <c r="K211" s="92" t="str">
        <f t="shared" si="83"/>
        <v>4043/4044</v>
      </c>
      <c r="L211" s="21" t="str">
        <f>VLOOKUP(A211,'Trips&amp;Operators'!$C$1:$G$99999,5,FALSE)</f>
        <v>DE LA ROSA ALEX</v>
      </c>
      <c r="M211" s="6">
        <f t="shared" si="84"/>
        <v>5.694444444088731E-3</v>
      </c>
      <c r="N211" s="7">
        <f t="shared" si="81"/>
        <v>8.1999999994877726</v>
      </c>
      <c r="O211" s="7"/>
      <c r="P211" s="7"/>
      <c r="Q211" s="22"/>
      <c r="R211" s="173"/>
      <c r="S211" s="176">
        <f t="shared" si="85"/>
        <v>0</v>
      </c>
      <c r="T211" s="202" t="e">
        <f t="shared" si="86"/>
        <v>#VALUE!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3" t="str">
        <f t="shared" si="87"/>
        <v>https://d0f6bd738d7f1b3e5a7ca70fe4ff75f0.us-east-1.aws.found.io/app/kibana#/discover/Steve-Slow-Train-Analysis-(2080s-and-2083s)?_g=(refreshInterval:(display:Off,pause:!f,section:0,value:0),time:(from:'2017-06-04T04:48:20-0600',mode:absolute,to:'2017-06-04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1" s="204" t="str">
        <f t="shared" si="88"/>
        <v>Y</v>
      </c>
      <c r="X211" s="204" t="e">
        <f t="shared" si="82"/>
        <v>#VALUE!</v>
      </c>
      <c r="Y211" s="204">
        <f t="shared" si="89"/>
        <v>2.34</v>
      </c>
      <c r="Z211" s="204">
        <f t="shared" si="90"/>
        <v>1.4793000000000001</v>
      </c>
      <c r="AA211" s="204">
        <f t="shared" si="91"/>
        <v>0.8606999999999998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2"/>
        <v>56-04</v>
      </c>
      <c r="AE211" s="80" t="str">
        <f t="shared" si="93"/>
        <v>aws s3 cp s3://rtdc.mdm.uploadarchive.raw/RTDC4043/ "%USERPROFILE%\AppData\Local\Temp\OnboardLogs"\RTDC4043\2017-06-04 --exclude "*" --recursive --include "*20170604*" &amp; "%USERPROFILE%\Documents\GitHub\mrs-test-scripts\Headless Mode &amp; Sideloading\WalkAndUnGZ.bat" "%USERPROFILE%\AppData\Local\Temp\OnboardLogs"\RTDC4043\2017-06-04 &amp; aws s3 cp s3://rtdc.mdm.uploadarchive.raw/RTDC4043/ "%USERPROFILE%\AppData\Local\Temp\OnboardLogs"\RTDC4043\2017-06-05 --exclude "*" --recursive --include "*20170605*" &amp; "%USERPROFILE%\Documents\GitHub\mrs-test-scripts\Headless Mode &amp; Sideloading\WalkAndUnGZ.bat" "%USERPROFILE%\AppData\Local\Temp\OnboardLogs"\RTDC4043\2017-06-05</v>
      </c>
      <c r="AF211" s="77" t="str">
        <f t="shared" si="94"/>
        <v>"C:\Program Files (x86)\AstroGrep\AstroGrep.exe" /e /r /s /spath="%USERPROFILE%\AppData\Local\Temp\OnboardLogs" /stypes="app*4043*20170604*" /stext=" 12:.+((SYSTEM_STATE.+slice.+state.+changed )|(ment ac)|(multiple cpu faults)|(system.+state.+changed )|(\[timeout)|(PRM\|1\|D)|(kpr)|(kdp)|(train st.+moving)|(\|lc)|(penalty))"</v>
      </c>
      <c r="AG211" s="1" t="str">
        <f t="shared" si="95"/>
        <v>Other</v>
      </c>
      <c r="AH211" s="81" t="str">
        <f t="shared" si="96"/>
        <v>"%USERPROFILE%\Documents\GitHub\eaglep3\Utilities\RefineRTDCRunTimes.py" --tripid 56-04 --locoid 4043 --swversion DE.1.0.9.0 --startMP 300:23400 --initTime 2017-06-04T05:48:20 --startdatetime 2017-06-04T06:18:13 --delay 3 --endMP 300:14793 --enddatetime 2017-06-04T06:26:25 --enforcementcount 0 &gt;&gt;C:\Users\stu\Documents\GitHub\eaglep3-reporting\EC\2017-06-04-refined-times.txt</v>
      </c>
      <c r="AI211" s="99" t="str">
        <f t="shared" si="97"/>
        <v>echo {"issue":{"subject":"","project_id":79,"tracker_id":40,"status_id":1,"priority_id":2,"assigned_to_id":23,"start_date":"2017-06-04","description":"","custom_fields":[{"id":1,"name":"Subdivision","value":"Other"},{"id":4,"name":"Milepost","value":"1.4793"},{"id":17,"name":"Train ID","value":"56-04"},{"id":16,"name":"Locomotive ID","value":"4043"},{"id":130,"name":"Impact","value":""},{"id":150,"name":"Time of Event (Mountain Time)","value":"06:26:25"},{"id":151,"name":"Denver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8"/>
        <v>start /low /b %USERPROFILE%\Documents\GitHub\eaglep3\Utilities\DownloadLogsFromS3.py --loco 4043 --day 2017-06-04</v>
      </c>
      <c r="AN211" s="154" t="str">
        <f t="shared" si="99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703</v>
      </c>
      <c r="B212" s="7">
        <v>4044</v>
      </c>
      <c r="C212" s="21" t="s">
        <v>204</v>
      </c>
      <c r="D212" s="21" t="s">
        <v>985</v>
      </c>
      <c r="E212" s="13">
        <v>42890.248715277776</v>
      </c>
      <c r="F212" s="13">
        <v>42890.262650462966</v>
      </c>
      <c r="G212" s="7">
        <v>1</v>
      </c>
      <c r="H212" s="21" t="s">
        <v>986</v>
      </c>
      <c r="I212" s="13">
        <v>42890.26834490741</v>
      </c>
      <c r="J212" s="7">
        <v>0</v>
      </c>
      <c r="K212" s="92" t="str">
        <f t="shared" si="83"/>
        <v>4043/4044</v>
      </c>
      <c r="L212" s="21" t="str">
        <f>VLOOKUP(A212,'Trips&amp;Operators'!$C$1:$G$99999,5,FALSE)</f>
        <v>DE LA ROSA ALEX</v>
      </c>
      <c r="M212" s="6">
        <f t="shared" si="84"/>
        <v>5.694444444088731E-3</v>
      </c>
      <c r="N212" s="7">
        <f t="shared" si="81"/>
        <v>8.1999999994877726</v>
      </c>
      <c r="O212" s="7"/>
      <c r="P212" s="7"/>
      <c r="Q212" s="22"/>
      <c r="R212" s="173"/>
      <c r="S212" s="176">
        <f t="shared" si="85"/>
        <v>0</v>
      </c>
      <c r="T212" s="202" t="e">
        <f t="shared" si="86"/>
        <v>#VALUE!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3" t="str">
        <f t="shared" si="87"/>
        <v>https://d0f6bd738d7f1b3e5a7ca70fe4ff75f0.us-east-1.aws.found.io/app/kibana#/discover/Steve-Slow-Train-Analysis-(2080s-and-2083s)?_g=(refreshInterval:(display:Off,pause:!f,section:0,value:0),time:(from:'2017-06-04T04:58:09-0600',mode:absolute,to:'2017-06-04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204" t="str">
        <f t="shared" si="88"/>
        <v>Y</v>
      </c>
      <c r="X212" s="204" t="e">
        <f t="shared" si="82"/>
        <v>#VALUE!</v>
      </c>
      <c r="Y212" s="204">
        <f t="shared" si="89"/>
        <v>1.5105999999999999</v>
      </c>
      <c r="Z212" s="204">
        <f t="shared" si="90"/>
        <v>2.4218000000000002</v>
      </c>
      <c r="AA212" s="204">
        <f t="shared" si="91"/>
        <v>0.91120000000000023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2"/>
        <v>56-04</v>
      </c>
      <c r="AE212" s="80" t="str">
        <f t="shared" si="93"/>
        <v>aws s3 cp s3://rtdc.mdm.uploadarchive.raw/RTDC4044/ "%USERPROFILE%\AppData\Local\Temp\OnboardLogs"\RTDC4044\2017-06-04 --exclude "*" --recursive --include "*20170604*" &amp; "%USERPROFILE%\Documents\GitHub\mrs-test-scripts\Headless Mode &amp; Sideloading\WalkAndUnGZ.bat" "%USERPROFILE%\AppData\Local\Temp\OnboardLogs"\RTDC4044\2017-06-04 &amp; aws s3 cp s3://rtdc.mdm.uploadarchive.raw/RTDC4044/ "%USERPROFILE%\AppData\Local\Temp\OnboardLogs"\RTDC4044\2017-06-05 --exclude "*" --recursive --include "*20170605*" &amp; "%USERPROFILE%\Documents\GitHub\mrs-test-scripts\Headless Mode &amp; Sideloading\WalkAndUnGZ.bat" "%USERPROFILE%\AppData\Local\Temp\OnboardLogs"\RTDC4044\2017-06-05</v>
      </c>
      <c r="AF212" s="77" t="str">
        <f t="shared" si="94"/>
        <v>"C:\Program Files (x86)\AstroGrep\AstroGrep.exe" /e /r /s /spath="%USERPROFILE%\AppData\Local\Temp\OnboardLogs" /stypes="app*4044*20170604*" /stext=" 12:.+((SYSTEM_STATE.+slice.+state.+changed )|(ment ac)|(multiple cpu faults)|(system.+state.+changed )|(\[timeout)|(PRM\|1\|D)|(kpr)|(kdp)|(train st.+moving)|(\|lc)|(penalty))"</v>
      </c>
      <c r="AG212" s="1" t="str">
        <f t="shared" si="95"/>
        <v>Other</v>
      </c>
      <c r="AH212" s="81" t="str">
        <f t="shared" si="96"/>
        <v>"%USERPROFILE%\Documents\GitHub\eaglep3\Utilities\RefineRTDCRunTimes.py" --tripid 56-04 --locoid 4044 --swversion DE.1.0.9.0 --startMP 300:15106 --initTime 2017-06-04T05:58:09 --startdatetime 2017-06-04T06:18:13 --delay 1 --endMP 300:24218 --enddatetime 2017-06-04T06:26:25 --enforcementcount 0 &gt;&gt;C:\Users\stu\Documents\GitHub\eaglep3-reporting\EC\2017-06-04-refined-times.txt</v>
      </c>
      <c r="AI212" s="99" t="str">
        <f t="shared" si="97"/>
        <v>echo {"issue":{"subject":"","project_id":79,"tracker_id":40,"status_id":1,"priority_id":2,"assigned_to_id":23,"start_date":"2017-06-04","description":"","custom_fields":[{"id":1,"name":"Subdivision","value":"Other"},{"id":4,"name":"Milepost","value":"2.4218"},{"id":17,"name":"Train ID","value":"56-04"},{"id":16,"name":"Locomotive ID","value":"4044"},{"id":130,"name":"Impact","value":""},{"id":150,"name":"Time of Event (Mountain Time)","value":"06:26:25"},{"id":151,"name":"Denver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8"/>
        <v>start /low /b %USERPROFILE%\Documents\GitHub\eaglep3\Utilities\DownloadLogsFromS3.py --loco 4044 --day 2017-06-04</v>
      </c>
      <c r="AN212" s="154" t="str">
        <f t="shared" si="99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12:26:25"},{"id":29,"name":"Sharepoint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792</v>
      </c>
      <c r="B213" s="7">
        <v>4024</v>
      </c>
      <c r="C213" s="21" t="s">
        <v>204</v>
      </c>
      <c r="D213" s="21" t="s">
        <v>987</v>
      </c>
      <c r="E213" s="13">
        <v>42890.648020833331</v>
      </c>
      <c r="F213" s="13">
        <v>42890.65084490741</v>
      </c>
      <c r="G213" s="7">
        <v>1</v>
      </c>
      <c r="H213" s="21" t="s">
        <v>357</v>
      </c>
      <c r="I213" s="13">
        <v>42890.65902777778</v>
      </c>
      <c r="J213" s="7">
        <v>0</v>
      </c>
      <c r="K213" s="92" t="str">
        <f t="shared" si="83"/>
        <v>4023/4024</v>
      </c>
      <c r="L213" s="21" t="str">
        <f>VLOOKUP(A213,'Trips&amp;Operators'!$C$1:$G$99999,5,FALSE)</f>
        <v>ROBINSON KADDIBA</v>
      </c>
      <c r="M213" s="6">
        <f t="shared" si="84"/>
        <v>8.182870369637385E-3</v>
      </c>
      <c r="N213" s="7">
        <f t="shared" si="81"/>
        <v>11.783333332277834</v>
      </c>
      <c r="O213" s="7"/>
      <c r="P213" s="7"/>
      <c r="Q213" s="22"/>
      <c r="R213" s="173"/>
      <c r="S213" s="176">
        <f t="shared" si="85"/>
        <v>0</v>
      </c>
      <c r="T213" s="202" t="e">
        <f t="shared" si="86"/>
        <v>#VALUE!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03" t="str">
        <f t="shared" si="87"/>
        <v>https://d0f6bd738d7f1b3e5a7ca70fe4ff75f0.us-east-1.aws.found.io/app/kibana#/discover/Steve-Slow-Train-Analysis-(2080s-and-2083s)?_g=(refreshInterval:(display:Off,pause:!f,section:0,value:0),time:(from:'2017-06-04T14:33:09-0600',mode:absolute,to:'2017-06-04T16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3" s="204" t="str">
        <f t="shared" si="88"/>
        <v>Y</v>
      </c>
      <c r="X213" s="204" t="e">
        <f t="shared" si="82"/>
        <v>#VALUE!</v>
      </c>
      <c r="Y213" s="204">
        <f t="shared" si="89"/>
        <v>0.15029999999999999</v>
      </c>
      <c r="Z213" s="204">
        <f t="shared" si="90"/>
        <v>2.3346</v>
      </c>
      <c r="AA213" s="204">
        <f t="shared" si="91"/>
        <v>2.1842999999999999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2"/>
        <v>67-04</v>
      </c>
      <c r="AE213" s="80" t="str">
        <f t="shared" si="93"/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AF213" s="77" t="str">
        <f t="shared" si="94"/>
        <v>"C:\Program Files (x86)\AstroGrep\AstroGrep.exe" /e /r /s /spath="%USERPROFILE%\AppData\Local\Temp\OnboardLogs" /stypes="app*4024*20170604*" /stext=" 21:.+((SYSTEM_STATE.+slice.+state.+changed )|(ment ac)|(multiple cpu faults)|(system.+state.+changed )|(\[timeout)|(PRM\|1\|D)|(kpr)|(kdp)|(train st.+moving)|(\|lc)|(penalty))"</v>
      </c>
      <c r="AG213" s="1" t="str">
        <f t="shared" si="95"/>
        <v>Other</v>
      </c>
      <c r="AH213" s="81" t="str">
        <f t="shared" si="96"/>
        <v>"%USERPROFILE%\Documents\GitHub\eaglep3\Utilities\RefineRTDCRunTimes.py" --tripid 67-04 --locoid 4024 --swversion DE.1.0.9.0 --startMP 204:1503 --initTime 2017-06-04T15:33:09 --startdatetime 2017-06-04T15:37:13 --delay 1 --endMP 300:23346 --enddatetime 2017-06-04T15:49:00 --enforcementcount 0 &gt;&gt;C:\Users\stu\Documents\GitHub\eaglep3-reporting\EC\2017-06-04-refined-times.txt</v>
      </c>
      <c r="AI213" s="99" t="str">
        <f t="shared" si="97"/>
        <v>echo {"issue":{"subject":"","project_id":79,"tracker_id":40,"status_id":1,"priority_id":2,"assigned_to_id":23,"start_date":"2017-06-04","description":"","custom_fields":[{"id":1,"name":"Subdivision","value":"Other"},{"id":4,"name":"Milepost","value":"2.3346"},{"id":17,"name":"Train ID","value":"67-04"},{"id":16,"name":"Locomotive ID","value":"4024"},{"id":130,"name":"Impact","value":""},{"id":150,"name":"Time of Event (Mountain Time)","value":"15:49:00"},{"id":151,"name":"Denver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8"/>
        <v>start /low /b %USERPROFILE%\Documents\GitHub\eaglep3\Utilities\DownloadLogsFromS3.py --loco 4024 --day 2017-06-04</v>
      </c>
      <c r="AN213" s="154" t="str">
        <f t="shared" si="99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807</v>
      </c>
      <c r="B214" s="7">
        <v>4016</v>
      </c>
      <c r="C214" s="21" t="s">
        <v>204</v>
      </c>
      <c r="D214" s="21" t="s">
        <v>643</v>
      </c>
      <c r="E214" s="13">
        <v>42890.722708333335</v>
      </c>
      <c r="F214" s="13">
        <v>42890.734525462962</v>
      </c>
      <c r="G214" s="7">
        <v>1</v>
      </c>
      <c r="H214" s="21" t="s">
        <v>988</v>
      </c>
      <c r="I214" s="13">
        <v>42890.739664351851</v>
      </c>
      <c r="J214" s="7">
        <v>0</v>
      </c>
      <c r="K214" s="92" t="str">
        <f t="shared" si="83"/>
        <v>4015/4016</v>
      </c>
      <c r="L214" s="21" t="str">
        <f>VLOOKUP(A214,'Trips&amp;Operators'!$C$1:$G$99999,5,FALSE)</f>
        <v>ARVIDSON DANIEL</v>
      </c>
      <c r="M214" s="6">
        <f t="shared" si="84"/>
        <v>5.1388888896326534E-3</v>
      </c>
      <c r="N214" s="7">
        <f t="shared" si="81"/>
        <v>7.400000001071021</v>
      </c>
      <c r="O214" s="7"/>
      <c r="P214" s="7"/>
      <c r="Q214" s="22"/>
      <c r="R214" s="173"/>
      <c r="S214" s="176">
        <f t="shared" si="85"/>
        <v>0</v>
      </c>
      <c r="T214" s="202" t="e">
        <f t="shared" si="86"/>
        <v>#VALUE!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87"/>
        <v>https://d0f6bd738d7f1b3e5a7ca70fe4ff75f0.us-east-1.aws.found.io/app/kibana#/discover/Steve-Slow-Train-Analysis-(2080s-and-2083s)?_g=(refreshInterval:(display:Off,pause:!f,section:0,value:0),time:(from:'2017-06-04T16:20:42-0600',mode:absolute,to:'2017-06-04T18:45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204" t="str">
        <f t="shared" si="88"/>
        <v>Y</v>
      </c>
      <c r="X214" s="204" t="e">
        <f t="shared" si="82"/>
        <v>#VALUE!</v>
      </c>
      <c r="Y214" s="204">
        <f t="shared" si="89"/>
        <v>0.1154</v>
      </c>
      <c r="Z214" s="204">
        <f t="shared" si="90"/>
        <v>2.3117000000000001</v>
      </c>
      <c r="AA214" s="204">
        <f t="shared" si="91"/>
        <v>2.1962999999999999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2"/>
        <v>69-04</v>
      </c>
      <c r="AE214" s="80" t="str">
        <f t="shared" si="93"/>
        <v>aws s3 cp s3://rtdc.mdm.uploadarchive.raw/RTDC4016/ "%USERPROFILE%\AppData\Local\Temp\OnboardLogs"\RTDC4016\2017-06-04 --exclude "*" --recursive --include "*20170604*" &amp; "%USERPROFILE%\Documents\GitHub\mrs-test-scripts\Headless Mode &amp; Sideloading\WalkAndUnGZ.bat" "%USERPROFILE%\AppData\Local\Temp\OnboardLogs"\RTDC4016\2017-06-04 &amp; aws s3 cp s3://rtdc.mdm.uploadarchive.raw/RTDC4016/ "%USERPROFILE%\AppData\Local\Temp\OnboardLogs"\RTDC4016\2017-06-05 --exclude "*" --recursive --include "*20170605*" &amp; "%USERPROFILE%\Documents\GitHub\mrs-test-scripts\Headless Mode &amp; Sideloading\WalkAndUnGZ.bat" "%USERPROFILE%\AppData\Local\Temp\OnboardLogs"\RTDC4016\2017-06-05</v>
      </c>
      <c r="AF214" s="77" t="str">
        <f t="shared" si="94"/>
        <v>"C:\Program Files (x86)\AstroGrep\AstroGrep.exe" /e /r /s /spath="%USERPROFILE%\AppData\Local\Temp\OnboardLogs" /stypes="app*4016*20170604*" /stext=" 23:.+((SYSTEM_STATE.+slice.+state.+changed )|(ment ac)|(multiple cpu faults)|(system.+state.+changed )|(\[timeout)|(PRM\|1\|D)|(kpr)|(kdp)|(train st.+moving)|(\|lc)|(penalty))"</v>
      </c>
      <c r="AG214" s="1" t="str">
        <f t="shared" si="95"/>
        <v>Other</v>
      </c>
      <c r="AH214" s="81" t="str">
        <f t="shared" si="96"/>
        <v>"%USERPROFILE%\Documents\GitHub\eaglep3\Utilities\RefineRTDCRunTimes.py" --tripid 69-04 --locoid 4016 --swversion DE.1.0.9.0 --startMP 204:1154 --initTime 2017-06-04T17:20:42 --startdatetime 2017-06-04T17:37:43 --delay 1 --endMP 300:23117 --enddatetime 2017-06-04T17:45:07 --enforcementcount 0 &gt;&gt;C:\Users\stu\Documents\GitHub\eaglep3-reporting\EC\2017-06-04-refined-times.txt</v>
      </c>
      <c r="AI214" s="99" t="str">
        <f t="shared" si="97"/>
        <v>echo {"issue":{"subject":"","project_id":79,"tracker_id":40,"status_id":1,"priority_id":2,"assigned_to_id":23,"start_date":"2017-06-04","description":"","custom_fields":[{"id":1,"name":"Subdivision","value":"Other"},{"id":4,"name":"Milepost","value":"2.3117"},{"id":17,"name":"Train ID","value":"69-04"},{"id":16,"name":"Locomotive ID","value":"4016"},{"id":130,"name":"Impact","value":""},{"id":150,"name":"Time of Event (Mountain Time)","value":"17:45:07"},{"id":151,"name":"Denver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8"/>
        <v>start /low /b %USERPROFILE%\Documents\GitHub\eaglep3\Utilities\DownloadLogsFromS3.py --loco 4016 --day 2017-06-04</v>
      </c>
      <c r="AN214" s="154" t="str">
        <f t="shared" si="99"/>
        <v>echo {"issue":{"subject":"","project_id":30,"tracker_id":4,"status_id":1,"priority_id":1,"assigned_to_id":10,"start_date":"2017-06-04","description":"","custom_fields":[{"id":30,"name":"Category","value":"Issue"},{"id":3,"name":"Functional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UTC","value":"2017-06-04 23:45:07"},{"id":29,"name":"Sharepoint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6">
    <sortState ref="A13:AG274">
      <sortCondition ref="AG13:AG212"/>
      <sortCondition ref="AD13:AD212"/>
    </sortState>
  </autoFilter>
  <sortState ref="A13:AH200">
    <sortCondition ref="AG13:AG200"/>
    <sortCondition ref="AD13:AD200"/>
  </sortState>
  <mergeCells count="1">
    <mergeCell ref="A11:P11"/>
  </mergeCells>
  <conditionalFormatting sqref="W11:W12 W280:X1048576 W13:X214">
    <cfRule type="cellIs" dxfId="10" priority="401" operator="equal">
      <formula>"Y"</formula>
    </cfRule>
  </conditionalFormatting>
  <conditionalFormatting sqref="X280:X1048576 X13:X214">
    <cfRule type="cellIs" dxfId="9" priority="384" operator="greaterThan">
      <formula>1</formula>
    </cfRule>
  </conditionalFormatting>
  <conditionalFormatting sqref="X280:X1048576 X12:X214">
    <cfRule type="cellIs" dxfId="8" priority="381" operator="equal">
      <formula>0</formula>
    </cfRule>
  </conditionalFormatting>
  <conditionalFormatting sqref="A13:S214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abSelected="1" topLeftCell="A2" zoomScaleNormal="100" workbookViewId="0">
      <selection activeCell="P7" sqref="P7: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COUNTIF($O$7:$O$280,"=Y")</f>
        <v>8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COUNTA($O$7:$O$280)-O2</f>
        <v>39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- 2017-06-04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42890.703877314816</v>
      </c>
      <c r="B7" s="30" t="s">
        <v>570</v>
      </c>
      <c r="C7" s="30" t="s">
        <v>666</v>
      </c>
      <c r="D7" s="30" t="s">
        <v>49</v>
      </c>
      <c r="E7" s="30" t="s">
        <v>189</v>
      </c>
      <c r="F7" s="42">
        <v>0</v>
      </c>
      <c r="G7" s="42">
        <v>207</v>
      </c>
      <c r="H7" s="42">
        <v>30714</v>
      </c>
      <c r="I7" s="42">
        <v>30914</v>
      </c>
      <c r="J7" s="30" t="s">
        <v>190</v>
      </c>
      <c r="K7" s="42">
        <v>30830</v>
      </c>
      <c r="L7" s="134" t="s">
        <v>50</v>
      </c>
      <c r="M7" s="135">
        <f t="shared" ref="M7:M53" si="0">CONVERT((I7-K7)/10000,"mi","ft")*IF(L7="Increasing Mileposts (1)",-1,1)</f>
        <v>-44.351999999999997</v>
      </c>
      <c r="N7" s="136" t="str">
        <f>VLOOKUP(C7,'Trips&amp;Operators'!$C$1:$G$99999,5,FALSE)</f>
        <v>BRANDNER MELINDA</v>
      </c>
      <c r="O7" s="210" t="s">
        <v>182</v>
      </c>
      <c r="P7" s="137" t="s">
        <v>402</v>
      </c>
      <c r="Q7" s="30"/>
      <c r="R7" s="84" t="str">
        <f>VLOOKUP(C7,'Train Runs'!$A$13:$AE$9935,31,0)</f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S7" s="87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-06-04T15:40:04-0600',mode:absolute,to:'2017-06-04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7" s="89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/stypes="*4004*201706042*" /stext=" 22:.+((SYSTEM_STATE.+slice.+state.+changed )|(ment ac)|(multiple cpu faults)|(system.+state.+changed )|(\[timeout)|(PRM\|1\|D)|(kpr)|(kdp)|(train st.+moving)|(\|lc)|(penalty))"</v>
      </c>
      <c r="U7" s="9" t="str">
        <f t="shared" ref="U7:U53" si="2">MID(B7,13,4)</f>
        <v>4004</v>
      </c>
      <c r="V7" s="31">
        <f t="shared" ref="V7:V53" si="3">A7-utc_offset/24</f>
        <v>42890.953877314816</v>
      </c>
      <c r="W7" s="45" t="str">
        <f t="shared" ref="W7:W53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3" si="5">IF(AND(E7="TRACK WARRANT AUTHORITY",G7&lt;10),"OMIT","KEEP")</f>
        <v>KEEP</v>
      </c>
      <c r="Y7" s="99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arrival","project_id":79,"tracker_id":40,"status_id":1,"priority_id":2,"assigned_to_id":23,"start_date":"2017-06-04","description":"","custom_fields":[{"id":1,"name":"Subdivision","value":"EC"},{"id":4,"name":"Milepost","value":"3.083"},{"id":17,"name":"Train ID","value":"205-04"},{"id":16,"name":"Locomotive ID","value":"4004"},{"id":130,"name":"Impact","value":""},{"id":150,"name":"Time of Event (Mountain Time)","value":"16:53:35"},{"id":151,"name":"Denver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3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/cygdrive/c/Users/stu/AppData/Local/Temp/OnboardLogs/RTDC4004 --include="*4004*201706042*"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"%USERPROFILE%\AppData\Local\Temp\OnboardLogs"\RTDC4004\*4004*201706042* &gt;&gt; 2017-06-04-SliceDisagreementCheck.txt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4004 --day 2017-06-04</v>
      </c>
    </row>
    <row r="8" spans="1:32" s="1" customFormat="1" x14ac:dyDescent="0.25">
      <c r="A8" s="31">
        <v>42891.018935185188</v>
      </c>
      <c r="B8" s="30" t="s">
        <v>572</v>
      </c>
      <c r="C8" s="30" t="s">
        <v>684</v>
      </c>
      <c r="D8" s="30" t="s">
        <v>49</v>
      </c>
      <c r="E8" s="30" t="s">
        <v>189</v>
      </c>
      <c r="F8" s="42">
        <v>0</v>
      </c>
      <c r="G8" s="42">
        <v>119</v>
      </c>
      <c r="H8" s="42">
        <v>30997</v>
      </c>
      <c r="I8" s="42">
        <v>30927</v>
      </c>
      <c r="J8" s="30" t="s">
        <v>190</v>
      </c>
      <c r="K8" s="42">
        <v>30970</v>
      </c>
      <c r="L8" s="134" t="s">
        <v>51</v>
      </c>
      <c r="M8" s="135">
        <f t="shared" si="0"/>
        <v>-22.704000000000001</v>
      </c>
      <c r="N8" s="136" t="str">
        <f>VLOOKUP(C8,'Trips&amp;Operators'!$C$1:$G$99999,5,FALSE)</f>
        <v>STAMBAUGH JAMES</v>
      </c>
      <c r="O8" s="210" t="s">
        <v>182</v>
      </c>
      <c r="P8" s="137" t="s">
        <v>402</v>
      </c>
      <c r="Q8" s="30"/>
      <c r="R8" s="84" t="str">
        <f>VLOOKUP(C8,'Train Runs'!$A$13:$AE$9935,31,0)</f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S8" s="87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-06-04T22:49:07-0600',mode:absolute,to:'2017-06-05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9" t="str">
        <f t="shared" si="1"/>
        <v>"C:\Program Files (x86)\AstroGrep\AstroGrep.exe" /e /r /s /spath="%USERPROFILE%\AppData\Local\Temp\OnboardLogs" /stypes="*4011*201706050*"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42891.268935185188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arrival","project_id":79,"tracker_id":40,"status_id":1,"priority_id":2,"assigned_to_id":23,"start_date":"2017-06-05","description":"","custom_fields":[{"id":1,"name":"Subdivision","value":"EC"},{"id":4,"name":"Milepost","value":"3.097"},{"id":17,"name":"Train ID","value":"238-04"},{"id":16,"name":"Locomotive ID","value":"4011"},{"id":130,"name":"Impact","value":""},{"id":150,"name":"Time of Event (Mountain Time)","value":"00:27:16"},{"id":151,"name":"Denver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/cygdrive/c/Users/stu/AppData/Local/Temp/OnboardLogs/RTDC4011 --include="*4011*201706050*"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"%USERPROFILE%\AppData\Local\Temp\OnboardLogs"\RTDC4011\*4011*201706050* &gt;&gt; 2017-06-04-SliceDisagreementCheck.txt</v>
      </c>
      <c r="AE8" s="148" t="str">
        <f t="shared" ref="AE8:AE53" si="9">"start /low /b "&amp;dls3logs&amp;" --loco "&amp;U8&amp;" --day "&amp;TEXT(V8,"YYYY-MM-DD")</f>
        <v>start /low /b %USERPROFILE%\Documents\GitHub\eaglep3\Utilities\DownloadLogsFromS3.py --loco 4011 --day 2017-06-05</v>
      </c>
    </row>
    <row r="9" spans="1:32" s="1" customFormat="1" x14ac:dyDescent="0.25">
      <c r="A9" s="31">
        <v>42890.817673611113</v>
      </c>
      <c r="B9" s="30" t="s">
        <v>435</v>
      </c>
      <c r="C9" s="30" t="s">
        <v>678</v>
      </c>
      <c r="D9" s="30" t="s">
        <v>49</v>
      </c>
      <c r="E9" s="30" t="s">
        <v>189</v>
      </c>
      <c r="F9" s="42">
        <v>510</v>
      </c>
      <c r="G9" s="42">
        <v>576</v>
      </c>
      <c r="H9" s="42">
        <v>49370</v>
      </c>
      <c r="I9" s="42">
        <v>47320</v>
      </c>
      <c r="J9" s="30" t="s">
        <v>190</v>
      </c>
      <c r="K9" s="42">
        <v>48048</v>
      </c>
      <c r="L9" s="134" t="s">
        <v>51</v>
      </c>
      <c r="M9" s="135">
        <f t="shared" si="0"/>
        <v>-384.38400000000001</v>
      </c>
      <c r="N9" s="136" t="str">
        <f>VLOOKUP(C9,'Trips&amp;Operators'!$C$1:$G$99999,5,FALSE)</f>
        <v>PERKINS DARREN</v>
      </c>
      <c r="O9" s="210" t="s">
        <v>182</v>
      </c>
      <c r="P9" s="137" t="s">
        <v>402</v>
      </c>
      <c r="Q9" s="30"/>
      <c r="R9" s="84" t="str">
        <f>VLOOKUP(C9,'Train Runs'!$A$13:$AE$9935,31,0)</f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S9" s="87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-06-04T18:02:55-0600',mode:absolute,to:'2017-06-04T20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9" s="89" t="str">
        <f t="shared" si="1"/>
        <v>"C:\Program Files (x86)\AstroGrep\AstroGrep.exe" /e /r /s /spath="%USERPROFILE%\AppData\Local\Temp\OnboardLogs" /stypes="*4025*201706050*"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4025</v>
      </c>
      <c r="V9" s="31">
        <f t="shared" si="3"/>
        <v>42891.067673611113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arrival","project_id":79,"tracker_id":40,"status_id":1,"priority_id":2,"assigned_to_id":23,"start_date":"2017-06-04","description":"","custom_fields":[{"id":1,"name":"Subdivision","value":"EC"},{"id":4,"name":"Milepost","value":"4.8048"},{"id":17,"name":"Train ID","value":"218-04"},{"id":16,"name":"Locomotive ID","value":"4025"},{"id":130,"name":"Impact","value":""},{"id":150,"name":"Time of Event (Mountain Time)","value":"19:37:27"},{"id":151,"name":"Denver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/cygdrive/c/Users/stu/AppData/Local/Temp/OnboardLogs/RTDC4025 --include="*4025*201706050*"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"%USERPROFILE%\AppData\Local\Temp\OnboardLogs"\RTDC4025\*4025*201706050* &gt;&gt; 2017-06-04-SliceDisagreementCheck.txt</v>
      </c>
      <c r="AE9" s="148" t="str">
        <f t="shared" si="9"/>
        <v>start /low /b %USERPROFILE%\Documents\GitHub\eaglep3\Utilities\DownloadLogsFromS3.py --loco 4025 --day 2017-06-05</v>
      </c>
    </row>
    <row r="10" spans="1:32" s="1" customFormat="1" x14ac:dyDescent="0.25">
      <c r="A10" s="31">
        <v>42890.744826388887</v>
      </c>
      <c r="B10" s="30" t="s">
        <v>435</v>
      </c>
      <c r="C10" s="30" t="s">
        <v>671</v>
      </c>
      <c r="D10" s="30" t="s">
        <v>49</v>
      </c>
      <c r="E10" s="30" t="s">
        <v>189</v>
      </c>
      <c r="F10" s="42">
        <v>310</v>
      </c>
      <c r="G10" s="42">
        <v>372</v>
      </c>
      <c r="H10" s="42">
        <v>59031</v>
      </c>
      <c r="I10" s="42">
        <v>58016</v>
      </c>
      <c r="J10" s="30" t="s">
        <v>190</v>
      </c>
      <c r="K10" s="42">
        <v>58301</v>
      </c>
      <c r="L10" s="134" t="s">
        <v>51</v>
      </c>
      <c r="M10" s="135">
        <f t="shared" si="0"/>
        <v>-150.47999999999999</v>
      </c>
      <c r="N10" s="136" t="str">
        <f>VLOOKUP(C10,'Trips&amp;Operators'!$C$1:$G$99999,5,FALSE)</f>
        <v>DAVIS MICHAEL</v>
      </c>
      <c r="O10" s="210" t="s">
        <v>182</v>
      </c>
      <c r="P10" s="137" t="s">
        <v>402</v>
      </c>
      <c r="Q10" s="30"/>
      <c r="R10" s="84" t="str">
        <f>VLOOKUP(C10,'Train Runs'!$A$13:$AE$9935,31,0)</f>
        <v>aws s3 cp s3://rtdc.mdm.uploadarchive.raw/RTDC4025/ "%USERPROFILE%\AppData\Local\Temp\OnboardLogs"\RTDC4025\2017-06-04 --exclude "*" --recursive --include "*20170604*" &amp; "%USERPROFILE%\Documents\GitHub\mrs-test-scripts\Headless Mode &amp; Sideloading\WalkAndUnGZ.bat" "%USERPROFILE%\AppData\Local\Temp\OnboardLogs"\RTDC4025\2017-06-04 &amp; aws s3 cp s3://rtdc.mdm.uploadarchive.raw/RTDC4025/ "%USERPROFILE%\AppData\Local\Temp\OnboardLogs"\RTDC4025\2017-06-05 --exclude "*" --recursive --include "*20170605*" &amp; "%USERPROFILE%\Documents\GitHub\mrs-test-scripts\Headless Mode &amp; Sideloading\WalkAndUnGZ.bat" "%USERPROFILE%\AppData\Local\Temp\OnboardLogs"\RTDC4025\2017-06-05</v>
      </c>
      <c r="S10" s="87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-06-04T16:23:55-0600',mode:absolute,to:'2017-06-04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9" t="str">
        <f t="shared" si="1"/>
        <v>"C:\Program Files (x86)\AstroGrep\AstroGrep.exe" /e /r /s /spath="%USERPROFILE%\AppData\Local\Temp\OnboardLogs" /stypes="*4025*201706042*"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4025</v>
      </c>
      <c r="V10" s="31">
        <f t="shared" si="3"/>
        <v>42890.994826388887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arrival","project_id":79,"tracker_id":40,"status_id":1,"priority_id":2,"assigned_to_id":23,"start_date":"2017-06-04","description":"","custom_fields":[{"id":1,"name":"Subdivision","value":"EC"},{"id":4,"name":"Milepost","value":"5.8301"},{"id":17,"name":"Train ID","value":"204-04"},{"id":16,"name":"Locomotive ID","value":"4025"},{"id":130,"name":"Impact","value":""},{"id":150,"name":"Time of Event (Mountain Time)","value":"17:52:33"},{"id":151,"name":"Denver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/cygdrive/c/Users/stu/AppData/Local/Temp/OnboardLogs/RTDC4025 --include="*4025*201706042*"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"%USERPROFILE%\AppData\Local\Temp\OnboardLogs"\RTDC4025\*4025*201706042* &gt;&gt; 2017-06-04-SliceDisagreementCheck.txt</v>
      </c>
      <c r="AE10" s="148" t="str">
        <f t="shared" si="9"/>
        <v>start /low /b %USERPROFILE%\Documents\GitHub\eaglep3\Utilities\DownloadLogsFromS3.py --loco 4025 --day 2017-06-04</v>
      </c>
    </row>
    <row r="11" spans="1:32" s="1" customFormat="1" x14ac:dyDescent="0.25">
      <c r="A11" s="31">
        <v>42890.233842592592</v>
      </c>
      <c r="B11" s="30" t="s">
        <v>490</v>
      </c>
      <c r="C11" s="30" t="s">
        <v>648</v>
      </c>
      <c r="D11" s="30" t="s">
        <v>49</v>
      </c>
      <c r="E11" s="30" t="s">
        <v>189</v>
      </c>
      <c r="F11" s="42">
        <v>380</v>
      </c>
      <c r="G11" s="42">
        <v>444</v>
      </c>
      <c r="H11" s="42">
        <v>59280</v>
      </c>
      <c r="I11" s="42">
        <v>57844</v>
      </c>
      <c r="J11" s="30" t="s">
        <v>190</v>
      </c>
      <c r="K11" s="42">
        <v>58301</v>
      </c>
      <c r="L11" s="134" t="s">
        <v>51</v>
      </c>
      <c r="M11" s="135">
        <f t="shared" si="0"/>
        <v>-241.29599999999999</v>
      </c>
      <c r="N11" s="136" t="str">
        <f>VLOOKUP(C11,'Trips&amp;Operators'!$C$1:$G$99999,5,FALSE)</f>
        <v>GRASTON MATHEU</v>
      </c>
      <c r="O11" s="210" t="s">
        <v>182</v>
      </c>
      <c r="P11" s="137" t="s">
        <v>402</v>
      </c>
      <c r="Q11" s="30"/>
      <c r="R11" s="84" t="str">
        <f>VLOOKUP(C11,'Train Runs'!$A$13:$AE$9935,31,0)</f>
        <v>aws s3 cp s3://rtdc.mdm.uploadarchive.raw/RTDC4023/ "%USERPROFILE%\AppData\Local\Temp\OnboardLogs"\RTDC4023\2017-06-04 --exclude "*" --recursive --include "*20170604*" &amp; "%USERPROFILE%\Documents\GitHub\mrs-test-scripts\Headless Mode &amp; Sideloading\WalkAndUnGZ.bat" "%USERPROFILE%\AppData\Local\Temp\OnboardLogs"\RTDC4023\2017-06-04 &amp; aws s3 cp s3://rtdc.mdm.uploadarchive.raw/RTDC4023/ "%USERPROFILE%\AppData\Local\Temp\OnboardLogs"\RTDC4023\2017-06-05 --exclude "*" --recursive --include "*20170605*" &amp; "%USERPROFILE%\Documents\GitHub\mrs-test-scripts\Headless Mode &amp; Sideloading\WalkAndUnGZ.bat" "%USERPROFILE%\AppData\Local\Temp\OnboardLogs"\RTDC4023\2017-06-05</v>
      </c>
      <c r="S11" s="87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-06-04T04:02:24-0600',mode:absolute,to:'2017-06-04T06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1" s="89" t="str">
        <f t="shared" si="1"/>
        <v>"C:\Program Files (x86)\AstroGrep\AstroGrep.exe" /e /r /s /spath="%USERPROFILE%\AppData\Local\Temp\OnboardLogs" /stypes="*4023*201706041*" /stext=" 11:.+((SYSTEM_STATE.+slice.+state.+changed )|(ment ac)|(multiple cpu faults)|(system.+state.+changed )|(\[timeout)|(PRM\|1\|D)|(kpr)|(kdp)|(train st.+moving)|(\|lc)|(penalty))"</v>
      </c>
      <c r="U11" s="9" t="str">
        <f t="shared" si="2"/>
        <v>4023</v>
      </c>
      <c r="V11" s="31">
        <f t="shared" si="3"/>
        <v>42890.483842592592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arrival","project_id":79,"tracker_id":40,"status_id":1,"priority_id":2,"assigned_to_id":23,"start_date":"2017-06-04","description":"","custom_fields":[{"id":1,"name":"Subdivision","value":"EC"},{"id":4,"name":"Milepost","value":"5.8301"},{"id":17,"name":"Train ID","value":"106-04"},{"id":16,"name":"Locomotive ID","value":"4023"},{"id":130,"name":"Impact","value":""},{"id":150,"name":"Time of Event (Mountain Time)","value":"05:36:44"},{"id":151,"name":"Denver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/cygdrive/c/Users/stu/AppData/Local/Temp/OnboardLogs/RTDC4023 --include="*4023*201706041*"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"%USERPROFILE%\AppData\Local\Temp\OnboardLogs"\RTDC4023\*4023*201706041* &gt;&gt; 2017-06-04-SliceDisagreementCheck.txt</v>
      </c>
      <c r="AE11" s="148" t="str">
        <f t="shared" si="9"/>
        <v>start /low /b %USERPROFILE%\Documents\GitHub\eaglep3\Utilities\DownloadLogsFromS3.py --loco 4023 --day 2017-06-04</v>
      </c>
    </row>
    <row r="12" spans="1:32" s="1" customFormat="1" x14ac:dyDescent="0.25">
      <c r="A12" s="31">
        <v>42890.769444444442</v>
      </c>
      <c r="B12" s="30" t="s">
        <v>423</v>
      </c>
      <c r="C12" s="30" t="s">
        <v>673</v>
      </c>
      <c r="D12" s="30" t="s">
        <v>49</v>
      </c>
      <c r="E12" s="30" t="s">
        <v>189</v>
      </c>
      <c r="F12" s="42">
        <v>420</v>
      </c>
      <c r="G12" s="42">
        <v>516</v>
      </c>
      <c r="H12" s="42">
        <v>62306</v>
      </c>
      <c r="I12" s="42">
        <v>63766</v>
      </c>
      <c r="J12" s="30" t="s">
        <v>190</v>
      </c>
      <c r="K12" s="42">
        <v>63069</v>
      </c>
      <c r="L12" s="134" t="s">
        <v>50</v>
      </c>
      <c r="M12" s="135">
        <f t="shared" si="0"/>
        <v>-368.01600000000002</v>
      </c>
      <c r="N12" s="136" t="str">
        <f>VLOOKUP(C12,'Trips&amp;Operators'!$C$1:$G$99999,5,FALSE)</f>
        <v>PERKINS DARREN</v>
      </c>
      <c r="O12" s="210" t="s">
        <v>182</v>
      </c>
      <c r="P12" s="137" t="s">
        <v>402</v>
      </c>
      <c r="Q12" s="30"/>
      <c r="R12" s="84" t="str">
        <f>VLOOKUP(C12,'Train Runs'!$A$13:$AE$9935,31,0)</f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S12" s="87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-06-04T17:10:09-0600',mode:absolute,to:'2017-06-04T19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2" s="89" t="str">
        <f t="shared" si="1"/>
        <v>"C:\Program Files (x86)\AstroGrep\AstroGrep.exe" /e /r /s /spath="%USERPROFILE%\AppData\Local\Temp\OnboardLogs" /stypes="*4026*201706050*"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4026</v>
      </c>
      <c r="V12" s="31">
        <f t="shared" si="3"/>
        <v>42891.019444444442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arrival","project_id":79,"tracker_id":40,"status_id":1,"priority_id":2,"assigned_to_id":23,"start_date":"2017-06-04","description":"","custom_fields":[{"id":1,"name":"Subdivision","value":"EC"},{"id":4,"name":"Milepost","value":"6.3069"},{"id":17,"name":"Train ID","value":"217-04"},{"id":16,"name":"Locomotive ID","value":"4026"},{"id":130,"name":"Impact","value":""},{"id":150,"name":"Time of Event (Mountain Time)","value":"18:28:00"},{"id":151,"name":"Denver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/cygdrive/c/Users/stu/AppData/Local/Temp/OnboardLogs/RTDC4026 --include="*4026*201706050*"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"%USERPROFILE%\AppData\Local\Temp\OnboardLogs"\RTDC4026\*4026*201706050* &gt;&gt; 2017-06-04-SliceDisagreementCheck.txt</v>
      </c>
      <c r="AE12" s="148" t="str">
        <f t="shared" si="9"/>
        <v>start /low /b %USERPROFILE%\Documents\GitHub\eaglep3\Utilities\DownloadLogsFromS3.py --loco 4026 --day 2017-06-05</v>
      </c>
    </row>
    <row r="13" spans="1:32" s="1" customFormat="1" x14ac:dyDescent="0.25">
      <c r="A13" s="31">
        <v>42890.794803240744</v>
      </c>
      <c r="B13" s="30" t="s">
        <v>409</v>
      </c>
      <c r="C13" s="30" t="s">
        <v>676</v>
      </c>
      <c r="D13" s="30" t="s">
        <v>49</v>
      </c>
      <c r="E13" s="30" t="s">
        <v>189</v>
      </c>
      <c r="F13" s="42">
        <v>0</v>
      </c>
      <c r="G13" s="42">
        <v>531</v>
      </c>
      <c r="H13" s="42">
        <v>66164</v>
      </c>
      <c r="I13" s="42">
        <v>64531</v>
      </c>
      <c r="J13" s="30" t="s">
        <v>190</v>
      </c>
      <c r="K13" s="42">
        <v>63309</v>
      </c>
      <c r="L13" s="134" t="s">
        <v>51</v>
      </c>
      <c r="M13" s="135">
        <f t="shared" si="0"/>
        <v>645.21600000000001</v>
      </c>
      <c r="N13" s="136" t="str">
        <f>VLOOKUP(C13,'Trips&amp;Operators'!$C$1:$G$99999,5,FALSE)</f>
        <v>SMITH MICHAEL</v>
      </c>
      <c r="O13" s="210" t="s">
        <v>182</v>
      </c>
      <c r="P13" s="137" t="s">
        <v>402</v>
      </c>
      <c r="Q13" s="30"/>
      <c r="R13" s="84" t="str">
        <f>VLOOKUP(C13,'Train Runs'!$A$13:$AE$9935,31,0)</f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S13" s="87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-06-04T17:29:37-0600',mode:absolute,to:'2017-06-04T20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3" s="89" t="str">
        <f t="shared" si="1"/>
        <v>"C:\Program Files (x86)\AstroGrep\AstroGrep.exe" /e /r /s /spath="%USERPROFILE%\AppData\Local\Temp\OnboardLogs" /stypes="*4059*201706050*"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4059</v>
      </c>
      <c r="V13" s="31">
        <f t="shared" si="3"/>
        <v>42891.044803240744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arrival","project_id":79,"tracker_id":40,"status_id":1,"priority_id":2,"assigned_to_id":23,"start_date":"2017-06-04","description":"","custom_fields":[{"id":1,"name":"Subdivision","value":"EC"},{"id":4,"name":"Milepost","value":"6.3309"},{"id":17,"name":"Train ID","value":"214-04"},{"id":16,"name":"Locomotive ID","value":"4059"},{"id":130,"name":"Impact","value":""},{"id":150,"name":"Time of Event (Mountain Time)","value":"19:04:31"},{"id":151,"name":"Denver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/cygdrive/c/Users/stu/AppData/Local/Temp/OnboardLogs/RTDC4059 --include="*4059*201706050*"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"%USERPROFILE%\AppData\Local\Temp\OnboardLogs"\RTDC4059\*4059*201706050* &gt;&gt; 2017-06-04-SliceDisagreementCheck.txt</v>
      </c>
      <c r="AE13" s="148" t="str">
        <f t="shared" si="9"/>
        <v>start /low /b %USERPROFILE%\Documents\GitHub\eaglep3\Utilities\DownloadLogsFromS3.py --loco 4059 --day 2017-06-05</v>
      </c>
    </row>
    <row r="14" spans="1:32" x14ac:dyDescent="0.25">
      <c r="A14" s="31">
        <v>42890.575578703705</v>
      </c>
      <c r="B14" s="30" t="s">
        <v>409</v>
      </c>
      <c r="C14" s="30" t="s">
        <v>661</v>
      </c>
      <c r="D14" s="30" t="s">
        <v>49</v>
      </c>
      <c r="E14" s="30" t="s">
        <v>189</v>
      </c>
      <c r="F14" s="42">
        <v>470</v>
      </c>
      <c r="G14" s="42">
        <v>529</v>
      </c>
      <c r="H14" s="42">
        <v>79427</v>
      </c>
      <c r="I14" s="42">
        <v>77852</v>
      </c>
      <c r="J14" s="30" t="s">
        <v>190</v>
      </c>
      <c r="K14" s="42">
        <v>78469</v>
      </c>
      <c r="L14" s="134" t="s">
        <v>51</v>
      </c>
      <c r="M14" s="135">
        <f t="shared" si="0"/>
        <v>-325.77600000000001</v>
      </c>
      <c r="N14" s="136" t="str">
        <f>VLOOKUP(C14,'Trips&amp;Operators'!$C$1:$G$99999,5,FALSE)</f>
        <v>BROWN JACOB</v>
      </c>
      <c r="O14" s="210" t="s">
        <v>182</v>
      </c>
      <c r="P14" s="137" t="s">
        <v>402</v>
      </c>
      <c r="Q14" s="30"/>
      <c r="R14" s="84" t="str">
        <f>VLOOKUP(C14,'Train Runs'!$A$13:$AE$9935,31,0)</f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S14" s="87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-06-04T12:13:35-0600',mode:absolute,to:'2017-06-04T15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9" t="str">
        <f t="shared" si="1"/>
        <v>"C:\Program Files (x86)\AstroGrep\AstroGrep.exe" /e /r /s /spath="%USERPROFILE%\AppData\Local\Temp\OnboardLogs" /stypes="*4059*201706041*"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4059</v>
      </c>
      <c r="V14" s="31">
        <f t="shared" si="3"/>
        <v>42890.825578703705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arrival","project_id":79,"tracker_id":40,"status_id":1,"priority_id":2,"assigned_to_id":23,"start_date":"2017-06-04","description":"","custom_fields":[{"id":1,"name":"Subdivision","value":"EC"},{"id":4,"name":"Milepost","value":"7.8469"},{"id":17,"name":"Train ID","value":"172-04"},{"id":16,"name":"Locomotive ID","value":"4059"},{"id":130,"name":"Impact","value":""},{"id":150,"name":"Time of Event (Mountain Time)","value":"13:48:50"},{"id":151,"name":"Denver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/cygdrive/c/Users/stu/AppData/Local/Temp/OnboardLogs/RTDC4059 --include="*4059*201706041*"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"%USERPROFILE%\AppData\Local\Temp\OnboardLogs"\RTDC4059\*4059*201706041* &gt;&gt; 2017-06-04-SliceDisagreementCheck.txt</v>
      </c>
      <c r="AE14" s="148" t="str">
        <f t="shared" si="9"/>
        <v>start /low /b %USERPROFILE%\Documents\GitHub\eaglep3\Utilities\DownloadLogsFromS3.py --loco 4059 --day 2017-06-04</v>
      </c>
      <c r="AF14" s="1"/>
    </row>
    <row r="15" spans="1:32" x14ac:dyDescent="0.25">
      <c r="A15" s="31">
        <v>42891.035486111112</v>
      </c>
      <c r="B15" s="30" t="s">
        <v>570</v>
      </c>
      <c r="C15" s="30" t="s">
        <v>685</v>
      </c>
      <c r="D15" s="30" t="s">
        <v>49</v>
      </c>
      <c r="E15" s="30" t="s">
        <v>189</v>
      </c>
      <c r="F15" s="42">
        <v>660</v>
      </c>
      <c r="G15" s="42">
        <v>722</v>
      </c>
      <c r="H15" s="42">
        <v>107152</v>
      </c>
      <c r="I15" s="42">
        <v>109948</v>
      </c>
      <c r="J15" s="30" t="s">
        <v>190</v>
      </c>
      <c r="K15" s="42">
        <v>108954</v>
      </c>
      <c r="L15" s="134" t="s">
        <v>50</v>
      </c>
      <c r="M15" s="135">
        <f t="shared" si="0"/>
        <v>-524.83199999999999</v>
      </c>
      <c r="N15" s="136" t="str">
        <f>VLOOKUP(C15,'Trips&amp;Operators'!$C$1:$G$99999,5,FALSE)</f>
        <v>HAITHCOX MICHAEL</v>
      </c>
      <c r="O15" s="210" t="s">
        <v>182</v>
      </c>
      <c r="P15" s="137" t="s">
        <v>402</v>
      </c>
      <c r="Q15" s="30"/>
      <c r="R15" s="84" t="str">
        <f>VLOOKUP(C15,'Train Runs'!$A$13:$AE$9935,31,0)</f>
        <v>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 &amp; 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</v>
      </c>
      <c r="S15" s="87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-06-04T23:22:14-0600',mode:absolute,to:'2017-06-05T02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5" s="89" t="str">
        <f t="shared" si="1"/>
        <v>"C:\Program Files (x86)\AstroGrep\AstroGrep.exe" /e /r /s /spath="%USERPROFILE%\AppData\Local\Temp\OnboardLogs" /stypes="*4004*201706050*" /stext=" 06:.+((SYSTEM_STATE.+slice.+state.+changed )|(ment ac)|(multiple cpu faults)|(system.+state.+changed )|(\[timeout)|(PRM\|1\|D)|(kpr)|(kdp)|(train st.+moving)|(\|lc)|(penalty))"</v>
      </c>
      <c r="U15" s="9" t="str">
        <f t="shared" si="2"/>
        <v>4004</v>
      </c>
      <c r="V15" s="31">
        <f t="shared" si="3"/>
        <v>42891.285486111112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arrival","project_id":79,"tracker_id":40,"status_id":1,"priority_id":2,"assigned_to_id":23,"start_date":"2017-06-05","description":"","custom_fields":[{"id":1,"name":"Subdivision","value":"EC"},{"id":4,"name":"Milepost","value":"10.8954"},{"id":17,"name":"Train ID","value":"243-04"},{"id":16,"name":"Locomotive ID","value":"4004"},{"id":130,"name":"Impact","value":""},{"id":150,"name":"Time of Event (Mountain Time)","value":"00:51:06"},{"id":151,"name":"Denver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/cygdrive/c/Users/stu/AppData/Local/Temp/OnboardLogs/RTDC4004 --include="*4004*201706050*"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"%USERPROFILE%\AppData\Local\Temp\OnboardLogs"\RTDC4004\*4004*201706050* &gt;&gt; 2017-06-04-SliceDisagreementCheck.txt</v>
      </c>
      <c r="AE15" s="148" t="str">
        <f t="shared" si="9"/>
        <v>start /low /b %USERPROFILE%\Documents\GitHub\eaglep3\Utilities\DownloadLogsFromS3.py --loco 4004 --day 2017-06-05</v>
      </c>
      <c r="AF15" s="1"/>
    </row>
    <row r="16" spans="1:32" x14ac:dyDescent="0.25">
      <c r="A16" s="31">
        <v>42890.851793981485</v>
      </c>
      <c r="B16" s="30" t="s">
        <v>572</v>
      </c>
      <c r="C16" s="30" t="s">
        <v>679</v>
      </c>
      <c r="D16" s="30" t="s">
        <v>49</v>
      </c>
      <c r="E16" s="30" t="s">
        <v>202</v>
      </c>
      <c r="F16" s="42">
        <v>200</v>
      </c>
      <c r="G16" s="42">
        <v>261</v>
      </c>
      <c r="H16" s="42">
        <v>31195</v>
      </c>
      <c r="I16" s="42">
        <v>30717</v>
      </c>
      <c r="J16" s="30" t="s">
        <v>203</v>
      </c>
      <c r="K16" s="42">
        <v>30562</v>
      </c>
      <c r="L16" s="134" t="s">
        <v>51</v>
      </c>
      <c r="M16" s="135">
        <f t="shared" si="0"/>
        <v>81.84</v>
      </c>
      <c r="N16" s="136" t="str">
        <f>VLOOKUP(C16,'Trips&amp;Operators'!$C$1:$G$99999,5,FALSE)</f>
        <v>STAMBAUGH JAMES</v>
      </c>
      <c r="O16" s="210" t="s">
        <v>182</v>
      </c>
      <c r="P16" s="137"/>
      <c r="Q16" s="30"/>
      <c r="R16" s="84" t="str">
        <f>VLOOKUP(C16,'Train Runs'!$A$13:$AE$9935,31,0)</f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S16" s="87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-06-04T18:53:48-0600',mode:absolute,to:'2017-06-04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89" t="str">
        <f t="shared" si="1"/>
        <v>"C:\Program Files (x86)\AstroGrep\AstroGrep.exe" /e /r /s /spath="%USERPROFILE%\AppData\Local\Temp\OnboardLogs" /stypes="*4011*201706050*"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4011</v>
      </c>
      <c r="V16" s="31">
        <f t="shared" si="3"/>
        <v>42891.101793981485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{"issue":{"subject":"","project_id":79,"tracker_id":40,"status_id":1,"priority_id":2,"assigned_to_id":23,"start_date":"2017-06-04","description":"","custom_fields":[{"id":1,"name":"Subdivision","value":"EC"},{"id":4,"name":"Milepost","value":"3.0562"},{"id":17,"name":"Train ID","value":"222-04"},{"id":16,"name":"Locomotive ID","value":"4011"},{"id":130,"name":"Impact","value":""},{"id":150,"name":"Time of Event (Mountain Time)","value":"20:26:35"},{"id":151,"name":"Denver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/cygdrive/c/Users/stu/AppData/Local/Temp/OnboardLogs/RTDC4011 --include="*4011*201706050*"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"%USERPROFILE%\AppData\Local\Temp\OnboardLogs"\RTDC4011\*4011*201706050* &gt;&gt; 2017-06-04-SliceDisagreementCheck.txt</v>
      </c>
      <c r="AE16" s="148" t="str">
        <f t="shared" si="9"/>
        <v>start /low /b %USERPROFILE%\Documents\GitHub\eaglep3\Utilities\DownloadLogsFromS3.py --loco 4011 --day 2017-06-05</v>
      </c>
      <c r="AF16" s="1"/>
    </row>
    <row r="17" spans="1:32" x14ac:dyDescent="0.25">
      <c r="A17" s="31">
        <v>42890.327916666669</v>
      </c>
      <c r="B17" s="30" t="s">
        <v>653</v>
      </c>
      <c r="C17" s="30" t="s">
        <v>654</v>
      </c>
      <c r="D17" s="30" t="s">
        <v>49</v>
      </c>
      <c r="E17" s="30" t="s">
        <v>202</v>
      </c>
      <c r="F17" s="42">
        <v>400</v>
      </c>
      <c r="G17" s="42">
        <v>505</v>
      </c>
      <c r="H17" s="42">
        <v>115722</v>
      </c>
      <c r="I17" s="42">
        <v>117073</v>
      </c>
      <c r="J17" s="30" t="s">
        <v>203</v>
      </c>
      <c r="K17" s="42">
        <v>116838</v>
      </c>
      <c r="L17" s="134" t="s">
        <v>50</v>
      </c>
      <c r="M17" s="135">
        <f t="shared" si="0"/>
        <v>-124.08</v>
      </c>
      <c r="N17" s="136" t="str">
        <f>VLOOKUP(C17,'Trips&amp;Operators'!$C$1:$G$99999,5,FALSE)</f>
        <v>MACDONALD THOMAS</v>
      </c>
      <c r="O17" s="210" t="s">
        <v>182</v>
      </c>
      <c r="P17" s="137"/>
      <c r="Q17" s="30"/>
      <c r="R17" s="84" t="str">
        <f>VLOOKUP(C17,'Train Runs'!$A$13:$AE$9935,31,0)</f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S17" s="87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-06-04T06:21:30-0600',mode:absolute,to:'2017-06-04T09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7" s="89" t="str">
        <f t="shared" si="1"/>
        <v>"C:\Program Files (x86)\AstroGrep\AstroGrep.exe" /e /r /s /spath="%USERPROFILE%\AppData\Local\Temp\OnboardLogs" /stypes="*4056*201706041*"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4056</v>
      </c>
      <c r="V17" s="31">
        <f t="shared" si="3"/>
        <v>42890.577916666669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{"issue":{"subject":"","project_id":79,"tracker_id":40,"status_id":1,"priority_id":2,"assigned_to_id":23,"start_date":"2017-06-04","description":"","custom_fields":[{"id":1,"name":"Subdivision","value":"EC"},{"id":4,"name":"Milepost","value":"11.6838"},{"id":17,"name":"Train ID","value":"131-04"},{"id":16,"name":"Locomotive ID","value":"4056"},{"id":130,"name":"Impact","value":""},{"id":150,"name":"Time of Event (Mountain Time)","value":"07:52:12"},{"id":151,"name":"Denver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/cygdrive/c/Users/stu/AppData/Local/Temp/OnboardLogs/RTDC4056 --include="*4056*201706041*"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"%USERPROFILE%\AppData\Local\Temp\OnboardLogs"\RTDC4056\*4056*201706041* &gt;&gt; 2017-06-04-SliceDisagreementCheck.txt</v>
      </c>
      <c r="AE17" s="148" t="str">
        <f t="shared" si="9"/>
        <v>start /low /b %USERPROFILE%\Documents\GitHub\eaglep3\Utilities\DownloadLogsFromS3.py --loco 4056 --day 2017-06-04</v>
      </c>
      <c r="AF17" s="1"/>
    </row>
    <row r="18" spans="1:32" x14ac:dyDescent="0.25">
      <c r="A18" s="31">
        <v>42890.419236111113</v>
      </c>
      <c r="B18" s="30" t="s">
        <v>491</v>
      </c>
      <c r="C18" s="30" t="s">
        <v>655</v>
      </c>
      <c r="D18" s="30" t="s">
        <v>49</v>
      </c>
      <c r="E18" s="30" t="s">
        <v>202</v>
      </c>
      <c r="F18" s="42">
        <v>350</v>
      </c>
      <c r="G18" s="42">
        <v>509</v>
      </c>
      <c r="H18" s="42">
        <v>222680</v>
      </c>
      <c r="I18" s="42">
        <v>224331</v>
      </c>
      <c r="J18" s="30" t="s">
        <v>203</v>
      </c>
      <c r="K18" s="42">
        <v>224578</v>
      </c>
      <c r="L18" s="134" t="s">
        <v>50</v>
      </c>
      <c r="M18" s="135">
        <f t="shared" si="0"/>
        <v>130.416</v>
      </c>
      <c r="N18" s="136" t="str">
        <f>VLOOKUP(C18,'Trips&amp;Operators'!$C$1:$G$99999,5,FALSE)</f>
        <v>DAVIS WENDY</v>
      </c>
      <c r="O18" s="210" t="s">
        <v>182</v>
      </c>
      <c r="P18" s="137"/>
      <c r="Q18" s="30"/>
      <c r="R18" s="84" t="str">
        <f>VLOOKUP(C18,'Train Runs'!$A$13:$AE$9935,31,0)</f>
        <v>aws s3 cp s3://rtdc.mdm.uploadarchive.raw/RTDC4024/ "%USERPROFILE%\AppData\Local\Temp\OnboardLogs"\RTDC4024\2017-06-04 --exclude "*" --recursive --include "*20170604*" &amp; "%USERPROFILE%\Documents\GitHub\mrs-test-scripts\Headless Mode &amp; Sideloading\WalkAndUnGZ.bat" "%USERPROFILE%\AppData\Local\Temp\OnboardLogs"\RTDC4024\2017-06-04 &amp; aws s3 cp s3://rtdc.mdm.uploadarchive.raw/RTDC4024/ "%USERPROFILE%\AppData\Local\Temp\OnboardLogs"\RTDC4024\2017-06-05 --exclude "*" --recursive --include "*20170605*" &amp; "%USERPROFILE%\Documents\GitHub\mrs-test-scripts\Headless Mode &amp; Sideloading\WalkAndUnGZ.bat" "%USERPROFILE%\AppData\Local\Temp\OnboardLogs"\RTDC4024\2017-06-05</v>
      </c>
      <c r="S18" s="87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-06-04T08:22:07-0600',mode:absolute,to:'2017-06-04T11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8" s="89" t="str">
        <f t="shared" si="1"/>
        <v>"C:\Program Files (x86)\AstroGrep\AstroGrep.exe" /e /r /s /spath="%USERPROFILE%\AppData\Local\Temp\OnboardLogs" /stypes="*4024*201706041*"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4024</v>
      </c>
      <c r="V18" s="31">
        <f t="shared" si="3"/>
        <v>42890.669236111113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{"issue":{"subject":"","project_id":79,"tracker_id":40,"status_id":1,"priority_id":2,"assigned_to_id":23,"start_date":"2017-06-04","description":"","custom_fields":[{"id":1,"name":"Subdivision","value":"EC"},{"id":4,"name":"Milepost","value":"22.4578"},{"id":17,"name":"Train ID","value":"147-04"},{"id":16,"name":"Locomotive ID","value":"4024"},{"id":130,"name":"Impact","value":""},{"id":150,"name":"Time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/cygdrive/c/Users/stu/AppData/Local/Temp/OnboardLogs/RTDC4024 --include="*4024*201706041*"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"%USERPROFILE%\AppData\Local\Temp\OnboardLogs"\RTDC4024\*4024*201706041* &gt;&gt; 2017-06-04-SliceDisagreementCheck.txt</v>
      </c>
      <c r="AE18" s="148" t="str">
        <f t="shared" si="9"/>
        <v>start /low /b %USERPROFILE%\Documents\GitHub\eaglep3\Utilities\DownloadLogsFromS3.py --loco 4024 --day 2017-06-04</v>
      </c>
      <c r="AF18" s="1"/>
    </row>
    <row r="19" spans="1:32" x14ac:dyDescent="0.25">
      <c r="A19" s="31">
        <v>42891.039629629631</v>
      </c>
      <c r="B19" s="30" t="s">
        <v>570</v>
      </c>
      <c r="C19" s="30" t="s">
        <v>685</v>
      </c>
      <c r="D19" s="30" t="s">
        <v>49</v>
      </c>
      <c r="E19" s="30" t="s">
        <v>366</v>
      </c>
      <c r="F19" s="42">
        <v>0</v>
      </c>
      <c r="G19" s="42">
        <v>781</v>
      </c>
      <c r="H19" s="42">
        <v>142463</v>
      </c>
      <c r="I19" s="42">
        <v>146530</v>
      </c>
      <c r="J19" s="30" t="s">
        <v>367</v>
      </c>
      <c r="K19" s="42">
        <v>144300</v>
      </c>
      <c r="L19" s="134" t="s">
        <v>50</v>
      </c>
      <c r="M19" s="135">
        <f t="shared" si="0"/>
        <v>-1177.44</v>
      </c>
      <c r="N19" s="136" t="str">
        <f>VLOOKUP(C19,'Trips&amp;Operators'!$C$1:$G$99999,5,FALSE)</f>
        <v>HAITHCOX MICHAEL</v>
      </c>
      <c r="O19" s="210" t="s">
        <v>418</v>
      </c>
      <c r="P19" s="137" t="s">
        <v>419</v>
      </c>
      <c r="Q19" s="30"/>
      <c r="R19" s="84" t="str">
        <f>VLOOKUP(C19,'Train Runs'!$A$13:$AE$9935,31,0)</f>
        <v>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 &amp; aws s3 cp s3://rtdc.mdm.uploadarchive.raw/RTDC4004/ "%USERPROFILE%\AppData\Local\Temp\OnboardLogs"\RTDC4004\2017-06-06 --exclude "*" --recursive --include "*20170606*" &amp; "%USERPROFILE%\Documents\GitHub\mrs-test-scripts\Headless Mode &amp; Sideloading\WalkAndUnGZ.bat" "%USERPROFILE%\AppData\Local\Temp\OnboardLogs"\RTDC4004\2017-06-06</v>
      </c>
      <c r="S19" s="87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-06-04T23:22:14-0600',mode:absolute,to:'2017-06-05T02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89" t="str">
        <f t="shared" si="1"/>
        <v>"C:\Program Files (x86)\AstroGrep\AstroGrep.exe" /e /r /s /spath="%USERPROFILE%\AppData\Local\Temp\OnboardLogs" /stypes="*4004*201706050*"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4004</v>
      </c>
      <c r="V19" s="31">
        <f t="shared" si="3"/>
        <v>42891.289629629631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drop","project_id":79,"tracker_id":40,"status_id":1,"priority_id":2,"assigned_to_id":23,"start_date":"2017-06-05","description":"","custom_fields":[{"id":1,"name":"Subdivision","value":"EC"},{"id":4,"name":"Milepost","value":"14.43"},{"id":17,"name":"Train ID","value":"243-04"},{"id":16,"name":"Locomotive ID","value":"4004"},{"id":130,"name":"Impact","value":""},{"id":150,"name":"Time of Event (Mountain Time)","value":"00:57:04"},{"id":151,"name":"Denver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/cygdrive/c/Users/stu/AppData/Local/Temp/OnboardLogs/RTDC4004 --include="*4004*201706050*"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"%USERPROFILE%\AppData\Local\Temp\OnboardLogs"\RTDC4004\*4004*201706050* &gt;&gt; 2017-06-04-SliceDisagreementCheck.txt</v>
      </c>
      <c r="AE19" s="148" t="str">
        <f t="shared" si="9"/>
        <v>start /low /b %USERPROFILE%\Documents\GitHub\eaglep3\Utilities\DownloadLogsFromS3.py --loco 4004 --day 2017-06-05</v>
      </c>
      <c r="AF19" s="1"/>
    </row>
    <row r="20" spans="1:32" x14ac:dyDescent="0.25">
      <c r="A20" s="31">
        <v>42890.320497685185</v>
      </c>
      <c r="B20" s="30" t="s">
        <v>412</v>
      </c>
      <c r="C20" s="30" t="s">
        <v>652</v>
      </c>
      <c r="D20" s="30" t="s">
        <v>49</v>
      </c>
      <c r="E20" s="30" t="s">
        <v>366</v>
      </c>
      <c r="F20" s="42">
        <v>0</v>
      </c>
      <c r="G20" s="42">
        <v>726</v>
      </c>
      <c r="H20" s="42">
        <v>148906</v>
      </c>
      <c r="I20" s="42">
        <v>152233</v>
      </c>
      <c r="J20" s="30" t="s">
        <v>367</v>
      </c>
      <c r="K20" s="42">
        <v>149694</v>
      </c>
      <c r="L20" s="134" t="s">
        <v>50</v>
      </c>
      <c r="M20" s="135">
        <f t="shared" si="0"/>
        <v>-1340.5920000000001</v>
      </c>
      <c r="N20" s="136" t="str">
        <f>VLOOKUP(C20,'Trips&amp;Operators'!$C$1:$G$99999,5,FALSE)</f>
        <v>WILLIAMS DONTE</v>
      </c>
      <c r="O20" s="210" t="s">
        <v>418</v>
      </c>
      <c r="P20" s="137" t="s">
        <v>419</v>
      </c>
      <c r="Q20" s="30"/>
      <c r="R20" s="84" t="str">
        <f>VLOOKUP(C20,'Train Runs'!$A$13:$AE$9935,31,0)</f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S20" s="87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-06-04T06:10:12-0600',mode:absolute,to:'2017-06-04T08:58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0" s="89" t="str">
        <f t="shared" si="1"/>
        <v>"C:\Program Files (x86)\AstroGrep\AstroGrep.exe" /e /r /s /spath="%USERPROFILE%\AppData\Local\Temp\OnboardLogs" /stypes="*4060*201706041*"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4060</v>
      </c>
      <c r="V20" s="31">
        <f t="shared" si="3"/>
        <v>42890.570497685185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drop","project_id":79,"tracker_id":40,"status_id":1,"priority_id":2,"assigned_to_id":23,"start_date":"2017-06-04","description":"","custom_fields":[{"id":1,"name":"Subdivision","value":"EC"},{"id":4,"name":"Milepost","value":"14.9694"},{"id":17,"name":"Train ID","value":"129-04"},{"id":16,"name":"Locomotive ID","value":"4060"},{"id":130,"name":"Impact","value":""},{"id":150,"name":"Time of Event (Mountain Time)","value":"07:41:31"},{"id":151,"name":"Denver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/cygdrive/c/Users/stu/AppData/Local/Temp/OnboardLogs/RTDC4060 --include="*4060*201706041*"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"%USERPROFILE%\AppData\Local\Temp\OnboardLogs"\RTDC4060\*4060*201706041* &gt;&gt; 2017-06-04-SliceDisagreementCheck.txt</v>
      </c>
      <c r="AE20" s="148" t="str">
        <f t="shared" si="9"/>
        <v>start /low /b %USERPROFILE%\Documents\GitHub\eaglep3\Utilities\DownloadLogsFromS3.py --loco 4060 --day 2017-06-04</v>
      </c>
      <c r="AF20" s="1"/>
    </row>
    <row r="21" spans="1:32" x14ac:dyDescent="0.25">
      <c r="A21" s="31">
        <v>42890.32503472222</v>
      </c>
      <c r="B21" s="30" t="s">
        <v>412</v>
      </c>
      <c r="C21" s="30" t="s">
        <v>652</v>
      </c>
      <c r="D21" s="30" t="s">
        <v>98</v>
      </c>
      <c r="E21" s="30" t="s">
        <v>366</v>
      </c>
      <c r="F21" s="42">
        <v>200</v>
      </c>
      <c r="G21" s="42">
        <v>257</v>
      </c>
      <c r="H21" s="42">
        <v>155095</v>
      </c>
      <c r="I21" s="42">
        <v>155835</v>
      </c>
      <c r="J21" s="30" t="s">
        <v>367</v>
      </c>
      <c r="K21" s="42">
        <v>149694</v>
      </c>
      <c r="L21" s="134" t="s">
        <v>50</v>
      </c>
      <c r="M21" s="135">
        <f t="shared" si="0"/>
        <v>-3242.4479999999999</v>
      </c>
      <c r="N21" s="136" t="str">
        <f>VLOOKUP(C21,'Trips&amp;Operators'!$C$1:$G$99999,5,FALSE)</f>
        <v>WILLIAMS DONTE</v>
      </c>
      <c r="O21" s="210" t="s">
        <v>182</v>
      </c>
      <c r="P21" s="137" t="s">
        <v>1015</v>
      </c>
      <c r="Q21" s="30"/>
      <c r="R21" s="84" t="str">
        <f>VLOOKUP(C21,'Train Runs'!$A$13:$AE$9935,31,0)</f>
        <v>aws s3 cp s3://rtdc.mdm.uploadarchive.raw/RTDC4060/ "%USERPROFILE%\AppData\Local\Temp\OnboardLogs"\RTDC4060\2017-06-04 --exclude "*" --recursive --include "*20170604*" &amp; "%USERPROFILE%\Documents\GitHub\mrs-test-scripts\Headless Mode &amp; Sideloading\WalkAndUnGZ.bat" "%USERPROFILE%\AppData\Local\Temp\OnboardLogs"\RTDC4060\2017-06-04 &amp; aws s3 cp s3://rtdc.mdm.uploadarchive.raw/RTDC4060/ "%USERPROFILE%\AppData\Local\Temp\OnboardLogs"\RTDC4060\2017-06-05 --exclude "*" --recursive --include "*20170605*" &amp; "%USERPROFILE%\Documents\GitHub\mrs-test-scripts\Headless Mode &amp; Sideloading\WalkAndUnGZ.bat" "%USERPROFILE%\AppData\Local\Temp\OnboardLogs"\RTDC4060\2017-06-05</v>
      </c>
      <c r="S21" s="87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-06-04T06:10:12-0600',mode:absolute,to:'2017-06-04T08:58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1" s="89" t="str">
        <f t="shared" si="1"/>
        <v>"C:\Program Files (x86)\AstroGrep\AstroGrep.exe" /e /r /s /spath="%USERPROFILE%\AppData\Local\Temp\OnboardLogs" /stypes="*4060*201706041*"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4060</v>
      </c>
      <c r="V21" s="31">
        <f t="shared" si="3"/>
        <v>42890.57503472222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Overspeed","project_id":79,"tracker_id":40,"status_id":1,"priority_id":2,"assigned_to_id":23,"start_date":"2017-06-04","description":"","custom_fields":[{"id":1,"name":"Subdivision","value":"EC"},{"id":4,"name":"Milepost","value":"14.9694"},{"id":17,"name":"Train ID","value":"129-04"},{"id":16,"name":"Locomotive ID","value":"4060"},{"id":130,"name":"Impact","value":""},{"id":150,"name":"Time of Event (Mountain Time)","value":"07:48:03"},{"id":151,"name":"Denver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/cygdrive/c/Users/stu/AppData/Local/Temp/OnboardLogs/RTDC4060 --include="*4060*201706041*"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"%USERPROFILE%\AppData\Local\Temp\OnboardLogs"\RTDC4060\*4060*201706041* &gt;&gt; 2017-06-04-SliceDisagreementCheck.txt</v>
      </c>
      <c r="AE21" s="148" t="str">
        <f t="shared" si="9"/>
        <v>start /low /b %USERPROFILE%\Documents\GitHub\eaglep3\Utilities\DownloadLogsFromS3.py --loco 4060 --day 2017-06-04</v>
      </c>
      <c r="AF21" s="1"/>
    </row>
    <row r="22" spans="1:32" x14ac:dyDescent="0.25">
      <c r="A22" s="31">
        <v>42890.555543981478</v>
      </c>
      <c r="B22" s="30" t="s">
        <v>375</v>
      </c>
      <c r="C22" s="30" t="s">
        <v>658</v>
      </c>
      <c r="D22" s="30" t="s">
        <v>49</v>
      </c>
      <c r="E22" s="30" t="s">
        <v>366</v>
      </c>
      <c r="F22" s="42">
        <v>0</v>
      </c>
      <c r="G22" s="42">
        <v>684</v>
      </c>
      <c r="H22" s="42">
        <v>172078</v>
      </c>
      <c r="I22" s="42">
        <v>168833</v>
      </c>
      <c r="J22" s="30" t="s">
        <v>367</v>
      </c>
      <c r="K22" s="42">
        <v>168014</v>
      </c>
      <c r="L22" s="134" t="s">
        <v>51</v>
      </c>
      <c r="M22" s="135">
        <f t="shared" si="0"/>
        <v>432.43200000000002</v>
      </c>
      <c r="N22" s="136" t="str">
        <f>VLOOKUP(C22,'Trips&amp;Operators'!$C$1:$G$99999,5,FALSE)</f>
        <v>DELGADO DIANAH</v>
      </c>
      <c r="O22" s="210" t="s">
        <v>418</v>
      </c>
      <c r="P22" s="137" t="s">
        <v>419</v>
      </c>
      <c r="Q22" s="30"/>
      <c r="R22" s="84" t="str">
        <f>VLOOKUP(C22,'Train Runs'!$A$13:$AE$9935,31,0)</f>
        <v>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 &amp; aws s3 cp s3://rtdc.mdm.uploadarchive.raw/RTDC4039/ "%USERPROFILE%\AppData\Local\Temp\OnboardLogs"\RTDC4039\2017-06-05 --exclude "*" --recursive --include "*20170605*" &amp; "%USERPROFILE%\Documents\GitHub\mrs-test-scripts\Headless Mode &amp; Sideloading\WalkAndUnGZ.bat" "%USERPROFILE%\AppData\Local\Temp\OnboardLogs"\RTDC4039\2017-06-05</v>
      </c>
      <c r="S22" s="87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-06-04T11:57:32-0600',mode:absolute,to:'2017-06-04T14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9" t="str">
        <f t="shared" si="1"/>
        <v>"C:\Program Files (x86)\AstroGrep\AstroGrep.exe" /e /r /s /spath="%USERPROFILE%\AppData\Local\Temp\OnboardLogs" /stypes="*4039*201706041*"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4039</v>
      </c>
      <c r="V22" s="31">
        <f t="shared" si="3"/>
        <v>42890.805543981478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drop","project_id":79,"tracker_id":40,"status_id":1,"priority_id":2,"assigned_to_id":23,"start_date":"2017-06-04","description":"","custom_fields":[{"id":1,"name":"Subdivision","value":"EC"},{"id":4,"name":"Milepost","value":"16.8014"},{"id":17,"name":"Train ID","value":"170-04"},{"id":16,"name":"Locomotive ID","value":"4039"},{"id":130,"name":"Impact","value":""},{"id":150,"name":"Time of Event (Mountain Time)","value":"13:19:59"},{"id":151,"name":"Denver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/cygdrive/c/Users/stu/AppData/Local/Temp/OnboardLogs/RTDC4039 --include="*4039*201706041*"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"%USERPROFILE%\AppData\Local\Temp\OnboardLogs"\RTDC4039\*4039*201706041* &gt;&gt; 2017-06-04-SliceDisagreementCheck.txt</v>
      </c>
      <c r="AE22" s="148" t="str">
        <f t="shared" si="9"/>
        <v>start /low /b %USERPROFILE%\Documents\GitHub\eaglep3\Utilities\DownloadLogsFromS3.py --loco 4039 --day 2017-06-04</v>
      </c>
      <c r="AF22" s="1"/>
    </row>
    <row r="23" spans="1:32" x14ac:dyDescent="0.25">
      <c r="A23" s="31">
        <v>42890.722210648149</v>
      </c>
      <c r="B23" s="30" t="s">
        <v>649</v>
      </c>
      <c r="C23" s="30" t="s">
        <v>668</v>
      </c>
      <c r="D23" s="30" t="s">
        <v>49</v>
      </c>
      <c r="E23" s="30" t="s">
        <v>366</v>
      </c>
      <c r="F23" s="42">
        <v>0</v>
      </c>
      <c r="G23" s="42">
        <v>709</v>
      </c>
      <c r="H23" s="42">
        <v>180728</v>
      </c>
      <c r="I23" s="42">
        <v>177381</v>
      </c>
      <c r="J23" s="30" t="s">
        <v>367</v>
      </c>
      <c r="K23" s="42">
        <v>175398</v>
      </c>
      <c r="L23" s="134" t="s">
        <v>51</v>
      </c>
      <c r="M23" s="135">
        <f t="shared" si="0"/>
        <v>1047.0239999999999</v>
      </c>
      <c r="N23" s="136" t="str">
        <f>VLOOKUP(C23,'Trips&amp;Operators'!$C$1:$G$99999,5,FALSE)</f>
        <v>MCREYNOLDS KYLE</v>
      </c>
      <c r="O23" s="210" t="s">
        <v>418</v>
      </c>
      <c r="P23" s="137" t="s">
        <v>419</v>
      </c>
      <c r="Q23" s="30"/>
      <c r="R23" s="84" t="str">
        <f>VLOOKUP(C23,'Train Runs'!$A$13:$AE$9935,31,0)</f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S23" s="87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-06-04T15:52:18-0600',mode:absolute,to:'2017-06-04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3" s="89" t="str">
        <f t="shared" si="1"/>
        <v>"C:\Program Files (x86)\AstroGrep\AstroGrep.exe" /e /r /s /spath="%USERPROFILE%\AppData\Local\Temp\OnboardLogs" /stypes="*4055*201706042*"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4055</v>
      </c>
      <c r="V23" s="31">
        <f t="shared" si="3"/>
        <v>42890.972210648149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drop","project_id":79,"tracker_id":40,"status_id":1,"priority_id":2,"assigned_to_id":23,"start_date":"2017-06-04","description":"","custom_fields":[{"id":1,"name":"Subdivision","value":"EC"},{"id":4,"name":"Milepost","value":"17.5398"},{"id":17,"name":"Train ID","value":"202-04"},{"id":16,"name":"Locomotive ID","value":"4055"},{"id":130,"name":"Impact","value":""},{"id":150,"name":"Time of Event (Mountain Time)","value":"17:19:59"},{"id":151,"name":"Denver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/cygdrive/c/Users/stu/AppData/Local/Temp/OnboardLogs/RTDC4055 --include="*4055*201706042*"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"%USERPROFILE%\AppData\Local\Temp\OnboardLogs"\RTDC4055\*4055*201706042* &gt;&gt; 2017-06-04-SliceDisagreementCheck.txt</v>
      </c>
      <c r="AE23" s="148" t="str">
        <f t="shared" si="9"/>
        <v>start /low /b %USERPROFILE%\Documents\GitHub\eaglep3\Utilities\DownloadLogsFromS3.py --loco 4055 --day 2017-06-04</v>
      </c>
      <c r="AF23" s="1"/>
    </row>
    <row r="24" spans="1:32" x14ac:dyDescent="0.25">
      <c r="A24" s="31">
        <v>42890.470289351855</v>
      </c>
      <c r="B24" s="30" t="s">
        <v>572</v>
      </c>
      <c r="C24" s="30" t="s">
        <v>656</v>
      </c>
      <c r="D24" s="30" t="s">
        <v>49</v>
      </c>
      <c r="E24" s="30" t="s">
        <v>366</v>
      </c>
      <c r="F24" s="42">
        <v>0</v>
      </c>
      <c r="G24" s="42">
        <v>590</v>
      </c>
      <c r="H24" s="42">
        <v>200316</v>
      </c>
      <c r="I24" s="42">
        <v>197911</v>
      </c>
      <c r="J24" s="30" t="s">
        <v>367</v>
      </c>
      <c r="K24" s="42">
        <v>198256</v>
      </c>
      <c r="L24" s="134" t="s">
        <v>51</v>
      </c>
      <c r="M24" s="135">
        <f t="shared" si="0"/>
        <v>-182.16</v>
      </c>
      <c r="N24" s="136" t="str">
        <f>VLOOKUP(C24,'Trips&amp;Operators'!$C$1:$G$99999,5,FALSE)</f>
        <v>MOSES BRADLEY</v>
      </c>
      <c r="O24" s="210" t="s">
        <v>418</v>
      </c>
      <c r="P24" s="137" t="s">
        <v>419</v>
      </c>
      <c r="Q24" s="30"/>
      <c r="R24" s="84" t="str">
        <f>VLOOKUP(C24,'Train Runs'!$A$13:$AE$9935,31,0)</f>
        <v>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 &amp; aws s3 cp s3://rtdc.mdm.uploadarchive.raw/RTDC4011/ "%USERPROFILE%\AppData\Local\Temp\OnboardLogs"\RTDC4011\2017-06-05 --exclude "*" --recursive --include "*20170605*" &amp; "%USERPROFILE%\Documents\GitHub\mrs-test-scripts\Headless Mode &amp; Sideloading\WalkAndUnGZ.bat" "%USERPROFILE%\AppData\Local\Temp\OnboardLogs"\RTDC4011\2017-06-05</v>
      </c>
      <c r="S24" s="87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-06-04T10:07:04-0600',mode:absolute,to:'2017-06-04T12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89" t="str">
        <f t="shared" si="1"/>
        <v>"C:\Program Files (x86)\AstroGrep\AstroGrep.exe" /e /r /s /spath="%USERPROFILE%\AppData\Local\Temp\OnboardLogs" /stypes="*4011*201706041*" /stext=" 17:.+((SYSTEM_STATE.+slice.+state.+changed )|(ment ac)|(multiple cpu faults)|(system.+state.+changed )|(\[timeout)|(PRM\|1\|D)|(kpr)|(kdp)|(train st.+moving)|(\|lc)|(penalty))"</v>
      </c>
      <c r="U24" s="9" t="str">
        <f t="shared" si="2"/>
        <v>4011</v>
      </c>
      <c r="V24" s="31">
        <f t="shared" si="3"/>
        <v>42890.720289351855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drop","project_id":79,"tracker_id":40,"status_id":1,"priority_id":2,"assigned_to_id":23,"start_date":"2017-06-04","description":"","custom_fields":[{"id":1,"name":"Subdivision","value":"EC"},{"id":4,"name":"Milepost","value":"19.8256"},{"id":17,"name":"Train ID","value":"154-04"},{"id":16,"name":"Locomotive ID","value":"4011"},{"id":130,"name":"Impact","value":""},{"id":150,"name":"Time of Event (Mountain Time)","value":"11:17:13"},{"id":151,"name":"Denver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/cygdrive/c/Users/stu/AppData/Local/Temp/OnboardLogs/RTDC4011 --include="*4011*201706041*"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"%USERPROFILE%\AppData\Local\Temp\OnboardLogs"\RTDC4011\*4011*201706041* &gt;&gt; 2017-06-04-SliceDisagreementCheck.txt</v>
      </c>
      <c r="AE24" s="148" t="str">
        <f t="shared" si="9"/>
        <v>start /low /b %USERPROFILE%\Documents\GitHub\eaglep3\Utilities\DownloadLogsFromS3.py --loco 4011 --day 2017-06-04</v>
      </c>
      <c r="AF24" s="1"/>
    </row>
    <row r="25" spans="1:32" x14ac:dyDescent="0.25">
      <c r="A25" s="31">
        <v>42890.775023148148</v>
      </c>
      <c r="B25" s="30" t="s">
        <v>425</v>
      </c>
      <c r="C25" s="30" t="s">
        <v>675</v>
      </c>
      <c r="D25" s="30" t="s">
        <v>49</v>
      </c>
      <c r="E25" s="30" t="s">
        <v>183</v>
      </c>
      <c r="F25" s="42">
        <v>0</v>
      </c>
      <c r="G25" s="42">
        <v>46</v>
      </c>
      <c r="H25" s="42">
        <v>148</v>
      </c>
      <c r="I25" s="42">
        <v>108</v>
      </c>
      <c r="J25" s="30" t="s">
        <v>184</v>
      </c>
      <c r="K25" s="42">
        <v>1</v>
      </c>
      <c r="L25" s="134" t="s">
        <v>51</v>
      </c>
      <c r="M25" s="135">
        <f t="shared" si="0"/>
        <v>56.496000000000002</v>
      </c>
      <c r="N25" s="136" t="str">
        <f>VLOOKUP(C25,'Trips&amp;Operators'!$C$1:$G$99999,5,FALSE)</f>
        <v>BRUDER RICHARD</v>
      </c>
      <c r="O25" s="210" t="s">
        <v>182</v>
      </c>
      <c r="P25" s="137"/>
      <c r="Q25" s="30"/>
      <c r="R25" s="84" t="str">
        <f>VLOOKUP(C25,'Train Runs'!$A$13:$AE$9935,31,0)</f>
        <v>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 &amp; aws s3 cp s3://rtdc.mdm.uploadarchive.raw/RTDC4041/ "%USERPROFILE%\AppData\Local\Temp\OnboardLogs"\RTDC4041\2017-06-05 --exclude "*" --recursive --include "*20170605*" &amp; "%USERPROFILE%\Documents\GitHub\mrs-test-scripts\Headless Mode &amp; Sideloading\WalkAndUnGZ.bat" "%USERPROFILE%\AppData\Local\Temp\OnboardLogs"\RTDC4041\2017-06-05</v>
      </c>
      <c r="S25" s="87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-06-04T16:49:32-0600',mode:absolute,to:'2017-06-04T19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9" t="str">
        <f t="shared" si="1"/>
        <v>"C:\Program Files (x86)\AstroGrep\AstroGrep.exe" /e /r /s /spath="%USERPROFILE%\AppData\Local\Temp\OnboardLogs" /stypes="*4041*201706050*"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42891.025023148148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{"issue":{"subject":"","project_id":79,"tracker_id":40,"status_id":1,"priority_id":2,"assigned_to_id":23,"start_date":"2017-06-04","description":"","custom_fields":[{"id":1,"name":"Subdivision","value":"EC"},{"id":4,"name":"Milepost","value":"0.0001"},{"id":17,"name":"Train ID","value":"208-04"},{"id":16,"name":"Locomotive ID","value":"4041"},{"id":130,"name":"Impact","value":""},{"id":150,"name":"Time of Event (Mountain Time)","value":"18:36:02"},{"id":151,"name":"Denver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/cygdrive/c/Users/stu/AppData/Local/Temp/OnboardLogs/RTDC4041 --include="*4041*201706050*"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"%USERPROFILE%\AppData\Local\Temp\OnboardLogs"\RTDC4041\*4041*201706050* &gt;&gt; 2017-06-04-SliceDisagreementCheck.txt</v>
      </c>
      <c r="AE25" s="148" t="str">
        <f t="shared" si="9"/>
        <v>start /low /b %USERPROFILE%\Documents\GitHub\eaglep3\Utilities\DownloadLogsFromS3.py --loco 4041 --day 2017-06-05</v>
      </c>
      <c r="AF25" s="1"/>
    </row>
    <row r="26" spans="1:32" x14ac:dyDescent="0.25">
      <c r="A26" s="31">
        <v>42890.535590277781</v>
      </c>
      <c r="B26" s="30" t="s">
        <v>378</v>
      </c>
      <c r="C26" s="30" t="s">
        <v>657</v>
      </c>
      <c r="D26" s="30" t="s">
        <v>49</v>
      </c>
      <c r="E26" s="30" t="s">
        <v>183</v>
      </c>
      <c r="F26" s="42">
        <v>0</v>
      </c>
      <c r="G26" s="42">
        <v>20</v>
      </c>
      <c r="H26" s="42">
        <v>233432</v>
      </c>
      <c r="I26" s="42">
        <v>233442</v>
      </c>
      <c r="J26" s="30" t="s">
        <v>184</v>
      </c>
      <c r="K26" s="42">
        <v>233491</v>
      </c>
      <c r="L26" s="134" t="s">
        <v>50</v>
      </c>
      <c r="M26" s="135">
        <f t="shared" si="0"/>
        <v>25.872</v>
      </c>
      <c r="N26" s="136" t="str">
        <f>VLOOKUP(C26,'Trips&amp;Operators'!$C$1:$G$99999,5,FALSE)</f>
        <v>DELGADO DIANAH</v>
      </c>
      <c r="O26" s="210" t="s">
        <v>182</v>
      </c>
      <c r="P26" s="137"/>
      <c r="Q26" s="30"/>
      <c r="R26" s="84" t="str">
        <f>VLOOKUP(C26,'Train Runs'!$A$13:$AE$9935,31,0)</f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S26" s="87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-06-04T11:08:28-0600',mode:absolute,to:'2017-06-04T13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9" t="str">
        <f t="shared" si="1"/>
        <v>"C:\Program Files (x86)\AstroGrep\AstroGrep.exe" /e /r /s /spath="%USERPROFILE%\AppData\Local\Temp\OnboardLogs" /stypes="*4040*201706041*"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4040</v>
      </c>
      <c r="V26" s="31">
        <f t="shared" si="3"/>
        <v>42890.785590277781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ID","value":"169-04"},{"id":16,"name":"Locomotive ID","value":"4040"},{"id":130,"name":"Impact","value":""},{"id":150,"name":"Time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/cygdrive/c/Users/stu/AppData/Local/Temp/OnboardLogs/RTDC4040 --include="*4040*201706041*"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"%USERPROFILE%\AppData\Local\Temp\OnboardLogs"\RTDC4040\*4040*201706041* &gt;&gt; 2017-06-04-SliceDisagreementCheck.txt</v>
      </c>
      <c r="AE26" s="148" t="str">
        <f t="shared" si="9"/>
        <v>start /low /b %USERPROFILE%\Documents\GitHub\eaglep3\Utilities\DownloadLogsFromS3.py --loco 4040 --day 2017-06-04</v>
      </c>
      <c r="AF26" s="1"/>
    </row>
    <row r="27" spans="1:32" x14ac:dyDescent="0.25">
      <c r="A27" s="31">
        <v>42890.556261574071</v>
      </c>
      <c r="B27" s="30" t="s">
        <v>653</v>
      </c>
      <c r="C27" s="30" t="s">
        <v>659</v>
      </c>
      <c r="D27" s="30" t="s">
        <v>49</v>
      </c>
      <c r="E27" s="30" t="s">
        <v>183</v>
      </c>
      <c r="F27" s="42">
        <v>0</v>
      </c>
      <c r="G27" s="42">
        <v>53</v>
      </c>
      <c r="H27" s="42">
        <v>233329</v>
      </c>
      <c r="I27" s="42">
        <v>233374</v>
      </c>
      <c r="J27" s="30" t="s">
        <v>184</v>
      </c>
      <c r="K27" s="42">
        <v>233491</v>
      </c>
      <c r="L27" s="134" t="s">
        <v>50</v>
      </c>
      <c r="M27" s="135">
        <f t="shared" si="0"/>
        <v>61.776000000000003</v>
      </c>
      <c r="N27" s="136" t="str">
        <f>VLOOKUP(C27,'Trips&amp;Operators'!$C$1:$G$99999,5,FALSE)</f>
        <v>MCREYNOLDS KYLE</v>
      </c>
      <c r="O27" s="210" t="s">
        <v>182</v>
      </c>
      <c r="P27" s="137"/>
      <c r="Q27" s="30"/>
      <c r="R27" s="84" t="str">
        <f>VLOOKUP(C27,'Train Runs'!$A$13:$AE$9935,31,0)</f>
        <v>aws s3 cp s3://rtdc.mdm.uploadarchive.raw/RTDC4056/ "%USERPROFILE%\AppData\Local\Temp\OnboardLogs"\RTDC4056\2017-06-04 --exclude "*" --recursive --include "*20170604*" &amp; "%USERPROFILE%\Documents\GitHub\mrs-test-scripts\Headless Mode &amp; Sideloading\WalkAndUnGZ.bat" "%USERPROFILE%\AppData\Local\Temp\OnboardLogs"\RTDC4056\2017-06-04 &amp; aws s3 cp s3://rtdc.mdm.uploadarchive.raw/RTDC4056/ "%USERPROFILE%\AppData\Local\Temp\OnboardLogs"\RTDC4056\2017-06-05 --exclude "*" --recursive --include "*20170605*" &amp; "%USERPROFILE%\Documents\GitHub\mrs-test-scripts\Headless Mode &amp; Sideloading\WalkAndUnGZ.bat" "%USERPROFILE%\AppData\Local\Temp\OnboardLogs"\RTDC4056\2017-06-05</v>
      </c>
      <c r="S27" s="87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-06-04T11:39:49-0600',mode:absolute,to:'2017-06-04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7" s="89" t="str">
        <f t="shared" si="1"/>
        <v>"C:\Program Files (x86)\AstroGrep\AstroGrep.exe" /e /r /s /spath="%USERPROFILE%\AppData\Local\Temp\OnboardLogs" /stypes="*4056*201706041*"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4056</v>
      </c>
      <c r="V27" s="31">
        <f t="shared" si="3"/>
        <v>42890.806261574071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ID","value":"173-04"},{"id":16,"name":"Locomotive ID","value":"4056"},{"id":130,"name":"Impact","value":""},{"id":150,"name":"Time of Event (Mountain Time)","value":"13:21:01"},{"id":151,"name":"Denver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/cygdrive/c/Users/stu/AppData/Local/Temp/OnboardLogs/RTDC4056 --include="*4056*201706041*"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"%USERPROFILE%\AppData\Local\Temp\OnboardLogs"\RTDC4056\*4056*201706041* &gt;&gt; 2017-06-04-SliceDisagreementCheck.txt</v>
      </c>
      <c r="AE27" s="148" t="str">
        <f t="shared" si="9"/>
        <v>start /low /b %USERPROFILE%\Documents\GitHub\eaglep3\Utilities\DownloadLogsFromS3.py --loco 4056 --day 2017-06-04</v>
      </c>
      <c r="AF27" s="1"/>
    </row>
    <row r="28" spans="1:32" x14ac:dyDescent="0.25">
      <c r="A28" s="31">
        <v>42890.56590277778</v>
      </c>
      <c r="B28" s="30" t="s">
        <v>423</v>
      </c>
      <c r="C28" s="30" t="s">
        <v>660</v>
      </c>
      <c r="D28" s="30" t="s">
        <v>49</v>
      </c>
      <c r="E28" s="30" t="s">
        <v>183</v>
      </c>
      <c r="F28" s="42">
        <v>0</v>
      </c>
      <c r="G28" s="42">
        <v>44</v>
      </c>
      <c r="H28" s="42">
        <v>233410</v>
      </c>
      <c r="I28" s="42">
        <v>233441</v>
      </c>
      <c r="J28" s="30" t="s">
        <v>184</v>
      </c>
      <c r="K28" s="42">
        <v>233491</v>
      </c>
      <c r="L28" s="134" t="s">
        <v>50</v>
      </c>
      <c r="M28" s="135">
        <f t="shared" si="0"/>
        <v>26.4</v>
      </c>
      <c r="N28" s="136" t="str">
        <f>VLOOKUP(C28,'Trips&amp;Operators'!$C$1:$G$99999,5,FALSE)</f>
        <v>ROMERO CHAD</v>
      </c>
      <c r="O28" s="210" t="s">
        <v>182</v>
      </c>
      <c r="P28" s="137"/>
      <c r="Q28" s="30"/>
      <c r="R28" s="84" t="str">
        <f>VLOOKUP(C28,'Train Runs'!$A$13:$AE$9935,31,0)</f>
        <v>aws s3 cp s3://rtdc.mdm.uploadarchive.raw/RTDC4026/ "%USERPROFILE%\AppData\Local\Temp\OnboardLogs"\RTDC4026\2017-06-04 --exclude "*" --recursive --include "*20170604*" &amp; "%USERPROFILE%\Documents\GitHub\mrs-test-scripts\Headless Mode &amp; Sideloading\WalkAndUnGZ.bat" "%USERPROFILE%\AppData\Local\Temp\OnboardLogs"\RTDC4026\2017-06-04 &amp; aws s3 cp s3://rtdc.mdm.uploadarchive.raw/RTDC4026/ "%USERPROFILE%\AppData\Local\Temp\OnboardLogs"\RTDC4026\2017-06-05 --exclude "*" --recursive --include "*20170605*" &amp; "%USERPROFILE%\Documents\GitHub\mrs-test-scripts\Headless Mode &amp; Sideloading\WalkAndUnGZ.bat" "%USERPROFILE%\AppData\Local\Temp\OnboardLogs"\RTDC4026\2017-06-05</v>
      </c>
      <c r="S28" s="87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-06-04T11:52:34-0600',mode:absolute,to:'2017-06-04T14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89" t="str">
        <f t="shared" si="1"/>
        <v>"C:\Program Files (x86)\AstroGrep\AstroGrep.exe" /e /r /s /spath="%USERPROFILE%\AppData\Local\Temp\OnboardLogs" /stypes="*4026*201706041*"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4026</v>
      </c>
      <c r="V28" s="31">
        <f t="shared" si="3"/>
        <v>42890.81590277778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ID","value":"175-04"},{"id":16,"name":"Locomotive ID","value":"4026"},{"id":130,"name":"Impact","value":""},{"id":150,"name":"Time of Event (Mountain Time)","value":"13:34:54"},{"id":151,"name":"Denver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/cygdrive/c/Users/stu/AppData/Local/Temp/OnboardLogs/RTDC4026 --include="*4026*201706041*"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"%USERPROFILE%\AppData\Local\Temp\OnboardLogs"\RTDC4026\*4026*201706041* &gt;&gt; 2017-06-04-SliceDisagreementCheck.txt</v>
      </c>
      <c r="AE28" s="148" t="str">
        <f t="shared" si="9"/>
        <v>start /low /b %USERPROFILE%\Documents\GitHub\eaglep3\Utilities\DownloadLogsFromS3.py --loco 4026 --day 2017-06-04</v>
      </c>
      <c r="AF28" s="1"/>
    </row>
    <row r="29" spans="1:32" x14ac:dyDescent="0.25">
      <c r="A29" s="31">
        <v>42890.651689814818</v>
      </c>
      <c r="B29" s="30" t="s">
        <v>570</v>
      </c>
      <c r="C29" s="30" t="s">
        <v>663</v>
      </c>
      <c r="D29" s="30" t="s">
        <v>49</v>
      </c>
      <c r="E29" s="30" t="s">
        <v>183</v>
      </c>
      <c r="F29" s="42">
        <v>0</v>
      </c>
      <c r="G29" s="42">
        <v>11</v>
      </c>
      <c r="H29" s="42">
        <v>233443</v>
      </c>
      <c r="I29" s="42">
        <v>233443</v>
      </c>
      <c r="J29" s="30" t="s">
        <v>184</v>
      </c>
      <c r="K29" s="42">
        <v>233491</v>
      </c>
      <c r="L29" s="134" t="s">
        <v>50</v>
      </c>
      <c r="M29" s="135">
        <f t="shared" si="0"/>
        <v>25.344000000000001</v>
      </c>
      <c r="N29" s="136" t="str">
        <f>VLOOKUP(C29,'Trips&amp;Operators'!$C$1:$G$99999,5,FALSE)</f>
        <v>BRANDNER MELINDA</v>
      </c>
      <c r="O29" s="210" t="s">
        <v>182</v>
      </c>
      <c r="P29" s="137"/>
      <c r="Q29" s="30"/>
      <c r="R29" s="84" t="str">
        <f>VLOOKUP(C29,'Train Runs'!$A$13:$AE$9935,31,0)</f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S29" s="87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-06-04T13:54:03-0600',mode:absolute,to:'2017-06-04T16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89" t="str">
        <f t="shared" si="1"/>
        <v>"C:\Program Files (x86)\AstroGrep\AstroGrep.exe" /e /r /s /spath="%USERPROFILE%\AppData\Local\Temp\OnboardLogs" /stypes="*4004*201706042*"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4004</v>
      </c>
      <c r="V29" s="31">
        <f t="shared" si="3"/>
        <v>42890.901689814818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ID","value":"191-04"},{"id":16,"name":"Locomotive ID","value":"4004"},{"id":130,"name":"Impact","value":""},{"id":150,"name":"Time of Event (Mountain Time)","value":"15:38:26"},{"id":151,"name":"Denver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/cygdrive/c/Users/stu/AppData/Local/Temp/OnboardLogs/RTDC4004 --include="*4004*201706042*"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"%USERPROFILE%\AppData\Local\Temp\OnboardLogs"\RTDC4004\*4004*201706042* &gt;&gt; 2017-06-04-SliceDisagreementCheck.txt</v>
      </c>
      <c r="AE29" s="148" t="str">
        <f t="shared" si="9"/>
        <v>start /low /b %USERPROFILE%\Documents\GitHub\eaglep3\Utilities\DownloadLogsFromS3.py --loco 4004 --day 2017-06-04</v>
      </c>
      <c r="AF29" s="1"/>
    </row>
    <row r="30" spans="1:32" x14ac:dyDescent="0.25">
      <c r="A30" s="31">
        <v>42890.724687499998</v>
      </c>
      <c r="B30" s="30" t="s">
        <v>570</v>
      </c>
      <c r="C30" s="30" t="s">
        <v>666</v>
      </c>
      <c r="D30" s="30" t="s">
        <v>49</v>
      </c>
      <c r="E30" s="30" t="s">
        <v>183</v>
      </c>
      <c r="F30" s="42">
        <v>0</v>
      </c>
      <c r="G30" s="42">
        <v>58</v>
      </c>
      <c r="H30" s="42">
        <v>233249</v>
      </c>
      <c r="I30" s="42">
        <v>233340</v>
      </c>
      <c r="J30" s="30" t="s">
        <v>184</v>
      </c>
      <c r="K30" s="42">
        <v>233491</v>
      </c>
      <c r="L30" s="134" t="s">
        <v>50</v>
      </c>
      <c r="M30" s="135">
        <f t="shared" si="0"/>
        <v>79.727999999999994</v>
      </c>
      <c r="N30" s="136" t="str">
        <f>VLOOKUP(C30,'Trips&amp;Operators'!$C$1:$G$99999,5,FALSE)</f>
        <v>BRANDNER MELINDA</v>
      </c>
      <c r="O30" s="210" t="s">
        <v>182</v>
      </c>
      <c r="P30" s="137"/>
      <c r="Q30" s="30"/>
      <c r="R30" s="84" t="str">
        <f>VLOOKUP(C30,'Train Runs'!$A$13:$AE$9935,31,0)</f>
        <v>aws s3 cp s3://rtdc.mdm.uploadarchive.raw/RTDC4004/ "%USERPROFILE%\AppData\Local\Temp\OnboardLogs"\RTDC4004\2017-06-04 --exclude "*" --recursive --include "*20170604*" &amp; "%USERPROFILE%\Documents\GitHub\mrs-test-scripts\Headless Mode &amp; Sideloading\WalkAndUnGZ.bat" "%USERPROFILE%\AppData\Local\Temp\OnboardLogs"\RTDC4004\2017-06-04 &amp; aws s3 cp s3://rtdc.mdm.uploadarchive.raw/RTDC4004/ "%USERPROFILE%\AppData\Local\Temp\OnboardLogs"\RTDC4004\2017-06-05 --exclude "*" --recursive --include "*20170605*" &amp; "%USERPROFILE%\Documents\GitHub\mrs-test-scripts\Headless Mode &amp; Sideloading\WalkAndUnGZ.bat" "%USERPROFILE%\AppData\Local\Temp\OnboardLogs"\RTDC4004\2017-06-05</v>
      </c>
      <c r="S30" s="87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-06-04T15:40:04-0600',mode:absolute,to:'2017-06-04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0" s="89" t="str">
        <f t="shared" si="1"/>
        <v>"C:\Program Files (x86)\AstroGrep\AstroGrep.exe" /e /r /s /spath="%USERPROFILE%\AppData\Local\Temp\OnboardLogs" /stypes="*4004*201706042*"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4004</v>
      </c>
      <c r="V30" s="31">
        <f t="shared" si="3"/>
        <v>42890.974687499998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ID","value":"205-04"},{"id":16,"name":"Locomotive ID","value":"4004"},{"id":130,"name":"Impact","value":""},{"id":150,"name":"Time of Event (Mountain Time)","value":"17:23:33"},{"id":151,"name":"Denver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/cygdrive/c/Users/stu/AppData/Local/Temp/OnboardLogs/RTDC4004 --include="*4004*201706042*"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"%USERPROFILE%\AppData\Local\Temp\OnboardLogs"\RTDC4004\*4004*201706042* &gt;&gt; 2017-06-04-SliceDisagreementCheck.txt</v>
      </c>
      <c r="AE30" s="148" t="str">
        <f t="shared" si="9"/>
        <v>start /low /b %USERPROFILE%\Documents\GitHub\eaglep3\Utilities\DownloadLogsFromS3.py --loco 4004 --day 2017-06-04</v>
      </c>
      <c r="AF30" s="1"/>
    </row>
    <row r="31" spans="1:32" x14ac:dyDescent="0.25">
      <c r="A31" s="31">
        <v>42890.754965277774</v>
      </c>
      <c r="B31" s="30" t="s">
        <v>378</v>
      </c>
      <c r="C31" s="30" t="s">
        <v>672</v>
      </c>
      <c r="D31" s="30" t="s">
        <v>49</v>
      </c>
      <c r="E31" s="30" t="s">
        <v>183</v>
      </c>
      <c r="F31" s="42">
        <v>0</v>
      </c>
      <c r="G31" s="42">
        <v>8</v>
      </c>
      <c r="H31" s="42">
        <v>233485</v>
      </c>
      <c r="I31" s="42">
        <v>0</v>
      </c>
      <c r="J31" s="30" t="s">
        <v>184</v>
      </c>
      <c r="K31" s="42">
        <v>233491</v>
      </c>
      <c r="L31" s="134" t="s">
        <v>50</v>
      </c>
      <c r="M31" s="135">
        <f t="shared" si="0"/>
        <v>123283.24800000001</v>
      </c>
      <c r="N31" s="136" t="str">
        <f>VLOOKUP(C31,'Trips&amp;Operators'!$C$1:$G$99999,5,FALSE)</f>
        <v>DELGADO DIANAH</v>
      </c>
      <c r="O31" s="210" t="s">
        <v>182</v>
      </c>
      <c r="P31" s="137"/>
      <c r="Q31" s="30"/>
      <c r="R31" s="84" t="str">
        <f>VLOOKUP(C31,'Train Runs'!$A$13:$AE$9935,31,0)</f>
        <v>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 &amp; aws s3 cp s3://rtdc.mdm.uploadarchive.raw/RTDC4040/ "%USERPROFILE%\AppData\Local\Temp\OnboardLogs"\RTDC4040\2017-06-05 --exclude "*" --recursive --include "*20170605*" &amp; "%USERPROFILE%\Documents\GitHub\mrs-test-scripts\Headless Mode &amp; Sideloading\WalkAndUnGZ.bat" "%USERPROFILE%\AppData\Local\Temp\OnboardLogs"\RTDC4040\2017-06-05</v>
      </c>
      <c r="S31" s="87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-06-04T16:23:14-0600',mode:absolute,to:'2017-06-04T19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9" t="str">
        <f t="shared" si="1"/>
        <v>"C:\Program Files (x86)\AstroGrep\AstroGrep.exe" /e /r /s /spath="%USERPROFILE%\AppData\Local\Temp\OnboardLogs" /stypes="*4040*201706050*"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42891.004965277774</v>
      </c>
      <c r="W31" s="45" t="str">
        <f t="shared" si="4"/>
        <v>EC</v>
      </c>
      <c r="X31" s="45" t="str">
        <f t="shared" si="5"/>
        <v>OMIT</v>
      </c>
      <c r="Y31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ID","value":"211-04"},{"id":16,"name":"Locomotive ID","value":"4040"},{"id":130,"name":"Impact","value":""},{"id":150,"name":"Time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/cygdrive/c/Users/stu/AppData/Local/Temp/OnboardLogs/RTDC4040 --include="*4040*201706050*"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"%USERPROFILE%\AppData\Local\Temp\OnboardLogs"\RTDC4040\*4040*201706050* &gt;&gt; 2017-06-04-SliceDisagreementCheck.txt</v>
      </c>
      <c r="AE31" s="148" t="str">
        <f t="shared" si="9"/>
        <v>start /low /b %USERPROFILE%\Documents\GitHub\eaglep3\Utilities\DownloadLogsFromS3.py --loco 4040 --day 2017-06-05</v>
      </c>
      <c r="AF31" s="1"/>
    </row>
    <row r="32" spans="1:32" x14ac:dyDescent="0.25">
      <c r="A32" s="31">
        <v>42890.81695601852</v>
      </c>
      <c r="B32" s="30" t="s">
        <v>575</v>
      </c>
      <c r="C32" s="30" t="s">
        <v>677</v>
      </c>
      <c r="D32" s="30" t="s">
        <v>49</v>
      </c>
      <c r="E32" s="30" t="s">
        <v>183</v>
      </c>
      <c r="F32" s="42">
        <v>0</v>
      </c>
      <c r="G32" s="42">
        <v>32</v>
      </c>
      <c r="H32" s="42">
        <v>233430</v>
      </c>
      <c r="I32" s="42">
        <v>233443</v>
      </c>
      <c r="J32" s="30" t="s">
        <v>184</v>
      </c>
      <c r="K32" s="42">
        <v>233491</v>
      </c>
      <c r="L32" s="134" t="s">
        <v>50</v>
      </c>
      <c r="M32" s="135">
        <f t="shared" si="0"/>
        <v>25.344000000000001</v>
      </c>
      <c r="N32" s="136" t="str">
        <f>VLOOKUP(C32,'Trips&amp;Operators'!$C$1:$G$99999,5,FALSE)</f>
        <v>STAMBAUGH JAMES</v>
      </c>
      <c r="O32" s="210" t="s">
        <v>182</v>
      </c>
      <c r="P32" s="137"/>
      <c r="Q32" s="30"/>
      <c r="R32" s="84" t="str">
        <f>VLOOKUP(C32,'Train Runs'!$A$13:$AE$9935,31,0)</f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S32" s="87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-06-04T17:51:10-0600',mode:absolute,to:'2017-06-04T20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89" t="str">
        <f t="shared" si="1"/>
        <v>"C:\Program Files (x86)\AstroGrep\AstroGrep.exe" /e /r /s /spath="%USERPROFILE%\AppData\Local\Temp\OnboardLogs" /stypes="*4012*201706050*" /stext=" 01:.+((SYSTEM_STATE.+slice.+state.+changed )|(ment ac)|(multiple cpu faults)|(system.+state.+changed )|(\[timeout)|(PRM\|1\|D)|(kpr)|(kdp)|(train st.+moving)|(\|lc)|(penalty))"</v>
      </c>
      <c r="U32" s="9" t="str">
        <f t="shared" si="2"/>
        <v>4012</v>
      </c>
      <c r="V32" s="31">
        <f t="shared" si="3"/>
        <v>42891.06695601852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ID","value":"221-04"},{"id":16,"name":"Locomotive ID","value":"4012"},{"id":130,"name":"Impact","value":""},{"id":150,"name":"Time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/cygdrive/c/Users/stu/AppData/Local/Temp/OnboardLogs/RTDC4012 --include="*4012*201706050*"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"%USERPROFILE%\AppData\Local\Temp\OnboardLogs"\RTDC4012\*4012*201706050* &gt;&gt; 2017-06-04-SliceDisagreementCheck.txt</v>
      </c>
      <c r="AE32" s="148" t="str">
        <f t="shared" si="9"/>
        <v>start /low /b %USERPROFILE%\Documents\GitHub\eaglep3\Utilities\DownloadLogsFromS3.py --loco 4012 --day 2017-06-05</v>
      </c>
      <c r="AF32" s="1"/>
    </row>
    <row r="33" spans="1:32" x14ac:dyDescent="0.25">
      <c r="A33" s="31">
        <v>42890.98296296296</v>
      </c>
      <c r="B33" s="30" t="s">
        <v>575</v>
      </c>
      <c r="C33" s="30" t="s">
        <v>683</v>
      </c>
      <c r="D33" s="30" t="s">
        <v>49</v>
      </c>
      <c r="E33" s="30" t="s">
        <v>183</v>
      </c>
      <c r="F33" s="42">
        <v>0</v>
      </c>
      <c r="G33" s="42">
        <v>17</v>
      </c>
      <c r="H33" s="42">
        <v>233466</v>
      </c>
      <c r="I33" s="42">
        <v>233474</v>
      </c>
      <c r="J33" s="30" t="s">
        <v>184</v>
      </c>
      <c r="K33" s="42">
        <v>233491</v>
      </c>
      <c r="L33" s="134" t="s">
        <v>50</v>
      </c>
      <c r="M33" s="135">
        <f t="shared" si="0"/>
        <v>8.9760000000000009</v>
      </c>
      <c r="N33" s="136" t="str">
        <f>VLOOKUP(C33,'Trips&amp;Operators'!$C$1:$G$99999,5,FALSE)</f>
        <v>STAMBAUGH JAMES</v>
      </c>
      <c r="O33" s="210" t="s">
        <v>182</v>
      </c>
      <c r="P33" s="137"/>
      <c r="Q33" s="30"/>
      <c r="R33" s="84" t="str">
        <f>VLOOKUP(C33,'Train Runs'!$A$13:$AE$9935,31,0)</f>
        <v>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 &amp; aws s3 cp s3://rtdc.mdm.uploadarchive.raw/RTDC4012/ "%USERPROFILE%\AppData\Local\Temp\OnboardLogs"\RTDC4012\2017-06-05 --exclude "*" --recursive --include "*20170605*" &amp; "%USERPROFILE%\Documents\GitHub\mrs-test-scripts\Headless Mode &amp; Sideloading\WalkAndUnGZ.bat" "%USERPROFILE%\AppData\Local\Temp\OnboardLogs"\RTDC4012\2017-06-05</v>
      </c>
      <c r="S33" s="87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-06-04T21:36:55-0600',mode:absolute,to:'2017-06-05T00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3" s="89" t="str">
        <f t="shared" si="1"/>
        <v>"C:\Program Files (x86)\AstroGrep\AstroGrep.exe" /e /r /s /spath="%USERPROFILE%\AppData\Local\Temp\OnboardLogs" /stypes="*4012*201706050*"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4012</v>
      </c>
      <c r="V33" s="31">
        <f t="shared" si="3"/>
        <v>42891.23296296296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{"issue":{"subject":"","project_id":79,"tracker_id":40,"status_id":1,"priority_id":2,"assigned_to_id":23,"start_date":"2017-06-04","description":"","custom_fields":[{"id":1,"name":"Subdivision","value":"EC"},{"id":4,"name":"Milepost","value":"23.3491"},{"id":17,"name":"Train ID","value":"237-04"},{"id":16,"name":"Locomotive ID","value":"4012"},{"id":130,"name":"Impact","value":""},{"id":150,"name":"Time of Event (Mountain Time)","value":"23:35:28"},{"id":151,"name":"Denver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/cygdrive/c/Users/stu/AppData/Local/Temp/OnboardLogs/RTDC4012 --include="*4012*201706050*"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"%USERPROFILE%\AppData\Local\Temp\OnboardLogs"\RTDC4012\*4012*201706050* &gt;&gt; 2017-06-04-SliceDisagreementCheck.txt</v>
      </c>
      <c r="AE33" s="148" t="str">
        <f t="shared" si="9"/>
        <v>start /low /b %USERPROFILE%\Documents\GitHub\eaglep3\Utilities\DownloadLogsFromS3.py --loco 4012 --day 2017-06-05</v>
      </c>
      <c r="AF33" s="1"/>
    </row>
    <row r="34" spans="1:32" x14ac:dyDescent="0.25">
      <c r="A34" s="31">
        <v>42890.660150462965</v>
      </c>
      <c r="B34" s="30" t="s">
        <v>405</v>
      </c>
      <c r="C34" s="30" t="s">
        <v>664</v>
      </c>
      <c r="D34" s="30" t="s">
        <v>49</v>
      </c>
      <c r="E34" s="30" t="s">
        <v>189</v>
      </c>
      <c r="F34" s="42">
        <v>180</v>
      </c>
      <c r="G34" s="42">
        <v>236</v>
      </c>
      <c r="H34" s="42">
        <v>11437</v>
      </c>
      <c r="I34" s="42">
        <v>10941</v>
      </c>
      <c r="J34" s="30" t="s">
        <v>190</v>
      </c>
      <c r="K34" s="42">
        <v>10988</v>
      </c>
      <c r="L34" s="134" t="s">
        <v>51</v>
      </c>
      <c r="M34" s="135">
        <f t="shared" si="0"/>
        <v>-24.815999999999999</v>
      </c>
      <c r="N34" s="136" t="str">
        <f>VLOOKUP(C34,'Trips&amp;Operators'!$C$1:$G$99999,5,FALSE)</f>
        <v>HOLCOMB KAMDEN</v>
      </c>
      <c r="O34" s="210" t="s">
        <v>182</v>
      </c>
      <c r="P34" s="137" t="s">
        <v>402</v>
      </c>
      <c r="Q34" s="30"/>
      <c r="R34" s="84" t="str">
        <f>VLOOKUP(C34,'Train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34" s="87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-06-04T14:36:39-0600',mode:absolute,to:'2017-06-04T16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4" s="89" t="str">
        <f t="shared" si="1"/>
        <v>"C:\Program Files (x86)\AstroGrep\AstroGrep.exe" /e /r /s /spath="%USERPROFILE%\AppData\Local\Temp\OnboardLogs" /stypes="*4049*201706042*"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4049</v>
      </c>
      <c r="V34" s="31">
        <f t="shared" si="3"/>
        <v>42890.910150462965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{"issue":{"subject":"Early arrival","project_id":79,"tracker_id":40,"status_id":1,"priority_id":2,"assigned_to_id":23,"start_date":"2017-06-04","description":"","custom_fields":[{"id":1,"name":"Subdivision","value":"NW"},{"id":4,"name":"Milepost","value":"1.0988"},{"id":17,"name":"Train ID","value":"1820-04"},{"id":16,"name":"Locomotive ID","value":"4049"},{"id":130,"name":"Impact","value":""},{"id":150,"name":"Time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/cygdrive/c/Users/stu/AppData/Local/Temp/OnboardLogs/RTDC4049 --include="*4049*201706042*"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"%USERPROFILE%\AppData\Local\Temp\OnboardLogs"\RTDC4049\*4049*201706042* &gt;&gt; 2017-06-04-SliceDisagreementCheck.txt</v>
      </c>
      <c r="AE34" s="148" t="str">
        <f t="shared" si="9"/>
        <v>start /low /b %USERPROFILE%\Documents\GitHub\eaglep3\Utilities\DownloadLogsFromS3.py --loco 4049 --day 2017-06-04</v>
      </c>
      <c r="AF34" s="1"/>
    </row>
    <row r="35" spans="1:32" x14ac:dyDescent="0.25">
      <c r="A35" s="31">
        <v>42890.933113425926</v>
      </c>
      <c r="B35" s="30" t="s">
        <v>406</v>
      </c>
      <c r="C35" s="30" t="s">
        <v>682</v>
      </c>
      <c r="D35" s="30" t="s">
        <v>98</v>
      </c>
      <c r="E35" s="30" t="s">
        <v>202</v>
      </c>
      <c r="F35" s="42">
        <v>150</v>
      </c>
      <c r="G35" s="42">
        <v>200</v>
      </c>
      <c r="H35" s="42">
        <v>5332</v>
      </c>
      <c r="I35" s="42">
        <v>5682</v>
      </c>
      <c r="J35" s="30" t="s">
        <v>203</v>
      </c>
      <c r="K35" s="42">
        <v>574</v>
      </c>
      <c r="L35" s="134" t="s">
        <v>50</v>
      </c>
      <c r="M35" s="135">
        <f t="shared" si="0"/>
        <v>-2697.0240000000003</v>
      </c>
      <c r="N35" s="136" t="str">
        <f>VLOOKUP(C35,'Trips&amp;Operators'!$C$1:$G$99999,5,FALSE)</f>
        <v>HOLCOMB KAMDEN</v>
      </c>
      <c r="O35" s="210" t="s">
        <v>182</v>
      </c>
      <c r="P35" s="137"/>
      <c r="Q35" s="30"/>
      <c r="R35" s="84" t="str">
        <f>VLOOKUP(C35,'Train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35" s="87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-06-04T21:18:02-0600',mode:absolute,to:'2017-06-04T23:30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9" t="str">
        <f t="shared" si="1"/>
        <v>"C:\Program Files (x86)\AstroGrep\AstroGrep.exe" /e /r /s /spath="%USERPROFILE%\AppData\Local\Temp\OnboardLogs" /stypes="*4050*201706050*" /stext=" 04:.+((SYSTEM_STATE.+slice.+state.+changed )|(ment ac)|(multiple cpu faults)|(system.+state.+changed )|(\[timeout)|(PRM\|1\|D)|(kpr)|(kdp)|(train st.+moving)|(\|lc)|(penalty))"</v>
      </c>
      <c r="U35" s="9" t="str">
        <f t="shared" si="2"/>
        <v>4050</v>
      </c>
      <c r="V35" s="31">
        <f t="shared" si="3"/>
        <v>42891.183113425926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{"issue":{"subject":"","project_id":79,"tracker_id":40,"status_id":1,"priority_id":2,"assigned_to_id":23,"start_date":"2017-06-04","description":"","custom_fields":[{"id":1,"name":"Subdivision","value":"NW"},{"id":4,"name":"Milepost","value":"0.0574"},{"id":17,"name":"Train ID","value":"1833-04"},{"id":16,"name":"Locomotive ID","value":"4050"},{"id":130,"name":"Impact","value":""},{"id":150,"name":"Time of Event (Mountain Time)","value":"22:23:41"},{"id":151,"name":"Denver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/cygdrive/c/Users/stu/AppData/Local/Temp/OnboardLogs/RTDC4050 --include="*4050*201706050*"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"%USERPROFILE%\AppData\Local\Temp\OnboardLogs"\RTDC4050\*4050*201706050* &gt;&gt; 2017-06-04-SliceDisagreementCheck.txt</v>
      </c>
      <c r="AE35" s="148" t="str">
        <f t="shared" si="9"/>
        <v>start /low /b %USERPROFILE%\Documents\GitHub\eaglep3\Utilities\DownloadLogsFromS3.py --loco 4050 --day 2017-06-05</v>
      </c>
      <c r="AF35" s="1"/>
    </row>
    <row r="36" spans="1:32" x14ac:dyDescent="0.25">
      <c r="A36" s="31">
        <v>42890.741793981484</v>
      </c>
      <c r="B36" s="30" t="s">
        <v>405</v>
      </c>
      <c r="C36" s="30" t="s">
        <v>670</v>
      </c>
      <c r="D36" s="30" t="s">
        <v>98</v>
      </c>
      <c r="E36" s="30" t="s">
        <v>202</v>
      </c>
      <c r="F36" s="42">
        <v>600</v>
      </c>
      <c r="G36" s="42">
        <v>650</v>
      </c>
      <c r="H36" s="42">
        <v>30428</v>
      </c>
      <c r="I36" s="42">
        <v>27416</v>
      </c>
      <c r="J36" s="30" t="s">
        <v>203</v>
      </c>
      <c r="K36" s="42">
        <v>36535</v>
      </c>
      <c r="L36" s="134" t="s">
        <v>51</v>
      </c>
      <c r="M36" s="135">
        <f t="shared" si="0"/>
        <v>-4814.8320000000003</v>
      </c>
      <c r="N36" s="136" t="str">
        <f>VLOOKUP(C36,'Trips&amp;Operators'!$C$1:$G$99999,5,FALSE)</f>
        <v>HOLCOMB KAMDEN</v>
      </c>
      <c r="O36" s="210" t="s">
        <v>182</v>
      </c>
      <c r="P36" s="137"/>
      <c r="Q36" s="30"/>
      <c r="R36" s="84" t="str">
        <f>VLOOKUP(C36,'Train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36" s="87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-06-04T16:38:29-0600',mode:absolute,to:'2017-06-04T18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6" s="89" t="str">
        <f t="shared" si="1"/>
        <v>"C:\Program Files (x86)\AstroGrep\AstroGrep.exe" /e /r /s /spath="%USERPROFILE%\AppData\Local\Temp\OnboardLogs" /stypes="*4049*201706042*"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4049</v>
      </c>
      <c r="V36" s="31">
        <f t="shared" si="3"/>
        <v>42890.991793981484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{"issue":{"subject":"","project_id":79,"tracker_id":40,"status_id":1,"priority_id":2,"assigned_to_id":23,"start_date":"2017-06-04","description":"","custom_fields":[{"id":1,"name":"Subdivision","value":"NW"},{"id":4,"name":"Milepost","value":"3.6535"},{"id":17,"name":"Train ID","value":"1824-04"},{"id":16,"name":"Locomotive ID","value":"4049"},{"id":130,"name":"Impact","value":""},{"id":150,"name":"Time of Event (Mountain Time)","value":"17:48:11"},{"id":151,"name":"Denver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/cygdrive/c/Users/stu/AppData/Local/Temp/OnboardLogs/RTDC4049 --include="*4049*201706042*"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"%USERPROFILE%\AppData\Local\Temp\OnboardLogs"\RTDC4049\*4049*201706042* &gt;&gt; 2017-06-04-SliceDisagreementCheck.txt</v>
      </c>
      <c r="AE36" s="148" t="str">
        <f t="shared" si="9"/>
        <v>start /low /b %USERPROFILE%\Documents\GitHub\eaglep3\Utilities\DownloadLogsFromS3.py --loco 4049 --day 2017-06-04</v>
      </c>
      <c r="AF36" s="1"/>
    </row>
    <row r="37" spans="1:32" x14ac:dyDescent="0.25">
      <c r="A37" s="31">
        <v>42890.280370370368</v>
      </c>
      <c r="B37" s="30" t="s">
        <v>405</v>
      </c>
      <c r="C37" s="30" t="s">
        <v>651</v>
      </c>
      <c r="D37" s="30" t="s">
        <v>98</v>
      </c>
      <c r="E37" s="30" t="s">
        <v>202</v>
      </c>
      <c r="F37" s="42">
        <v>150</v>
      </c>
      <c r="G37" s="42">
        <v>208</v>
      </c>
      <c r="H37" s="42">
        <v>56636</v>
      </c>
      <c r="I37" s="42">
        <v>56162</v>
      </c>
      <c r="J37" s="30" t="s">
        <v>203</v>
      </c>
      <c r="K37" s="42">
        <v>59060</v>
      </c>
      <c r="L37" s="134" t="s">
        <v>51</v>
      </c>
      <c r="M37" s="135">
        <f t="shared" si="0"/>
        <v>-1530.144</v>
      </c>
      <c r="N37" s="136" t="str">
        <f>VLOOKUP(C37,'Trips&amp;Operators'!$C$1:$G$99999,5,FALSE)</f>
        <v>DAVIDSON DAVID</v>
      </c>
      <c r="O37" s="210" t="s">
        <v>182</v>
      </c>
      <c r="P37" s="137"/>
      <c r="Q37" s="30"/>
      <c r="R37" s="84" t="str">
        <f>VLOOKUP(C37,'Train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37" s="87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-06-04T05:36:32-0600',mode:absolute,to:'2017-06-04T07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7" s="89" t="str">
        <f t="shared" si="1"/>
        <v>"C:\Program Files (x86)\AstroGrep\AstroGrep.exe" /e /r /s /spath="%USERPROFILE%\AppData\Local\Temp\OnboardLogs" /stypes="*4049*201706041*"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4049</v>
      </c>
      <c r="V37" s="31">
        <f t="shared" si="3"/>
        <v>42890.530370370368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{"issue":{"subject":"","project_id":79,"tracker_id":40,"status_id":1,"priority_id":2,"assigned_to_id":23,"start_date":"2017-06-04","description":"","custom_fields":[{"id":1,"name":"Subdivision","value":"NW"},{"id":4,"name":"Milepost","value":"5.906"},{"id":17,"name":"Train ID","value":"1802-04"},{"id":16,"name":"Locomotive ID","value":"4049"},{"id":130,"name":"Impact","value":""},{"id":150,"name":"Time of Event (Mountain Time)","value":"06:43:44"},{"id":151,"name":"Denver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/cygdrive/c/Users/stu/AppData/Local/Temp/OnboardLogs/RTDC4049 --include="*4049*201706041*"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"%USERPROFILE%\AppData\Local\Temp\OnboardLogs"\RTDC4049\*4049*201706041* &gt;&gt; 2017-06-04-SliceDisagreementCheck.txt</v>
      </c>
      <c r="AE37" s="148" t="str">
        <f t="shared" si="9"/>
        <v>start /low /b %USERPROFILE%\Documents\GitHub\eaglep3\Utilities\DownloadLogsFromS3.py --loco 4049 --day 2017-06-04</v>
      </c>
      <c r="AF37" s="1"/>
    </row>
    <row r="38" spans="1:32" x14ac:dyDescent="0.25">
      <c r="A38" s="31">
        <v>42890.603194444448</v>
      </c>
      <c r="B38" s="30" t="s">
        <v>406</v>
      </c>
      <c r="C38" s="30" t="s">
        <v>662</v>
      </c>
      <c r="D38" s="30" t="s">
        <v>98</v>
      </c>
      <c r="E38" s="30" t="s">
        <v>366</v>
      </c>
      <c r="F38" s="42">
        <v>0</v>
      </c>
      <c r="G38" s="42">
        <v>424</v>
      </c>
      <c r="H38" s="42">
        <v>33260</v>
      </c>
      <c r="I38" s="42">
        <v>34532</v>
      </c>
      <c r="J38" s="30" t="s">
        <v>367</v>
      </c>
      <c r="K38" s="42">
        <v>33236</v>
      </c>
      <c r="L38" s="134" t="s">
        <v>50</v>
      </c>
      <c r="M38" s="135">
        <f t="shared" si="0"/>
        <v>-684.28800000000001</v>
      </c>
      <c r="N38" s="136" t="str">
        <f>VLOOKUP(C38,'Trips&amp;Operators'!$C$1:$G$99999,5,FALSE)</f>
        <v>HOLCOMB KAMDEN</v>
      </c>
      <c r="O38" s="210" t="s">
        <v>418</v>
      </c>
      <c r="P38" s="137" t="s">
        <v>419</v>
      </c>
      <c r="Q38" s="30"/>
      <c r="R38" s="84" t="str">
        <f>VLOOKUP(C38,'Train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38" s="87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-06-04T13:02:38-0600',mode:absolute,to:'2017-06-04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9" t="str">
        <f t="shared" si="1"/>
        <v>"C:\Program Files (x86)\AstroGrep\AstroGrep.exe" /e /r /s /spath="%USERPROFILE%\AppData\Local\Temp\OnboardLogs" /stypes="*4050*201706042*"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4050</v>
      </c>
      <c r="V38" s="31">
        <f t="shared" si="3"/>
        <v>42890.853194444448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drop","project_id":79,"tracker_id":40,"status_id":1,"priority_id":2,"assigned_to_id":23,"start_date":"2017-06-04","description":"","custom_fields":[{"id":1,"name":"Subdivision","value":"NW"},{"id":4,"name":"Milepost","value":"3.3236"},{"id":17,"name":"Train ID","value":"1817-04"},{"id":16,"name":"Locomotive ID","value":"4050"},{"id":130,"name":"Impact","value":""},{"id":150,"name":"Time of Event (Mountain Time)","value":"14:28:36"},{"id":151,"name":"Denver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/cygdrive/c/Users/stu/AppData/Local/Temp/OnboardLogs/RTDC4050 --include="*4050*201706042*"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"%USERPROFILE%\AppData\Local\Temp\OnboardLogs"\RTDC4050\*4050*201706042* &gt;&gt; 2017-06-04-SliceDisagreementCheck.txt</v>
      </c>
      <c r="AE38" s="148" t="str">
        <f t="shared" si="9"/>
        <v>start /low /b %USERPROFILE%\Documents\GitHub\eaglep3\Utilities\DownloadLogsFromS3.py --loco 4050 --day 2017-06-04</v>
      </c>
      <c r="AF38" s="1"/>
    </row>
    <row r="39" spans="1:32" x14ac:dyDescent="0.25">
      <c r="A39" s="31">
        <v>42890.728101851855</v>
      </c>
      <c r="B39" s="30" t="s">
        <v>406</v>
      </c>
      <c r="C39" s="30" t="s">
        <v>669</v>
      </c>
      <c r="D39" s="30" t="s">
        <v>49</v>
      </c>
      <c r="E39" s="30" t="s">
        <v>366</v>
      </c>
      <c r="F39" s="42">
        <v>0</v>
      </c>
      <c r="G39" s="42">
        <v>613</v>
      </c>
      <c r="H39" s="42">
        <v>30824</v>
      </c>
      <c r="I39" s="42">
        <v>32958</v>
      </c>
      <c r="J39" s="30" t="s">
        <v>367</v>
      </c>
      <c r="K39" s="42">
        <v>33236</v>
      </c>
      <c r="L39" s="134" t="s">
        <v>50</v>
      </c>
      <c r="M39" s="135">
        <f t="shared" si="0"/>
        <v>146.78399999999999</v>
      </c>
      <c r="N39" s="136" t="str">
        <f>VLOOKUP(C39,'Trips&amp;Operators'!$C$1:$G$99999,5,FALSE)</f>
        <v>HOLCOMB KAMDEN</v>
      </c>
      <c r="O39" s="210" t="s">
        <v>418</v>
      </c>
      <c r="P39" s="137" t="s">
        <v>419</v>
      </c>
      <c r="Q39" s="30"/>
      <c r="R39" s="84" t="str">
        <f>VLOOKUP(C39,'Train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39" s="87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-06-04T16:20:14-0600',mode:absolute,to:'2017-06-04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9" s="89" t="str">
        <f t="shared" si="1"/>
        <v>"C:\Program Files (x86)\AstroGrep\AstroGrep.exe" /e /r /s /spath="%USERPROFILE%\AppData\Local\Temp\OnboardLogs" /stypes="*4050*201706042*"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4050</v>
      </c>
      <c r="V39" s="31">
        <f t="shared" si="3"/>
        <v>42890.978101851855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drop","project_id":79,"tracker_id":40,"status_id":1,"priority_id":2,"assigned_to_id":23,"start_date":"2017-06-04","description":"","custom_fields":[{"id":1,"name":"Subdivision","value":"NW"},{"id":4,"name":"Milepost","value":"3.3236"},{"id":17,"name":"Train ID","value":"1823-04"},{"id":16,"name":"Locomotive ID","value":"4050"},{"id":130,"name":"Impact","value":""},{"id":150,"name":"Time of Event (Mountain Time)","value":"17:28:28"},{"id":151,"name":"Denver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/cygdrive/c/Users/stu/AppData/Local/Temp/OnboardLogs/RTDC4050 --include="*4050*201706042*"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"%USERPROFILE%\AppData\Local\Temp\OnboardLogs"\RTDC4050\*4050*201706042* &gt;&gt; 2017-06-04-SliceDisagreementCheck.txt</v>
      </c>
      <c r="AE39" s="148" t="str">
        <f t="shared" si="9"/>
        <v>start /low /b %USERPROFILE%\Documents\GitHub\eaglep3\Utilities\DownloadLogsFromS3.py --loco 4050 --day 2017-06-04</v>
      </c>
      <c r="AF39" s="1"/>
    </row>
    <row r="40" spans="1:32" x14ac:dyDescent="0.25">
      <c r="A40" s="31">
        <v>42890.93650462963</v>
      </c>
      <c r="B40" s="30" t="s">
        <v>406</v>
      </c>
      <c r="C40" s="30" t="s">
        <v>682</v>
      </c>
      <c r="D40" s="30" t="s">
        <v>98</v>
      </c>
      <c r="E40" s="30" t="s">
        <v>424</v>
      </c>
      <c r="F40" s="42">
        <v>0</v>
      </c>
      <c r="G40" s="42">
        <v>484</v>
      </c>
      <c r="H40" s="42">
        <v>29238</v>
      </c>
      <c r="I40" s="42">
        <v>30570</v>
      </c>
      <c r="J40" s="30" t="s">
        <v>420</v>
      </c>
      <c r="K40" s="42">
        <v>28990</v>
      </c>
      <c r="L40" s="134" t="s">
        <v>50</v>
      </c>
      <c r="M40" s="135">
        <f t="shared" si="0"/>
        <v>-834.24</v>
      </c>
      <c r="N40" s="136" t="str">
        <f>VLOOKUP(C40,'Trips&amp;Operators'!$C$1:$G$99999,5,FALSE)</f>
        <v>HOLCOMB KAMDEN</v>
      </c>
      <c r="O40" s="210" t="s">
        <v>418</v>
      </c>
      <c r="P40" s="137" t="s">
        <v>419</v>
      </c>
      <c r="Q40" s="30"/>
      <c r="R40" s="84" t="str">
        <f>VLOOKUP(C40,'Train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40" s="87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-06-04T21:18:02-0600',mode:absolute,to:'2017-06-04T23:30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0" s="89" t="str">
        <f t="shared" si="1"/>
        <v>"C:\Program Files (x86)\AstroGrep\AstroGrep.exe" /e /r /s /spath="%USERPROFILE%\AppData\Local\Temp\OnboardLogs" /stypes="*4050*201706050*" /stext=" 04:.+((SYSTEM_STATE.+slice.+state.+changed )|(ment ac)|(multiple cpu faults)|(system.+state.+changed )|(\[timeout)|(PRM\|1\|D)|(kpr)|(kdp)|(train st.+moving)|(\|lc)|(penalty))"</v>
      </c>
      <c r="U40" s="9" t="str">
        <f t="shared" si="2"/>
        <v>4050</v>
      </c>
      <c r="V40" s="31">
        <f t="shared" si="3"/>
        <v>42891.18650462963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{"issue":{"subject":"Wi-MAX data drop","project_id":79,"tracker_id":40,"status_id":1,"priority_id":2,"assigned_to_id":23,"start_date":"2017-06-04","description":"","custom_fields":[{"id":1,"name":"Subdivision","value":"NW"},{"id":4,"name":"Milepost","value":"2.899"},{"id":17,"name":"Train ID","value":"1833-04"},{"id":16,"name":"Locomotive ID","value":"4050"},{"id":130,"name":"Impact","value":""},{"id":150,"name":"Time of Event (Mountain Time)","value":"22:28:34"},{"id":151,"name":"Denver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/cygdrive/c/Users/stu/AppData/Local/Temp/OnboardLogs/RTDC4050 --include="*4050*201706050*"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"%USERPROFILE%\AppData\Local\Temp\OnboardLogs"\RTDC4050\*4050*201706050* &gt;&gt; 2017-06-04-SliceDisagreementCheck.txt</v>
      </c>
      <c r="AE40" s="148" t="str">
        <f t="shared" si="9"/>
        <v>start /low /b %USERPROFILE%\Documents\GitHub\eaglep3\Utilities\DownloadLogsFromS3.py --loco 4050 --day 2017-06-05</v>
      </c>
      <c r="AF40" s="1"/>
    </row>
    <row r="41" spans="1:32" x14ac:dyDescent="0.25">
      <c r="A41" s="31">
        <v>42890.288865740738</v>
      </c>
      <c r="B41" s="30" t="s">
        <v>405</v>
      </c>
      <c r="C41" s="30" t="s">
        <v>651</v>
      </c>
      <c r="D41" s="30" t="s">
        <v>49</v>
      </c>
      <c r="E41" s="30" t="s">
        <v>183</v>
      </c>
      <c r="F41" s="42">
        <v>0</v>
      </c>
      <c r="G41" s="42">
        <v>40</v>
      </c>
      <c r="H41" s="42">
        <v>708</v>
      </c>
      <c r="I41" s="42">
        <v>677</v>
      </c>
      <c r="J41" s="30" t="s">
        <v>184</v>
      </c>
      <c r="K41" s="42">
        <v>575</v>
      </c>
      <c r="L41" s="134" t="s">
        <v>51</v>
      </c>
      <c r="M41" s="135">
        <f t="shared" si="0"/>
        <v>53.856000000000002</v>
      </c>
      <c r="N41" s="136" t="str">
        <f>VLOOKUP(C41,'Trips&amp;Operators'!$C$1:$G$99999,5,FALSE)</f>
        <v>DAVIDSON DAVID</v>
      </c>
      <c r="O41" s="210" t="s">
        <v>182</v>
      </c>
      <c r="P41" s="137"/>
      <c r="Q41" s="30"/>
      <c r="R41" s="84" t="str">
        <f>VLOOKUP(C41,'Train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41" s="87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-06-04T05:36:32-0600',mode:absolute,to:'2017-06-04T07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1" s="89" t="str">
        <f t="shared" si="1"/>
        <v>"C:\Program Files (x86)\AstroGrep\AstroGrep.exe" /e /r /s /spath="%USERPROFILE%\AppData\Local\Temp\OnboardLogs" /stypes="*4049*201706041*" /stext=" 12:.+((SYSTEM_STATE.+slice.+state.+changed )|(ment ac)|(multiple cpu faults)|(system.+state.+changed )|(\[timeout)|(PRM\|1\|D)|(kpr)|(kdp)|(train st.+moving)|(\|lc)|(penalty))"</v>
      </c>
      <c r="U41" s="9" t="str">
        <f t="shared" si="2"/>
        <v>4049</v>
      </c>
      <c r="V41" s="31">
        <f t="shared" si="3"/>
        <v>42890.538865740738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{"issue":{"subject":"","project_id":79,"tracker_id":40,"status_id":1,"priority_id":2,"assigned_to_id":23,"start_date":"2017-06-04","description":"","custom_fields":[{"id":1,"name":"Subdivision","value":"NW"},{"id":4,"name":"Milepost","value":"0.0575"},{"id":17,"name":"Train ID","value":"1802-04"},{"id":16,"name":"Locomotive ID","value":"4049"},{"id":130,"name":"Impact","value":""},{"id":150,"name":"Time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/cygdrive/c/Users/stu/AppData/Local/Temp/OnboardLogs/RTDC4049 --include="*4049*201706041*"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"%USERPROFILE%\AppData\Local\Temp\OnboardLogs"\RTDC4049\*4049*201706041* &gt;&gt; 2017-06-04-SliceDisagreementCheck.txt</v>
      </c>
      <c r="AE41" s="148" t="str">
        <f t="shared" si="9"/>
        <v>start /low /b %USERPROFILE%\Documents\GitHub\eaglep3\Utilities\DownloadLogsFromS3.py --loco 4049 --day 2017-06-04</v>
      </c>
      <c r="AF41" s="1"/>
    </row>
    <row r="42" spans="1:32" x14ac:dyDescent="0.25">
      <c r="A42" s="31">
        <v>42890.663495370369</v>
      </c>
      <c r="B42" s="30" t="s">
        <v>405</v>
      </c>
      <c r="C42" s="30" t="s">
        <v>664</v>
      </c>
      <c r="D42" s="30" t="s">
        <v>49</v>
      </c>
      <c r="E42" s="30" t="s">
        <v>183</v>
      </c>
      <c r="F42" s="42">
        <v>0</v>
      </c>
      <c r="G42" s="42">
        <v>54</v>
      </c>
      <c r="H42" s="42">
        <v>741</v>
      </c>
      <c r="I42" s="42">
        <v>712</v>
      </c>
      <c r="J42" s="30" t="s">
        <v>184</v>
      </c>
      <c r="K42" s="42">
        <v>575</v>
      </c>
      <c r="L42" s="134" t="s">
        <v>51</v>
      </c>
      <c r="M42" s="135">
        <f t="shared" si="0"/>
        <v>72.335999999999999</v>
      </c>
      <c r="N42" s="136" t="str">
        <f>VLOOKUP(C42,'Trips&amp;Operators'!$C$1:$G$99999,5,FALSE)</f>
        <v>HOLCOMB KAMDEN</v>
      </c>
      <c r="O42" s="210" t="s">
        <v>182</v>
      </c>
      <c r="P42" s="137"/>
      <c r="Q42" s="30"/>
      <c r="R42" s="84" t="str">
        <f>VLOOKUP(C42,'Train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42" s="87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-06-04T14:36:39-0600',mode:absolute,to:'2017-06-04T16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2" s="89" t="str">
        <f t="shared" si="1"/>
        <v>"C:\Program Files (x86)\AstroGrep\AstroGrep.exe" /e /r /s /spath="%USERPROFILE%\AppData\Local\Temp\OnboardLogs" /stypes="*4049*201706042*" /stext=" 21:.+((SYSTEM_STATE.+slice.+state.+changed )|(ment ac)|(multiple cpu faults)|(system.+state.+changed )|(\[timeout)|(PRM\|1\|D)|(kpr)|(kdp)|(train st.+moving)|(\|lc)|(penalty))"</v>
      </c>
      <c r="U42" s="9" t="str">
        <f t="shared" si="2"/>
        <v>4049</v>
      </c>
      <c r="V42" s="31">
        <f t="shared" si="3"/>
        <v>42890.913495370369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{"issue":{"subject":"","project_id":79,"tracker_id":40,"status_id":1,"priority_id":2,"assigned_to_id":23,"start_date":"2017-06-04","description":"","custom_fields":[{"id":1,"name":"Subdivision","value":"NW"},{"id":4,"name":"Milepost","value":"0.0575"},{"id":17,"name":"Train ID","value":"1820-04"},{"id":16,"name":"Locomotive ID","value":"4049"},{"id":130,"name":"Impact","value":""},{"id":150,"name":"Time of Event (Mountain Time)","value":"15:55:26"},{"id":151,"name":"Denver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/cygdrive/c/Users/stu/AppData/Local/Temp/OnboardLogs/RTDC4049 --include="*4049*201706042*"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"%USERPROFILE%\AppData\Local\Temp\OnboardLogs"\RTDC4049\*4049*201706042* &gt;&gt; 2017-06-04-SliceDisagreementCheck.txt</v>
      </c>
      <c r="AE42" s="148" t="str">
        <f t="shared" si="9"/>
        <v>start /low /b %USERPROFILE%\Documents\GitHub\eaglep3\Utilities\DownloadLogsFromS3.py --loco 4049 --day 2017-06-04</v>
      </c>
      <c r="AF42" s="1"/>
    </row>
    <row r="43" spans="1:32" x14ac:dyDescent="0.25">
      <c r="A43" s="31">
        <v>42890.704826388886</v>
      </c>
      <c r="B43" s="30" t="s">
        <v>405</v>
      </c>
      <c r="C43" s="30" t="s">
        <v>667</v>
      </c>
      <c r="D43" s="30" t="s">
        <v>49</v>
      </c>
      <c r="E43" s="30" t="s">
        <v>183</v>
      </c>
      <c r="F43" s="42">
        <v>0</v>
      </c>
      <c r="G43" s="42">
        <v>55</v>
      </c>
      <c r="H43" s="42">
        <v>771</v>
      </c>
      <c r="I43" s="42">
        <v>713</v>
      </c>
      <c r="J43" s="30" t="s">
        <v>184</v>
      </c>
      <c r="K43" s="42">
        <v>575</v>
      </c>
      <c r="L43" s="134" t="s">
        <v>51</v>
      </c>
      <c r="M43" s="135">
        <f t="shared" si="0"/>
        <v>72.864000000000004</v>
      </c>
      <c r="N43" s="136" t="str">
        <f>VLOOKUP(C43,'Trips&amp;Operators'!$C$1:$G$99999,5,FALSE)</f>
        <v>HOLCOMB KAMDEN</v>
      </c>
      <c r="O43" s="210" t="s">
        <v>182</v>
      </c>
      <c r="P43" s="137"/>
      <c r="Q43" s="30"/>
      <c r="R43" s="84" t="str">
        <f>VLOOKUP(C43,'Train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43" s="87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-06-04T15:37:28-0600',mode:absolute,to:'2017-06-04T17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3" s="89" t="str">
        <f t="shared" si="1"/>
        <v>"C:\Program Files (x86)\AstroGrep\AstroGrep.exe" /e /r /s /spath="%USERPROFILE%\AppData\Local\Temp\OnboardLogs" /stypes="*4049*201706042*" /stext=" 22:.+((SYSTEM_STATE.+slice.+state.+changed )|(ment ac)|(multiple cpu faults)|(system.+state.+changed )|(\[timeout)|(PRM\|1\|D)|(kpr)|(kdp)|(train st.+moving)|(\|lc)|(penalty))"</v>
      </c>
      <c r="U43" s="9" t="str">
        <f t="shared" si="2"/>
        <v>4049</v>
      </c>
      <c r="V43" s="31">
        <f t="shared" si="3"/>
        <v>42890.954826388886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{"issue":{"subject":"","project_id":79,"tracker_id":40,"status_id":1,"priority_id":2,"assigned_to_id":23,"start_date":"2017-06-04","description":"","custom_fields":[{"id":1,"name":"Subdivision","value":"NW"},{"id":4,"name":"Milepost","value":"0.0575"},{"id":17,"name":"Train ID","value":"1822-04"},{"id":16,"name":"Locomotive ID","value":"4049"},{"id":130,"name":"Impact","value":""},{"id":150,"name":"Time of Event (Mountain Time)","value":"16:54:57"},{"id":151,"name":"Denver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/cygdrive/c/Users/stu/AppData/Local/Temp/OnboardLogs/RTDC4049 --include="*4049*201706042*"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"%USERPROFILE%\AppData\Local\Temp\OnboardLogs"\RTDC4049\*4049*201706042* &gt;&gt; 2017-06-04-SliceDisagreementCheck.txt</v>
      </c>
      <c r="AE43" s="148" t="str">
        <f t="shared" si="9"/>
        <v>start /low /b %USERPROFILE%\Documents\GitHub\eaglep3\Utilities\DownloadLogsFromS3.py --loco 4049 --day 2017-06-04</v>
      </c>
      <c r="AF43" s="1"/>
    </row>
    <row r="44" spans="1:32" x14ac:dyDescent="0.25">
      <c r="A44" s="31">
        <v>42890.91306712963</v>
      </c>
      <c r="B44" s="30" t="s">
        <v>405</v>
      </c>
      <c r="C44" s="30" t="s">
        <v>681</v>
      </c>
      <c r="D44" s="30" t="s">
        <v>49</v>
      </c>
      <c r="E44" s="30" t="s">
        <v>183</v>
      </c>
      <c r="F44" s="42">
        <v>0</v>
      </c>
      <c r="G44" s="42">
        <v>49</v>
      </c>
      <c r="H44" s="42">
        <v>724</v>
      </c>
      <c r="I44" s="42">
        <v>692</v>
      </c>
      <c r="J44" s="30" t="s">
        <v>184</v>
      </c>
      <c r="K44" s="42">
        <v>575</v>
      </c>
      <c r="L44" s="134" t="s">
        <v>51</v>
      </c>
      <c r="M44" s="135">
        <f t="shared" si="0"/>
        <v>61.776000000000003</v>
      </c>
      <c r="N44" s="136" t="str">
        <f>VLOOKUP(C44,'Trips&amp;Operators'!$C$1:$G$99999,5,FALSE)</f>
        <v>HOLCOMB KAMDEN</v>
      </c>
      <c r="O44" s="210" t="s">
        <v>182</v>
      </c>
      <c r="P44" s="137"/>
      <c r="Q44" s="30"/>
      <c r="R44" s="84" t="str">
        <f>VLOOKUP(C44,'Train Runs'!$A$13:$AE$9935,31,0)</f>
        <v>aws s3 cp s3://rtdc.mdm.uploadarchive.raw/RTDC4049/ "%USERPROFILE%\AppData\Local\Temp\OnboardLogs"\RTDC4049\2017-06-04 --exclude "*" --recursive --include "*20170604*" &amp; "%USERPROFILE%\Documents\GitHub\mrs-test-scripts\Headless Mode &amp; Sideloading\WalkAndUnGZ.bat" "%USERPROFILE%\AppData\Local\Temp\OnboardLogs"\RTDC4049\2017-06-04 &amp; aws s3 cp s3://rtdc.mdm.uploadarchive.raw/RTDC4049/ "%USERPROFILE%\AppData\Local\Temp\OnboardLogs"\RTDC4049\2017-06-05 --exclude "*" --recursive --include "*20170605*" &amp; "%USERPROFILE%\Documents\GitHub\mrs-test-scripts\Headless Mode &amp; Sideloading\WalkAndUnGZ.bat" "%USERPROFILE%\AppData\Local\Temp\OnboardLogs"\RTDC4049\2017-06-05</v>
      </c>
      <c r="S44" s="87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-06-04T20:37:13-0600',mode:absolute,to:'2017-06-04T22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4" s="89" t="str">
        <f t="shared" si="1"/>
        <v>"C:\Program Files (x86)\AstroGrep\AstroGrep.exe" /e /r /s /spath="%USERPROFILE%\AppData\Local\Temp\OnboardLogs" /stypes="*4049*201706050*" /stext=" 03:.+((SYSTEM_STATE.+slice.+state.+changed )|(ment ac)|(multiple cpu faults)|(system.+state.+changed )|(\[timeout)|(PRM\|1\|D)|(kpr)|(kdp)|(train st.+moving)|(\|lc)|(penalty))"</v>
      </c>
      <c r="U44" s="9" t="str">
        <f t="shared" si="2"/>
        <v>4049</v>
      </c>
      <c r="V44" s="31">
        <f t="shared" si="3"/>
        <v>42891.16306712963</v>
      </c>
      <c r="W44" s="45" t="str">
        <f t="shared" si="4"/>
        <v>NW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{"issue":{"subject":"","project_id":79,"tracker_id":40,"status_id":1,"priority_id":2,"assigned_to_id":23,"start_date":"2017-06-04","description":"","custom_fields":[{"id":1,"name":"Subdivision","value":"NW"},{"id":4,"name":"Milepost","value":"0.0575"},{"id":17,"name":"Train ID","value":"1832-04"},{"id":16,"name":"Locomotive ID","value":"4049"},{"id":130,"name":"Impact","value":""},{"id":150,"name":"Time of Event (Mountain Time)","value":"21:54:49"},{"id":151,"name":"Denver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/cygdrive/c/Users/stu/AppData/Local/Temp/OnboardLogs/RTDC4049 --include="*4049*201706050*"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"%USERPROFILE%\AppData\Local\Temp\OnboardLogs"\RTDC4049\*4049*201706050* &gt;&gt; 2017-06-04-SliceDisagreementCheck.txt</v>
      </c>
      <c r="AE44" s="148" t="str">
        <f t="shared" si="9"/>
        <v>start /low /b %USERPROFILE%\Documents\GitHub\eaglep3\Utilities\DownloadLogsFromS3.py --loco 4049 --day 2017-06-05</v>
      </c>
      <c r="AF44" s="1"/>
    </row>
    <row r="45" spans="1:32" x14ac:dyDescent="0.25">
      <c r="A45" s="31">
        <v>42890.73364583333</v>
      </c>
      <c r="B45" s="30" t="s">
        <v>406</v>
      </c>
      <c r="C45" s="30" t="s">
        <v>669</v>
      </c>
      <c r="D45" s="30" t="s">
        <v>49</v>
      </c>
      <c r="E45" s="30" t="s">
        <v>183</v>
      </c>
      <c r="F45" s="42">
        <v>0</v>
      </c>
      <c r="G45" s="42">
        <v>55</v>
      </c>
      <c r="H45" s="42">
        <v>58890</v>
      </c>
      <c r="I45" s="42">
        <v>58954</v>
      </c>
      <c r="J45" s="30" t="s">
        <v>184</v>
      </c>
      <c r="K45" s="42">
        <v>59048</v>
      </c>
      <c r="L45" s="134" t="s">
        <v>50</v>
      </c>
      <c r="M45" s="135">
        <f t="shared" si="0"/>
        <v>49.631999999999998</v>
      </c>
      <c r="N45" s="136" t="str">
        <f>VLOOKUP(C45,'Trips&amp;Operators'!$C$1:$G$99999,5,FALSE)</f>
        <v>HOLCOMB KAMDEN</v>
      </c>
      <c r="O45" s="210" t="s">
        <v>182</v>
      </c>
      <c r="P45" s="137"/>
      <c r="Q45" s="30"/>
      <c r="R45" s="84" t="str">
        <f>VLOOKUP(C45,'Train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45" s="87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-06-04T16:20:14-0600',mode:absolute,to:'2017-06-04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5" s="89" t="str">
        <f t="shared" si="1"/>
        <v>"C:\Program Files (x86)\AstroGrep\AstroGrep.exe" /e /r /s /spath="%USERPROFILE%\AppData\Local\Temp\OnboardLogs" /stypes="*4050*201706042*" /stext=" 23:.+((SYSTEM_STATE.+slice.+state.+changed )|(ment ac)|(multiple cpu faults)|(system.+state.+changed )|(\[timeout)|(PRM\|1\|D)|(kpr)|(kdp)|(train st.+moving)|(\|lc)|(penalty))"</v>
      </c>
      <c r="U45" s="9" t="str">
        <f t="shared" si="2"/>
        <v>4050</v>
      </c>
      <c r="V45" s="31">
        <f t="shared" si="3"/>
        <v>42890.98364583333</v>
      </c>
      <c r="W45" s="45" t="str">
        <f t="shared" si="4"/>
        <v>NW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{"issue":{"subject":"","project_id":79,"tracker_id":40,"status_id":1,"priority_id":2,"assigned_to_id":23,"start_date":"2017-06-04","description":"","custom_fields":[{"id":1,"name":"Subdivision","value":"NW"},{"id":4,"name":"Milepost","value":"5.9048"},{"id":17,"name":"Train ID","value":"1823-04"},{"id":16,"name":"Locomotive ID","value":"4050"},{"id":130,"name":"Impact","value":""},{"id":150,"name":"Time of Event (Mountain Time)","value":"17:36:27"},{"id":151,"name":"Denver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/cygdrive/c/Users/stu/AppData/Local/Temp/OnboardLogs/RTDC4050 --include="*4050*201706042*"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"%USERPROFILE%\AppData\Local\Temp\OnboardLogs"\RTDC4050\*4050*201706042* &gt;&gt; 2017-06-04-SliceDisagreementCheck.txt</v>
      </c>
      <c r="AE45" s="148" t="str">
        <f t="shared" si="9"/>
        <v>start /low /b %USERPROFILE%\Documents\GitHub\eaglep3\Utilities\DownloadLogsFromS3.py --loco 4050 --day 2017-06-04</v>
      </c>
      <c r="AF45" s="1"/>
    </row>
    <row r="46" spans="1:32" x14ac:dyDescent="0.25">
      <c r="A46" s="31">
        <v>42890.734016203707</v>
      </c>
      <c r="B46" s="30" t="s">
        <v>406</v>
      </c>
      <c r="C46" s="30" t="s">
        <v>669</v>
      </c>
      <c r="D46" s="30" t="s">
        <v>49</v>
      </c>
      <c r="E46" s="30" t="s">
        <v>183</v>
      </c>
      <c r="F46" s="42">
        <v>0</v>
      </c>
      <c r="G46" s="42">
        <v>24</v>
      </c>
      <c r="H46" s="42">
        <v>59007</v>
      </c>
      <c r="I46" s="42">
        <v>59014</v>
      </c>
      <c r="J46" s="30" t="s">
        <v>184</v>
      </c>
      <c r="K46" s="42">
        <v>59048</v>
      </c>
      <c r="L46" s="134" t="s">
        <v>50</v>
      </c>
      <c r="M46" s="135">
        <f t="shared" si="0"/>
        <v>17.952000000000002</v>
      </c>
      <c r="N46" s="136" t="str">
        <f>VLOOKUP(C46,'Trips&amp;Operators'!$C$1:$G$99999,5,FALSE)</f>
        <v>HOLCOMB KAMDEN</v>
      </c>
      <c r="O46" s="210" t="s">
        <v>182</v>
      </c>
      <c r="P46" s="137"/>
      <c r="Q46" s="30"/>
      <c r="R46" s="84" t="str">
        <f>VLOOKUP(C46,'Train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46" s="87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-06-04T16:20:14-0600',mode:absolute,to:'2017-06-04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6" s="89" t="str">
        <f t="shared" si="1"/>
        <v>"C:\Program Files (x86)\AstroGrep\AstroGrep.exe" /e /r /s /spath="%USERPROFILE%\AppData\Local\Temp\OnboardLogs" /stypes="*4050*201706042*" /stext=" 23:.+((SYSTEM_STATE.+slice.+state.+changed )|(ment ac)|(multiple cpu faults)|(system.+state.+changed )|(\[timeout)|(PRM\|1\|D)|(kpr)|(kdp)|(train st.+moving)|(\|lc)|(penalty))"</v>
      </c>
      <c r="U46" s="9" t="str">
        <f t="shared" si="2"/>
        <v>4050</v>
      </c>
      <c r="V46" s="31">
        <f t="shared" si="3"/>
        <v>42890.984016203707</v>
      </c>
      <c r="W46" s="45" t="str">
        <f t="shared" si="4"/>
        <v>NW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{"issue":{"subject":"","project_id":79,"tracker_id":40,"status_id":1,"priority_id":2,"assigned_to_id":23,"start_date":"2017-06-04","description":"","custom_fields":[{"id":1,"name":"Subdivision","value":"NW"},{"id":4,"name":"Milepost","value":"5.9048"},{"id":17,"name":"Train ID","value":"1823-04"},{"id":16,"name":"Locomotive ID","value":"4050"},{"id":130,"name":"Impact","value":""},{"id":150,"name":"Time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/cygdrive/c/Users/stu/AppData/Local/Temp/OnboardLogs/RTDC4050 --include="*4050*201706042*"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"%USERPROFILE%\AppData\Local\Temp\OnboardLogs"\RTDC4050\*4050*201706042* &gt;&gt; 2017-06-04-SliceDisagreementCheck.txt</v>
      </c>
      <c r="AE46" s="148" t="str">
        <f t="shared" si="9"/>
        <v>start /low /b %USERPROFILE%\Documents\GitHub\eaglep3\Utilities\DownloadLogsFromS3.py --loco 4050 --day 2017-06-04</v>
      </c>
      <c r="AF46" s="1"/>
    </row>
    <row r="47" spans="1:32" x14ac:dyDescent="0.25">
      <c r="A47" s="31">
        <v>42890.774131944447</v>
      </c>
      <c r="B47" s="30" t="s">
        <v>406</v>
      </c>
      <c r="C47" s="30" t="s">
        <v>674</v>
      </c>
      <c r="D47" s="30" t="s">
        <v>49</v>
      </c>
      <c r="E47" s="30" t="s">
        <v>183</v>
      </c>
      <c r="F47" s="42">
        <v>0</v>
      </c>
      <c r="G47" s="42">
        <v>43</v>
      </c>
      <c r="H47" s="42">
        <v>58899</v>
      </c>
      <c r="I47" s="42">
        <v>58943</v>
      </c>
      <c r="J47" s="30" t="s">
        <v>184</v>
      </c>
      <c r="K47" s="42">
        <v>59048</v>
      </c>
      <c r="L47" s="134" t="s">
        <v>50</v>
      </c>
      <c r="M47" s="135">
        <f t="shared" si="0"/>
        <v>55.44</v>
      </c>
      <c r="N47" s="136" t="str">
        <f>VLOOKUP(C47,'Trips&amp;Operators'!$C$1:$G$99999,5,FALSE)</f>
        <v>HOLCOMB KAMDEN</v>
      </c>
      <c r="O47" s="210" t="s">
        <v>182</v>
      </c>
      <c r="P47" s="137"/>
      <c r="Q47" s="30"/>
      <c r="R47" s="84" t="str">
        <f>VLOOKUP(C47,'Train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47" s="87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-06-04T17:18:37-0600',mode:absolute,to:'2017-06-04T19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7" s="89" t="str">
        <f t="shared" si="1"/>
        <v>"C:\Program Files (x86)\AstroGrep\AstroGrep.exe" /e /r /s /spath="%USERPROFILE%\AppData\Local\Temp\OnboardLogs" /stypes="*4050*201706050*" /stext=" 00:.+((SYSTEM_STATE.+slice.+state.+changed )|(ment ac)|(multiple cpu faults)|(system.+state.+changed )|(\[timeout)|(PRM\|1\|D)|(kpr)|(kdp)|(train st.+moving)|(\|lc)|(penalty))"</v>
      </c>
      <c r="U47" s="9" t="str">
        <f t="shared" si="2"/>
        <v>4050</v>
      </c>
      <c r="V47" s="31">
        <f t="shared" si="3"/>
        <v>42891.024131944447</v>
      </c>
      <c r="W47" s="45" t="str">
        <f t="shared" si="4"/>
        <v>NW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{"issue":{"subject":"","project_id":79,"tracker_id":40,"status_id":1,"priority_id":2,"assigned_to_id":23,"start_date":"2017-06-04","description":"","custom_fields":[{"id":1,"name":"Subdivision","value":"NW"},{"id":4,"name":"Milepost","value":"5.9048"},{"id":17,"name":"Train ID","value":"1825-04"},{"id":16,"name":"Locomotive ID","value":"4050"},{"id":130,"name":"Impact","value":""},{"id":150,"name":"Time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/cygdrive/c/Users/stu/AppData/Local/Temp/OnboardLogs/RTDC4050 --include="*4050*201706050*"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"%USERPROFILE%\AppData\Local\Temp\OnboardLogs"\RTDC4050\*4050*201706050* &gt;&gt; 2017-06-04-SliceDisagreementCheck.txt</v>
      </c>
      <c r="AE47" s="148" t="str">
        <f t="shared" si="9"/>
        <v>start /low /b %USERPROFILE%\Documents\GitHub\eaglep3\Utilities\DownloadLogsFromS3.py --loco 4050 --day 2017-06-05</v>
      </c>
      <c r="AF47" s="1"/>
    </row>
    <row r="48" spans="1:32" x14ac:dyDescent="0.25">
      <c r="A48" s="31">
        <v>42890.774583333332</v>
      </c>
      <c r="B48" s="30" t="s">
        <v>406</v>
      </c>
      <c r="C48" s="30" t="s">
        <v>674</v>
      </c>
      <c r="D48" s="30" t="s">
        <v>49</v>
      </c>
      <c r="E48" s="30" t="s">
        <v>183</v>
      </c>
      <c r="F48" s="42">
        <v>0</v>
      </c>
      <c r="G48" s="42">
        <v>14</v>
      </c>
      <c r="H48" s="42">
        <v>59008</v>
      </c>
      <c r="I48" s="42">
        <v>59012</v>
      </c>
      <c r="J48" s="30" t="s">
        <v>184</v>
      </c>
      <c r="K48" s="42">
        <v>59048</v>
      </c>
      <c r="L48" s="134" t="s">
        <v>50</v>
      </c>
      <c r="M48" s="135">
        <f t="shared" si="0"/>
        <v>19.007999999999999</v>
      </c>
      <c r="N48" s="136" t="str">
        <f>VLOOKUP(C48,'Trips&amp;Operators'!$C$1:$G$99999,5,FALSE)</f>
        <v>HOLCOMB KAMDEN</v>
      </c>
      <c r="O48" s="210" t="s">
        <v>182</v>
      </c>
      <c r="P48" s="137"/>
      <c r="Q48" s="30"/>
      <c r="R48" s="84" t="str">
        <f>VLOOKUP(C48,'Train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48" s="87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-06-04T17:18:37-0600',mode:absolute,to:'2017-06-04T19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8" s="89" t="str">
        <f t="shared" si="1"/>
        <v>"C:\Program Files (x86)\AstroGrep\AstroGrep.exe" /e /r /s /spath="%USERPROFILE%\AppData\Local\Temp\OnboardLogs" /stypes="*4050*201706050*" /stext=" 00:.+((SYSTEM_STATE.+slice.+state.+changed )|(ment ac)|(multiple cpu faults)|(system.+state.+changed )|(\[timeout)|(PRM\|1\|D)|(kpr)|(kdp)|(train st.+moving)|(\|lc)|(penalty))"</v>
      </c>
      <c r="U48" s="9" t="str">
        <f t="shared" si="2"/>
        <v>4050</v>
      </c>
      <c r="V48" s="31">
        <f t="shared" si="3"/>
        <v>42891.024583333332</v>
      </c>
      <c r="W48" s="45" t="str">
        <f t="shared" si="4"/>
        <v>NW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{"issue":{"subject":"","project_id":79,"tracker_id":40,"status_id":1,"priority_id":2,"assigned_to_id":23,"start_date":"2017-06-04","description":"","custom_fields":[{"id":1,"name":"Subdivision","value":"NW"},{"id":4,"name":"Milepost","value":"5.9048"},{"id":17,"name":"Train ID","value":"1825-04"},{"id":16,"name":"Locomotive ID","value":"4050"},{"id":130,"name":"Impact","value":""},{"id":150,"name":"Time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/cygdrive/c/Users/stu/AppData/Local/Temp/OnboardLogs/RTDC4050 --include="*4050*201706050*"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"%USERPROFILE%\AppData\Local\Temp\OnboardLogs"\RTDC4050\*4050*201706050* &gt;&gt; 2017-06-04-SliceDisagreementCheck.txt</v>
      </c>
      <c r="AE48" s="148" t="str">
        <f t="shared" si="9"/>
        <v>start /low /b %USERPROFILE%\Documents\GitHub\eaglep3\Utilities\DownloadLogsFromS3.py --loco 4050 --day 2017-06-05</v>
      </c>
      <c r="AF48" s="1"/>
    </row>
    <row r="49" spans="1:32" x14ac:dyDescent="0.25">
      <c r="A49" s="31">
        <v>42890.899942129632</v>
      </c>
      <c r="B49" s="30" t="s">
        <v>406</v>
      </c>
      <c r="C49" s="30" t="s">
        <v>680</v>
      </c>
      <c r="D49" s="30" t="s">
        <v>49</v>
      </c>
      <c r="E49" s="30" t="s">
        <v>183</v>
      </c>
      <c r="F49" s="42">
        <v>0</v>
      </c>
      <c r="G49" s="42">
        <v>36</v>
      </c>
      <c r="H49" s="42">
        <v>58954</v>
      </c>
      <c r="I49" s="42">
        <v>59007</v>
      </c>
      <c r="J49" s="30" t="s">
        <v>184</v>
      </c>
      <c r="K49" s="42">
        <v>59048</v>
      </c>
      <c r="L49" s="134" t="s">
        <v>50</v>
      </c>
      <c r="M49" s="135">
        <f t="shared" si="0"/>
        <v>21.648000000000003</v>
      </c>
      <c r="N49" s="136" t="str">
        <f>VLOOKUP(C49,'Trips&amp;Operators'!$C$1:$G$99999,5,FALSE)</f>
        <v>HOLCOMB KAMDEN</v>
      </c>
      <c r="O49" s="210" t="s">
        <v>182</v>
      </c>
      <c r="P49" s="137"/>
      <c r="Q49" s="30"/>
      <c r="R49" s="84" t="str">
        <f>VLOOKUP(C49,'Train Runs'!$A$13:$AE$9935,31,0)</f>
        <v>aws s3 cp s3://rtdc.mdm.uploadarchive.raw/RTDC4050/ "%USERPROFILE%\AppData\Local\Temp\OnboardLogs"\RTDC4050\2017-06-04 --exclude "*" --recursive --include "*20170604*" &amp; "%USERPROFILE%\Documents\GitHub\mrs-test-scripts\Headless Mode &amp; Sideloading\WalkAndUnGZ.bat" "%USERPROFILE%\AppData\Local\Temp\OnboardLogs"\RTDC4050\2017-06-04 &amp; aws s3 cp s3://rtdc.mdm.uploadarchive.raw/RTDC4050/ "%USERPROFILE%\AppData\Local\Temp\OnboardLogs"\RTDC4050\2017-06-05 --exclude "*" --recursive --include "*20170605*" &amp; "%USERPROFILE%\Documents\GitHub\mrs-test-scripts\Headless Mode &amp; Sideloading\WalkAndUnGZ.bat" "%USERPROFILE%\AppData\Local\Temp\OnboardLogs"\RTDC4050\2017-06-05</v>
      </c>
      <c r="S49" s="87" t="str">
        <f>VLOOKUP(C49,'Train Runs'!$A$13:$AE$9935,22,0)</f>
        <v>https://d0f6bd738d7f1b3e5a7ca70fe4ff75f0.us-east-1.aws.found.io/app/kibana#/discover/Steve-Slow-Train-Analysis-(2080s-and-2083s)?_g=(refreshInterval:(display:Off,pause:!f,section:0,value:0),time:(from:'2017-06-04T20:03:37-0600',mode:absolute,to:'2017-06-04T22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9" s="89" t="str">
        <f t="shared" si="1"/>
        <v>"C:\Program Files (x86)\AstroGrep\AstroGrep.exe" /e /r /s /spath="%USERPROFILE%\AppData\Local\Temp\OnboardLogs" /stypes="*4050*201706050*" /stext=" 03:.+((SYSTEM_STATE.+slice.+state.+changed )|(ment ac)|(multiple cpu faults)|(system.+state.+changed )|(\[timeout)|(PRM\|1\|D)|(kpr)|(kdp)|(train st.+moving)|(\|lc)|(penalty))"</v>
      </c>
      <c r="U49" s="9" t="str">
        <f t="shared" si="2"/>
        <v>4050</v>
      </c>
      <c r="V49" s="31">
        <f t="shared" si="3"/>
        <v>42891.149942129632</v>
      </c>
      <c r="W49" s="45" t="str">
        <f t="shared" si="4"/>
        <v>NW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{"issue":{"subject":"","project_id":79,"tracker_id":40,"status_id":1,"priority_id":2,"assigned_to_id":23,"start_date":"2017-06-04","description":"","custom_fields":[{"id":1,"name":"Subdivision","value":"NW"},{"id":4,"name":"Milepost","value":"5.9048"},{"id":17,"name":"Train ID","value":"1831-04"},{"id":16,"name":"Locomotive ID","value":"4050"},{"id":130,"name":"Impact","value":""},{"id":150,"name":"Time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/cygdrive/c/Users/stu/AppData/Local/Temp/OnboardLogs/RTDC4050 --include="*4050*201706050*"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"%USERPROFILE%\AppData\Local\Temp\OnboardLogs"\RTDC4050\*4050*201706050* &gt;&gt; 2017-06-04-SliceDisagreementCheck.txt</v>
      </c>
      <c r="AE49" s="148" t="str">
        <f t="shared" si="9"/>
        <v>start /low /b %USERPROFILE%\Documents\GitHub\eaglep3\Utilities\DownloadLogsFromS3.py --loco 4050 --day 2017-06-05</v>
      </c>
      <c r="AF49" s="1"/>
    </row>
    <row r="50" spans="1:32" x14ac:dyDescent="0.25">
      <c r="A50" s="31">
        <v>42890.143842592595</v>
      </c>
      <c r="B50" s="30" t="s">
        <v>409</v>
      </c>
      <c r="C50" s="30" t="s">
        <v>647</v>
      </c>
      <c r="D50" s="30" t="s">
        <v>49</v>
      </c>
      <c r="E50" s="30" t="s">
        <v>366</v>
      </c>
      <c r="F50" s="42">
        <v>0</v>
      </c>
      <c r="G50" s="42">
        <v>24</v>
      </c>
      <c r="H50" s="42">
        <v>19158</v>
      </c>
      <c r="I50" s="42">
        <v>19148</v>
      </c>
      <c r="J50" s="30" t="s">
        <v>367</v>
      </c>
      <c r="K50" s="42">
        <v>19000</v>
      </c>
      <c r="L50" s="134" t="s">
        <v>51</v>
      </c>
      <c r="M50" s="135">
        <f t="shared" si="0"/>
        <v>78.144000000000005</v>
      </c>
      <c r="N50" s="136" t="str">
        <f>VLOOKUP(C50,'Trips&amp;Operators'!$C$1:$G$99999,5,FALSE)</f>
        <v>WILLIAMS DONTE</v>
      </c>
      <c r="O50" s="210" t="s">
        <v>182</v>
      </c>
      <c r="P50" s="137"/>
      <c r="Q50" s="30"/>
      <c r="R50" s="84" t="str">
        <f>VLOOKUP(C50,'Train Runs'!$A$13:$AE$9935,31,0)</f>
        <v>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 &amp; aws s3 cp s3://rtdc.mdm.uploadarchive.raw/RTDC4059/ "%USERPROFILE%\AppData\Local\Temp\OnboardLogs"\RTDC4059\2017-06-05 --exclude "*" --recursive --include "*20170605*" &amp; "%USERPROFILE%\Documents\GitHub\mrs-test-scripts\Headless Mode &amp; Sideloading\WalkAndUnGZ.bat" "%USERPROFILE%\AppData\Local\Temp\OnboardLogs"\RTDC4059\2017-06-05</v>
      </c>
      <c r="S50" s="87" t="str">
        <f>VLOOKUP(C50,'Train Runs'!$A$13:$AE$9935,22,0)</f>
        <v>https://d0f6bd738d7f1b3e5a7ca70fe4ff75f0.us-east-1.aws.found.io/app/kibana#/discover/Steve-Slow-Train-Analysis-(2080s-and-2083s)?_g=(refreshInterval:(display:Off,pause:!f,section:0,value:0),time:(from:'2017-06-04T02:17:27-0600',mode:absolute,to:'2017-06-04T04:29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50" s="89" t="str">
        <f t="shared" si="1"/>
        <v>"C:\Program Files (x86)\AstroGrep\AstroGrep.exe" /e /r /s /spath="%USERPROFILE%\AppData\Local\Temp\OnboardLogs" /stypes="*4059*201706040*" /stext=" 09:.+((SYSTEM_STATE.+slice.+state.+changed )|(ment ac)|(multiple cpu faults)|(system.+state.+changed )|(\[timeout)|(PRM\|1\|D)|(kpr)|(kdp)|(train st.+moving)|(\|lc)|(penalty))"</v>
      </c>
      <c r="U50" s="9" t="str">
        <f t="shared" si="2"/>
        <v>4059</v>
      </c>
      <c r="V50" s="31">
        <f t="shared" si="3"/>
        <v>42890.393842592595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{"issue":{"subject":"","project_id":79,"tracker_id":40,"status_id":1,"priority_id":2,"assigned_to_id":23,"start_date":"2017-06-04","description":"","custom_fields":[{"id":1,"name":"Subdivision","value":"Other"},{"id":4,"name":"Milepost","value":"1.9"},{"id":17,"name":"Train ID","value":"302-04"},{"id":16,"name":"Locomotive ID","value":"4059"},{"id":130,"name":"Impact","value":""},{"id":150,"name":"Time of Event (Mountain Time)","value":"03:27:08"},{"id":151,"name":"Denver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/cygdrive/c/Users/stu/AppData/Local/Temp/OnboardLogs/RTDC4059 --include="*4059*201706040*"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"%USERPROFILE%\AppData\Local\Temp\OnboardLogs"\RTDC4059\*4059*201706040* &gt;&gt; 2017-06-04-SliceDisagreementCheck.txt</v>
      </c>
      <c r="AE50" s="148" t="str">
        <f t="shared" si="9"/>
        <v>start /low /b %USERPROFILE%\Documents\GitHub\eaglep3\Utilities\DownloadLogsFromS3.py --loco 4059 --day 2017-06-04</v>
      </c>
      <c r="AF50" s="1"/>
    </row>
    <row r="51" spans="1:32" x14ac:dyDescent="0.25">
      <c r="A51" s="31">
        <v>42890.238229166665</v>
      </c>
      <c r="B51" s="30" t="s">
        <v>649</v>
      </c>
      <c r="C51" s="30" t="s">
        <v>650</v>
      </c>
      <c r="D51" s="30" t="s">
        <v>49</v>
      </c>
      <c r="E51" s="30" t="s">
        <v>183</v>
      </c>
      <c r="F51" s="42">
        <v>0</v>
      </c>
      <c r="G51" s="42">
        <v>60</v>
      </c>
      <c r="H51" s="42">
        <v>220</v>
      </c>
      <c r="I51" s="42">
        <v>141</v>
      </c>
      <c r="J51" s="30" t="s">
        <v>184</v>
      </c>
      <c r="K51" s="42">
        <v>1</v>
      </c>
      <c r="L51" s="134" t="s">
        <v>51</v>
      </c>
      <c r="M51" s="135">
        <f t="shared" si="0"/>
        <v>73.92</v>
      </c>
      <c r="N51" s="136" t="str">
        <f>VLOOKUP(C51,'Trips&amp;Operators'!$C$1:$G$99999,5,FALSE)</f>
        <v>MACDONALD THOMAS</v>
      </c>
      <c r="O51" s="210" t="s">
        <v>182</v>
      </c>
      <c r="P51" s="137"/>
      <c r="Q51" s="30"/>
      <c r="R51" s="84" t="str">
        <f>VLOOKUP(C51,'Train Runs'!$A$13:$AE$9935,31,0)</f>
        <v>aws s3 cp s3://rtdc.mdm.uploadarchive.raw/RTDC4055/ "%USERPROFILE%\AppData\Local\Temp\OnboardLogs"\RTDC4055\2017-06-04 --exclude "*" --recursive --include "*20170604*" &amp; "%USERPROFILE%\Documents\GitHub\mrs-test-scripts\Headless Mode &amp; Sideloading\WalkAndUnGZ.bat" "%USERPROFILE%\AppData\Local\Temp\OnboardLogs"\RTDC4055\2017-06-04 &amp; aws s3 cp s3://rtdc.mdm.uploadarchive.raw/RTDC4055/ "%USERPROFILE%\AppData\Local\Temp\OnboardLogs"\RTDC4055\2017-06-05 --exclude "*" --recursive --include "*20170605*" &amp; "%USERPROFILE%\Documents\GitHub\mrs-test-scripts\Headless Mode &amp; Sideloading\WalkAndUnGZ.bat" "%USERPROFILE%\AppData\Local\Temp\OnboardLogs"\RTDC4055\2017-06-05</v>
      </c>
      <c r="S51" s="87" t="str">
        <f>VLOOKUP(C51,'Train Runs'!$A$13:$AE$9935,22,0)</f>
        <v>https://d0f6bd738d7f1b3e5a7ca70fe4ff75f0.us-east-1.aws.found.io/app/kibana#/discover/Steve-Slow-Train-Analysis-(2080s-and-2083s)?_g=(refreshInterval:(display:Off,pause:!f,section:0,value:0),time:(from:'2017-06-04T04:31:13-0600',mode:absolute,to:'2017-06-04T06:43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1" s="89" t="str">
        <f t="shared" si="1"/>
        <v>"C:\Program Files (x86)\AstroGrep\AstroGrep.exe" /e /r /s /spath="%USERPROFILE%\AppData\Local\Temp\OnboardLogs" /stypes="*4055*201706041*" /stext=" 11:.+((SYSTEM_STATE.+slice.+state.+changed )|(ment ac)|(multiple cpu faults)|(system.+state.+changed )|(\[timeout)|(PRM\|1\|D)|(kpr)|(kdp)|(train st.+moving)|(\|lc)|(penalty))"</v>
      </c>
      <c r="U51" s="9" t="str">
        <f t="shared" si="2"/>
        <v>4055</v>
      </c>
      <c r="V51" s="31">
        <f t="shared" si="3"/>
        <v>42890.488229166665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{"issue":{"subject":"","project_id":79,"tracker_id":40,"status_id":1,"priority_id":2,"assigned_to_id":23,"start_date":"2017-06-04","description":"","custom_fields":[{"id":1,"name":"Subdivision","value":"Other"},{"id":4,"name":"Milepost","value":"0.0001"},{"id":17,"name":"Train ID","value":"312-04"},{"id":16,"name":"Locomotive ID","value":"4055"},{"id":130,"name":"Impact","value":""},{"id":150,"name":"Time of Event (Mountain Time)","value":"05:43:03"},{"id":151,"name":"Denver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/cygdrive/c/Users/stu/AppData/Local/Temp/OnboardLogs/RTDC4055 --include="*4055*201706041*"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"%USERPROFILE%\AppData\Local\Temp\OnboardLogs"\RTDC4055\*4055*201706041* &gt;&gt; 2017-06-04-SliceDisagreementCheck.txt</v>
      </c>
      <c r="AE51" s="148" t="str">
        <f t="shared" si="9"/>
        <v>start /low /b %USERPROFILE%\Documents\GitHub\eaglep3\Utilities\DownloadLogsFromS3.py --loco 4055 --day 2017-06-04</v>
      </c>
      <c r="AF51" s="1"/>
    </row>
    <row r="52" spans="1:32" x14ac:dyDescent="0.25">
      <c r="A52" s="31">
        <v>42890.681805555556</v>
      </c>
      <c r="B52" s="30" t="s">
        <v>469</v>
      </c>
      <c r="C52" s="30" t="s">
        <v>665</v>
      </c>
      <c r="D52" s="30" t="s">
        <v>49</v>
      </c>
      <c r="E52" s="30" t="s">
        <v>183</v>
      </c>
      <c r="F52" s="42">
        <v>0</v>
      </c>
      <c r="G52" s="42">
        <v>16</v>
      </c>
      <c r="H52" s="42">
        <v>867</v>
      </c>
      <c r="I52" s="42">
        <v>854</v>
      </c>
      <c r="J52" s="30" t="s">
        <v>184</v>
      </c>
      <c r="K52" s="42">
        <v>826</v>
      </c>
      <c r="L52" s="134" t="s">
        <v>51</v>
      </c>
      <c r="M52" s="135">
        <f t="shared" si="0"/>
        <v>14.784000000000001</v>
      </c>
      <c r="N52" s="136" t="str">
        <f>VLOOKUP(C52,'Trips&amp;Operators'!$C$1:$G$99999,5,FALSE)</f>
        <v>BADERTSCHER DIANE</v>
      </c>
      <c r="O52" s="210" t="s">
        <v>182</v>
      </c>
      <c r="P52" s="137"/>
      <c r="Q52" s="30"/>
      <c r="R52" s="84" t="str">
        <f>VLOOKUP(C52,'Train Runs'!$A$13:$AE$9935,31,0)</f>
        <v>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 &amp; 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</v>
      </c>
      <c r="S52" s="87" t="str">
        <f>VLOOKUP(C52,'Train Runs'!$A$13:$AE$9935,22,0)</f>
        <v>https://d0f6bd738d7f1b3e5a7ca70fe4ff75f0.us-east-1.aws.found.io/app/kibana#/discover/Steve-Slow-Train-Analysis-(2080s-and-2083s)?_g=(refreshInterval:(display:Off,pause:!f,section:0,value:0),time:(from:'2017-06-04T15:08:02-0600',mode:absolute,to:'2017-06-04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2" s="89" t="str">
        <f t="shared" si="1"/>
        <v>"C:\Program Files (x86)\AstroGrep\AstroGrep.exe" /e /r /s /spath="%USERPROFILE%\AppData\Local\Temp\OnboardLogs" /stypes="*4009*201706042*" /stext=" 22:.+((SYSTEM_STATE.+slice.+state.+changed )|(ment ac)|(multiple cpu faults)|(system.+state.+changed )|(\[timeout)|(PRM\|1\|D)|(kpr)|(kdp)|(train st.+moving)|(\|lc)|(penalty))"</v>
      </c>
      <c r="U52" s="9" t="str">
        <f t="shared" si="2"/>
        <v>4009</v>
      </c>
      <c r="V52" s="31">
        <f t="shared" si="3"/>
        <v>42890.931805555556</v>
      </c>
      <c r="W52" s="45" t="str">
        <f t="shared" si="4"/>
        <v>Other</v>
      </c>
      <c r="X52" s="45" t="str">
        <f t="shared" si="5"/>
        <v>KEEP</v>
      </c>
      <c r="Y52" s="99" t="str">
        <f t="shared" si="6"/>
        <v>echo {"issue":{"subject":"","project_id":79,"tracker_id":40,"status_id":1,"priority_id":2,"assigned_to_id":23,"start_date":"2017-06-04","description":"","custom_fields":[{"id":1,"name":"Subdivision","value":"Other"},{"id":4,"name":"Milepost","value":"0.0826"},{"id":17,"name":"Train ID","value":"51-04"},{"id":16,"name":"Locomotive ID","value":"4009"},{"id":130,"name":"Impact","value":""},{"id":150,"name":"Time of Event (Mountain Time)","value":"16:21:48"},{"id":151,"name":"Denver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7"/>
        <v>grep -hrE -A400 "Enforcement Action" /cygdrive/c/Users/stu/AppData/Local/Temp/OnboardLogs/RTDC4009 --include="*4009*201706042*"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"%USERPROFILE%\AppData\Local\Temp\OnboardLogs"\RTDC4009\*4009*201706042* &gt;&gt; 2017-06-04-SliceDisagreementCheck.txt</v>
      </c>
      <c r="AE52" s="148" t="str">
        <f t="shared" si="9"/>
        <v>start /low /b %USERPROFILE%\Documents\GitHub\eaglep3\Utilities\DownloadLogsFromS3.py --loco 4009 --day 2017-06-04</v>
      </c>
      <c r="AF52" s="1"/>
    </row>
    <row r="53" spans="1:32" x14ac:dyDescent="0.25">
      <c r="A53" s="31">
        <v>42890.769178240742</v>
      </c>
      <c r="B53" s="30" t="s">
        <v>469</v>
      </c>
      <c r="C53" s="30" t="s">
        <v>665</v>
      </c>
      <c r="D53" s="30" t="s">
        <v>49</v>
      </c>
      <c r="E53" s="30" t="s">
        <v>183</v>
      </c>
      <c r="F53" s="42">
        <v>0</v>
      </c>
      <c r="G53" s="42">
        <v>19</v>
      </c>
      <c r="H53" s="42">
        <v>888</v>
      </c>
      <c r="I53" s="42">
        <v>877</v>
      </c>
      <c r="J53" s="30" t="s">
        <v>184</v>
      </c>
      <c r="K53" s="42">
        <v>839</v>
      </c>
      <c r="L53" s="134" t="s">
        <v>51</v>
      </c>
      <c r="M53" s="135">
        <f t="shared" si="0"/>
        <v>20.064</v>
      </c>
      <c r="N53" s="136" t="str">
        <f>VLOOKUP(C53,'Trips&amp;Operators'!$C$1:$G$99999,5,FALSE)</f>
        <v>BADERTSCHER DIANE</v>
      </c>
      <c r="O53" s="210" t="s">
        <v>182</v>
      </c>
      <c r="P53" s="137"/>
      <c r="Q53" s="30"/>
      <c r="R53" s="84" t="str">
        <f>VLOOKUP(C53,'Train Runs'!$A$13:$AE$9935,31,0)</f>
        <v>aws s3 cp s3://rtdc.mdm.uploadarchive.raw/RTDC4009/ "%USERPROFILE%\AppData\Local\Temp\OnboardLogs"\RTDC4009\2017-06-04 --exclude "*" --recursive --include "*20170604*" &amp; "%USERPROFILE%\Documents\GitHub\mrs-test-scripts\Headless Mode &amp; Sideloading\WalkAndUnGZ.bat" "%USERPROFILE%\AppData\Local\Temp\OnboardLogs"\RTDC4009\2017-06-04 &amp; aws s3 cp s3://rtdc.mdm.uploadarchive.raw/RTDC4009/ "%USERPROFILE%\AppData\Local\Temp\OnboardLogs"\RTDC4009\2017-06-05 --exclude "*" --recursive --include "*20170605*" &amp; "%USERPROFILE%\Documents\GitHub\mrs-test-scripts\Headless Mode &amp; Sideloading\WalkAndUnGZ.bat" "%USERPROFILE%\AppData\Local\Temp\OnboardLogs"\RTDC4009\2017-06-05</v>
      </c>
      <c r="S53" s="87" t="str">
        <f>VLOOKUP(C53,'Train Runs'!$A$13:$AE$9935,22,0)</f>
        <v>https://d0f6bd738d7f1b3e5a7ca70fe4ff75f0.us-east-1.aws.found.io/app/kibana#/discover/Steve-Slow-Train-Analysis-(2080s-and-2083s)?_g=(refreshInterval:(display:Off,pause:!f,section:0,value:0),time:(from:'2017-06-04T15:08:02-0600',mode:absolute,to:'2017-06-04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3" s="89" t="str">
        <f t="shared" si="1"/>
        <v>"C:\Program Files (x86)\AstroGrep\AstroGrep.exe" /e /r /s /spath="%USERPROFILE%\AppData\Local\Temp\OnboardLogs" /stypes="*4009*201706050*" /stext=" 00:.+((SYSTEM_STATE.+slice.+state.+changed )|(ment ac)|(multiple cpu faults)|(system.+state.+changed )|(\[timeout)|(PRM\|1\|D)|(kpr)|(kdp)|(train st.+moving)|(\|lc)|(penalty))"</v>
      </c>
      <c r="U53" s="9" t="str">
        <f t="shared" si="2"/>
        <v>4009</v>
      </c>
      <c r="V53" s="31">
        <f t="shared" si="3"/>
        <v>42891.019178240742</v>
      </c>
      <c r="W53" s="45" t="str">
        <f t="shared" si="4"/>
        <v>Other</v>
      </c>
      <c r="X53" s="45" t="str">
        <f t="shared" si="5"/>
        <v>KEEP</v>
      </c>
      <c r="Y53" s="99" t="str">
        <f t="shared" si="6"/>
        <v>echo {"issue":{"subject":"","project_id":79,"tracker_id":40,"status_id":1,"priority_id":2,"assigned_to_id":23,"start_date":"2017-06-04","description":"","custom_fields":[{"id":1,"name":"Subdivision","value":"Other"},{"id":4,"name":"Milepost","value":"0.0839"},{"id":17,"name":"Train ID","value":"51-04"},{"id":16,"name":"Locomotive ID","value":"4009"},{"id":130,"name":"Impact","value":""},{"id":150,"name":"Time of Event (Mountain Time)","value":"18:27:37"},{"id":151,"name":"Denver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7"/>
        <v>grep -hrE -A400 "Enforcement Action" /cygdrive/c/Users/stu/AppData/Local/Temp/OnboardLogs/RTDC4009 --include="*4009*201706050*"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"%USERPROFILE%\AppData\Local\Temp\OnboardLogs"\RTDC4009\*4009*201706050* &gt;&gt; 2017-06-04-SliceDisagreementCheck.txt</v>
      </c>
      <c r="AE53" s="148" t="str">
        <f t="shared" si="9"/>
        <v>start /low /b %USERPROFILE%\Documents\GitHub\eaglep3\Utilities\DownloadLogsFromS3.py --loco 4009 --day 2017-06-05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</sheetData>
  <autoFilter ref="A6:AC52">
    <sortState ref="A7:AC54">
      <sortCondition ref="W7:W54"/>
      <sortCondition ref="E7:E54"/>
      <sortCondition ref="K7:K54"/>
      <sortCondition ref="F7:F5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59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7"/>
  <sheetViews>
    <sheetView workbookViewId="0">
      <selection activeCell="A3" sqref="A3:A8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2017-06-04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-04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Runs'!$A$13:$A$99932,1,FALSE)</f>
        <v>#N/A</v>
      </c>
    </row>
    <row r="4" spans="1:10" x14ac:dyDescent="0.25">
      <c r="A4" s="202"/>
      <c r="B4" s="42" t="str">
        <f>A4&amp;"-"&amp;IF(DAY(Variables!$A$2)&lt;10,0,"")&amp;DAY(Variables!$A$2)</f>
        <v>-04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Runs'!$A$13:$A$99932,1,FALSE)</f>
        <v>#N/A</v>
      </c>
    </row>
    <row r="5" spans="1:10" x14ac:dyDescent="0.25">
      <c r="A5" s="202"/>
      <c r="B5" s="42" t="str">
        <f>A5&amp;"-"&amp;IF(DAY(Variables!$A$2)&lt;10,0,"")&amp;DAY(Variables!$A$2)</f>
        <v>-04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Runs'!$A$13:$A$99932,1,FALSE)</f>
        <v>#N/A</v>
      </c>
    </row>
    <row r="6" spans="1:10" x14ac:dyDescent="0.25">
      <c r="A6" s="202"/>
      <c r="B6" s="42" t="str">
        <f>A6&amp;"-"&amp;IF(DAY(Variables!$A$2)&lt;10,0,"")&amp;DAY(Variables!$A$2)</f>
        <v>-04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Runs'!$A$13:$A$99932,1,FALSE)</f>
        <v>#N/A</v>
      </c>
    </row>
    <row r="7" spans="1:10" x14ac:dyDescent="0.25">
      <c r="A7" s="202"/>
      <c r="B7" s="42" t="str">
        <f>A7&amp;"-"&amp;IF(DAY(Variables!$A$2)&lt;10,0,"")&amp;DAY(Variables!$A$2)</f>
        <v>-04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Runs'!$A$13:$A$99932,1,FALSE)</f>
        <v>#N/A</v>
      </c>
    </row>
    <row r="8" spans="1:10" x14ac:dyDescent="0.25">
      <c r="A8" s="202"/>
      <c r="B8" s="42" t="str">
        <f>A8&amp;"-"&amp;IF(DAY(Variables!$A$2)&lt;10,0,"")&amp;DAY(Variables!$A$2)</f>
        <v>-04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Runs'!$A$13:$A$99932,1,FALSE)</f>
        <v>#N/A</v>
      </c>
    </row>
    <row r="9" spans="1:10" x14ac:dyDescent="0.25">
      <c r="A9" s="202"/>
      <c r="B9" s="42" t="str">
        <f>A9&amp;"-"&amp;IF(DAY(Variables!$A$2)&lt;10,0,"")&amp;DAY(Variables!$A$2)</f>
        <v>-04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Runs'!$A$13:$A$99932,1,FALSE)</f>
        <v>#N/A</v>
      </c>
    </row>
    <row r="10" spans="1:10" x14ac:dyDescent="0.25">
      <c r="A10" s="202"/>
      <c r="B10" s="42" t="str">
        <f>A10&amp;"-"&amp;IF(DAY(Variables!$A$2)&lt;10,0,"")&amp;DAY(Variables!$A$2)</f>
        <v>-04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Runs'!$A$13:$A$99932,1,FALSE)</f>
        <v>#N/A</v>
      </c>
    </row>
    <row r="11" spans="1:10" x14ac:dyDescent="0.25">
      <c r="A11" s="202"/>
      <c r="B11" s="42" t="str">
        <f>A11&amp;"-"&amp;IF(DAY(Variables!$A$2)&lt;10,0,"")&amp;DAY(Variables!$A$2)</f>
        <v>-04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Runs'!$A$13:$A$99932,1,FALSE)</f>
        <v>#N/A</v>
      </c>
    </row>
    <row r="12" spans="1:10" x14ac:dyDescent="0.25">
      <c r="A12" s="202"/>
      <c r="B12" s="42" t="str">
        <f>A12&amp;"-"&amp;IF(DAY(Variables!$A$2)&lt;10,0,"")&amp;DAY(Variables!$A$2)</f>
        <v>-04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Runs'!$A$13:$A$99932,1,FALSE)</f>
        <v>#N/A</v>
      </c>
    </row>
    <row r="13" spans="1:10" x14ac:dyDescent="0.25">
      <c r="A13" s="202"/>
      <c r="B13" s="42" t="str">
        <f>A13&amp;"-"&amp;IF(DAY(Variables!$A$2)&lt;10,0,"")&amp;DAY(Variables!$A$2)</f>
        <v>-04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Runs'!$A$13:$A$99932,1,FALSE)</f>
        <v>#N/A</v>
      </c>
    </row>
    <row r="14" spans="1:10" x14ac:dyDescent="0.25">
      <c r="A14" s="202"/>
      <c r="B14" s="42" t="str">
        <f>A14&amp;"-"&amp;IF(DAY(Variables!$A$2)&lt;10,0,"")&amp;DAY(Variables!$A$2)</f>
        <v>-04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Runs'!$A$13:$A$99932,1,FALSE)</f>
        <v>#N/A</v>
      </c>
    </row>
    <row r="15" spans="1:10" x14ac:dyDescent="0.25">
      <c r="A15" s="202"/>
      <c r="B15" s="42" t="str">
        <f>A15&amp;"-"&amp;IF(DAY(Variables!$A$2)&lt;10,0,"")&amp;DAY(Variables!$A$2)</f>
        <v>-04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Runs'!$A$13:$A$99932,1,FALSE)</f>
        <v>#N/A</v>
      </c>
    </row>
    <row r="16" spans="1:10" x14ac:dyDescent="0.25">
      <c r="A16" s="202"/>
      <c r="B16" s="42" t="str">
        <f>A16&amp;"-"&amp;IF(DAY(Variables!$A$2)&lt;10,0,"")&amp;DAY(Variables!$A$2)</f>
        <v>-04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Runs'!$A$13:$A$99932,1,FALSE)</f>
        <v>#N/A</v>
      </c>
    </row>
    <row r="17" spans="1:10" x14ac:dyDescent="0.25">
      <c r="A17" s="202"/>
      <c r="B17" s="42" t="str">
        <f>A17&amp;"-"&amp;IF(DAY(Variables!$A$2)&lt;10,0,"")&amp;DAY(Variables!$A$2)</f>
        <v>-04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Runs'!$A$13:$A$99932,1,FALSE)</f>
        <v>#N/A</v>
      </c>
    </row>
    <row r="18" spans="1:10" x14ac:dyDescent="0.25">
      <c r="A18" s="202"/>
      <c r="B18" s="42" t="str">
        <f>A18&amp;"-"&amp;IF(DAY(Variables!$A$2)&lt;10,0,"")&amp;DAY(Variables!$A$2)</f>
        <v>-04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Runs'!$A$13:$A$99932,1,FALSE)</f>
        <v>#N/A</v>
      </c>
    </row>
    <row r="19" spans="1:10" x14ac:dyDescent="0.25">
      <c r="A19" s="202"/>
      <c r="B19" s="42" t="str">
        <f>A19&amp;"-"&amp;IF(DAY(Variables!$A$2)&lt;10,0,"")&amp;DAY(Variables!$A$2)</f>
        <v>-04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Runs'!$A$13:$A$99932,1,FALSE)</f>
        <v>#N/A</v>
      </c>
    </row>
    <row r="20" spans="1:10" x14ac:dyDescent="0.25">
      <c r="A20" s="202"/>
      <c r="B20" s="42" t="str">
        <f>A20&amp;"-"&amp;IF(DAY(Variables!$A$2)&lt;10,0,"")&amp;DAY(Variables!$A$2)</f>
        <v>-04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Runs'!$A$13:$A$99932,1,FALSE)</f>
        <v>#N/A</v>
      </c>
    </row>
    <row r="21" spans="1:10" x14ac:dyDescent="0.25">
      <c r="A21" s="202"/>
      <c r="B21" s="42" t="str">
        <f>A21&amp;"-"&amp;IF(DAY(Variables!$A$2)&lt;10,0,"")&amp;DAY(Variables!$A$2)</f>
        <v>-04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Runs'!$A$13:$A$99932,1,FALSE)</f>
        <v>#N/A</v>
      </c>
    </row>
    <row r="22" spans="1:10" x14ac:dyDescent="0.25">
      <c r="A22" s="202"/>
      <c r="B22" s="42" t="str">
        <f>A22&amp;"-"&amp;IF(DAY(Variables!$A$2)&lt;10,0,"")&amp;DAY(Variables!$A$2)</f>
        <v>-04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Runs'!$A$13:$A$99932,1,FALSE)</f>
        <v>#N/A</v>
      </c>
    </row>
    <row r="23" spans="1:10" x14ac:dyDescent="0.25">
      <c r="A23" s="202"/>
      <c r="B23" s="42" t="str">
        <f>A23&amp;"-"&amp;IF(DAY(Variables!$A$2)&lt;10,0,"")&amp;DAY(Variables!$A$2)</f>
        <v>-04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Runs'!$A$13:$A$99932,1,FALSE)</f>
        <v>#N/A</v>
      </c>
    </row>
    <row r="24" spans="1:10" x14ac:dyDescent="0.25">
      <c r="A24" s="202"/>
      <c r="B24" s="42" t="str">
        <f>A24&amp;"-"&amp;IF(DAY(Variables!$A$2)&lt;10,0,"")&amp;DAY(Variables!$A$2)</f>
        <v>-04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Runs'!$A$13:$A$99932,1,FALSE)</f>
        <v>#N/A</v>
      </c>
    </row>
    <row r="25" spans="1:10" x14ac:dyDescent="0.25">
      <c r="A25" s="202"/>
      <c r="B25" s="42" t="str">
        <f>A25&amp;"-"&amp;IF(DAY(Variables!$A$2)&lt;10,0,"")&amp;DAY(Variables!$A$2)</f>
        <v>-04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Runs'!$A$13:$A$99932,1,FALSE)</f>
        <v>#N/A</v>
      </c>
    </row>
    <row r="26" spans="1:10" x14ac:dyDescent="0.25">
      <c r="A26" s="202"/>
      <c r="B26" s="42" t="str">
        <f>A26&amp;"-"&amp;IF(DAY(Variables!$A$2)&lt;10,0,"")&amp;DAY(Variables!$A$2)</f>
        <v>-04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Runs'!$A$13:$A$99932,1,FALSE)</f>
        <v>#N/A</v>
      </c>
    </row>
    <row r="27" spans="1:10" x14ac:dyDescent="0.25">
      <c r="A27" s="202"/>
      <c r="B27" s="42" t="str">
        <f>A27&amp;"-"&amp;IF(DAY(Variables!$A$2)&lt;10,0,"")&amp;DAY(Variables!$A$2)</f>
        <v>-04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Runs'!$A$13:$A$99932,1,FALSE)</f>
        <v>#N/A</v>
      </c>
    </row>
    <row r="28" spans="1:10" x14ac:dyDescent="0.25">
      <c r="A28" s="202"/>
      <c r="B28" s="42" t="str">
        <f>A28&amp;"-"&amp;IF(DAY(Variables!$A$2)&lt;10,0,"")&amp;DAY(Variables!$A$2)</f>
        <v>-04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Runs'!$A$13:$A$99932,1,FALSE)</f>
        <v>#N/A</v>
      </c>
    </row>
    <row r="29" spans="1:10" x14ac:dyDescent="0.25">
      <c r="A29" s="202"/>
      <c r="B29" s="42" t="str">
        <f>A29&amp;"-"&amp;IF(DAY(Variables!$A$2)&lt;10,0,"")&amp;DAY(Variables!$A$2)</f>
        <v>-04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Runs'!$A$13:$A$99932,1,FALSE)</f>
        <v>#N/A</v>
      </c>
    </row>
    <row r="30" spans="1:10" x14ac:dyDescent="0.25">
      <c r="A30" s="202"/>
      <c r="B30" s="42" t="str">
        <f>A30&amp;"-"&amp;IF(DAY(Variables!$A$2)&lt;10,0,"")&amp;DAY(Variables!$A$2)</f>
        <v>-04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Runs'!$A$13:$A$99932,1,FALSE)</f>
        <v>#N/A</v>
      </c>
    </row>
    <row r="31" spans="1:10" x14ac:dyDescent="0.25">
      <c r="A31" s="202"/>
      <c r="B31" s="42" t="str">
        <f>A31&amp;"-"&amp;IF(DAY(Variables!$A$2)&lt;10,0,"")&amp;DAY(Variables!$A$2)</f>
        <v>-04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Runs'!$A$13:$A$99932,1,FALSE)</f>
        <v>#N/A</v>
      </c>
    </row>
    <row r="32" spans="1:10" x14ac:dyDescent="0.25">
      <c r="A32" s="202"/>
      <c r="B32" s="42" t="str">
        <f>A32&amp;"-"&amp;IF(DAY(Variables!$A$2)&lt;10,0,"")&amp;DAY(Variables!$A$2)</f>
        <v>-04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Runs'!$A$13:$A$99932,1,FALSE)</f>
        <v>#N/A</v>
      </c>
    </row>
    <row r="33" spans="1:10" x14ac:dyDescent="0.25">
      <c r="A33" s="202"/>
      <c r="B33" s="42" t="str">
        <f>A33&amp;"-"&amp;IF(DAY(Variables!$A$2)&lt;10,0,"")&amp;DAY(Variables!$A$2)</f>
        <v>-04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Runs'!$A$13:$A$99932,1,FALSE)</f>
        <v>#N/A</v>
      </c>
    </row>
    <row r="34" spans="1:10" x14ac:dyDescent="0.25">
      <c r="A34" s="202"/>
      <c r="B34" s="42" t="str">
        <f>A34&amp;"-"&amp;IF(DAY(Variables!$A$2)&lt;10,0,"")&amp;DAY(Variables!$A$2)</f>
        <v>-04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Runs'!$A$13:$A$99932,1,FALSE)</f>
        <v>#N/A</v>
      </c>
    </row>
    <row r="35" spans="1:10" x14ac:dyDescent="0.25">
      <c r="A35" s="202"/>
      <c r="B35" s="42" t="str">
        <f>A35&amp;"-"&amp;IF(DAY(Variables!$A$2)&lt;10,0,"")&amp;DAY(Variables!$A$2)</f>
        <v>-04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Runs'!$A$13:$A$99932,1,FALSE)</f>
        <v>#N/A</v>
      </c>
    </row>
    <row r="36" spans="1:10" x14ac:dyDescent="0.25">
      <c r="A36" s="202"/>
      <c r="B36" s="42" t="str">
        <f>A36&amp;"-"&amp;IF(DAY(Variables!$A$2)&lt;10,0,"")&amp;DAY(Variables!$A$2)</f>
        <v>-04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Runs'!$A$13:$A$99932,1,FALSE)</f>
        <v>#N/A</v>
      </c>
    </row>
    <row r="37" spans="1:10" x14ac:dyDescent="0.25">
      <c r="A37" s="202"/>
      <c r="B37" s="42" t="str">
        <f>A37&amp;"-"&amp;IF(DAY(Variables!$A$2)&lt;10,0,"")&amp;DAY(Variables!$A$2)</f>
        <v>-04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Runs'!$A$13:$A$99932,1,FALSE)</f>
        <v>#N/A</v>
      </c>
    </row>
    <row r="38" spans="1:10" x14ac:dyDescent="0.25">
      <c r="A38" s="202"/>
      <c r="B38" s="42" t="str">
        <f>A38&amp;"-"&amp;IF(DAY(Variables!$A$2)&lt;10,0,"")&amp;DAY(Variables!$A$2)</f>
        <v>-04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Runs'!$A$13:$A$99932,1,FALSE)</f>
        <v>#N/A</v>
      </c>
    </row>
    <row r="39" spans="1:10" x14ac:dyDescent="0.25">
      <c r="A39" s="202"/>
      <c r="B39" s="42" t="str">
        <f>A39&amp;"-"&amp;IF(DAY(Variables!$A$2)&lt;10,0,"")&amp;DAY(Variables!$A$2)</f>
        <v>-04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Runs'!$A$13:$A$99932,1,FALSE)</f>
        <v>#N/A</v>
      </c>
    </row>
    <row r="40" spans="1:10" x14ac:dyDescent="0.25">
      <c r="A40" s="202"/>
      <c r="B40" s="42" t="str">
        <f>A40&amp;"-"&amp;IF(DAY(Variables!$A$2)&lt;10,0,"")&amp;DAY(Variables!$A$2)</f>
        <v>-04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Runs'!$A$13:$A$99932,1,FALSE)</f>
        <v>#N/A</v>
      </c>
    </row>
    <row r="41" spans="1:10" x14ac:dyDescent="0.25">
      <c r="A41" s="202"/>
      <c r="B41" s="42" t="str">
        <f>A41&amp;"-"&amp;IF(DAY(Variables!$A$2)&lt;10,0,"")&amp;DAY(Variables!$A$2)</f>
        <v>-04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ref="I41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Runs'!$A$13:$A$99932,1,FALSE)</f>
        <v>#N/A</v>
      </c>
    </row>
    <row r="42" spans="1:10" x14ac:dyDescent="0.25">
      <c r="A42" s="202"/>
      <c r="B42" s="42" t="str">
        <f>A42&amp;"-"&amp;IF(DAY(Variables!$A$2)&lt;10,0,"")&amp;DAY(Variables!$A$2)</f>
        <v>-04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Runs'!$A$13:$A$99932,1,FALSE)</f>
        <v>#N/A</v>
      </c>
    </row>
    <row r="43" spans="1:10" x14ac:dyDescent="0.25">
      <c r="A43" s="202"/>
      <c r="B43" s="42" t="str">
        <f>A43&amp;"-"&amp;IF(DAY(Variables!$A$2)&lt;10,0,"")&amp;DAY(Variables!$A$2)</f>
        <v>-04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Runs'!$A$13:$A$99932,1,FALSE)</f>
        <v>#N/A</v>
      </c>
    </row>
    <row r="44" spans="1:10" x14ac:dyDescent="0.25">
      <c r="A44" s="202"/>
      <c r="B44" s="42" t="str">
        <f>A44&amp;"-"&amp;IF(DAY(Variables!$A$2)&lt;10,0,"")&amp;DAY(Variables!$A$2)</f>
        <v>-04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Runs'!$A$13:$A$99932,1,FALSE)</f>
        <v>#N/A</v>
      </c>
    </row>
    <row r="45" spans="1:10" x14ac:dyDescent="0.25">
      <c r="A45" s="202"/>
      <c r="B45" s="42" t="str">
        <f>A45&amp;"-"&amp;IF(DAY(Variables!$A$2)&lt;10,0,"")&amp;DAY(Variables!$A$2)</f>
        <v>-04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Runs'!$A$13:$A$99932,1,FALSE)</f>
        <v>#N/A</v>
      </c>
    </row>
    <row r="46" spans="1:10" x14ac:dyDescent="0.25">
      <c r="A46" s="202"/>
      <c r="B46" s="42" t="str">
        <f>A46&amp;"-"&amp;IF(DAY(Variables!$A$2)&lt;10,0,"")&amp;DAY(Variables!$A$2)</f>
        <v>-04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Runs'!$A$13:$A$99932,1,FALSE)</f>
        <v>#N/A</v>
      </c>
    </row>
    <row r="47" spans="1:10" x14ac:dyDescent="0.25">
      <c r="A47" s="202"/>
      <c r="B47" s="42" t="str">
        <f>A47&amp;"-"&amp;IF(DAY(Variables!$A$2)&lt;10,0,"")&amp;DAY(Variables!$A$2)</f>
        <v>-04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Runs'!$A$13:$A$99932,1,FALSE)</f>
        <v>#N/A</v>
      </c>
    </row>
    <row r="48" spans="1:10" x14ac:dyDescent="0.25">
      <c r="A48" s="202"/>
      <c r="B48" s="42" t="str">
        <f>A48&amp;"-"&amp;IF(DAY(Variables!$A$2)&lt;10,0,"")&amp;DAY(Variables!$A$2)</f>
        <v>-04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Runs'!$A$13:$A$99932,1,FALSE)</f>
        <v>#N/A</v>
      </c>
    </row>
    <row r="49" spans="1:10" x14ac:dyDescent="0.25">
      <c r="A49" s="202"/>
      <c r="B49" s="42" t="str">
        <f>A49&amp;"-"&amp;IF(DAY(Variables!$A$2)&lt;10,0,"")&amp;DAY(Variables!$A$2)</f>
        <v>-04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Runs'!$A$13:$A$99932,1,FALSE)</f>
        <v>#N/A</v>
      </c>
    </row>
    <row r="50" spans="1:10" x14ac:dyDescent="0.25">
      <c r="A50" s="202"/>
      <c r="B50" s="42" t="str">
        <f>A50&amp;"-"&amp;IF(DAY(Variables!$A$2)&lt;10,0,"")&amp;DAY(Variables!$A$2)</f>
        <v>-04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Runs'!$A$13:$A$99932,1,FALSE)</f>
        <v>#N/A</v>
      </c>
    </row>
    <row r="51" spans="1:10" x14ac:dyDescent="0.25">
      <c r="A51" s="202"/>
      <c r="B51" s="42" t="str">
        <f>A51&amp;"-"&amp;IF(DAY(Variables!$A$2)&lt;10,0,"")&amp;DAY(Variables!$A$2)</f>
        <v>-04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Runs'!$A$13:$A$99932,1,FALSE)</f>
        <v>#N/A</v>
      </c>
    </row>
    <row r="52" spans="1:10" x14ac:dyDescent="0.25">
      <c r="A52" s="202"/>
      <c r="B52" s="42" t="str">
        <f>A52&amp;"-"&amp;IF(DAY(Variables!$A$2)&lt;10,0,"")&amp;DAY(Variables!$A$2)</f>
        <v>-04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Runs'!$A$13:$A$99932,1,FALSE)</f>
        <v>#N/A</v>
      </c>
    </row>
    <row r="53" spans="1:10" x14ac:dyDescent="0.25">
      <c r="A53" s="202"/>
      <c r="B53" s="42" t="str">
        <f>A53&amp;"-"&amp;IF(DAY(Variables!$A$2)&lt;10,0,"")&amp;DAY(Variables!$A$2)</f>
        <v>-04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Runs'!$A$13:$A$99932,1,FALSE)</f>
        <v>#N/A</v>
      </c>
    </row>
    <row r="54" spans="1:10" x14ac:dyDescent="0.25">
      <c r="A54" s="202"/>
      <c r="B54" s="42" t="str">
        <f>A54&amp;"-"&amp;IF(DAY(Variables!$A$2)&lt;10,0,"")&amp;DAY(Variables!$A$2)</f>
        <v>-04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Runs'!$A$13:$A$99932,1,FALSE)</f>
        <v>#N/A</v>
      </c>
    </row>
    <row r="55" spans="1:10" x14ac:dyDescent="0.25">
      <c r="A55" s="202"/>
      <c r="B55" s="42" t="str">
        <f>A55&amp;"-"&amp;IF(DAY(Variables!$A$2)&lt;10,0,"")&amp;DAY(Variables!$A$2)</f>
        <v>-04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Runs'!$A$13:$A$99932,1,FALSE)</f>
        <v>#N/A</v>
      </c>
    </row>
    <row r="56" spans="1:10" x14ac:dyDescent="0.25">
      <c r="A56" s="202"/>
      <c r="B56" s="42" t="str">
        <f>A56&amp;"-"&amp;IF(DAY(Variables!$A$2)&lt;10,0,"")&amp;DAY(Variables!$A$2)</f>
        <v>-04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Runs'!$A$13:$A$99932,1,FALSE)</f>
        <v>#N/A</v>
      </c>
    </row>
    <row r="57" spans="1:10" x14ac:dyDescent="0.25">
      <c r="A57" s="202"/>
      <c r="B57" s="42" t="str">
        <f>A57&amp;"-"&amp;IF(DAY(Variables!$A$2)&lt;10,0,"")&amp;DAY(Variables!$A$2)</f>
        <v>-04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Runs'!$A$13:$A$99932,1,FALSE)</f>
        <v>#N/A</v>
      </c>
    </row>
    <row r="58" spans="1:10" x14ac:dyDescent="0.25">
      <c r="A58" s="202"/>
      <c r="B58" s="42" t="str">
        <f>A58&amp;"-"&amp;IF(DAY(Variables!$A$2)&lt;10,0,"")&amp;DAY(Variables!$A$2)</f>
        <v>-04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Runs'!$A$13:$A$99932,1,FALSE)</f>
        <v>#N/A</v>
      </c>
    </row>
    <row r="59" spans="1:10" x14ac:dyDescent="0.25">
      <c r="A59" s="202"/>
      <c r="B59" s="42" t="str">
        <f>A59&amp;"-"&amp;IF(DAY(Variables!$A$2)&lt;10,0,"")&amp;DAY(Variables!$A$2)</f>
        <v>-04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Runs'!$A$13:$A$99932,1,FALSE)</f>
        <v>#N/A</v>
      </c>
    </row>
    <row r="60" spans="1:10" x14ac:dyDescent="0.25">
      <c r="A60" s="202"/>
      <c r="B60" s="42" t="str">
        <f>A60&amp;"-"&amp;IF(DAY(Variables!$A$2)&lt;10,0,"")&amp;DAY(Variables!$A$2)</f>
        <v>-04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Runs'!$A$13:$A$99932,1,FALSE)</f>
        <v>#N/A</v>
      </c>
    </row>
    <row r="61" spans="1:10" x14ac:dyDescent="0.25">
      <c r="A61" s="202"/>
      <c r="B61" s="42" t="str">
        <f>A61&amp;"-"&amp;IF(DAY(Variables!$A$2)&lt;10,0,"")&amp;DAY(Variables!$A$2)</f>
        <v>-04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Runs'!$A$13:$A$99932,1,FALSE)</f>
        <v>#N/A</v>
      </c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</sheetData>
  <autoFilter ref="A2:J6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42890.034363425926</v>
      </c>
      <c r="B2" s="20" t="s">
        <v>407</v>
      </c>
      <c r="C2" s="20" t="s">
        <v>591</v>
      </c>
      <c r="D2" s="141">
        <v>3010000</v>
      </c>
      <c r="E2" s="20" t="s">
        <v>399</v>
      </c>
      <c r="F2" s="20" t="s">
        <v>400</v>
      </c>
      <c r="G2" s="8" t="str">
        <f>E2&amp;" "&amp;F2</f>
        <v>SULLIVAN BRANDON</v>
      </c>
    </row>
    <row r="3" spans="1:7" x14ac:dyDescent="0.25">
      <c r="A3" s="8">
        <v>42890.037303240744</v>
      </c>
      <c r="B3" s="20" t="s">
        <v>435</v>
      </c>
      <c r="C3" s="20" t="s">
        <v>571</v>
      </c>
      <c r="D3" s="141">
        <v>2620000</v>
      </c>
      <c r="E3" s="20" t="s">
        <v>589</v>
      </c>
      <c r="F3" s="20" t="s">
        <v>590</v>
      </c>
      <c r="G3" s="8" t="str">
        <f t="shared" ref="G3:G66" si="0">E3&amp;" "&amp;F3</f>
        <v>PERKINS DARREN</v>
      </c>
    </row>
    <row r="4" spans="1:7" x14ac:dyDescent="0.25">
      <c r="A4" s="8">
        <v>42890.047754629632</v>
      </c>
      <c r="B4" s="20" t="s">
        <v>462</v>
      </c>
      <c r="C4" s="20" t="s">
        <v>592</v>
      </c>
      <c r="D4" s="141">
        <v>2730000</v>
      </c>
      <c r="E4" s="20" t="s">
        <v>480</v>
      </c>
      <c r="F4" s="20" t="s">
        <v>481</v>
      </c>
      <c r="G4" s="8" t="str">
        <f t="shared" si="0"/>
        <v>YANG JAN</v>
      </c>
    </row>
    <row r="5" spans="1:7" x14ac:dyDescent="0.25">
      <c r="A5" s="8">
        <v>42890.048634259256</v>
      </c>
      <c r="B5" s="20" t="s">
        <v>374</v>
      </c>
      <c r="C5" s="20" t="s">
        <v>593</v>
      </c>
      <c r="D5" s="141">
        <v>3000000</v>
      </c>
      <c r="E5" s="20" t="s">
        <v>445</v>
      </c>
      <c r="F5" s="20" t="s">
        <v>446</v>
      </c>
      <c r="G5" s="8" t="str">
        <f t="shared" si="0"/>
        <v>FORTUNATO FRANK</v>
      </c>
    </row>
    <row r="6" spans="1:7" x14ac:dyDescent="0.25">
      <c r="A6" s="8">
        <v>42890.068414351852</v>
      </c>
      <c r="B6" s="20" t="s">
        <v>423</v>
      </c>
      <c r="C6" s="20" t="s">
        <v>594</v>
      </c>
      <c r="D6" s="141">
        <v>2620000</v>
      </c>
      <c r="E6" s="20" t="s">
        <v>589</v>
      </c>
      <c r="F6" s="20" t="s">
        <v>590</v>
      </c>
      <c r="G6" s="8" t="str">
        <f t="shared" si="0"/>
        <v>PERKINS DARREN</v>
      </c>
    </row>
    <row r="7" spans="1:7" x14ac:dyDescent="0.25">
      <c r="A7" s="8">
        <v>42890.075775462959</v>
      </c>
      <c r="B7" s="20" t="s">
        <v>518</v>
      </c>
      <c r="C7" s="20" t="s">
        <v>595</v>
      </c>
      <c r="D7" s="141">
        <v>3010000</v>
      </c>
      <c r="E7" s="20" t="s">
        <v>399</v>
      </c>
      <c r="F7" s="20" t="s">
        <v>400</v>
      </c>
      <c r="G7" s="8" t="str">
        <f t="shared" si="0"/>
        <v>SULLIVAN BRANDON</v>
      </c>
    </row>
    <row r="8" spans="1:7" x14ac:dyDescent="0.25">
      <c r="A8" s="8">
        <v>42890.089641203704</v>
      </c>
      <c r="B8" s="20" t="s">
        <v>380</v>
      </c>
      <c r="C8" s="20" t="s">
        <v>596</v>
      </c>
      <c r="D8" s="141">
        <v>3000000</v>
      </c>
      <c r="E8" s="20" t="s">
        <v>445</v>
      </c>
      <c r="F8" s="20" t="s">
        <v>446</v>
      </c>
      <c r="G8" s="8" t="str">
        <f t="shared" si="0"/>
        <v>FORTUNATO FRANK</v>
      </c>
    </row>
    <row r="9" spans="1:7" ht="15.75" thickBot="1" x14ac:dyDescent="0.3">
      <c r="A9" s="24">
        <v>42890.110798611109</v>
      </c>
      <c r="B9" s="20" t="s">
        <v>407</v>
      </c>
      <c r="C9" s="20" t="s">
        <v>597</v>
      </c>
      <c r="D9" s="141">
        <v>3010000</v>
      </c>
      <c r="E9" s="20" t="s">
        <v>399</v>
      </c>
      <c r="F9" s="20" t="s">
        <v>400</v>
      </c>
      <c r="G9" s="8" t="str">
        <f t="shared" si="0"/>
        <v>SULLIVAN BRANDON</v>
      </c>
    </row>
    <row r="10" spans="1:7" x14ac:dyDescent="0.25">
      <c r="A10" s="8">
        <v>42890.113703703704</v>
      </c>
      <c r="B10" s="20" t="s">
        <v>478</v>
      </c>
      <c r="C10" s="20" t="s">
        <v>598</v>
      </c>
      <c r="D10" s="141">
        <v>2010000</v>
      </c>
      <c r="E10" s="20" t="s">
        <v>599</v>
      </c>
      <c r="F10" s="20" t="s">
        <v>600</v>
      </c>
      <c r="G10" s="8" t="str">
        <f t="shared" si="0"/>
        <v>MAELZER KURT</v>
      </c>
    </row>
    <row r="11" spans="1:7" x14ac:dyDescent="0.25">
      <c r="A11" s="8">
        <v>42890.138831018521</v>
      </c>
      <c r="B11" s="20" t="s">
        <v>409</v>
      </c>
      <c r="C11" s="20" t="s">
        <v>647</v>
      </c>
      <c r="D11" s="141">
        <v>3040000</v>
      </c>
      <c r="E11" s="20" t="s">
        <v>388</v>
      </c>
      <c r="F11" s="20" t="s">
        <v>389</v>
      </c>
      <c r="G11" s="8" t="str">
        <f t="shared" si="0"/>
        <v>WILLIAMS DONTE</v>
      </c>
    </row>
    <row r="12" spans="1:7" x14ac:dyDescent="0.25">
      <c r="A12" s="8">
        <v>42890.169548611113</v>
      </c>
      <c r="B12" s="20" t="s">
        <v>491</v>
      </c>
      <c r="C12" s="20" t="s">
        <v>686</v>
      </c>
      <c r="D12" s="141">
        <v>1240000</v>
      </c>
      <c r="E12" s="20" t="s">
        <v>687</v>
      </c>
      <c r="F12" s="20" t="s">
        <v>688</v>
      </c>
      <c r="G12" s="8" t="str">
        <f t="shared" si="0"/>
        <v>GRASTON MATHEU</v>
      </c>
    </row>
    <row r="13" spans="1:7" x14ac:dyDescent="0.25">
      <c r="A13" s="8">
        <v>42890.171111111114</v>
      </c>
      <c r="B13" s="20" t="s">
        <v>572</v>
      </c>
      <c r="C13" s="20" t="s">
        <v>689</v>
      </c>
      <c r="D13" s="141">
        <v>2010000</v>
      </c>
      <c r="E13" s="20" t="s">
        <v>599</v>
      </c>
      <c r="F13" s="20" t="s">
        <v>600</v>
      </c>
      <c r="G13" s="8" t="str">
        <f t="shared" si="0"/>
        <v>MAELZER KURT</v>
      </c>
    </row>
    <row r="14" spans="1:7" x14ac:dyDescent="0.25">
      <c r="A14" s="8">
        <v>42890.172083333331</v>
      </c>
      <c r="B14" s="20" t="s">
        <v>569</v>
      </c>
      <c r="C14" s="20" t="s">
        <v>690</v>
      </c>
      <c r="D14" s="141">
        <v>2530000</v>
      </c>
      <c r="E14" s="20" t="s">
        <v>576</v>
      </c>
      <c r="F14" s="20" t="s">
        <v>577</v>
      </c>
      <c r="G14" s="8" t="str">
        <f t="shared" si="0"/>
        <v>LALONDE GREGORY</v>
      </c>
    </row>
    <row r="15" spans="1:7" x14ac:dyDescent="0.25">
      <c r="A15" s="8">
        <v>42890.177905092591</v>
      </c>
      <c r="B15" s="20" t="s">
        <v>425</v>
      </c>
      <c r="C15" s="20" t="s">
        <v>691</v>
      </c>
      <c r="D15" s="141">
        <v>1100000</v>
      </c>
      <c r="E15" s="20" t="s">
        <v>493</v>
      </c>
      <c r="F15" s="20" t="s">
        <v>494</v>
      </c>
      <c r="G15" s="8" t="str">
        <f t="shared" si="0"/>
        <v>GEBRETEKLE DAGNEW</v>
      </c>
    </row>
    <row r="16" spans="1:7" x14ac:dyDescent="0.25">
      <c r="A16" s="8">
        <v>42890.185856481483</v>
      </c>
      <c r="B16" s="20" t="s">
        <v>409</v>
      </c>
      <c r="C16" s="20" t="s">
        <v>692</v>
      </c>
      <c r="D16" s="141">
        <v>3040000</v>
      </c>
      <c r="E16" s="20" t="s">
        <v>388</v>
      </c>
      <c r="F16" s="20" t="s">
        <v>389</v>
      </c>
      <c r="G16" s="8" t="str">
        <f t="shared" si="0"/>
        <v>WILLIAMS DONTE</v>
      </c>
    </row>
    <row r="17" spans="1:7" x14ac:dyDescent="0.25">
      <c r="A17" s="8">
        <v>42890.186203703706</v>
      </c>
      <c r="B17" s="20" t="s">
        <v>570</v>
      </c>
      <c r="C17" s="20" t="s">
        <v>693</v>
      </c>
      <c r="D17" s="141">
        <v>2530000</v>
      </c>
      <c r="E17" s="20" t="s">
        <v>576</v>
      </c>
      <c r="F17" s="20" t="s">
        <v>577</v>
      </c>
      <c r="G17" s="8" t="str">
        <f t="shared" si="0"/>
        <v>LALONDE GREGORY</v>
      </c>
    </row>
    <row r="18" spans="1:7" x14ac:dyDescent="0.25">
      <c r="A18" s="8">
        <v>42890.194178240738</v>
      </c>
      <c r="B18" s="20" t="s">
        <v>362</v>
      </c>
      <c r="C18" s="20" t="s">
        <v>694</v>
      </c>
      <c r="D18" s="141">
        <v>1100000</v>
      </c>
      <c r="E18" s="20" t="s">
        <v>493</v>
      </c>
      <c r="F18" s="20" t="s">
        <v>494</v>
      </c>
      <c r="G18" s="8" t="str">
        <f t="shared" si="0"/>
        <v>GEBRETEKLE DAGNEW</v>
      </c>
    </row>
    <row r="19" spans="1:7" x14ac:dyDescent="0.25">
      <c r="A19" s="8">
        <v>42890.197199074071</v>
      </c>
      <c r="B19" s="20" t="s">
        <v>375</v>
      </c>
      <c r="C19" s="20" t="s">
        <v>695</v>
      </c>
      <c r="D19" s="141">
        <v>2970000</v>
      </c>
      <c r="E19" s="20" t="s">
        <v>385</v>
      </c>
      <c r="F19" s="20" t="s">
        <v>386</v>
      </c>
      <c r="G19" s="8" t="str">
        <f t="shared" si="0"/>
        <v>GUZMAN DANNY</v>
      </c>
    </row>
    <row r="20" spans="1:7" x14ac:dyDescent="0.25">
      <c r="A20" s="8">
        <v>42890.206967592596</v>
      </c>
      <c r="B20" s="20" t="s">
        <v>575</v>
      </c>
      <c r="C20" s="20" t="s">
        <v>696</v>
      </c>
      <c r="D20" s="141">
        <v>2010000</v>
      </c>
      <c r="E20" s="20" t="s">
        <v>599</v>
      </c>
      <c r="F20" s="20" t="s">
        <v>600</v>
      </c>
      <c r="G20" s="8" t="str">
        <f t="shared" si="0"/>
        <v>MAELZER KURT</v>
      </c>
    </row>
    <row r="21" spans="1:7" x14ac:dyDescent="0.25">
      <c r="A21" s="8">
        <v>42890.210405092592</v>
      </c>
      <c r="B21" s="20" t="s">
        <v>490</v>
      </c>
      <c r="C21" s="20" t="s">
        <v>648</v>
      </c>
      <c r="D21" s="141">
        <v>1240000</v>
      </c>
      <c r="E21" s="20" t="s">
        <v>687</v>
      </c>
      <c r="F21" s="20" t="s">
        <v>688</v>
      </c>
      <c r="G21" s="8" t="str">
        <f t="shared" si="0"/>
        <v>GRASTON MATHEU</v>
      </c>
    </row>
    <row r="22" spans="1:7" x14ac:dyDescent="0.25">
      <c r="A22" s="26">
        <v>42890.212916666664</v>
      </c>
      <c r="B22" s="20" t="s">
        <v>378</v>
      </c>
      <c r="C22" s="20" t="s">
        <v>697</v>
      </c>
      <c r="D22" s="141">
        <v>1800000</v>
      </c>
      <c r="E22" s="20" t="s">
        <v>383</v>
      </c>
      <c r="F22" s="20" t="s">
        <v>384</v>
      </c>
      <c r="G22" s="8" t="str">
        <f t="shared" si="0"/>
        <v>CHANDLER KELVIN</v>
      </c>
    </row>
    <row r="23" spans="1:7" x14ac:dyDescent="0.25">
      <c r="A23" s="8">
        <v>42890.217083333337</v>
      </c>
      <c r="B23" s="20" t="s">
        <v>569</v>
      </c>
      <c r="C23" s="20" t="s">
        <v>698</v>
      </c>
      <c r="D23" s="141">
        <v>2530000</v>
      </c>
      <c r="E23" s="20" t="s">
        <v>576</v>
      </c>
      <c r="F23" s="20" t="s">
        <v>577</v>
      </c>
      <c r="G23" s="8" t="str">
        <f t="shared" si="0"/>
        <v>LALONDE GREGORY</v>
      </c>
    </row>
    <row r="24" spans="1:7" x14ac:dyDescent="0.25">
      <c r="A24" s="8">
        <v>42890.221805555557</v>
      </c>
      <c r="B24" s="20" t="s">
        <v>406</v>
      </c>
      <c r="C24" s="20" t="s">
        <v>699</v>
      </c>
      <c r="D24" s="141">
        <v>2600000</v>
      </c>
      <c r="E24" s="20" t="s">
        <v>578</v>
      </c>
      <c r="F24" s="20" t="s">
        <v>579</v>
      </c>
      <c r="G24" s="8" t="str">
        <f t="shared" si="0"/>
        <v>DAVIDSON DAVID</v>
      </c>
    </row>
    <row r="25" spans="1:7" x14ac:dyDescent="0.25">
      <c r="A25" s="8">
        <v>42890.227442129632</v>
      </c>
      <c r="B25" s="20" t="s">
        <v>412</v>
      </c>
      <c r="C25" s="20" t="s">
        <v>700</v>
      </c>
      <c r="D25" s="141">
        <v>3040000</v>
      </c>
      <c r="E25" s="20" t="s">
        <v>388</v>
      </c>
      <c r="F25" s="20" t="s">
        <v>389</v>
      </c>
      <c r="G25" s="8" t="str">
        <f t="shared" si="0"/>
        <v>WILLIAMS DONTE</v>
      </c>
    </row>
    <row r="26" spans="1:7" x14ac:dyDescent="0.25">
      <c r="A26" s="8">
        <v>42890.227650462963</v>
      </c>
      <c r="B26" s="20" t="s">
        <v>649</v>
      </c>
      <c r="C26" s="20" t="s">
        <v>650</v>
      </c>
      <c r="D26" s="141">
        <v>2560000</v>
      </c>
      <c r="E26" s="20" t="s">
        <v>580</v>
      </c>
      <c r="F26" s="20" t="s">
        <v>372</v>
      </c>
      <c r="G26" s="8" t="str">
        <f t="shared" si="0"/>
        <v>MACDONALD THOMAS</v>
      </c>
    </row>
    <row r="27" spans="1:7" x14ac:dyDescent="0.25">
      <c r="A27" s="8">
        <v>42890.228958333333</v>
      </c>
      <c r="B27" s="20" t="s">
        <v>649</v>
      </c>
      <c r="C27" s="20" t="s">
        <v>650</v>
      </c>
      <c r="D27" s="141">
        <v>2560000</v>
      </c>
      <c r="E27" s="20" t="s">
        <v>580</v>
      </c>
      <c r="F27" s="20" t="s">
        <v>372</v>
      </c>
      <c r="G27" s="8" t="str">
        <f t="shared" si="0"/>
        <v>MACDONALD THOMAS</v>
      </c>
    </row>
    <row r="28" spans="1:7" x14ac:dyDescent="0.25">
      <c r="A28" s="8">
        <v>42890.230347222219</v>
      </c>
      <c r="B28" s="20" t="s">
        <v>649</v>
      </c>
      <c r="C28" s="20" t="s">
        <v>650</v>
      </c>
      <c r="D28" s="141">
        <v>2560000</v>
      </c>
      <c r="E28" s="20" t="s">
        <v>580</v>
      </c>
      <c r="F28" s="20" t="s">
        <v>372</v>
      </c>
      <c r="G28" s="8" t="str">
        <f t="shared" si="0"/>
        <v>MACDONALD THOMAS</v>
      </c>
    </row>
    <row r="29" spans="1:7" x14ac:dyDescent="0.25">
      <c r="A29" s="8">
        <v>42890.232881944445</v>
      </c>
      <c r="B29" s="20" t="s">
        <v>405</v>
      </c>
      <c r="C29" s="20" t="s">
        <v>701</v>
      </c>
      <c r="D29" s="141">
        <v>2600000</v>
      </c>
      <c r="E29" s="20" t="s">
        <v>578</v>
      </c>
      <c r="F29" s="20" t="s">
        <v>579</v>
      </c>
      <c r="G29" s="8" t="str">
        <f t="shared" si="0"/>
        <v>DAVIDSON DAVID</v>
      </c>
    </row>
    <row r="30" spans="1:7" x14ac:dyDescent="0.25">
      <c r="A30" s="8">
        <v>42890.234918981485</v>
      </c>
      <c r="B30" s="20" t="s">
        <v>425</v>
      </c>
      <c r="C30" s="20" t="s">
        <v>702</v>
      </c>
      <c r="D30" s="141">
        <v>1100000</v>
      </c>
      <c r="E30" s="20" t="s">
        <v>493</v>
      </c>
      <c r="F30" s="20" t="s">
        <v>494</v>
      </c>
      <c r="G30" s="8" t="str">
        <f t="shared" si="0"/>
        <v>GEBRETEKLE DAGNEW</v>
      </c>
    </row>
    <row r="31" spans="1:7" x14ac:dyDescent="0.25">
      <c r="A31" s="8">
        <v>42890.242361111108</v>
      </c>
      <c r="B31" s="20" t="s">
        <v>440</v>
      </c>
      <c r="C31" s="20" t="s">
        <v>703</v>
      </c>
      <c r="D31" s="141">
        <v>1780000</v>
      </c>
      <c r="E31" s="20" t="s">
        <v>501</v>
      </c>
      <c r="F31" s="20" t="s">
        <v>502</v>
      </c>
      <c r="G31" s="8" t="str">
        <f t="shared" si="0"/>
        <v>DE LA ROSA ALEX</v>
      </c>
    </row>
    <row r="32" spans="1:7" x14ac:dyDescent="0.25">
      <c r="A32" s="8">
        <v>42890.242569444446</v>
      </c>
      <c r="B32" s="20" t="s">
        <v>572</v>
      </c>
      <c r="C32" s="20" t="s">
        <v>704</v>
      </c>
      <c r="D32" s="141">
        <v>2010000</v>
      </c>
      <c r="E32" s="20" t="s">
        <v>599</v>
      </c>
      <c r="F32" s="20" t="s">
        <v>600</v>
      </c>
      <c r="G32" s="8" t="str">
        <f t="shared" si="0"/>
        <v>MAELZER KURT</v>
      </c>
    </row>
    <row r="33" spans="1:7" x14ac:dyDescent="0.25">
      <c r="A33" s="8">
        <v>42890.242789351854</v>
      </c>
      <c r="B33" s="20" t="s">
        <v>653</v>
      </c>
      <c r="C33" s="20" t="s">
        <v>705</v>
      </c>
      <c r="D33" s="141">
        <v>1810000</v>
      </c>
      <c r="E33" s="20" t="s">
        <v>373</v>
      </c>
      <c r="F33" s="20" t="s">
        <v>191</v>
      </c>
      <c r="G33" s="8" t="str">
        <f t="shared" si="0"/>
        <v>NEWELL JAMES</v>
      </c>
    </row>
    <row r="34" spans="1:7" x14ac:dyDescent="0.25">
      <c r="A34" s="8">
        <v>42890.24732638889</v>
      </c>
      <c r="B34" s="20" t="s">
        <v>491</v>
      </c>
      <c r="C34" s="20" t="s">
        <v>706</v>
      </c>
      <c r="D34" s="141">
        <v>1240000</v>
      </c>
      <c r="E34" s="20" t="s">
        <v>687</v>
      </c>
      <c r="F34" s="20" t="s">
        <v>688</v>
      </c>
      <c r="G34" s="8" t="str">
        <f t="shared" si="0"/>
        <v>GRASTON MATHEU</v>
      </c>
    </row>
    <row r="35" spans="1:7" x14ac:dyDescent="0.25">
      <c r="A35" s="8">
        <v>42890.249178240738</v>
      </c>
      <c r="B35" s="20" t="s">
        <v>444</v>
      </c>
      <c r="C35" s="20" t="s">
        <v>703</v>
      </c>
      <c r="D35" s="141">
        <v>1780000</v>
      </c>
      <c r="E35" s="20" t="s">
        <v>501</v>
      </c>
      <c r="F35" s="20" t="s">
        <v>502</v>
      </c>
      <c r="G35" s="8" t="str">
        <f t="shared" si="0"/>
        <v>DE LA ROSA ALEX</v>
      </c>
    </row>
    <row r="36" spans="1:7" x14ac:dyDescent="0.25">
      <c r="A36" s="8">
        <v>42890.250381944446</v>
      </c>
      <c r="B36" s="20" t="s">
        <v>406</v>
      </c>
      <c r="C36" s="20" t="s">
        <v>707</v>
      </c>
      <c r="D36" s="141">
        <v>2600000</v>
      </c>
      <c r="E36" s="20" t="s">
        <v>578</v>
      </c>
      <c r="F36" s="20" t="s">
        <v>579</v>
      </c>
      <c r="G36" s="8" t="str">
        <f t="shared" si="0"/>
        <v>DAVIDSON DAVID</v>
      </c>
    </row>
    <row r="37" spans="1:7" x14ac:dyDescent="0.25">
      <c r="A37" s="8">
        <v>42890.254502314812</v>
      </c>
      <c r="B37" s="20" t="s">
        <v>570</v>
      </c>
      <c r="C37" s="20" t="s">
        <v>708</v>
      </c>
      <c r="D37" s="141">
        <v>2530000</v>
      </c>
      <c r="E37" s="20" t="s">
        <v>576</v>
      </c>
      <c r="F37" s="20" t="s">
        <v>577</v>
      </c>
      <c r="G37" s="8" t="str">
        <f t="shared" si="0"/>
        <v>LALONDE GREGORY</v>
      </c>
    </row>
    <row r="38" spans="1:7" x14ac:dyDescent="0.25">
      <c r="A38" s="8">
        <v>42890.254745370374</v>
      </c>
      <c r="B38" s="20" t="s">
        <v>375</v>
      </c>
      <c r="C38" s="20" t="s">
        <v>709</v>
      </c>
      <c r="D38" s="141">
        <v>1800000</v>
      </c>
      <c r="E38" s="20" t="s">
        <v>383</v>
      </c>
      <c r="F38" s="20" t="s">
        <v>384</v>
      </c>
      <c r="G38" s="8" t="str">
        <f t="shared" si="0"/>
        <v>CHANDLER KELVIN</v>
      </c>
    </row>
    <row r="39" spans="1:7" x14ac:dyDescent="0.25">
      <c r="A39" s="8">
        <v>42890.258425925924</v>
      </c>
      <c r="B39" s="20" t="s">
        <v>409</v>
      </c>
      <c r="C39" s="20" t="s">
        <v>710</v>
      </c>
      <c r="D39" s="141">
        <v>3040000</v>
      </c>
      <c r="E39" s="20" t="s">
        <v>388</v>
      </c>
      <c r="F39" s="20" t="s">
        <v>389</v>
      </c>
      <c r="G39" s="8" t="str">
        <f t="shared" si="0"/>
        <v>WILLIAMS DONTE</v>
      </c>
    </row>
    <row r="40" spans="1:7" x14ac:dyDescent="0.25">
      <c r="A40" s="8">
        <v>42890.25854166667</v>
      </c>
      <c r="B40" s="25" t="s">
        <v>435</v>
      </c>
      <c r="C40" s="20" t="s">
        <v>703</v>
      </c>
      <c r="D40" s="141">
        <v>1780000</v>
      </c>
      <c r="E40" s="20" t="s">
        <v>501</v>
      </c>
      <c r="F40" s="20" t="s">
        <v>502</v>
      </c>
      <c r="G40" s="8" t="str">
        <f t="shared" si="0"/>
        <v>DE LA ROSA ALEX</v>
      </c>
    </row>
    <row r="41" spans="1:7" x14ac:dyDescent="0.25">
      <c r="A41" s="8">
        <v>42890.259340277778</v>
      </c>
      <c r="B41" s="20" t="s">
        <v>435</v>
      </c>
      <c r="C41" s="20" t="s">
        <v>703</v>
      </c>
      <c r="D41" s="141">
        <v>1780000</v>
      </c>
      <c r="E41" s="20" t="s">
        <v>501</v>
      </c>
      <c r="F41" s="20" t="s">
        <v>502</v>
      </c>
      <c r="G41" s="8" t="str">
        <f t="shared" si="0"/>
        <v>DE LA ROSA ALEX</v>
      </c>
    </row>
    <row r="42" spans="1:7" x14ac:dyDescent="0.25">
      <c r="A42" s="8">
        <v>42890.267233796294</v>
      </c>
      <c r="B42" s="20" t="s">
        <v>362</v>
      </c>
      <c r="C42" s="20" t="s">
        <v>711</v>
      </c>
      <c r="D42" s="141">
        <v>1100000</v>
      </c>
      <c r="E42" s="20" t="s">
        <v>493</v>
      </c>
      <c r="F42" s="20" t="s">
        <v>494</v>
      </c>
      <c r="G42" s="8" t="str">
        <f t="shared" si="0"/>
        <v>GEBRETEKLE DAGNEW</v>
      </c>
    </row>
    <row r="43" spans="1:7" x14ac:dyDescent="0.25">
      <c r="A43" s="8">
        <v>42890.270486111112</v>
      </c>
      <c r="B43" s="20" t="s">
        <v>649</v>
      </c>
      <c r="C43" s="20" t="s">
        <v>712</v>
      </c>
      <c r="D43" s="141">
        <v>1810000</v>
      </c>
      <c r="E43" s="20" t="s">
        <v>373</v>
      </c>
      <c r="F43" s="20" t="s">
        <v>191</v>
      </c>
      <c r="G43" s="8" t="str">
        <f t="shared" si="0"/>
        <v>NEWELL JAMES</v>
      </c>
    </row>
    <row r="44" spans="1:7" x14ac:dyDescent="0.25">
      <c r="A44" s="8">
        <v>42890.275856481479</v>
      </c>
      <c r="B44" s="20" t="s">
        <v>405</v>
      </c>
      <c r="C44" s="20" t="s">
        <v>651</v>
      </c>
      <c r="D44" s="141">
        <v>2600000</v>
      </c>
      <c r="E44" s="20" t="s">
        <v>578</v>
      </c>
      <c r="F44" s="20" t="s">
        <v>579</v>
      </c>
      <c r="G44" s="8" t="str">
        <f t="shared" si="0"/>
        <v>DAVIDSON DAVID</v>
      </c>
    </row>
    <row r="45" spans="1:7" x14ac:dyDescent="0.25">
      <c r="A45" s="8">
        <v>42890.277824074074</v>
      </c>
      <c r="B45" s="20" t="s">
        <v>575</v>
      </c>
      <c r="C45" s="20" t="s">
        <v>713</v>
      </c>
      <c r="D45" s="141">
        <v>2010000</v>
      </c>
      <c r="E45" s="20" t="s">
        <v>599</v>
      </c>
      <c r="F45" s="20" t="s">
        <v>600</v>
      </c>
      <c r="G45" s="8" t="str">
        <f t="shared" si="0"/>
        <v>MAELZER KURT</v>
      </c>
    </row>
    <row r="46" spans="1:7" x14ac:dyDescent="0.25">
      <c r="A46" s="8">
        <v>42890.280034722222</v>
      </c>
      <c r="B46" s="20" t="s">
        <v>490</v>
      </c>
      <c r="C46" s="20" t="s">
        <v>714</v>
      </c>
      <c r="D46" s="141">
        <v>1240000</v>
      </c>
      <c r="E46" s="20" t="s">
        <v>687</v>
      </c>
      <c r="F46" s="20" t="s">
        <v>688</v>
      </c>
      <c r="G46" s="8" t="str">
        <f t="shared" si="0"/>
        <v>GRASTON MATHEU</v>
      </c>
    </row>
    <row r="47" spans="1:7" x14ac:dyDescent="0.25">
      <c r="A47" s="8">
        <v>42890.286643518521</v>
      </c>
      <c r="B47" s="20" t="s">
        <v>569</v>
      </c>
      <c r="C47" s="20" t="s">
        <v>715</v>
      </c>
      <c r="D47" s="141">
        <v>2530000</v>
      </c>
      <c r="E47" s="20" t="s">
        <v>576</v>
      </c>
      <c r="F47" s="20" t="s">
        <v>577</v>
      </c>
      <c r="G47" s="8" t="str">
        <f t="shared" si="0"/>
        <v>LALONDE GREGORY</v>
      </c>
    </row>
    <row r="48" spans="1:7" x14ac:dyDescent="0.25">
      <c r="A48" s="8">
        <v>42890.289513888885</v>
      </c>
      <c r="B48" s="20" t="s">
        <v>378</v>
      </c>
      <c r="C48" s="20" t="s">
        <v>716</v>
      </c>
      <c r="D48" s="141">
        <v>2970000</v>
      </c>
      <c r="E48" s="20" t="s">
        <v>385</v>
      </c>
      <c r="F48" s="20" t="s">
        <v>386</v>
      </c>
      <c r="G48" s="8" t="str">
        <f t="shared" si="0"/>
        <v>GUZMAN DANNY</v>
      </c>
    </row>
    <row r="49" spans="1:7" x14ac:dyDescent="0.25">
      <c r="A49" s="8">
        <v>42890.293032407404</v>
      </c>
      <c r="B49" s="20" t="s">
        <v>406</v>
      </c>
      <c r="C49" s="20" t="s">
        <v>717</v>
      </c>
      <c r="D49" s="141">
        <v>2600000</v>
      </c>
      <c r="E49" s="20" t="s">
        <v>578</v>
      </c>
      <c r="F49" s="20" t="s">
        <v>579</v>
      </c>
      <c r="G49" s="8" t="str">
        <f t="shared" si="0"/>
        <v>DAVIDSON DAVID</v>
      </c>
    </row>
    <row r="50" spans="1:7" x14ac:dyDescent="0.25">
      <c r="A50" s="8">
        <v>42890.299120370371</v>
      </c>
      <c r="B50" s="20" t="s">
        <v>412</v>
      </c>
      <c r="C50" s="20" t="s">
        <v>652</v>
      </c>
      <c r="D50" s="141">
        <v>3040000</v>
      </c>
      <c r="E50" s="20" t="s">
        <v>388</v>
      </c>
      <c r="F50" s="20" t="s">
        <v>389</v>
      </c>
      <c r="G50" s="8" t="str">
        <f t="shared" si="0"/>
        <v>WILLIAMS DONTE</v>
      </c>
    </row>
    <row r="51" spans="1:7" x14ac:dyDescent="0.25">
      <c r="A51" s="8">
        <v>42890.306006944447</v>
      </c>
      <c r="B51" s="20" t="s">
        <v>425</v>
      </c>
      <c r="C51" s="20" t="s">
        <v>718</v>
      </c>
      <c r="D51" s="141">
        <v>1100000</v>
      </c>
      <c r="E51" s="20" t="s">
        <v>493</v>
      </c>
      <c r="F51" s="20" t="s">
        <v>494</v>
      </c>
      <c r="G51" s="8" t="str">
        <f t="shared" si="0"/>
        <v>GEBRETEKLE DAGNEW</v>
      </c>
    </row>
    <row r="52" spans="1:7" x14ac:dyDescent="0.25">
      <c r="A52" s="8">
        <v>42890.307141203702</v>
      </c>
      <c r="B52" s="20" t="s">
        <v>653</v>
      </c>
      <c r="C52" s="20" t="s">
        <v>654</v>
      </c>
      <c r="D52" s="141">
        <v>2560000</v>
      </c>
      <c r="E52" s="20" t="s">
        <v>580</v>
      </c>
      <c r="F52" s="20" t="s">
        <v>372</v>
      </c>
      <c r="G52" s="8" t="str">
        <f t="shared" si="0"/>
        <v>MACDONALD THOMAS</v>
      </c>
    </row>
    <row r="53" spans="1:7" x14ac:dyDescent="0.25">
      <c r="A53" s="8">
        <v>42890.315023148149</v>
      </c>
      <c r="B53" s="20" t="s">
        <v>572</v>
      </c>
      <c r="C53" s="20" t="s">
        <v>719</v>
      </c>
      <c r="D53" s="141">
        <v>2010000</v>
      </c>
      <c r="E53" s="20" t="s">
        <v>599</v>
      </c>
      <c r="F53" s="20" t="s">
        <v>600</v>
      </c>
      <c r="G53" s="8" t="str">
        <f t="shared" si="0"/>
        <v>MAELZER KURT</v>
      </c>
    </row>
    <row r="54" spans="1:7" x14ac:dyDescent="0.25">
      <c r="A54" s="8">
        <v>42890.317800925928</v>
      </c>
      <c r="B54" s="20" t="s">
        <v>405</v>
      </c>
      <c r="C54" s="20" t="s">
        <v>720</v>
      </c>
      <c r="D54" s="141">
        <v>2600000</v>
      </c>
      <c r="E54" s="20" t="s">
        <v>578</v>
      </c>
      <c r="F54" s="20" t="s">
        <v>579</v>
      </c>
      <c r="G54" s="8" t="str">
        <f t="shared" si="0"/>
        <v>DAVIDSON DAVID</v>
      </c>
    </row>
    <row r="55" spans="1:7" x14ac:dyDescent="0.25">
      <c r="A55" s="8">
        <v>42890.318472222221</v>
      </c>
      <c r="B55" s="20" t="s">
        <v>491</v>
      </c>
      <c r="C55" s="20" t="s">
        <v>721</v>
      </c>
      <c r="D55" s="141">
        <v>1990000</v>
      </c>
      <c r="E55" s="20" t="s">
        <v>427</v>
      </c>
      <c r="F55" s="20" t="s">
        <v>492</v>
      </c>
      <c r="G55" s="8" t="str">
        <f t="shared" si="0"/>
        <v>DAVIS WENDY</v>
      </c>
    </row>
    <row r="56" spans="1:7" x14ac:dyDescent="0.25">
      <c r="A56" s="8">
        <v>42890.319467592592</v>
      </c>
      <c r="B56" s="20" t="s">
        <v>375</v>
      </c>
      <c r="C56" s="20" t="s">
        <v>722</v>
      </c>
      <c r="D56" s="141">
        <v>2970000</v>
      </c>
      <c r="E56" s="20" t="s">
        <v>385</v>
      </c>
      <c r="F56" s="20" t="s">
        <v>386</v>
      </c>
      <c r="G56" s="8" t="str">
        <f t="shared" si="0"/>
        <v>GUZMAN DANNY</v>
      </c>
    </row>
    <row r="57" spans="1:7" x14ac:dyDescent="0.25">
      <c r="A57" s="8">
        <v>42890.330451388887</v>
      </c>
      <c r="B57" s="20" t="s">
        <v>570</v>
      </c>
      <c r="C57" s="20" t="s">
        <v>723</v>
      </c>
      <c r="D57" s="141">
        <v>2530000</v>
      </c>
      <c r="E57" s="20" t="s">
        <v>576</v>
      </c>
      <c r="F57" s="20" t="s">
        <v>577</v>
      </c>
      <c r="G57" s="8" t="str">
        <f t="shared" si="0"/>
        <v>LALONDE GREGORY</v>
      </c>
    </row>
    <row r="58" spans="1:7" x14ac:dyDescent="0.25">
      <c r="A58" s="8">
        <v>42890.332476851851</v>
      </c>
      <c r="B58" s="20" t="s">
        <v>406</v>
      </c>
      <c r="C58" s="20" t="s">
        <v>724</v>
      </c>
      <c r="D58" s="141">
        <v>2600000</v>
      </c>
      <c r="E58" s="20" t="s">
        <v>578</v>
      </c>
      <c r="F58" s="20" t="s">
        <v>579</v>
      </c>
      <c r="G58" s="8" t="str">
        <f t="shared" si="0"/>
        <v>DAVIDSON DAVID</v>
      </c>
    </row>
    <row r="59" spans="1:7" x14ac:dyDescent="0.25">
      <c r="A59" s="8">
        <v>42890.33488425926</v>
      </c>
      <c r="B59" s="20" t="s">
        <v>409</v>
      </c>
      <c r="C59" s="20" t="s">
        <v>725</v>
      </c>
      <c r="D59" s="141">
        <v>3040000</v>
      </c>
      <c r="E59" s="20" t="s">
        <v>388</v>
      </c>
      <c r="F59" s="20" t="s">
        <v>389</v>
      </c>
      <c r="G59" s="8" t="str">
        <f t="shared" si="0"/>
        <v>WILLIAMS DONTE</v>
      </c>
    </row>
    <row r="60" spans="1:7" x14ac:dyDescent="0.25">
      <c r="A60" s="8">
        <v>42890.340509259258</v>
      </c>
      <c r="B60" s="20" t="s">
        <v>362</v>
      </c>
      <c r="C60" s="20" t="s">
        <v>726</v>
      </c>
      <c r="D60" s="141">
        <v>1100000</v>
      </c>
      <c r="E60" s="20" t="s">
        <v>493</v>
      </c>
      <c r="F60" s="20" t="s">
        <v>494</v>
      </c>
      <c r="G60" s="8" t="str">
        <f t="shared" si="0"/>
        <v>GEBRETEKLE DAGNEW</v>
      </c>
    </row>
    <row r="61" spans="1:7" x14ac:dyDescent="0.25">
      <c r="A61" s="8">
        <v>42890.351273148146</v>
      </c>
      <c r="B61" s="20" t="s">
        <v>649</v>
      </c>
      <c r="C61" s="20" t="s">
        <v>727</v>
      </c>
      <c r="D61" s="141">
        <v>2560000</v>
      </c>
      <c r="E61" s="20" t="s">
        <v>580</v>
      </c>
      <c r="F61" s="20" t="s">
        <v>372</v>
      </c>
      <c r="G61" s="8" t="str">
        <f t="shared" si="0"/>
        <v>MACDONALD THOMAS</v>
      </c>
    </row>
    <row r="62" spans="1:7" x14ac:dyDescent="0.25">
      <c r="A62" s="8">
        <v>42890.35328703704</v>
      </c>
      <c r="B62" s="20" t="s">
        <v>575</v>
      </c>
      <c r="C62" s="20" t="s">
        <v>728</v>
      </c>
      <c r="D62" s="141">
        <v>2010000</v>
      </c>
      <c r="E62" s="20" t="s">
        <v>599</v>
      </c>
      <c r="F62" s="20" t="s">
        <v>600</v>
      </c>
      <c r="G62" s="8" t="str">
        <f t="shared" si="0"/>
        <v>MAELZER KURT</v>
      </c>
    </row>
    <row r="63" spans="1:7" x14ac:dyDescent="0.25">
      <c r="A63" s="8">
        <v>42890.359513888892</v>
      </c>
      <c r="B63" s="20" t="s">
        <v>490</v>
      </c>
      <c r="C63" s="20" t="s">
        <v>729</v>
      </c>
      <c r="D63" s="141">
        <v>1990000</v>
      </c>
      <c r="E63" s="20" t="s">
        <v>427</v>
      </c>
      <c r="F63" s="20" t="s">
        <v>492</v>
      </c>
      <c r="G63" s="8" t="str">
        <f t="shared" si="0"/>
        <v>DAVIS WENDY</v>
      </c>
    </row>
    <row r="64" spans="1:7" x14ac:dyDescent="0.25">
      <c r="A64" s="26">
        <v>42890.36005787037</v>
      </c>
      <c r="B64" s="20" t="s">
        <v>405</v>
      </c>
      <c r="C64" s="20" t="s">
        <v>730</v>
      </c>
      <c r="D64" s="141">
        <v>2600000</v>
      </c>
      <c r="E64" s="20" t="s">
        <v>578</v>
      </c>
      <c r="F64" s="20" t="s">
        <v>579</v>
      </c>
      <c r="G64" s="8" t="str">
        <f t="shared" si="0"/>
        <v>DAVIDSON DAVID</v>
      </c>
    </row>
    <row r="65" spans="1:7" x14ac:dyDescent="0.25">
      <c r="A65" s="8">
        <v>42890.360069444447</v>
      </c>
      <c r="B65" s="20" t="s">
        <v>569</v>
      </c>
      <c r="C65" s="20" t="s">
        <v>731</v>
      </c>
      <c r="D65" s="141">
        <v>2530000</v>
      </c>
      <c r="E65" s="20" t="s">
        <v>576</v>
      </c>
      <c r="F65" s="20" t="s">
        <v>577</v>
      </c>
      <c r="G65" s="8" t="str">
        <f t="shared" si="0"/>
        <v>LALONDE GREGORY</v>
      </c>
    </row>
    <row r="66" spans="1:7" x14ac:dyDescent="0.25">
      <c r="A66" s="8">
        <v>42890.361377314817</v>
      </c>
      <c r="B66" s="20" t="s">
        <v>378</v>
      </c>
      <c r="C66" s="20" t="s">
        <v>732</v>
      </c>
      <c r="D66" s="141">
        <v>2970000</v>
      </c>
      <c r="E66" s="20" t="s">
        <v>385</v>
      </c>
      <c r="F66" s="20" t="s">
        <v>386</v>
      </c>
      <c r="G66" s="8" t="str">
        <f t="shared" si="0"/>
        <v>GUZMAN DANNY</v>
      </c>
    </row>
    <row r="67" spans="1:7" x14ac:dyDescent="0.25">
      <c r="A67" s="8">
        <v>42890.372523148151</v>
      </c>
      <c r="B67" s="20" t="s">
        <v>412</v>
      </c>
      <c r="C67" s="20" t="s">
        <v>733</v>
      </c>
      <c r="D67" s="141">
        <v>3040000</v>
      </c>
      <c r="E67" s="20" t="s">
        <v>388</v>
      </c>
      <c r="F67" s="20" t="s">
        <v>389</v>
      </c>
      <c r="G67" s="8" t="str">
        <f t="shared" ref="G67:G130" si="1">E67&amp;" "&amp;F67</f>
        <v>WILLIAMS DONTE</v>
      </c>
    </row>
    <row r="68" spans="1:7" x14ac:dyDescent="0.25">
      <c r="A68" s="8">
        <v>42890.372604166667</v>
      </c>
      <c r="B68" s="20" t="s">
        <v>425</v>
      </c>
      <c r="C68" s="20" t="s">
        <v>734</v>
      </c>
      <c r="D68" s="141">
        <v>1100000</v>
      </c>
      <c r="E68" s="20" t="s">
        <v>493</v>
      </c>
      <c r="F68" s="20" t="s">
        <v>494</v>
      </c>
      <c r="G68" s="8" t="str">
        <f t="shared" si="1"/>
        <v>GEBRETEKLE DAGNEW</v>
      </c>
    </row>
    <row r="69" spans="1:7" x14ac:dyDescent="0.25">
      <c r="A69" s="8">
        <v>42890.3750462963</v>
      </c>
      <c r="B69" s="20" t="s">
        <v>406</v>
      </c>
      <c r="C69" s="20" t="s">
        <v>735</v>
      </c>
      <c r="D69" s="141">
        <v>2600000</v>
      </c>
      <c r="E69" s="20" t="s">
        <v>578</v>
      </c>
      <c r="F69" s="20" t="s">
        <v>579</v>
      </c>
      <c r="G69" s="8" t="str">
        <f t="shared" si="1"/>
        <v>DAVIDSON DAVID</v>
      </c>
    </row>
    <row r="70" spans="1:7" x14ac:dyDescent="0.25">
      <c r="A70" s="8">
        <v>42890.382986111108</v>
      </c>
      <c r="B70" s="20" t="s">
        <v>653</v>
      </c>
      <c r="C70" s="20" t="s">
        <v>736</v>
      </c>
      <c r="D70" s="141">
        <v>2560000</v>
      </c>
      <c r="E70" s="20" t="s">
        <v>580</v>
      </c>
      <c r="F70" s="20" t="s">
        <v>372</v>
      </c>
      <c r="G70" s="8" t="str">
        <f t="shared" si="1"/>
        <v>MACDONALD THOMAS</v>
      </c>
    </row>
    <row r="71" spans="1:7" x14ac:dyDescent="0.25">
      <c r="A71" s="8">
        <v>42890.383877314816</v>
      </c>
      <c r="B71" s="20" t="s">
        <v>572</v>
      </c>
      <c r="C71" s="20" t="s">
        <v>737</v>
      </c>
      <c r="D71" s="141">
        <v>2010000</v>
      </c>
      <c r="E71" s="20" t="s">
        <v>599</v>
      </c>
      <c r="F71" s="20" t="s">
        <v>600</v>
      </c>
      <c r="G71" s="8" t="str">
        <f t="shared" si="1"/>
        <v>MAELZER KURT</v>
      </c>
    </row>
    <row r="72" spans="1:7" x14ac:dyDescent="0.25">
      <c r="A72" s="8">
        <v>42890.390648148146</v>
      </c>
      <c r="B72" s="20" t="s">
        <v>491</v>
      </c>
      <c r="C72" s="20" t="s">
        <v>655</v>
      </c>
      <c r="D72" s="141">
        <v>1990000</v>
      </c>
      <c r="E72" s="20" t="s">
        <v>427</v>
      </c>
      <c r="F72" s="20" t="s">
        <v>492</v>
      </c>
      <c r="G72" s="8" t="str">
        <f t="shared" si="1"/>
        <v>DAVIS WENDY</v>
      </c>
    </row>
    <row r="73" spans="1:7" x14ac:dyDescent="0.25">
      <c r="A73" s="8">
        <v>42890.392870370371</v>
      </c>
      <c r="B73" s="20" t="s">
        <v>375</v>
      </c>
      <c r="C73" s="20" t="s">
        <v>738</v>
      </c>
      <c r="D73" s="141">
        <v>2970000</v>
      </c>
      <c r="E73" s="20" t="s">
        <v>385</v>
      </c>
      <c r="F73" s="20" t="s">
        <v>386</v>
      </c>
      <c r="G73" s="8" t="str">
        <f t="shared" si="1"/>
        <v>GUZMAN DANNY</v>
      </c>
    </row>
    <row r="74" spans="1:7" x14ac:dyDescent="0.25">
      <c r="A74" s="8">
        <v>42890.400694444441</v>
      </c>
      <c r="B74" s="20" t="s">
        <v>570</v>
      </c>
      <c r="C74" s="20" t="s">
        <v>739</v>
      </c>
      <c r="D74" s="141">
        <v>2530000</v>
      </c>
      <c r="E74" s="20" t="s">
        <v>576</v>
      </c>
      <c r="F74" s="20" t="s">
        <v>577</v>
      </c>
      <c r="G74" s="8" t="str">
        <f t="shared" si="1"/>
        <v>LALONDE GREGORY</v>
      </c>
    </row>
    <row r="75" spans="1:7" x14ac:dyDescent="0.25">
      <c r="A75" s="8">
        <v>42890.401446759257</v>
      </c>
      <c r="B75" s="20" t="s">
        <v>405</v>
      </c>
      <c r="C75" s="20" t="s">
        <v>740</v>
      </c>
      <c r="D75" s="141">
        <v>2600000</v>
      </c>
      <c r="E75" s="20" t="s">
        <v>578</v>
      </c>
      <c r="F75" s="20" t="s">
        <v>579</v>
      </c>
      <c r="G75" s="8" t="str">
        <f t="shared" si="1"/>
        <v>DAVIDSON DAVID</v>
      </c>
    </row>
    <row r="76" spans="1:7" x14ac:dyDescent="0.25">
      <c r="A76" s="8">
        <v>42890.404374999998</v>
      </c>
      <c r="B76" s="20" t="s">
        <v>409</v>
      </c>
      <c r="C76" s="20" t="s">
        <v>741</v>
      </c>
      <c r="D76" s="141">
        <v>3040000</v>
      </c>
      <c r="E76" s="20" t="s">
        <v>388</v>
      </c>
      <c r="F76" s="20" t="s">
        <v>389</v>
      </c>
      <c r="G76" s="8" t="str">
        <f t="shared" si="1"/>
        <v>WILLIAMS DONTE</v>
      </c>
    </row>
    <row r="77" spans="1:7" x14ac:dyDescent="0.25">
      <c r="A77" s="8">
        <v>42890.411782407406</v>
      </c>
      <c r="B77" s="20" t="s">
        <v>362</v>
      </c>
      <c r="C77" s="20" t="s">
        <v>742</v>
      </c>
      <c r="D77" s="141">
        <v>1100000</v>
      </c>
      <c r="E77" s="20" t="s">
        <v>493</v>
      </c>
      <c r="F77" s="20" t="s">
        <v>494</v>
      </c>
      <c r="G77" s="8" t="str">
        <f t="shared" si="1"/>
        <v>GEBRETEKLE DAGNEW</v>
      </c>
    </row>
    <row r="78" spans="1:7" x14ac:dyDescent="0.25">
      <c r="A78" s="8">
        <v>42890.416562500002</v>
      </c>
      <c r="B78" s="20" t="s">
        <v>406</v>
      </c>
      <c r="C78" s="20" t="s">
        <v>743</v>
      </c>
      <c r="D78" s="141">
        <v>2600000</v>
      </c>
      <c r="E78" s="20" t="s">
        <v>578</v>
      </c>
      <c r="F78" s="20" t="s">
        <v>579</v>
      </c>
      <c r="G78" s="8" t="str">
        <f t="shared" si="1"/>
        <v>DAVIDSON DAVID</v>
      </c>
    </row>
    <row r="79" spans="1:7" x14ac:dyDescent="0.25">
      <c r="A79" s="8">
        <v>42890.423310185186</v>
      </c>
      <c r="B79" s="20" t="s">
        <v>649</v>
      </c>
      <c r="C79" s="20" t="s">
        <v>744</v>
      </c>
      <c r="D79" s="141">
        <v>2560000</v>
      </c>
      <c r="E79" s="20" t="s">
        <v>580</v>
      </c>
      <c r="F79" s="20" t="s">
        <v>372</v>
      </c>
      <c r="G79" s="8" t="str">
        <f t="shared" si="1"/>
        <v>MACDONALD THOMAS</v>
      </c>
    </row>
    <row r="80" spans="1:7" x14ac:dyDescent="0.25">
      <c r="A80" s="8">
        <v>42890.423715277779</v>
      </c>
      <c r="B80" s="20" t="s">
        <v>575</v>
      </c>
      <c r="C80" s="20" t="s">
        <v>745</v>
      </c>
      <c r="D80" s="141">
        <v>2040000</v>
      </c>
      <c r="E80" s="20" t="s">
        <v>495</v>
      </c>
      <c r="F80" s="20" t="s">
        <v>496</v>
      </c>
      <c r="G80" s="8" t="str">
        <f t="shared" si="1"/>
        <v>MOSES BRADLEY</v>
      </c>
    </row>
    <row r="81" spans="1:7" x14ac:dyDescent="0.25">
      <c r="A81" s="8">
        <v>42890.430590277778</v>
      </c>
      <c r="B81" s="20" t="s">
        <v>462</v>
      </c>
      <c r="C81" s="20" t="s">
        <v>746</v>
      </c>
      <c r="D81" s="141">
        <v>2140000</v>
      </c>
      <c r="E81" s="20" t="s">
        <v>421</v>
      </c>
      <c r="F81" s="20" t="s">
        <v>422</v>
      </c>
      <c r="G81" s="8" t="str">
        <f t="shared" si="1"/>
        <v>ROBINSON KADDIBA</v>
      </c>
    </row>
    <row r="82" spans="1:7" x14ac:dyDescent="0.25">
      <c r="A82" s="8">
        <v>42890.433055555557</v>
      </c>
      <c r="B82" s="20" t="s">
        <v>569</v>
      </c>
      <c r="C82" s="20" t="s">
        <v>747</v>
      </c>
      <c r="D82" s="141">
        <v>2530000</v>
      </c>
      <c r="E82" s="20" t="s">
        <v>576</v>
      </c>
      <c r="F82" s="20" t="s">
        <v>577</v>
      </c>
      <c r="G82" s="8" t="str">
        <f t="shared" si="1"/>
        <v>LALONDE GREGORY</v>
      </c>
    </row>
    <row r="83" spans="1:7" x14ac:dyDescent="0.25">
      <c r="A83" s="8">
        <v>42890.43310185185</v>
      </c>
      <c r="B83" s="20" t="s">
        <v>490</v>
      </c>
      <c r="C83" s="20" t="s">
        <v>748</v>
      </c>
      <c r="D83" s="141">
        <v>1990000</v>
      </c>
      <c r="E83" s="20" t="s">
        <v>427</v>
      </c>
      <c r="F83" s="20" t="s">
        <v>492</v>
      </c>
      <c r="G83" s="8" t="str">
        <f t="shared" si="1"/>
        <v>DAVIS WENDY</v>
      </c>
    </row>
    <row r="84" spans="1:7" x14ac:dyDescent="0.25">
      <c r="A84" s="8">
        <v>42890.433240740742</v>
      </c>
      <c r="B84" s="20" t="s">
        <v>378</v>
      </c>
      <c r="C84" s="20" t="s">
        <v>749</v>
      </c>
      <c r="D84" s="141">
        <v>2970000</v>
      </c>
      <c r="E84" s="20" t="s">
        <v>385</v>
      </c>
      <c r="F84" s="20" t="s">
        <v>386</v>
      </c>
      <c r="G84" s="8" t="str">
        <f t="shared" si="1"/>
        <v>GUZMAN DANNY</v>
      </c>
    </row>
    <row r="85" spans="1:7" x14ac:dyDescent="0.25">
      <c r="A85" s="8">
        <v>42890.442777777775</v>
      </c>
      <c r="B85" s="20" t="s">
        <v>405</v>
      </c>
      <c r="C85" s="20" t="s">
        <v>750</v>
      </c>
      <c r="D85" s="141">
        <v>2600000</v>
      </c>
      <c r="E85" s="20" t="s">
        <v>578</v>
      </c>
      <c r="F85" s="20" t="s">
        <v>579</v>
      </c>
      <c r="G85" s="8" t="str">
        <f t="shared" si="1"/>
        <v>DAVIDSON DAVID</v>
      </c>
    </row>
    <row r="86" spans="1:7" x14ac:dyDescent="0.25">
      <c r="A86" s="8">
        <v>42890.443599537037</v>
      </c>
      <c r="B86" s="20" t="s">
        <v>425</v>
      </c>
      <c r="C86" s="20" t="s">
        <v>751</v>
      </c>
      <c r="D86" s="141">
        <v>1100000</v>
      </c>
      <c r="E86" s="20" t="s">
        <v>493</v>
      </c>
      <c r="F86" s="20" t="s">
        <v>494</v>
      </c>
      <c r="G86" s="8" t="str">
        <f t="shared" si="1"/>
        <v>GEBRETEKLE DAGNEW</v>
      </c>
    </row>
    <row r="87" spans="1:7" x14ac:dyDescent="0.25">
      <c r="A87" s="8">
        <v>42890.445868055554</v>
      </c>
      <c r="B87" s="20" t="s">
        <v>412</v>
      </c>
      <c r="C87" s="20" t="s">
        <v>752</v>
      </c>
      <c r="D87" s="141">
        <v>2270000</v>
      </c>
      <c r="E87" s="20" t="s">
        <v>581</v>
      </c>
      <c r="F87" s="20" t="s">
        <v>582</v>
      </c>
      <c r="G87" s="8" t="str">
        <f t="shared" si="1"/>
        <v>BROWN JACOB</v>
      </c>
    </row>
    <row r="88" spans="1:7" x14ac:dyDescent="0.25">
      <c r="A88" s="8">
        <v>42890.455937500003</v>
      </c>
      <c r="B88" s="20" t="s">
        <v>653</v>
      </c>
      <c r="C88" s="20" t="s">
        <v>753</v>
      </c>
      <c r="D88" s="141">
        <v>2560000</v>
      </c>
      <c r="E88" s="20" t="s">
        <v>580</v>
      </c>
      <c r="F88" s="20" t="s">
        <v>372</v>
      </c>
      <c r="G88" s="8" t="str">
        <f t="shared" si="1"/>
        <v>MACDONALD THOMAS</v>
      </c>
    </row>
    <row r="89" spans="1:7" x14ac:dyDescent="0.25">
      <c r="A89" s="8">
        <v>42890.458124999997</v>
      </c>
      <c r="B89" s="20" t="s">
        <v>406</v>
      </c>
      <c r="C89" s="20" t="s">
        <v>754</v>
      </c>
      <c r="D89" s="141">
        <v>2600000</v>
      </c>
      <c r="E89" s="20" t="s">
        <v>578</v>
      </c>
      <c r="F89" s="20" t="s">
        <v>579</v>
      </c>
      <c r="G89" s="8" t="str">
        <f t="shared" si="1"/>
        <v>DAVIDSON DAVID</v>
      </c>
    </row>
    <row r="90" spans="1:7" x14ac:dyDescent="0.25">
      <c r="A90" s="8">
        <v>42890.464062500003</v>
      </c>
      <c r="B90" s="20" t="s">
        <v>572</v>
      </c>
      <c r="C90" s="20" t="s">
        <v>656</v>
      </c>
      <c r="D90" s="141">
        <v>2040000</v>
      </c>
      <c r="E90" s="20" t="s">
        <v>495</v>
      </c>
      <c r="F90" s="20" t="s">
        <v>496</v>
      </c>
      <c r="G90" s="8" t="str">
        <f t="shared" si="1"/>
        <v>MOSES BRADLEY</v>
      </c>
    </row>
    <row r="91" spans="1:7" x14ac:dyDescent="0.25">
      <c r="A91" s="8">
        <v>42890.465254629627</v>
      </c>
      <c r="B91" s="20" t="s">
        <v>375</v>
      </c>
      <c r="C91" s="20" t="s">
        <v>755</v>
      </c>
      <c r="D91" s="141">
        <v>2970000</v>
      </c>
      <c r="E91" s="20" t="s">
        <v>385</v>
      </c>
      <c r="F91" s="20" t="s">
        <v>386</v>
      </c>
      <c r="G91" s="8" t="str">
        <f t="shared" si="1"/>
        <v>GUZMAN DANNY</v>
      </c>
    </row>
    <row r="92" spans="1:7" x14ac:dyDescent="0.25">
      <c r="A92" s="8">
        <v>42890.467442129629</v>
      </c>
      <c r="B92" s="20" t="s">
        <v>491</v>
      </c>
      <c r="C92" s="20" t="s">
        <v>756</v>
      </c>
      <c r="D92" s="141">
        <v>920000</v>
      </c>
      <c r="E92" s="20" t="s">
        <v>427</v>
      </c>
      <c r="F92" s="20" t="s">
        <v>194</v>
      </c>
      <c r="G92" s="8" t="str">
        <f t="shared" si="1"/>
        <v>DAVIS MICHAEL</v>
      </c>
    </row>
    <row r="93" spans="1:7" x14ac:dyDescent="0.25">
      <c r="A93" s="8">
        <v>42890.474872685183</v>
      </c>
      <c r="B93" s="20" t="s">
        <v>570</v>
      </c>
      <c r="C93" s="20" t="s">
        <v>757</v>
      </c>
      <c r="D93" s="141">
        <v>2360000</v>
      </c>
      <c r="E93" s="20" t="s">
        <v>585</v>
      </c>
      <c r="F93" s="20" t="s">
        <v>586</v>
      </c>
      <c r="G93" s="8" t="str">
        <f t="shared" si="1"/>
        <v>BRANDNER MELINDA</v>
      </c>
    </row>
    <row r="94" spans="1:7" x14ac:dyDescent="0.25">
      <c r="A94" s="8">
        <v>42890.483425925922</v>
      </c>
      <c r="B94" s="20" t="s">
        <v>409</v>
      </c>
      <c r="C94" s="20" t="s">
        <v>758</v>
      </c>
      <c r="D94" s="141">
        <v>2270000</v>
      </c>
      <c r="E94" s="20" t="s">
        <v>581</v>
      </c>
      <c r="F94" s="20" t="s">
        <v>582</v>
      </c>
      <c r="G94" s="8" t="str">
        <f t="shared" si="1"/>
        <v>BROWN JACOB</v>
      </c>
    </row>
    <row r="95" spans="1:7" x14ac:dyDescent="0.25">
      <c r="A95" s="8">
        <v>42890.484502314815</v>
      </c>
      <c r="B95" s="20" t="s">
        <v>405</v>
      </c>
      <c r="C95" s="20" t="s">
        <v>759</v>
      </c>
      <c r="D95" s="141">
        <v>2600000</v>
      </c>
      <c r="E95" s="20" t="s">
        <v>578</v>
      </c>
      <c r="F95" s="20" t="s">
        <v>579</v>
      </c>
      <c r="G95" s="8" t="str">
        <f t="shared" si="1"/>
        <v>DAVIDSON DAVID</v>
      </c>
    </row>
    <row r="96" spans="1:7" x14ac:dyDescent="0.25">
      <c r="A96" s="8">
        <v>42890.486643518518</v>
      </c>
      <c r="B96" s="20" t="s">
        <v>362</v>
      </c>
      <c r="C96" s="20" t="s">
        <v>760</v>
      </c>
      <c r="D96" s="141">
        <v>1770000</v>
      </c>
      <c r="E96" s="20" t="s">
        <v>583</v>
      </c>
      <c r="F96" s="20" t="s">
        <v>584</v>
      </c>
      <c r="G96" s="8" t="str">
        <f t="shared" si="1"/>
        <v>BRUDER RICHARD</v>
      </c>
    </row>
    <row r="97" spans="1:7" x14ac:dyDescent="0.25">
      <c r="A97" s="8">
        <v>42890.496018518519</v>
      </c>
      <c r="B97" s="20" t="s">
        <v>649</v>
      </c>
      <c r="C97" s="20" t="s">
        <v>761</v>
      </c>
      <c r="D97" s="141">
        <v>2560000</v>
      </c>
      <c r="E97" s="20" t="s">
        <v>580</v>
      </c>
      <c r="F97" s="20" t="s">
        <v>372</v>
      </c>
      <c r="G97" s="8" t="str">
        <f t="shared" si="1"/>
        <v>MACDONALD THOMAS</v>
      </c>
    </row>
    <row r="98" spans="1:7" x14ac:dyDescent="0.25">
      <c r="A98" s="8">
        <v>42890.498807870368</v>
      </c>
      <c r="B98" s="20" t="s">
        <v>575</v>
      </c>
      <c r="C98" s="20" t="s">
        <v>762</v>
      </c>
      <c r="D98" s="141">
        <v>2040000</v>
      </c>
      <c r="E98" s="20" t="s">
        <v>495</v>
      </c>
      <c r="F98" s="20" t="s">
        <v>496</v>
      </c>
      <c r="G98" s="8" t="str">
        <f t="shared" si="1"/>
        <v>MOSES BRADLEY</v>
      </c>
    </row>
    <row r="99" spans="1:7" x14ac:dyDescent="0.25">
      <c r="A99" s="8">
        <v>42890.500219907408</v>
      </c>
      <c r="B99" s="20" t="s">
        <v>406</v>
      </c>
      <c r="C99" s="20" t="s">
        <v>763</v>
      </c>
      <c r="D99" s="141">
        <v>2600000</v>
      </c>
      <c r="E99" s="20" t="s">
        <v>578</v>
      </c>
      <c r="F99" s="20" t="s">
        <v>579</v>
      </c>
      <c r="G99" s="8" t="str">
        <f t="shared" si="1"/>
        <v>DAVIDSON DAVID</v>
      </c>
    </row>
    <row r="100" spans="1:7" x14ac:dyDescent="0.25">
      <c r="A100" s="8">
        <v>42890.506516203706</v>
      </c>
      <c r="B100" s="20" t="s">
        <v>378</v>
      </c>
      <c r="C100" s="20" t="s">
        <v>657</v>
      </c>
      <c r="D100" s="141">
        <v>2370000</v>
      </c>
      <c r="E100" s="20" t="s">
        <v>497</v>
      </c>
      <c r="F100" s="20" t="s">
        <v>498</v>
      </c>
      <c r="G100" s="8" t="str">
        <f t="shared" si="1"/>
        <v>DELGADO DIANAH</v>
      </c>
    </row>
    <row r="101" spans="1:7" x14ac:dyDescent="0.25">
      <c r="A101" s="8">
        <v>42890.507777777777</v>
      </c>
      <c r="B101" s="20" t="s">
        <v>490</v>
      </c>
      <c r="C101" s="20" t="s">
        <v>764</v>
      </c>
      <c r="D101" s="141">
        <v>920000</v>
      </c>
      <c r="E101" s="20" t="s">
        <v>427</v>
      </c>
      <c r="F101" s="20" t="s">
        <v>194</v>
      </c>
      <c r="G101" s="8" t="str">
        <f t="shared" si="1"/>
        <v>DAVIS MICHAEL</v>
      </c>
    </row>
    <row r="102" spans="1:7" x14ac:dyDescent="0.25">
      <c r="A102" s="8">
        <v>42890.515497685185</v>
      </c>
      <c r="B102" s="20" t="s">
        <v>569</v>
      </c>
      <c r="C102" s="20" t="s">
        <v>765</v>
      </c>
      <c r="D102" s="141">
        <v>2360000</v>
      </c>
      <c r="E102" s="20" t="s">
        <v>585</v>
      </c>
      <c r="F102" s="20" t="s">
        <v>586</v>
      </c>
      <c r="G102" s="8" t="str">
        <f t="shared" si="1"/>
        <v>BRANDNER MELINDA</v>
      </c>
    </row>
    <row r="103" spans="1:7" x14ac:dyDescent="0.25">
      <c r="A103" s="8">
        <v>42890.516562500001</v>
      </c>
      <c r="B103" s="20" t="s">
        <v>412</v>
      </c>
      <c r="C103" s="20" t="s">
        <v>766</v>
      </c>
      <c r="D103" s="141">
        <v>2270000</v>
      </c>
      <c r="E103" s="20" t="s">
        <v>581</v>
      </c>
      <c r="F103" s="20" t="s">
        <v>582</v>
      </c>
      <c r="G103" s="8" t="str">
        <f t="shared" si="1"/>
        <v>BROWN JACOB</v>
      </c>
    </row>
    <row r="104" spans="1:7" x14ac:dyDescent="0.25">
      <c r="A104" s="8">
        <v>42890.524814814817</v>
      </c>
      <c r="B104" s="20" t="s">
        <v>425</v>
      </c>
      <c r="C104" s="20" t="s">
        <v>767</v>
      </c>
      <c r="D104" s="141">
        <v>1770000</v>
      </c>
      <c r="E104" s="20" t="s">
        <v>583</v>
      </c>
      <c r="F104" s="20" t="s">
        <v>584</v>
      </c>
      <c r="G104" s="8" t="str">
        <f t="shared" si="1"/>
        <v>BRUDER RICHARD</v>
      </c>
    </row>
    <row r="105" spans="1:7" x14ac:dyDescent="0.25">
      <c r="A105" s="8">
        <v>42890.525983796295</v>
      </c>
      <c r="B105" s="20" t="s">
        <v>423</v>
      </c>
      <c r="C105" s="20" t="s">
        <v>768</v>
      </c>
      <c r="D105" s="141">
        <v>2470000</v>
      </c>
      <c r="E105" s="20" t="s">
        <v>521</v>
      </c>
      <c r="F105" s="20" t="s">
        <v>522</v>
      </c>
      <c r="G105" s="8" t="str">
        <f t="shared" si="1"/>
        <v>ROMERO CHAD</v>
      </c>
    </row>
    <row r="106" spans="1:7" x14ac:dyDescent="0.25">
      <c r="A106" s="8">
        <v>42890.526307870372</v>
      </c>
      <c r="B106" s="20" t="s">
        <v>405</v>
      </c>
      <c r="C106" s="20" t="s">
        <v>769</v>
      </c>
      <c r="D106" s="141">
        <v>2600000</v>
      </c>
      <c r="E106" s="20" t="s">
        <v>578</v>
      </c>
      <c r="F106" s="20" t="s">
        <v>579</v>
      </c>
      <c r="G106" s="8" t="str">
        <f t="shared" si="1"/>
        <v>DAVIDSON DAVID</v>
      </c>
    </row>
    <row r="107" spans="1:7" x14ac:dyDescent="0.25">
      <c r="A107" s="8">
        <v>42890.528356481482</v>
      </c>
      <c r="B107" s="20" t="s">
        <v>653</v>
      </c>
      <c r="C107" s="20" t="s">
        <v>659</v>
      </c>
      <c r="D107" s="141">
        <v>2540000</v>
      </c>
      <c r="E107" s="20" t="s">
        <v>587</v>
      </c>
      <c r="F107" s="20" t="s">
        <v>588</v>
      </c>
      <c r="G107" s="8" t="str">
        <f t="shared" si="1"/>
        <v>MCREYNOLDS KYLE</v>
      </c>
    </row>
    <row r="108" spans="1:7" x14ac:dyDescent="0.25">
      <c r="A108" s="8">
        <v>42890.529120370367</v>
      </c>
      <c r="B108" s="20" t="s">
        <v>435</v>
      </c>
      <c r="C108" s="20" t="s">
        <v>768</v>
      </c>
      <c r="D108" s="141">
        <v>2470000</v>
      </c>
      <c r="E108" s="20" t="s">
        <v>521</v>
      </c>
      <c r="F108" s="20" t="s">
        <v>522</v>
      </c>
      <c r="G108" s="8" t="str">
        <f t="shared" si="1"/>
        <v>ROMERO CHAD</v>
      </c>
    </row>
    <row r="109" spans="1:7" x14ac:dyDescent="0.25">
      <c r="A109" s="8">
        <v>42890.535787037035</v>
      </c>
      <c r="B109" s="20" t="s">
        <v>572</v>
      </c>
      <c r="C109" s="20" t="s">
        <v>770</v>
      </c>
      <c r="D109" s="141">
        <v>2040000</v>
      </c>
      <c r="E109" s="20" t="s">
        <v>495</v>
      </c>
      <c r="F109" s="20" t="s">
        <v>496</v>
      </c>
      <c r="G109" s="8" t="str">
        <f t="shared" si="1"/>
        <v>MOSES BRADLEY</v>
      </c>
    </row>
    <row r="110" spans="1:7" x14ac:dyDescent="0.25">
      <c r="A110" s="8">
        <v>42890.53733796296</v>
      </c>
      <c r="B110" s="20" t="s">
        <v>423</v>
      </c>
      <c r="C110" s="20" t="s">
        <v>660</v>
      </c>
      <c r="D110" s="141">
        <v>2470000</v>
      </c>
      <c r="E110" s="20" t="s">
        <v>521</v>
      </c>
      <c r="F110" s="20" t="s">
        <v>522</v>
      </c>
      <c r="G110" s="8" t="str">
        <f t="shared" si="1"/>
        <v>ROMERO CHAD</v>
      </c>
    </row>
    <row r="111" spans="1:7" x14ac:dyDescent="0.25">
      <c r="A111" s="8">
        <v>42890.541273148148</v>
      </c>
      <c r="B111" s="20" t="s">
        <v>406</v>
      </c>
      <c r="C111" s="20" t="s">
        <v>771</v>
      </c>
      <c r="D111" s="141">
        <v>2600000</v>
      </c>
      <c r="E111" s="20" t="s">
        <v>578</v>
      </c>
      <c r="F111" s="20" t="s">
        <v>579</v>
      </c>
      <c r="G111" s="8" t="str">
        <f t="shared" si="1"/>
        <v>DAVIDSON DAVID</v>
      </c>
    </row>
    <row r="112" spans="1:7" x14ac:dyDescent="0.25">
      <c r="A112" s="8">
        <v>42890.54310185185</v>
      </c>
      <c r="B112" s="20" t="s">
        <v>375</v>
      </c>
      <c r="C112" s="20" t="s">
        <v>658</v>
      </c>
      <c r="D112" s="141">
        <v>2370000</v>
      </c>
      <c r="E112" s="20" t="s">
        <v>497</v>
      </c>
      <c r="F112" s="20" t="s">
        <v>498</v>
      </c>
      <c r="G112" s="8" t="str">
        <f t="shared" si="1"/>
        <v>DELGADO DIANAH</v>
      </c>
    </row>
    <row r="113" spans="1:7" x14ac:dyDescent="0.25">
      <c r="A113" s="8">
        <v>42890.548541666663</v>
      </c>
      <c r="B113" s="20" t="s">
        <v>570</v>
      </c>
      <c r="C113" s="20" t="s">
        <v>772</v>
      </c>
      <c r="D113" s="141">
        <v>2360000</v>
      </c>
      <c r="E113" s="20" t="s">
        <v>585</v>
      </c>
      <c r="F113" s="20" t="s">
        <v>586</v>
      </c>
      <c r="G113" s="8" t="str">
        <f t="shared" si="1"/>
        <v>BRANDNER MELINDA</v>
      </c>
    </row>
    <row r="114" spans="1:7" x14ac:dyDescent="0.25">
      <c r="A114" s="8">
        <v>42890.551655092589</v>
      </c>
      <c r="B114" s="20" t="s">
        <v>409</v>
      </c>
      <c r="C114" s="20" t="s">
        <v>661</v>
      </c>
      <c r="D114" s="141">
        <v>2270000</v>
      </c>
      <c r="E114" s="20" t="s">
        <v>581</v>
      </c>
      <c r="F114" s="20" t="s">
        <v>582</v>
      </c>
      <c r="G114" s="8" t="str">
        <f t="shared" si="1"/>
        <v>BROWN JACOB</v>
      </c>
    </row>
    <row r="115" spans="1:7" x14ac:dyDescent="0.25">
      <c r="A115" s="8">
        <v>42890.557442129626</v>
      </c>
      <c r="B115" s="20" t="s">
        <v>362</v>
      </c>
      <c r="C115" s="20" t="s">
        <v>773</v>
      </c>
      <c r="D115" s="141">
        <v>1770000</v>
      </c>
      <c r="E115" s="20" t="s">
        <v>583</v>
      </c>
      <c r="F115" s="20" t="s">
        <v>584</v>
      </c>
      <c r="G115" s="8" t="str">
        <f t="shared" si="1"/>
        <v>BRUDER RICHARD</v>
      </c>
    </row>
    <row r="116" spans="1:7" x14ac:dyDescent="0.25">
      <c r="A116" s="8">
        <v>42890.56622685185</v>
      </c>
      <c r="B116" s="20" t="s">
        <v>649</v>
      </c>
      <c r="C116" s="20" t="s">
        <v>774</v>
      </c>
      <c r="D116" s="141">
        <v>2540000</v>
      </c>
      <c r="E116" s="20" t="s">
        <v>587</v>
      </c>
      <c r="F116" s="20" t="s">
        <v>588</v>
      </c>
      <c r="G116" s="8" t="str">
        <f t="shared" si="1"/>
        <v>MCREYNOLDS KYLE</v>
      </c>
    </row>
    <row r="117" spans="1:7" x14ac:dyDescent="0.25">
      <c r="A117" s="8">
        <v>42890.567719907405</v>
      </c>
      <c r="B117" s="20" t="s">
        <v>405</v>
      </c>
      <c r="C117" s="20" t="s">
        <v>775</v>
      </c>
      <c r="D117" s="141">
        <v>2600000</v>
      </c>
      <c r="E117" s="20" t="s">
        <v>578</v>
      </c>
      <c r="F117" s="20" t="s">
        <v>579</v>
      </c>
      <c r="G117" s="8" t="str">
        <f t="shared" si="1"/>
        <v>DAVIDSON DAVID</v>
      </c>
    </row>
    <row r="118" spans="1:7" x14ac:dyDescent="0.25">
      <c r="A118" s="8">
        <v>42890.568437499998</v>
      </c>
      <c r="B118" s="20" t="s">
        <v>435</v>
      </c>
      <c r="C118" s="20" t="s">
        <v>776</v>
      </c>
      <c r="D118" s="141">
        <v>2470000</v>
      </c>
      <c r="E118" s="20" t="s">
        <v>521</v>
      </c>
      <c r="F118" s="20" t="s">
        <v>522</v>
      </c>
      <c r="G118" s="8" t="str">
        <f t="shared" si="1"/>
        <v>ROMERO CHAD</v>
      </c>
    </row>
    <row r="119" spans="1:7" x14ac:dyDescent="0.25">
      <c r="A119" s="8">
        <v>42890.570254629631</v>
      </c>
      <c r="B119" s="20" t="s">
        <v>575</v>
      </c>
      <c r="C119" s="20" t="s">
        <v>777</v>
      </c>
      <c r="D119" s="141">
        <v>2040000</v>
      </c>
      <c r="E119" s="20" t="s">
        <v>495</v>
      </c>
      <c r="F119" s="20" t="s">
        <v>496</v>
      </c>
      <c r="G119" s="8" t="str">
        <f t="shared" si="1"/>
        <v>MOSES BRADLEY</v>
      </c>
    </row>
    <row r="120" spans="1:7" x14ac:dyDescent="0.25">
      <c r="A120" s="8">
        <v>42890.57916666667</v>
      </c>
      <c r="B120" s="20" t="s">
        <v>378</v>
      </c>
      <c r="C120" s="20" t="s">
        <v>778</v>
      </c>
      <c r="D120" s="141">
        <v>2370000</v>
      </c>
      <c r="E120" s="20" t="s">
        <v>497</v>
      </c>
      <c r="F120" s="20" t="s">
        <v>498</v>
      </c>
      <c r="G120" s="8" t="str">
        <f t="shared" si="1"/>
        <v>DELGADO DIANAH</v>
      </c>
    </row>
    <row r="121" spans="1:7" x14ac:dyDescent="0.25">
      <c r="A121" s="8">
        <v>42890.5856712963</v>
      </c>
      <c r="B121" s="20" t="s">
        <v>406</v>
      </c>
      <c r="C121" s="20" t="s">
        <v>662</v>
      </c>
      <c r="D121" s="141">
        <v>2420000</v>
      </c>
      <c r="E121" s="20" t="s">
        <v>499</v>
      </c>
      <c r="F121" s="20" t="s">
        <v>500</v>
      </c>
      <c r="G121" s="8" t="str">
        <f t="shared" si="1"/>
        <v>HOLCOMB KAMDEN</v>
      </c>
    </row>
    <row r="122" spans="1:7" x14ac:dyDescent="0.25">
      <c r="A122" s="8">
        <v>42890.589050925926</v>
      </c>
      <c r="B122" s="25" t="s">
        <v>569</v>
      </c>
      <c r="C122" s="20" t="s">
        <v>779</v>
      </c>
      <c r="D122" s="141">
        <v>2360000</v>
      </c>
      <c r="E122" s="20" t="s">
        <v>585</v>
      </c>
      <c r="F122" s="20" t="s">
        <v>586</v>
      </c>
      <c r="G122" s="8" t="str">
        <f t="shared" si="1"/>
        <v>BRANDNER MELINDA</v>
      </c>
    </row>
    <row r="123" spans="1:7" x14ac:dyDescent="0.25">
      <c r="A123" s="8">
        <v>42890.591921296298</v>
      </c>
      <c r="B123" s="20" t="s">
        <v>412</v>
      </c>
      <c r="C123" s="20" t="s">
        <v>780</v>
      </c>
      <c r="D123" s="141">
        <v>2270000</v>
      </c>
      <c r="E123" s="20" t="s">
        <v>581</v>
      </c>
      <c r="F123" s="20" t="s">
        <v>582</v>
      </c>
      <c r="G123" s="8" t="str">
        <f t="shared" si="1"/>
        <v>BROWN JACOB</v>
      </c>
    </row>
    <row r="124" spans="1:7" x14ac:dyDescent="0.25">
      <c r="A124" s="8">
        <v>42890.597337962965</v>
      </c>
      <c r="B124" s="20" t="s">
        <v>425</v>
      </c>
      <c r="C124" s="20" t="s">
        <v>781</v>
      </c>
      <c r="D124" s="141">
        <v>1770000</v>
      </c>
      <c r="E124" s="20" t="s">
        <v>583</v>
      </c>
      <c r="F124" s="20" t="s">
        <v>584</v>
      </c>
      <c r="G124" s="8" t="str">
        <f t="shared" si="1"/>
        <v>BRUDER RICHARD</v>
      </c>
    </row>
    <row r="125" spans="1:7" x14ac:dyDescent="0.25">
      <c r="A125" s="8">
        <v>42890.599733796298</v>
      </c>
      <c r="B125" s="20" t="s">
        <v>653</v>
      </c>
      <c r="C125" s="20" t="s">
        <v>782</v>
      </c>
      <c r="D125" s="141">
        <v>2540000</v>
      </c>
      <c r="E125" s="20" t="s">
        <v>587</v>
      </c>
      <c r="F125" s="20" t="s">
        <v>588</v>
      </c>
      <c r="G125" s="8" t="str">
        <f t="shared" si="1"/>
        <v>MCREYNOLDS KYLE</v>
      </c>
    </row>
    <row r="126" spans="1:7" x14ac:dyDescent="0.25">
      <c r="A126" s="8">
        <v>42890.608657407407</v>
      </c>
      <c r="B126" s="20" t="s">
        <v>572</v>
      </c>
      <c r="C126" s="20" t="s">
        <v>783</v>
      </c>
      <c r="D126" s="141">
        <v>2040000</v>
      </c>
      <c r="E126" s="20" t="s">
        <v>495</v>
      </c>
      <c r="F126" s="20" t="s">
        <v>496</v>
      </c>
      <c r="G126" s="8" t="str">
        <f t="shared" si="1"/>
        <v>MOSES BRADLEY</v>
      </c>
    </row>
    <row r="127" spans="1:7" x14ac:dyDescent="0.25">
      <c r="A127" s="8">
        <v>42890.609942129631</v>
      </c>
      <c r="B127" s="20" t="s">
        <v>423</v>
      </c>
      <c r="C127" s="20" t="s">
        <v>784</v>
      </c>
      <c r="D127" s="141">
        <v>920000</v>
      </c>
      <c r="E127" s="20" t="s">
        <v>427</v>
      </c>
      <c r="F127" s="20" t="s">
        <v>194</v>
      </c>
      <c r="G127" s="8" t="str">
        <f t="shared" si="1"/>
        <v>DAVIS MICHAEL</v>
      </c>
    </row>
    <row r="128" spans="1:7" x14ac:dyDescent="0.25">
      <c r="A128" s="8">
        <v>42890.610231481478</v>
      </c>
      <c r="B128" s="20" t="s">
        <v>405</v>
      </c>
      <c r="C128" s="20" t="s">
        <v>785</v>
      </c>
      <c r="D128" s="141">
        <v>2420000</v>
      </c>
      <c r="E128" s="20" t="s">
        <v>499</v>
      </c>
      <c r="F128" s="20" t="s">
        <v>500</v>
      </c>
      <c r="G128" s="8" t="str">
        <f t="shared" si="1"/>
        <v>HOLCOMB KAMDEN</v>
      </c>
    </row>
    <row r="129" spans="1:7" x14ac:dyDescent="0.25">
      <c r="A129" s="8">
        <v>42890.614942129629</v>
      </c>
      <c r="B129" s="20" t="s">
        <v>375</v>
      </c>
      <c r="C129" s="20" t="s">
        <v>786</v>
      </c>
      <c r="D129" s="141">
        <v>2370000</v>
      </c>
      <c r="E129" s="20" t="s">
        <v>497</v>
      </c>
      <c r="F129" s="20" t="s">
        <v>498</v>
      </c>
      <c r="G129" s="8" t="str">
        <f t="shared" si="1"/>
        <v>DELGADO DIANAH</v>
      </c>
    </row>
    <row r="130" spans="1:7" x14ac:dyDescent="0.25">
      <c r="A130" s="8">
        <v>42890.621840277781</v>
      </c>
      <c r="B130" s="20" t="s">
        <v>570</v>
      </c>
      <c r="C130" s="20" t="s">
        <v>663</v>
      </c>
      <c r="D130" s="141">
        <v>2360000</v>
      </c>
      <c r="E130" s="20" t="s">
        <v>585</v>
      </c>
      <c r="F130" s="20" t="s">
        <v>586</v>
      </c>
      <c r="G130" s="8" t="str">
        <f t="shared" si="1"/>
        <v>BRANDNER MELINDA</v>
      </c>
    </row>
    <row r="131" spans="1:7" x14ac:dyDescent="0.25">
      <c r="A131" s="8">
        <v>42890.628819444442</v>
      </c>
      <c r="B131" s="20" t="s">
        <v>409</v>
      </c>
      <c r="C131" s="20" t="s">
        <v>787</v>
      </c>
      <c r="D131" s="141">
        <v>2270000</v>
      </c>
      <c r="E131" s="20" t="s">
        <v>581</v>
      </c>
      <c r="F131" s="20" t="s">
        <v>582</v>
      </c>
      <c r="G131" s="8" t="str">
        <f t="shared" ref="G131:G194" si="2">E131&amp;" "&amp;F131</f>
        <v>BROWN JACOB</v>
      </c>
    </row>
    <row r="132" spans="1:7" x14ac:dyDescent="0.25">
      <c r="A132" s="8">
        <v>42890.631226851852</v>
      </c>
      <c r="B132" s="20" t="s">
        <v>362</v>
      </c>
      <c r="C132" s="20" t="s">
        <v>788</v>
      </c>
      <c r="D132" s="141">
        <v>1770000</v>
      </c>
      <c r="E132" s="20" t="s">
        <v>583</v>
      </c>
      <c r="F132" s="20" t="s">
        <v>584</v>
      </c>
      <c r="G132" s="8" t="str">
        <f t="shared" si="2"/>
        <v>BRUDER RICHARD</v>
      </c>
    </row>
    <row r="133" spans="1:7" x14ac:dyDescent="0.25">
      <c r="A133" s="8">
        <v>42890.637916666667</v>
      </c>
      <c r="B133" s="20" t="s">
        <v>649</v>
      </c>
      <c r="C133" s="20" t="s">
        <v>789</v>
      </c>
      <c r="D133" s="141">
        <v>2540000</v>
      </c>
      <c r="E133" s="20" t="s">
        <v>587</v>
      </c>
      <c r="F133" s="20" t="s">
        <v>588</v>
      </c>
      <c r="G133" s="8" t="str">
        <f t="shared" si="2"/>
        <v>MCREYNOLDS KYLE</v>
      </c>
    </row>
    <row r="134" spans="1:7" x14ac:dyDescent="0.25">
      <c r="A134" s="8">
        <v>42890.638784722221</v>
      </c>
      <c r="B134" s="20" t="s">
        <v>406</v>
      </c>
      <c r="C134" s="20" t="s">
        <v>790</v>
      </c>
      <c r="D134" s="141">
        <v>2420000</v>
      </c>
      <c r="E134" s="20" t="s">
        <v>499</v>
      </c>
      <c r="F134" s="20" t="s">
        <v>500</v>
      </c>
      <c r="G134" s="8" t="str">
        <f t="shared" si="2"/>
        <v>HOLCOMB KAMDEN</v>
      </c>
    </row>
    <row r="135" spans="1:7" x14ac:dyDescent="0.25">
      <c r="A135" s="8">
        <v>42890.64335648148</v>
      </c>
      <c r="B135" s="20" t="s">
        <v>575</v>
      </c>
      <c r="C135" s="20" t="s">
        <v>791</v>
      </c>
      <c r="D135" s="141">
        <v>2040000</v>
      </c>
      <c r="E135" s="20" t="s">
        <v>495</v>
      </c>
      <c r="F135" s="20" t="s">
        <v>496</v>
      </c>
      <c r="G135" s="8" t="str">
        <f t="shared" si="2"/>
        <v>MOSES BRADLEY</v>
      </c>
    </row>
    <row r="136" spans="1:7" x14ac:dyDescent="0.25">
      <c r="A136" s="8">
        <v>42890.648530092592</v>
      </c>
      <c r="B136" s="20" t="s">
        <v>491</v>
      </c>
      <c r="C136" s="20" t="s">
        <v>792</v>
      </c>
      <c r="D136" s="141">
        <v>2140000</v>
      </c>
      <c r="E136" s="20" t="s">
        <v>421</v>
      </c>
      <c r="F136" s="20" t="s">
        <v>422</v>
      </c>
      <c r="G136" s="8" t="str">
        <f t="shared" si="2"/>
        <v>ROBINSON KADDIBA</v>
      </c>
    </row>
    <row r="137" spans="1:7" x14ac:dyDescent="0.25">
      <c r="A137" s="8">
        <v>42890.650775462964</v>
      </c>
      <c r="B137" s="20" t="s">
        <v>405</v>
      </c>
      <c r="C137" s="20" t="s">
        <v>664</v>
      </c>
      <c r="D137" s="141">
        <v>2420000</v>
      </c>
      <c r="E137" s="20" t="s">
        <v>499</v>
      </c>
      <c r="F137" s="20" t="s">
        <v>500</v>
      </c>
      <c r="G137" s="8" t="str">
        <f t="shared" si="2"/>
        <v>HOLCOMB KAMDEN</v>
      </c>
    </row>
    <row r="138" spans="1:7" x14ac:dyDescent="0.25">
      <c r="A138" s="8">
        <v>42890.651585648149</v>
      </c>
      <c r="B138" s="20" t="s">
        <v>378</v>
      </c>
      <c r="C138" s="20" t="s">
        <v>793</v>
      </c>
      <c r="D138" s="141">
        <v>2470000</v>
      </c>
      <c r="E138" s="20" t="s">
        <v>521</v>
      </c>
      <c r="F138" s="20" t="s">
        <v>522</v>
      </c>
      <c r="G138" s="8" t="str">
        <f t="shared" si="2"/>
        <v>ROMERO CHAD</v>
      </c>
    </row>
    <row r="139" spans="1:7" x14ac:dyDescent="0.25">
      <c r="A139" s="8">
        <v>42890.652708333335</v>
      </c>
      <c r="B139" s="20" t="s">
        <v>435</v>
      </c>
      <c r="C139" s="20" t="s">
        <v>794</v>
      </c>
      <c r="D139" s="141">
        <v>920000</v>
      </c>
      <c r="E139" s="20" t="s">
        <v>427</v>
      </c>
      <c r="F139" s="20" t="s">
        <v>194</v>
      </c>
      <c r="G139" s="8" t="str">
        <f t="shared" si="2"/>
        <v>DAVIS MICHAEL</v>
      </c>
    </row>
    <row r="140" spans="1:7" x14ac:dyDescent="0.25">
      <c r="A140" s="8">
        <v>42890.660520833335</v>
      </c>
      <c r="B140" s="20" t="s">
        <v>569</v>
      </c>
      <c r="C140" s="20" t="s">
        <v>795</v>
      </c>
      <c r="D140" s="141">
        <v>2360000</v>
      </c>
      <c r="E140" s="20" t="s">
        <v>585</v>
      </c>
      <c r="F140" s="20" t="s">
        <v>586</v>
      </c>
      <c r="G140" s="8" t="str">
        <f t="shared" si="2"/>
        <v>BRANDNER MELINDA</v>
      </c>
    </row>
    <row r="141" spans="1:7" x14ac:dyDescent="0.25">
      <c r="A141" s="8">
        <v>42890.665972222225</v>
      </c>
      <c r="B141" s="20" t="s">
        <v>412</v>
      </c>
      <c r="C141" s="20" t="s">
        <v>796</v>
      </c>
      <c r="D141" s="141">
        <v>2270000</v>
      </c>
      <c r="E141" s="20" t="s">
        <v>581</v>
      </c>
      <c r="F141" s="20" t="s">
        <v>582</v>
      </c>
      <c r="G141" s="8" t="str">
        <f t="shared" si="2"/>
        <v>BROWN JACOB</v>
      </c>
    </row>
    <row r="142" spans="1:7" x14ac:dyDescent="0.25">
      <c r="A142" s="8">
        <v>42890.670474537037</v>
      </c>
      <c r="B142" s="20" t="s">
        <v>425</v>
      </c>
      <c r="C142" s="20" t="s">
        <v>797</v>
      </c>
      <c r="D142" s="141">
        <v>1770000</v>
      </c>
      <c r="E142" s="20" t="s">
        <v>583</v>
      </c>
      <c r="F142" s="20" t="s">
        <v>584</v>
      </c>
      <c r="G142" s="8" t="str">
        <f t="shared" si="2"/>
        <v>BRUDER RICHARD</v>
      </c>
    </row>
    <row r="143" spans="1:7" x14ac:dyDescent="0.25">
      <c r="A143" s="8">
        <v>42890.671990740739</v>
      </c>
      <c r="B143" s="20" t="s">
        <v>653</v>
      </c>
      <c r="C143" s="20" t="s">
        <v>798</v>
      </c>
      <c r="D143" s="141">
        <v>2540000</v>
      </c>
      <c r="E143" s="20" t="s">
        <v>587</v>
      </c>
      <c r="F143" s="20" t="s">
        <v>588</v>
      </c>
      <c r="G143" s="8" t="str">
        <f t="shared" si="2"/>
        <v>MCREYNOLDS KYLE</v>
      </c>
    </row>
    <row r="144" spans="1:7" x14ac:dyDescent="0.25">
      <c r="A144" s="8">
        <v>42890.673483796294</v>
      </c>
      <c r="B144" s="20" t="s">
        <v>469</v>
      </c>
      <c r="C144" s="20" t="s">
        <v>665</v>
      </c>
      <c r="D144" s="141">
        <v>2550000</v>
      </c>
      <c r="E144" s="20" t="s">
        <v>503</v>
      </c>
      <c r="F144" s="20" t="s">
        <v>504</v>
      </c>
      <c r="G144" s="8" t="str">
        <f t="shared" si="2"/>
        <v>BADERTSCHER DIANE</v>
      </c>
    </row>
    <row r="145" spans="1:7" x14ac:dyDescent="0.25">
      <c r="A145" s="8">
        <v>42890.68074074074</v>
      </c>
      <c r="B145" s="20" t="s">
        <v>406</v>
      </c>
      <c r="C145" s="20" t="s">
        <v>799</v>
      </c>
      <c r="D145" s="141">
        <v>2420000</v>
      </c>
      <c r="E145" s="20" t="s">
        <v>499</v>
      </c>
      <c r="F145" s="20" t="s">
        <v>500</v>
      </c>
      <c r="G145" s="8" t="str">
        <f t="shared" si="2"/>
        <v>HOLCOMB KAMDEN</v>
      </c>
    </row>
    <row r="146" spans="1:7" x14ac:dyDescent="0.25">
      <c r="A146" s="8">
        <v>42890.682314814818</v>
      </c>
      <c r="B146" s="20" t="s">
        <v>572</v>
      </c>
      <c r="C146" s="20" t="s">
        <v>800</v>
      </c>
      <c r="D146" s="141">
        <v>2040000</v>
      </c>
      <c r="E146" s="20" t="s">
        <v>495</v>
      </c>
      <c r="F146" s="20" t="s">
        <v>496</v>
      </c>
      <c r="G146" s="8" t="str">
        <f t="shared" si="2"/>
        <v>MOSES BRADLEY</v>
      </c>
    </row>
    <row r="147" spans="1:7" x14ac:dyDescent="0.25">
      <c r="A147" s="8">
        <v>42890.684351851851</v>
      </c>
      <c r="B147" s="20" t="s">
        <v>375</v>
      </c>
      <c r="C147" s="20" t="s">
        <v>801</v>
      </c>
      <c r="D147" s="141">
        <v>2470000</v>
      </c>
      <c r="E147" s="20" t="s">
        <v>521</v>
      </c>
      <c r="F147" s="20" t="s">
        <v>522</v>
      </c>
      <c r="G147" s="8" t="str">
        <f t="shared" si="2"/>
        <v>ROMERO CHAD</v>
      </c>
    </row>
    <row r="148" spans="1:7" x14ac:dyDescent="0.25">
      <c r="A148" s="8">
        <v>42890.685300925928</v>
      </c>
      <c r="B148" s="20" t="s">
        <v>423</v>
      </c>
      <c r="C148" s="20" t="s">
        <v>802</v>
      </c>
      <c r="D148" s="141">
        <v>920000</v>
      </c>
      <c r="E148" s="20" t="s">
        <v>427</v>
      </c>
      <c r="F148" s="20" t="s">
        <v>194</v>
      </c>
      <c r="G148" s="8" t="str">
        <f t="shared" si="2"/>
        <v>DAVIS MICHAEL</v>
      </c>
    </row>
    <row r="149" spans="1:7" x14ac:dyDescent="0.25">
      <c r="A149" s="8">
        <v>42890.693298611113</v>
      </c>
      <c r="B149" s="20" t="s">
        <v>405</v>
      </c>
      <c r="C149" s="20" t="s">
        <v>667</v>
      </c>
      <c r="D149" s="141">
        <v>2420000</v>
      </c>
      <c r="E149" s="20" t="s">
        <v>499</v>
      </c>
      <c r="F149" s="20" t="s">
        <v>500</v>
      </c>
      <c r="G149" s="8" t="str">
        <f t="shared" si="2"/>
        <v>HOLCOMB KAMDEN</v>
      </c>
    </row>
    <row r="150" spans="1:7" x14ac:dyDescent="0.25">
      <c r="A150" s="8">
        <v>42890.694872685184</v>
      </c>
      <c r="B150" s="20" t="s">
        <v>570</v>
      </c>
      <c r="C150" s="20" t="s">
        <v>666</v>
      </c>
      <c r="D150" s="141">
        <v>2360000</v>
      </c>
      <c r="E150" s="20" t="s">
        <v>585</v>
      </c>
      <c r="F150" s="20" t="s">
        <v>586</v>
      </c>
      <c r="G150" s="8" t="str">
        <f t="shared" si="2"/>
        <v>BRANDNER MELINDA</v>
      </c>
    </row>
    <row r="151" spans="1:7" x14ac:dyDescent="0.25">
      <c r="A151" s="8">
        <v>42890.700740740744</v>
      </c>
      <c r="B151" s="20" t="s">
        <v>409</v>
      </c>
      <c r="C151" s="20" t="s">
        <v>803</v>
      </c>
      <c r="D151" s="141">
        <v>2270000</v>
      </c>
      <c r="E151" s="20" t="s">
        <v>581</v>
      </c>
      <c r="F151" s="20" t="s">
        <v>582</v>
      </c>
      <c r="G151" s="8" t="str">
        <f t="shared" si="2"/>
        <v>BROWN JACOB</v>
      </c>
    </row>
    <row r="152" spans="1:7" x14ac:dyDescent="0.25">
      <c r="A152" s="8">
        <v>42890.703298611108</v>
      </c>
      <c r="B152" s="20" t="s">
        <v>649</v>
      </c>
      <c r="C152" s="20" t="s">
        <v>668</v>
      </c>
      <c r="D152" s="141">
        <v>2540000</v>
      </c>
      <c r="E152" s="20" t="s">
        <v>587</v>
      </c>
      <c r="F152" s="20" t="s">
        <v>588</v>
      </c>
      <c r="G152" s="8" t="str">
        <f t="shared" si="2"/>
        <v>MCREYNOLDS KYLE</v>
      </c>
    </row>
    <row r="153" spans="1:7" x14ac:dyDescent="0.25">
      <c r="A153" s="8">
        <v>42890.704409722224</v>
      </c>
      <c r="B153" s="20" t="s">
        <v>362</v>
      </c>
      <c r="C153" s="20" t="s">
        <v>804</v>
      </c>
      <c r="D153" s="141">
        <v>1770000</v>
      </c>
      <c r="E153" s="20" t="s">
        <v>583</v>
      </c>
      <c r="F153" s="20" t="s">
        <v>584</v>
      </c>
      <c r="G153" s="8" t="str">
        <f t="shared" si="2"/>
        <v>BRUDER RICHARD</v>
      </c>
    </row>
    <row r="154" spans="1:7" x14ac:dyDescent="0.25">
      <c r="A154" s="8">
        <v>42890.715289351851</v>
      </c>
      <c r="B154" s="20" t="s">
        <v>575</v>
      </c>
      <c r="C154" s="20" t="s">
        <v>805</v>
      </c>
      <c r="D154" s="141">
        <v>2000000</v>
      </c>
      <c r="E154" s="20" t="s">
        <v>426</v>
      </c>
      <c r="F154" s="20" t="s">
        <v>191</v>
      </c>
      <c r="G154" s="8" t="str">
        <f t="shared" si="2"/>
        <v>STAMBAUGH JAMES</v>
      </c>
    </row>
    <row r="155" spans="1:7" x14ac:dyDescent="0.25">
      <c r="A155" s="8">
        <v>42890.722673611112</v>
      </c>
      <c r="B155" s="20" t="s">
        <v>406</v>
      </c>
      <c r="C155" s="20" t="s">
        <v>669</v>
      </c>
      <c r="D155" s="141">
        <v>2420000</v>
      </c>
      <c r="E155" s="20" t="s">
        <v>499</v>
      </c>
      <c r="F155" s="20" t="s">
        <v>500</v>
      </c>
      <c r="G155" s="8" t="str">
        <f t="shared" si="2"/>
        <v>HOLCOMB KAMDEN</v>
      </c>
    </row>
    <row r="156" spans="1:7" x14ac:dyDescent="0.25">
      <c r="A156" s="8">
        <v>42890.723217592589</v>
      </c>
      <c r="B156" s="20" t="s">
        <v>806</v>
      </c>
      <c r="C156" s="20" t="s">
        <v>807</v>
      </c>
      <c r="D156" s="141">
        <v>2260000</v>
      </c>
      <c r="E156" s="20" t="s">
        <v>573</v>
      </c>
      <c r="F156" s="20" t="s">
        <v>574</v>
      </c>
      <c r="G156" s="8" t="str">
        <f t="shared" si="2"/>
        <v>ARVIDSON DANIEL</v>
      </c>
    </row>
    <row r="157" spans="1:7" x14ac:dyDescent="0.25">
      <c r="A157" s="8">
        <v>42890.724247685182</v>
      </c>
      <c r="B157" s="20" t="s">
        <v>378</v>
      </c>
      <c r="C157" s="20" t="s">
        <v>801</v>
      </c>
      <c r="D157" s="141">
        <v>2470000</v>
      </c>
      <c r="E157" s="20" t="s">
        <v>521</v>
      </c>
      <c r="F157" s="20" t="s">
        <v>522</v>
      </c>
      <c r="G157" s="8" t="str">
        <f t="shared" si="2"/>
        <v>ROMERO CHAD</v>
      </c>
    </row>
    <row r="158" spans="1:7" x14ac:dyDescent="0.25">
      <c r="A158" s="8">
        <v>42890.724918981483</v>
      </c>
      <c r="B158" s="20" t="s">
        <v>378</v>
      </c>
      <c r="C158" s="20" t="s">
        <v>672</v>
      </c>
      <c r="D158" s="141">
        <v>2370000</v>
      </c>
      <c r="E158" s="20" t="s">
        <v>497</v>
      </c>
      <c r="F158" s="20" t="s">
        <v>498</v>
      </c>
      <c r="G158" s="8" t="str">
        <f t="shared" si="2"/>
        <v>DELGADO DIANAH</v>
      </c>
    </row>
    <row r="159" spans="1:7" x14ac:dyDescent="0.25">
      <c r="A159" s="8">
        <v>42890.72552083333</v>
      </c>
      <c r="B159" s="20" t="s">
        <v>435</v>
      </c>
      <c r="C159" s="20" t="s">
        <v>671</v>
      </c>
      <c r="D159" s="141">
        <v>920000</v>
      </c>
      <c r="E159" s="20" t="s">
        <v>427</v>
      </c>
      <c r="F159" s="20" t="s">
        <v>194</v>
      </c>
      <c r="G159" s="8" t="str">
        <f t="shared" si="2"/>
        <v>DAVIS MICHAEL</v>
      </c>
    </row>
    <row r="160" spans="1:7" x14ac:dyDescent="0.25">
      <c r="A160" s="8">
        <v>42890.735208333332</v>
      </c>
      <c r="B160" s="20" t="s">
        <v>569</v>
      </c>
      <c r="C160" s="20" t="s">
        <v>808</v>
      </c>
      <c r="D160" s="141">
        <v>2360000</v>
      </c>
      <c r="E160" s="20" t="s">
        <v>585</v>
      </c>
      <c r="F160" s="20" t="s">
        <v>586</v>
      </c>
      <c r="G160" s="8" t="str">
        <f t="shared" si="2"/>
        <v>BRANDNER MELINDA</v>
      </c>
    </row>
    <row r="161" spans="1:7" x14ac:dyDescent="0.25">
      <c r="A161" s="8">
        <v>42890.73542824074</v>
      </c>
      <c r="B161" s="20" t="s">
        <v>405</v>
      </c>
      <c r="C161" s="20" t="s">
        <v>670</v>
      </c>
      <c r="D161" s="141">
        <v>2420000</v>
      </c>
      <c r="E161" s="20" t="s">
        <v>499</v>
      </c>
      <c r="F161" s="20" t="s">
        <v>500</v>
      </c>
      <c r="G161" s="8" t="str">
        <f t="shared" si="2"/>
        <v>HOLCOMB KAMDEN</v>
      </c>
    </row>
    <row r="162" spans="1:7" x14ac:dyDescent="0.25">
      <c r="A162" s="8">
        <v>42890.737175925926</v>
      </c>
      <c r="B162" s="20" t="s">
        <v>412</v>
      </c>
      <c r="C162" s="20" t="s">
        <v>809</v>
      </c>
      <c r="D162" s="141">
        <v>2230000</v>
      </c>
      <c r="E162" s="20" t="s">
        <v>344</v>
      </c>
      <c r="F162" s="20" t="s">
        <v>194</v>
      </c>
      <c r="G162" s="8" t="str">
        <f t="shared" si="2"/>
        <v>SMITH MICHAEL</v>
      </c>
    </row>
    <row r="163" spans="1:7" x14ac:dyDescent="0.25">
      <c r="A163" s="8">
        <v>42890.743067129632</v>
      </c>
      <c r="B163" s="20" t="s">
        <v>425</v>
      </c>
      <c r="C163" s="20" t="s">
        <v>675</v>
      </c>
      <c r="D163" s="141">
        <v>1770000</v>
      </c>
      <c r="E163" s="20" t="s">
        <v>583</v>
      </c>
      <c r="F163" s="20" t="s">
        <v>584</v>
      </c>
      <c r="G163" s="8" t="str">
        <f t="shared" si="2"/>
        <v>BRUDER RICHARD</v>
      </c>
    </row>
    <row r="164" spans="1:7" x14ac:dyDescent="0.25">
      <c r="A164" s="8">
        <v>42890.745949074073</v>
      </c>
      <c r="B164" s="20" t="s">
        <v>653</v>
      </c>
      <c r="C164" s="20" t="s">
        <v>810</v>
      </c>
      <c r="D164" s="141">
        <v>2540000</v>
      </c>
      <c r="E164" s="20" t="s">
        <v>587</v>
      </c>
      <c r="F164" s="20" t="s">
        <v>588</v>
      </c>
      <c r="G164" s="8" t="str">
        <f t="shared" si="2"/>
        <v>MCREYNOLDS KYLE</v>
      </c>
    </row>
    <row r="165" spans="1:7" x14ac:dyDescent="0.25">
      <c r="A165" s="8">
        <v>42890.748865740738</v>
      </c>
      <c r="B165" s="20" t="s">
        <v>572</v>
      </c>
      <c r="C165" s="20" t="s">
        <v>811</v>
      </c>
      <c r="D165" s="141">
        <v>2000000</v>
      </c>
      <c r="E165" s="20" t="s">
        <v>426</v>
      </c>
      <c r="F165" s="20" t="s">
        <v>191</v>
      </c>
      <c r="G165" s="8" t="str">
        <f t="shared" si="2"/>
        <v>STAMBAUGH JAMES</v>
      </c>
    </row>
    <row r="166" spans="1:7" x14ac:dyDescent="0.25">
      <c r="A166" s="8">
        <v>42890.757731481484</v>
      </c>
      <c r="B166" s="20" t="s">
        <v>423</v>
      </c>
      <c r="C166" s="20" t="s">
        <v>673</v>
      </c>
      <c r="D166" s="141">
        <v>2620000</v>
      </c>
      <c r="E166" s="20" t="s">
        <v>589</v>
      </c>
      <c r="F166" s="20" t="s">
        <v>590</v>
      </c>
      <c r="G166" s="8" t="str">
        <f t="shared" si="2"/>
        <v>PERKINS DARREN</v>
      </c>
    </row>
    <row r="167" spans="1:7" x14ac:dyDescent="0.25">
      <c r="A167" s="8">
        <v>42890.759606481479</v>
      </c>
      <c r="B167" s="20" t="s">
        <v>375</v>
      </c>
      <c r="C167" s="20" t="s">
        <v>812</v>
      </c>
      <c r="D167" s="141">
        <v>2370000</v>
      </c>
      <c r="E167" s="20" t="s">
        <v>497</v>
      </c>
      <c r="F167" s="20" t="s">
        <v>498</v>
      </c>
      <c r="G167" s="8" t="str">
        <f t="shared" si="2"/>
        <v>DELGADO DIANAH</v>
      </c>
    </row>
    <row r="168" spans="1:7" x14ac:dyDescent="0.25">
      <c r="A168" s="8">
        <v>42890.760243055556</v>
      </c>
      <c r="B168" s="20" t="s">
        <v>462</v>
      </c>
      <c r="C168" s="20" t="s">
        <v>665</v>
      </c>
      <c r="D168" s="141">
        <v>2550000</v>
      </c>
      <c r="E168" s="20" t="s">
        <v>503</v>
      </c>
      <c r="F168" s="20" t="s">
        <v>504</v>
      </c>
      <c r="G168" s="8" t="str">
        <f t="shared" si="2"/>
        <v>BADERTSCHER DIANE</v>
      </c>
    </row>
    <row r="169" spans="1:7" x14ac:dyDescent="0.25">
      <c r="A169" s="8">
        <v>42890.763402777775</v>
      </c>
      <c r="B169" s="20" t="s">
        <v>406</v>
      </c>
      <c r="C169" s="20" t="s">
        <v>674</v>
      </c>
      <c r="D169" s="141">
        <v>2420000</v>
      </c>
      <c r="E169" s="20" t="s">
        <v>499</v>
      </c>
      <c r="F169" s="20" t="s">
        <v>500</v>
      </c>
      <c r="G169" s="8" t="str">
        <f t="shared" si="2"/>
        <v>HOLCOMB KAMDEN</v>
      </c>
    </row>
    <row r="170" spans="1:7" x14ac:dyDescent="0.25">
      <c r="A170" s="8">
        <v>42890.765567129631</v>
      </c>
      <c r="B170" s="20" t="s">
        <v>469</v>
      </c>
      <c r="C170" s="20" t="s">
        <v>665</v>
      </c>
      <c r="D170" s="141">
        <v>2550000</v>
      </c>
      <c r="E170" s="20" t="s">
        <v>503</v>
      </c>
      <c r="F170" s="20" t="s">
        <v>504</v>
      </c>
      <c r="G170" s="8" t="str">
        <f t="shared" si="2"/>
        <v>BADERTSCHER DIANE</v>
      </c>
    </row>
    <row r="171" spans="1:7" x14ac:dyDescent="0.25">
      <c r="A171" s="8">
        <v>42890.768611111111</v>
      </c>
      <c r="B171" s="20" t="s">
        <v>570</v>
      </c>
      <c r="C171" s="20" t="s">
        <v>813</v>
      </c>
      <c r="D171" s="141">
        <v>2680000</v>
      </c>
      <c r="E171" s="20" t="s">
        <v>428</v>
      </c>
      <c r="F171" s="20" t="s">
        <v>429</v>
      </c>
      <c r="G171" s="8" t="str">
        <f t="shared" si="2"/>
        <v>DUNCAN SHEILA</v>
      </c>
    </row>
    <row r="172" spans="1:7" x14ac:dyDescent="0.25">
      <c r="A172" s="8">
        <v>42890.771134259259</v>
      </c>
      <c r="B172" s="20" t="s">
        <v>409</v>
      </c>
      <c r="C172" s="20" t="s">
        <v>676</v>
      </c>
      <c r="D172" s="141">
        <v>2230000</v>
      </c>
      <c r="E172" s="20" t="s">
        <v>344</v>
      </c>
      <c r="F172" s="20" t="s">
        <v>194</v>
      </c>
      <c r="G172" s="8" t="str">
        <f t="shared" si="2"/>
        <v>SMITH MICHAEL</v>
      </c>
    </row>
    <row r="173" spans="1:7" x14ac:dyDescent="0.25">
      <c r="A173" s="8">
        <v>42890.77616898148</v>
      </c>
      <c r="B173" s="20" t="s">
        <v>405</v>
      </c>
      <c r="C173" s="20" t="s">
        <v>814</v>
      </c>
      <c r="D173" s="141">
        <v>2420000</v>
      </c>
      <c r="E173" s="20" t="s">
        <v>499</v>
      </c>
      <c r="F173" s="20" t="s">
        <v>500</v>
      </c>
      <c r="G173" s="8" t="str">
        <f t="shared" si="2"/>
        <v>HOLCOMB KAMDEN</v>
      </c>
    </row>
    <row r="174" spans="1:7" x14ac:dyDescent="0.25">
      <c r="A174" s="8">
        <v>42890.777326388888</v>
      </c>
      <c r="B174" s="20" t="s">
        <v>362</v>
      </c>
      <c r="C174" s="20" t="s">
        <v>815</v>
      </c>
      <c r="D174" s="141">
        <v>1770000</v>
      </c>
      <c r="E174" s="20" t="s">
        <v>583</v>
      </c>
      <c r="F174" s="20" t="s">
        <v>584</v>
      </c>
      <c r="G174" s="8" t="str">
        <f t="shared" si="2"/>
        <v>BRUDER RICHARD</v>
      </c>
    </row>
    <row r="175" spans="1:7" x14ac:dyDescent="0.25">
      <c r="A175" s="8">
        <v>42890.782349537039</v>
      </c>
      <c r="B175" s="20" t="s">
        <v>649</v>
      </c>
      <c r="C175" s="20" t="s">
        <v>816</v>
      </c>
      <c r="D175" s="141">
        <v>2540000</v>
      </c>
      <c r="E175" s="20" t="s">
        <v>587</v>
      </c>
      <c r="F175" s="20" t="s">
        <v>588</v>
      </c>
      <c r="G175" s="8" t="str">
        <f t="shared" si="2"/>
        <v>MCREYNOLDS KYLE</v>
      </c>
    </row>
    <row r="176" spans="1:7" x14ac:dyDescent="0.25">
      <c r="A176" s="8">
        <v>42890.785902777781</v>
      </c>
      <c r="B176" s="20" t="s">
        <v>575</v>
      </c>
      <c r="C176" s="20" t="s">
        <v>677</v>
      </c>
      <c r="D176" s="141">
        <v>2000000</v>
      </c>
      <c r="E176" s="20" t="s">
        <v>426</v>
      </c>
      <c r="F176" s="20" t="s">
        <v>191</v>
      </c>
      <c r="G176" s="8" t="str">
        <f t="shared" si="2"/>
        <v>STAMBAUGH JAMES</v>
      </c>
    </row>
    <row r="177" spans="1:7" x14ac:dyDescent="0.25">
      <c r="A177" s="8">
        <v>42890.794293981482</v>
      </c>
      <c r="B177" s="20" t="s">
        <v>435</v>
      </c>
      <c r="C177" s="20" t="s">
        <v>678</v>
      </c>
      <c r="D177" s="141">
        <v>2620000</v>
      </c>
      <c r="E177" s="20" t="s">
        <v>589</v>
      </c>
      <c r="F177" s="20" t="s">
        <v>590</v>
      </c>
      <c r="G177" s="8" t="str">
        <f t="shared" si="2"/>
        <v>PERKINS DARREN</v>
      </c>
    </row>
    <row r="178" spans="1:7" x14ac:dyDescent="0.25">
      <c r="A178" s="8">
        <v>42890.797349537039</v>
      </c>
      <c r="B178" s="20" t="s">
        <v>378</v>
      </c>
      <c r="C178" s="20" t="s">
        <v>817</v>
      </c>
      <c r="D178" s="141">
        <v>2370000</v>
      </c>
      <c r="E178" s="20" t="s">
        <v>497</v>
      </c>
      <c r="F178" s="20" t="s">
        <v>498</v>
      </c>
      <c r="G178" s="8" t="str">
        <f t="shared" si="2"/>
        <v>DELGADO DIANAH</v>
      </c>
    </row>
    <row r="179" spans="1:7" x14ac:dyDescent="0.25">
      <c r="A179" s="8">
        <v>42890.799560185187</v>
      </c>
      <c r="B179" s="20" t="s">
        <v>569</v>
      </c>
      <c r="C179" s="20" t="s">
        <v>818</v>
      </c>
      <c r="D179" s="141">
        <v>2680000</v>
      </c>
      <c r="E179" s="20" t="s">
        <v>428</v>
      </c>
      <c r="F179" s="20" t="s">
        <v>429</v>
      </c>
      <c r="G179" s="8" t="str">
        <f t="shared" si="2"/>
        <v>DUNCAN SHEILA</v>
      </c>
    </row>
    <row r="180" spans="1:7" x14ac:dyDescent="0.25">
      <c r="A180" s="8">
        <v>42890.803356481483</v>
      </c>
      <c r="B180" s="20" t="s">
        <v>406</v>
      </c>
      <c r="C180" s="20" t="s">
        <v>819</v>
      </c>
      <c r="D180" s="141">
        <v>2420000</v>
      </c>
      <c r="E180" s="20" t="s">
        <v>499</v>
      </c>
      <c r="F180" s="20" t="s">
        <v>500</v>
      </c>
      <c r="G180" s="8" t="str">
        <f t="shared" si="2"/>
        <v>HOLCOMB KAMDEN</v>
      </c>
    </row>
    <row r="181" spans="1:7" x14ac:dyDescent="0.25">
      <c r="A181" s="8">
        <v>42890.808842592596</v>
      </c>
      <c r="B181" s="20" t="s">
        <v>412</v>
      </c>
      <c r="C181" s="20" t="s">
        <v>820</v>
      </c>
      <c r="D181" s="141">
        <v>2230000</v>
      </c>
      <c r="E181" s="20" t="s">
        <v>344</v>
      </c>
      <c r="F181" s="20" t="s">
        <v>194</v>
      </c>
      <c r="G181" s="8" t="str">
        <f t="shared" si="2"/>
        <v>SMITH MICHAEL</v>
      </c>
    </row>
    <row r="182" spans="1:7" x14ac:dyDescent="0.25">
      <c r="A182" s="8">
        <v>42890.817997685182</v>
      </c>
      <c r="B182" s="20" t="s">
        <v>405</v>
      </c>
      <c r="C182" s="20" t="s">
        <v>821</v>
      </c>
      <c r="D182" s="141">
        <v>2420000</v>
      </c>
      <c r="E182" s="20" t="s">
        <v>499</v>
      </c>
      <c r="F182" s="20" t="s">
        <v>500</v>
      </c>
      <c r="G182" s="8" t="str">
        <f t="shared" si="2"/>
        <v>HOLCOMB KAMDEN</v>
      </c>
    </row>
    <row r="183" spans="1:7" x14ac:dyDescent="0.25">
      <c r="A183" s="8">
        <v>42890.81858796296</v>
      </c>
      <c r="B183" s="20" t="s">
        <v>653</v>
      </c>
      <c r="C183" s="20" t="s">
        <v>822</v>
      </c>
      <c r="D183" s="141">
        <v>2540000</v>
      </c>
      <c r="E183" s="20" t="s">
        <v>587</v>
      </c>
      <c r="F183" s="20" t="s">
        <v>588</v>
      </c>
      <c r="G183" s="8" t="str">
        <f t="shared" si="2"/>
        <v>MCREYNOLDS KYLE</v>
      </c>
    </row>
    <row r="184" spans="1:7" x14ac:dyDescent="0.25">
      <c r="A184" s="8">
        <v>42890.828726851854</v>
      </c>
      <c r="B184" s="20" t="s">
        <v>423</v>
      </c>
      <c r="C184" s="20" t="s">
        <v>823</v>
      </c>
      <c r="D184" s="141">
        <v>2620000</v>
      </c>
      <c r="E184" s="20" t="s">
        <v>589</v>
      </c>
      <c r="F184" s="20" t="s">
        <v>590</v>
      </c>
      <c r="G184" s="8" t="str">
        <f t="shared" si="2"/>
        <v>PERKINS DARREN</v>
      </c>
    </row>
    <row r="185" spans="1:7" x14ac:dyDescent="0.25">
      <c r="A185" s="8">
        <v>42890.829432870371</v>
      </c>
      <c r="B185" s="20" t="s">
        <v>572</v>
      </c>
      <c r="C185" s="20" t="s">
        <v>679</v>
      </c>
      <c r="D185" s="141">
        <v>2000000</v>
      </c>
      <c r="E185" s="20" t="s">
        <v>426</v>
      </c>
      <c r="F185" s="20" t="s">
        <v>191</v>
      </c>
      <c r="G185" s="8" t="str">
        <f t="shared" si="2"/>
        <v>STAMBAUGH JAMES</v>
      </c>
    </row>
    <row r="186" spans="1:7" x14ac:dyDescent="0.25">
      <c r="A186" s="8">
        <v>42890.843252314815</v>
      </c>
      <c r="B186" s="20" t="s">
        <v>570</v>
      </c>
      <c r="C186" s="20" t="s">
        <v>824</v>
      </c>
      <c r="D186" s="141">
        <v>2090000</v>
      </c>
      <c r="E186" s="20" t="s">
        <v>825</v>
      </c>
      <c r="F186" s="20" t="s">
        <v>194</v>
      </c>
      <c r="G186" s="8" t="str">
        <f t="shared" si="2"/>
        <v>HAITHCOX MICHAEL</v>
      </c>
    </row>
    <row r="187" spans="1:7" x14ac:dyDescent="0.25">
      <c r="A187" s="8">
        <v>42890.846446759257</v>
      </c>
      <c r="B187" s="20" t="s">
        <v>409</v>
      </c>
      <c r="C187" s="20" t="s">
        <v>826</v>
      </c>
      <c r="D187" s="141">
        <v>2230000</v>
      </c>
      <c r="E187" s="20" t="s">
        <v>344</v>
      </c>
      <c r="F187" s="20" t="s">
        <v>194</v>
      </c>
      <c r="G187" s="8" t="str">
        <f t="shared" si="2"/>
        <v>SMITH MICHAEL</v>
      </c>
    </row>
    <row r="188" spans="1:7" x14ac:dyDescent="0.25">
      <c r="A188" s="8">
        <v>42890.847905092596</v>
      </c>
      <c r="B188" s="20" t="s">
        <v>406</v>
      </c>
      <c r="C188" s="20" t="s">
        <v>827</v>
      </c>
      <c r="D188" s="141">
        <v>2420000</v>
      </c>
      <c r="E188" s="20" t="s">
        <v>499</v>
      </c>
      <c r="F188" s="20" t="s">
        <v>500</v>
      </c>
      <c r="G188" s="8" t="str">
        <f t="shared" si="2"/>
        <v>HOLCOMB KAMDEN</v>
      </c>
    </row>
    <row r="189" spans="1:7" x14ac:dyDescent="0.25">
      <c r="A189" s="8">
        <v>42890.859722222223</v>
      </c>
      <c r="B189" s="20" t="s">
        <v>575</v>
      </c>
      <c r="C189" s="20" t="s">
        <v>828</v>
      </c>
      <c r="D189" s="141">
        <v>2000000</v>
      </c>
      <c r="E189" s="20" t="s">
        <v>426</v>
      </c>
      <c r="F189" s="20" t="s">
        <v>191</v>
      </c>
      <c r="G189" s="8" t="str">
        <f t="shared" si="2"/>
        <v>STAMBAUGH JAMES</v>
      </c>
    </row>
    <row r="190" spans="1:7" x14ac:dyDescent="0.25">
      <c r="A190" s="8">
        <v>42890.865011574075</v>
      </c>
      <c r="B190" s="20" t="s">
        <v>405</v>
      </c>
      <c r="C190" s="20" t="s">
        <v>829</v>
      </c>
      <c r="D190" s="141">
        <v>2420000</v>
      </c>
      <c r="E190" s="20" t="s">
        <v>499</v>
      </c>
      <c r="F190" s="20" t="s">
        <v>500</v>
      </c>
      <c r="G190" s="8" t="str">
        <f t="shared" si="2"/>
        <v>HOLCOMB KAMDEN</v>
      </c>
    </row>
    <row r="191" spans="1:7" x14ac:dyDescent="0.25">
      <c r="A191" s="8">
        <v>42890.868495370371</v>
      </c>
      <c r="B191" s="20" t="s">
        <v>435</v>
      </c>
      <c r="C191" s="20" t="s">
        <v>830</v>
      </c>
      <c r="D191" s="141">
        <v>2620000</v>
      </c>
      <c r="E191" s="20" t="s">
        <v>589</v>
      </c>
      <c r="F191" s="20" t="s">
        <v>590</v>
      </c>
      <c r="G191" s="8" t="str">
        <f t="shared" si="2"/>
        <v>PERKINS DARREN</v>
      </c>
    </row>
    <row r="192" spans="1:7" x14ac:dyDescent="0.25">
      <c r="A192" s="8">
        <v>42890.871111111112</v>
      </c>
      <c r="B192" s="20" t="s">
        <v>575</v>
      </c>
      <c r="C192" s="20" t="s">
        <v>828</v>
      </c>
      <c r="D192" s="141">
        <v>3030000</v>
      </c>
      <c r="E192" s="20" t="s">
        <v>387</v>
      </c>
      <c r="F192" s="20" t="s">
        <v>372</v>
      </c>
      <c r="G192" s="8" t="str">
        <f t="shared" si="2"/>
        <v>BIRENBAUM THOMAS</v>
      </c>
    </row>
    <row r="193" spans="1:7" x14ac:dyDescent="0.25">
      <c r="A193" s="8">
        <v>42890.877916666665</v>
      </c>
      <c r="B193" s="20" t="s">
        <v>406</v>
      </c>
      <c r="C193" s="20" t="s">
        <v>680</v>
      </c>
      <c r="D193" s="141">
        <v>2420000</v>
      </c>
      <c r="E193" s="20" t="s">
        <v>499</v>
      </c>
      <c r="F193" s="20" t="s">
        <v>500</v>
      </c>
      <c r="G193" s="8" t="str">
        <f t="shared" si="2"/>
        <v>HOLCOMB KAMDEN</v>
      </c>
    </row>
    <row r="194" spans="1:7" x14ac:dyDescent="0.25">
      <c r="A194" s="8">
        <v>42890.886284722219</v>
      </c>
      <c r="B194" s="20" t="s">
        <v>569</v>
      </c>
      <c r="C194" s="20" t="s">
        <v>831</v>
      </c>
      <c r="D194" s="141">
        <v>2090000</v>
      </c>
      <c r="E194" s="20" t="s">
        <v>825</v>
      </c>
      <c r="F194" s="20" t="s">
        <v>194</v>
      </c>
      <c r="G194" s="8" t="str">
        <f t="shared" si="2"/>
        <v>HAITHCOX MICHAEL</v>
      </c>
    </row>
    <row r="195" spans="1:7" x14ac:dyDescent="0.25">
      <c r="A195" s="8">
        <v>42890.887731481482</v>
      </c>
      <c r="B195" s="20" t="s">
        <v>412</v>
      </c>
      <c r="C195" s="20" t="s">
        <v>832</v>
      </c>
      <c r="D195" s="141">
        <v>2230000</v>
      </c>
      <c r="E195" s="20" t="s">
        <v>344</v>
      </c>
      <c r="F195" s="20" t="s">
        <v>194</v>
      </c>
      <c r="G195" s="8" t="str">
        <f t="shared" ref="G195:G258" si="3">E195&amp;" "&amp;F195</f>
        <v>SMITH MICHAEL</v>
      </c>
    </row>
    <row r="196" spans="1:7" x14ac:dyDescent="0.25">
      <c r="A196" s="8">
        <v>42890.901134259257</v>
      </c>
      <c r="B196" s="20" t="s">
        <v>405</v>
      </c>
      <c r="C196" s="20" t="s">
        <v>681</v>
      </c>
      <c r="D196" s="141">
        <v>2420000</v>
      </c>
      <c r="E196" s="20" t="s">
        <v>499</v>
      </c>
      <c r="F196" s="20" t="s">
        <v>500</v>
      </c>
      <c r="G196" s="8" t="str">
        <f t="shared" si="3"/>
        <v>HOLCOMB KAMDEN</v>
      </c>
    </row>
    <row r="197" spans="1:7" x14ac:dyDescent="0.25">
      <c r="A197" s="8">
        <v>42890.907453703701</v>
      </c>
      <c r="B197" s="20" t="s">
        <v>423</v>
      </c>
      <c r="C197" s="20" t="s">
        <v>833</v>
      </c>
      <c r="D197" s="141">
        <v>2620000</v>
      </c>
      <c r="E197" s="20" t="s">
        <v>589</v>
      </c>
      <c r="F197" s="20" t="s">
        <v>590</v>
      </c>
      <c r="G197" s="8" t="str">
        <f t="shared" si="3"/>
        <v>PERKINS DARREN</v>
      </c>
    </row>
    <row r="198" spans="1:7" x14ac:dyDescent="0.25">
      <c r="A198" s="8">
        <v>42890.910636574074</v>
      </c>
      <c r="B198" s="20" t="s">
        <v>572</v>
      </c>
      <c r="C198" s="20" t="s">
        <v>834</v>
      </c>
      <c r="D198" s="141">
        <v>3030000</v>
      </c>
      <c r="E198" s="20" t="s">
        <v>387</v>
      </c>
      <c r="F198" s="20" t="s">
        <v>372</v>
      </c>
      <c r="G198" s="8" t="str">
        <f t="shared" si="3"/>
        <v>BIRENBAUM THOMAS</v>
      </c>
    </row>
    <row r="199" spans="1:7" x14ac:dyDescent="0.25">
      <c r="A199" s="8">
        <v>42890.927025462966</v>
      </c>
      <c r="B199" s="20" t="s">
        <v>409</v>
      </c>
      <c r="C199" s="20" t="s">
        <v>835</v>
      </c>
      <c r="D199" s="141">
        <v>2230000</v>
      </c>
      <c r="E199" s="20" t="s">
        <v>344</v>
      </c>
      <c r="F199" s="20" t="s">
        <v>194</v>
      </c>
      <c r="G199" s="8" t="str">
        <f t="shared" si="3"/>
        <v>SMITH MICHAEL</v>
      </c>
    </row>
    <row r="200" spans="1:7" x14ac:dyDescent="0.25">
      <c r="A200" s="8">
        <v>42890.928506944445</v>
      </c>
      <c r="B200" s="20" t="s">
        <v>570</v>
      </c>
      <c r="C200" s="20" t="s">
        <v>836</v>
      </c>
      <c r="D200" s="141">
        <v>2090000</v>
      </c>
      <c r="E200" s="20" t="s">
        <v>825</v>
      </c>
      <c r="F200" s="20" t="s">
        <v>194</v>
      </c>
      <c r="G200" s="8" t="str">
        <f t="shared" si="3"/>
        <v>HAITHCOX MICHAEL</v>
      </c>
    </row>
    <row r="201" spans="1:7" x14ac:dyDescent="0.25">
      <c r="A201" s="8">
        <v>42890.929618055554</v>
      </c>
      <c r="B201" s="20" t="s">
        <v>406</v>
      </c>
      <c r="C201" s="20" t="s">
        <v>682</v>
      </c>
      <c r="D201" s="141">
        <v>2420000</v>
      </c>
      <c r="E201" s="20" t="s">
        <v>499</v>
      </c>
      <c r="F201" s="20" t="s">
        <v>500</v>
      </c>
      <c r="G201" s="8" t="str">
        <f t="shared" si="3"/>
        <v>HOLCOMB KAMDEN</v>
      </c>
    </row>
    <row r="202" spans="1:7" x14ac:dyDescent="0.25">
      <c r="A202" s="26">
        <v>42890.942731481482</v>
      </c>
      <c r="B202" s="20" t="s">
        <v>575</v>
      </c>
      <c r="C202" s="20" t="s">
        <v>683</v>
      </c>
      <c r="D202" s="141">
        <v>2000000</v>
      </c>
      <c r="E202" s="20" t="s">
        <v>426</v>
      </c>
      <c r="F202" s="20" t="s">
        <v>191</v>
      </c>
      <c r="G202" s="8" t="str">
        <f t="shared" si="3"/>
        <v>STAMBAUGH JAMES</v>
      </c>
    </row>
    <row r="203" spans="1:7" x14ac:dyDescent="0.25">
      <c r="A203" s="8">
        <v>42890.944432870368</v>
      </c>
      <c r="B203" s="20" t="s">
        <v>405</v>
      </c>
      <c r="C203" s="20" t="s">
        <v>837</v>
      </c>
      <c r="D203" s="141">
        <v>2420000</v>
      </c>
      <c r="E203" s="20" t="s">
        <v>499</v>
      </c>
      <c r="F203" s="20" t="s">
        <v>500</v>
      </c>
      <c r="G203" s="8" t="str">
        <f t="shared" si="3"/>
        <v>HOLCOMB KAMDEN</v>
      </c>
    </row>
    <row r="204" spans="1:7" x14ac:dyDescent="0.25">
      <c r="A204" s="8">
        <v>42890.947280092594</v>
      </c>
      <c r="B204" s="20" t="s">
        <v>435</v>
      </c>
      <c r="C204" s="20" t="s">
        <v>838</v>
      </c>
      <c r="D204" s="141">
        <v>2620000</v>
      </c>
      <c r="E204" s="20" t="s">
        <v>589</v>
      </c>
      <c r="F204" s="20" t="s">
        <v>590</v>
      </c>
      <c r="G204" s="8" t="str">
        <f t="shared" si="3"/>
        <v>PERKINS DARREN</v>
      </c>
    </row>
    <row r="205" spans="1:7" x14ac:dyDescent="0.25">
      <c r="A205" s="8">
        <v>42890.967870370368</v>
      </c>
      <c r="B205" s="20" t="s">
        <v>569</v>
      </c>
      <c r="C205" s="20" t="s">
        <v>839</v>
      </c>
      <c r="D205" s="141">
        <v>2090000</v>
      </c>
      <c r="E205" s="20" t="s">
        <v>825</v>
      </c>
      <c r="F205" s="20" t="s">
        <v>194</v>
      </c>
      <c r="G205" s="8" t="str">
        <f t="shared" si="3"/>
        <v>HAITHCOX MICHAEL</v>
      </c>
    </row>
    <row r="206" spans="1:7" x14ac:dyDescent="0.25">
      <c r="A206" s="8">
        <v>42890.972129629627</v>
      </c>
      <c r="B206" s="20" t="s">
        <v>412</v>
      </c>
      <c r="C206" s="20" t="s">
        <v>840</v>
      </c>
      <c r="D206" s="141">
        <v>2230000</v>
      </c>
      <c r="E206" s="20" t="s">
        <v>344</v>
      </c>
      <c r="F206" s="20" t="s">
        <v>194</v>
      </c>
      <c r="G206" s="8" t="str">
        <f t="shared" si="3"/>
        <v>SMITH MICHAEL</v>
      </c>
    </row>
    <row r="207" spans="1:7" x14ac:dyDescent="0.25">
      <c r="A207" s="8">
        <v>42890.992962962962</v>
      </c>
      <c r="B207" s="20" t="s">
        <v>572</v>
      </c>
      <c r="C207" s="20" t="s">
        <v>684</v>
      </c>
      <c r="D207" s="141">
        <v>2000000</v>
      </c>
      <c r="E207" s="20" t="s">
        <v>426</v>
      </c>
      <c r="F207" s="20" t="s">
        <v>191</v>
      </c>
      <c r="G207" s="8" t="str">
        <f t="shared" si="3"/>
        <v>STAMBAUGH JAMES</v>
      </c>
    </row>
    <row r="208" spans="1:7" x14ac:dyDescent="0.25">
      <c r="A208" s="8">
        <v>42890.995011574072</v>
      </c>
      <c r="B208" s="20" t="s">
        <v>423</v>
      </c>
      <c r="C208" s="20" t="s">
        <v>841</v>
      </c>
      <c r="D208" s="141">
        <v>3030000</v>
      </c>
      <c r="E208" s="20" t="s">
        <v>387</v>
      </c>
      <c r="F208" s="20" t="s">
        <v>372</v>
      </c>
      <c r="G208" s="8" t="str">
        <f t="shared" si="3"/>
        <v>BIRENBAUM THOMAS</v>
      </c>
    </row>
    <row r="209" spans="1:7" x14ac:dyDescent="0.25">
      <c r="A209" s="8">
        <v>42891.013379629629</v>
      </c>
      <c r="B209" s="20" t="s">
        <v>409</v>
      </c>
      <c r="C209" s="20" t="s">
        <v>842</v>
      </c>
      <c r="D209" s="141">
        <v>2230000</v>
      </c>
      <c r="E209" s="20" t="s">
        <v>344</v>
      </c>
      <c r="F209" s="20" t="s">
        <v>194</v>
      </c>
      <c r="G209" s="8" t="str">
        <f t="shared" si="3"/>
        <v>SMITH MICHAEL</v>
      </c>
    </row>
    <row r="210" spans="1:7" x14ac:dyDescent="0.25">
      <c r="A210" s="8">
        <v>42891.015810185185</v>
      </c>
      <c r="B210" s="20" t="s">
        <v>570</v>
      </c>
      <c r="C210" s="20" t="s">
        <v>685</v>
      </c>
      <c r="D210" s="141">
        <v>2090000</v>
      </c>
      <c r="E210" s="20" t="s">
        <v>825</v>
      </c>
      <c r="F210" s="20" t="s">
        <v>194</v>
      </c>
      <c r="G210" s="8" t="str">
        <f t="shared" si="3"/>
        <v>HAITHCOX MICHAEL</v>
      </c>
    </row>
    <row r="211" spans="1:7" x14ac:dyDescent="0.25">
      <c r="A211" s="8">
        <v>42891.02847222222</v>
      </c>
      <c r="B211" s="20" t="s">
        <v>575</v>
      </c>
      <c r="C211" s="20" t="s">
        <v>843</v>
      </c>
      <c r="D211" s="141">
        <v>2000000</v>
      </c>
      <c r="E211" s="20" t="s">
        <v>426</v>
      </c>
      <c r="F211" s="20" t="s">
        <v>191</v>
      </c>
      <c r="G211" s="8" t="str">
        <f t="shared" si="3"/>
        <v>STAMBAUGH JAMES</v>
      </c>
    </row>
    <row r="212" spans="1:7" x14ac:dyDescent="0.25">
      <c r="A212" s="8">
        <v>42891.028981481482</v>
      </c>
      <c r="B212" s="20" t="s">
        <v>575</v>
      </c>
      <c r="C212" s="20" t="s">
        <v>843</v>
      </c>
      <c r="D212" s="141">
        <v>2000000</v>
      </c>
      <c r="E212" s="20" t="s">
        <v>426</v>
      </c>
      <c r="F212" s="20" t="s">
        <v>191</v>
      </c>
      <c r="G212" s="8" t="str">
        <f t="shared" si="3"/>
        <v>STAMBAUGH JAMES</v>
      </c>
    </row>
    <row r="213" spans="1:7" x14ac:dyDescent="0.25">
      <c r="A213" s="8">
        <v>42891.029710648145</v>
      </c>
      <c r="B213" s="20" t="s">
        <v>575</v>
      </c>
      <c r="C213" s="20" t="s">
        <v>843</v>
      </c>
      <c r="D213" s="141">
        <v>2000000</v>
      </c>
      <c r="E213" s="20" t="s">
        <v>426</v>
      </c>
      <c r="F213" s="20" t="s">
        <v>191</v>
      </c>
      <c r="G213" s="8" t="str">
        <f t="shared" si="3"/>
        <v>STAMBAUGH JAMES</v>
      </c>
    </row>
    <row r="214" spans="1:7" x14ac:dyDescent="0.25">
      <c r="A214" s="8">
        <v>42891.035937499997</v>
      </c>
      <c r="B214" s="20" t="s">
        <v>435</v>
      </c>
      <c r="C214" s="20" t="s">
        <v>844</v>
      </c>
      <c r="D214" s="141">
        <v>3030000</v>
      </c>
      <c r="E214" s="20" t="s">
        <v>387</v>
      </c>
      <c r="F214" s="20" t="s">
        <v>372</v>
      </c>
      <c r="G214" s="8" t="str">
        <f t="shared" si="3"/>
        <v>BIRENBAUM THOMAS</v>
      </c>
    </row>
    <row r="215" spans="1:7" x14ac:dyDescent="0.25">
      <c r="A215" s="8">
        <v>42891.047881944447</v>
      </c>
      <c r="B215" s="20" t="s">
        <v>412</v>
      </c>
      <c r="C215" s="20" t="s">
        <v>845</v>
      </c>
      <c r="D215" s="141">
        <v>2230000</v>
      </c>
      <c r="E215" s="20" t="s">
        <v>344</v>
      </c>
      <c r="F215" s="20" t="s">
        <v>194</v>
      </c>
      <c r="G215" s="8" t="str">
        <f t="shared" si="3"/>
        <v>SMITH MICHAEL</v>
      </c>
    </row>
    <row r="216" spans="1:7" x14ac:dyDescent="0.25">
      <c r="A216" s="8">
        <v>42891.04928240741</v>
      </c>
      <c r="B216" s="20" t="s">
        <v>412</v>
      </c>
      <c r="C216" s="20" t="s">
        <v>845</v>
      </c>
      <c r="D216" s="141">
        <v>2230000</v>
      </c>
      <c r="E216" s="20" t="s">
        <v>344</v>
      </c>
      <c r="F216" s="20" t="s">
        <v>194</v>
      </c>
      <c r="G216" s="8" t="str">
        <f t="shared" si="3"/>
        <v>SMITH MICHAEL</v>
      </c>
    </row>
    <row r="217" spans="1:7" x14ac:dyDescent="0.25">
      <c r="A217" s="8">
        <v>42891.054108796299</v>
      </c>
      <c r="B217" s="20" t="s">
        <v>569</v>
      </c>
      <c r="C217" s="20" t="s">
        <v>846</v>
      </c>
      <c r="D217" s="141">
        <v>2090000</v>
      </c>
      <c r="E217" s="20" t="s">
        <v>825</v>
      </c>
      <c r="F217" s="20" t="s">
        <v>194</v>
      </c>
      <c r="G217" s="8" t="str">
        <f t="shared" si="3"/>
        <v>HAITHCOX MICHAEL</v>
      </c>
    </row>
    <row r="218" spans="1:7" x14ac:dyDescent="0.25">
      <c r="A218" s="8">
        <v>42891.068379629629</v>
      </c>
      <c r="B218" s="20" t="s">
        <v>423</v>
      </c>
      <c r="C218" s="20" t="s">
        <v>847</v>
      </c>
      <c r="D218" s="141">
        <v>2620000</v>
      </c>
      <c r="E218" s="20" t="s">
        <v>589</v>
      </c>
      <c r="F218" s="20" t="s">
        <v>590</v>
      </c>
      <c r="G218" s="8" t="str">
        <f t="shared" si="3"/>
        <v>PERKINS DARREN</v>
      </c>
    </row>
    <row r="219" spans="1:7" x14ac:dyDescent="0.25">
      <c r="A219" s="8">
        <v>42891.114432870374</v>
      </c>
      <c r="B219" s="20" t="s">
        <v>469</v>
      </c>
      <c r="C219" s="20" t="s">
        <v>848</v>
      </c>
      <c r="D219" s="141">
        <v>3030000</v>
      </c>
      <c r="E219" s="20" t="s">
        <v>387</v>
      </c>
      <c r="F219" s="20" t="s">
        <v>372</v>
      </c>
      <c r="G219" s="8" t="str">
        <f t="shared" si="3"/>
        <v>BIRENBAUM THOMAS</v>
      </c>
    </row>
    <row r="220" spans="1:7" x14ac:dyDescent="0.25">
      <c r="A220" s="8">
        <v>42890.110798611109</v>
      </c>
      <c r="B220" s="20" t="s">
        <v>407</v>
      </c>
      <c r="C220" s="20" t="s">
        <v>597</v>
      </c>
      <c r="D220" s="141">
        <v>3010000</v>
      </c>
      <c r="E220" s="20" t="s">
        <v>399</v>
      </c>
      <c r="F220" s="20" t="s">
        <v>400</v>
      </c>
      <c r="G220" s="8" t="str">
        <f t="shared" si="3"/>
        <v>SULLIVAN BRANDON</v>
      </c>
    </row>
    <row r="221" spans="1:7" x14ac:dyDescent="0.25">
      <c r="A221" s="8">
        <v>42890.113703703704</v>
      </c>
      <c r="B221" s="20" t="s">
        <v>478</v>
      </c>
      <c r="C221" s="20" t="s">
        <v>598</v>
      </c>
      <c r="D221" s="141">
        <v>2010000</v>
      </c>
      <c r="E221" s="20" t="s">
        <v>599</v>
      </c>
      <c r="F221" s="20" t="s">
        <v>600</v>
      </c>
      <c r="G221" s="8" t="str">
        <f t="shared" si="3"/>
        <v>MAELZER KURT</v>
      </c>
    </row>
    <row r="222" spans="1:7" x14ac:dyDescent="0.25">
      <c r="A222" s="8">
        <v>42887.844618055555</v>
      </c>
      <c r="B222" s="20" t="s">
        <v>443</v>
      </c>
      <c r="C222" s="20" t="s">
        <v>527</v>
      </c>
      <c r="D222" s="141">
        <v>3120000</v>
      </c>
      <c r="E222" s="20" t="s">
        <v>519</v>
      </c>
      <c r="F222" s="20" t="s">
        <v>520</v>
      </c>
      <c r="G222" s="8" t="str">
        <f t="shared" si="3"/>
        <v>THOMPSON LESTER</v>
      </c>
    </row>
    <row r="223" spans="1:7" x14ac:dyDescent="0.25">
      <c r="A223" s="8">
        <v>42887.844756944447</v>
      </c>
      <c r="B223" s="20" t="s">
        <v>435</v>
      </c>
      <c r="C223" s="20" t="s">
        <v>528</v>
      </c>
      <c r="D223" s="141">
        <v>2230000</v>
      </c>
      <c r="E223" s="20" t="s">
        <v>344</v>
      </c>
      <c r="F223" s="20" t="s">
        <v>194</v>
      </c>
      <c r="G223" s="8" t="str">
        <f t="shared" si="3"/>
        <v>SMITH MICHAEL</v>
      </c>
    </row>
    <row r="224" spans="1:7" x14ac:dyDescent="0.25">
      <c r="A224" s="8">
        <v>42887.847986111112</v>
      </c>
      <c r="B224" t="s">
        <v>407</v>
      </c>
      <c r="C224" t="s">
        <v>529</v>
      </c>
      <c r="D224" s="141">
        <v>3000000</v>
      </c>
      <c r="E224" t="s">
        <v>445</v>
      </c>
      <c r="F224" s="20" t="s">
        <v>446</v>
      </c>
      <c r="G224" s="8" t="str">
        <f t="shared" si="3"/>
        <v>FORTUNATO FRANK</v>
      </c>
    </row>
    <row r="225" spans="1:7" x14ac:dyDescent="0.25">
      <c r="A225" s="8">
        <v>42887.860324074078</v>
      </c>
      <c r="B225" t="s">
        <v>441</v>
      </c>
      <c r="C225" t="s">
        <v>514</v>
      </c>
      <c r="D225" s="141">
        <v>3120000</v>
      </c>
      <c r="E225" t="s">
        <v>519</v>
      </c>
      <c r="F225" s="20" t="s">
        <v>520</v>
      </c>
      <c r="G225" s="8" t="str">
        <f t="shared" si="3"/>
        <v>THOMPSON LESTER</v>
      </c>
    </row>
    <row r="226" spans="1:7" x14ac:dyDescent="0.25">
      <c r="A226" s="8">
        <v>42887.869363425925</v>
      </c>
      <c r="B226" t="s">
        <v>491</v>
      </c>
      <c r="C226" t="s">
        <v>530</v>
      </c>
      <c r="D226" s="141">
        <v>2440000</v>
      </c>
      <c r="E226" t="s">
        <v>523</v>
      </c>
      <c r="F226" s="20" t="s">
        <v>524</v>
      </c>
      <c r="G226" s="8" t="str">
        <f t="shared" si="3"/>
        <v>LOPES KIMBERLY</v>
      </c>
    </row>
    <row r="227" spans="1:7" x14ac:dyDescent="0.25">
      <c r="A227" s="8">
        <v>42887.869490740741</v>
      </c>
      <c r="B227" t="s">
        <v>469</v>
      </c>
      <c r="C227" t="s">
        <v>515</v>
      </c>
      <c r="D227" s="141">
        <v>2140000</v>
      </c>
      <c r="E227" t="s">
        <v>421</v>
      </c>
      <c r="F227" s="20" t="s">
        <v>422</v>
      </c>
      <c r="G227" s="8" t="str">
        <f t="shared" si="3"/>
        <v>ROBINSON KADDIBA</v>
      </c>
    </row>
    <row r="228" spans="1:7" x14ac:dyDescent="0.25">
      <c r="A228" s="8">
        <v>42887.874097222222</v>
      </c>
      <c r="B228" t="s">
        <v>369</v>
      </c>
      <c r="C228" t="s">
        <v>526</v>
      </c>
      <c r="D228" s="141">
        <v>2630000</v>
      </c>
      <c r="E228" t="s">
        <v>482</v>
      </c>
      <c r="F228" s="20" t="s">
        <v>483</v>
      </c>
      <c r="G228" s="8" t="str">
        <f t="shared" si="3"/>
        <v>SAFIEF AEIMEN</v>
      </c>
    </row>
    <row r="229" spans="1:7" x14ac:dyDescent="0.25">
      <c r="A229" s="8">
        <v>42887.8825462963</v>
      </c>
      <c r="B229" t="s">
        <v>518</v>
      </c>
      <c r="C229" t="s">
        <v>531</v>
      </c>
      <c r="D229" s="141">
        <v>3000000</v>
      </c>
      <c r="E229" t="s">
        <v>445</v>
      </c>
      <c r="F229" s="20" t="s">
        <v>446</v>
      </c>
      <c r="G229" s="8" t="str">
        <f t="shared" si="3"/>
        <v>FORTUNATO FRANK</v>
      </c>
    </row>
    <row r="230" spans="1:7" x14ac:dyDescent="0.25">
      <c r="A230" s="8">
        <v>42887.883946759262</v>
      </c>
      <c r="B230" t="s">
        <v>423</v>
      </c>
      <c r="C230" t="s">
        <v>532</v>
      </c>
      <c r="D230" s="141">
        <v>2230000</v>
      </c>
      <c r="E230" t="s">
        <v>344</v>
      </c>
      <c r="F230" s="20" t="s">
        <v>194</v>
      </c>
      <c r="G230" s="8" t="str">
        <f t="shared" si="3"/>
        <v>SMITH MICHAEL</v>
      </c>
    </row>
    <row r="231" spans="1:7" x14ac:dyDescent="0.25">
      <c r="A231" s="8">
        <v>42887.886574074073</v>
      </c>
      <c r="B231" t="s">
        <v>443</v>
      </c>
      <c r="C231" t="s">
        <v>533</v>
      </c>
      <c r="D231" s="141">
        <v>2040000</v>
      </c>
      <c r="E231" t="s">
        <v>495</v>
      </c>
      <c r="F231" s="20" t="s">
        <v>496</v>
      </c>
      <c r="G231" s="8" t="str">
        <f t="shared" si="3"/>
        <v>MOSES BRADLEY</v>
      </c>
    </row>
    <row r="232" spans="1:7" x14ac:dyDescent="0.25">
      <c r="A232" s="8">
        <v>42887.901192129626</v>
      </c>
      <c r="B232" t="s">
        <v>441</v>
      </c>
      <c r="C232" t="s">
        <v>534</v>
      </c>
      <c r="D232" s="141">
        <v>2040000</v>
      </c>
      <c r="E232" t="s">
        <v>495</v>
      </c>
      <c r="F232" s="20" t="s">
        <v>496</v>
      </c>
      <c r="G232" s="8" t="str">
        <f t="shared" si="3"/>
        <v>MOSES BRADLEY</v>
      </c>
    </row>
    <row r="233" spans="1:7" x14ac:dyDescent="0.25">
      <c r="A233" s="8">
        <v>42887.902291666665</v>
      </c>
      <c r="B233" t="s">
        <v>462</v>
      </c>
      <c r="C233" t="s">
        <v>535</v>
      </c>
      <c r="D233" s="141">
        <v>2140000</v>
      </c>
      <c r="E233" t="s">
        <v>421</v>
      </c>
      <c r="F233" s="20" t="s">
        <v>422</v>
      </c>
      <c r="G233" s="8" t="str">
        <f t="shared" si="3"/>
        <v>ROBINSON KADDIBA</v>
      </c>
    </row>
    <row r="234" spans="1:7" x14ac:dyDescent="0.25">
      <c r="A234" s="8">
        <v>42887.907349537039</v>
      </c>
      <c r="B234" t="s">
        <v>490</v>
      </c>
      <c r="C234" t="s">
        <v>536</v>
      </c>
      <c r="D234" s="141">
        <v>2440000</v>
      </c>
      <c r="E234" t="s">
        <v>523</v>
      </c>
      <c r="F234" s="20" t="s">
        <v>524</v>
      </c>
      <c r="G234" s="8" t="str">
        <f t="shared" si="3"/>
        <v>LOPES KIMBERLY</v>
      </c>
    </row>
    <row r="235" spans="1:7" x14ac:dyDescent="0.25">
      <c r="A235" s="8">
        <v>42887.919178240743</v>
      </c>
      <c r="B235" t="s">
        <v>370</v>
      </c>
      <c r="C235" t="s">
        <v>525</v>
      </c>
      <c r="D235" s="141">
        <v>2630000</v>
      </c>
      <c r="E235" t="s">
        <v>482</v>
      </c>
      <c r="F235" s="20" t="s">
        <v>483</v>
      </c>
      <c r="G235" s="8" t="str">
        <f t="shared" si="3"/>
        <v>SAFIEF AEIMEN</v>
      </c>
    </row>
    <row r="236" spans="1:7" x14ac:dyDescent="0.25">
      <c r="A236" s="8">
        <v>42887.923032407409</v>
      </c>
      <c r="B236" t="s">
        <v>407</v>
      </c>
      <c r="C236" t="s">
        <v>537</v>
      </c>
      <c r="D236" s="141">
        <v>3000000</v>
      </c>
      <c r="E236" t="s">
        <v>445</v>
      </c>
      <c r="F236" s="20" t="s">
        <v>446</v>
      </c>
      <c r="G236" s="8" t="str">
        <f t="shared" si="3"/>
        <v>FORTUNATO FRANK</v>
      </c>
    </row>
    <row r="237" spans="1:7" x14ac:dyDescent="0.25">
      <c r="A237" s="8">
        <v>42887.926469907405</v>
      </c>
      <c r="B237" t="s">
        <v>443</v>
      </c>
      <c r="C237" t="s">
        <v>538</v>
      </c>
      <c r="D237" s="141">
        <v>2040000</v>
      </c>
      <c r="E237" t="s">
        <v>495</v>
      </c>
      <c r="F237" s="20" t="s">
        <v>496</v>
      </c>
      <c r="G237" s="8" t="str">
        <f t="shared" si="3"/>
        <v>MOSES BRADLEY</v>
      </c>
    </row>
    <row r="238" spans="1:7" x14ac:dyDescent="0.25">
      <c r="A238" s="8">
        <v>42887.930451388886</v>
      </c>
      <c r="B238" t="s">
        <v>435</v>
      </c>
      <c r="C238" t="s">
        <v>539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42887.942812499998</v>
      </c>
      <c r="B239" t="s">
        <v>441</v>
      </c>
      <c r="C239" t="s">
        <v>540</v>
      </c>
      <c r="D239" s="141">
        <v>2040000</v>
      </c>
      <c r="E239" t="s">
        <v>495</v>
      </c>
      <c r="F239" s="20" t="s">
        <v>496</v>
      </c>
      <c r="G239" s="8" t="str">
        <f t="shared" si="3"/>
        <v>MOSES BRADLEY</v>
      </c>
    </row>
    <row r="240" spans="1:7" x14ac:dyDescent="0.25">
      <c r="A240" s="8">
        <v>42887.95071759259</v>
      </c>
      <c r="B240" t="s">
        <v>469</v>
      </c>
      <c r="C240" t="s">
        <v>516</v>
      </c>
      <c r="D240" s="141">
        <v>2140000</v>
      </c>
      <c r="E240" t="s">
        <v>421</v>
      </c>
      <c r="F240" s="20" t="s">
        <v>422</v>
      </c>
      <c r="G240" s="8" t="str">
        <f t="shared" si="3"/>
        <v>ROBINSON KADDIBA</v>
      </c>
    </row>
    <row r="241" spans="1:7" x14ac:dyDescent="0.25">
      <c r="A241" s="8">
        <v>42887.953657407408</v>
      </c>
      <c r="B241" t="s">
        <v>491</v>
      </c>
      <c r="C241" t="s">
        <v>541</v>
      </c>
      <c r="D241" s="141">
        <v>2440000</v>
      </c>
      <c r="E241" t="s">
        <v>523</v>
      </c>
      <c r="F241" s="20" t="s">
        <v>524</v>
      </c>
      <c r="G241" s="8" t="str">
        <f t="shared" si="3"/>
        <v>LOPES KIMBERLY</v>
      </c>
    </row>
    <row r="242" spans="1:7" x14ac:dyDescent="0.25">
      <c r="A242" s="8">
        <v>42887.960127314815</v>
      </c>
      <c r="B242" t="s">
        <v>369</v>
      </c>
      <c r="C242" t="s">
        <v>526</v>
      </c>
      <c r="D242" s="141">
        <v>2630000</v>
      </c>
      <c r="E242" t="s">
        <v>482</v>
      </c>
      <c r="F242" s="20" t="s">
        <v>483</v>
      </c>
      <c r="G242" s="8" t="str">
        <f t="shared" si="3"/>
        <v>SAFIEF AEIMEN</v>
      </c>
    </row>
    <row r="243" spans="1:7" x14ac:dyDescent="0.25">
      <c r="A243" s="8">
        <v>42887.970821759256</v>
      </c>
      <c r="B243" t="s">
        <v>518</v>
      </c>
      <c r="C243" t="s">
        <v>542</v>
      </c>
      <c r="D243" s="141">
        <v>3000000</v>
      </c>
      <c r="E243" t="s">
        <v>445</v>
      </c>
      <c r="F243" s="20" t="s">
        <v>446</v>
      </c>
      <c r="G243" s="8" t="str">
        <f t="shared" si="3"/>
        <v>FORTUNATO FRANK</v>
      </c>
    </row>
    <row r="244" spans="1:7" x14ac:dyDescent="0.25">
      <c r="A244" s="8">
        <v>42887.971215277779</v>
      </c>
      <c r="B244" t="s">
        <v>423</v>
      </c>
      <c r="C244" t="s">
        <v>543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42887.988576388889</v>
      </c>
      <c r="B245" t="s">
        <v>462</v>
      </c>
      <c r="C245" t="s">
        <v>544</v>
      </c>
      <c r="D245" s="141">
        <v>2140000</v>
      </c>
      <c r="E245" t="s">
        <v>421</v>
      </c>
      <c r="F245" s="20" t="s">
        <v>422</v>
      </c>
      <c r="G245" s="8" t="str">
        <f t="shared" si="3"/>
        <v>ROBINSON KADDIBA</v>
      </c>
    </row>
    <row r="246" spans="1:7" x14ac:dyDescent="0.25">
      <c r="A246" s="8">
        <v>42887.993425925924</v>
      </c>
      <c r="B246" t="s">
        <v>490</v>
      </c>
      <c r="C246" t="s">
        <v>545</v>
      </c>
      <c r="D246" s="141">
        <v>2440000</v>
      </c>
      <c r="E246" t="s">
        <v>523</v>
      </c>
      <c r="F246" s="20" t="s">
        <v>524</v>
      </c>
      <c r="G246" s="8" t="str">
        <f t="shared" si="3"/>
        <v>LOPES KIMBERLY</v>
      </c>
    </row>
    <row r="247" spans="1:7" x14ac:dyDescent="0.25">
      <c r="A247" s="8">
        <v>42888.002986111111</v>
      </c>
      <c r="B247" t="s">
        <v>370</v>
      </c>
      <c r="C247" t="s">
        <v>525</v>
      </c>
      <c r="D247" s="141">
        <v>2630000</v>
      </c>
      <c r="E247" t="s">
        <v>482</v>
      </c>
      <c r="F247" s="20" t="s">
        <v>483</v>
      </c>
      <c r="G247" s="8" t="str">
        <f t="shared" si="3"/>
        <v>SAFIEF AEIMEN</v>
      </c>
    </row>
    <row r="248" spans="1:7" x14ac:dyDescent="0.25">
      <c r="A248" s="8">
        <v>42888.006828703707</v>
      </c>
      <c r="B248" t="s">
        <v>407</v>
      </c>
      <c r="C248" t="s">
        <v>546</v>
      </c>
      <c r="D248" s="141">
        <v>3000000</v>
      </c>
      <c r="E248" t="s">
        <v>445</v>
      </c>
      <c r="F248" s="20" t="s">
        <v>446</v>
      </c>
      <c r="G248" s="8" t="str">
        <f t="shared" si="3"/>
        <v>FORTUNATO FRANK</v>
      </c>
    </row>
    <row r="249" spans="1:7" x14ac:dyDescent="0.25">
      <c r="A249" s="8">
        <v>42888.011319444442</v>
      </c>
      <c r="B249" t="s">
        <v>435</v>
      </c>
      <c r="C249" t="s">
        <v>517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42888.024872685186</v>
      </c>
      <c r="B250" t="s">
        <v>407</v>
      </c>
      <c r="C250" t="s">
        <v>546</v>
      </c>
      <c r="D250" s="141">
        <v>3000000</v>
      </c>
      <c r="E250" t="s">
        <v>445</v>
      </c>
      <c r="F250" s="20" t="s">
        <v>446</v>
      </c>
      <c r="G250" s="8" t="str">
        <f t="shared" si="3"/>
        <v>FORTUNATO FRANK</v>
      </c>
    </row>
    <row r="251" spans="1:7" x14ac:dyDescent="0.25">
      <c r="A251" s="8">
        <v>42888.026782407411</v>
      </c>
      <c r="B251" t="s">
        <v>491</v>
      </c>
      <c r="C251" t="s">
        <v>547</v>
      </c>
      <c r="D251" s="141">
        <v>2440000</v>
      </c>
      <c r="E251" t="s">
        <v>523</v>
      </c>
      <c r="F251" s="20" t="s">
        <v>524</v>
      </c>
      <c r="G251" s="8" t="str">
        <f t="shared" si="3"/>
        <v>LOPES KIMBERLY</v>
      </c>
    </row>
    <row r="252" spans="1:7" x14ac:dyDescent="0.25">
      <c r="A252" s="8">
        <v>42888.032638888886</v>
      </c>
      <c r="B252" t="s">
        <v>469</v>
      </c>
      <c r="C252" t="s">
        <v>548</v>
      </c>
      <c r="D252" s="141">
        <v>2140000</v>
      </c>
      <c r="E252" t="s">
        <v>421</v>
      </c>
      <c r="F252" s="20" t="s">
        <v>422</v>
      </c>
      <c r="G252" s="8" t="str">
        <f t="shared" si="3"/>
        <v>ROBINSON KADDIBA</v>
      </c>
    </row>
    <row r="253" spans="1:7" x14ac:dyDescent="0.25">
      <c r="A253" s="8">
        <v>42888.038900462961</v>
      </c>
      <c r="B253" t="s">
        <v>369</v>
      </c>
      <c r="C253" t="s">
        <v>526</v>
      </c>
      <c r="D253" s="141">
        <v>2630000</v>
      </c>
      <c r="E253" t="s">
        <v>482</v>
      </c>
      <c r="F253" s="20" t="s">
        <v>483</v>
      </c>
      <c r="G253" s="8" t="str">
        <f t="shared" si="3"/>
        <v>SAFIEF AEIMEN</v>
      </c>
    </row>
    <row r="254" spans="1:7" x14ac:dyDescent="0.25">
      <c r="A254" s="8">
        <v>42888.047164351854</v>
      </c>
      <c r="B254" t="s">
        <v>423</v>
      </c>
      <c r="C254" t="s">
        <v>549</v>
      </c>
      <c r="D254" s="141">
        <v>2230000</v>
      </c>
      <c r="E254" t="s">
        <v>344</v>
      </c>
      <c r="F254" s="20" t="s">
        <v>194</v>
      </c>
      <c r="G254" s="8" t="str">
        <f t="shared" si="3"/>
        <v>SMITH MICHAEL</v>
      </c>
    </row>
    <row r="255" spans="1:7" x14ac:dyDescent="0.25">
      <c r="A255" s="8">
        <v>42888.047743055555</v>
      </c>
      <c r="B255" t="s">
        <v>423</v>
      </c>
      <c r="C255" t="s">
        <v>549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42888.049247685187</v>
      </c>
      <c r="B256" t="s">
        <v>423</v>
      </c>
      <c r="C256" t="s">
        <v>549</v>
      </c>
      <c r="D256" s="141">
        <v>2230000</v>
      </c>
      <c r="E256" t="s">
        <v>344</v>
      </c>
      <c r="F256" s="20" t="s">
        <v>194</v>
      </c>
      <c r="G256" s="8" t="str">
        <f t="shared" si="3"/>
        <v>SMITH MICHAEL</v>
      </c>
    </row>
    <row r="257" spans="1:7" x14ac:dyDescent="0.25">
      <c r="A257" s="8">
        <v>42888.049837962964</v>
      </c>
      <c r="B257" t="s">
        <v>518</v>
      </c>
      <c r="C257" t="s">
        <v>550</v>
      </c>
      <c r="D257" s="141">
        <v>3000000</v>
      </c>
      <c r="E257" t="s">
        <v>445</v>
      </c>
      <c r="F257" s="20" t="s">
        <v>446</v>
      </c>
      <c r="G257" s="8" t="str">
        <f t="shared" si="3"/>
        <v>FORTUNATO FRANK</v>
      </c>
    </row>
    <row r="258" spans="1:7" x14ac:dyDescent="0.25">
      <c r="A258" s="8">
        <v>42888.050381944442</v>
      </c>
      <c r="B258" t="s">
        <v>423</v>
      </c>
      <c r="C258" t="s">
        <v>549</v>
      </c>
      <c r="D258" s="141">
        <v>2230000</v>
      </c>
      <c r="E258" t="s">
        <v>344</v>
      </c>
      <c r="F258" s="20" t="s">
        <v>194</v>
      </c>
      <c r="G258" s="8" t="str">
        <f t="shared" si="3"/>
        <v>SMITH MICHAEL</v>
      </c>
    </row>
    <row r="259" spans="1:7" x14ac:dyDescent="0.25">
      <c r="A259" s="8">
        <v>42888.069907407407</v>
      </c>
      <c r="B259" t="s">
        <v>462</v>
      </c>
      <c r="C259" t="s">
        <v>551</v>
      </c>
      <c r="D259" s="141">
        <v>2140000</v>
      </c>
      <c r="E259" t="s">
        <v>421</v>
      </c>
      <c r="F259" s="20" t="s">
        <v>422</v>
      </c>
      <c r="G259" s="8" t="str">
        <f t="shared" ref="G259:G322" si="4">E259&amp;" "&amp;F259</f>
        <v>ROBINSON KADDIBA</v>
      </c>
    </row>
    <row r="260" spans="1:7" x14ac:dyDescent="0.25">
      <c r="A260" s="8">
        <v>42888.081956018519</v>
      </c>
      <c r="B260" t="s">
        <v>370</v>
      </c>
      <c r="C260" t="s">
        <v>525</v>
      </c>
      <c r="D260" s="141">
        <v>2630000</v>
      </c>
      <c r="E260" t="s">
        <v>482</v>
      </c>
      <c r="F260" s="20" t="s">
        <v>483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478</v>
      </c>
      <c r="C261" t="s">
        <v>552</v>
      </c>
      <c r="D261" s="141">
        <v>910000</v>
      </c>
      <c r="E261" t="s">
        <v>553</v>
      </c>
      <c r="F261" s="20" t="s">
        <v>554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478</v>
      </c>
      <c r="C262" t="s">
        <v>552</v>
      </c>
      <c r="D262" s="141">
        <v>910000</v>
      </c>
      <c r="E262" t="s">
        <v>553</v>
      </c>
      <c r="F262" s="20" t="s">
        <v>554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407</v>
      </c>
      <c r="C263" t="s">
        <v>555</v>
      </c>
      <c r="D263" s="141">
        <v>3000000</v>
      </c>
      <c r="E263" t="s">
        <v>445</v>
      </c>
      <c r="F263" s="20" t="s">
        <v>446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479</v>
      </c>
      <c r="C264" t="s">
        <v>552</v>
      </c>
      <c r="D264" s="141">
        <v>910000</v>
      </c>
      <c r="E264" t="s">
        <v>553</v>
      </c>
      <c r="F264" s="20" t="s">
        <v>554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425</v>
      </c>
      <c r="C265" t="s">
        <v>449</v>
      </c>
      <c r="D265" s="141">
        <v>2140000</v>
      </c>
      <c r="E265" t="s">
        <v>421</v>
      </c>
      <c r="F265" s="20" t="s">
        <v>422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448</v>
      </c>
      <c r="D266" s="141">
        <v>2000000</v>
      </c>
      <c r="E266" t="s">
        <v>426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443</v>
      </c>
      <c r="C267" t="s">
        <v>450</v>
      </c>
      <c r="D267" s="141">
        <v>3000000</v>
      </c>
      <c r="E267" t="s">
        <v>445</v>
      </c>
      <c r="F267" s="20" t="s">
        <v>446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405</v>
      </c>
      <c r="C268" t="s">
        <v>442</v>
      </c>
      <c r="D268" s="141">
        <v>2680000</v>
      </c>
      <c r="E268" t="s">
        <v>428</v>
      </c>
      <c r="F268" s="20" t="s">
        <v>429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451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444</v>
      </c>
      <c r="C270" t="s">
        <v>452</v>
      </c>
      <c r="D270" s="141">
        <v>2610000</v>
      </c>
      <c r="E270" t="s">
        <v>430</v>
      </c>
      <c r="F270" s="20" t="s">
        <v>431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453</v>
      </c>
      <c r="D271" s="141">
        <v>2140000</v>
      </c>
      <c r="E271" t="s">
        <v>421</v>
      </c>
      <c r="F271" s="20" t="s">
        <v>422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441</v>
      </c>
      <c r="C272" t="s">
        <v>454</v>
      </c>
      <c r="D272" s="141">
        <v>3000000</v>
      </c>
      <c r="E272" t="s">
        <v>445</v>
      </c>
      <c r="F272" s="20" t="s">
        <v>446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406</v>
      </c>
      <c r="C273" t="s">
        <v>447</v>
      </c>
      <c r="D273" s="141">
        <v>2680000</v>
      </c>
      <c r="E273" t="s">
        <v>428</v>
      </c>
      <c r="F273" s="20" t="s">
        <v>429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455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440</v>
      </c>
      <c r="C275" t="s">
        <v>456</v>
      </c>
      <c r="D275" s="141">
        <v>2610000</v>
      </c>
      <c r="E275" t="s">
        <v>430</v>
      </c>
      <c r="F275" s="20" t="s">
        <v>431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443</v>
      </c>
      <c r="C276" t="s">
        <v>457</v>
      </c>
      <c r="D276" s="141">
        <v>3000000</v>
      </c>
      <c r="E276" t="s">
        <v>445</v>
      </c>
      <c r="F276" s="20" t="s">
        <v>446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444</v>
      </c>
      <c r="C277" t="s">
        <v>458</v>
      </c>
      <c r="D277" s="141">
        <v>2610000</v>
      </c>
      <c r="E277" t="s">
        <v>430</v>
      </c>
      <c r="F277" s="20" t="s">
        <v>431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409</v>
      </c>
      <c r="C278" t="s">
        <v>410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408</v>
      </c>
      <c r="C279" t="s">
        <v>414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415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406</v>
      </c>
      <c r="C281" t="s">
        <v>411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412</v>
      </c>
      <c r="C282" t="s">
        <v>413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405</v>
      </c>
      <c r="C283" t="s">
        <v>411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407</v>
      </c>
      <c r="C284" t="s">
        <v>416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405</v>
      </c>
      <c r="C285" t="s">
        <v>411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409</v>
      </c>
      <c r="C286" t="s">
        <v>410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412</v>
      </c>
      <c r="C287" t="s">
        <v>413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417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409</v>
      </c>
      <c r="C289" t="s">
        <v>410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406</v>
      </c>
      <c r="C290" t="s">
        <v>411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406</v>
      </c>
      <c r="C291" t="s">
        <v>411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406</v>
      </c>
      <c r="C292" t="s">
        <v>411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406</v>
      </c>
      <c r="C293" t="s">
        <v>411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412</v>
      </c>
      <c r="C294" t="s">
        <v>413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161</v>
      </c>
      <c r="K1" s="178" t="s">
        <v>159</v>
      </c>
      <c r="L1" s="178" t="s">
        <v>154</v>
      </c>
      <c r="M1" s="178" t="s">
        <v>164</v>
      </c>
      <c r="N1" s="178" t="s">
        <v>158</v>
      </c>
      <c r="O1" s="178" t="s">
        <v>165</v>
      </c>
      <c r="P1" s="178" t="s">
        <v>162</v>
      </c>
      <c r="Q1"/>
      <c r="R1"/>
    </row>
    <row r="2" spans="1:18" x14ac:dyDescent="0.25">
      <c r="A2" s="179">
        <v>61.72</v>
      </c>
      <c r="B2" s="179">
        <v>0.32</v>
      </c>
      <c r="C2" s="179">
        <v>47.32</v>
      </c>
      <c r="D2" s="8">
        <v>42890</v>
      </c>
      <c r="E2" s="179">
        <v>0.59</v>
      </c>
      <c r="F2" s="179" t="s">
        <v>849</v>
      </c>
      <c r="G2" s="179">
        <v>315.27999999999997</v>
      </c>
      <c r="H2" s="179">
        <v>0</v>
      </c>
      <c r="I2" s="179">
        <v>0</v>
      </c>
      <c r="J2" s="179">
        <v>1018.79</v>
      </c>
      <c r="K2" s="179" t="s">
        <v>850</v>
      </c>
      <c r="L2" s="179">
        <v>61.72</v>
      </c>
      <c r="M2" s="179">
        <v>1496556000</v>
      </c>
      <c r="N2" s="179">
        <v>1.1000000000000001</v>
      </c>
      <c r="O2" s="179">
        <v>148</v>
      </c>
      <c r="P2" s="179">
        <v>1.59</v>
      </c>
      <c r="Q2"/>
      <c r="R2"/>
    </row>
    <row r="3" spans="1:18" x14ac:dyDescent="0.25">
      <c r="A3" s="179">
        <v>59.84</v>
      </c>
      <c r="B3" s="179">
        <v>0.22</v>
      </c>
      <c r="C3" s="179">
        <v>47.34</v>
      </c>
      <c r="D3" s="8">
        <v>42890.041666666664</v>
      </c>
      <c r="E3" s="179">
        <v>0.63</v>
      </c>
      <c r="F3" s="179" t="s">
        <v>849</v>
      </c>
      <c r="G3" s="179">
        <v>314.17</v>
      </c>
      <c r="H3" s="179">
        <v>0</v>
      </c>
      <c r="I3" s="179">
        <v>0</v>
      </c>
      <c r="J3" s="179">
        <v>1018.48</v>
      </c>
      <c r="K3" s="179" t="s">
        <v>850</v>
      </c>
      <c r="L3" s="179">
        <v>59.84</v>
      </c>
      <c r="M3" s="179">
        <v>1496559600</v>
      </c>
      <c r="N3" s="179">
        <v>1.1000000000000001</v>
      </c>
      <c r="O3" s="179">
        <v>161</v>
      </c>
      <c r="P3" s="179">
        <v>1.64</v>
      </c>
      <c r="Q3"/>
      <c r="R3"/>
    </row>
    <row r="4" spans="1:18" x14ac:dyDescent="0.25">
      <c r="A4" s="179">
        <v>57.93</v>
      </c>
      <c r="B4" s="179">
        <v>0.21</v>
      </c>
      <c r="C4" s="179">
        <v>46.9</v>
      </c>
      <c r="D4" s="8">
        <v>42890.083333333336</v>
      </c>
      <c r="E4" s="179">
        <v>0.67</v>
      </c>
      <c r="F4" s="179" t="s">
        <v>849</v>
      </c>
      <c r="G4" s="179">
        <v>313.05</v>
      </c>
      <c r="H4" s="179">
        <v>0</v>
      </c>
      <c r="I4" s="179">
        <v>0</v>
      </c>
      <c r="J4" s="179">
        <v>1018.17</v>
      </c>
      <c r="K4" s="179" t="s">
        <v>850</v>
      </c>
      <c r="L4" s="179">
        <v>57.93</v>
      </c>
      <c r="M4" s="179">
        <v>1496563200</v>
      </c>
      <c r="N4" s="179">
        <v>1.1000000000000001</v>
      </c>
      <c r="O4" s="179">
        <v>183</v>
      </c>
      <c r="P4" s="179">
        <v>2.04</v>
      </c>
      <c r="Q4"/>
      <c r="R4"/>
    </row>
    <row r="5" spans="1:18" x14ac:dyDescent="0.25">
      <c r="A5" s="179">
        <v>56.53</v>
      </c>
      <c r="B5" s="179">
        <v>0.14000000000000001</v>
      </c>
      <c r="C5" s="179">
        <v>46.77</v>
      </c>
      <c r="D5" s="8">
        <v>42890.125</v>
      </c>
      <c r="E5" s="179">
        <v>0.7</v>
      </c>
      <c r="F5" s="179" t="s">
        <v>470</v>
      </c>
      <c r="G5" s="179">
        <v>311.93</v>
      </c>
      <c r="H5" s="179">
        <v>0</v>
      </c>
      <c r="I5" s="179">
        <v>0</v>
      </c>
      <c r="J5" s="179">
        <v>1017.86</v>
      </c>
      <c r="K5" s="179" t="s">
        <v>471</v>
      </c>
      <c r="L5" s="179">
        <v>56.53</v>
      </c>
      <c r="M5" s="179">
        <v>1496566800</v>
      </c>
      <c r="N5" s="179"/>
      <c r="O5" s="179">
        <v>170</v>
      </c>
      <c r="P5" s="179">
        <v>1.26</v>
      </c>
      <c r="Q5"/>
      <c r="R5"/>
    </row>
    <row r="6" spans="1:18" x14ac:dyDescent="0.25">
      <c r="A6" s="179">
        <v>54.49</v>
      </c>
      <c r="B6" s="179">
        <v>0.16</v>
      </c>
      <c r="C6" s="179">
        <v>45.91</v>
      </c>
      <c r="D6" s="8">
        <v>42890.166666666664</v>
      </c>
      <c r="E6" s="179">
        <v>0.73</v>
      </c>
      <c r="F6" s="179" t="s">
        <v>470</v>
      </c>
      <c r="G6" s="179">
        <v>311.02999999999997</v>
      </c>
      <c r="H6" s="179">
        <v>0</v>
      </c>
      <c r="I6" s="179">
        <v>0</v>
      </c>
      <c r="J6" s="179">
        <v>1017.76</v>
      </c>
      <c r="K6" s="179" t="s">
        <v>471</v>
      </c>
      <c r="L6" s="179">
        <v>54.49</v>
      </c>
      <c r="M6" s="179">
        <v>1496570400</v>
      </c>
      <c r="N6" s="179"/>
      <c r="O6" s="179">
        <v>174</v>
      </c>
      <c r="P6" s="179">
        <v>1.84</v>
      </c>
      <c r="Q6"/>
      <c r="R6"/>
    </row>
    <row r="7" spans="1:18" x14ac:dyDescent="0.25">
      <c r="A7" s="179">
        <v>53.79</v>
      </c>
      <c r="B7" s="179">
        <v>0.19</v>
      </c>
      <c r="C7" s="179">
        <v>45.68</v>
      </c>
      <c r="D7" s="8">
        <v>42890.208333333336</v>
      </c>
      <c r="E7" s="179">
        <v>0.74</v>
      </c>
      <c r="F7" s="179" t="s">
        <v>849</v>
      </c>
      <c r="G7" s="179">
        <v>310.24</v>
      </c>
      <c r="H7" s="179">
        <v>0</v>
      </c>
      <c r="I7" s="179">
        <v>0</v>
      </c>
      <c r="J7" s="179">
        <v>1017.71</v>
      </c>
      <c r="K7" s="179" t="s">
        <v>850</v>
      </c>
      <c r="L7" s="179">
        <v>53.79</v>
      </c>
      <c r="M7" s="179">
        <v>1496574000</v>
      </c>
      <c r="N7" s="179">
        <v>1.1000000000000001</v>
      </c>
      <c r="O7" s="179">
        <v>184</v>
      </c>
      <c r="P7" s="179">
        <v>1.83</v>
      </c>
      <c r="Q7"/>
      <c r="R7"/>
    </row>
    <row r="8" spans="1:18" x14ac:dyDescent="0.25">
      <c r="A8" s="179">
        <v>53.68</v>
      </c>
      <c r="B8" s="179">
        <v>0.19</v>
      </c>
      <c r="C8" s="179">
        <v>45.43</v>
      </c>
      <c r="D8" s="8">
        <v>42890.25</v>
      </c>
      <c r="E8" s="179">
        <v>0.74</v>
      </c>
      <c r="F8" s="179" t="s">
        <v>849</v>
      </c>
      <c r="G8" s="179">
        <v>309.58999999999997</v>
      </c>
      <c r="H8" s="179">
        <v>0</v>
      </c>
      <c r="I8" s="179">
        <v>0</v>
      </c>
      <c r="J8" s="179">
        <v>1017.41</v>
      </c>
      <c r="K8" s="179" t="s">
        <v>850</v>
      </c>
      <c r="L8" s="179">
        <v>53.68</v>
      </c>
      <c r="M8" s="179">
        <v>1496577600</v>
      </c>
      <c r="N8" s="179">
        <v>1.1000000000000001</v>
      </c>
      <c r="O8" s="179">
        <v>185</v>
      </c>
      <c r="P8" s="179">
        <v>1.74</v>
      </c>
      <c r="Q8"/>
      <c r="R8"/>
    </row>
    <row r="9" spans="1:18" x14ac:dyDescent="0.25">
      <c r="A9" s="179">
        <v>56.93</v>
      </c>
      <c r="B9" s="179">
        <v>0.23</v>
      </c>
      <c r="C9" s="179">
        <v>46.34</v>
      </c>
      <c r="D9" s="8">
        <v>42890.291666666664</v>
      </c>
      <c r="E9" s="179">
        <v>0.68</v>
      </c>
      <c r="F9" s="179" t="s">
        <v>601</v>
      </c>
      <c r="G9" s="179">
        <v>309.12</v>
      </c>
      <c r="H9" s="179">
        <v>0</v>
      </c>
      <c r="I9" s="179">
        <v>0</v>
      </c>
      <c r="J9" s="179">
        <v>1016.5</v>
      </c>
      <c r="K9" s="179" t="s">
        <v>471</v>
      </c>
      <c r="L9" s="179">
        <v>56.93</v>
      </c>
      <c r="M9" s="179">
        <v>1496581200</v>
      </c>
      <c r="N9" s="179"/>
      <c r="O9" s="179">
        <v>197</v>
      </c>
      <c r="P9" s="179">
        <v>1.75</v>
      </c>
      <c r="Q9"/>
      <c r="R9"/>
    </row>
    <row r="10" spans="1:18" x14ac:dyDescent="0.25">
      <c r="A10" s="179">
        <v>62.89</v>
      </c>
      <c r="B10" s="179">
        <v>0.23</v>
      </c>
      <c r="C10" s="179">
        <v>47.51</v>
      </c>
      <c r="D10" s="8">
        <v>42890.333333333336</v>
      </c>
      <c r="E10" s="179">
        <v>0.56999999999999995</v>
      </c>
      <c r="F10" s="179" t="s">
        <v>849</v>
      </c>
      <c r="G10" s="179">
        <v>308.79000000000002</v>
      </c>
      <c r="H10" s="179">
        <v>0</v>
      </c>
      <c r="I10" s="179">
        <v>0</v>
      </c>
      <c r="J10" s="179">
        <v>1015.25</v>
      </c>
      <c r="K10" s="179" t="s">
        <v>850</v>
      </c>
      <c r="L10" s="179">
        <v>62.89</v>
      </c>
      <c r="M10" s="179">
        <v>1496584800</v>
      </c>
      <c r="N10" s="179">
        <v>1.1000000000000001</v>
      </c>
      <c r="O10" s="179">
        <v>141</v>
      </c>
      <c r="P10" s="179">
        <v>1.68</v>
      </c>
      <c r="Q10"/>
      <c r="R10"/>
    </row>
    <row r="11" spans="1:18" x14ac:dyDescent="0.25">
      <c r="A11" s="179">
        <v>67.73</v>
      </c>
      <c r="B11" s="179">
        <v>0.23</v>
      </c>
      <c r="C11" s="179">
        <v>47.47</v>
      </c>
      <c r="D11" s="8">
        <v>42890.375</v>
      </c>
      <c r="E11" s="179">
        <v>0.48</v>
      </c>
      <c r="F11" s="179" t="s">
        <v>849</v>
      </c>
      <c r="G11" s="179">
        <v>308.44</v>
      </c>
      <c r="H11" s="179">
        <v>0</v>
      </c>
      <c r="I11" s="179">
        <v>0</v>
      </c>
      <c r="J11" s="179">
        <v>1014.17</v>
      </c>
      <c r="K11" s="179" t="s">
        <v>850</v>
      </c>
      <c r="L11" s="179">
        <v>67.73</v>
      </c>
      <c r="M11" s="179">
        <v>1496588400</v>
      </c>
      <c r="N11" s="179">
        <v>1.1000000000000001</v>
      </c>
      <c r="O11" s="179">
        <v>95</v>
      </c>
      <c r="P11" s="179">
        <v>1.32</v>
      </c>
      <c r="Q11"/>
      <c r="R11"/>
    </row>
    <row r="12" spans="1:18" x14ac:dyDescent="0.25">
      <c r="A12" s="179">
        <v>71.91</v>
      </c>
      <c r="B12" s="179">
        <v>0.32</v>
      </c>
      <c r="C12" s="179">
        <v>47.96</v>
      </c>
      <c r="D12" s="8">
        <v>42890.416666666664</v>
      </c>
      <c r="E12" s="179">
        <v>0.43</v>
      </c>
      <c r="F12" s="179" t="s">
        <v>849</v>
      </c>
      <c r="G12" s="179">
        <v>307.97000000000003</v>
      </c>
      <c r="H12" s="179">
        <v>0</v>
      </c>
      <c r="I12" s="179">
        <v>0</v>
      </c>
      <c r="J12" s="179">
        <v>1013.63</v>
      </c>
      <c r="K12" s="179" t="s">
        <v>850</v>
      </c>
      <c r="L12" s="179">
        <v>71.91</v>
      </c>
      <c r="M12" s="179">
        <v>1496592000</v>
      </c>
      <c r="N12" s="179">
        <v>1.1000000000000001</v>
      </c>
      <c r="O12" s="179">
        <v>127</v>
      </c>
      <c r="P12" s="179">
        <v>0.82</v>
      </c>
      <c r="Q12"/>
      <c r="R12"/>
    </row>
    <row r="13" spans="1:18" x14ac:dyDescent="0.25">
      <c r="A13" s="179">
        <v>75.260000000000005</v>
      </c>
      <c r="B13" s="179">
        <v>0.38</v>
      </c>
      <c r="C13" s="179">
        <v>48</v>
      </c>
      <c r="D13" s="8">
        <v>42890.458333333336</v>
      </c>
      <c r="E13" s="179">
        <v>0.38</v>
      </c>
      <c r="F13" s="179" t="s">
        <v>849</v>
      </c>
      <c r="G13" s="179">
        <v>307.48</v>
      </c>
      <c r="H13" s="179">
        <v>0</v>
      </c>
      <c r="I13" s="179">
        <v>0</v>
      </c>
      <c r="J13" s="179">
        <v>1013.29</v>
      </c>
      <c r="K13" s="179" t="s">
        <v>850</v>
      </c>
      <c r="L13" s="179">
        <v>75.260000000000005</v>
      </c>
      <c r="M13" s="179">
        <v>1496595600</v>
      </c>
      <c r="N13" s="179">
        <v>1.1000000000000001</v>
      </c>
      <c r="O13" s="179">
        <v>101</v>
      </c>
      <c r="P13" s="179">
        <v>1.48</v>
      </c>
      <c r="Q13"/>
      <c r="R13"/>
    </row>
    <row r="14" spans="1:18" x14ac:dyDescent="0.25">
      <c r="A14" s="179">
        <v>78.010000000000005</v>
      </c>
      <c r="B14" s="179">
        <v>0.34</v>
      </c>
      <c r="C14" s="179">
        <v>47.65</v>
      </c>
      <c r="D14" s="8">
        <v>42890.5</v>
      </c>
      <c r="E14" s="179">
        <v>0.34</v>
      </c>
      <c r="F14" s="179" t="s">
        <v>849</v>
      </c>
      <c r="G14" s="179">
        <v>307.14</v>
      </c>
      <c r="H14" s="179">
        <v>0</v>
      </c>
      <c r="I14" s="179">
        <v>0</v>
      </c>
      <c r="J14" s="179">
        <v>1012.8</v>
      </c>
      <c r="K14" s="179" t="s">
        <v>850</v>
      </c>
      <c r="L14" s="179">
        <v>78.010000000000005</v>
      </c>
      <c r="M14" s="179">
        <v>1496599200</v>
      </c>
      <c r="N14" s="179">
        <v>1.1000000000000001</v>
      </c>
      <c r="O14" s="179">
        <v>76</v>
      </c>
      <c r="P14" s="179">
        <v>2.46</v>
      </c>
      <c r="Q14"/>
      <c r="R14"/>
    </row>
    <row r="15" spans="1:18" x14ac:dyDescent="0.25">
      <c r="A15" s="179">
        <v>79.819999999999993</v>
      </c>
      <c r="B15" s="179">
        <v>0.39</v>
      </c>
      <c r="C15" s="179">
        <v>47.29</v>
      </c>
      <c r="D15" s="8">
        <v>42890.541666666664</v>
      </c>
      <c r="E15" s="179">
        <v>0.31</v>
      </c>
      <c r="F15" s="179" t="s">
        <v>849</v>
      </c>
      <c r="G15" s="179">
        <v>306.89</v>
      </c>
      <c r="H15" s="179">
        <v>0</v>
      </c>
      <c r="I15" s="179">
        <v>0</v>
      </c>
      <c r="J15" s="179">
        <v>1011.93</v>
      </c>
      <c r="K15" s="179" t="s">
        <v>850</v>
      </c>
      <c r="L15" s="179">
        <v>80.91</v>
      </c>
      <c r="M15" s="179">
        <v>1496602800</v>
      </c>
      <c r="N15" s="179">
        <v>1.1000000000000001</v>
      </c>
      <c r="O15" s="179">
        <v>56</v>
      </c>
      <c r="P15" s="179">
        <v>2.8</v>
      </c>
      <c r="Q15"/>
      <c r="R15"/>
    </row>
    <row r="16" spans="1:18" x14ac:dyDescent="0.25">
      <c r="A16" s="179">
        <v>80.47</v>
      </c>
      <c r="B16" s="179">
        <v>0.4</v>
      </c>
      <c r="C16" s="179">
        <v>46.48</v>
      </c>
      <c r="D16" s="8">
        <v>42890.583333333336</v>
      </c>
      <c r="E16" s="179">
        <v>0.28999999999999998</v>
      </c>
      <c r="F16" s="179" t="s">
        <v>849</v>
      </c>
      <c r="G16" s="179">
        <v>306.79000000000002</v>
      </c>
      <c r="H16" s="179">
        <v>0</v>
      </c>
      <c r="I16" s="179">
        <v>0</v>
      </c>
      <c r="J16" s="179">
        <v>1010.9</v>
      </c>
      <c r="K16" s="179" t="s">
        <v>850</v>
      </c>
      <c r="L16" s="179">
        <v>82.11</v>
      </c>
      <c r="M16" s="179">
        <v>1496606400</v>
      </c>
      <c r="N16" s="179">
        <v>1.1000000000000001</v>
      </c>
      <c r="O16" s="179">
        <v>53</v>
      </c>
      <c r="P16" s="179">
        <v>3.45</v>
      </c>
      <c r="Q16"/>
      <c r="R16"/>
    </row>
    <row r="17" spans="1:18" x14ac:dyDescent="0.25">
      <c r="A17" s="179">
        <v>80.75</v>
      </c>
      <c r="B17" s="179">
        <v>0.3</v>
      </c>
      <c r="C17" s="179">
        <v>44.51</v>
      </c>
      <c r="D17" s="8">
        <v>42890.625</v>
      </c>
      <c r="E17" s="179">
        <v>0.26</v>
      </c>
      <c r="F17" s="179" t="s">
        <v>851</v>
      </c>
      <c r="G17" s="179">
        <v>307.14</v>
      </c>
      <c r="H17" s="179">
        <v>0</v>
      </c>
      <c r="I17" s="179">
        <v>0</v>
      </c>
      <c r="J17" s="179">
        <v>1010.15</v>
      </c>
      <c r="K17" s="179" t="s">
        <v>852</v>
      </c>
      <c r="L17" s="179">
        <v>82.78</v>
      </c>
      <c r="M17" s="179">
        <v>1496610000</v>
      </c>
      <c r="N17" s="179">
        <v>2.99</v>
      </c>
      <c r="O17" s="179">
        <v>48</v>
      </c>
      <c r="P17" s="179">
        <v>3.64</v>
      </c>
      <c r="Q17"/>
      <c r="R17"/>
    </row>
    <row r="18" spans="1:18" x14ac:dyDescent="0.25">
      <c r="A18" s="179">
        <v>80.86</v>
      </c>
      <c r="B18" s="179">
        <v>0.37</v>
      </c>
      <c r="C18" s="179">
        <v>44.17</v>
      </c>
      <c r="D18" s="8">
        <v>42890.666666666664</v>
      </c>
      <c r="E18" s="179">
        <v>0.26</v>
      </c>
      <c r="F18" s="179" t="s">
        <v>851</v>
      </c>
      <c r="G18" s="179">
        <v>308.32</v>
      </c>
      <c r="H18" s="179">
        <v>0</v>
      </c>
      <c r="I18" s="179">
        <v>0</v>
      </c>
      <c r="J18" s="179">
        <v>1009.77</v>
      </c>
      <c r="K18" s="179" t="s">
        <v>852</v>
      </c>
      <c r="L18" s="179">
        <v>82.98</v>
      </c>
      <c r="M18" s="179">
        <v>1496613600</v>
      </c>
      <c r="N18" s="179">
        <v>3.08</v>
      </c>
      <c r="O18" s="179">
        <v>53</v>
      </c>
      <c r="P18" s="179">
        <v>3.37</v>
      </c>
      <c r="Q18"/>
      <c r="R18"/>
    </row>
    <row r="19" spans="1:18" x14ac:dyDescent="0.25">
      <c r="A19" s="179">
        <v>80.709999999999994</v>
      </c>
      <c r="B19" s="179">
        <v>0.38</v>
      </c>
      <c r="C19" s="179">
        <v>44.16</v>
      </c>
      <c r="D19" s="8">
        <v>42890.708333333336</v>
      </c>
      <c r="E19" s="179">
        <v>0.26</v>
      </c>
      <c r="F19" s="179" t="s">
        <v>851</v>
      </c>
      <c r="G19" s="179">
        <v>309.95999999999998</v>
      </c>
      <c r="H19" s="179">
        <v>0</v>
      </c>
      <c r="I19" s="179">
        <v>0</v>
      </c>
      <c r="J19" s="179">
        <v>1009.62</v>
      </c>
      <c r="K19" s="179" t="s">
        <v>852</v>
      </c>
      <c r="L19" s="179">
        <v>82.76</v>
      </c>
      <c r="M19" s="179">
        <v>1496617200</v>
      </c>
      <c r="N19" s="179">
        <v>3.38</v>
      </c>
      <c r="O19" s="179">
        <v>65</v>
      </c>
      <c r="P19" s="179">
        <v>3.78</v>
      </c>
      <c r="Q19"/>
      <c r="R19"/>
    </row>
    <row r="20" spans="1:18" x14ac:dyDescent="0.25">
      <c r="A20" s="179">
        <v>79.81</v>
      </c>
      <c r="B20" s="179">
        <v>0.35</v>
      </c>
      <c r="C20" s="179">
        <v>42.48</v>
      </c>
      <c r="D20" s="8">
        <v>42890.75</v>
      </c>
      <c r="E20" s="179">
        <v>0.25</v>
      </c>
      <c r="F20" s="179" t="s">
        <v>851</v>
      </c>
      <c r="G20" s="179">
        <v>311.20999999999998</v>
      </c>
      <c r="H20" s="179">
        <v>0</v>
      </c>
      <c r="I20" s="179">
        <v>0</v>
      </c>
      <c r="J20" s="179">
        <v>1009.73</v>
      </c>
      <c r="K20" s="179" t="s">
        <v>852</v>
      </c>
      <c r="L20" s="179">
        <v>81.489999999999995</v>
      </c>
      <c r="M20" s="179">
        <v>1496620800</v>
      </c>
      <c r="N20" s="179">
        <v>3.55</v>
      </c>
      <c r="O20" s="179">
        <v>62</v>
      </c>
      <c r="P20" s="179">
        <v>4.12</v>
      </c>
      <c r="Q20"/>
      <c r="R20"/>
    </row>
    <row r="21" spans="1:18" x14ac:dyDescent="0.25">
      <c r="A21" s="179">
        <v>78.47</v>
      </c>
      <c r="B21" s="179">
        <v>0.23</v>
      </c>
      <c r="C21" s="179">
        <v>40.76</v>
      </c>
      <c r="D21" s="8">
        <v>42890.791666666664</v>
      </c>
      <c r="E21" s="179">
        <v>0.26</v>
      </c>
      <c r="F21" s="179" t="s">
        <v>601</v>
      </c>
      <c r="G21" s="179">
        <v>311.7</v>
      </c>
      <c r="H21" s="179">
        <v>0</v>
      </c>
      <c r="I21" s="179">
        <v>0</v>
      </c>
      <c r="J21" s="179">
        <v>1010.12</v>
      </c>
      <c r="K21" s="179" t="s">
        <v>471</v>
      </c>
      <c r="L21" s="179">
        <v>78.47</v>
      </c>
      <c r="M21" s="179">
        <v>1496624400</v>
      </c>
      <c r="N21" s="179">
        <v>10</v>
      </c>
      <c r="O21" s="179">
        <v>72</v>
      </c>
      <c r="P21" s="179">
        <v>4.78</v>
      </c>
      <c r="Q21"/>
      <c r="R21"/>
    </row>
    <row r="22" spans="1:18" x14ac:dyDescent="0.25">
      <c r="A22" s="179">
        <v>76.08</v>
      </c>
      <c r="B22" s="179">
        <v>0.16</v>
      </c>
      <c r="C22" s="179">
        <v>41.88</v>
      </c>
      <c r="D22" s="8">
        <v>42890.833333333336</v>
      </c>
      <c r="E22" s="179">
        <v>0.28999999999999998</v>
      </c>
      <c r="F22" s="179" t="s">
        <v>601</v>
      </c>
      <c r="G22" s="179">
        <v>311.82</v>
      </c>
      <c r="H22" s="179">
        <v>0</v>
      </c>
      <c r="I22" s="179">
        <v>0</v>
      </c>
      <c r="J22" s="179">
        <v>1010.87</v>
      </c>
      <c r="K22" s="179" t="s">
        <v>471</v>
      </c>
      <c r="L22" s="179">
        <v>76.08</v>
      </c>
      <c r="M22" s="179">
        <v>1496628000</v>
      </c>
      <c r="N22" s="179">
        <v>4.25</v>
      </c>
      <c r="O22" s="179">
        <v>93</v>
      </c>
      <c r="P22" s="179">
        <v>2.99</v>
      </c>
      <c r="Q22"/>
      <c r="R22"/>
    </row>
    <row r="23" spans="1:18" x14ac:dyDescent="0.25">
      <c r="A23" s="179">
        <v>72.27</v>
      </c>
      <c r="B23" s="179">
        <v>0.11</v>
      </c>
      <c r="C23" s="179">
        <v>42.6</v>
      </c>
      <c r="D23" s="8">
        <v>42890.875</v>
      </c>
      <c r="E23" s="179">
        <v>0.34</v>
      </c>
      <c r="F23" s="179" t="s">
        <v>470</v>
      </c>
      <c r="G23" s="179">
        <v>311.81</v>
      </c>
      <c r="H23" s="179">
        <v>0</v>
      </c>
      <c r="I23" s="179">
        <v>0</v>
      </c>
      <c r="J23" s="179">
        <v>1011.52</v>
      </c>
      <c r="K23" s="179" t="s">
        <v>471</v>
      </c>
      <c r="L23" s="179">
        <v>72.27</v>
      </c>
      <c r="M23" s="179">
        <v>1496631600</v>
      </c>
      <c r="N23" s="179">
        <v>5.13</v>
      </c>
      <c r="O23" s="179">
        <v>105</v>
      </c>
      <c r="P23" s="179">
        <v>2.75</v>
      </c>
      <c r="Q23"/>
      <c r="R23"/>
    </row>
    <row r="24" spans="1:18" x14ac:dyDescent="0.25">
      <c r="A24" s="179">
        <v>69.27</v>
      </c>
      <c r="B24" s="179">
        <v>7.0000000000000007E-2</v>
      </c>
      <c r="C24" s="179">
        <v>43.32</v>
      </c>
      <c r="D24" s="8">
        <v>42890.916666666664</v>
      </c>
      <c r="E24" s="179">
        <v>0.39</v>
      </c>
      <c r="F24" s="179" t="s">
        <v>470</v>
      </c>
      <c r="G24" s="179">
        <v>311.69</v>
      </c>
      <c r="H24" s="179">
        <v>0</v>
      </c>
      <c r="I24" s="179">
        <v>0</v>
      </c>
      <c r="J24" s="179">
        <v>1011.91</v>
      </c>
      <c r="K24" s="179" t="s">
        <v>471</v>
      </c>
      <c r="L24" s="179">
        <v>69.27</v>
      </c>
      <c r="M24" s="179">
        <v>1496635200</v>
      </c>
      <c r="N24" s="179">
        <v>4.32</v>
      </c>
      <c r="O24" s="179">
        <v>134</v>
      </c>
      <c r="P24" s="179">
        <v>2.79</v>
      </c>
      <c r="Q24"/>
      <c r="R24"/>
    </row>
    <row r="25" spans="1:18" x14ac:dyDescent="0.25">
      <c r="A25" s="179">
        <v>66.63</v>
      </c>
      <c r="B25" s="179">
        <v>0.08</v>
      </c>
      <c r="C25" s="179">
        <v>43.92</v>
      </c>
      <c r="D25" s="8">
        <v>42890.958333333336</v>
      </c>
      <c r="E25" s="179">
        <v>0.44</v>
      </c>
      <c r="F25" s="179" t="s">
        <v>470</v>
      </c>
      <c r="G25" s="179">
        <v>311.45</v>
      </c>
      <c r="H25" s="179">
        <v>0</v>
      </c>
      <c r="I25" s="179">
        <v>0</v>
      </c>
      <c r="J25" s="179">
        <v>1012.17</v>
      </c>
      <c r="K25" s="179" t="s">
        <v>471</v>
      </c>
      <c r="L25" s="179">
        <v>66.63</v>
      </c>
      <c r="M25" s="179">
        <v>1496638800</v>
      </c>
      <c r="N25" s="179">
        <v>3.14</v>
      </c>
      <c r="O25" s="179">
        <v>163</v>
      </c>
      <c r="P25" s="179">
        <v>2.42</v>
      </c>
      <c r="Q25"/>
      <c r="R25"/>
    </row>
    <row r="26" spans="1:18" x14ac:dyDescent="0.25">
      <c r="A26" s="179">
        <v>63.95</v>
      </c>
      <c r="B26" s="179">
        <v>0.08</v>
      </c>
      <c r="C26" s="179">
        <v>44.73</v>
      </c>
      <c r="D26" s="8">
        <v>42891</v>
      </c>
      <c r="E26" s="179">
        <v>0.5</v>
      </c>
      <c r="F26" s="179" t="s">
        <v>470</v>
      </c>
      <c r="G26" s="179">
        <v>311.3</v>
      </c>
      <c r="H26" s="179">
        <v>0</v>
      </c>
      <c r="I26" s="179">
        <v>0</v>
      </c>
      <c r="J26" s="179">
        <v>1012.31</v>
      </c>
      <c r="K26" s="179" t="s">
        <v>471</v>
      </c>
      <c r="L26" s="179">
        <v>63.95</v>
      </c>
      <c r="M26" s="179">
        <v>1496642400</v>
      </c>
      <c r="N26" s="179">
        <v>2.84</v>
      </c>
      <c r="O26" s="179">
        <v>171</v>
      </c>
      <c r="P26" s="179">
        <v>2.4500000000000002</v>
      </c>
      <c r="Q26"/>
      <c r="R26"/>
    </row>
    <row r="27" spans="1:18" x14ac:dyDescent="0.25">
      <c r="A27" s="179">
        <v>61.92</v>
      </c>
      <c r="B27" s="179">
        <v>0.06</v>
      </c>
      <c r="C27" s="179">
        <v>45.46</v>
      </c>
      <c r="D27" s="8">
        <v>42891.041666666664</v>
      </c>
      <c r="E27" s="179">
        <v>0.55000000000000004</v>
      </c>
      <c r="F27" s="179" t="s">
        <v>470</v>
      </c>
      <c r="G27" s="179">
        <v>311.39999999999998</v>
      </c>
      <c r="H27" s="179">
        <v>0</v>
      </c>
      <c r="I27" s="179">
        <v>0</v>
      </c>
      <c r="J27" s="179">
        <v>1012.27</v>
      </c>
      <c r="K27" s="179" t="s">
        <v>471</v>
      </c>
      <c r="L27" s="179">
        <v>61.92</v>
      </c>
      <c r="M27" s="179">
        <v>1496646000</v>
      </c>
      <c r="N27" s="179">
        <v>2.64</v>
      </c>
      <c r="O27" s="179">
        <v>178</v>
      </c>
      <c r="P27" s="179">
        <v>2.2599999999999998</v>
      </c>
      <c r="Q27"/>
      <c r="R27"/>
    </row>
    <row r="28" spans="1:18" x14ac:dyDescent="0.25">
      <c r="A28" s="179">
        <v>61.3</v>
      </c>
      <c r="B28" s="179">
        <v>7.0000000000000007E-2</v>
      </c>
      <c r="C28" s="179">
        <v>46.12</v>
      </c>
      <c r="D28" s="8">
        <v>42891.083333333336</v>
      </c>
      <c r="E28" s="179">
        <v>0.56999999999999995</v>
      </c>
      <c r="F28" s="179" t="s">
        <v>470</v>
      </c>
      <c r="G28" s="179">
        <v>311.5</v>
      </c>
      <c r="H28" s="179">
        <v>0</v>
      </c>
      <c r="I28" s="179">
        <v>0</v>
      </c>
      <c r="J28" s="179">
        <v>1012.23</v>
      </c>
      <c r="K28" s="179" t="s">
        <v>471</v>
      </c>
      <c r="L28" s="179">
        <v>61.3</v>
      </c>
      <c r="M28" s="179">
        <v>1496649600</v>
      </c>
      <c r="N28" s="179">
        <v>2.62</v>
      </c>
      <c r="O28" s="179">
        <v>181</v>
      </c>
      <c r="P28" s="179">
        <v>2.37</v>
      </c>
      <c r="Q28"/>
      <c r="R28"/>
    </row>
    <row r="29" spans="1:18" x14ac:dyDescent="0.25">
      <c r="A29" s="179">
        <v>60.48</v>
      </c>
      <c r="B29" s="179">
        <v>7.0000000000000007E-2</v>
      </c>
      <c r="C29" s="179">
        <v>46.29</v>
      </c>
      <c r="D29" s="8">
        <v>42891.125</v>
      </c>
      <c r="E29" s="179">
        <v>0.59</v>
      </c>
      <c r="F29" s="179" t="s">
        <v>470</v>
      </c>
      <c r="G29" s="179">
        <v>311.60000000000002</v>
      </c>
      <c r="H29" s="179">
        <v>0</v>
      </c>
      <c r="I29" s="179">
        <v>0</v>
      </c>
      <c r="J29" s="179">
        <v>1012.19</v>
      </c>
      <c r="K29" s="179" t="s">
        <v>471</v>
      </c>
      <c r="L29" s="179">
        <v>60.48</v>
      </c>
      <c r="M29" s="179">
        <v>1496653200</v>
      </c>
      <c r="N29" s="179">
        <v>2.08</v>
      </c>
      <c r="O29" s="179">
        <v>199</v>
      </c>
      <c r="P29" s="179">
        <v>3.33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>
      <selection activeCell="G18" sqref="G18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42890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460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461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644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646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989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990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991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645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992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993</v>
      </c>
      <c r="J25" s="143" t="s">
        <v>148</v>
      </c>
      <c r="M25" s="157" t="b">
        <v>1</v>
      </c>
    </row>
    <row r="26" spans="3:24" x14ac:dyDescent="0.25">
      <c r="C26" t="s">
        <v>994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C:\Users\stu\Documents\GitHub\eaglep3-reporting\EC\2017-06-04-refined-times.txt</v>
      </c>
    </row>
    <row r="27" spans="3:24" x14ac:dyDescent="0.25">
      <c r="C27" t="s">
        <v>995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C:\Users\stu\Documents\GitHub\eaglep3-reporting\EC\2017-06-04-Enforcements.txt</v>
      </c>
    </row>
    <row r="28" spans="3:24" x14ac:dyDescent="0.25">
      <c r="C28" t="s">
        <v>996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C:\Users\stu\Documents\GitHub\eaglep3-reporting\EC\2017-06-04-Runs-refined.txt</v>
      </c>
    </row>
    <row r="29" spans="3:24" x14ac:dyDescent="0.25">
      <c r="C29" t="s">
        <v>997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C:\Users\stu\Documents\GitHub\eaglep3-reporting\EC\2017-06-04-Trips.txt</v>
      </c>
    </row>
    <row r="30" spans="3:24" x14ac:dyDescent="0.25">
      <c r="C30" t="s">
        <v>998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C:\Users\stu\Documents\GitHub\eaglep3-reporting\EC\2017-06-04-Weather.txt</v>
      </c>
    </row>
    <row r="31" spans="3:24" x14ac:dyDescent="0.25">
      <c r="C31" t="s">
        <v>999</v>
      </c>
      <c r="J31" s="143" t="s">
        <v>198</v>
      </c>
      <c r="M31" s="157" t="s">
        <v>199</v>
      </c>
    </row>
    <row r="32" spans="3:24" x14ac:dyDescent="0.25">
      <c r="C32" t="s">
        <v>1000</v>
      </c>
    </row>
    <row r="33" spans="3:3" x14ac:dyDescent="0.25">
      <c r="C33" t="s">
        <v>1001</v>
      </c>
    </row>
    <row r="34" spans="3:3" x14ac:dyDescent="0.25">
      <c r="C34" t="s">
        <v>1002</v>
      </c>
    </row>
    <row r="35" spans="3:3" x14ac:dyDescent="0.25">
      <c r="C35" t="s">
        <v>1003</v>
      </c>
    </row>
    <row r="36" spans="3:3" x14ac:dyDescent="0.25">
      <c r="C36" t="s">
        <v>1004</v>
      </c>
    </row>
    <row r="37" spans="3:3" x14ac:dyDescent="0.25">
      <c r="C37" t="s">
        <v>1005</v>
      </c>
    </row>
    <row r="38" spans="3:3" x14ac:dyDescent="0.25">
      <c r="C38" t="s">
        <v>1006</v>
      </c>
    </row>
    <row r="39" spans="3:3" x14ac:dyDescent="0.25">
      <c r="C39" t="s">
        <v>1007</v>
      </c>
    </row>
    <row r="40" spans="3:3" x14ac:dyDescent="0.25">
      <c r="C40" t="s">
        <v>1008</v>
      </c>
    </row>
    <row r="41" spans="3:3" x14ac:dyDescent="0.25">
      <c r="C41" t="s">
        <v>1009</v>
      </c>
    </row>
    <row r="42" spans="3:3" x14ac:dyDescent="0.25">
      <c r="C42" t="s">
        <v>1010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2017-06-05T15:41:00Z</dcterms:modified>
</cp:coreProperties>
</file>